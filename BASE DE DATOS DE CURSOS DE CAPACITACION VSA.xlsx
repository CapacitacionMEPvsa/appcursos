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csanchez\Desktop\"/>
    </mc:Choice>
  </mc:AlternateContent>
  <xr:revisionPtr revIDLastSave="0" documentId="8_{1BDBC490-BB1F-4248-8A88-1D8BC9EF2702}" xr6:coauthVersionLast="47" xr6:coauthVersionMax="47" xr10:uidLastSave="{00000000-0000-0000-0000-000000000000}"/>
  <bookViews>
    <workbookView xWindow="-108" yWindow="-108" windowWidth="23256" windowHeight="12456" xr2:uid="{D3A8DC8B-C958-42F5-AF9D-D94772EB178A}"/>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Z238" i="1" l="1"/>
  <c r="NU238" i="1"/>
  <c r="NP238" i="1"/>
  <c r="NK238" i="1"/>
  <c r="NF238" i="1"/>
  <c r="NA238" i="1"/>
  <c r="MV238" i="1"/>
  <c r="MQ238" i="1"/>
  <c r="MM238" i="1"/>
  <c r="MI238" i="1"/>
  <c r="MD238" i="1"/>
  <c r="LY238" i="1"/>
  <c r="LT238" i="1"/>
  <c r="LO238" i="1"/>
  <c r="LJ238" i="1"/>
  <c r="LE238" i="1"/>
  <c r="KZ238" i="1"/>
  <c r="KV238" i="1"/>
  <c r="KQ238" i="1"/>
  <c r="KM238" i="1"/>
  <c r="KI238" i="1"/>
  <c r="KE238" i="1"/>
  <c r="KA238" i="1"/>
  <c r="JV238" i="1"/>
  <c r="JQ238" i="1"/>
  <c r="JM238" i="1"/>
  <c r="JD238" i="1"/>
  <c r="IY238" i="1"/>
  <c r="IT238" i="1"/>
  <c r="IO238" i="1"/>
  <c r="IJ238" i="1"/>
  <c r="IE238" i="1"/>
  <c r="HZ238" i="1"/>
  <c r="HU238" i="1"/>
  <c r="HP238" i="1"/>
  <c r="HK238" i="1"/>
  <c r="HF238" i="1"/>
  <c r="HA238" i="1"/>
  <c r="GV238" i="1"/>
  <c r="GQ238" i="1"/>
  <c r="GL238" i="1"/>
  <c r="GG238" i="1"/>
  <c r="GB238" i="1"/>
  <c r="FW238" i="1"/>
  <c r="FR238" i="1"/>
  <c r="FM238" i="1"/>
  <c r="FH238" i="1"/>
  <c r="FC238" i="1"/>
  <c r="EX238" i="1"/>
  <c r="ES238" i="1"/>
  <c r="EN238" i="1"/>
  <c r="EG238" i="1"/>
  <c r="EB238" i="1"/>
  <c r="DW238" i="1"/>
  <c r="DR238" i="1"/>
  <c r="DM238" i="1"/>
  <c r="DH238" i="1"/>
  <c r="DC238" i="1"/>
  <c r="CX238" i="1"/>
  <c r="CS238" i="1"/>
  <c r="CN238" i="1"/>
  <c r="CG238" i="1"/>
  <c r="CH238" i="1" s="1"/>
  <c r="CI238" i="1" s="1"/>
  <c r="CC238" i="1"/>
  <c r="BX238" i="1"/>
  <c r="BS238" i="1"/>
  <c r="BN238" i="1"/>
  <c r="BI238" i="1"/>
  <c r="BD238" i="1"/>
  <c r="AY238" i="1"/>
  <c r="AT238" i="1"/>
  <c r="AO238" i="1"/>
  <c r="AJ238" i="1"/>
  <c r="AC238" i="1"/>
  <c r="AD238" i="1" s="1"/>
  <c r="AE238" i="1" s="1"/>
  <c r="W238" i="1"/>
  <c r="X238" i="1" s="1"/>
  <c r="Y238" i="1" s="1"/>
  <c r="S238" i="1"/>
  <c r="N238" i="1"/>
  <c r="I238" i="1"/>
  <c r="NZ237" i="1"/>
  <c r="NU237" i="1"/>
  <c r="NP237" i="1"/>
  <c r="NK237" i="1"/>
  <c r="NF237" i="1"/>
  <c r="NA237" i="1"/>
  <c r="MV237" i="1"/>
  <c r="MQ237" i="1"/>
  <c r="MM237" i="1"/>
  <c r="MI237" i="1"/>
  <c r="MD237" i="1"/>
  <c r="LY237" i="1"/>
  <c r="LT237" i="1"/>
  <c r="LO237" i="1"/>
  <c r="LJ237" i="1"/>
  <c r="LE237" i="1"/>
  <c r="KZ237" i="1"/>
  <c r="KV237" i="1"/>
  <c r="KQ237" i="1"/>
  <c r="KM237" i="1"/>
  <c r="KI237" i="1"/>
  <c r="KE237" i="1"/>
  <c r="JY237" i="1"/>
  <c r="JZ237" i="1" s="1"/>
  <c r="KA237" i="1" s="1"/>
  <c r="JV237" i="1"/>
  <c r="JQ237" i="1"/>
  <c r="JM237" i="1"/>
  <c r="JD237" i="1"/>
  <c r="IY237" i="1"/>
  <c r="IT237" i="1"/>
  <c r="IO237" i="1"/>
  <c r="IJ237" i="1"/>
  <c r="IE237" i="1"/>
  <c r="HZ237" i="1"/>
  <c r="HU237" i="1"/>
  <c r="HP237" i="1"/>
  <c r="HK237" i="1"/>
  <c r="HF237" i="1"/>
  <c r="HA237" i="1"/>
  <c r="GV237" i="1"/>
  <c r="GO237" i="1"/>
  <c r="GP237" i="1" s="1"/>
  <c r="GQ237" i="1" s="1"/>
  <c r="GJ237" i="1"/>
  <c r="GK237" i="1" s="1"/>
  <c r="GL237" i="1" s="1"/>
  <c r="GE237" i="1"/>
  <c r="GF237" i="1" s="1"/>
  <c r="GG237" i="1" s="1"/>
  <c r="FZ237" i="1"/>
  <c r="GA237" i="1" s="1"/>
  <c r="GB237" i="1" s="1"/>
  <c r="FU237" i="1"/>
  <c r="FV237" i="1" s="1"/>
  <c r="FW237" i="1" s="1"/>
  <c r="FP237" i="1"/>
  <c r="FQ237" i="1" s="1"/>
  <c r="FR237" i="1" s="1"/>
  <c r="FK237" i="1"/>
  <c r="FL237" i="1" s="1"/>
  <c r="FM237" i="1" s="1"/>
  <c r="FF237" i="1"/>
  <c r="FG237" i="1" s="1"/>
  <c r="FH237" i="1" s="1"/>
  <c r="FA237" i="1"/>
  <c r="FB237" i="1" s="1"/>
  <c r="FC237" i="1" s="1"/>
  <c r="EV237" i="1"/>
  <c r="EW237" i="1" s="1"/>
  <c r="EX237" i="1" s="1"/>
  <c r="EQ237" i="1"/>
  <c r="ER237" i="1" s="1"/>
  <c r="ES237" i="1" s="1"/>
  <c r="EL237" i="1"/>
  <c r="EM237" i="1" s="1"/>
  <c r="EN237" i="1" s="1"/>
  <c r="EE237" i="1"/>
  <c r="EF237" i="1" s="1"/>
  <c r="EG237" i="1" s="1"/>
  <c r="DZ237" i="1"/>
  <c r="EA237" i="1" s="1"/>
  <c r="EB237" i="1" s="1"/>
  <c r="DU237" i="1"/>
  <c r="DV237" i="1" s="1"/>
  <c r="DW237" i="1" s="1"/>
  <c r="DP237" i="1"/>
  <c r="DQ237" i="1" s="1"/>
  <c r="DR237" i="1" s="1"/>
  <c r="DK237" i="1"/>
  <c r="DL237" i="1" s="1"/>
  <c r="DM237" i="1" s="1"/>
  <c r="DF237" i="1"/>
  <c r="DG237" i="1" s="1"/>
  <c r="DH237" i="1" s="1"/>
  <c r="DA237" i="1"/>
  <c r="DB237" i="1" s="1"/>
  <c r="DC237" i="1" s="1"/>
  <c r="CV237" i="1"/>
  <c r="CW237" i="1" s="1"/>
  <c r="CX237" i="1" s="1"/>
  <c r="CQ237" i="1"/>
  <c r="CR237" i="1" s="1"/>
  <c r="CS237" i="1" s="1"/>
  <c r="CL237" i="1"/>
  <c r="CM237" i="1" s="1"/>
  <c r="CN237" i="1" s="1"/>
  <c r="CG237" i="1"/>
  <c r="CH237" i="1" s="1"/>
  <c r="CI237" i="1" s="1"/>
  <c r="CA237" i="1"/>
  <c r="CB237" i="1" s="1"/>
  <c r="CC237" i="1" s="1"/>
  <c r="BV237" i="1"/>
  <c r="BW237" i="1" s="1"/>
  <c r="BX237" i="1" s="1"/>
  <c r="BQ237" i="1"/>
  <c r="BR237" i="1" s="1"/>
  <c r="BS237" i="1" s="1"/>
  <c r="BL237" i="1"/>
  <c r="BM237" i="1" s="1"/>
  <c r="BN237" i="1" s="1"/>
  <c r="BG237" i="1"/>
  <c r="BH237" i="1" s="1"/>
  <c r="BI237" i="1" s="1"/>
  <c r="BB237" i="1"/>
  <c r="BC237" i="1" s="1"/>
  <c r="BD237" i="1" s="1"/>
  <c r="AW237" i="1"/>
  <c r="AX237" i="1" s="1"/>
  <c r="AY237" i="1" s="1"/>
  <c r="AR237" i="1"/>
  <c r="AS237" i="1" s="1"/>
  <c r="AT237" i="1" s="1"/>
  <c r="AM237" i="1"/>
  <c r="AN237" i="1" s="1"/>
  <c r="AO237" i="1" s="1"/>
  <c r="AH237" i="1"/>
  <c r="AI237" i="1" s="1"/>
  <c r="AJ237" i="1" s="1"/>
  <c r="AE237" i="1"/>
  <c r="W237" i="1"/>
  <c r="X237" i="1" s="1"/>
  <c r="Y237" i="1" s="1"/>
  <c r="S237" i="1"/>
  <c r="N237" i="1"/>
  <c r="G237" i="1"/>
  <c r="H237" i="1" s="1"/>
  <c r="I237" i="1" s="1"/>
  <c r="NZ236" i="1"/>
  <c r="NU236" i="1"/>
  <c r="NP236" i="1"/>
  <c r="NK236" i="1"/>
  <c r="NF236" i="1"/>
  <c r="NA236" i="1"/>
  <c r="MV236" i="1"/>
  <c r="MQ236" i="1"/>
  <c r="MM236" i="1"/>
  <c r="MI236" i="1"/>
  <c r="MD236" i="1"/>
  <c r="LY236" i="1"/>
  <c r="LT236" i="1"/>
  <c r="LO236" i="1"/>
  <c r="LJ236" i="1"/>
  <c r="LE236" i="1"/>
  <c r="KZ236" i="1"/>
  <c r="KV236" i="1"/>
  <c r="KQ236" i="1"/>
  <c r="KM236" i="1"/>
  <c r="KI236" i="1"/>
  <c r="KE236" i="1"/>
  <c r="JY236" i="1"/>
  <c r="JZ236" i="1" s="1"/>
  <c r="KA236" i="1" s="1"/>
  <c r="JV236" i="1"/>
  <c r="JQ236" i="1"/>
  <c r="JM236" i="1"/>
  <c r="JI236" i="1"/>
  <c r="JD236" i="1"/>
  <c r="IY236" i="1"/>
  <c r="IT236" i="1"/>
  <c r="IO236" i="1"/>
  <c r="IJ236" i="1"/>
  <c r="IE236" i="1"/>
  <c r="HZ236" i="1"/>
  <c r="HU236" i="1"/>
  <c r="HP236" i="1"/>
  <c r="HK236" i="1"/>
  <c r="HF236" i="1"/>
  <c r="HA236" i="1"/>
  <c r="GV236" i="1"/>
  <c r="GQ236" i="1"/>
  <c r="GL236" i="1"/>
  <c r="GG236" i="1"/>
  <c r="GB236" i="1"/>
  <c r="FW236" i="1"/>
  <c r="FR236" i="1"/>
  <c r="FM236" i="1"/>
  <c r="FH236" i="1"/>
  <c r="FC236" i="1"/>
  <c r="EX236" i="1"/>
  <c r="ES236" i="1"/>
  <c r="EN236" i="1"/>
  <c r="EG236" i="1"/>
  <c r="EB236" i="1"/>
  <c r="DW236" i="1"/>
  <c r="DR236" i="1"/>
  <c r="DM236" i="1"/>
  <c r="DH236" i="1"/>
  <c r="DC236" i="1"/>
  <c r="CX236" i="1"/>
  <c r="CS236" i="1"/>
  <c r="CN236" i="1"/>
  <c r="CI236" i="1"/>
  <c r="CC236" i="1"/>
  <c r="BX236" i="1"/>
  <c r="BS236" i="1"/>
  <c r="BN236" i="1"/>
  <c r="BI236" i="1"/>
  <c r="BD236" i="1"/>
  <c r="AY236" i="1"/>
  <c r="AT236" i="1"/>
  <c r="AO236" i="1"/>
  <c r="AJ236" i="1"/>
  <c r="AE236" i="1"/>
  <c r="Y236" i="1"/>
  <c r="S236" i="1"/>
  <c r="N236" i="1"/>
  <c r="I236" i="1"/>
  <c r="NZ235" i="1"/>
  <c r="NU235" i="1"/>
  <c r="NP235" i="1"/>
  <c r="NK235" i="1"/>
  <c r="NF235" i="1"/>
  <c r="NA235" i="1"/>
  <c r="MV235" i="1"/>
  <c r="MQ235" i="1"/>
  <c r="MM235" i="1"/>
  <c r="MI235" i="1"/>
  <c r="MD235" i="1"/>
  <c r="LY235" i="1"/>
  <c r="LT235" i="1"/>
  <c r="LO235" i="1"/>
  <c r="LJ235" i="1"/>
  <c r="LE235" i="1"/>
  <c r="KZ235" i="1"/>
  <c r="KV235" i="1"/>
  <c r="KQ235" i="1"/>
  <c r="KM235" i="1"/>
  <c r="KI235" i="1"/>
  <c r="KE235" i="1"/>
  <c r="KA235" i="1"/>
  <c r="JV235" i="1"/>
  <c r="JQ235" i="1"/>
  <c r="JM235" i="1"/>
  <c r="JI235" i="1"/>
  <c r="JD235" i="1"/>
  <c r="IY235" i="1"/>
  <c r="IT235" i="1"/>
  <c r="IO235" i="1"/>
  <c r="IJ235" i="1"/>
  <c r="IE235" i="1"/>
  <c r="HZ235" i="1"/>
  <c r="HU235" i="1"/>
  <c r="HP235" i="1"/>
  <c r="HK235" i="1"/>
  <c r="HF235" i="1"/>
  <c r="HA235" i="1"/>
  <c r="GV235" i="1"/>
  <c r="GQ235" i="1"/>
  <c r="GL235" i="1"/>
  <c r="GG235" i="1"/>
  <c r="GB235" i="1"/>
  <c r="FW235" i="1"/>
  <c r="FR235" i="1"/>
  <c r="FM235" i="1"/>
  <c r="FH235" i="1"/>
  <c r="FC235" i="1"/>
  <c r="EX235" i="1"/>
  <c r="ES235" i="1"/>
  <c r="EN235" i="1"/>
  <c r="EG235" i="1"/>
  <c r="EB235" i="1"/>
  <c r="DW235" i="1"/>
  <c r="DR235" i="1"/>
  <c r="DM235" i="1"/>
  <c r="DH235" i="1"/>
  <c r="DC235" i="1"/>
  <c r="CX235" i="1"/>
  <c r="CS235" i="1"/>
  <c r="CN235" i="1"/>
  <c r="CI235" i="1"/>
  <c r="CC235" i="1"/>
  <c r="BX235" i="1"/>
  <c r="BS235" i="1"/>
  <c r="BN235" i="1"/>
  <c r="BI235" i="1"/>
  <c r="BD235" i="1"/>
  <c r="AY235" i="1"/>
  <c r="AT235" i="1"/>
  <c r="AO235" i="1"/>
  <c r="AJ235" i="1"/>
  <c r="AE235" i="1"/>
  <c r="W235" i="1"/>
  <c r="X235" i="1" s="1"/>
  <c r="Y235" i="1" s="1"/>
  <c r="S235" i="1"/>
  <c r="N235" i="1"/>
  <c r="I235" i="1"/>
  <c r="NZ234" i="1"/>
  <c r="NU234" i="1"/>
  <c r="NP234" i="1"/>
  <c r="NK234" i="1"/>
  <c r="NF234" i="1"/>
  <c r="NA234" i="1"/>
  <c r="MV234" i="1"/>
  <c r="MQ234" i="1"/>
  <c r="MM234" i="1"/>
  <c r="MI234" i="1"/>
  <c r="MD234" i="1"/>
  <c r="LY234" i="1"/>
  <c r="LT234" i="1"/>
  <c r="LO234" i="1"/>
  <c r="LJ234" i="1"/>
  <c r="LE234" i="1"/>
  <c r="KZ234" i="1"/>
  <c r="KV234" i="1"/>
  <c r="KQ234" i="1"/>
  <c r="KM234" i="1"/>
  <c r="KI234" i="1"/>
  <c r="KE234" i="1"/>
  <c r="JY234" i="1"/>
  <c r="JZ234" i="1" s="1"/>
  <c r="KA234" i="1" s="1"/>
  <c r="JV234" i="1"/>
  <c r="JQ234" i="1"/>
  <c r="JM234" i="1"/>
  <c r="JI234" i="1"/>
  <c r="JD234" i="1"/>
  <c r="IY234" i="1"/>
  <c r="IT234" i="1"/>
  <c r="IO234" i="1"/>
  <c r="IJ234" i="1"/>
  <c r="IE234" i="1"/>
  <c r="HZ234" i="1"/>
  <c r="HU234" i="1"/>
  <c r="HP234" i="1"/>
  <c r="HK234" i="1"/>
  <c r="HF234" i="1"/>
  <c r="HA234" i="1"/>
  <c r="GV234" i="1"/>
  <c r="GQ234" i="1"/>
  <c r="GL234" i="1"/>
  <c r="GG234" i="1"/>
  <c r="GB234" i="1"/>
  <c r="FW234" i="1"/>
  <c r="FR234" i="1"/>
  <c r="FM234" i="1"/>
  <c r="FH234" i="1"/>
  <c r="FC234" i="1"/>
  <c r="EX234" i="1"/>
  <c r="ES234" i="1"/>
  <c r="EN234" i="1"/>
  <c r="EG234" i="1"/>
  <c r="EB234" i="1"/>
  <c r="DW234" i="1"/>
  <c r="DR234" i="1"/>
  <c r="DM234" i="1"/>
  <c r="DH234" i="1"/>
  <c r="DC234" i="1"/>
  <c r="CX234" i="1"/>
  <c r="CS234" i="1"/>
  <c r="CN234" i="1"/>
  <c r="CI234" i="1"/>
  <c r="CC234" i="1"/>
  <c r="BX234" i="1"/>
  <c r="BS234" i="1"/>
  <c r="BN234" i="1"/>
  <c r="BI234" i="1"/>
  <c r="BD234" i="1"/>
  <c r="AY234" i="1"/>
  <c r="AT234" i="1"/>
  <c r="AO234" i="1"/>
  <c r="AJ234" i="1"/>
  <c r="AE234" i="1"/>
  <c r="Y234" i="1"/>
  <c r="S234" i="1"/>
  <c r="N234" i="1"/>
  <c r="I234" i="1"/>
  <c r="NZ233" i="1"/>
  <c r="NU233" i="1"/>
  <c r="NP233" i="1"/>
  <c r="NK233" i="1"/>
  <c r="NF233" i="1"/>
  <c r="NA233" i="1"/>
  <c r="MV233" i="1"/>
  <c r="MQ233" i="1"/>
  <c r="MM233" i="1"/>
  <c r="MI233" i="1"/>
  <c r="MD233" i="1"/>
  <c r="LY233" i="1"/>
  <c r="LT233" i="1"/>
  <c r="LO233" i="1"/>
  <c r="LJ233" i="1"/>
  <c r="LE233" i="1"/>
  <c r="KZ233" i="1"/>
  <c r="KV233" i="1"/>
  <c r="KQ233" i="1"/>
  <c r="KM233" i="1"/>
  <c r="KI233" i="1"/>
  <c r="KE233" i="1"/>
  <c r="JY233" i="1"/>
  <c r="JZ233" i="1" s="1"/>
  <c r="KA233" i="1" s="1"/>
  <c r="JT233" i="1"/>
  <c r="JU233" i="1" s="1"/>
  <c r="JV233" i="1" s="1"/>
  <c r="JQ233" i="1"/>
  <c r="JK233" i="1"/>
  <c r="JL233" i="1" s="1"/>
  <c r="JM233" i="1" s="1"/>
  <c r="JG233" i="1"/>
  <c r="JH233" i="1" s="1"/>
  <c r="JI233" i="1" s="1"/>
  <c r="JD233" i="1"/>
  <c r="IY233" i="1"/>
  <c r="IT233" i="1"/>
  <c r="IO233" i="1"/>
  <c r="IJ233" i="1"/>
  <c r="IE233" i="1"/>
  <c r="HZ233" i="1"/>
  <c r="HU233" i="1"/>
  <c r="HP233" i="1"/>
  <c r="HK233" i="1"/>
  <c r="HF233" i="1"/>
  <c r="HA233" i="1"/>
  <c r="GV233" i="1"/>
  <c r="GQ233" i="1"/>
  <c r="GL233" i="1"/>
  <c r="GG233" i="1"/>
  <c r="GB233" i="1"/>
  <c r="FW233" i="1"/>
  <c r="FR233" i="1"/>
  <c r="FM233" i="1"/>
  <c r="FH233" i="1"/>
  <c r="FC233" i="1"/>
  <c r="EX233" i="1"/>
  <c r="ES233" i="1"/>
  <c r="EN233" i="1"/>
  <c r="EG233" i="1"/>
  <c r="EB233" i="1"/>
  <c r="DW233" i="1"/>
  <c r="DR233" i="1"/>
  <c r="DM233" i="1"/>
  <c r="DH233" i="1"/>
  <c r="DC233" i="1"/>
  <c r="CX233" i="1"/>
  <c r="CS233" i="1"/>
  <c r="CN233" i="1"/>
  <c r="CI233" i="1"/>
  <c r="CC233" i="1"/>
  <c r="BX233" i="1"/>
  <c r="BS233" i="1"/>
  <c r="BN233" i="1"/>
  <c r="BI233" i="1"/>
  <c r="BD233" i="1"/>
  <c r="AY233" i="1"/>
  <c r="AT233" i="1"/>
  <c r="AO233" i="1"/>
  <c r="AJ233" i="1"/>
  <c r="AE233" i="1"/>
  <c r="Y233" i="1"/>
  <c r="S233" i="1"/>
  <c r="N233" i="1"/>
  <c r="I233" i="1"/>
  <c r="NZ232" i="1"/>
  <c r="NU232" i="1"/>
  <c r="NP232" i="1"/>
  <c r="NK232" i="1"/>
  <c r="NF232" i="1"/>
  <c r="NA232" i="1"/>
  <c r="MV232" i="1"/>
  <c r="MQ232" i="1"/>
  <c r="MM232" i="1"/>
  <c r="MI232" i="1"/>
  <c r="MD232" i="1"/>
  <c r="LY232" i="1"/>
  <c r="LT232" i="1"/>
  <c r="LO232" i="1"/>
  <c r="LJ232" i="1"/>
  <c r="LE232" i="1"/>
  <c r="KZ232" i="1"/>
  <c r="KV232" i="1"/>
  <c r="KQ232" i="1"/>
  <c r="KM232" i="1"/>
  <c r="KI232" i="1"/>
  <c r="KE232" i="1"/>
  <c r="KA232" i="1"/>
  <c r="JV232" i="1"/>
  <c r="JQ232" i="1"/>
  <c r="JM232" i="1"/>
  <c r="JI232" i="1"/>
  <c r="JD232" i="1"/>
  <c r="IY232" i="1"/>
  <c r="IT232" i="1"/>
  <c r="IO232" i="1"/>
  <c r="IJ232" i="1"/>
  <c r="IE232" i="1"/>
  <c r="HZ232" i="1"/>
  <c r="HU232" i="1"/>
  <c r="HP232" i="1"/>
  <c r="HK232" i="1"/>
  <c r="HF232" i="1"/>
  <c r="HA232" i="1"/>
  <c r="GV232" i="1"/>
  <c r="GQ232" i="1"/>
  <c r="GJ232" i="1"/>
  <c r="GK232" i="1" s="1"/>
  <c r="GL232" i="1" s="1"/>
  <c r="GE232" i="1"/>
  <c r="GF232" i="1" s="1"/>
  <c r="GG232" i="1" s="1"/>
  <c r="GB232" i="1"/>
  <c r="FW232" i="1"/>
  <c r="FP232" i="1"/>
  <c r="FQ232" i="1" s="1"/>
  <c r="FR232" i="1" s="1"/>
  <c r="FM232" i="1"/>
  <c r="FF232" i="1"/>
  <c r="FG232" i="1" s="1"/>
  <c r="FH232" i="1" s="1"/>
  <c r="FC232" i="1"/>
  <c r="EX232" i="1"/>
  <c r="ES232" i="1"/>
  <c r="EL232" i="1"/>
  <c r="EM232" i="1" s="1"/>
  <c r="EN232" i="1" s="1"/>
  <c r="EE232" i="1"/>
  <c r="EF232" i="1" s="1"/>
  <c r="EG232" i="1" s="1"/>
  <c r="DZ232" i="1"/>
  <c r="EA232" i="1" s="1"/>
  <c r="EB232" i="1" s="1"/>
  <c r="DU232" i="1"/>
  <c r="DV232" i="1" s="1"/>
  <c r="DW232" i="1" s="1"/>
  <c r="DP232" i="1"/>
  <c r="DQ232" i="1" s="1"/>
  <c r="DR232" i="1" s="1"/>
  <c r="DK232" i="1"/>
  <c r="DL232" i="1" s="1"/>
  <c r="DM232" i="1" s="1"/>
  <c r="DF232" i="1"/>
  <c r="DG232" i="1" s="1"/>
  <c r="DH232" i="1" s="1"/>
  <c r="DA232" i="1"/>
  <c r="DB232" i="1" s="1"/>
  <c r="DC232" i="1" s="1"/>
  <c r="CV232" i="1"/>
  <c r="CW232" i="1" s="1"/>
  <c r="CX232" i="1" s="1"/>
  <c r="CQ232" i="1"/>
  <c r="CR232" i="1" s="1"/>
  <c r="CS232" i="1" s="1"/>
  <c r="CL232" i="1"/>
  <c r="CM232" i="1" s="1"/>
  <c r="CN232" i="1" s="1"/>
  <c r="CG232" i="1"/>
  <c r="CH232" i="1" s="1"/>
  <c r="CI232" i="1" s="1"/>
  <c r="CA232" i="1"/>
  <c r="CB232" i="1" s="1"/>
  <c r="CC232" i="1" s="1"/>
  <c r="BV232" i="1"/>
  <c r="BW232" i="1" s="1"/>
  <c r="BX232" i="1" s="1"/>
  <c r="BQ232" i="1"/>
  <c r="BR232" i="1" s="1"/>
  <c r="BS232" i="1" s="1"/>
  <c r="BL232" i="1"/>
  <c r="BM232" i="1" s="1"/>
  <c r="BN232" i="1" s="1"/>
  <c r="BG232" i="1"/>
  <c r="BH232" i="1" s="1"/>
  <c r="BI232" i="1" s="1"/>
  <c r="BB232" i="1"/>
  <c r="BC232" i="1" s="1"/>
  <c r="BD232" i="1" s="1"/>
  <c r="AW232" i="1"/>
  <c r="AX232" i="1" s="1"/>
  <c r="AY232" i="1" s="1"/>
  <c r="AR232" i="1"/>
  <c r="AS232" i="1" s="1"/>
  <c r="AT232" i="1" s="1"/>
  <c r="AM232" i="1"/>
  <c r="AN232" i="1" s="1"/>
  <c r="AO232" i="1" s="1"/>
  <c r="AH232" i="1"/>
  <c r="AI232" i="1" s="1"/>
  <c r="AJ232" i="1" s="1"/>
  <c r="AE232" i="1"/>
  <c r="Y232" i="1"/>
  <c r="S232" i="1"/>
  <c r="N232" i="1"/>
  <c r="I232" i="1"/>
  <c r="NZ231" i="1"/>
  <c r="NU231" i="1"/>
  <c r="NP231" i="1"/>
  <c r="NK231" i="1"/>
  <c r="NF231" i="1"/>
  <c r="NA231" i="1"/>
  <c r="MV231" i="1"/>
  <c r="MQ231" i="1"/>
  <c r="MM231" i="1"/>
  <c r="MI231" i="1"/>
  <c r="MD231" i="1"/>
  <c r="LY231" i="1"/>
  <c r="LT231" i="1"/>
  <c r="LO231" i="1"/>
  <c r="LJ231" i="1"/>
  <c r="LE231" i="1"/>
  <c r="KZ231" i="1"/>
  <c r="KV231" i="1"/>
  <c r="KQ231" i="1"/>
  <c r="KM231" i="1"/>
  <c r="KI231" i="1"/>
  <c r="KE231" i="1"/>
  <c r="KA231" i="1"/>
  <c r="JV231" i="1"/>
  <c r="JQ231" i="1"/>
  <c r="JM231" i="1"/>
  <c r="JI231" i="1"/>
  <c r="JD231" i="1"/>
  <c r="IY231" i="1"/>
  <c r="IT231" i="1"/>
  <c r="IO231" i="1"/>
  <c r="IJ231" i="1"/>
  <c r="IE231" i="1"/>
  <c r="HZ231" i="1"/>
  <c r="HU231" i="1"/>
  <c r="HP231" i="1"/>
  <c r="HK231" i="1"/>
  <c r="HF231" i="1"/>
  <c r="HA231" i="1"/>
  <c r="GV231" i="1"/>
  <c r="GQ231" i="1"/>
  <c r="GL231" i="1"/>
  <c r="GG231" i="1"/>
  <c r="GB231" i="1"/>
  <c r="FW231" i="1"/>
  <c r="FR231" i="1"/>
  <c r="FM231" i="1"/>
  <c r="FH231" i="1"/>
  <c r="FC231" i="1"/>
  <c r="EX231" i="1"/>
  <c r="ES231" i="1"/>
  <c r="EN231" i="1"/>
  <c r="EG231" i="1"/>
  <c r="EB231" i="1"/>
  <c r="DW231" i="1"/>
  <c r="DR231" i="1"/>
  <c r="DM231" i="1"/>
  <c r="DH231" i="1"/>
  <c r="DC231" i="1"/>
  <c r="CX231" i="1"/>
  <c r="CS231" i="1"/>
  <c r="CN231" i="1"/>
  <c r="CI231" i="1"/>
  <c r="CC231" i="1"/>
  <c r="BX231" i="1"/>
  <c r="BS231" i="1"/>
  <c r="BN231" i="1"/>
  <c r="BI231" i="1"/>
  <c r="BD231" i="1"/>
  <c r="AY231" i="1"/>
  <c r="AT231" i="1"/>
  <c r="AO231" i="1"/>
  <c r="AJ231" i="1"/>
  <c r="AE231" i="1"/>
  <c r="Y231" i="1"/>
  <c r="S231" i="1"/>
  <c r="N231" i="1"/>
  <c r="I231" i="1"/>
  <c r="NZ230" i="1"/>
  <c r="NU230" i="1"/>
  <c r="NP230" i="1"/>
  <c r="NI230" i="1"/>
  <c r="NJ230" i="1" s="1"/>
  <c r="NK230" i="1" s="1"/>
  <c r="ND230" i="1"/>
  <c r="NE230" i="1" s="1"/>
  <c r="NF230" i="1" s="1"/>
  <c r="MY230" i="1"/>
  <c r="MZ230" i="1" s="1"/>
  <c r="NA230" i="1" s="1"/>
  <c r="MT230" i="1"/>
  <c r="MU230" i="1" s="1"/>
  <c r="MV230" i="1" s="1"/>
  <c r="MQ230" i="1"/>
  <c r="MM230" i="1"/>
  <c r="MI230" i="1"/>
  <c r="MD230" i="1"/>
  <c r="LY230" i="1"/>
  <c r="LT230" i="1"/>
  <c r="LO230" i="1"/>
  <c r="LJ230" i="1"/>
  <c r="LE230" i="1"/>
  <c r="KX230" i="1"/>
  <c r="KY230" i="1" s="1"/>
  <c r="KZ230" i="1" s="1"/>
  <c r="KV230" i="1"/>
  <c r="KO230" i="1"/>
  <c r="KP230" i="1" s="1"/>
  <c r="KQ230" i="1" s="1"/>
  <c r="KK230" i="1"/>
  <c r="KL230" i="1" s="1"/>
  <c r="KM230" i="1" s="1"/>
  <c r="KI230" i="1"/>
  <c r="KC230" i="1"/>
  <c r="KD230" i="1" s="1"/>
  <c r="KE230" i="1" s="1"/>
  <c r="KA230" i="1"/>
  <c r="JV230" i="1"/>
  <c r="JQ230" i="1"/>
  <c r="JM230" i="1"/>
  <c r="JI230" i="1"/>
  <c r="JD230" i="1"/>
  <c r="IY230" i="1"/>
  <c r="IT230" i="1"/>
  <c r="IO230" i="1"/>
  <c r="IJ230" i="1"/>
  <c r="IE230" i="1"/>
  <c r="HZ230" i="1"/>
  <c r="HU230" i="1"/>
  <c r="HP230" i="1"/>
  <c r="HK230" i="1"/>
  <c r="HF230" i="1"/>
  <c r="HA230" i="1"/>
  <c r="GV230" i="1"/>
  <c r="GO230" i="1"/>
  <c r="GP230" i="1" s="1"/>
  <c r="GQ230" i="1" s="1"/>
  <c r="GJ230" i="1"/>
  <c r="GK230" i="1" s="1"/>
  <c r="GL230" i="1" s="1"/>
  <c r="GG230" i="1"/>
  <c r="GE230" i="1"/>
  <c r="GB230" i="1"/>
  <c r="FZ230" i="1"/>
  <c r="FU230" i="1"/>
  <c r="FV230" i="1" s="1"/>
  <c r="FW230" i="1" s="1"/>
  <c r="FR230" i="1"/>
  <c r="FP230" i="1"/>
  <c r="FK230" i="1"/>
  <c r="FL230" i="1" s="1"/>
  <c r="FM230" i="1" s="1"/>
  <c r="FH230" i="1"/>
  <c r="FF230" i="1"/>
  <c r="FC230" i="1"/>
  <c r="FA230" i="1"/>
  <c r="EV230" i="1"/>
  <c r="EW230" i="1" s="1"/>
  <c r="EX230" i="1" s="1"/>
  <c r="EQ230" i="1"/>
  <c r="ER230" i="1" s="1"/>
  <c r="ES230" i="1" s="1"/>
  <c r="EL230" i="1"/>
  <c r="EM230" i="1" s="1"/>
  <c r="EN230" i="1" s="1"/>
  <c r="EE230" i="1"/>
  <c r="EF230" i="1" s="1"/>
  <c r="EG230" i="1" s="1"/>
  <c r="DZ230" i="1"/>
  <c r="EA230" i="1" s="1"/>
  <c r="EB230" i="1" s="1"/>
  <c r="DU230" i="1"/>
  <c r="DV230" i="1" s="1"/>
  <c r="DW230" i="1" s="1"/>
  <c r="DP230" i="1"/>
  <c r="DQ230" i="1" s="1"/>
  <c r="DR230" i="1" s="1"/>
  <c r="DK230" i="1"/>
  <c r="DL230" i="1" s="1"/>
  <c r="DM230" i="1" s="1"/>
  <c r="DF230" i="1"/>
  <c r="DG230" i="1" s="1"/>
  <c r="DH230" i="1" s="1"/>
  <c r="DA230" i="1"/>
  <c r="DB230" i="1" s="1"/>
  <c r="DC230" i="1" s="1"/>
  <c r="CV230" i="1"/>
  <c r="CW230" i="1" s="1"/>
  <c r="CX230" i="1" s="1"/>
  <c r="CQ230" i="1"/>
  <c r="CR230" i="1" s="1"/>
  <c r="CS230" i="1" s="1"/>
  <c r="CL230" i="1"/>
  <c r="CM230" i="1" s="1"/>
  <c r="CN230" i="1" s="1"/>
  <c r="CG230" i="1"/>
  <c r="CH230" i="1" s="1"/>
  <c r="CI230" i="1" s="1"/>
  <c r="CA230" i="1"/>
  <c r="CB230" i="1" s="1"/>
  <c r="CC230" i="1" s="1"/>
  <c r="BV230" i="1"/>
  <c r="BW230" i="1" s="1"/>
  <c r="BX230" i="1" s="1"/>
  <c r="BQ230" i="1"/>
  <c r="BR230" i="1" s="1"/>
  <c r="BS230" i="1" s="1"/>
  <c r="BL230" i="1"/>
  <c r="BM230" i="1" s="1"/>
  <c r="BN230" i="1" s="1"/>
  <c r="BG230" i="1"/>
  <c r="BH230" i="1" s="1"/>
  <c r="BI230" i="1" s="1"/>
  <c r="BB230" i="1"/>
  <c r="BC230" i="1" s="1"/>
  <c r="BD230" i="1" s="1"/>
  <c r="AW230" i="1"/>
  <c r="AX230" i="1" s="1"/>
  <c r="AY230" i="1" s="1"/>
  <c r="AR230" i="1"/>
  <c r="AS230" i="1" s="1"/>
  <c r="AT230" i="1" s="1"/>
  <c r="AM230" i="1"/>
  <c r="AN230" i="1" s="1"/>
  <c r="AO230" i="1" s="1"/>
  <c r="AH230" i="1"/>
  <c r="AI230" i="1" s="1"/>
  <c r="AJ230" i="1" s="1"/>
  <c r="AE230" i="1"/>
  <c r="W230" i="1"/>
  <c r="X230" i="1" s="1"/>
  <c r="Y230" i="1" s="1"/>
  <c r="S230" i="1"/>
  <c r="N230" i="1"/>
  <c r="I230" i="1"/>
  <c r="NZ229" i="1"/>
  <c r="NU229" i="1"/>
  <c r="NP229" i="1"/>
  <c r="NK229" i="1"/>
  <c r="NF229" i="1"/>
  <c r="NA229" i="1"/>
  <c r="MV229" i="1"/>
  <c r="MQ229" i="1"/>
  <c r="MM229" i="1"/>
  <c r="MI229" i="1"/>
  <c r="MD229" i="1"/>
  <c r="LY229" i="1"/>
  <c r="LT229" i="1"/>
  <c r="LO229" i="1"/>
  <c r="LJ229" i="1"/>
  <c r="LE229" i="1"/>
  <c r="KZ229" i="1"/>
  <c r="KV229" i="1"/>
  <c r="KQ229" i="1"/>
  <c r="KM229" i="1"/>
  <c r="KI229" i="1"/>
  <c r="KE229" i="1"/>
  <c r="KA229" i="1"/>
  <c r="JV229" i="1"/>
  <c r="JQ229" i="1"/>
  <c r="JM229" i="1"/>
  <c r="JI229" i="1"/>
  <c r="JD229" i="1"/>
  <c r="IY229" i="1"/>
  <c r="IT229" i="1"/>
  <c r="IO229" i="1"/>
  <c r="IJ229" i="1"/>
  <c r="IE229" i="1"/>
  <c r="HZ229" i="1"/>
  <c r="HU229" i="1"/>
  <c r="HP229" i="1"/>
  <c r="HK229" i="1"/>
  <c r="HF229" i="1"/>
  <c r="HA229" i="1"/>
  <c r="GV229" i="1"/>
  <c r="GQ229" i="1"/>
  <c r="GL229" i="1"/>
  <c r="GG229" i="1"/>
  <c r="GB229" i="1"/>
  <c r="FW229" i="1"/>
  <c r="FR229" i="1"/>
  <c r="FM229" i="1"/>
  <c r="FH229" i="1"/>
  <c r="FC229" i="1"/>
  <c r="EX229" i="1"/>
  <c r="ES229" i="1"/>
  <c r="EN229" i="1"/>
  <c r="EG229" i="1"/>
  <c r="EB229" i="1"/>
  <c r="DW229" i="1"/>
  <c r="DR229" i="1"/>
  <c r="DM229" i="1"/>
  <c r="DH229" i="1"/>
  <c r="DC229" i="1"/>
  <c r="CX229" i="1"/>
  <c r="CS229" i="1"/>
  <c r="CN229" i="1"/>
  <c r="CI229" i="1"/>
  <c r="CC229" i="1"/>
  <c r="BX229" i="1"/>
  <c r="BS229" i="1"/>
  <c r="BN229" i="1"/>
  <c r="BI229" i="1"/>
  <c r="BD229" i="1"/>
  <c r="AY229" i="1"/>
  <c r="AT229" i="1"/>
  <c r="AO229" i="1"/>
  <c r="AJ229" i="1"/>
  <c r="AE229" i="1"/>
  <c r="Y229" i="1"/>
  <c r="S229" i="1"/>
  <c r="N229" i="1"/>
  <c r="I229" i="1"/>
  <c r="NZ228" i="1"/>
  <c r="NU228" i="1"/>
  <c r="NP228" i="1"/>
  <c r="NK228" i="1"/>
  <c r="NF228" i="1"/>
  <c r="NA228" i="1"/>
  <c r="MV228" i="1"/>
  <c r="MQ228" i="1"/>
  <c r="MM228" i="1"/>
  <c r="MI228" i="1"/>
  <c r="MD228" i="1"/>
  <c r="LY228" i="1"/>
  <c r="LT228" i="1"/>
  <c r="LO228" i="1"/>
  <c r="LJ228" i="1"/>
  <c r="LE228" i="1"/>
  <c r="KZ228" i="1"/>
  <c r="KV228" i="1"/>
  <c r="KQ228" i="1"/>
  <c r="KM228" i="1"/>
  <c r="KI228" i="1"/>
  <c r="KE228" i="1"/>
  <c r="KA228" i="1"/>
  <c r="JV228" i="1"/>
  <c r="JQ228" i="1"/>
  <c r="JM228" i="1"/>
  <c r="JI228" i="1"/>
  <c r="JD228" i="1"/>
  <c r="IY228" i="1"/>
  <c r="IT228" i="1"/>
  <c r="IO228" i="1"/>
  <c r="IJ228" i="1"/>
  <c r="IE228" i="1"/>
  <c r="HZ228" i="1"/>
  <c r="HU228" i="1"/>
  <c r="HP228" i="1"/>
  <c r="HK228" i="1"/>
  <c r="HF228" i="1"/>
  <c r="HA228" i="1"/>
  <c r="GV228" i="1"/>
  <c r="GQ228" i="1"/>
  <c r="GL228" i="1"/>
  <c r="GG228" i="1"/>
  <c r="GB228" i="1"/>
  <c r="FW228" i="1"/>
  <c r="FR228" i="1"/>
  <c r="FM228" i="1"/>
  <c r="FH228" i="1"/>
  <c r="FC228" i="1"/>
  <c r="EX228" i="1"/>
  <c r="ES228" i="1"/>
  <c r="EN228" i="1"/>
  <c r="EG228" i="1"/>
  <c r="EB228" i="1"/>
  <c r="DW228" i="1"/>
  <c r="DR228" i="1"/>
  <c r="DM228" i="1"/>
  <c r="DH228" i="1"/>
  <c r="DC228" i="1"/>
  <c r="CX228" i="1"/>
  <c r="CS228" i="1"/>
  <c r="CN228" i="1"/>
  <c r="CI228" i="1"/>
  <c r="CC228" i="1"/>
  <c r="BX228" i="1"/>
  <c r="BS228" i="1"/>
  <c r="BN228" i="1"/>
  <c r="BI228" i="1"/>
  <c r="BD228" i="1"/>
  <c r="AY228" i="1"/>
  <c r="AT228" i="1"/>
  <c r="AO228" i="1"/>
  <c r="AJ228" i="1"/>
  <c r="AE228" i="1"/>
  <c r="Y228" i="1"/>
  <c r="S228" i="1"/>
  <c r="N228" i="1"/>
  <c r="I228" i="1"/>
  <c r="NZ227" i="1"/>
  <c r="NU227" i="1"/>
  <c r="NP227" i="1"/>
  <c r="NK227" i="1"/>
  <c r="NF227" i="1"/>
  <c r="NA227" i="1"/>
  <c r="MV227" i="1"/>
  <c r="MQ227" i="1"/>
  <c r="MM227" i="1"/>
  <c r="MI227" i="1"/>
  <c r="MD227" i="1"/>
  <c r="LY227" i="1"/>
  <c r="LT227" i="1"/>
  <c r="LO227" i="1"/>
  <c r="LJ227" i="1"/>
  <c r="LE227" i="1"/>
  <c r="KZ227" i="1"/>
  <c r="KV227" i="1"/>
  <c r="KQ227" i="1"/>
  <c r="KM227" i="1"/>
  <c r="KI227" i="1"/>
  <c r="KE227" i="1"/>
  <c r="JY227" i="1"/>
  <c r="JZ227" i="1" s="1"/>
  <c r="KA227" i="1" s="1"/>
  <c r="JV227" i="1"/>
  <c r="JQ227" i="1"/>
  <c r="JM227" i="1"/>
  <c r="JI227" i="1"/>
  <c r="JD227" i="1"/>
  <c r="IY227" i="1"/>
  <c r="IT227" i="1"/>
  <c r="IO227" i="1"/>
  <c r="IJ227" i="1"/>
  <c r="IE227" i="1"/>
  <c r="HZ227" i="1"/>
  <c r="HU227" i="1"/>
  <c r="HP227" i="1"/>
  <c r="HK227" i="1"/>
  <c r="HF227" i="1"/>
  <c r="HA227" i="1"/>
  <c r="GV227" i="1"/>
  <c r="GQ227" i="1"/>
  <c r="GL227" i="1"/>
  <c r="GG227" i="1"/>
  <c r="GB227" i="1"/>
  <c r="FW227" i="1"/>
  <c r="FR227" i="1"/>
  <c r="FM227" i="1"/>
  <c r="FH227" i="1"/>
  <c r="FC227" i="1"/>
  <c r="EX227" i="1"/>
  <c r="ES227" i="1"/>
  <c r="EN227" i="1"/>
  <c r="EG227" i="1"/>
  <c r="EB227" i="1"/>
  <c r="DW227" i="1"/>
  <c r="DR227" i="1"/>
  <c r="DM227" i="1"/>
  <c r="DH227" i="1"/>
  <c r="DC227" i="1"/>
  <c r="CX227" i="1"/>
  <c r="CS227" i="1"/>
  <c r="CN227" i="1"/>
  <c r="CI227" i="1"/>
  <c r="CC227" i="1"/>
  <c r="BX227" i="1"/>
  <c r="BS227" i="1"/>
  <c r="BN227" i="1"/>
  <c r="BI227" i="1"/>
  <c r="BD227" i="1"/>
  <c r="AY227" i="1"/>
  <c r="AT227" i="1"/>
  <c r="AO227" i="1"/>
  <c r="AJ227" i="1"/>
  <c r="AE227" i="1"/>
  <c r="Y227" i="1"/>
  <c r="S227" i="1"/>
  <c r="N227" i="1"/>
  <c r="I227" i="1"/>
  <c r="NZ226" i="1"/>
  <c r="NU226" i="1"/>
  <c r="NP226" i="1"/>
  <c r="NK226" i="1"/>
  <c r="NF226" i="1"/>
  <c r="NA226" i="1"/>
  <c r="MV226" i="1"/>
  <c r="MQ226" i="1"/>
  <c r="MM226" i="1"/>
  <c r="MI226" i="1"/>
  <c r="MD226" i="1"/>
  <c r="LY226" i="1"/>
  <c r="LT226" i="1"/>
  <c r="LO226" i="1"/>
  <c r="LJ226" i="1"/>
  <c r="LE226" i="1"/>
  <c r="KZ226" i="1"/>
  <c r="KV226" i="1"/>
  <c r="KQ226" i="1"/>
  <c r="KM226" i="1"/>
  <c r="KI226" i="1"/>
  <c r="KE226" i="1"/>
  <c r="JY226" i="1"/>
  <c r="JZ226" i="1" s="1"/>
  <c r="KA226" i="1" s="1"/>
  <c r="JV226" i="1"/>
  <c r="JQ226" i="1"/>
  <c r="JM226" i="1"/>
  <c r="JI226" i="1"/>
  <c r="JD226" i="1"/>
  <c r="IY226" i="1"/>
  <c r="IT226" i="1"/>
  <c r="IO226" i="1"/>
  <c r="IJ226" i="1"/>
  <c r="IE226" i="1"/>
  <c r="HZ226" i="1"/>
  <c r="HU226" i="1"/>
  <c r="HP226" i="1"/>
  <c r="HK226" i="1"/>
  <c r="HF226" i="1"/>
  <c r="HA226" i="1"/>
  <c r="GV226" i="1"/>
  <c r="GQ226" i="1"/>
  <c r="GL226" i="1"/>
  <c r="GG226" i="1"/>
  <c r="GB226" i="1"/>
  <c r="FW226" i="1"/>
  <c r="FR226" i="1"/>
  <c r="FM226" i="1"/>
  <c r="FH226" i="1"/>
  <c r="FC226" i="1"/>
  <c r="EX226" i="1"/>
  <c r="ES226" i="1"/>
  <c r="EN226" i="1"/>
  <c r="EG226" i="1"/>
  <c r="EB226" i="1"/>
  <c r="DW226" i="1"/>
  <c r="DR226" i="1"/>
  <c r="DM226" i="1"/>
  <c r="DH226" i="1"/>
  <c r="DC226" i="1"/>
  <c r="CX226" i="1"/>
  <c r="CS226" i="1"/>
  <c r="CN226" i="1"/>
  <c r="CI226" i="1"/>
  <c r="CC226" i="1"/>
  <c r="BX226" i="1"/>
  <c r="BS226" i="1"/>
  <c r="BN226" i="1"/>
  <c r="BI226" i="1"/>
  <c r="BD226" i="1"/>
  <c r="AY226" i="1"/>
  <c r="AT226" i="1"/>
  <c r="AO226" i="1"/>
  <c r="AJ226" i="1"/>
  <c r="AE226" i="1"/>
  <c r="Y226" i="1"/>
  <c r="S226" i="1"/>
  <c r="N226" i="1"/>
  <c r="I226" i="1"/>
  <c r="NZ225" i="1"/>
  <c r="NU225" i="1"/>
  <c r="NP225" i="1"/>
  <c r="NK225" i="1"/>
  <c r="NF225" i="1"/>
  <c r="NA225" i="1"/>
  <c r="MV225" i="1"/>
  <c r="MQ225" i="1"/>
  <c r="MM225" i="1"/>
  <c r="MI225" i="1"/>
  <c r="MD225" i="1"/>
  <c r="LY225" i="1"/>
  <c r="LT225" i="1"/>
  <c r="LO225" i="1"/>
  <c r="LJ225" i="1"/>
  <c r="LE225" i="1"/>
  <c r="KZ225" i="1"/>
  <c r="KV225" i="1"/>
  <c r="KQ225" i="1"/>
  <c r="KM225" i="1"/>
  <c r="KI225" i="1"/>
  <c r="KE225" i="1"/>
  <c r="KA225" i="1"/>
  <c r="JV225" i="1"/>
  <c r="JQ225" i="1"/>
  <c r="JM225" i="1"/>
  <c r="JI225" i="1"/>
  <c r="JD225" i="1"/>
  <c r="IY225" i="1"/>
  <c r="IT225" i="1"/>
  <c r="IO225" i="1"/>
  <c r="IJ225" i="1"/>
  <c r="IE225" i="1"/>
  <c r="HZ225" i="1"/>
  <c r="HU225" i="1"/>
  <c r="HP225" i="1"/>
  <c r="HK225" i="1"/>
  <c r="HF225" i="1"/>
  <c r="HA225" i="1"/>
  <c r="GV225" i="1"/>
  <c r="GQ225" i="1"/>
  <c r="GL225" i="1"/>
  <c r="GG225" i="1"/>
  <c r="GB225" i="1"/>
  <c r="FW225" i="1"/>
  <c r="FR225" i="1"/>
  <c r="FM225" i="1"/>
  <c r="FH225" i="1"/>
  <c r="FC225" i="1"/>
  <c r="EX225" i="1"/>
  <c r="ES225" i="1"/>
  <c r="EN225" i="1"/>
  <c r="EG225" i="1"/>
  <c r="EB225" i="1"/>
  <c r="DW225" i="1"/>
  <c r="DR225" i="1"/>
  <c r="DM225" i="1"/>
  <c r="DH225" i="1"/>
  <c r="DC225" i="1"/>
  <c r="CX225" i="1"/>
  <c r="CS225" i="1"/>
  <c r="CN225" i="1"/>
  <c r="CI225" i="1"/>
  <c r="CC225" i="1"/>
  <c r="BX225" i="1"/>
  <c r="BS225" i="1"/>
  <c r="BN225" i="1"/>
  <c r="BI225" i="1"/>
  <c r="BD225" i="1"/>
  <c r="AY225" i="1"/>
  <c r="AT225" i="1"/>
  <c r="AO225" i="1"/>
  <c r="AJ225" i="1"/>
  <c r="AE225" i="1"/>
  <c r="Y225" i="1"/>
  <c r="S225" i="1"/>
  <c r="N225" i="1"/>
  <c r="I225" i="1"/>
  <c r="NZ224" i="1"/>
  <c r="NU224" i="1"/>
  <c r="NP224" i="1"/>
  <c r="NK224" i="1"/>
  <c r="NF224" i="1"/>
  <c r="NA224" i="1"/>
  <c r="MV224" i="1"/>
  <c r="MQ224" i="1"/>
  <c r="MM224" i="1"/>
  <c r="MI224" i="1"/>
  <c r="MD224" i="1"/>
  <c r="LY224" i="1"/>
  <c r="LT224" i="1"/>
  <c r="LO224" i="1"/>
  <c r="LJ224" i="1"/>
  <c r="LE224" i="1"/>
  <c r="KZ224" i="1"/>
  <c r="KV224" i="1"/>
  <c r="KQ224" i="1"/>
  <c r="KM224" i="1"/>
  <c r="KI224" i="1"/>
  <c r="KE224" i="1"/>
  <c r="KA224" i="1"/>
  <c r="JV224" i="1"/>
  <c r="JQ224" i="1"/>
  <c r="JM224" i="1"/>
  <c r="JI224" i="1"/>
  <c r="JD224" i="1"/>
  <c r="IY224" i="1"/>
  <c r="IT224" i="1"/>
  <c r="IO224" i="1"/>
  <c r="IJ224" i="1"/>
  <c r="IE224" i="1"/>
  <c r="HZ224" i="1"/>
  <c r="HU224" i="1"/>
  <c r="HP224" i="1"/>
  <c r="HK224" i="1"/>
  <c r="HF224" i="1"/>
  <c r="HA224" i="1"/>
  <c r="GV224" i="1"/>
  <c r="GQ224" i="1"/>
  <c r="GL224" i="1"/>
  <c r="GG224" i="1"/>
  <c r="GB224" i="1"/>
  <c r="FW224" i="1"/>
  <c r="FR224" i="1"/>
  <c r="FM224" i="1"/>
  <c r="FH224" i="1"/>
  <c r="FC224" i="1"/>
  <c r="EX224" i="1"/>
  <c r="ES224" i="1"/>
  <c r="EN224" i="1"/>
  <c r="EG224" i="1"/>
  <c r="EB224" i="1"/>
  <c r="DW224" i="1"/>
  <c r="DR224" i="1"/>
  <c r="DM224" i="1"/>
  <c r="DH224" i="1"/>
  <c r="DC224" i="1"/>
  <c r="CX224" i="1"/>
  <c r="CS224" i="1"/>
  <c r="CN224" i="1"/>
  <c r="CI224" i="1"/>
  <c r="CC224" i="1"/>
  <c r="BX224" i="1"/>
  <c r="BS224" i="1"/>
  <c r="BN224" i="1"/>
  <c r="BI224" i="1"/>
  <c r="BD224" i="1"/>
  <c r="AY224" i="1"/>
  <c r="AT224" i="1"/>
  <c r="AO224" i="1"/>
  <c r="AJ224" i="1"/>
  <c r="AE224" i="1"/>
  <c r="Y224" i="1"/>
  <c r="S224" i="1"/>
  <c r="N224" i="1"/>
  <c r="I224" i="1"/>
  <c r="NZ223" i="1"/>
  <c r="NU223" i="1"/>
  <c r="NP223" i="1"/>
  <c r="NK223" i="1"/>
  <c r="NF223" i="1"/>
  <c r="NA223" i="1"/>
  <c r="MV223" i="1"/>
  <c r="MQ223" i="1"/>
  <c r="MM223" i="1"/>
  <c r="MI223" i="1"/>
  <c r="MD223" i="1"/>
  <c r="LY223" i="1"/>
  <c r="LT223" i="1"/>
  <c r="LO223" i="1"/>
  <c r="LJ223" i="1"/>
  <c r="LE223" i="1"/>
  <c r="KZ223" i="1"/>
  <c r="KV223" i="1"/>
  <c r="KQ223" i="1"/>
  <c r="KM223" i="1"/>
  <c r="KI223" i="1"/>
  <c r="KE223" i="1"/>
  <c r="JY223" i="1"/>
  <c r="JZ223" i="1" s="1"/>
  <c r="KA223" i="1" s="1"/>
  <c r="JT223" i="1"/>
  <c r="JU223" i="1" s="1"/>
  <c r="JV223" i="1" s="1"/>
  <c r="JQ223" i="1"/>
  <c r="JK223" i="1"/>
  <c r="JL223" i="1" s="1"/>
  <c r="JM223" i="1" s="1"/>
  <c r="JG223" i="1"/>
  <c r="JH223" i="1" s="1"/>
  <c r="JI223" i="1" s="1"/>
  <c r="JD223" i="1"/>
  <c r="IY223" i="1"/>
  <c r="IT223" i="1"/>
  <c r="IO223" i="1"/>
  <c r="IJ223" i="1"/>
  <c r="IE223" i="1"/>
  <c r="HZ223" i="1"/>
  <c r="HU223" i="1"/>
  <c r="HP223" i="1"/>
  <c r="HK223" i="1"/>
  <c r="HF223" i="1"/>
  <c r="HA223" i="1"/>
  <c r="GV223" i="1"/>
  <c r="GQ223" i="1"/>
  <c r="GL223" i="1"/>
  <c r="GG223" i="1"/>
  <c r="GB223" i="1"/>
  <c r="FW223" i="1"/>
  <c r="FR223" i="1"/>
  <c r="FM223" i="1"/>
  <c r="FH223" i="1"/>
  <c r="FC223" i="1"/>
  <c r="EX223" i="1"/>
  <c r="ES223" i="1"/>
  <c r="EN223" i="1"/>
  <c r="EG223" i="1"/>
  <c r="EB223" i="1"/>
  <c r="DW223" i="1"/>
  <c r="DR223" i="1"/>
  <c r="DM223" i="1"/>
  <c r="DH223" i="1"/>
  <c r="DC223" i="1"/>
  <c r="CX223" i="1"/>
  <c r="CS223" i="1"/>
  <c r="CN223" i="1"/>
  <c r="CI223" i="1"/>
  <c r="CC223" i="1"/>
  <c r="BX223" i="1"/>
  <c r="BS223" i="1"/>
  <c r="BN223" i="1"/>
  <c r="BI223" i="1"/>
  <c r="BD223" i="1"/>
  <c r="AY223" i="1"/>
  <c r="AT223" i="1"/>
  <c r="AO223" i="1"/>
  <c r="AJ223" i="1"/>
  <c r="AE223" i="1"/>
  <c r="Y223" i="1"/>
  <c r="S223" i="1"/>
  <c r="N223" i="1"/>
  <c r="I223" i="1"/>
  <c r="NZ222" i="1"/>
  <c r="NU222" i="1"/>
  <c r="NP222" i="1"/>
  <c r="NK222" i="1"/>
  <c r="NF222" i="1"/>
  <c r="NA222" i="1"/>
  <c r="MV222" i="1"/>
  <c r="MQ222" i="1"/>
  <c r="MM222" i="1"/>
  <c r="MI222" i="1"/>
  <c r="MD222" i="1"/>
  <c r="LY222" i="1"/>
  <c r="LT222" i="1"/>
  <c r="LO222" i="1"/>
  <c r="LJ222" i="1"/>
  <c r="LE222" i="1"/>
  <c r="KZ222" i="1"/>
  <c r="KV222" i="1"/>
  <c r="KQ222" i="1"/>
  <c r="KM222" i="1"/>
  <c r="KI222" i="1"/>
  <c r="KE222" i="1"/>
  <c r="KA222" i="1"/>
  <c r="JV222" i="1"/>
  <c r="JQ222" i="1"/>
  <c r="JM222" i="1"/>
  <c r="JI222" i="1"/>
  <c r="JD222" i="1"/>
  <c r="IY222" i="1"/>
  <c r="IT222" i="1"/>
  <c r="IO222" i="1"/>
  <c r="IJ222" i="1"/>
  <c r="IE222" i="1"/>
  <c r="HZ222" i="1"/>
  <c r="HU222" i="1"/>
  <c r="HP222" i="1"/>
  <c r="HK222" i="1"/>
  <c r="HF222" i="1"/>
  <c r="HA222" i="1"/>
  <c r="GV222" i="1"/>
  <c r="GQ222" i="1"/>
  <c r="GL222" i="1"/>
  <c r="GG222" i="1"/>
  <c r="GB222" i="1"/>
  <c r="FW222" i="1"/>
  <c r="FR222" i="1"/>
  <c r="FM222" i="1"/>
  <c r="FH222" i="1"/>
  <c r="FC222" i="1"/>
  <c r="EX222" i="1"/>
  <c r="ES222" i="1"/>
  <c r="EN222" i="1"/>
  <c r="EG222" i="1"/>
  <c r="EB222" i="1"/>
  <c r="DW222" i="1"/>
  <c r="DR222" i="1"/>
  <c r="DM222" i="1"/>
  <c r="DH222" i="1"/>
  <c r="DC222" i="1"/>
  <c r="CX222" i="1"/>
  <c r="CS222" i="1"/>
  <c r="CN222" i="1"/>
  <c r="CI222" i="1"/>
  <c r="CC222" i="1"/>
  <c r="BX222" i="1"/>
  <c r="BS222" i="1"/>
  <c r="BN222" i="1"/>
  <c r="BI222" i="1"/>
  <c r="BD222" i="1"/>
  <c r="AY222" i="1"/>
  <c r="AT222" i="1"/>
  <c r="AO222" i="1"/>
  <c r="AJ222" i="1"/>
  <c r="AE222" i="1"/>
  <c r="Y222" i="1"/>
  <c r="S222" i="1"/>
  <c r="N222" i="1"/>
  <c r="I222" i="1"/>
  <c r="NZ221" i="1"/>
  <c r="NU221" i="1"/>
  <c r="NP221" i="1"/>
  <c r="NK221" i="1"/>
  <c r="NF221" i="1"/>
  <c r="NA221" i="1"/>
  <c r="MV221" i="1"/>
  <c r="MQ221" i="1"/>
  <c r="MM221" i="1"/>
  <c r="MI221" i="1"/>
  <c r="MD221" i="1"/>
  <c r="LY221" i="1"/>
  <c r="LT221" i="1"/>
  <c r="LO221" i="1"/>
  <c r="LJ221" i="1"/>
  <c r="LE221" i="1"/>
  <c r="KZ221" i="1"/>
  <c r="KV221" i="1"/>
  <c r="KQ221" i="1"/>
  <c r="KM221" i="1"/>
  <c r="KI221" i="1"/>
  <c r="KE221" i="1"/>
  <c r="JY221" i="1"/>
  <c r="JZ221" i="1" s="1"/>
  <c r="KA221" i="1" s="1"/>
  <c r="JV221" i="1"/>
  <c r="JQ221" i="1"/>
  <c r="JM221" i="1"/>
  <c r="JI221" i="1"/>
  <c r="JD221" i="1"/>
  <c r="IY221" i="1"/>
  <c r="IT221" i="1"/>
  <c r="IO221" i="1"/>
  <c r="IJ221" i="1"/>
  <c r="IE221" i="1"/>
  <c r="HZ221" i="1"/>
  <c r="HU221" i="1"/>
  <c r="HP221" i="1"/>
  <c r="HK221" i="1"/>
  <c r="HF221" i="1"/>
  <c r="HA221" i="1"/>
  <c r="GV221" i="1"/>
  <c r="GQ221" i="1"/>
  <c r="GL221" i="1"/>
  <c r="GG221" i="1"/>
  <c r="GB221" i="1"/>
  <c r="FW221" i="1"/>
  <c r="FR221" i="1"/>
  <c r="FM221" i="1"/>
  <c r="FH221" i="1"/>
  <c r="FC221" i="1"/>
  <c r="EX221" i="1"/>
  <c r="ES221" i="1"/>
  <c r="EN221" i="1"/>
  <c r="EG221" i="1"/>
  <c r="EB221" i="1"/>
  <c r="DW221" i="1"/>
  <c r="DR221" i="1"/>
  <c r="DM221" i="1"/>
  <c r="DH221" i="1"/>
  <c r="DC221" i="1"/>
  <c r="CX221" i="1"/>
  <c r="CS221" i="1"/>
  <c r="CN221" i="1"/>
  <c r="CI221" i="1"/>
  <c r="CC221" i="1"/>
  <c r="BX221" i="1"/>
  <c r="BS221" i="1"/>
  <c r="BN221" i="1"/>
  <c r="BI221" i="1"/>
  <c r="BD221" i="1"/>
  <c r="AY221" i="1"/>
  <c r="AT221" i="1"/>
  <c r="AO221" i="1"/>
  <c r="AJ221" i="1"/>
  <c r="AE221" i="1"/>
  <c r="Y221" i="1"/>
  <c r="S221" i="1"/>
  <c r="N221" i="1"/>
  <c r="I221" i="1"/>
  <c r="NZ220" i="1"/>
  <c r="NU220" i="1"/>
  <c r="NP220" i="1"/>
  <c r="NK220" i="1"/>
  <c r="NF220" i="1"/>
  <c r="NA220" i="1"/>
  <c r="MV220" i="1"/>
  <c r="MQ220" i="1"/>
  <c r="MM220" i="1"/>
  <c r="MI220" i="1"/>
  <c r="MD220" i="1"/>
  <c r="LY220" i="1"/>
  <c r="LT220" i="1"/>
  <c r="LO220" i="1"/>
  <c r="LJ220" i="1"/>
  <c r="LE220" i="1"/>
  <c r="KZ220" i="1"/>
  <c r="KV220" i="1"/>
  <c r="KQ220" i="1"/>
  <c r="KM220" i="1"/>
  <c r="KI220" i="1"/>
  <c r="KE220" i="1"/>
  <c r="JY220" i="1"/>
  <c r="JZ220" i="1" s="1"/>
  <c r="KA220" i="1" s="1"/>
  <c r="JV220" i="1"/>
  <c r="JQ220" i="1"/>
  <c r="JM220" i="1"/>
  <c r="JI220" i="1"/>
  <c r="JD220" i="1"/>
  <c r="IY220" i="1"/>
  <c r="IT220" i="1"/>
  <c r="IO220" i="1"/>
  <c r="IJ220" i="1"/>
  <c r="IE220" i="1"/>
  <c r="HZ220" i="1"/>
  <c r="HU220" i="1"/>
  <c r="HP220" i="1"/>
  <c r="HK220" i="1"/>
  <c r="HF220" i="1"/>
  <c r="HA220" i="1"/>
  <c r="GV220" i="1"/>
  <c r="GO220" i="1"/>
  <c r="GP220" i="1" s="1"/>
  <c r="GQ220" i="1" s="1"/>
  <c r="GJ220" i="1"/>
  <c r="GK220" i="1" s="1"/>
  <c r="GL220" i="1" s="1"/>
  <c r="GE220" i="1"/>
  <c r="GF220" i="1" s="1"/>
  <c r="GG220" i="1" s="1"/>
  <c r="FZ220" i="1"/>
  <c r="GA220" i="1" s="1"/>
  <c r="GB220" i="1" s="1"/>
  <c r="FU220" i="1"/>
  <c r="FV220" i="1" s="1"/>
  <c r="FW220" i="1" s="1"/>
  <c r="FP220" i="1"/>
  <c r="FQ220" i="1" s="1"/>
  <c r="FR220" i="1" s="1"/>
  <c r="FK220" i="1"/>
  <c r="FL220" i="1" s="1"/>
  <c r="FM220" i="1" s="1"/>
  <c r="FF220" i="1"/>
  <c r="FG220" i="1" s="1"/>
  <c r="FH220" i="1" s="1"/>
  <c r="FA220" i="1"/>
  <c r="FB220" i="1" s="1"/>
  <c r="FC220" i="1" s="1"/>
  <c r="EV220" i="1"/>
  <c r="EW220" i="1" s="1"/>
  <c r="EX220" i="1" s="1"/>
  <c r="EQ220" i="1"/>
  <c r="ER220" i="1" s="1"/>
  <c r="ES220" i="1" s="1"/>
  <c r="EL220" i="1"/>
  <c r="EM220" i="1" s="1"/>
  <c r="EN220" i="1" s="1"/>
  <c r="EE220" i="1"/>
  <c r="EF220" i="1" s="1"/>
  <c r="EG220" i="1" s="1"/>
  <c r="DZ220" i="1"/>
  <c r="EA220" i="1" s="1"/>
  <c r="EB220" i="1" s="1"/>
  <c r="DU220" i="1"/>
  <c r="DV220" i="1" s="1"/>
  <c r="DW220" i="1" s="1"/>
  <c r="DP220" i="1"/>
  <c r="DQ220" i="1" s="1"/>
  <c r="DR220" i="1" s="1"/>
  <c r="DK220" i="1"/>
  <c r="DL220" i="1" s="1"/>
  <c r="DM220" i="1" s="1"/>
  <c r="DF220" i="1"/>
  <c r="DG220" i="1" s="1"/>
  <c r="DH220" i="1" s="1"/>
  <c r="DA220" i="1"/>
  <c r="DB220" i="1" s="1"/>
  <c r="DC220" i="1" s="1"/>
  <c r="CV220" i="1"/>
  <c r="CW220" i="1" s="1"/>
  <c r="CX220" i="1" s="1"/>
  <c r="CQ220" i="1"/>
  <c r="CR220" i="1" s="1"/>
  <c r="CS220" i="1" s="1"/>
  <c r="CL220" i="1"/>
  <c r="CM220" i="1" s="1"/>
  <c r="CN220" i="1" s="1"/>
  <c r="CI220" i="1"/>
  <c r="CA220" i="1"/>
  <c r="CB220" i="1" s="1"/>
  <c r="CC220" i="1" s="1"/>
  <c r="BV220" i="1"/>
  <c r="BW220" i="1" s="1"/>
  <c r="BX220" i="1" s="1"/>
  <c r="BQ220" i="1"/>
  <c r="BR220" i="1" s="1"/>
  <c r="BS220" i="1" s="1"/>
  <c r="BL220" i="1"/>
  <c r="BM220" i="1" s="1"/>
  <c r="BN220" i="1" s="1"/>
  <c r="BG220" i="1"/>
  <c r="BH220" i="1" s="1"/>
  <c r="BI220" i="1" s="1"/>
  <c r="BB220" i="1"/>
  <c r="BC220" i="1" s="1"/>
  <c r="BD220" i="1" s="1"/>
  <c r="AW220" i="1"/>
  <c r="AX220" i="1" s="1"/>
  <c r="AY220" i="1" s="1"/>
  <c r="AR220" i="1"/>
  <c r="AS220" i="1" s="1"/>
  <c r="AT220" i="1" s="1"/>
  <c r="AM220" i="1"/>
  <c r="AN220" i="1" s="1"/>
  <c r="AO220" i="1" s="1"/>
  <c r="AH220" i="1"/>
  <c r="AI220" i="1" s="1"/>
  <c r="AJ220" i="1" s="1"/>
  <c r="AE220" i="1"/>
  <c r="W220" i="1"/>
  <c r="X220" i="1" s="1"/>
  <c r="Y220" i="1" s="1"/>
  <c r="S220" i="1"/>
  <c r="N220" i="1"/>
  <c r="I220" i="1"/>
  <c r="NZ219" i="1"/>
  <c r="NU219" i="1"/>
  <c r="NP219" i="1"/>
  <c r="NK219" i="1"/>
  <c r="NF219" i="1"/>
  <c r="NA219" i="1"/>
  <c r="MV219" i="1"/>
  <c r="MQ219" i="1"/>
  <c r="MM219" i="1"/>
  <c r="MI219" i="1"/>
  <c r="MD219" i="1"/>
  <c r="LY219" i="1"/>
  <c r="LT219" i="1"/>
  <c r="LO219" i="1"/>
  <c r="LJ219" i="1"/>
  <c r="LE219" i="1"/>
  <c r="KZ219" i="1"/>
  <c r="KV219" i="1"/>
  <c r="KQ219" i="1"/>
  <c r="KM219" i="1"/>
  <c r="KI219" i="1"/>
  <c r="KE219" i="1"/>
  <c r="KA219" i="1"/>
  <c r="JV219" i="1"/>
  <c r="JQ219" i="1"/>
  <c r="JM219" i="1"/>
  <c r="JI219" i="1"/>
  <c r="JD219" i="1"/>
  <c r="IY219" i="1"/>
  <c r="IT219" i="1"/>
  <c r="IO219" i="1"/>
  <c r="IJ219" i="1"/>
  <c r="IE219" i="1"/>
  <c r="HZ219" i="1"/>
  <c r="HU219" i="1"/>
  <c r="HP219" i="1"/>
  <c r="HK219" i="1"/>
  <c r="HF219" i="1"/>
  <c r="HA219" i="1"/>
  <c r="GV219" i="1"/>
  <c r="GQ219" i="1"/>
  <c r="GL219" i="1"/>
  <c r="GG219" i="1"/>
  <c r="GB219" i="1"/>
  <c r="FW219" i="1"/>
  <c r="FR219" i="1"/>
  <c r="FM219" i="1"/>
  <c r="FH219" i="1"/>
  <c r="FC219" i="1"/>
  <c r="EX219" i="1"/>
  <c r="ES219" i="1"/>
  <c r="EN219" i="1"/>
  <c r="EG219" i="1"/>
  <c r="EB219" i="1"/>
  <c r="DW219" i="1"/>
  <c r="DR219" i="1"/>
  <c r="DM219" i="1"/>
  <c r="DH219" i="1"/>
  <c r="DC219" i="1"/>
  <c r="CX219" i="1"/>
  <c r="CS219" i="1"/>
  <c r="CN219" i="1"/>
  <c r="CI219" i="1"/>
  <c r="CC219" i="1"/>
  <c r="BX219" i="1"/>
  <c r="BS219" i="1"/>
  <c r="BN219" i="1"/>
  <c r="BI219" i="1"/>
  <c r="BD219" i="1"/>
  <c r="AY219" i="1"/>
  <c r="AT219" i="1"/>
  <c r="AO219" i="1"/>
  <c r="AJ219" i="1"/>
  <c r="AE219" i="1"/>
  <c r="Y219" i="1"/>
  <c r="S219" i="1"/>
  <c r="N219" i="1"/>
  <c r="I219" i="1"/>
  <c r="NZ218" i="1"/>
  <c r="NU218" i="1"/>
  <c r="NP218" i="1"/>
  <c r="NK218" i="1"/>
  <c r="NF218" i="1"/>
  <c r="NA218" i="1"/>
  <c r="MV218" i="1"/>
  <c r="MQ218" i="1"/>
  <c r="MM218" i="1"/>
  <c r="MI218" i="1"/>
  <c r="MD218" i="1"/>
  <c r="LY218" i="1"/>
  <c r="LT218" i="1"/>
  <c r="LO218" i="1"/>
  <c r="LJ218" i="1"/>
  <c r="LE218" i="1"/>
  <c r="KZ218" i="1"/>
  <c r="KV218" i="1"/>
  <c r="KQ218" i="1"/>
  <c r="KM218" i="1"/>
  <c r="KI218" i="1"/>
  <c r="KE218" i="1"/>
  <c r="JY218" i="1"/>
  <c r="JZ218" i="1" s="1"/>
  <c r="KA218" i="1" s="1"/>
  <c r="JV218" i="1"/>
  <c r="JQ218" i="1"/>
  <c r="JM218" i="1"/>
  <c r="JI218" i="1"/>
  <c r="JD218" i="1"/>
  <c r="IY218" i="1"/>
  <c r="IT218" i="1"/>
  <c r="IO218" i="1"/>
  <c r="IJ218" i="1"/>
  <c r="IE218" i="1"/>
  <c r="HZ218" i="1"/>
  <c r="HU218" i="1"/>
  <c r="HP218" i="1"/>
  <c r="HK218" i="1"/>
  <c r="HF218" i="1"/>
  <c r="HA218" i="1"/>
  <c r="GV218" i="1"/>
  <c r="GQ218" i="1"/>
  <c r="GL218" i="1"/>
  <c r="GG218" i="1"/>
  <c r="GB218" i="1"/>
  <c r="FW218" i="1"/>
  <c r="FR218" i="1"/>
  <c r="FM218" i="1"/>
  <c r="FH218" i="1"/>
  <c r="FC218" i="1"/>
  <c r="EX218" i="1"/>
  <c r="ES218" i="1"/>
  <c r="EN218" i="1"/>
  <c r="EG218" i="1"/>
  <c r="EB218" i="1"/>
  <c r="DW218" i="1"/>
  <c r="DR218" i="1"/>
  <c r="DM218" i="1"/>
  <c r="DH218" i="1"/>
  <c r="DC218" i="1"/>
  <c r="CX218" i="1"/>
  <c r="CS218" i="1"/>
  <c r="CN218" i="1"/>
  <c r="CI218" i="1"/>
  <c r="CC218" i="1"/>
  <c r="BX218" i="1"/>
  <c r="BS218" i="1"/>
  <c r="BN218" i="1"/>
  <c r="BI218" i="1"/>
  <c r="BD218" i="1"/>
  <c r="AY218" i="1"/>
  <c r="AT218" i="1"/>
  <c r="AO218" i="1"/>
  <c r="AJ218" i="1"/>
  <c r="AE218" i="1"/>
  <c r="Y218" i="1"/>
  <c r="S218" i="1"/>
  <c r="N218" i="1"/>
  <c r="I218" i="1"/>
  <c r="NZ217" i="1"/>
  <c r="NU217" i="1"/>
  <c r="NP217" i="1"/>
  <c r="NK217" i="1"/>
  <c r="NF217" i="1"/>
  <c r="NA217" i="1"/>
  <c r="MV217" i="1"/>
  <c r="MQ217" i="1"/>
  <c r="MM217" i="1"/>
  <c r="MI217" i="1"/>
  <c r="MD217" i="1"/>
  <c r="LY217" i="1"/>
  <c r="LT217" i="1"/>
  <c r="LO217" i="1"/>
  <c r="LJ217" i="1"/>
  <c r="LE217" i="1"/>
  <c r="KZ217" i="1"/>
  <c r="KV217" i="1"/>
  <c r="KQ217" i="1"/>
  <c r="KM217" i="1"/>
  <c r="KI217" i="1"/>
  <c r="KE217" i="1"/>
  <c r="KA217" i="1"/>
  <c r="JV217" i="1"/>
  <c r="JQ217" i="1"/>
  <c r="JM217" i="1"/>
  <c r="JI217" i="1"/>
  <c r="JD217" i="1"/>
  <c r="IY217" i="1"/>
  <c r="IT217" i="1"/>
  <c r="IO217" i="1"/>
  <c r="IJ217" i="1"/>
  <c r="IE217" i="1"/>
  <c r="HZ217" i="1"/>
  <c r="HU217" i="1"/>
  <c r="HP217" i="1"/>
  <c r="HK217" i="1"/>
  <c r="HF217" i="1"/>
  <c r="HA217" i="1"/>
  <c r="GV217" i="1"/>
  <c r="GQ217" i="1"/>
  <c r="GL217" i="1"/>
  <c r="GG217" i="1"/>
  <c r="GB217" i="1"/>
  <c r="FW217" i="1"/>
  <c r="FR217" i="1"/>
  <c r="FM217" i="1"/>
  <c r="FH217" i="1"/>
  <c r="FC217" i="1"/>
  <c r="EX217" i="1"/>
  <c r="ES217" i="1"/>
  <c r="EN217" i="1"/>
  <c r="EG217" i="1"/>
  <c r="EB217" i="1"/>
  <c r="DW217" i="1"/>
  <c r="DR217" i="1"/>
  <c r="DM217" i="1"/>
  <c r="DH217" i="1"/>
  <c r="DC217" i="1"/>
  <c r="CX217" i="1"/>
  <c r="CS217" i="1"/>
  <c r="CN217" i="1"/>
  <c r="CI217" i="1"/>
  <c r="CC217" i="1"/>
  <c r="BX217" i="1"/>
  <c r="BS217" i="1"/>
  <c r="BN217" i="1"/>
  <c r="BI217" i="1"/>
  <c r="BD217" i="1"/>
  <c r="AY217" i="1"/>
  <c r="AT217" i="1"/>
  <c r="AO217" i="1"/>
  <c r="AJ217" i="1"/>
  <c r="AE217" i="1"/>
  <c r="Y217" i="1"/>
  <c r="S217" i="1"/>
  <c r="N217" i="1"/>
  <c r="I217" i="1"/>
  <c r="NZ216" i="1"/>
  <c r="NU216" i="1"/>
  <c r="NP216" i="1"/>
  <c r="NK216" i="1"/>
  <c r="NF216" i="1"/>
  <c r="NA216" i="1"/>
  <c r="MV216" i="1"/>
  <c r="MQ216" i="1"/>
  <c r="MM216" i="1"/>
  <c r="MI216" i="1"/>
  <c r="MD216" i="1"/>
  <c r="LY216" i="1"/>
  <c r="LT216" i="1"/>
  <c r="LO216" i="1"/>
  <c r="LJ216" i="1"/>
  <c r="LE216" i="1"/>
  <c r="KZ216" i="1"/>
  <c r="KV216" i="1"/>
  <c r="KQ216" i="1"/>
  <c r="KM216" i="1"/>
  <c r="KI216" i="1"/>
  <c r="KE216" i="1"/>
  <c r="JY216" i="1"/>
  <c r="JZ216" i="1" s="1"/>
  <c r="KA216" i="1" s="1"/>
  <c r="JV216" i="1"/>
  <c r="JQ216" i="1"/>
  <c r="JM216" i="1"/>
  <c r="JI216" i="1"/>
  <c r="JD216" i="1"/>
  <c r="IY216" i="1"/>
  <c r="IT216" i="1"/>
  <c r="IO216" i="1"/>
  <c r="IJ216" i="1"/>
  <c r="IE216" i="1"/>
  <c r="HZ216" i="1"/>
  <c r="HU216" i="1"/>
  <c r="HP216" i="1"/>
  <c r="HK216" i="1"/>
  <c r="HF216" i="1"/>
  <c r="HA216" i="1"/>
  <c r="GV216" i="1"/>
  <c r="GQ216" i="1"/>
  <c r="GL216" i="1"/>
  <c r="GG216" i="1"/>
  <c r="GB216" i="1"/>
  <c r="FW216" i="1"/>
  <c r="FR216" i="1"/>
  <c r="FM216" i="1"/>
  <c r="FH216" i="1"/>
  <c r="FC216" i="1"/>
  <c r="EX216" i="1"/>
  <c r="ES216" i="1"/>
  <c r="EN216" i="1"/>
  <c r="EG216" i="1"/>
  <c r="EB216" i="1"/>
  <c r="DW216" i="1"/>
  <c r="DR216" i="1"/>
  <c r="DM216" i="1"/>
  <c r="DH216" i="1"/>
  <c r="DC216" i="1"/>
  <c r="CX216" i="1"/>
  <c r="CS216" i="1"/>
  <c r="CN216" i="1"/>
  <c r="CI216" i="1"/>
  <c r="CC216" i="1"/>
  <c r="BX216" i="1"/>
  <c r="BS216" i="1"/>
  <c r="BN216" i="1"/>
  <c r="BI216" i="1"/>
  <c r="BD216" i="1"/>
  <c r="AY216" i="1"/>
  <c r="AT216" i="1"/>
  <c r="AO216" i="1"/>
  <c r="AJ216" i="1"/>
  <c r="AE216" i="1"/>
  <c r="Y216" i="1"/>
  <c r="S216" i="1"/>
  <c r="N216" i="1"/>
  <c r="I216" i="1"/>
  <c r="NZ215" i="1"/>
  <c r="NU215" i="1"/>
  <c r="NP215" i="1"/>
  <c r="NK215" i="1"/>
  <c r="NF215" i="1"/>
  <c r="NA215" i="1"/>
  <c r="MV215" i="1"/>
  <c r="MQ215" i="1"/>
  <c r="MM215" i="1"/>
  <c r="MI215" i="1"/>
  <c r="MD215" i="1"/>
  <c r="LY215" i="1"/>
  <c r="LT215" i="1"/>
  <c r="LO215" i="1"/>
  <c r="LJ215" i="1"/>
  <c r="LE215" i="1"/>
  <c r="KZ215" i="1"/>
  <c r="KV215" i="1"/>
  <c r="KQ215" i="1"/>
  <c r="KM215" i="1"/>
  <c r="KI215" i="1"/>
  <c r="KE215" i="1"/>
  <c r="KA215" i="1"/>
  <c r="JV215" i="1"/>
  <c r="JQ215" i="1"/>
  <c r="JM215" i="1"/>
  <c r="JI215" i="1"/>
  <c r="JD215" i="1"/>
  <c r="IY215" i="1"/>
  <c r="IT215" i="1"/>
  <c r="IO215" i="1"/>
  <c r="IJ215" i="1"/>
  <c r="IE215" i="1"/>
  <c r="HZ215" i="1"/>
  <c r="HU215" i="1"/>
  <c r="HP215" i="1"/>
  <c r="HK215" i="1"/>
  <c r="HF215" i="1"/>
  <c r="HA215" i="1"/>
  <c r="GV215" i="1"/>
  <c r="GQ215" i="1"/>
  <c r="GL215" i="1"/>
  <c r="GG215" i="1"/>
  <c r="GB215" i="1"/>
  <c r="FW215" i="1"/>
  <c r="FR215" i="1"/>
  <c r="FM215" i="1"/>
  <c r="FH215" i="1"/>
  <c r="FC215" i="1"/>
  <c r="EX215" i="1"/>
  <c r="ES215" i="1"/>
  <c r="EN215" i="1"/>
  <c r="EG215" i="1"/>
  <c r="EB215" i="1"/>
  <c r="DW215" i="1"/>
  <c r="DR215" i="1"/>
  <c r="DM215" i="1"/>
  <c r="DH215" i="1"/>
  <c r="DC215" i="1"/>
  <c r="CX215" i="1"/>
  <c r="CS215" i="1"/>
  <c r="CN215" i="1"/>
  <c r="CI215" i="1"/>
  <c r="CC215" i="1"/>
  <c r="BX215" i="1"/>
  <c r="BS215" i="1"/>
  <c r="BN215" i="1"/>
  <c r="BI215" i="1"/>
  <c r="BD215" i="1"/>
  <c r="AY215" i="1"/>
  <c r="AT215" i="1"/>
  <c r="AO215" i="1"/>
  <c r="AJ215" i="1"/>
  <c r="AE215" i="1"/>
  <c r="Y215" i="1"/>
  <c r="S215" i="1"/>
  <c r="N215" i="1"/>
  <c r="I215" i="1"/>
  <c r="NZ214" i="1"/>
  <c r="NU214" i="1"/>
  <c r="NP214" i="1"/>
  <c r="NK214" i="1"/>
  <c r="NF214" i="1"/>
  <c r="NA214" i="1"/>
  <c r="MV214" i="1"/>
  <c r="MQ214" i="1"/>
  <c r="MM214" i="1"/>
  <c r="MI214" i="1"/>
  <c r="MD214" i="1"/>
  <c r="LY214" i="1"/>
  <c r="LT214" i="1"/>
  <c r="LO214" i="1"/>
  <c r="LJ214" i="1"/>
  <c r="LE214" i="1"/>
  <c r="KZ214" i="1"/>
  <c r="KV214" i="1"/>
  <c r="KQ214" i="1"/>
  <c r="KM214" i="1"/>
  <c r="KI214" i="1"/>
  <c r="KE214" i="1"/>
  <c r="KA214" i="1"/>
  <c r="JV214" i="1"/>
  <c r="JQ214" i="1"/>
  <c r="JM214" i="1"/>
  <c r="JI214" i="1"/>
  <c r="JD214" i="1"/>
  <c r="IY214" i="1"/>
  <c r="IT214" i="1"/>
  <c r="IO214" i="1"/>
  <c r="IJ214" i="1"/>
  <c r="IE214" i="1"/>
  <c r="HZ214" i="1"/>
  <c r="HU214" i="1"/>
  <c r="HP214" i="1"/>
  <c r="HK214" i="1"/>
  <c r="HF214" i="1"/>
  <c r="HA214" i="1"/>
  <c r="GV214" i="1"/>
  <c r="GQ214" i="1"/>
  <c r="GL214" i="1"/>
  <c r="GG214" i="1"/>
  <c r="GB214" i="1"/>
  <c r="FW214" i="1"/>
  <c r="FR214" i="1"/>
  <c r="FM214" i="1"/>
  <c r="FH214" i="1"/>
  <c r="FC214" i="1"/>
  <c r="EX214" i="1"/>
  <c r="ES214" i="1"/>
  <c r="EN214" i="1"/>
  <c r="EG214" i="1"/>
  <c r="EB214" i="1"/>
  <c r="DW214" i="1"/>
  <c r="DR214" i="1"/>
  <c r="DM214" i="1"/>
  <c r="DH214" i="1"/>
  <c r="DC214" i="1"/>
  <c r="CX214" i="1"/>
  <c r="CS214" i="1"/>
  <c r="CN214" i="1"/>
  <c r="CG214" i="1"/>
  <c r="CH214" i="1" s="1"/>
  <c r="CI214" i="1" s="1"/>
  <c r="CC214" i="1"/>
  <c r="BX214" i="1"/>
  <c r="BS214" i="1"/>
  <c r="BN214" i="1"/>
  <c r="BI214" i="1"/>
  <c r="BD214" i="1"/>
  <c r="AY214" i="1"/>
  <c r="AT214" i="1"/>
  <c r="AO214" i="1"/>
  <c r="AJ214" i="1"/>
  <c r="AC214" i="1"/>
  <c r="AD214" i="1" s="1"/>
  <c r="AE214" i="1" s="1"/>
  <c r="W214" i="1"/>
  <c r="X214" i="1" s="1"/>
  <c r="Y214" i="1" s="1"/>
  <c r="S214" i="1"/>
  <c r="N214" i="1"/>
  <c r="I214" i="1"/>
  <c r="NZ213" i="1"/>
  <c r="NU213" i="1"/>
  <c r="NP213" i="1"/>
  <c r="NK213" i="1"/>
  <c r="NF213" i="1"/>
  <c r="NA213" i="1"/>
  <c r="MV213" i="1"/>
  <c r="MQ213" i="1"/>
  <c r="MM213" i="1"/>
  <c r="MI213" i="1"/>
  <c r="MD213" i="1"/>
  <c r="LY213" i="1"/>
  <c r="LT213" i="1"/>
  <c r="LO213" i="1"/>
  <c r="LJ213" i="1"/>
  <c r="LE213" i="1"/>
  <c r="KZ213" i="1"/>
  <c r="KV213" i="1"/>
  <c r="KQ213" i="1"/>
  <c r="KM213" i="1"/>
  <c r="KI213" i="1"/>
  <c r="KE213" i="1"/>
  <c r="KA213" i="1"/>
  <c r="JV213" i="1"/>
  <c r="JQ213" i="1"/>
  <c r="JM213" i="1"/>
  <c r="JI213" i="1"/>
  <c r="JD213" i="1"/>
  <c r="IY213" i="1"/>
  <c r="IT213" i="1"/>
  <c r="IO213" i="1"/>
  <c r="IJ213" i="1"/>
  <c r="IE213" i="1"/>
  <c r="HZ213" i="1"/>
  <c r="HU213" i="1"/>
  <c r="HP213" i="1"/>
  <c r="HK213" i="1"/>
  <c r="HF213" i="1"/>
  <c r="HA213" i="1"/>
  <c r="GV213" i="1"/>
  <c r="GQ213" i="1"/>
  <c r="GL213" i="1"/>
  <c r="GG213" i="1"/>
  <c r="GB213" i="1"/>
  <c r="FW213" i="1"/>
  <c r="FR213" i="1"/>
  <c r="FM213" i="1"/>
  <c r="FH213" i="1"/>
  <c r="FC213" i="1"/>
  <c r="EX213" i="1"/>
  <c r="ES213" i="1"/>
  <c r="EN213" i="1"/>
  <c r="EG213" i="1"/>
  <c r="EB213" i="1"/>
  <c r="DW213" i="1"/>
  <c r="DR213" i="1"/>
  <c r="DM213" i="1"/>
  <c r="DH213" i="1"/>
  <c r="DC213" i="1"/>
  <c r="CX213" i="1"/>
  <c r="CS213" i="1"/>
  <c r="CN213" i="1"/>
  <c r="CI213" i="1"/>
  <c r="CC213" i="1"/>
  <c r="BX213" i="1"/>
  <c r="BS213" i="1"/>
  <c r="BN213" i="1"/>
  <c r="BI213" i="1"/>
  <c r="BD213" i="1"/>
  <c r="AY213" i="1"/>
  <c r="AT213" i="1"/>
  <c r="AO213" i="1"/>
  <c r="AJ213" i="1"/>
  <c r="AE213" i="1"/>
  <c r="Y213" i="1"/>
  <c r="S213" i="1"/>
  <c r="N213" i="1"/>
  <c r="I213" i="1"/>
  <c r="NZ212" i="1"/>
  <c r="NU212" i="1"/>
  <c r="NP212" i="1"/>
  <c r="NK212" i="1"/>
  <c r="NF212" i="1"/>
  <c r="NA212" i="1"/>
  <c r="MV212" i="1"/>
  <c r="MQ212" i="1"/>
  <c r="MM212" i="1"/>
  <c r="MI212" i="1"/>
  <c r="MD212" i="1"/>
  <c r="LY212" i="1"/>
  <c r="LT212" i="1"/>
  <c r="LO212" i="1"/>
  <c r="LJ212" i="1"/>
  <c r="LE212" i="1"/>
  <c r="KZ212" i="1"/>
  <c r="KV212" i="1"/>
  <c r="KQ212" i="1"/>
  <c r="KM212" i="1"/>
  <c r="KI212" i="1"/>
  <c r="KE212" i="1"/>
  <c r="KA212" i="1"/>
  <c r="JV212" i="1"/>
  <c r="JQ212" i="1"/>
  <c r="JM212" i="1"/>
  <c r="JI212" i="1"/>
  <c r="JD212" i="1"/>
  <c r="IY212" i="1"/>
  <c r="IT212" i="1"/>
  <c r="IO212" i="1"/>
  <c r="IJ212" i="1"/>
  <c r="IE212" i="1"/>
  <c r="HZ212" i="1"/>
  <c r="HU212" i="1"/>
  <c r="HP212" i="1"/>
  <c r="HK212" i="1"/>
  <c r="HF212" i="1"/>
  <c r="HA212" i="1"/>
  <c r="GV212" i="1"/>
  <c r="GQ212" i="1"/>
  <c r="GL212" i="1"/>
  <c r="GG212" i="1"/>
  <c r="GB212" i="1"/>
  <c r="FW212" i="1"/>
  <c r="FR212" i="1"/>
  <c r="FM212" i="1"/>
  <c r="FH212" i="1"/>
  <c r="FC212" i="1"/>
  <c r="EX212" i="1"/>
  <c r="ES212" i="1"/>
  <c r="EN212" i="1"/>
  <c r="EG212" i="1"/>
  <c r="EB212" i="1"/>
  <c r="DW212" i="1"/>
  <c r="DR212" i="1"/>
  <c r="DM212" i="1"/>
  <c r="DH212" i="1"/>
  <c r="DC212" i="1"/>
  <c r="CX212" i="1"/>
  <c r="CS212" i="1"/>
  <c r="CN212" i="1"/>
  <c r="CI212" i="1"/>
  <c r="CC212" i="1"/>
  <c r="BX212" i="1"/>
  <c r="BS212" i="1"/>
  <c r="BN212" i="1"/>
  <c r="BI212" i="1"/>
  <c r="BD212" i="1"/>
  <c r="AY212" i="1"/>
  <c r="AT212" i="1"/>
  <c r="AO212" i="1"/>
  <c r="AJ212" i="1"/>
  <c r="AE212" i="1"/>
  <c r="Y212" i="1"/>
  <c r="S212" i="1"/>
  <c r="N212" i="1"/>
  <c r="I212" i="1"/>
  <c r="NZ211" i="1"/>
  <c r="NU211" i="1"/>
  <c r="NP211" i="1"/>
  <c r="NK211" i="1"/>
  <c r="NF211" i="1"/>
  <c r="NA211" i="1"/>
  <c r="MV211" i="1"/>
  <c r="MQ211" i="1"/>
  <c r="MM211" i="1"/>
  <c r="MI211" i="1"/>
  <c r="MD211" i="1"/>
  <c r="LY211" i="1"/>
  <c r="LT211" i="1"/>
  <c r="LO211" i="1"/>
  <c r="LJ211" i="1"/>
  <c r="LE211" i="1"/>
  <c r="KZ211" i="1"/>
  <c r="KV211" i="1"/>
  <c r="KO211" i="1"/>
  <c r="KP211" i="1" s="1"/>
  <c r="KQ211" i="1" s="1"/>
  <c r="KM211" i="1"/>
  <c r="KI211" i="1"/>
  <c r="KE211" i="1"/>
  <c r="KA211" i="1"/>
  <c r="JV211" i="1"/>
  <c r="JQ211" i="1"/>
  <c r="JM211" i="1"/>
  <c r="JI211" i="1"/>
  <c r="JD211" i="1"/>
  <c r="IY211" i="1"/>
  <c r="IT211" i="1"/>
  <c r="IO211" i="1"/>
  <c r="IJ211" i="1"/>
  <c r="IE211" i="1"/>
  <c r="HZ211" i="1"/>
  <c r="HU211" i="1"/>
  <c r="HP211" i="1"/>
  <c r="HK211" i="1"/>
  <c r="HF211" i="1"/>
  <c r="HA211" i="1"/>
  <c r="GV211" i="1"/>
  <c r="GQ211" i="1"/>
  <c r="GL211" i="1"/>
  <c r="GG211" i="1"/>
  <c r="GB211" i="1"/>
  <c r="FW211" i="1"/>
  <c r="FR211" i="1"/>
  <c r="FM211" i="1"/>
  <c r="FH211" i="1"/>
  <c r="FC211" i="1"/>
  <c r="EX211" i="1"/>
  <c r="ES211" i="1"/>
  <c r="EN211" i="1"/>
  <c r="EG211" i="1"/>
  <c r="EB211" i="1"/>
  <c r="DW211" i="1"/>
  <c r="DR211" i="1"/>
  <c r="DM211" i="1"/>
  <c r="DH211" i="1"/>
  <c r="DC211" i="1"/>
  <c r="CX211" i="1"/>
  <c r="CS211" i="1"/>
  <c r="CN211" i="1"/>
  <c r="CG211" i="1"/>
  <c r="CH211" i="1" s="1"/>
  <c r="CI211" i="1" s="1"/>
  <c r="CC211" i="1"/>
  <c r="BX211" i="1"/>
  <c r="BS211" i="1"/>
  <c r="BN211" i="1"/>
  <c r="BI211" i="1"/>
  <c r="BD211" i="1"/>
  <c r="AY211" i="1"/>
  <c r="AT211" i="1"/>
  <c r="AO211" i="1"/>
  <c r="AJ211" i="1"/>
  <c r="AC211" i="1"/>
  <c r="AD211" i="1" s="1"/>
  <c r="AE211" i="1" s="1"/>
  <c r="W211" i="1"/>
  <c r="X211" i="1" s="1"/>
  <c r="Y211" i="1" s="1"/>
  <c r="S211" i="1"/>
  <c r="N211" i="1"/>
  <c r="I211" i="1"/>
  <c r="NZ210" i="1"/>
  <c r="NU210" i="1"/>
  <c r="NP210" i="1"/>
  <c r="NK210" i="1"/>
  <c r="NF210" i="1"/>
  <c r="NA210" i="1"/>
  <c r="MV210" i="1"/>
  <c r="MQ210" i="1"/>
  <c r="MM210" i="1"/>
  <c r="MI210" i="1"/>
  <c r="MD210" i="1"/>
  <c r="LY210" i="1"/>
  <c r="LT210" i="1"/>
  <c r="LO210" i="1"/>
  <c r="LJ210" i="1"/>
  <c r="LE210" i="1"/>
  <c r="KZ210" i="1"/>
  <c r="KV210" i="1"/>
  <c r="KQ210" i="1"/>
  <c r="KM210" i="1"/>
  <c r="KI210" i="1"/>
  <c r="KE210" i="1"/>
  <c r="KA210" i="1"/>
  <c r="JV210" i="1"/>
  <c r="JQ210" i="1"/>
  <c r="JM210" i="1"/>
  <c r="JI210" i="1"/>
  <c r="JD210" i="1"/>
  <c r="IY210" i="1"/>
  <c r="IT210" i="1"/>
  <c r="IO210" i="1"/>
  <c r="IJ210" i="1"/>
  <c r="IE210" i="1"/>
  <c r="HZ210" i="1"/>
  <c r="HU210" i="1"/>
  <c r="HP210" i="1"/>
  <c r="HK210" i="1"/>
  <c r="HF210" i="1"/>
  <c r="HA210" i="1"/>
  <c r="GV210" i="1"/>
  <c r="GQ210" i="1"/>
  <c r="GL210" i="1"/>
  <c r="GG210" i="1"/>
  <c r="GB210" i="1"/>
  <c r="FW210" i="1"/>
  <c r="FR210" i="1"/>
  <c r="FM210" i="1"/>
  <c r="FH210" i="1"/>
  <c r="FC210" i="1"/>
  <c r="EX210" i="1"/>
  <c r="ES210" i="1"/>
  <c r="EN210" i="1"/>
  <c r="EG210" i="1"/>
  <c r="EB210" i="1"/>
  <c r="DW210" i="1"/>
  <c r="DR210" i="1"/>
  <c r="DM210" i="1"/>
  <c r="DH210" i="1"/>
  <c r="DC210" i="1"/>
  <c r="CX210" i="1"/>
  <c r="CS210" i="1"/>
  <c r="CN210" i="1"/>
  <c r="CI210" i="1"/>
  <c r="CC210" i="1"/>
  <c r="BX210" i="1"/>
  <c r="BS210" i="1"/>
  <c r="BN210" i="1"/>
  <c r="BI210" i="1"/>
  <c r="BD210" i="1"/>
  <c r="AY210" i="1"/>
  <c r="AT210" i="1"/>
  <c r="AO210" i="1"/>
  <c r="AJ210" i="1"/>
  <c r="AE210" i="1"/>
  <c r="Y210" i="1"/>
  <c r="S210" i="1"/>
  <c r="N210" i="1"/>
  <c r="I210" i="1"/>
  <c r="NZ209" i="1"/>
  <c r="NU209" i="1"/>
  <c r="NP209" i="1"/>
  <c r="NK209" i="1"/>
  <c r="NF209" i="1"/>
  <c r="NA209" i="1"/>
  <c r="MV209" i="1"/>
  <c r="MQ209" i="1"/>
  <c r="MM209" i="1"/>
  <c r="MI209" i="1"/>
  <c r="MD209" i="1"/>
  <c r="LY209" i="1"/>
  <c r="LT209" i="1"/>
  <c r="LO209" i="1"/>
  <c r="LJ209" i="1"/>
  <c r="LE209" i="1"/>
  <c r="KZ209" i="1"/>
  <c r="KV209" i="1"/>
  <c r="KQ209" i="1"/>
  <c r="KM209" i="1"/>
  <c r="KI209" i="1"/>
  <c r="KE209" i="1"/>
  <c r="KA209" i="1"/>
  <c r="JV209" i="1"/>
  <c r="JQ209" i="1"/>
  <c r="JM209" i="1"/>
  <c r="JI209" i="1"/>
  <c r="JD209" i="1"/>
  <c r="IY209" i="1"/>
  <c r="IT209" i="1"/>
  <c r="IO209" i="1"/>
  <c r="IJ209" i="1"/>
  <c r="IE209" i="1"/>
  <c r="HZ209" i="1"/>
  <c r="HU209" i="1"/>
  <c r="HP209" i="1"/>
  <c r="HK209" i="1"/>
  <c r="HF209" i="1"/>
  <c r="HA209" i="1"/>
  <c r="GV209" i="1"/>
  <c r="GQ209" i="1"/>
  <c r="GL209" i="1"/>
  <c r="GG209" i="1"/>
  <c r="GB209" i="1"/>
  <c r="FW209" i="1"/>
  <c r="FR209" i="1"/>
  <c r="FM209" i="1"/>
  <c r="FH209" i="1"/>
  <c r="FC209" i="1"/>
  <c r="EX209" i="1"/>
  <c r="ES209" i="1"/>
  <c r="EN209" i="1"/>
  <c r="EG209" i="1"/>
  <c r="EB209" i="1"/>
  <c r="DW209" i="1"/>
  <c r="DR209" i="1"/>
  <c r="DM209" i="1"/>
  <c r="DH209" i="1"/>
  <c r="DC209" i="1"/>
  <c r="CX209" i="1"/>
  <c r="CS209" i="1"/>
  <c r="CN209" i="1"/>
  <c r="CI209" i="1"/>
  <c r="CC209" i="1"/>
  <c r="BX209" i="1"/>
  <c r="BS209" i="1"/>
  <c r="BN209" i="1"/>
  <c r="BI209" i="1"/>
  <c r="BD209" i="1"/>
  <c r="AY209" i="1"/>
  <c r="AT209" i="1"/>
  <c r="AO209" i="1"/>
  <c r="AJ209" i="1"/>
  <c r="AE209" i="1"/>
  <c r="Y209" i="1"/>
  <c r="S209" i="1"/>
  <c r="N209" i="1"/>
  <c r="I209" i="1"/>
  <c r="NZ208" i="1"/>
  <c r="NU208" i="1"/>
  <c r="NP208" i="1"/>
  <c r="NK208" i="1"/>
  <c r="NF208" i="1"/>
  <c r="NA208" i="1"/>
  <c r="MV208" i="1"/>
  <c r="MQ208" i="1"/>
  <c r="MM208" i="1"/>
  <c r="MI208" i="1"/>
  <c r="MD208" i="1"/>
  <c r="LY208" i="1"/>
  <c r="LT208" i="1"/>
  <c r="LO208" i="1"/>
  <c r="LJ208" i="1"/>
  <c r="LE208" i="1"/>
  <c r="KZ208" i="1"/>
  <c r="KV208" i="1"/>
  <c r="KQ208" i="1"/>
  <c r="KM208" i="1"/>
  <c r="KI208" i="1"/>
  <c r="KE208" i="1"/>
  <c r="JY208" i="1"/>
  <c r="JZ208" i="1" s="1"/>
  <c r="KA208" i="1" s="1"/>
  <c r="JV208" i="1"/>
  <c r="JQ208" i="1"/>
  <c r="JM208" i="1"/>
  <c r="JI208" i="1"/>
  <c r="JD208" i="1"/>
  <c r="IY208" i="1"/>
  <c r="IT208" i="1"/>
  <c r="IO208" i="1"/>
  <c r="IJ208" i="1"/>
  <c r="IE208" i="1"/>
  <c r="HZ208" i="1"/>
  <c r="HU208" i="1"/>
  <c r="HP208" i="1"/>
  <c r="HK208" i="1"/>
  <c r="HF208" i="1"/>
  <c r="HA208" i="1"/>
  <c r="GV208" i="1"/>
  <c r="GQ208" i="1"/>
  <c r="GL208" i="1"/>
  <c r="GG208" i="1"/>
  <c r="GB208" i="1"/>
  <c r="FW208" i="1"/>
  <c r="FR208" i="1"/>
  <c r="FM208" i="1"/>
  <c r="FH208" i="1"/>
  <c r="FC208" i="1"/>
  <c r="EX208" i="1"/>
  <c r="ES208" i="1"/>
  <c r="EN208" i="1"/>
  <c r="EG208" i="1"/>
  <c r="EB208" i="1"/>
  <c r="DW208" i="1"/>
  <c r="DR208" i="1"/>
  <c r="DM208" i="1"/>
  <c r="DH208" i="1"/>
  <c r="DC208" i="1"/>
  <c r="CX208" i="1"/>
  <c r="CS208" i="1"/>
  <c r="CN208" i="1"/>
  <c r="CI208" i="1"/>
  <c r="CC208" i="1"/>
  <c r="BX208" i="1"/>
  <c r="BS208" i="1"/>
  <c r="BN208" i="1"/>
  <c r="BI208" i="1"/>
  <c r="BD208" i="1"/>
  <c r="AY208" i="1"/>
  <c r="AT208" i="1"/>
  <c r="AO208" i="1"/>
  <c r="AJ208" i="1"/>
  <c r="AE208" i="1"/>
  <c r="Y208" i="1"/>
  <c r="S208" i="1"/>
  <c r="N208" i="1"/>
  <c r="I208" i="1"/>
  <c r="NZ207" i="1"/>
  <c r="NU207" i="1"/>
  <c r="NP207" i="1"/>
  <c r="NK207" i="1"/>
  <c r="NF207" i="1"/>
  <c r="NA207" i="1"/>
  <c r="MV207" i="1"/>
  <c r="MQ207" i="1"/>
  <c r="MM207" i="1"/>
  <c r="MI207" i="1"/>
  <c r="MD207" i="1"/>
  <c r="LY207" i="1"/>
  <c r="LT207" i="1"/>
  <c r="LO207" i="1"/>
  <c r="LJ207" i="1"/>
  <c r="LE207" i="1"/>
  <c r="KZ207" i="1"/>
  <c r="KV207" i="1"/>
  <c r="KO207" i="1"/>
  <c r="KP207" i="1" s="1"/>
  <c r="KQ207" i="1" s="1"/>
  <c r="KM207" i="1"/>
  <c r="KI207" i="1"/>
  <c r="KE207" i="1"/>
  <c r="JY207" i="1"/>
  <c r="JZ207" i="1" s="1"/>
  <c r="KA207" i="1" s="1"/>
  <c r="JV207" i="1"/>
  <c r="JQ207" i="1"/>
  <c r="JM207" i="1"/>
  <c r="JI207" i="1"/>
  <c r="JD207" i="1"/>
  <c r="IY207" i="1"/>
  <c r="IT207" i="1"/>
  <c r="IO207" i="1"/>
  <c r="IJ207" i="1"/>
  <c r="IE207" i="1"/>
  <c r="HZ207" i="1"/>
  <c r="HU207" i="1"/>
  <c r="HP207" i="1"/>
  <c r="HK207" i="1"/>
  <c r="HF207" i="1"/>
  <c r="HA207" i="1"/>
  <c r="GV207" i="1"/>
  <c r="GQ207" i="1"/>
  <c r="GL207" i="1"/>
  <c r="GG207" i="1"/>
  <c r="GB207" i="1"/>
  <c r="FW207" i="1"/>
  <c r="FR207" i="1"/>
  <c r="FM207" i="1"/>
  <c r="FH207" i="1"/>
  <c r="FC207" i="1"/>
  <c r="EX207" i="1"/>
  <c r="ES207" i="1"/>
  <c r="EN207" i="1"/>
  <c r="EG207" i="1"/>
  <c r="EB207" i="1"/>
  <c r="DW207" i="1"/>
  <c r="DR207" i="1"/>
  <c r="DM207" i="1"/>
  <c r="DH207" i="1"/>
  <c r="DC207" i="1"/>
  <c r="CX207" i="1"/>
  <c r="CS207" i="1"/>
  <c r="CN207" i="1"/>
  <c r="CI207" i="1"/>
  <c r="CC207" i="1"/>
  <c r="BX207" i="1"/>
  <c r="BS207" i="1"/>
  <c r="BN207" i="1"/>
  <c r="BI207" i="1"/>
  <c r="BD207" i="1"/>
  <c r="AY207" i="1"/>
  <c r="AT207" i="1"/>
  <c r="AO207" i="1"/>
  <c r="AJ207" i="1"/>
  <c r="AE207" i="1"/>
  <c r="Y207" i="1"/>
  <c r="S207" i="1"/>
  <c r="N207" i="1"/>
  <c r="I207" i="1"/>
  <c r="NZ206" i="1"/>
  <c r="NU206" i="1"/>
  <c r="NP206" i="1"/>
  <c r="NK206" i="1"/>
  <c r="NF206" i="1"/>
  <c r="NA206" i="1"/>
  <c r="MV206" i="1"/>
  <c r="MQ206" i="1"/>
  <c r="MM206" i="1"/>
  <c r="MI206" i="1"/>
  <c r="MD206" i="1"/>
  <c r="LY206" i="1"/>
  <c r="LT206" i="1"/>
  <c r="LO206" i="1"/>
  <c r="LJ206" i="1"/>
  <c r="LE206" i="1"/>
  <c r="KZ206" i="1"/>
  <c r="KV206" i="1"/>
  <c r="KQ206" i="1"/>
  <c r="KM206" i="1"/>
  <c r="KI206" i="1"/>
  <c r="KE206" i="1"/>
  <c r="KA206" i="1"/>
  <c r="JV206" i="1"/>
  <c r="JQ206" i="1"/>
  <c r="JM206" i="1"/>
  <c r="JI206" i="1"/>
  <c r="JD206" i="1"/>
  <c r="IY206" i="1"/>
  <c r="IT206" i="1"/>
  <c r="IO206" i="1"/>
  <c r="IJ206" i="1"/>
  <c r="IE206" i="1"/>
  <c r="HZ206" i="1"/>
  <c r="HU206" i="1"/>
  <c r="HP206" i="1"/>
  <c r="HK206" i="1"/>
  <c r="HF206" i="1"/>
  <c r="HA206" i="1"/>
  <c r="GV206" i="1"/>
  <c r="GQ206" i="1"/>
  <c r="GL206" i="1"/>
  <c r="GG206" i="1"/>
  <c r="GB206" i="1"/>
  <c r="FW206" i="1"/>
  <c r="FR206" i="1"/>
  <c r="FM206" i="1"/>
  <c r="FH206" i="1"/>
  <c r="FC206" i="1"/>
  <c r="EX206" i="1"/>
  <c r="ES206" i="1"/>
  <c r="EN206" i="1"/>
  <c r="EG206" i="1"/>
  <c r="EB206" i="1"/>
  <c r="DW206" i="1"/>
  <c r="DR206" i="1"/>
  <c r="DM206" i="1"/>
  <c r="DH206" i="1"/>
  <c r="DC206" i="1"/>
  <c r="CX206" i="1"/>
  <c r="CS206" i="1"/>
  <c r="CN206" i="1"/>
  <c r="CI206" i="1"/>
  <c r="CC206" i="1"/>
  <c r="BX206" i="1"/>
  <c r="BS206" i="1"/>
  <c r="BN206" i="1"/>
  <c r="BI206" i="1"/>
  <c r="BD206" i="1"/>
  <c r="AY206" i="1"/>
  <c r="AT206" i="1"/>
  <c r="AO206" i="1"/>
  <c r="AJ206" i="1"/>
  <c r="AE206" i="1"/>
  <c r="Y206" i="1"/>
  <c r="S206" i="1"/>
  <c r="N206" i="1"/>
  <c r="I206" i="1"/>
  <c r="NZ205" i="1"/>
  <c r="NU205" i="1"/>
  <c r="NP205" i="1"/>
  <c r="NK205" i="1"/>
  <c r="ND205" i="1"/>
  <c r="NE205" i="1" s="1"/>
  <c r="NF205" i="1" s="1"/>
  <c r="NA205" i="1"/>
  <c r="MV205" i="1"/>
  <c r="MQ205" i="1"/>
  <c r="MM205" i="1"/>
  <c r="MI205" i="1"/>
  <c r="MD205" i="1"/>
  <c r="LY205" i="1"/>
  <c r="LT205" i="1"/>
  <c r="LO205" i="1"/>
  <c r="LJ205" i="1"/>
  <c r="LE205" i="1"/>
  <c r="KZ205" i="1"/>
  <c r="KV205" i="1"/>
  <c r="KQ205" i="1"/>
  <c r="KM205" i="1"/>
  <c r="KI205" i="1"/>
  <c r="KE205" i="1"/>
  <c r="JY205" i="1"/>
  <c r="JZ205" i="1" s="1"/>
  <c r="KA205" i="1" s="1"/>
  <c r="JV205" i="1"/>
  <c r="JQ205" i="1"/>
  <c r="JM205" i="1"/>
  <c r="JI205" i="1"/>
  <c r="JD205" i="1"/>
  <c r="IY205" i="1"/>
  <c r="IT205" i="1"/>
  <c r="IO205" i="1"/>
  <c r="IJ205" i="1"/>
  <c r="IE205" i="1"/>
  <c r="HZ205" i="1"/>
  <c r="HU205" i="1"/>
  <c r="HP205" i="1"/>
  <c r="HK205" i="1"/>
  <c r="HF205" i="1"/>
  <c r="HA205" i="1"/>
  <c r="GV205" i="1"/>
  <c r="GQ205" i="1"/>
  <c r="GL205" i="1"/>
  <c r="GG205" i="1"/>
  <c r="GB205" i="1"/>
  <c r="FW205" i="1"/>
  <c r="FR205" i="1"/>
  <c r="FM205" i="1"/>
  <c r="FH205" i="1"/>
  <c r="FC205" i="1"/>
  <c r="EX205" i="1"/>
  <c r="ES205" i="1"/>
  <c r="EN205" i="1"/>
  <c r="EG205" i="1"/>
  <c r="EB205" i="1"/>
  <c r="DW205" i="1"/>
  <c r="DR205" i="1"/>
  <c r="DM205" i="1"/>
  <c r="DH205" i="1"/>
  <c r="DC205" i="1"/>
  <c r="CX205" i="1"/>
  <c r="CS205" i="1"/>
  <c r="CN205" i="1"/>
  <c r="CG205" i="1"/>
  <c r="CH205" i="1" s="1"/>
  <c r="CI205" i="1" s="1"/>
  <c r="CC205" i="1"/>
  <c r="BX205" i="1"/>
  <c r="BS205" i="1"/>
  <c r="BN205" i="1"/>
  <c r="BI205" i="1"/>
  <c r="BD205" i="1"/>
  <c r="AY205" i="1"/>
  <c r="AT205" i="1"/>
  <c r="AO205" i="1"/>
  <c r="AJ205" i="1"/>
  <c r="AE205" i="1"/>
  <c r="Y205" i="1"/>
  <c r="S205" i="1"/>
  <c r="N205" i="1"/>
  <c r="I205" i="1"/>
  <c r="NZ204" i="1"/>
  <c r="NU204" i="1"/>
  <c r="NP204" i="1"/>
  <c r="NK204" i="1"/>
  <c r="NF204" i="1"/>
  <c r="NA204" i="1"/>
  <c r="MV204" i="1"/>
  <c r="MQ204" i="1"/>
  <c r="MM204" i="1"/>
  <c r="MI204" i="1"/>
  <c r="MD204" i="1"/>
  <c r="LY204" i="1"/>
  <c r="LT204" i="1"/>
  <c r="LO204" i="1"/>
  <c r="LJ204" i="1"/>
  <c r="LE204" i="1"/>
  <c r="KZ204" i="1"/>
  <c r="KV204" i="1"/>
  <c r="KQ204" i="1"/>
  <c r="KM204" i="1"/>
  <c r="KI204" i="1"/>
  <c r="KE204" i="1"/>
  <c r="JY204" i="1"/>
  <c r="JZ204" i="1" s="1"/>
  <c r="KA204" i="1" s="1"/>
  <c r="JV204" i="1"/>
  <c r="JQ204" i="1"/>
  <c r="JM204" i="1"/>
  <c r="JI204" i="1"/>
  <c r="JD204" i="1"/>
  <c r="IY204" i="1"/>
  <c r="IT204" i="1"/>
  <c r="IO204" i="1"/>
  <c r="IJ204" i="1"/>
  <c r="IE204" i="1"/>
  <c r="HZ204" i="1"/>
  <c r="HU204" i="1"/>
  <c r="HP204" i="1"/>
  <c r="HK204" i="1"/>
  <c r="HF204" i="1"/>
  <c r="HA204" i="1"/>
  <c r="GV204" i="1"/>
  <c r="GQ204" i="1"/>
  <c r="GL204" i="1"/>
  <c r="GG204" i="1"/>
  <c r="GB204" i="1"/>
  <c r="FW204" i="1"/>
  <c r="FR204" i="1"/>
  <c r="FM204" i="1"/>
  <c r="FH204" i="1"/>
  <c r="FC204" i="1"/>
  <c r="EX204" i="1"/>
  <c r="ES204" i="1"/>
  <c r="EN204" i="1"/>
  <c r="EG204" i="1"/>
  <c r="EB204" i="1"/>
  <c r="DW204" i="1"/>
  <c r="DR204" i="1"/>
  <c r="DM204" i="1"/>
  <c r="DH204" i="1"/>
  <c r="DC204" i="1"/>
  <c r="CX204" i="1"/>
  <c r="CS204" i="1"/>
  <c r="CN204" i="1"/>
  <c r="CI204" i="1"/>
  <c r="CC204" i="1"/>
  <c r="BX204" i="1"/>
  <c r="BS204" i="1"/>
  <c r="BN204" i="1"/>
  <c r="BI204" i="1"/>
  <c r="BD204" i="1"/>
  <c r="AY204" i="1"/>
  <c r="AT204" i="1"/>
  <c r="AO204" i="1"/>
  <c r="AJ204" i="1"/>
  <c r="AE204" i="1"/>
  <c r="Y204" i="1"/>
  <c r="S204" i="1"/>
  <c r="N204" i="1"/>
  <c r="I204" i="1"/>
  <c r="NZ203" i="1"/>
  <c r="NU203" i="1"/>
  <c r="NP203" i="1"/>
  <c r="NK203" i="1"/>
  <c r="NF203" i="1"/>
  <c r="NA203" i="1"/>
  <c r="MV203" i="1"/>
  <c r="MQ203" i="1"/>
  <c r="MM203" i="1"/>
  <c r="MI203" i="1"/>
  <c r="MD203" i="1"/>
  <c r="LY203" i="1"/>
  <c r="LT203" i="1"/>
  <c r="LO203" i="1"/>
  <c r="LJ203" i="1"/>
  <c r="LE203" i="1"/>
  <c r="KZ203" i="1"/>
  <c r="KV203" i="1"/>
  <c r="KQ203" i="1"/>
  <c r="KM203" i="1"/>
  <c r="KI203" i="1"/>
  <c r="KE203" i="1"/>
  <c r="KA203" i="1"/>
  <c r="JV203" i="1"/>
  <c r="JQ203" i="1"/>
  <c r="JM203" i="1"/>
  <c r="JI203" i="1"/>
  <c r="JD203" i="1"/>
  <c r="IY203" i="1"/>
  <c r="IT203" i="1"/>
  <c r="IO203" i="1"/>
  <c r="IJ203" i="1"/>
  <c r="IE203" i="1"/>
  <c r="HZ203" i="1"/>
  <c r="HU203" i="1"/>
  <c r="HP203" i="1"/>
  <c r="HK203" i="1"/>
  <c r="HF203" i="1"/>
  <c r="HA203" i="1"/>
  <c r="GV203" i="1"/>
  <c r="GQ203" i="1"/>
  <c r="GL203" i="1"/>
  <c r="GG203" i="1"/>
  <c r="GB203" i="1"/>
  <c r="FW203" i="1"/>
  <c r="FR203" i="1"/>
  <c r="FM203" i="1"/>
  <c r="FH203" i="1"/>
  <c r="FC203" i="1"/>
  <c r="EX203" i="1"/>
  <c r="ES203" i="1"/>
  <c r="EN203" i="1"/>
  <c r="EG203" i="1"/>
  <c r="EB203" i="1"/>
  <c r="DW203" i="1"/>
  <c r="DR203" i="1"/>
  <c r="DM203" i="1"/>
  <c r="DH203" i="1"/>
  <c r="DC203" i="1"/>
  <c r="CX203" i="1"/>
  <c r="CS203" i="1"/>
  <c r="CN203" i="1"/>
  <c r="CI203" i="1"/>
  <c r="CC203" i="1"/>
  <c r="BX203" i="1"/>
  <c r="BS203" i="1"/>
  <c r="BN203" i="1"/>
  <c r="BI203" i="1"/>
  <c r="BD203" i="1"/>
  <c r="AY203" i="1"/>
  <c r="AT203" i="1"/>
  <c r="AO203" i="1"/>
  <c r="AJ203" i="1"/>
  <c r="AE203" i="1"/>
  <c r="Y203" i="1"/>
  <c r="S203" i="1"/>
  <c r="N203" i="1"/>
  <c r="I203" i="1"/>
  <c r="NZ202" i="1"/>
  <c r="NU202" i="1"/>
  <c r="NP202" i="1"/>
  <c r="NK202" i="1"/>
  <c r="NF202" i="1"/>
  <c r="NA202" i="1"/>
  <c r="MV202" i="1"/>
  <c r="MQ202" i="1"/>
  <c r="MM202" i="1"/>
  <c r="MI202" i="1"/>
  <c r="MD202" i="1"/>
  <c r="LY202" i="1"/>
  <c r="LT202" i="1"/>
  <c r="LO202" i="1"/>
  <c r="LJ202" i="1"/>
  <c r="LE202" i="1"/>
  <c r="KZ202" i="1"/>
  <c r="KV202" i="1"/>
  <c r="KQ202" i="1"/>
  <c r="KM202" i="1"/>
  <c r="KI202" i="1"/>
  <c r="KE202" i="1"/>
  <c r="KA202" i="1"/>
  <c r="JV202" i="1"/>
  <c r="JQ202" i="1"/>
  <c r="JM202" i="1"/>
  <c r="JI202" i="1"/>
  <c r="JD202" i="1"/>
  <c r="IY202" i="1"/>
  <c r="IT202" i="1"/>
  <c r="IO202" i="1"/>
  <c r="IJ202" i="1"/>
  <c r="IE202" i="1"/>
  <c r="HZ202" i="1"/>
  <c r="HU202" i="1"/>
  <c r="HP202" i="1"/>
  <c r="HK202" i="1"/>
  <c r="HF202" i="1"/>
  <c r="HA202" i="1"/>
  <c r="GV202" i="1"/>
  <c r="GQ202" i="1"/>
  <c r="GL202" i="1"/>
  <c r="GG202" i="1"/>
  <c r="GB202" i="1"/>
  <c r="FW202" i="1"/>
  <c r="FR202" i="1"/>
  <c r="FM202" i="1"/>
  <c r="FH202" i="1"/>
  <c r="FC202" i="1"/>
  <c r="EX202" i="1"/>
  <c r="ES202" i="1"/>
  <c r="EN202" i="1"/>
  <c r="EG202" i="1"/>
  <c r="EB202" i="1"/>
  <c r="DW202" i="1"/>
  <c r="DR202" i="1"/>
  <c r="DM202" i="1"/>
  <c r="DH202" i="1"/>
  <c r="DC202" i="1"/>
  <c r="CX202" i="1"/>
  <c r="CS202" i="1"/>
  <c r="CN202" i="1"/>
  <c r="CI202" i="1"/>
  <c r="CC202" i="1"/>
  <c r="BX202" i="1"/>
  <c r="BS202" i="1"/>
  <c r="BN202" i="1"/>
  <c r="BI202" i="1"/>
  <c r="BD202" i="1"/>
  <c r="AY202" i="1"/>
  <c r="AT202" i="1"/>
  <c r="AO202" i="1"/>
  <c r="AJ202" i="1"/>
  <c r="AE202" i="1"/>
  <c r="Y202" i="1"/>
  <c r="S202" i="1"/>
  <c r="N202" i="1"/>
  <c r="I202" i="1"/>
  <c r="NZ201" i="1"/>
  <c r="NU201" i="1"/>
  <c r="NP201" i="1"/>
  <c r="NK201" i="1"/>
  <c r="NF201" i="1"/>
  <c r="NA201" i="1"/>
  <c r="MV201" i="1"/>
  <c r="MQ201" i="1"/>
  <c r="MM201" i="1"/>
  <c r="MI201" i="1"/>
  <c r="MD201" i="1"/>
  <c r="LY201" i="1"/>
  <c r="LT201" i="1"/>
  <c r="LO201" i="1"/>
  <c r="LJ201" i="1"/>
  <c r="LE201" i="1"/>
  <c r="KZ201" i="1"/>
  <c r="KV201" i="1"/>
  <c r="KQ201" i="1"/>
  <c r="KM201" i="1"/>
  <c r="KI201" i="1"/>
  <c r="KE201" i="1"/>
  <c r="KA201" i="1"/>
  <c r="JV201" i="1"/>
  <c r="JQ201" i="1"/>
  <c r="JM201" i="1"/>
  <c r="JI201" i="1"/>
  <c r="JD201" i="1"/>
  <c r="IY201" i="1"/>
  <c r="IT201" i="1"/>
  <c r="IO201" i="1"/>
  <c r="IJ201" i="1"/>
  <c r="IE201" i="1"/>
  <c r="HZ201" i="1"/>
  <c r="HU201" i="1"/>
  <c r="HP201" i="1"/>
  <c r="HK201" i="1"/>
  <c r="HF201" i="1"/>
  <c r="HA201" i="1"/>
  <c r="GV201" i="1"/>
  <c r="GQ201" i="1"/>
  <c r="GL201" i="1"/>
  <c r="GG201" i="1"/>
  <c r="GB201" i="1"/>
  <c r="FW201" i="1"/>
  <c r="FR201" i="1"/>
  <c r="FM201" i="1"/>
  <c r="FH201" i="1"/>
  <c r="FC201" i="1"/>
  <c r="EX201" i="1"/>
  <c r="ES201" i="1"/>
  <c r="EN201" i="1"/>
  <c r="EG201" i="1"/>
  <c r="EB201" i="1"/>
  <c r="DW201" i="1"/>
  <c r="DR201" i="1"/>
  <c r="DM201" i="1"/>
  <c r="DH201" i="1"/>
  <c r="DC201" i="1"/>
  <c r="CX201" i="1"/>
  <c r="CS201" i="1"/>
  <c r="CN201" i="1"/>
  <c r="CI201" i="1"/>
  <c r="CC201" i="1"/>
  <c r="BX201" i="1"/>
  <c r="BS201" i="1"/>
  <c r="BN201" i="1"/>
  <c r="BI201" i="1"/>
  <c r="BD201" i="1"/>
  <c r="AY201" i="1"/>
  <c r="AT201" i="1"/>
  <c r="AO201" i="1"/>
  <c r="AJ201" i="1"/>
  <c r="AE201" i="1"/>
  <c r="W201" i="1"/>
  <c r="X201" i="1" s="1"/>
  <c r="Y201" i="1" s="1"/>
  <c r="S201" i="1"/>
  <c r="N201" i="1"/>
  <c r="I201" i="1"/>
  <c r="NZ200" i="1"/>
  <c r="NU200" i="1"/>
  <c r="NP200" i="1"/>
  <c r="NK200" i="1"/>
  <c r="NF200" i="1"/>
  <c r="NA200" i="1"/>
  <c r="MV200" i="1"/>
  <c r="MQ200" i="1"/>
  <c r="MM200" i="1"/>
  <c r="MI200" i="1"/>
  <c r="MD200" i="1"/>
  <c r="LY200" i="1"/>
  <c r="LT200" i="1"/>
  <c r="LO200" i="1"/>
  <c r="LJ200" i="1"/>
  <c r="LE200" i="1"/>
  <c r="KZ200" i="1"/>
  <c r="KV200" i="1"/>
  <c r="KQ200" i="1"/>
  <c r="KM200" i="1"/>
  <c r="KI200" i="1"/>
  <c r="KE200" i="1"/>
  <c r="JY200" i="1"/>
  <c r="JZ200" i="1" s="1"/>
  <c r="KA200" i="1" s="1"/>
  <c r="JV200" i="1"/>
  <c r="JQ200" i="1"/>
  <c r="JM200" i="1"/>
  <c r="JI200" i="1"/>
  <c r="JD200" i="1"/>
  <c r="IY200" i="1"/>
  <c r="IT200" i="1"/>
  <c r="IO200" i="1"/>
  <c r="IJ200" i="1"/>
  <c r="IE200" i="1"/>
  <c r="HZ200" i="1"/>
  <c r="HU200" i="1"/>
  <c r="HP200" i="1"/>
  <c r="HK200" i="1"/>
  <c r="HF200" i="1"/>
  <c r="HA200" i="1"/>
  <c r="GV200" i="1"/>
  <c r="GQ200" i="1"/>
  <c r="GL200" i="1"/>
  <c r="GG200" i="1"/>
  <c r="GB200" i="1"/>
  <c r="FW200" i="1"/>
  <c r="FR200" i="1"/>
  <c r="FM200" i="1"/>
  <c r="FH200" i="1"/>
  <c r="FC200" i="1"/>
  <c r="EX200" i="1"/>
  <c r="ES200" i="1"/>
  <c r="EN200" i="1"/>
  <c r="EG200" i="1"/>
  <c r="EB200" i="1"/>
  <c r="DW200" i="1"/>
  <c r="DR200" i="1"/>
  <c r="DM200" i="1"/>
  <c r="DH200" i="1"/>
  <c r="DC200" i="1"/>
  <c r="CX200" i="1"/>
  <c r="CS200" i="1"/>
  <c r="CN200" i="1"/>
  <c r="CI200" i="1"/>
  <c r="CC200" i="1"/>
  <c r="BX200" i="1"/>
  <c r="BS200" i="1"/>
  <c r="BN200" i="1"/>
  <c r="BI200" i="1"/>
  <c r="BD200" i="1"/>
  <c r="AY200" i="1"/>
  <c r="AT200" i="1"/>
  <c r="AO200" i="1"/>
  <c r="AJ200" i="1"/>
  <c r="AE200" i="1"/>
  <c r="Y200" i="1"/>
  <c r="S200" i="1"/>
  <c r="N200" i="1"/>
  <c r="I200" i="1"/>
  <c r="NZ199" i="1"/>
  <c r="NU199" i="1"/>
  <c r="NP199" i="1"/>
  <c r="NK199" i="1"/>
  <c r="NF199" i="1"/>
  <c r="NA199" i="1"/>
  <c r="MV199" i="1"/>
  <c r="MQ199" i="1"/>
  <c r="MM199" i="1"/>
  <c r="MI199" i="1"/>
  <c r="MD199" i="1"/>
  <c r="LY199" i="1"/>
  <c r="LT199" i="1"/>
  <c r="LO199" i="1"/>
  <c r="LJ199" i="1"/>
  <c r="LE199" i="1"/>
  <c r="KZ199" i="1"/>
  <c r="KV199" i="1"/>
  <c r="KO199" i="1"/>
  <c r="KP199" i="1" s="1"/>
  <c r="KQ199" i="1" s="1"/>
  <c r="KK199" i="1"/>
  <c r="KL199" i="1" s="1"/>
  <c r="KM199" i="1" s="1"/>
  <c r="KI199" i="1"/>
  <c r="KE199" i="1"/>
  <c r="KA199" i="1"/>
  <c r="JV199" i="1"/>
  <c r="JQ199" i="1"/>
  <c r="JM199" i="1"/>
  <c r="JI199" i="1"/>
  <c r="JD199" i="1"/>
  <c r="IY199" i="1"/>
  <c r="IT199" i="1"/>
  <c r="IO199" i="1"/>
  <c r="IJ199" i="1"/>
  <c r="IE199" i="1"/>
  <c r="HZ199" i="1"/>
  <c r="HU199" i="1"/>
  <c r="HP199" i="1"/>
  <c r="HK199" i="1"/>
  <c r="HF199" i="1"/>
  <c r="HA199" i="1"/>
  <c r="GV199" i="1"/>
  <c r="GQ199" i="1"/>
  <c r="GL199" i="1"/>
  <c r="GG199" i="1"/>
  <c r="GB199" i="1"/>
  <c r="FW199" i="1"/>
  <c r="FR199" i="1"/>
  <c r="FM199" i="1"/>
  <c r="FH199" i="1"/>
  <c r="FC199" i="1"/>
  <c r="EX199" i="1"/>
  <c r="ES199" i="1"/>
  <c r="EN199" i="1"/>
  <c r="EG199" i="1"/>
  <c r="EB199" i="1"/>
  <c r="DW199" i="1"/>
  <c r="DR199" i="1"/>
  <c r="DM199" i="1"/>
  <c r="DH199" i="1"/>
  <c r="DC199" i="1"/>
  <c r="CX199" i="1"/>
  <c r="CS199" i="1"/>
  <c r="CN199" i="1"/>
  <c r="CI199" i="1"/>
  <c r="CC199" i="1"/>
  <c r="BX199" i="1"/>
  <c r="BS199" i="1"/>
  <c r="BN199" i="1"/>
  <c r="BI199" i="1"/>
  <c r="BD199" i="1"/>
  <c r="AY199" i="1"/>
  <c r="AT199" i="1"/>
  <c r="AO199" i="1"/>
  <c r="AJ199" i="1"/>
  <c r="AE199" i="1"/>
  <c r="Y199" i="1"/>
  <c r="Q199" i="1"/>
  <c r="R199" i="1" s="1"/>
  <c r="S199" i="1" s="1"/>
  <c r="N199" i="1"/>
  <c r="I199" i="1"/>
  <c r="NZ198" i="1"/>
  <c r="NU198" i="1"/>
  <c r="NP198" i="1"/>
  <c r="NK198" i="1"/>
  <c r="NF198" i="1"/>
  <c r="NA198" i="1"/>
  <c r="MV198" i="1"/>
  <c r="MQ198" i="1"/>
  <c r="MM198" i="1"/>
  <c r="MI198" i="1"/>
  <c r="MD198" i="1"/>
  <c r="LY198" i="1"/>
  <c r="LT198" i="1"/>
  <c r="LO198" i="1"/>
  <c r="LJ198" i="1"/>
  <c r="LE198" i="1"/>
  <c r="KZ198" i="1"/>
  <c r="KV198" i="1"/>
  <c r="KQ198" i="1"/>
  <c r="KM198" i="1"/>
  <c r="KI198" i="1"/>
  <c r="KE198" i="1"/>
  <c r="KA198" i="1"/>
  <c r="JV198" i="1"/>
  <c r="JQ198" i="1"/>
  <c r="JM198" i="1"/>
  <c r="JI198" i="1"/>
  <c r="JD198" i="1"/>
  <c r="IY198" i="1"/>
  <c r="IT198" i="1"/>
  <c r="IO198" i="1"/>
  <c r="IJ198" i="1"/>
  <c r="IE198" i="1"/>
  <c r="HZ198" i="1"/>
  <c r="HU198" i="1"/>
  <c r="HP198" i="1"/>
  <c r="HK198" i="1"/>
  <c r="HF198" i="1"/>
  <c r="HA198" i="1"/>
  <c r="GV198" i="1"/>
  <c r="GQ198" i="1"/>
  <c r="GL198" i="1"/>
  <c r="GG198" i="1"/>
  <c r="GB198" i="1"/>
  <c r="FW198" i="1"/>
  <c r="FR198" i="1"/>
  <c r="FM198" i="1"/>
  <c r="FH198" i="1"/>
  <c r="FC198" i="1"/>
  <c r="EX198" i="1"/>
  <c r="ES198" i="1"/>
  <c r="EN198" i="1"/>
  <c r="EG198" i="1"/>
  <c r="EB198" i="1"/>
  <c r="DW198" i="1"/>
  <c r="DR198" i="1"/>
  <c r="DM198" i="1"/>
  <c r="DH198" i="1"/>
  <c r="DC198" i="1"/>
  <c r="CX198" i="1"/>
  <c r="CS198" i="1"/>
  <c r="CN198" i="1"/>
  <c r="CI198" i="1"/>
  <c r="CC198" i="1"/>
  <c r="BX198" i="1"/>
  <c r="BS198" i="1"/>
  <c r="BN198" i="1"/>
  <c r="BI198" i="1"/>
  <c r="BD198" i="1"/>
  <c r="AY198" i="1"/>
  <c r="AT198" i="1"/>
  <c r="AO198" i="1"/>
  <c r="AJ198" i="1"/>
  <c r="AE198" i="1"/>
  <c r="Y198" i="1"/>
  <c r="S198" i="1"/>
  <c r="N198" i="1"/>
  <c r="I198" i="1"/>
  <c r="NZ197" i="1"/>
  <c r="NU197" i="1"/>
  <c r="NP197" i="1"/>
  <c r="NK197" i="1"/>
  <c r="NF197" i="1"/>
  <c r="NA197" i="1"/>
  <c r="MV197" i="1"/>
  <c r="MQ197" i="1"/>
  <c r="MM197" i="1"/>
  <c r="MI197" i="1"/>
  <c r="MD197" i="1"/>
  <c r="LY197" i="1"/>
  <c r="LT197" i="1"/>
  <c r="LO197" i="1"/>
  <c r="LJ197" i="1"/>
  <c r="LE197" i="1"/>
  <c r="KZ197" i="1"/>
  <c r="KV197" i="1"/>
  <c r="KO197" i="1"/>
  <c r="KP197" i="1" s="1"/>
  <c r="KQ197" i="1" s="1"/>
  <c r="KM197" i="1"/>
  <c r="KI197" i="1"/>
  <c r="KE197" i="1"/>
  <c r="KA197" i="1"/>
  <c r="JV197" i="1"/>
  <c r="JQ197" i="1"/>
  <c r="JM197" i="1"/>
  <c r="JI197" i="1"/>
  <c r="JD197" i="1"/>
  <c r="IY197" i="1"/>
  <c r="IT197" i="1"/>
  <c r="IO197" i="1"/>
  <c r="IJ197" i="1"/>
  <c r="IE197" i="1"/>
  <c r="HZ197" i="1"/>
  <c r="HU197" i="1"/>
  <c r="HP197" i="1"/>
  <c r="HK197" i="1"/>
  <c r="HF197" i="1"/>
  <c r="HA197" i="1"/>
  <c r="GV197" i="1"/>
  <c r="GQ197" i="1"/>
  <c r="GL197" i="1"/>
  <c r="GG197" i="1"/>
  <c r="GB197" i="1"/>
  <c r="FW197" i="1"/>
  <c r="FR197" i="1"/>
  <c r="FM197" i="1"/>
  <c r="FH197" i="1"/>
  <c r="FC197" i="1"/>
  <c r="EX197" i="1"/>
  <c r="ES197" i="1"/>
  <c r="EN197" i="1"/>
  <c r="EG197" i="1"/>
  <c r="EB197" i="1"/>
  <c r="DW197" i="1"/>
  <c r="DR197" i="1"/>
  <c r="DM197" i="1"/>
  <c r="DH197" i="1"/>
  <c r="DC197" i="1"/>
  <c r="CX197" i="1"/>
  <c r="CS197" i="1"/>
  <c r="CN197" i="1"/>
  <c r="CI197" i="1"/>
  <c r="CC197" i="1"/>
  <c r="BX197" i="1"/>
  <c r="BS197" i="1"/>
  <c r="BN197" i="1"/>
  <c r="BI197" i="1"/>
  <c r="BD197" i="1"/>
  <c r="AY197" i="1"/>
  <c r="AT197" i="1"/>
  <c r="AO197" i="1"/>
  <c r="AJ197" i="1"/>
  <c r="AE197" i="1"/>
  <c r="Y197" i="1"/>
  <c r="S197" i="1"/>
  <c r="N197" i="1"/>
  <c r="I197" i="1"/>
  <c r="NZ196" i="1"/>
  <c r="NU196" i="1"/>
  <c r="NP196" i="1"/>
  <c r="NI196" i="1"/>
  <c r="NJ196" i="1" s="1"/>
  <c r="NK196" i="1" s="1"/>
  <c r="ND196" i="1"/>
  <c r="NE196" i="1" s="1"/>
  <c r="NF196" i="1" s="1"/>
  <c r="NA196" i="1"/>
  <c r="MV196" i="1"/>
  <c r="MQ196" i="1"/>
  <c r="MM196" i="1"/>
  <c r="MI196" i="1"/>
  <c r="MD196" i="1"/>
  <c r="LY196" i="1"/>
  <c r="LT196" i="1"/>
  <c r="LO196" i="1"/>
  <c r="LH196" i="1"/>
  <c r="LI196" i="1" s="1"/>
  <c r="LJ196" i="1" s="1"/>
  <c r="LE196" i="1"/>
  <c r="KZ196" i="1"/>
  <c r="KV196" i="1"/>
  <c r="KQ196" i="1"/>
  <c r="KM196" i="1"/>
  <c r="KI196" i="1"/>
  <c r="KE196" i="1"/>
  <c r="KA196" i="1"/>
  <c r="JV196" i="1"/>
  <c r="JQ196" i="1"/>
  <c r="JM196" i="1"/>
  <c r="JI196" i="1"/>
  <c r="JD196" i="1"/>
  <c r="IY196" i="1"/>
  <c r="IT196" i="1"/>
  <c r="IO196" i="1"/>
  <c r="IJ196" i="1"/>
  <c r="IE196" i="1"/>
  <c r="HZ196" i="1"/>
  <c r="HU196" i="1"/>
  <c r="HP196" i="1"/>
  <c r="HK196" i="1"/>
  <c r="HF196" i="1"/>
  <c r="HA196" i="1"/>
  <c r="GV196" i="1"/>
  <c r="GQ196" i="1"/>
  <c r="GL196" i="1"/>
  <c r="GG196" i="1"/>
  <c r="GB196" i="1"/>
  <c r="FW196" i="1"/>
  <c r="FR196" i="1"/>
  <c r="FM196" i="1"/>
  <c r="FH196" i="1"/>
  <c r="FC196" i="1"/>
  <c r="EX196" i="1"/>
  <c r="ES196" i="1"/>
  <c r="EN196" i="1"/>
  <c r="EG196" i="1"/>
  <c r="EB196" i="1"/>
  <c r="DW196" i="1"/>
  <c r="DR196" i="1"/>
  <c r="DM196" i="1"/>
  <c r="DH196" i="1"/>
  <c r="DC196" i="1"/>
  <c r="CX196" i="1"/>
  <c r="CS196" i="1"/>
  <c r="CN196" i="1"/>
  <c r="CI196" i="1"/>
  <c r="CC196" i="1"/>
  <c r="BX196" i="1"/>
  <c r="BS196" i="1"/>
  <c r="BN196" i="1"/>
  <c r="BI196" i="1"/>
  <c r="BD196" i="1"/>
  <c r="AY196" i="1"/>
  <c r="AT196" i="1"/>
  <c r="AO196" i="1"/>
  <c r="AJ196" i="1"/>
  <c r="AE196" i="1"/>
  <c r="W196" i="1"/>
  <c r="X196" i="1" s="1"/>
  <c r="Y196" i="1" s="1"/>
  <c r="S196" i="1"/>
  <c r="N196" i="1"/>
  <c r="I196" i="1"/>
  <c r="NZ195" i="1"/>
  <c r="NU195" i="1"/>
  <c r="NP195" i="1"/>
  <c r="NK195" i="1"/>
  <c r="NF195" i="1"/>
  <c r="NA195" i="1"/>
  <c r="MV195" i="1"/>
  <c r="MQ195" i="1"/>
  <c r="MM195" i="1"/>
  <c r="MI195" i="1"/>
  <c r="MD195" i="1"/>
  <c r="LY195" i="1"/>
  <c r="LT195" i="1"/>
  <c r="LO195" i="1"/>
  <c r="LJ195" i="1"/>
  <c r="LE195" i="1"/>
  <c r="KZ195" i="1"/>
  <c r="KV195" i="1"/>
  <c r="KQ195" i="1"/>
  <c r="KM195" i="1"/>
  <c r="KI195" i="1"/>
  <c r="KE195" i="1"/>
  <c r="KA195" i="1"/>
  <c r="JV195" i="1"/>
  <c r="JQ195" i="1"/>
  <c r="JM195" i="1"/>
  <c r="JI195" i="1"/>
  <c r="JD195" i="1"/>
  <c r="IY195" i="1"/>
  <c r="IT195" i="1"/>
  <c r="IO195" i="1"/>
  <c r="IJ195" i="1"/>
  <c r="IE195" i="1"/>
  <c r="HZ195" i="1"/>
  <c r="HU195" i="1"/>
  <c r="HP195" i="1"/>
  <c r="HK195" i="1"/>
  <c r="HF195" i="1"/>
  <c r="HA195" i="1"/>
  <c r="GV195" i="1"/>
  <c r="GQ195" i="1"/>
  <c r="GL195" i="1"/>
  <c r="GG195" i="1"/>
  <c r="GB195" i="1"/>
  <c r="FW195" i="1"/>
  <c r="FR195" i="1"/>
  <c r="FM195" i="1"/>
  <c r="FH195" i="1"/>
  <c r="FC195" i="1"/>
  <c r="EX195" i="1"/>
  <c r="ES195" i="1"/>
  <c r="EN195" i="1"/>
  <c r="EG195" i="1"/>
  <c r="EB195" i="1"/>
  <c r="DW195" i="1"/>
  <c r="DR195" i="1"/>
  <c r="DM195" i="1"/>
  <c r="DH195" i="1"/>
  <c r="DC195" i="1"/>
  <c r="CX195" i="1"/>
  <c r="CS195" i="1"/>
  <c r="CN195" i="1"/>
  <c r="CI195" i="1"/>
  <c r="CC195" i="1"/>
  <c r="BX195" i="1"/>
  <c r="BS195" i="1"/>
  <c r="BN195" i="1"/>
  <c r="BI195" i="1"/>
  <c r="BD195" i="1"/>
  <c r="AY195" i="1"/>
  <c r="AT195" i="1"/>
  <c r="AO195" i="1"/>
  <c r="AH195" i="1"/>
  <c r="AI195" i="1" s="1"/>
  <c r="AJ195" i="1" s="1"/>
  <c r="AE195" i="1"/>
  <c r="W195" i="1"/>
  <c r="X195" i="1" s="1"/>
  <c r="Y195" i="1" s="1"/>
  <c r="S195" i="1"/>
  <c r="N195" i="1"/>
  <c r="I195" i="1"/>
  <c r="NZ194" i="1"/>
  <c r="NU194" i="1"/>
  <c r="NP194" i="1"/>
  <c r="NK194" i="1"/>
  <c r="NF194" i="1"/>
  <c r="NA194" i="1"/>
  <c r="MV194" i="1"/>
  <c r="MQ194" i="1"/>
  <c r="MM194" i="1"/>
  <c r="MI194" i="1"/>
  <c r="MD194" i="1"/>
  <c r="LY194" i="1"/>
  <c r="LT194" i="1"/>
  <c r="LO194" i="1"/>
  <c r="LJ194" i="1"/>
  <c r="LE194" i="1"/>
  <c r="KZ194" i="1"/>
  <c r="KV194" i="1"/>
  <c r="KQ194" i="1"/>
  <c r="KM194" i="1"/>
  <c r="KI194" i="1"/>
  <c r="KE194" i="1"/>
  <c r="KA194" i="1"/>
  <c r="JV194" i="1"/>
  <c r="JQ194" i="1"/>
  <c r="JM194" i="1"/>
  <c r="JI194" i="1"/>
  <c r="JD194" i="1"/>
  <c r="IY194" i="1"/>
  <c r="IT194" i="1"/>
  <c r="IO194" i="1"/>
  <c r="IJ194" i="1"/>
  <c r="IE194" i="1"/>
  <c r="HZ194" i="1"/>
  <c r="HU194" i="1"/>
  <c r="HP194" i="1"/>
  <c r="HK194" i="1"/>
  <c r="HF194" i="1"/>
  <c r="HA194" i="1"/>
  <c r="GV194" i="1"/>
  <c r="GQ194" i="1"/>
  <c r="GL194" i="1"/>
  <c r="GG194" i="1"/>
  <c r="GB194" i="1"/>
  <c r="FW194" i="1"/>
  <c r="FR194" i="1"/>
  <c r="FM194" i="1"/>
  <c r="FH194" i="1"/>
  <c r="FC194" i="1"/>
  <c r="EX194" i="1"/>
  <c r="ES194" i="1"/>
  <c r="EN194" i="1"/>
  <c r="EG194" i="1"/>
  <c r="EB194" i="1"/>
  <c r="DW194" i="1"/>
  <c r="DR194" i="1"/>
  <c r="DM194" i="1"/>
  <c r="DH194" i="1"/>
  <c r="DC194" i="1"/>
  <c r="CX194" i="1"/>
  <c r="CS194" i="1"/>
  <c r="CN194" i="1"/>
  <c r="CI194" i="1"/>
  <c r="CC194" i="1"/>
  <c r="BX194" i="1"/>
  <c r="BS194" i="1"/>
  <c r="BN194" i="1"/>
  <c r="BI194" i="1"/>
  <c r="BD194" i="1"/>
  <c r="AY194" i="1"/>
  <c r="AT194" i="1"/>
  <c r="AO194" i="1"/>
  <c r="AJ194" i="1"/>
  <c r="AE194" i="1"/>
  <c r="Y194" i="1"/>
  <c r="S194" i="1"/>
  <c r="N194" i="1"/>
  <c r="I194" i="1"/>
  <c r="NZ193" i="1"/>
  <c r="NU193" i="1"/>
  <c r="NP193" i="1"/>
  <c r="NK193" i="1"/>
  <c r="NF193" i="1"/>
  <c r="NA193" i="1"/>
  <c r="MV193" i="1"/>
  <c r="MQ193" i="1"/>
  <c r="MM193" i="1"/>
  <c r="MI193" i="1"/>
  <c r="MD193" i="1"/>
  <c r="LY193" i="1"/>
  <c r="LT193" i="1"/>
  <c r="LO193" i="1"/>
  <c r="LJ193" i="1"/>
  <c r="LE193" i="1"/>
  <c r="KZ193" i="1"/>
  <c r="KV193" i="1"/>
  <c r="KQ193" i="1"/>
  <c r="KM193" i="1"/>
  <c r="KI193" i="1"/>
  <c r="KE193" i="1"/>
  <c r="KA193" i="1"/>
  <c r="JV193" i="1"/>
  <c r="JQ193" i="1"/>
  <c r="JM193" i="1"/>
  <c r="JI193" i="1"/>
  <c r="JD193" i="1"/>
  <c r="IY193" i="1"/>
  <c r="IT193" i="1"/>
  <c r="IO193" i="1"/>
  <c r="IJ193" i="1"/>
  <c r="IE193" i="1"/>
  <c r="HZ193" i="1"/>
  <c r="HU193" i="1"/>
  <c r="HP193" i="1"/>
  <c r="HK193" i="1"/>
  <c r="HF193" i="1"/>
  <c r="HA193" i="1"/>
  <c r="GV193" i="1"/>
  <c r="GQ193" i="1"/>
  <c r="GL193" i="1"/>
  <c r="GG193" i="1"/>
  <c r="GB193" i="1"/>
  <c r="FW193" i="1"/>
  <c r="FR193" i="1"/>
  <c r="FM193" i="1"/>
  <c r="FH193" i="1"/>
  <c r="FC193" i="1"/>
  <c r="EX193" i="1"/>
  <c r="ES193" i="1"/>
  <c r="EN193" i="1"/>
  <c r="EG193" i="1"/>
  <c r="EB193" i="1"/>
  <c r="DW193" i="1"/>
  <c r="DR193" i="1"/>
  <c r="DM193" i="1"/>
  <c r="DH193" i="1"/>
  <c r="DC193" i="1"/>
  <c r="CX193" i="1"/>
  <c r="CS193" i="1"/>
  <c r="CN193" i="1"/>
  <c r="CI193" i="1"/>
  <c r="CC193" i="1"/>
  <c r="BX193" i="1"/>
  <c r="BS193" i="1"/>
  <c r="BN193" i="1"/>
  <c r="BI193" i="1"/>
  <c r="BD193" i="1"/>
  <c r="AY193" i="1"/>
  <c r="AT193" i="1"/>
  <c r="AO193" i="1"/>
  <c r="AJ193" i="1"/>
  <c r="AE193" i="1"/>
  <c r="Y193" i="1"/>
  <c r="S193" i="1"/>
  <c r="N193" i="1"/>
  <c r="I193" i="1"/>
  <c r="NZ192" i="1"/>
  <c r="NU192" i="1"/>
  <c r="NP192" i="1"/>
  <c r="NK192" i="1"/>
  <c r="NF192" i="1"/>
  <c r="NA192" i="1"/>
  <c r="MV192" i="1"/>
  <c r="MQ192" i="1"/>
  <c r="MM192" i="1"/>
  <c r="MI192" i="1"/>
  <c r="MD192" i="1"/>
  <c r="LY192" i="1"/>
  <c r="LT192" i="1"/>
  <c r="LO192" i="1"/>
  <c r="LJ192" i="1"/>
  <c r="LE192" i="1"/>
  <c r="KZ192" i="1"/>
  <c r="KV192" i="1"/>
  <c r="KQ192" i="1"/>
  <c r="KM192" i="1"/>
  <c r="KI192" i="1"/>
  <c r="KE192" i="1"/>
  <c r="KA192" i="1"/>
  <c r="JV192" i="1"/>
  <c r="JQ192" i="1"/>
  <c r="JM192" i="1"/>
  <c r="JI192" i="1"/>
  <c r="JD192" i="1"/>
  <c r="IY192" i="1"/>
  <c r="IT192" i="1"/>
  <c r="IO192" i="1"/>
  <c r="IJ192" i="1"/>
  <c r="IE192" i="1"/>
  <c r="HZ192" i="1"/>
  <c r="HU192" i="1"/>
  <c r="HP192" i="1"/>
  <c r="HK192" i="1"/>
  <c r="HF192" i="1"/>
  <c r="HA192" i="1"/>
  <c r="GV192" i="1"/>
  <c r="GQ192" i="1"/>
  <c r="GL192" i="1"/>
  <c r="GG192" i="1"/>
  <c r="GB192" i="1"/>
  <c r="FW192" i="1"/>
  <c r="FR192" i="1"/>
  <c r="FM192" i="1"/>
  <c r="FH192" i="1"/>
  <c r="FC192" i="1"/>
  <c r="EX192" i="1"/>
  <c r="ES192" i="1"/>
  <c r="EN192" i="1"/>
  <c r="EG192" i="1"/>
  <c r="EB192" i="1"/>
  <c r="DW192" i="1"/>
  <c r="DR192" i="1"/>
  <c r="DM192" i="1"/>
  <c r="DH192" i="1"/>
  <c r="DC192" i="1"/>
  <c r="CX192" i="1"/>
  <c r="CS192" i="1"/>
  <c r="CN192" i="1"/>
  <c r="CI192" i="1"/>
  <c r="CC192" i="1"/>
  <c r="BX192" i="1"/>
  <c r="BS192" i="1"/>
  <c r="BN192" i="1"/>
  <c r="BI192" i="1"/>
  <c r="BD192" i="1"/>
  <c r="AY192" i="1"/>
  <c r="AT192" i="1"/>
  <c r="AO192" i="1"/>
  <c r="AJ192" i="1"/>
  <c r="AE192" i="1"/>
  <c r="Y192" i="1"/>
  <c r="S192" i="1"/>
  <c r="N192" i="1"/>
  <c r="I192" i="1"/>
  <c r="NZ191" i="1"/>
  <c r="NU191" i="1"/>
  <c r="NP191" i="1"/>
  <c r="NK191" i="1"/>
  <c r="NF191" i="1"/>
  <c r="NA191" i="1"/>
  <c r="MV191" i="1"/>
  <c r="MQ191" i="1"/>
  <c r="MM191" i="1"/>
  <c r="MI191" i="1"/>
  <c r="MD191" i="1"/>
  <c r="LY191" i="1"/>
  <c r="LT191" i="1"/>
  <c r="LO191" i="1"/>
  <c r="LJ191" i="1"/>
  <c r="LE191" i="1"/>
  <c r="KZ191" i="1"/>
  <c r="KV191" i="1"/>
  <c r="KQ191" i="1"/>
  <c r="KM191" i="1"/>
  <c r="KI191" i="1"/>
  <c r="KE191" i="1"/>
  <c r="KA191" i="1"/>
  <c r="JV191" i="1"/>
  <c r="JQ191" i="1"/>
  <c r="JM191" i="1"/>
  <c r="JI191" i="1"/>
  <c r="JD191" i="1"/>
  <c r="IY191" i="1"/>
  <c r="IT191" i="1"/>
  <c r="IO191" i="1"/>
  <c r="IJ191" i="1"/>
  <c r="IE191" i="1"/>
  <c r="HZ191" i="1"/>
  <c r="HU191" i="1"/>
  <c r="HP191" i="1"/>
  <c r="HK191" i="1"/>
  <c r="HF191" i="1"/>
  <c r="HA191" i="1"/>
  <c r="GV191" i="1"/>
  <c r="GQ191" i="1"/>
  <c r="GL191" i="1"/>
  <c r="GG191" i="1"/>
  <c r="GB191" i="1"/>
  <c r="FW191" i="1"/>
  <c r="FR191" i="1"/>
  <c r="FM191" i="1"/>
  <c r="FH191" i="1"/>
  <c r="FC191" i="1"/>
  <c r="EX191" i="1"/>
  <c r="ES191" i="1"/>
  <c r="EN191" i="1"/>
  <c r="EG191" i="1"/>
  <c r="EB191" i="1"/>
  <c r="DW191" i="1"/>
  <c r="DR191" i="1"/>
  <c r="DM191" i="1"/>
  <c r="DH191" i="1"/>
  <c r="DC191" i="1"/>
  <c r="CX191" i="1"/>
  <c r="CS191" i="1"/>
  <c r="CN191" i="1"/>
  <c r="CI191" i="1"/>
  <c r="CC191" i="1"/>
  <c r="BX191" i="1"/>
  <c r="BS191" i="1"/>
  <c r="BN191" i="1"/>
  <c r="BI191" i="1"/>
  <c r="BD191" i="1"/>
  <c r="AY191" i="1"/>
  <c r="AT191" i="1"/>
  <c r="AO191" i="1"/>
  <c r="AJ191" i="1"/>
  <c r="AE191" i="1"/>
  <c r="Y191" i="1"/>
  <c r="S191" i="1"/>
  <c r="N191" i="1"/>
  <c r="I191" i="1"/>
  <c r="NZ190" i="1"/>
  <c r="NU190" i="1"/>
  <c r="NP190" i="1"/>
  <c r="NK190" i="1"/>
  <c r="NF190" i="1"/>
  <c r="NA190" i="1"/>
  <c r="MV190" i="1"/>
  <c r="MQ190" i="1"/>
  <c r="MM190" i="1"/>
  <c r="MI190" i="1"/>
  <c r="MD190" i="1"/>
  <c r="LY190" i="1"/>
  <c r="LT190" i="1"/>
  <c r="LO190" i="1"/>
  <c r="LJ190" i="1"/>
  <c r="LE190" i="1"/>
  <c r="KZ190" i="1"/>
  <c r="KV190" i="1"/>
  <c r="KQ190" i="1"/>
  <c r="KM190" i="1"/>
  <c r="KI190" i="1"/>
  <c r="KE190" i="1"/>
  <c r="KA190" i="1"/>
  <c r="JV190" i="1"/>
  <c r="JQ190" i="1"/>
  <c r="JM190" i="1"/>
  <c r="JI190" i="1"/>
  <c r="JD190" i="1"/>
  <c r="IY190" i="1"/>
  <c r="IT190" i="1"/>
  <c r="IO190" i="1"/>
  <c r="IJ190" i="1"/>
  <c r="IE190" i="1"/>
  <c r="HZ190" i="1"/>
  <c r="HU190" i="1"/>
  <c r="HP190" i="1"/>
  <c r="HI190" i="1"/>
  <c r="HJ190" i="1" s="1"/>
  <c r="HK190" i="1" s="1"/>
  <c r="HD190" i="1"/>
  <c r="HE190" i="1" s="1"/>
  <c r="HF190" i="1" s="1"/>
  <c r="GY190" i="1"/>
  <c r="GZ190" i="1" s="1"/>
  <c r="HA190" i="1" s="1"/>
  <c r="GT190" i="1"/>
  <c r="GU190" i="1" s="1"/>
  <c r="GV190" i="1" s="1"/>
  <c r="GO190" i="1"/>
  <c r="GP190" i="1" s="1"/>
  <c r="GQ190" i="1" s="1"/>
  <c r="GJ190" i="1"/>
  <c r="GK190" i="1" s="1"/>
  <c r="GL190" i="1" s="1"/>
  <c r="GE190" i="1"/>
  <c r="GF190" i="1" s="1"/>
  <c r="GG190" i="1" s="1"/>
  <c r="FZ190" i="1"/>
  <c r="GA190" i="1" s="1"/>
  <c r="GB190" i="1" s="1"/>
  <c r="FU190" i="1"/>
  <c r="FV190" i="1" s="1"/>
  <c r="FW190" i="1" s="1"/>
  <c r="FP190" i="1"/>
  <c r="FQ190" i="1" s="1"/>
  <c r="FR190" i="1" s="1"/>
  <c r="FK190" i="1"/>
  <c r="FL190" i="1" s="1"/>
  <c r="FM190" i="1" s="1"/>
  <c r="FF190" i="1"/>
  <c r="FG190" i="1" s="1"/>
  <c r="FH190" i="1" s="1"/>
  <c r="FA190" i="1"/>
  <c r="FB190" i="1" s="1"/>
  <c r="FC190" i="1" s="1"/>
  <c r="EV190" i="1"/>
  <c r="EW190" i="1" s="1"/>
  <c r="EX190" i="1" s="1"/>
  <c r="EQ190" i="1"/>
  <c r="ER190" i="1" s="1"/>
  <c r="ES190" i="1" s="1"/>
  <c r="EL190" i="1"/>
  <c r="EM190" i="1" s="1"/>
  <c r="EN190" i="1" s="1"/>
  <c r="EE190" i="1"/>
  <c r="EF190" i="1" s="1"/>
  <c r="EG190" i="1" s="1"/>
  <c r="DZ190" i="1"/>
  <c r="EA190" i="1" s="1"/>
  <c r="EB190" i="1" s="1"/>
  <c r="DU190" i="1"/>
  <c r="DV190" i="1" s="1"/>
  <c r="DW190" i="1" s="1"/>
  <c r="DP190" i="1"/>
  <c r="DQ190" i="1" s="1"/>
  <c r="DR190" i="1" s="1"/>
  <c r="DK190" i="1"/>
  <c r="DL190" i="1" s="1"/>
  <c r="DM190" i="1" s="1"/>
  <c r="DF190" i="1"/>
  <c r="DG190" i="1" s="1"/>
  <c r="DH190" i="1" s="1"/>
  <c r="DA190" i="1"/>
  <c r="DB190" i="1" s="1"/>
  <c r="DC190" i="1" s="1"/>
  <c r="CV190" i="1"/>
  <c r="CW190" i="1" s="1"/>
  <c r="CX190" i="1" s="1"/>
  <c r="CQ190" i="1"/>
  <c r="CR190" i="1" s="1"/>
  <c r="CS190" i="1" s="1"/>
  <c r="CL190" i="1"/>
  <c r="CM190" i="1" s="1"/>
  <c r="CN190" i="1" s="1"/>
  <c r="CG190" i="1"/>
  <c r="CH190" i="1" s="1"/>
  <c r="CI190" i="1" s="1"/>
  <c r="CA190" i="1"/>
  <c r="CB190" i="1" s="1"/>
  <c r="CC190" i="1" s="1"/>
  <c r="BV190" i="1"/>
  <c r="BW190" i="1" s="1"/>
  <c r="BX190" i="1" s="1"/>
  <c r="BQ190" i="1"/>
  <c r="BR190" i="1" s="1"/>
  <c r="BS190" i="1" s="1"/>
  <c r="BL190" i="1"/>
  <c r="BM190" i="1" s="1"/>
  <c r="BN190" i="1" s="1"/>
  <c r="BG190" i="1"/>
  <c r="BH190" i="1" s="1"/>
  <c r="BI190" i="1" s="1"/>
  <c r="BB190" i="1"/>
  <c r="BC190" i="1" s="1"/>
  <c r="BD190" i="1" s="1"/>
  <c r="AX190" i="1"/>
  <c r="AY190" i="1" s="1"/>
  <c r="AW190" i="1"/>
  <c r="AR190" i="1"/>
  <c r="AS190" i="1" s="1"/>
  <c r="AT190" i="1" s="1"/>
  <c r="AM190" i="1"/>
  <c r="AN190" i="1" s="1"/>
  <c r="AO190" i="1" s="1"/>
  <c r="AH190" i="1"/>
  <c r="AI190" i="1" s="1"/>
  <c r="AJ190" i="1" s="1"/>
  <c r="AC190" i="1"/>
  <c r="AD190" i="1" s="1"/>
  <c r="AE190" i="1" s="1"/>
  <c r="W190" i="1"/>
  <c r="X190" i="1" s="1"/>
  <c r="Y190" i="1" s="1"/>
  <c r="Q190" i="1"/>
  <c r="R190" i="1" s="1"/>
  <c r="S190" i="1" s="1"/>
  <c r="N190" i="1"/>
  <c r="I190" i="1"/>
  <c r="NZ189" i="1"/>
  <c r="NU189" i="1"/>
  <c r="NP189" i="1"/>
  <c r="NK189" i="1"/>
  <c r="NF189" i="1"/>
  <c r="NA189" i="1"/>
  <c r="MV189" i="1"/>
  <c r="MQ189" i="1"/>
  <c r="MM189" i="1"/>
  <c r="MI189" i="1"/>
  <c r="MD189" i="1"/>
  <c r="LY189" i="1"/>
  <c r="LT189" i="1"/>
  <c r="LO189" i="1"/>
  <c r="LJ189" i="1"/>
  <c r="LE189" i="1"/>
  <c r="KZ189" i="1"/>
  <c r="KV189" i="1"/>
  <c r="KQ189" i="1"/>
  <c r="KM189" i="1"/>
  <c r="KI189" i="1"/>
  <c r="KE189" i="1"/>
  <c r="KA189" i="1"/>
  <c r="JV189" i="1"/>
  <c r="JQ189" i="1"/>
  <c r="JM189" i="1"/>
  <c r="JI189" i="1"/>
  <c r="JD189" i="1"/>
  <c r="IY189" i="1"/>
  <c r="IT189" i="1"/>
  <c r="IO189" i="1"/>
  <c r="IJ189" i="1"/>
  <c r="IE189" i="1"/>
  <c r="HZ189" i="1"/>
  <c r="HU189" i="1"/>
  <c r="HP189" i="1"/>
  <c r="HK189" i="1"/>
  <c r="HD189" i="1"/>
  <c r="HE189" i="1" s="1"/>
  <c r="HF189" i="1" s="1"/>
  <c r="GY189" i="1"/>
  <c r="GZ189" i="1" s="1"/>
  <c r="HA189" i="1" s="1"/>
  <c r="GT189" i="1"/>
  <c r="GU189" i="1" s="1"/>
  <c r="GV189" i="1" s="1"/>
  <c r="GO189" i="1"/>
  <c r="GP189" i="1" s="1"/>
  <c r="GQ189" i="1" s="1"/>
  <c r="GJ189" i="1"/>
  <c r="GK189" i="1" s="1"/>
  <c r="GL189" i="1" s="1"/>
  <c r="GE189" i="1"/>
  <c r="GF189" i="1" s="1"/>
  <c r="GG189" i="1" s="1"/>
  <c r="FZ189" i="1"/>
  <c r="GA189" i="1" s="1"/>
  <c r="GB189" i="1" s="1"/>
  <c r="FU189" i="1"/>
  <c r="FV189" i="1" s="1"/>
  <c r="FW189" i="1" s="1"/>
  <c r="FP189" i="1"/>
  <c r="FQ189" i="1" s="1"/>
  <c r="FR189" i="1" s="1"/>
  <c r="FK189" i="1"/>
  <c r="FL189" i="1" s="1"/>
  <c r="FM189" i="1" s="1"/>
  <c r="FF189" i="1"/>
  <c r="FG189" i="1" s="1"/>
  <c r="FH189" i="1" s="1"/>
  <c r="FA189" i="1"/>
  <c r="FB189" i="1" s="1"/>
  <c r="FC189" i="1" s="1"/>
  <c r="EV189" i="1"/>
  <c r="EW189" i="1" s="1"/>
  <c r="EX189" i="1" s="1"/>
  <c r="EQ189" i="1"/>
  <c r="ER189" i="1" s="1"/>
  <c r="ES189" i="1" s="1"/>
  <c r="EL189" i="1"/>
  <c r="EM189" i="1" s="1"/>
  <c r="EN189" i="1" s="1"/>
  <c r="EE189" i="1"/>
  <c r="EF189" i="1" s="1"/>
  <c r="EG189" i="1" s="1"/>
  <c r="DZ189" i="1"/>
  <c r="EA189" i="1" s="1"/>
  <c r="EB189" i="1" s="1"/>
  <c r="DU189" i="1"/>
  <c r="DV189" i="1" s="1"/>
  <c r="DW189" i="1" s="1"/>
  <c r="DP189" i="1"/>
  <c r="DQ189" i="1" s="1"/>
  <c r="DR189" i="1" s="1"/>
  <c r="DK189" i="1"/>
  <c r="DL189" i="1" s="1"/>
  <c r="DM189" i="1" s="1"/>
  <c r="DF189" i="1"/>
  <c r="DG189" i="1" s="1"/>
  <c r="DH189" i="1" s="1"/>
  <c r="DA189" i="1"/>
  <c r="DB189" i="1" s="1"/>
  <c r="DC189" i="1" s="1"/>
  <c r="CV189" i="1"/>
  <c r="CW189" i="1" s="1"/>
  <c r="CX189" i="1" s="1"/>
  <c r="CQ189" i="1"/>
  <c r="CR189" i="1" s="1"/>
  <c r="CS189" i="1" s="1"/>
  <c r="CL189" i="1"/>
  <c r="CM189" i="1" s="1"/>
  <c r="CN189" i="1" s="1"/>
  <c r="CG189" i="1"/>
  <c r="CH189" i="1" s="1"/>
  <c r="CI189" i="1" s="1"/>
  <c r="CA189" i="1"/>
  <c r="CB189" i="1" s="1"/>
  <c r="CC189" i="1" s="1"/>
  <c r="BV189" i="1"/>
  <c r="BW189" i="1" s="1"/>
  <c r="BX189" i="1" s="1"/>
  <c r="BQ189" i="1"/>
  <c r="BR189" i="1" s="1"/>
  <c r="BS189" i="1" s="1"/>
  <c r="BL189" i="1"/>
  <c r="BM189" i="1" s="1"/>
  <c r="BN189" i="1" s="1"/>
  <c r="BG189" i="1"/>
  <c r="BH189" i="1" s="1"/>
  <c r="BI189" i="1" s="1"/>
  <c r="BB189" i="1"/>
  <c r="BC189" i="1" s="1"/>
  <c r="BD189" i="1" s="1"/>
  <c r="AW189" i="1"/>
  <c r="AX189" i="1" s="1"/>
  <c r="AY189" i="1" s="1"/>
  <c r="AR189" i="1"/>
  <c r="AS189" i="1" s="1"/>
  <c r="AT189" i="1" s="1"/>
  <c r="AM189" i="1"/>
  <c r="AN189" i="1" s="1"/>
  <c r="AO189" i="1" s="1"/>
  <c r="AH189" i="1"/>
  <c r="AI189" i="1" s="1"/>
  <c r="AJ189" i="1" s="1"/>
  <c r="AE189" i="1"/>
  <c r="W189" i="1"/>
  <c r="X189" i="1" s="1"/>
  <c r="Y189" i="1" s="1"/>
  <c r="S189" i="1"/>
  <c r="N189" i="1"/>
  <c r="G189" i="1"/>
  <c r="H189" i="1" s="1"/>
  <c r="I189" i="1" s="1"/>
  <c r="NZ188" i="1"/>
  <c r="NU188" i="1"/>
  <c r="NP188" i="1"/>
  <c r="NK188" i="1"/>
  <c r="NF188" i="1"/>
  <c r="NA188" i="1"/>
  <c r="MV188" i="1"/>
  <c r="MQ188" i="1"/>
  <c r="MM188" i="1"/>
  <c r="MI188" i="1"/>
  <c r="MD188" i="1"/>
  <c r="LY188" i="1"/>
  <c r="LT188" i="1"/>
  <c r="LO188" i="1"/>
  <c r="LJ188" i="1"/>
  <c r="LE188" i="1"/>
  <c r="KZ188" i="1"/>
  <c r="KV188" i="1"/>
  <c r="KO188" i="1"/>
  <c r="KP188" i="1" s="1"/>
  <c r="KQ188" i="1" s="1"/>
  <c r="KM188" i="1"/>
  <c r="KG188" i="1"/>
  <c r="KH188" i="1" s="1"/>
  <c r="KI188" i="1" s="1"/>
  <c r="KE188" i="1"/>
  <c r="KA188" i="1"/>
  <c r="JV188" i="1"/>
  <c r="JQ188" i="1"/>
  <c r="JM188" i="1"/>
  <c r="JI188" i="1"/>
  <c r="JD188" i="1"/>
  <c r="IY188" i="1"/>
  <c r="IT188" i="1"/>
  <c r="IO188" i="1"/>
  <c r="IJ188" i="1"/>
  <c r="IE188" i="1"/>
  <c r="HZ188" i="1"/>
  <c r="HU188" i="1"/>
  <c r="HP188" i="1"/>
  <c r="HI188" i="1"/>
  <c r="HJ188" i="1" s="1"/>
  <c r="HK188" i="1" s="1"/>
  <c r="HD188" i="1"/>
  <c r="HE188" i="1" s="1"/>
  <c r="HF188" i="1" s="1"/>
  <c r="GY188" i="1"/>
  <c r="GZ188" i="1" s="1"/>
  <c r="HA188" i="1" s="1"/>
  <c r="GT188" i="1"/>
  <c r="GU188" i="1" s="1"/>
  <c r="GV188" i="1" s="1"/>
  <c r="GO188" i="1"/>
  <c r="GP188" i="1" s="1"/>
  <c r="GQ188" i="1" s="1"/>
  <c r="GJ188" i="1"/>
  <c r="GK188" i="1" s="1"/>
  <c r="GL188" i="1" s="1"/>
  <c r="GE188" i="1"/>
  <c r="GF188" i="1" s="1"/>
  <c r="GG188" i="1" s="1"/>
  <c r="FZ188" i="1"/>
  <c r="GA188" i="1" s="1"/>
  <c r="GB188" i="1" s="1"/>
  <c r="FU188" i="1"/>
  <c r="FV188" i="1" s="1"/>
  <c r="FW188" i="1" s="1"/>
  <c r="FP188" i="1"/>
  <c r="FQ188" i="1" s="1"/>
  <c r="FR188" i="1" s="1"/>
  <c r="FK188" i="1"/>
  <c r="FL188" i="1" s="1"/>
  <c r="FM188" i="1" s="1"/>
  <c r="FF188" i="1"/>
  <c r="FG188" i="1" s="1"/>
  <c r="FH188" i="1" s="1"/>
  <c r="FA188" i="1"/>
  <c r="FB188" i="1" s="1"/>
  <c r="FC188" i="1" s="1"/>
  <c r="EV188" i="1"/>
  <c r="EW188" i="1" s="1"/>
  <c r="EX188" i="1" s="1"/>
  <c r="EQ188" i="1"/>
  <c r="ER188" i="1" s="1"/>
  <c r="ES188" i="1" s="1"/>
  <c r="EL188" i="1"/>
  <c r="EM188" i="1" s="1"/>
  <c r="EN188" i="1" s="1"/>
  <c r="EE188" i="1"/>
  <c r="EF188" i="1" s="1"/>
  <c r="EG188" i="1" s="1"/>
  <c r="DZ188" i="1"/>
  <c r="EA188" i="1" s="1"/>
  <c r="EB188" i="1" s="1"/>
  <c r="DU188" i="1"/>
  <c r="DV188" i="1" s="1"/>
  <c r="DW188" i="1" s="1"/>
  <c r="DP188" i="1"/>
  <c r="DQ188" i="1" s="1"/>
  <c r="DR188" i="1" s="1"/>
  <c r="DK188" i="1"/>
  <c r="DL188" i="1" s="1"/>
  <c r="DM188" i="1" s="1"/>
  <c r="DF188" i="1"/>
  <c r="DG188" i="1" s="1"/>
  <c r="DH188" i="1" s="1"/>
  <c r="DA188" i="1"/>
  <c r="DB188" i="1" s="1"/>
  <c r="DC188" i="1" s="1"/>
  <c r="CV188" i="1"/>
  <c r="CW188" i="1" s="1"/>
  <c r="CX188" i="1" s="1"/>
  <c r="CQ188" i="1"/>
  <c r="CR188" i="1" s="1"/>
  <c r="CS188" i="1" s="1"/>
  <c r="CL188" i="1"/>
  <c r="CM188" i="1" s="1"/>
  <c r="CN188" i="1" s="1"/>
  <c r="CG188" i="1"/>
  <c r="CH188" i="1" s="1"/>
  <c r="CI188" i="1" s="1"/>
  <c r="CA188" i="1"/>
  <c r="CB188" i="1" s="1"/>
  <c r="CC188" i="1" s="1"/>
  <c r="BV188" i="1"/>
  <c r="BW188" i="1" s="1"/>
  <c r="BX188" i="1" s="1"/>
  <c r="BQ188" i="1"/>
  <c r="BR188" i="1" s="1"/>
  <c r="BS188" i="1" s="1"/>
  <c r="BL188" i="1"/>
  <c r="BM188" i="1" s="1"/>
  <c r="BN188" i="1" s="1"/>
  <c r="BG188" i="1"/>
  <c r="BH188" i="1" s="1"/>
  <c r="BI188" i="1" s="1"/>
  <c r="BB188" i="1"/>
  <c r="BC188" i="1" s="1"/>
  <c r="BD188" i="1" s="1"/>
  <c r="AW188" i="1"/>
  <c r="AX188" i="1" s="1"/>
  <c r="AY188" i="1" s="1"/>
  <c r="AR188" i="1"/>
  <c r="AS188" i="1" s="1"/>
  <c r="AT188" i="1" s="1"/>
  <c r="AM188" i="1"/>
  <c r="AN188" i="1" s="1"/>
  <c r="AO188" i="1" s="1"/>
  <c r="AH188" i="1"/>
  <c r="AI188" i="1" s="1"/>
  <c r="AJ188" i="1" s="1"/>
  <c r="AC188" i="1"/>
  <c r="AD188" i="1" s="1"/>
  <c r="AE188" i="1" s="1"/>
  <c r="W188" i="1"/>
  <c r="X188" i="1" s="1"/>
  <c r="Y188" i="1" s="1"/>
  <c r="S188" i="1"/>
  <c r="N188" i="1"/>
  <c r="I188" i="1"/>
  <c r="NZ187" i="1"/>
  <c r="NU187" i="1"/>
  <c r="NP187" i="1"/>
  <c r="NK187" i="1"/>
  <c r="NF187" i="1"/>
  <c r="NA187" i="1"/>
  <c r="MV187" i="1"/>
  <c r="MQ187" i="1"/>
  <c r="MM187" i="1"/>
  <c r="MI187" i="1"/>
  <c r="MD187" i="1"/>
  <c r="LW187" i="1"/>
  <c r="LX187" i="1" s="1"/>
  <c r="LY187" i="1" s="1"/>
  <c r="LR187" i="1"/>
  <c r="LS187" i="1" s="1"/>
  <c r="LT187" i="1" s="1"/>
  <c r="LO187" i="1"/>
  <c r="LJ187" i="1"/>
  <c r="LC187" i="1"/>
  <c r="LD187" i="1" s="1"/>
  <c r="LE187" i="1" s="1"/>
  <c r="KZ187" i="1"/>
  <c r="KV187" i="1"/>
  <c r="KQ187" i="1"/>
  <c r="KM187" i="1"/>
  <c r="KI187" i="1"/>
  <c r="KE187" i="1"/>
  <c r="KA187" i="1"/>
  <c r="JV187" i="1"/>
  <c r="JQ187" i="1"/>
  <c r="JM187" i="1"/>
  <c r="JI187" i="1"/>
  <c r="JB187" i="1"/>
  <c r="JC187" i="1" s="1"/>
  <c r="JD187" i="1" s="1"/>
  <c r="IW187" i="1"/>
  <c r="IX187" i="1" s="1"/>
  <c r="IY187" i="1" s="1"/>
  <c r="IR187" i="1"/>
  <c r="IS187" i="1" s="1"/>
  <c r="IT187" i="1" s="1"/>
  <c r="IM187" i="1"/>
  <c r="IN187" i="1" s="1"/>
  <c r="IO187" i="1" s="1"/>
  <c r="IH187" i="1"/>
  <c r="II187" i="1" s="1"/>
  <c r="IJ187" i="1" s="1"/>
  <c r="IC187" i="1"/>
  <c r="ID187" i="1" s="1"/>
  <c r="IE187" i="1" s="1"/>
  <c r="HX187" i="1"/>
  <c r="HY187" i="1" s="1"/>
  <c r="HZ187" i="1" s="1"/>
  <c r="HS187" i="1"/>
  <c r="HT187" i="1" s="1"/>
  <c r="HU187" i="1" s="1"/>
  <c r="HN187" i="1"/>
  <c r="HO187" i="1" s="1"/>
  <c r="HP187" i="1" s="1"/>
  <c r="HI187" i="1"/>
  <c r="HJ187" i="1" s="1"/>
  <c r="HK187" i="1" s="1"/>
  <c r="HD187" i="1"/>
  <c r="HE187" i="1" s="1"/>
  <c r="HF187" i="1" s="1"/>
  <c r="GY187" i="1"/>
  <c r="GZ187" i="1" s="1"/>
  <c r="HA187" i="1" s="1"/>
  <c r="GT187" i="1"/>
  <c r="GU187" i="1" s="1"/>
  <c r="GV187" i="1" s="1"/>
  <c r="GO187" i="1"/>
  <c r="GP187" i="1" s="1"/>
  <c r="GQ187" i="1" s="1"/>
  <c r="GJ187" i="1"/>
  <c r="GK187" i="1" s="1"/>
  <c r="GL187" i="1" s="1"/>
  <c r="GE187" i="1"/>
  <c r="GF187" i="1" s="1"/>
  <c r="GG187" i="1" s="1"/>
  <c r="FZ187" i="1"/>
  <c r="GA187" i="1" s="1"/>
  <c r="GB187" i="1" s="1"/>
  <c r="FU187" i="1"/>
  <c r="FV187" i="1" s="1"/>
  <c r="FW187" i="1" s="1"/>
  <c r="FP187" i="1"/>
  <c r="FQ187" i="1" s="1"/>
  <c r="FR187" i="1" s="1"/>
  <c r="FK187" i="1"/>
  <c r="FL187" i="1" s="1"/>
  <c r="FM187" i="1" s="1"/>
  <c r="FF187" i="1"/>
  <c r="FG187" i="1" s="1"/>
  <c r="FH187" i="1" s="1"/>
  <c r="FA187" i="1"/>
  <c r="FB187" i="1" s="1"/>
  <c r="FC187" i="1" s="1"/>
  <c r="EV187" i="1"/>
  <c r="EW187" i="1" s="1"/>
  <c r="EX187" i="1" s="1"/>
  <c r="EQ187" i="1"/>
  <c r="ER187" i="1" s="1"/>
  <c r="ES187" i="1" s="1"/>
  <c r="EL187" i="1"/>
  <c r="EM187" i="1" s="1"/>
  <c r="EN187" i="1" s="1"/>
  <c r="EE187" i="1"/>
  <c r="EF187" i="1" s="1"/>
  <c r="EG187" i="1" s="1"/>
  <c r="DZ187" i="1"/>
  <c r="EA187" i="1" s="1"/>
  <c r="EB187" i="1" s="1"/>
  <c r="DU187" i="1"/>
  <c r="DV187" i="1" s="1"/>
  <c r="DW187" i="1" s="1"/>
  <c r="DP187" i="1"/>
  <c r="DQ187" i="1" s="1"/>
  <c r="DR187" i="1" s="1"/>
  <c r="DK187" i="1"/>
  <c r="DL187" i="1" s="1"/>
  <c r="DM187" i="1" s="1"/>
  <c r="DF187" i="1"/>
  <c r="DG187" i="1" s="1"/>
  <c r="DH187" i="1" s="1"/>
  <c r="DA187" i="1"/>
  <c r="DB187" i="1" s="1"/>
  <c r="DC187" i="1" s="1"/>
  <c r="CV187" i="1"/>
  <c r="CW187" i="1" s="1"/>
  <c r="CX187" i="1" s="1"/>
  <c r="CQ187" i="1"/>
  <c r="CR187" i="1" s="1"/>
  <c r="CS187" i="1" s="1"/>
  <c r="CL187" i="1"/>
  <c r="CM187" i="1" s="1"/>
  <c r="CN187" i="1" s="1"/>
  <c r="CG187" i="1"/>
  <c r="CH187" i="1" s="1"/>
  <c r="CI187" i="1" s="1"/>
  <c r="CA187" i="1"/>
  <c r="CB187" i="1" s="1"/>
  <c r="CC187" i="1" s="1"/>
  <c r="BV187" i="1"/>
  <c r="BW187" i="1" s="1"/>
  <c r="BX187" i="1" s="1"/>
  <c r="BQ187" i="1"/>
  <c r="BR187" i="1" s="1"/>
  <c r="BS187" i="1" s="1"/>
  <c r="BL187" i="1"/>
  <c r="BM187" i="1" s="1"/>
  <c r="BN187" i="1" s="1"/>
  <c r="BG187" i="1"/>
  <c r="BH187" i="1" s="1"/>
  <c r="BI187" i="1" s="1"/>
  <c r="BB187" i="1"/>
  <c r="BC187" i="1" s="1"/>
  <c r="BD187" i="1" s="1"/>
  <c r="AW187" i="1"/>
  <c r="AX187" i="1" s="1"/>
  <c r="AY187" i="1" s="1"/>
  <c r="AR187" i="1"/>
  <c r="AS187" i="1" s="1"/>
  <c r="AT187" i="1" s="1"/>
  <c r="AM187" i="1"/>
  <c r="AN187" i="1" s="1"/>
  <c r="AO187" i="1" s="1"/>
  <c r="AH187" i="1"/>
  <c r="AI187" i="1" s="1"/>
  <c r="AJ187" i="1" s="1"/>
  <c r="AC187" i="1"/>
  <c r="AD187" i="1" s="1"/>
  <c r="AE187" i="1" s="1"/>
  <c r="W187" i="1"/>
  <c r="X187" i="1" s="1"/>
  <c r="Y187" i="1" s="1"/>
  <c r="S187" i="1"/>
  <c r="N187" i="1"/>
  <c r="I187" i="1"/>
  <c r="NZ186" i="1"/>
  <c r="NU186" i="1"/>
  <c r="NP186" i="1"/>
  <c r="NK186" i="1"/>
  <c r="NF186" i="1"/>
  <c r="NA186" i="1"/>
  <c r="MV186" i="1"/>
  <c r="MQ186" i="1"/>
  <c r="MM186" i="1"/>
  <c r="MI186" i="1"/>
  <c r="MD186" i="1"/>
  <c r="LY186" i="1"/>
  <c r="LT186" i="1"/>
  <c r="LO186" i="1"/>
  <c r="LJ186" i="1"/>
  <c r="LC186" i="1"/>
  <c r="LD186" i="1" s="1"/>
  <c r="LE186" i="1" s="1"/>
  <c r="KZ186" i="1"/>
  <c r="KV186" i="1"/>
  <c r="KQ186" i="1"/>
  <c r="KM186" i="1"/>
  <c r="KI186" i="1"/>
  <c r="KE186" i="1"/>
  <c r="KA186" i="1"/>
  <c r="JV186" i="1"/>
  <c r="JQ186" i="1"/>
  <c r="JM186" i="1"/>
  <c r="JI186" i="1"/>
  <c r="JB186" i="1"/>
  <c r="JC186" i="1" s="1"/>
  <c r="JD186" i="1" s="1"/>
  <c r="IW186" i="1"/>
  <c r="IX186" i="1" s="1"/>
  <c r="IY186" i="1" s="1"/>
  <c r="IR186" i="1"/>
  <c r="IS186" i="1" s="1"/>
  <c r="IT186" i="1" s="1"/>
  <c r="IM186" i="1"/>
  <c r="IN186" i="1" s="1"/>
  <c r="IO186" i="1" s="1"/>
  <c r="IH186" i="1"/>
  <c r="II186" i="1" s="1"/>
  <c r="IJ186" i="1" s="1"/>
  <c r="IC186" i="1"/>
  <c r="ID186" i="1" s="1"/>
  <c r="IE186" i="1" s="1"/>
  <c r="HX186" i="1"/>
  <c r="HY186" i="1" s="1"/>
  <c r="HZ186" i="1" s="1"/>
  <c r="HU186" i="1"/>
  <c r="HP186" i="1"/>
  <c r="HI186" i="1"/>
  <c r="HJ186" i="1" s="1"/>
  <c r="HK186" i="1" s="1"/>
  <c r="HD186" i="1"/>
  <c r="HE186" i="1" s="1"/>
  <c r="HF186" i="1" s="1"/>
  <c r="GY186" i="1"/>
  <c r="GZ186" i="1" s="1"/>
  <c r="HA186" i="1" s="1"/>
  <c r="GT186" i="1"/>
  <c r="GU186" i="1" s="1"/>
  <c r="GV186" i="1" s="1"/>
  <c r="GO186" i="1"/>
  <c r="GP186" i="1" s="1"/>
  <c r="GQ186" i="1" s="1"/>
  <c r="GJ186" i="1"/>
  <c r="GK186" i="1" s="1"/>
  <c r="GL186" i="1" s="1"/>
  <c r="GE186" i="1"/>
  <c r="GF186" i="1" s="1"/>
  <c r="GG186" i="1" s="1"/>
  <c r="FZ186" i="1"/>
  <c r="GA186" i="1" s="1"/>
  <c r="GB186" i="1" s="1"/>
  <c r="FU186" i="1"/>
  <c r="FV186" i="1" s="1"/>
  <c r="FW186" i="1" s="1"/>
  <c r="FP186" i="1"/>
  <c r="FQ186" i="1" s="1"/>
  <c r="FR186" i="1" s="1"/>
  <c r="FK186" i="1"/>
  <c r="FL186" i="1" s="1"/>
  <c r="FM186" i="1" s="1"/>
  <c r="FF186" i="1"/>
  <c r="FG186" i="1" s="1"/>
  <c r="FH186" i="1" s="1"/>
  <c r="FA186" i="1"/>
  <c r="FB186" i="1" s="1"/>
  <c r="FC186" i="1" s="1"/>
  <c r="EV186" i="1"/>
  <c r="EW186" i="1" s="1"/>
  <c r="EX186" i="1" s="1"/>
  <c r="EQ186" i="1"/>
  <c r="ER186" i="1" s="1"/>
  <c r="ES186" i="1" s="1"/>
  <c r="EL186" i="1"/>
  <c r="EM186" i="1" s="1"/>
  <c r="EN186" i="1" s="1"/>
  <c r="EE186" i="1"/>
  <c r="EF186" i="1" s="1"/>
  <c r="EG186" i="1" s="1"/>
  <c r="DZ186" i="1"/>
  <c r="EA186" i="1" s="1"/>
  <c r="EB186" i="1" s="1"/>
  <c r="DU186" i="1"/>
  <c r="DV186" i="1" s="1"/>
  <c r="DW186" i="1" s="1"/>
  <c r="DP186" i="1"/>
  <c r="DQ186" i="1" s="1"/>
  <c r="DR186" i="1" s="1"/>
  <c r="DK186" i="1"/>
  <c r="DL186" i="1" s="1"/>
  <c r="DM186" i="1" s="1"/>
  <c r="DF186" i="1"/>
  <c r="DG186" i="1" s="1"/>
  <c r="DH186" i="1" s="1"/>
  <c r="DA186" i="1"/>
  <c r="DB186" i="1" s="1"/>
  <c r="DC186" i="1" s="1"/>
  <c r="CV186" i="1"/>
  <c r="CW186" i="1" s="1"/>
  <c r="CX186" i="1" s="1"/>
  <c r="CQ186" i="1"/>
  <c r="CR186" i="1" s="1"/>
  <c r="CS186" i="1" s="1"/>
  <c r="CL186" i="1"/>
  <c r="CM186" i="1" s="1"/>
  <c r="CN186" i="1" s="1"/>
  <c r="CG186" i="1"/>
  <c r="CH186" i="1" s="1"/>
  <c r="CI186" i="1" s="1"/>
  <c r="CA186" i="1"/>
  <c r="CB186" i="1" s="1"/>
  <c r="CC186" i="1" s="1"/>
  <c r="BV186" i="1"/>
  <c r="BW186" i="1" s="1"/>
  <c r="BX186" i="1" s="1"/>
  <c r="BQ186" i="1"/>
  <c r="BR186" i="1" s="1"/>
  <c r="BS186" i="1" s="1"/>
  <c r="BL186" i="1"/>
  <c r="BM186" i="1" s="1"/>
  <c r="BN186" i="1" s="1"/>
  <c r="BG186" i="1"/>
  <c r="BH186" i="1" s="1"/>
  <c r="BI186" i="1" s="1"/>
  <c r="BB186" i="1"/>
  <c r="BC186" i="1" s="1"/>
  <c r="BD186" i="1" s="1"/>
  <c r="AW186" i="1"/>
  <c r="AX186" i="1" s="1"/>
  <c r="AY186" i="1" s="1"/>
  <c r="AR186" i="1"/>
  <c r="AS186" i="1" s="1"/>
  <c r="AT186" i="1" s="1"/>
  <c r="AM186" i="1"/>
  <c r="AN186" i="1" s="1"/>
  <c r="AO186" i="1" s="1"/>
  <c r="AH186" i="1"/>
  <c r="AI186" i="1" s="1"/>
  <c r="AJ186" i="1" s="1"/>
  <c r="AC186" i="1"/>
  <c r="AD186" i="1" s="1"/>
  <c r="AE186" i="1" s="1"/>
  <c r="W186" i="1"/>
  <c r="X186" i="1" s="1"/>
  <c r="Y186" i="1" s="1"/>
  <c r="S186" i="1"/>
  <c r="N186" i="1"/>
  <c r="I186" i="1"/>
  <c r="NZ185" i="1"/>
  <c r="NS185" i="1"/>
  <c r="NT185" i="1" s="1"/>
  <c r="NU185" i="1" s="1"/>
  <c r="NP185" i="1"/>
  <c r="NK185" i="1"/>
  <c r="NF185" i="1"/>
  <c r="NA185" i="1"/>
  <c r="MV185" i="1"/>
  <c r="MQ185" i="1"/>
  <c r="MM185" i="1"/>
  <c r="MI185" i="1"/>
  <c r="MD185" i="1"/>
  <c r="LY185" i="1"/>
  <c r="LT185" i="1"/>
  <c r="LO185" i="1"/>
  <c r="LJ185" i="1"/>
  <c r="LE185" i="1"/>
  <c r="KX185" i="1"/>
  <c r="KY185" i="1" s="1"/>
  <c r="KZ185" i="1" s="1"/>
  <c r="KT185" i="1"/>
  <c r="KU185" i="1" s="1"/>
  <c r="KV185" i="1" s="1"/>
  <c r="KO185" i="1"/>
  <c r="KP185" i="1" s="1"/>
  <c r="KQ185" i="1" s="1"/>
  <c r="KM185" i="1"/>
  <c r="KI185" i="1"/>
  <c r="KE185" i="1"/>
  <c r="KA185" i="1"/>
  <c r="JV185" i="1"/>
  <c r="JQ185" i="1"/>
  <c r="JM185" i="1"/>
  <c r="JI185" i="1"/>
  <c r="JB185" i="1"/>
  <c r="JC185" i="1" s="1"/>
  <c r="JD185" i="1" s="1"/>
  <c r="IW185" i="1"/>
  <c r="IX185" i="1" s="1"/>
  <c r="IY185" i="1" s="1"/>
  <c r="IR185" i="1"/>
  <c r="IS185" i="1" s="1"/>
  <c r="IT185" i="1" s="1"/>
  <c r="IM185" i="1"/>
  <c r="IN185" i="1" s="1"/>
  <c r="IO185" i="1" s="1"/>
  <c r="IH185" i="1"/>
  <c r="II185" i="1" s="1"/>
  <c r="IJ185" i="1" s="1"/>
  <c r="IC185" i="1"/>
  <c r="ID185" i="1" s="1"/>
  <c r="IE185" i="1" s="1"/>
  <c r="HX185" i="1"/>
  <c r="HY185" i="1" s="1"/>
  <c r="HZ185" i="1" s="1"/>
  <c r="HU185" i="1"/>
  <c r="HP185" i="1"/>
  <c r="HI185" i="1"/>
  <c r="HJ185" i="1" s="1"/>
  <c r="HK185" i="1" s="1"/>
  <c r="HD185" i="1"/>
  <c r="HE185" i="1" s="1"/>
  <c r="HF185" i="1" s="1"/>
  <c r="GY185" i="1"/>
  <c r="GZ185" i="1" s="1"/>
  <c r="HA185" i="1" s="1"/>
  <c r="GT185" i="1"/>
  <c r="GU185" i="1" s="1"/>
  <c r="GV185" i="1" s="1"/>
  <c r="GO185" i="1"/>
  <c r="GP185" i="1" s="1"/>
  <c r="GQ185" i="1" s="1"/>
  <c r="GJ185" i="1"/>
  <c r="GK185" i="1" s="1"/>
  <c r="GL185" i="1" s="1"/>
  <c r="GE185" i="1"/>
  <c r="GF185" i="1" s="1"/>
  <c r="GG185" i="1" s="1"/>
  <c r="FZ185" i="1"/>
  <c r="GA185" i="1" s="1"/>
  <c r="GB185" i="1" s="1"/>
  <c r="FU185" i="1"/>
  <c r="FV185" i="1" s="1"/>
  <c r="FW185" i="1" s="1"/>
  <c r="FP185" i="1"/>
  <c r="FQ185" i="1" s="1"/>
  <c r="FR185" i="1" s="1"/>
  <c r="FK185" i="1"/>
  <c r="FL185" i="1" s="1"/>
  <c r="FM185" i="1" s="1"/>
  <c r="FF185" i="1"/>
  <c r="FG185" i="1" s="1"/>
  <c r="FH185" i="1" s="1"/>
  <c r="FA185" i="1"/>
  <c r="FB185" i="1" s="1"/>
  <c r="FC185" i="1" s="1"/>
  <c r="EV185" i="1"/>
  <c r="EW185" i="1" s="1"/>
  <c r="EX185" i="1" s="1"/>
  <c r="EQ185" i="1"/>
  <c r="ER185" i="1" s="1"/>
  <c r="ES185" i="1" s="1"/>
  <c r="EL185" i="1"/>
  <c r="EM185" i="1" s="1"/>
  <c r="EN185" i="1" s="1"/>
  <c r="EE185" i="1"/>
  <c r="EF185" i="1" s="1"/>
  <c r="EG185" i="1" s="1"/>
  <c r="DZ185" i="1"/>
  <c r="EA185" i="1" s="1"/>
  <c r="EB185" i="1" s="1"/>
  <c r="DU185" i="1"/>
  <c r="DV185" i="1" s="1"/>
  <c r="DW185" i="1" s="1"/>
  <c r="DP185" i="1"/>
  <c r="DQ185" i="1" s="1"/>
  <c r="DR185" i="1" s="1"/>
  <c r="DK185" i="1"/>
  <c r="DL185" i="1" s="1"/>
  <c r="DM185" i="1" s="1"/>
  <c r="DF185" i="1"/>
  <c r="DG185" i="1" s="1"/>
  <c r="DH185" i="1" s="1"/>
  <c r="DA185" i="1"/>
  <c r="DB185" i="1" s="1"/>
  <c r="DC185" i="1" s="1"/>
  <c r="CV185" i="1"/>
  <c r="CW185" i="1" s="1"/>
  <c r="CX185" i="1" s="1"/>
  <c r="CQ185" i="1"/>
  <c r="CR185" i="1" s="1"/>
  <c r="CS185" i="1" s="1"/>
  <c r="CL185" i="1"/>
  <c r="CM185" i="1" s="1"/>
  <c r="CN185" i="1" s="1"/>
  <c r="CG185" i="1"/>
  <c r="CH185" i="1" s="1"/>
  <c r="CI185" i="1" s="1"/>
  <c r="CA185" i="1"/>
  <c r="CB185" i="1" s="1"/>
  <c r="CC185" i="1" s="1"/>
  <c r="BV185" i="1"/>
  <c r="BW185" i="1" s="1"/>
  <c r="BX185" i="1" s="1"/>
  <c r="BQ185" i="1"/>
  <c r="BR185" i="1" s="1"/>
  <c r="BS185" i="1" s="1"/>
  <c r="BL185" i="1"/>
  <c r="BM185" i="1" s="1"/>
  <c r="BN185" i="1" s="1"/>
  <c r="BG185" i="1"/>
  <c r="BH185" i="1" s="1"/>
  <c r="BI185" i="1" s="1"/>
  <c r="BB185" i="1"/>
  <c r="BC185" i="1" s="1"/>
  <c r="BD185" i="1" s="1"/>
  <c r="AW185" i="1"/>
  <c r="AX185" i="1" s="1"/>
  <c r="AY185" i="1" s="1"/>
  <c r="AR185" i="1"/>
  <c r="AS185" i="1" s="1"/>
  <c r="AT185" i="1" s="1"/>
  <c r="AM185" i="1"/>
  <c r="AN185" i="1" s="1"/>
  <c r="AO185" i="1" s="1"/>
  <c r="AH185" i="1"/>
  <c r="AI185" i="1" s="1"/>
  <c r="AJ185" i="1" s="1"/>
  <c r="AC185" i="1"/>
  <c r="AD185" i="1" s="1"/>
  <c r="AE185" i="1" s="1"/>
  <c r="W185" i="1"/>
  <c r="X185" i="1" s="1"/>
  <c r="Y185" i="1" s="1"/>
  <c r="Q185" i="1"/>
  <c r="R185" i="1" s="1"/>
  <c r="S185" i="1" s="1"/>
  <c r="N185" i="1"/>
  <c r="I185" i="1"/>
  <c r="NZ184" i="1"/>
  <c r="NU184" i="1"/>
  <c r="NP184" i="1"/>
  <c r="NK184" i="1"/>
  <c r="NF184" i="1"/>
  <c r="NA184" i="1"/>
  <c r="MV184" i="1"/>
  <c r="MQ184" i="1"/>
  <c r="MM184" i="1"/>
  <c r="MI184" i="1"/>
  <c r="MD184" i="1"/>
  <c r="LY184" i="1"/>
  <c r="LT184" i="1"/>
  <c r="LO184" i="1"/>
  <c r="LJ184" i="1"/>
  <c r="LC184" i="1"/>
  <c r="LD184" i="1" s="1"/>
  <c r="LE184" i="1" s="1"/>
  <c r="KX184" i="1"/>
  <c r="KY184" i="1" s="1"/>
  <c r="KZ184" i="1" s="1"/>
  <c r="KV184" i="1"/>
  <c r="KO184" i="1"/>
  <c r="KP184" i="1" s="1"/>
  <c r="KQ184" i="1" s="1"/>
  <c r="KM184" i="1"/>
  <c r="KI184" i="1"/>
  <c r="KE184" i="1"/>
  <c r="KA184" i="1"/>
  <c r="JV184" i="1"/>
  <c r="JQ184" i="1"/>
  <c r="JM184" i="1"/>
  <c r="JI184" i="1"/>
  <c r="JB184" i="1"/>
  <c r="JC184" i="1" s="1"/>
  <c r="JD184" i="1" s="1"/>
  <c r="IW184" i="1"/>
  <c r="IX184" i="1" s="1"/>
  <c r="IY184" i="1" s="1"/>
  <c r="IT184" i="1"/>
  <c r="IO184" i="1"/>
  <c r="IJ184" i="1"/>
  <c r="IE184" i="1"/>
  <c r="HZ184" i="1"/>
  <c r="HU184" i="1"/>
  <c r="HP184" i="1"/>
  <c r="HI184" i="1"/>
  <c r="HJ184" i="1" s="1"/>
  <c r="HK184" i="1" s="1"/>
  <c r="HD184" i="1"/>
  <c r="HE184" i="1" s="1"/>
  <c r="HF184" i="1" s="1"/>
  <c r="GY184" i="1"/>
  <c r="GZ184" i="1" s="1"/>
  <c r="HA184" i="1" s="1"/>
  <c r="GT184" i="1"/>
  <c r="GU184" i="1" s="1"/>
  <c r="GV184" i="1" s="1"/>
  <c r="GO184" i="1"/>
  <c r="GP184" i="1" s="1"/>
  <c r="GQ184" i="1" s="1"/>
  <c r="GJ184" i="1"/>
  <c r="GK184" i="1" s="1"/>
  <c r="GL184" i="1" s="1"/>
  <c r="GE184" i="1"/>
  <c r="GF184" i="1" s="1"/>
  <c r="GG184" i="1" s="1"/>
  <c r="FZ184" i="1"/>
  <c r="GA184" i="1" s="1"/>
  <c r="GB184" i="1" s="1"/>
  <c r="FU184" i="1"/>
  <c r="FV184" i="1" s="1"/>
  <c r="FW184" i="1" s="1"/>
  <c r="FP184" i="1"/>
  <c r="FQ184" i="1" s="1"/>
  <c r="FR184" i="1" s="1"/>
  <c r="FK184" i="1"/>
  <c r="FL184" i="1" s="1"/>
  <c r="FM184" i="1" s="1"/>
  <c r="FF184" i="1"/>
  <c r="FG184" i="1" s="1"/>
  <c r="FH184" i="1" s="1"/>
  <c r="FA184" i="1"/>
  <c r="FB184" i="1" s="1"/>
  <c r="FC184" i="1" s="1"/>
  <c r="EV184" i="1"/>
  <c r="EW184" i="1" s="1"/>
  <c r="EX184" i="1" s="1"/>
  <c r="EQ184" i="1"/>
  <c r="ER184" i="1" s="1"/>
  <c r="ES184" i="1" s="1"/>
  <c r="EL184" i="1"/>
  <c r="EM184" i="1" s="1"/>
  <c r="EN184" i="1" s="1"/>
  <c r="EE184" i="1"/>
  <c r="EF184" i="1" s="1"/>
  <c r="EG184" i="1" s="1"/>
  <c r="DZ184" i="1"/>
  <c r="EA184" i="1" s="1"/>
  <c r="EB184" i="1" s="1"/>
  <c r="DU184" i="1"/>
  <c r="DV184" i="1" s="1"/>
  <c r="DW184" i="1" s="1"/>
  <c r="DP184" i="1"/>
  <c r="DQ184" i="1" s="1"/>
  <c r="DR184" i="1" s="1"/>
  <c r="DK184" i="1"/>
  <c r="DL184" i="1" s="1"/>
  <c r="DM184" i="1" s="1"/>
  <c r="DF184" i="1"/>
  <c r="DG184" i="1" s="1"/>
  <c r="DH184" i="1" s="1"/>
  <c r="DA184" i="1"/>
  <c r="DB184" i="1" s="1"/>
  <c r="DC184" i="1" s="1"/>
  <c r="CV184" i="1"/>
  <c r="CW184" i="1" s="1"/>
  <c r="CX184" i="1" s="1"/>
  <c r="CQ184" i="1"/>
  <c r="CR184" i="1" s="1"/>
  <c r="CS184" i="1" s="1"/>
  <c r="CL184" i="1"/>
  <c r="CM184" i="1" s="1"/>
  <c r="CN184" i="1" s="1"/>
  <c r="CG184" i="1"/>
  <c r="CH184" i="1" s="1"/>
  <c r="CI184" i="1" s="1"/>
  <c r="CA184" i="1"/>
  <c r="CB184" i="1" s="1"/>
  <c r="CC184" i="1" s="1"/>
  <c r="BV184" i="1"/>
  <c r="BW184" i="1" s="1"/>
  <c r="BX184" i="1" s="1"/>
  <c r="BQ184" i="1"/>
  <c r="BR184" i="1" s="1"/>
  <c r="BS184" i="1" s="1"/>
  <c r="BL184" i="1"/>
  <c r="BM184" i="1" s="1"/>
  <c r="BN184" i="1" s="1"/>
  <c r="BG184" i="1"/>
  <c r="BH184" i="1" s="1"/>
  <c r="BI184" i="1" s="1"/>
  <c r="BB184" i="1"/>
  <c r="BC184" i="1" s="1"/>
  <c r="BD184" i="1" s="1"/>
  <c r="AW184" i="1"/>
  <c r="AX184" i="1" s="1"/>
  <c r="AY184" i="1" s="1"/>
  <c r="AR184" i="1"/>
  <c r="AS184" i="1" s="1"/>
  <c r="AT184" i="1" s="1"/>
  <c r="AM184" i="1"/>
  <c r="AN184" i="1" s="1"/>
  <c r="AO184" i="1" s="1"/>
  <c r="AH184" i="1"/>
  <c r="AI184" i="1" s="1"/>
  <c r="AJ184" i="1" s="1"/>
  <c r="AC184" i="1"/>
  <c r="AD184" i="1" s="1"/>
  <c r="AE184" i="1" s="1"/>
  <c r="W184" i="1"/>
  <c r="X184" i="1" s="1"/>
  <c r="Y184" i="1" s="1"/>
  <c r="S184" i="1"/>
  <c r="N184" i="1"/>
  <c r="I184" i="1"/>
  <c r="NZ183" i="1"/>
  <c r="NU183" i="1"/>
  <c r="NP183" i="1"/>
  <c r="NK183" i="1"/>
  <c r="NF183" i="1"/>
  <c r="NA183" i="1"/>
  <c r="MV183" i="1"/>
  <c r="MQ183" i="1"/>
  <c r="MM183" i="1"/>
  <c r="MI183" i="1"/>
  <c r="MD183" i="1"/>
  <c r="LY183" i="1"/>
  <c r="LT183" i="1"/>
  <c r="LO183" i="1"/>
  <c r="LJ183" i="1"/>
  <c r="LE183" i="1"/>
  <c r="KZ183" i="1"/>
  <c r="KV183" i="1"/>
  <c r="KQ183" i="1"/>
  <c r="KM183" i="1"/>
  <c r="KI183" i="1"/>
  <c r="KE183" i="1"/>
  <c r="KA183" i="1"/>
  <c r="JV183" i="1"/>
  <c r="JQ183" i="1"/>
  <c r="JM183" i="1"/>
  <c r="JI183" i="1"/>
  <c r="JB183" i="1"/>
  <c r="JC183" i="1" s="1"/>
  <c r="JD183" i="1" s="1"/>
  <c r="IW183" i="1"/>
  <c r="IX183" i="1" s="1"/>
  <c r="IY183" i="1" s="1"/>
  <c r="IR183" i="1"/>
  <c r="IS183" i="1" s="1"/>
  <c r="IT183" i="1" s="1"/>
  <c r="IM183" i="1"/>
  <c r="IN183" i="1" s="1"/>
  <c r="IO183" i="1" s="1"/>
  <c r="IH183" i="1"/>
  <c r="II183" i="1" s="1"/>
  <c r="IJ183" i="1" s="1"/>
  <c r="IC183" i="1"/>
  <c r="ID183" i="1" s="1"/>
  <c r="IE183" i="1" s="1"/>
  <c r="HX183" i="1"/>
  <c r="HY183" i="1" s="1"/>
  <c r="HZ183" i="1" s="1"/>
  <c r="HU183" i="1"/>
  <c r="HP183" i="1"/>
  <c r="HI183" i="1"/>
  <c r="HJ183" i="1" s="1"/>
  <c r="HK183" i="1" s="1"/>
  <c r="HD183" i="1"/>
  <c r="HE183" i="1" s="1"/>
  <c r="HF183" i="1" s="1"/>
  <c r="GY183" i="1"/>
  <c r="GZ183" i="1" s="1"/>
  <c r="HA183" i="1" s="1"/>
  <c r="GT183" i="1"/>
  <c r="GU183" i="1" s="1"/>
  <c r="GV183" i="1" s="1"/>
  <c r="GO183" i="1"/>
  <c r="GP183" i="1" s="1"/>
  <c r="GQ183" i="1" s="1"/>
  <c r="GJ183" i="1"/>
  <c r="GK183" i="1" s="1"/>
  <c r="GL183" i="1" s="1"/>
  <c r="GE183" i="1"/>
  <c r="GF183" i="1" s="1"/>
  <c r="GG183" i="1" s="1"/>
  <c r="FZ183" i="1"/>
  <c r="GA183" i="1" s="1"/>
  <c r="GB183" i="1" s="1"/>
  <c r="FU183" i="1"/>
  <c r="FV183" i="1" s="1"/>
  <c r="FW183" i="1" s="1"/>
  <c r="FP183" i="1"/>
  <c r="FQ183" i="1" s="1"/>
  <c r="FR183" i="1" s="1"/>
  <c r="FK183" i="1"/>
  <c r="FL183" i="1" s="1"/>
  <c r="FM183" i="1" s="1"/>
  <c r="FF183" i="1"/>
  <c r="FG183" i="1" s="1"/>
  <c r="FH183" i="1" s="1"/>
  <c r="FA183" i="1"/>
  <c r="FB183" i="1" s="1"/>
  <c r="FC183" i="1" s="1"/>
  <c r="EV183" i="1"/>
  <c r="EW183" i="1" s="1"/>
  <c r="EX183" i="1" s="1"/>
  <c r="EQ183" i="1"/>
  <c r="ER183" i="1" s="1"/>
  <c r="ES183" i="1" s="1"/>
  <c r="EL183" i="1"/>
  <c r="EM183" i="1" s="1"/>
  <c r="EN183" i="1" s="1"/>
  <c r="EE183" i="1"/>
  <c r="EF183" i="1" s="1"/>
  <c r="EG183" i="1" s="1"/>
  <c r="DZ183" i="1"/>
  <c r="EA183" i="1" s="1"/>
  <c r="EB183" i="1" s="1"/>
  <c r="DU183" i="1"/>
  <c r="DV183" i="1" s="1"/>
  <c r="DW183" i="1" s="1"/>
  <c r="DP183" i="1"/>
  <c r="DQ183" i="1" s="1"/>
  <c r="DR183" i="1" s="1"/>
  <c r="DK183" i="1"/>
  <c r="DL183" i="1" s="1"/>
  <c r="DM183" i="1" s="1"/>
  <c r="DF183" i="1"/>
  <c r="DG183" i="1" s="1"/>
  <c r="DH183" i="1" s="1"/>
  <c r="DA183" i="1"/>
  <c r="DB183" i="1" s="1"/>
  <c r="DC183" i="1" s="1"/>
  <c r="CV183" i="1"/>
  <c r="CW183" i="1" s="1"/>
  <c r="CX183" i="1" s="1"/>
  <c r="CQ183" i="1"/>
  <c r="CR183" i="1" s="1"/>
  <c r="CS183" i="1" s="1"/>
  <c r="CL183" i="1"/>
  <c r="CM183" i="1" s="1"/>
  <c r="CN183" i="1" s="1"/>
  <c r="CG183" i="1"/>
  <c r="CH183" i="1" s="1"/>
  <c r="CI183" i="1" s="1"/>
  <c r="CA183" i="1"/>
  <c r="CB183" i="1" s="1"/>
  <c r="CC183" i="1" s="1"/>
  <c r="BV183" i="1"/>
  <c r="BW183" i="1" s="1"/>
  <c r="BX183" i="1" s="1"/>
  <c r="BQ183" i="1"/>
  <c r="BR183" i="1" s="1"/>
  <c r="BS183" i="1" s="1"/>
  <c r="BL183" i="1"/>
  <c r="BM183" i="1" s="1"/>
  <c r="BN183" i="1" s="1"/>
  <c r="BG183" i="1"/>
  <c r="BH183" i="1" s="1"/>
  <c r="BI183" i="1" s="1"/>
  <c r="BB183" i="1"/>
  <c r="BC183" i="1" s="1"/>
  <c r="BD183" i="1" s="1"/>
  <c r="AW183" i="1"/>
  <c r="AX183" i="1" s="1"/>
  <c r="AY183" i="1" s="1"/>
  <c r="AR183" i="1"/>
  <c r="AS183" i="1" s="1"/>
  <c r="AT183" i="1" s="1"/>
  <c r="AM183" i="1"/>
  <c r="AN183" i="1" s="1"/>
  <c r="AO183" i="1" s="1"/>
  <c r="AH183" i="1"/>
  <c r="AI183" i="1" s="1"/>
  <c r="AJ183" i="1" s="1"/>
  <c r="AC183" i="1"/>
  <c r="AD183" i="1" s="1"/>
  <c r="AE183" i="1" s="1"/>
  <c r="W183" i="1"/>
  <c r="X183" i="1" s="1"/>
  <c r="Y183" i="1" s="1"/>
  <c r="S183" i="1"/>
  <c r="N183" i="1"/>
  <c r="I183" i="1"/>
  <c r="NZ182" i="1"/>
  <c r="NU182" i="1"/>
  <c r="NP182" i="1"/>
  <c r="NK182" i="1"/>
  <c r="NF182" i="1"/>
  <c r="NA182" i="1"/>
  <c r="MV182" i="1"/>
  <c r="MQ182" i="1"/>
  <c r="MM182" i="1"/>
  <c r="MI182" i="1"/>
  <c r="MD182" i="1"/>
  <c r="LY182" i="1"/>
  <c r="LT182" i="1"/>
  <c r="LO182" i="1"/>
  <c r="LJ182" i="1"/>
  <c r="LC182" i="1"/>
  <c r="LD182" i="1" s="1"/>
  <c r="LE182" i="1" s="1"/>
  <c r="KZ182" i="1"/>
  <c r="KT182" i="1"/>
  <c r="KU182" i="1" s="1"/>
  <c r="KV182" i="1" s="1"/>
  <c r="KO182" i="1"/>
  <c r="KP182" i="1" s="1"/>
  <c r="KQ182" i="1" s="1"/>
  <c r="KM182" i="1"/>
  <c r="KI182" i="1"/>
  <c r="KE182" i="1"/>
  <c r="KA182" i="1"/>
  <c r="JV182" i="1"/>
  <c r="JQ182" i="1"/>
  <c r="JM182" i="1"/>
  <c r="JI182" i="1"/>
  <c r="JB182" i="1"/>
  <c r="JC182" i="1" s="1"/>
  <c r="JD182" i="1" s="1"/>
  <c r="IW182" i="1"/>
  <c r="IX182" i="1" s="1"/>
  <c r="IY182" i="1" s="1"/>
  <c r="IR182" i="1"/>
  <c r="IS182" i="1" s="1"/>
  <c r="IT182" i="1" s="1"/>
  <c r="IM182" i="1"/>
  <c r="IN182" i="1" s="1"/>
  <c r="IO182" i="1" s="1"/>
  <c r="IH182" i="1"/>
  <c r="II182" i="1" s="1"/>
  <c r="IJ182" i="1" s="1"/>
  <c r="IC182" i="1"/>
  <c r="ID182" i="1" s="1"/>
  <c r="IE182" i="1" s="1"/>
  <c r="HX182" i="1"/>
  <c r="HY182" i="1" s="1"/>
  <c r="HZ182" i="1" s="1"/>
  <c r="HU182" i="1"/>
  <c r="HO182" i="1"/>
  <c r="HP182" i="1" s="1"/>
  <c r="HN182" i="1"/>
  <c r="HI182" i="1"/>
  <c r="HJ182" i="1" s="1"/>
  <c r="HK182" i="1" s="1"/>
  <c r="HD182" i="1"/>
  <c r="HE182" i="1" s="1"/>
  <c r="HF182" i="1" s="1"/>
  <c r="GY182" i="1"/>
  <c r="GZ182" i="1" s="1"/>
  <c r="HA182" i="1" s="1"/>
  <c r="GT182" i="1"/>
  <c r="GU182" i="1" s="1"/>
  <c r="GV182" i="1" s="1"/>
  <c r="GO182" i="1"/>
  <c r="GP182" i="1" s="1"/>
  <c r="GQ182" i="1" s="1"/>
  <c r="GJ182" i="1"/>
  <c r="GK182" i="1" s="1"/>
  <c r="GL182" i="1" s="1"/>
  <c r="GE182" i="1"/>
  <c r="GF182" i="1" s="1"/>
  <c r="GG182" i="1" s="1"/>
  <c r="FZ182" i="1"/>
  <c r="GA182" i="1" s="1"/>
  <c r="GB182" i="1" s="1"/>
  <c r="FU182" i="1"/>
  <c r="FV182" i="1" s="1"/>
  <c r="FW182" i="1" s="1"/>
  <c r="FP182" i="1"/>
  <c r="FQ182" i="1" s="1"/>
  <c r="FR182" i="1" s="1"/>
  <c r="FK182" i="1"/>
  <c r="FL182" i="1" s="1"/>
  <c r="FM182" i="1" s="1"/>
  <c r="FF182" i="1"/>
  <c r="FG182" i="1" s="1"/>
  <c r="FH182" i="1" s="1"/>
  <c r="FA182" i="1"/>
  <c r="FB182" i="1" s="1"/>
  <c r="FC182" i="1" s="1"/>
  <c r="EV182" i="1"/>
  <c r="EW182" i="1" s="1"/>
  <c r="EX182" i="1" s="1"/>
  <c r="EQ182" i="1"/>
  <c r="ER182" i="1" s="1"/>
  <c r="ES182" i="1" s="1"/>
  <c r="EL182" i="1"/>
  <c r="EM182" i="1" s="1"/>
  <c r="EN182" i="1" s="1"/>
  <c r="EE182" i="1"/>
  <c r="EF182" i="1" s="1"/>
  <c r="EG182" i="1" s="1"/>
  <c r="DZ182" i="1"/>
  <c r="EA182" i="1" s="1"/>
  <c r="EB182" i="1" s="1"/>
  <c r="DU182" i="1"/>
  <c r="DV182" i="1" s="1"/>
  <c r="DW182" i="1" s="1"/>
  <c r="DP182" i="1"/>
  <c r="DQ182" i="1" s="1"/>
  <c r="DR182" i="1" s="1"/>
  <c r="DK182" i="1"/>
  <c r="DL182" i="1" s="1"/>
  <c r="DM182" i="1" s="1"/>
  <c r="DF182" i="1"/>
  <c r="DG182" i="1" s="1"/>
  <c r="DH182" i="1" s="1"/>
  <c r="DA182" i="1"/>
  <c r="DB182" i="1" s="1"/>
  <c r="DC182" i="1" s="1"/>
  <c r="CV182" i="1"/>
  <c r="CW182" i="1" s="1"/>
  <c r="CX182" i="1" s="1"/>
  <c r="CQ182" i="1"/>
  <c r="CR182" i="1" s="1"/>
  <c r="CS182" i="1" s="1"/>
  <c r="CL182" i="1"/>
  <c r="CM182" i="1" s="1"/>
  <c r="CN182" i="1" s="1"/>
  <c r="CG182" i="1"/>
  <c r="CH182" i="1" s="1"/>
  <c r="CI182" i="1" s="1"/>
  <c r="CA182" i="1"/>
  <c r="CB182" i="1" s="1"/>
  <c r="CC182" i="1" s="1"/>
  <c r="BV182" i="1"/>
  <c r="BW182" i="1" s="1"/>
  <c r="BX182" i="1" s="1"/>
  <c r="BQ182" i="1"/>
  <c r="BR182" i="1" s="1"/>
  <c r="BS182" i="1" s="1"/>
  <c r="BL182" i="1"/>
  <c r="BM182" i="1" s="1"/>
  <c r="BN182" i="1" s="1"/>
  <c r="BG182" i="1"/>
  <c r="BH182" i="1" s="1"/>
  <c r="BI182" i="1" s="1"/>
  <c r="BB182" i="1"/>
  <c r="BC182" i="1" s="1"/>
  <c r="BD182" i="1" s="1"/>
  <c r="AW182" i="1"/>
  <c r="AX182" i="1" s="1"/>
  <c r="AY182" i="1" s="1"/>
  <c r="AR182" i="1"/>
  <c r="AS182" i="1" s="1"/>
  <c r="AT182" i="1" s="1"/>
  <c r="AM182" i="1"/>
  <c r="AN182" i="1" s="1"/>
  <c r="AO182" i="1" s="1"/>
  <c r="AH182" i="1"/>
  <c r="AI182" i="1" s="1"/>
  <c r="AJ182" i="1" s="1"/>
  <c r="AC182" i="1"/>
  <c r="AD182" i="1" s="1"/>
  <c r="AE182" i="1" s="1"/>
  <c r="W182" i="1"/>
  <c r="X182" i="1" s="1"/>
  <c r="Y182" i="1" s="1"/>
  <c r="S182" i="1"/>
  <c r="N182" i="1"/>
  <c r="I182" i="1"/>
  <c r="NX181" i="1"/>
  <c r="NY181" i="1" s="1"/>
  <c r="NZ181" i="1" s="1"/>
  <c r="NU181" i="1"/>
  <c r="NP181" i="1"/>
  <c r="NK181" i="1"/>
  <c r="NF181" i="1"/>
  <c r="NA181" i="1"/>
  <c r="MV181" i="1"/>
  <c r="MQ181" i="1"/>
  <c r="MM181" i="1"/>
  <c r="MG181" i="1"/>
  <c r="MH181" i="1" s="1"/>
  <c r="MI181" i="1" s="1"/>
  <c r="MB181" i="1"/>
  <c r="MC181" i="1" s="1"/>
  <c r="MD181" i="1" s="1"/>
  <c r="LW181" i="1"/>
  <c r="LX181" i="1" s="1"/>
  <c r="LY181" i="1" s="1"/>
  <c r="LR181" i="1"/>
  <c r="LS181" i="1" s="1"/>
  <c r="LT181" i="1" s="1"/>
  <c r="LO181" i="1"/>
  <c r="LJ181" i="1"/>
  <c r="LE181" i="1"/>
  <c r="KX181" i="1"/>
  <c r="KY181" i="1" s="1"/>
  <c r="KZ181" i="1" s="1"/>
  <c r="KT181" i="1"/>
  <c r="KU181" i="1" s="1"/>
  <c r="KV181" i="1" s="1"/>
  <c r="KQ181" i="1"/>
  <c r="KK181" i="1"/>
  <c r="KL181" i="1" s="1"/>
  <c r="KM181" i="1" s="1"/>
  <c r="KI181" i="1"/>
  <c r="KE181" i="1"/>
  <c r="KA181" i="1"/>
  <c r="JV181" i="1"/>
  <c r="JQ181" i="1"/>
  <c r="JM181" i="1"/>
  <c r="JI181" i="1"/>
  <c r="JD181" i="1"/>
  <c r="IY181" i="1"/>
  <c r="IT181" i="1"/>
  <c r="IO181" i="1"/>
  <c r="IJ181" i="1"/>
  <c r="IE181" i="1"/>
  <c r="HZ181" i="1"/>
  <c r="HU181" i="1"/>
  <c r="HP181" i="1"/>
  <c r="HI181" i="1"/>
  <c r="HJ181" i="1" s="1"/>
  <c r="HK181" i="1" s="1"/>
  <c r="HD181" i="1"/>
  <c r="HE181" i="1" s="1"/>
  <c r="HF181" i="1" s="1"/>
  <c r="GY181" i="1"/>
  <c r="GZ181" i="1" s="1"/>
  <c r="HA181" i="1" s="1"/>
  <c r="GT181" i="1"/>
  <c r="GU181" i="1" s="1"/>
  <c r="GV181" i="1" s="1"/>
  <c r="GO181" i="1"/>
  <c r="GP181" i="1" s="1"/>
  <c r="GQ181" i="1" s="1"/>
  <c r="GJ181" i="1"/>
  <c r="GK181" i="1" s="1"/>
  <c r="GL181" i="1" s="1"/>
  <c r="GE181" i="1"/>
  <c r="GF181" i="1" s="1"/>
  <c r="GG181" i="1" s="1"/>
  <c r="FZ181" i="1"/>
  <c r="GA181" i="1" s="1"/>
  <c r="GB181" i="1" s="1"/>
  <c r="FU181" i="1"/>
  <c r="FV181" i="1" s="1"/>
  <c r="FW181" i="1" s="1"/>
  <c r="FP181" i="1"/>
  <c r="FQ181" i="1" s="1"/>
  <c r="FR181" i="1" s="1"/>
  <c r="FK181" i="1"/>
  <c r="FL181" i="1" s="1"/>
  <c r="FM181" i="1" s="1"/>
  <c r="FF181" i="1"/>
  <c r="FG181" i="1" s="1"/>
  <c r="FH181" i="1" s="1"/>
  <c r="FA181" i="1"/>
  <c r="FB181" i="1" s="1"/>
  <c r="FC181" i="1" s="1"/>
  <c r="EV181" i="1"/>
  <c r="EW181" i="1" s="1"/>
  <c r="EX181" i="1" s="1"/>
  <c r="EQ181" i="1"/>
  <c r="ER181" i="1" s="1"/>
  <c r="ES181" i="1" s="1"/>
  <c r="EL181" i="1"/>
  <c r="EM181" i="1" s="1"/>
  <c r="EN181" i="1" s="1"/>
  <c r="EE181" i="1"/>
  <c r="EF181" i="1" s="1"/>
  <c r="EG181" i="1" s="1"/>
  <c r="DZ181" i="1"/>
  <c r="EA181" i="1" s="1"/>
  <c r="EB181" i="1" s="1"/>
  <c r="DU181" i="1"/>
  <c r="DV181" i="1" s="1"/>
  <c r="DW181" i="1" s="1"/>
  <c r="DP181" i="1"/>
  <c r="DQ181" i="1" s="1"/>
  <c r="DR181" i="1" s="1"/>
  <c r="DK181" i="1"/>
  <c r="DL181" i="1" s="1"/>
  <c r="DM181" i="1" s="1"/>
  <c r="DF181" i="1"/>
  <c r="DG181" i="1" s="1"/>
  <c r="DH181" i="1" s="1"/>
  <c r="DA181" i="1"/>
  <c r="DB181" i="1" s="1"/>
  <c r="DC181" i="1" s="1"/>
  <c r="CV181" i="1"/>
  <c r="CW181" i="1" s="1"/>
  <c r="CX181" i="1" s="1"/>
  <c r="CQ181" i="1"/>
  <c r="CR181" i="1" s="1"/>
  <c r="CS181" i="1" s="1"/>
  <c r="CL181" i="1"/>
  <c r="CM181" i="1" s="1"/>
  <c r="CN181" i="1" s="1"/>
  <c r="CG181" i="1"/>
  <c r="CH181" i="1" s="1"/>
  <c r="CI181" i="1" s="1"/>
  <c r="CA181" i="1"/>
  <c r="CB181" i="1" s="1"/>
  <c r="CC181" i="1" s="1"/>
  <c r="BV181" i="1"/>
  <c r="BW181" i="1" s="1"/>
  <c r="BX181" i="1" s="1"/>
  <c r="BQ181" i="1"/>
  <c r="BR181" i="1" s="1"/>
  <c r="BS181" i="1" s="1"/>
  <c r="BL181" i="1"/>
  <c r="BM181" i="1" s="1"/>
  <c r="BN181" i="1" s="1"/>
  <c r="BG181" i="1"/>
  <c r="BH181" i="1" s="1"/>
  <c r="BI181" i="1" s="1"/>
  <c r="BB181" i="1"/>
  <c r="BC181" i="1" s="1"/>
  <c r="BD181" i="1" s="1"/>
  <c r="AW181" i="1"/>
  <c r="AX181" i="1" s="1"/>
  <c r="AY181" i="1" s="1"/>
  <c r="AR181" i="1"/>
  <c r="AS181" i="1" s="1"/>
  <c r="AT181" i="1" s="1"/>
  <c r="AM181" i="1"/>
  <c r="AN181" i="1" s="1"/>
  <c r="AO181" i="1" s="1"/>
  <c r="AH181" i="1"/>
  <c r="AI181" i="1" s="1"/>
  <c r="AJ181" i="1" s="1"/>
  <c r="AC181" i="1"/>
  <c r="AD181" i="1" s="1"/>
  <c r="AE181" i="1" s="1"/>
  <c r="W181" i="1"/>
  <c r="X181" i="1" s="1"/>
  <c r="Y181" i="1" s="1"/>
  <c r="Q181" i="1"/>
  <c r="R181" i="1" s="1"/>
  <c r="S181" i="1" s="1"/>
  <c r="N181" i="1"/>
  <c r="I181" i="1"/>
  <c r="NZ180" i="1"/>
  <c r="NU180" i="1"/>
  <c r="NP180" i="1"/>
  <c r="NK180" i="1"/>
  <c r="NF180" i="1"/>
  <c r="NA180" i="1"/>
  <c r="MV180" i="1"/>
  <c r="MO180" i="1"/>
  <c r="MP180" i="1" s="1"/>
  <c r="MQ180" i="1" s="1"/>
  <c r="MK180" i="1"/>
  <c r="ML180" i="1" s="1"/>
  <c r="MM180" i="1" s="1"/>
  <c r="MI180" i="1"/>
  <c r="MD180" i="1"/>
  <c r="LY180" i="1"/>
  <c r="LT180" i="1"/>
  <c r="LO180" i="1"/>
  <c r="LJ180" i="1"/>
  <c r="LC180" i="1"/>
  <c r="LD180" i="1" s="1"/>
  <c r="LE180" i="1" s="1"/>
  <c r="KX180" i="1"/>
  <c r="KY180" i="1" s="1"/>
  <c r="KZ180" i="1" s="1"/>
  <c r="KT180" i="1"/>
  <c r="KU180" i="1" s="1"/>
  <c r="KV180" i="1" s="1"/>
  <c r="KO180" i="1"/>
  <c r="KP180" i="1" s="1"/>
  <c r="KQ180" i="1" s="1"/>
  <c r="KM180" i="1"/>
  <c r="KI180" i="1"/>
  <c r="KE180" i="1"/>
  <c r="JY180" i="1"/>
  <c r="JZ180" i="1" s="1"/>
  <c r="KA180" i="1" s="1"/>
  <c r="JV180" i="1"/>
  <c r="JQ180" i="1"/>
  <c r="JM180" i="1"/>
  <c r="JI180" i="1"/>
  <c r="JB180" i="1"/>
  <c r="JC180" i="1" s="1"/>
  <c r="JD180" i="1" s="1"/>
  <c r="IW180" i="1"/>
  <c r="IX180" i="1" s="1"/>
  <c r="IY180" i="1" s="1"/>
  <c r="IR180" i="1"/>
  <c r="IS180" i="1" s="1"/>
  <c r="IT180" i="1" s="1"/>
  <c r="IM180" i="1"/>
  <c r="IN180" i="1" s="1"/>
  <c r="IO180" i="1" s="1"/>
  <c r="IH180" i="1"/>
  <c r="II180" i="1" s="1"/>
  <c r="IJ180" i="1" s="1"/>
  <c r="IC180" i="1"/>
  <c r="ID180" i="1" s="1"/>
  <c r="IE180" i="1" s="1"/>
  <c r="HX180" i="1"/>
  <c r="HY180" i="1" s="1"/>
  <c r="HZ180" i="1" s="1"/>
  <c r="HS180" i="1"/>
  <c r="HT180" i="1" s="1"/>
  <c r="HU180" i="1" s="1"/>
  <c r="HN180" i="1"/>
  <c r="HO180" i="1" s="1"/>
  <c r="HP180" i="1" s="1"/>
  <c r="HI180" i="1"/>
  <c r="HJ180" i="1" s="1"/>
  <c r="HK180" i="1" s="1"/>
  <c r="HD180" i="1"/>
  <c r="HE180" i="1" s="1"/>
  <c r="HF180" i="1" s="1"/>
  <c r="GY180" i="1"/>
  <c r="GZ180" i="1" s="1"/>
  <c r="HA180" i="1" s="1"/>
  <c r="GT180" i="1"/>
  <c r="GU180" i="1" s="1"/>
  <c r="GV180" i="1" s="1"/>
  <c r="GO180" i="1"/>
  <c r="GP180" i="1" s="1"/>
  <c r="GQ180" i="1" s="1"/>
  <c r="GJ180" i="1"/>
  <c r="GK180" i="1" s="1"/>
  <c r="GL180" i="1" s="1"/>
  <c r="GE180" i="1"/>
  <c r="GF180" i="1" s="1"/>
  <c r="GG180" i="1" s="1"/>
  <c r="FZ180" i="1"/>
  <c r="GA180" i="1" s="1"/>
  <c r="GB180" i="1" s="1"/>
  <c r="FU180" i="1"/>
  <c r="FV180" i="1" s="1"/>
  <c r="FW180" i="1" s="1"/>
  <c r="FP180" i="1"/>
  <c r="FQ180" i="1" s="1"/>
  <c r="FR180" i="1" s="1"/>
  <c r="FK180" i="1"/>
  <c r="FL180" i="1" s="1"/>
  <c r="FM180" i="1" s="1"/>
  <c r="FF180" i="1"/>
  <c r="FG180" i="1" s="1"/>
  <c r="FH180" i="1" s="1"/>
  <c r="FA180" i="1"/>
  <c r="FB180" i="1" s="1"/>
  <c r="FC180" i="1" s="1"/>
  <c r="EV180" i="1"/>
  <c r="EW180" i="1" s="1"/>
  <c r="EX180" i="1" s="1"/>
  <c r="EQ180" i="1"/>
  <c r="ER180" i="1" s="1"/>
  <c r="ES180" i="1" s="1"/>
  <c r="EL180" i="1"/>
  <c r="EM180" i="1" s="1"/>
  <c r="EN180" i="1" s="1"/>
  <c r="EE180" i="1"/>
  <c r="EF180" i="1" s="1"/>
  <c r="EG180" i="1" s="1"/>
  <c r="DZ180" i="1"/>
  <c r="EA180" i="1" s="1"/>
  <c r="EB180" i="1" s="1"/>
  <c r="DU180" i="1"/>
  <c r="DV180" i="1" s="1"/>
  <c r="DW180" i="1" s="1"/>
  <c r="DP180" i="1"/>
  <c r="DQ180" i="1" s="1"/>
  <c r="DR180" i="1" s="1"/>
  <c r="DK180" i="1"/>
  <c r="DL180" i="1" s="1"/>
  <c r="DM180" i="1" s="1"/>
  <c r="DF180" i="1"/>
  <c r="DG180" i="1" s="1"/>
  <c r="DH180" i="1" s="1"/>
  <c r="DA180" i="1"/>
  <c r="DB180" i="1" s="1"/>
  <c r="DC180" i="1" s="1"/>
  <c r="CV180" i="1"/>
  <c r="CW180" i="1" s="1"/>
  <c r="CX180" i="1" s="1"/>
  <c r="CQ180" i="1"/>
  <c r="CR180" i="1" s="1"/>
  <c r="CS180" i="1" s="1"/>
  <c r="CL180" i="1"/>
  <c r="CM180" i="1" s="1"/>
  <c r="CN180" i="1" s="1"/>
  <c r="CG180" i="1"/>
  <c r="CH180" i="1" s="1"/>
  <c r="CI180" i="1" s="1"/>
  <c r="CA180" i="1"/>
  <c r="CB180" i="1" s="1"/>
  <c r="CC180" i="1" s="1"/>
  <c r="BV180" i="1"/>
  <c r="BW180" i="1" s="1"/>
  <c r="BX180" i="1" s="1"/>
  <c r="BQ180" i="1"/>
  <c r="BR180" i="1" s="1"/>
  <c r="BS180" i="1" s="1"/>
  <c r="BL180" i="1"/>
  <c r="BM180" i="1" s="1"/>
  <c r="BN180" i="1" s="1"/>
  <c r="BG180" i="1"/>
  <c r="BH180" i="1" s="1"/>
  <c r="BI180" i="1" s="1"/>
  <c r="BB180" i="1"/>
  <c r="BC180" i="1" s="1"/>
  <c r="BD180" i="1" s="1"/>
  <c r="AW180" i="1"/>
  <c r="AX180" i="1" s="1"/>
  <c r="AY180" i="1" s="1"/>
  <c r="AR180" i="1"/>
  <c r="AS180" i="1" s="1"/>
  <c r="AT180" i="1" s="1"/>
  <c r="AM180" i="1"/>
  <c r="AN180" i="1" s="1"/>
  <c r="AO180" i="1" s="1"/>
  <c r="AH180" i="1"/>
  <c r="AI180" i="1" s="1"/>
  <c r="AJ180" i="1" s="1"/>
  <c r="AC180" i="1"/>
  <c r="AD180" i="1" s="1"/>
  <c r="AE180" i="1" s="1"/>
  <c r="W180" i="1"/>
  <c r="X180" i="1" s="1"/>
  <c r="Y180" i="1" s="1"/>
  <c r="S180" i="1"/>
  <c r="N180" i="1"/>
  <c r="I180" i="1"/>
  <c r="NZ179" i="1"/>
  <c r="NU179" i="1"/>
  <c r="NP179" i="1"/>
  <c r="NK179" i="1"/>
  <c r="NF179" i="1"/>
  <c r="NA179" i="1"/>
  <c r="MV179" i="1"/>
  <c r="MQ179" i="1"/>
  <c r="MM179" i="1"/>
  <c r="MI179" i="1"/>
  <c r="MD179" i="1"/>
  <c r="LY179" i="1"/>
  <c r="LT179" i="1"/>
  <c r="LO179" i="1"/>
  <c r="LJ179" i="1"/>
  <c r="LE179" i="1"/>
  <c r="KZ179" i="1"/>
  <c r="KV179" i="1"/>
  <c r="KQ179" i="1"/>
  <c r="KM179" i="1"/>
  <c r="KI179" i="1"/>
  <c r="KE179" i="1"/>
  <c r="KA179" i="1"/>
  <c r="JV179" i="1"/>
  <c r="JQ179" i="1"/>
  <c r="JM179" i="1"/>
  <c r="JI179" i="1"/>
  <c r="JD179" i="1"/>
  <c r="IY179" i="1"/>
  <c r="IT179" i="1"/>
  <c r="IO179" i="1"/>
  <c r="IJ179" i="1"/>
  <c r="IE179" i="1"/>
  <c r="HZ179" i="1"/>
  <c r="HU179" i="1"/>
  <c r="HP179" i="1"/>
  <c r="HI179" i="1"/>
  <c r="HJ179" i="1" s="1"/>
  <c r="HK179" i="1" s="1"/>
  <c r="HD179" i="1"/>
  <c r="HE179" i="1" s="1"/>
  <c r="HF179" i="1" s="1"/>
  <c r="GY179" i="1"/>
  <c r="GZ179" i="1" s="1"/>
  <c r="HA179" i="1" s="1"/>
  <c r="GT179" i="1"/>
  <c r="GU179" i="1" s="1"/>
  <c r="GV179" i="1" s="1"/>
  <c r="GO179" i="1"/>
  <c r="GP179" i="1" s="1"/>
  <c r="GQ179" i="1" s="1"/>
  <c r="GJ179" i="1"/>
  <c r="GK179" i="1" s="1"/>
  <c r="GL179" i="1" s="1"/>
  <c r="GE179" i="1"/>
  <c r="GF179" i="1" s="1"/>
  <c r="GG179" i="1" s="1"/>
  <c r="FZ179" i="1"/>
  <c r="GA179" i="1" s="1"/>
  <c r="GB179" i="1" s="1"/>
  <c r="FU179" i="1"/>
  <c r="FV179" i="1" s="1"/>
  <c r="FW179" i="1" s="1"/>
  <c r="FP179" i="1"/>
  <c r="FQ179" i="1" s="1"/>
  <c r="FR179" i="1" s="1"/>
  <c r="FK179" i="1"/>
  <c r="FL179" i="1" s="1"/>
  <c r="FM179" i="1" s="1"/>
  <c r="FF179" i="1"/>
  <c r="FG179" i="1" s="1"/>
  <c r="FH179" i="1" s="1"/>
  <c r="FA179" i="1"/>
  <c r="FB179" i="1" s="1"/>
  <c r="FC179" i="1" s="1"/>
  <c r="EV179" i="1"/>
  <c r="EW179" i="1" s="1"/>
  <c r="EX179" i="1" s="1"/>
  <c r="EQ179" i="1"/>
  <c r="ER179" i="1" s="1"/>
  <c r="ES179" i="1" s="1"/>
  <c r="EL179" i="1"/>
  <c r="EM179" i="1" s="1"/>
  <c r="EN179" i="1" s="1"/>
  <c r="EE179" i="1"/>
  <c r="EF179" i="1" s="1"/>
  <c r="EG179" i="1" s="1"/>
  <c r="DZ179" i="1"/>
  <c r="EA179" i="1" s="1"/>
  <c r="EB179" i="1" s="1"/>
  <c r="DU179" i="1"/>
  <c r="DV179" i="1" s="1"/>
  <c r="DW179" i="1" s="1"/>
  <c r="DP179" i="1"/>
  <c r="DQ179" i="1" s="1"/>
  <c r="DR179" i="1" s="1"/>
  <c r="DK179" i="1"/>
  <c r="DL179" i="1" s="1"/>
  <c r="DM179" i="1" s="1"/>
  <c r="DF179" i="1"/>
  <c r="DG179" i="1" s="1"/>
  <c r="DH179" i="1" s="1"/>
  <c r="DA179" i="1"/>
  <c r="DB179" i="1" s="1"/>
  <c r="DC179" i="1" s="1"/>
  <c r="CV179" i="1"/>
  <c r="CW179" i="1" s="1"/>
  <c r="CX179" i="1" s="1"/>
  <c r="CQ179" i="1"/>
  <c r="CR179" i="1" s="1"/>
  <c r="CS179" i="1" s="1"/>
  <c r="CL179" i="1"/>
  <c r="CM179" i="1" s="1"/>
  <c r="CN179" i="1" s="1"/>
  <c r="CG179" i="1"/>
  <c r="CH179" i="1" s="1"/>
  <c r="CI179" i="1" s="1"/>
  <c r="CA179" i="1"/>
  <c r="CB179" i="1" s="1"/>
  <c r="CC179" i="1" s="1"/>
  <c r="BV179" i="1"/>
  <c r="BW179" i="1" s="1"/>
  <c r="BX179" i="1" s="1"/>
  <c r="BQ179" i="1"/>
  <c r="BR179" i="1" s="1"/>
  <c r="BS179" i="1" s="1"/>
  <c r="BL179" i="1"/>
  <c r="BM179" i="1" s="1"/>
  <c r="BN179" i="1" s="1"/>
  <c r="BG179" i="1"/>
  <c r="BH179" i="1" s="1"/>
  <c r="BI179" i="1" s="1"/>
  <c r="BB179" i="1"/>
  <c r="BC179" i="1" s="1"/>
  <c r="BD179" i="1" s="1"/>
  <c r="AW179" i="1"/>
  <c r="AX179" i="1" s="1"/>
  <c r="AY179" i="1" s="1"/>
  <c r="AR179" i="1"/>
  <c r="AS179" i="1" s="1"/>
  <c r="AT179" i="1" s="1"/>
  <c r="AM179" i="1"/>
  <c r="AN179" i="1" s="1"/>
  <c r="AO179" i="1" s="1"/>
  <c r="AH179" i="1"/>
  <c r="AI179" i="1" s="1"/>
  <c r="AJ179" i="1" s="1"/>
  <c r="AC179" i="1"/>
  <c r="AD179" i="1" s="1"/>
  <c r="AE179" i="1" s="1"/>
  <c r="W179" i="1"/>
  <c r="X179" i="1" s="1"/>
  <c r="Y179" i="1" s="1"/>
  <c r="S179" i="1"/>
  <c r="N179" i="1"/>
  <c r="I179" i="1"/>
  <c r="NZ178" i="1"/>
  <c r="NU178" i="1"/>
  <c r="NP178" i="1"/>
  <c r="NK178" i="1"/>
  <c r="NF178" i="1"/>
  <c r="NA178" i="1"/>
  <c r="MV178" i="1"/>
  <c r="MQ178" i="1"/>
  <c r="MM178" i="1"/>
  <c r="MI178" i="1"/>
  <c r="MD178" i="1"/>
  <c r="LY178" i="1"/>
  <c r="LT178" i="1"/>
  <c r="LO178" i="1"/>
  <c r="LJ178" i="1"/>
  <c r="LE178" i="1"/>
  <c r="KZ178" i="1"/>
  <c r="KV178" i="1"/>
  <c r="KQ178" i="1"/>
  <c r="KM178" i="1"/>
  <c r="KI178" i="1"/>
  <c r="KE178" i="1"/>
  <c r="JY178" i="1"/>
  <c r="JZ178" i="1" s="1"/>
  <c r="KA178" i="1" s="1"/>
  <c r="JV178" i="1"/>
  <c r="JQ178" i="1"/>
  <c r="JM178" i="1"/>
  <c r="JI178" i="1"/>
  <c r="JD178" i="1"/>
  <c r="IY178" i="1"/>
  <c r="IT178" i="1"/>
  <c r="IO178" i="1"/>
  <c r="IJ178" i="1"/>
  <c r="IE178" i="1"/>
  <c r="HZ178" i="1"/>
  <c r="HU178" i="1"/>
  <c r="HP178" i="1"/>
  <c r="HK178" i="1"/>
  <c r="HD178" i="1"/>
  <c r="HE178" i="1" s="1"/>
  <c r="HF178" i="1" s="1"/>
  <c r="GY178" i="1"/>
  <c r="GZ178" i="1" s="1"/>
  <c r="HA178" i="1" s="1"/>
  <c r="GT178" i="1"/>
  <c r="GU178" i="1" s="1"/>
  <c r="GV178" i="1" s="1"/>
  <c r="GO178" i="1"/>
  <c r="GP178" i="1" s="1"/>
  <c r="GQ178" i="1" s="1"/>
  <c r="GJ178" i="1"/>
  <c r="GK178" i="1" s="1"/>
  <c r="GL178" i="1" s="1"/>
  <c r="GE178" i="1"/>
  <c r="GF178" i="1" s="1"/>
  <c r="GG178" i="1" s="1"/>
  <c r="FZ178" i="1"/>
  <c r="GA178" i="1" s="1"/>
  <c r="GB178" i="1" s="1"/>
  <c r="FU178" i="1"/>
  <c r="FV178" i="1" s="1"/>
  <c r="FW178" i="1" s="1"/>
  <c r="FP178" i="1"/>
  <c r="FQ178" i="1" s="1"/>
  <c r="FR178" i="1" s="1"/>
  <c r="FK178" i="1"/>
  <c r="FL178" i="1" s="1"/>
  <c r="FM178" i="1" s="1"/>
  <c r="FF178" i="1"/>
  <c r="FG178" i="1" s="1"/>
  <c r="FH178" i="1" s="1"/>
  <c r="FA178" i="1"/>
  <c r="FB178" i="1" s="1"/>
  <c r="FC178" i="1" s="1"/>
  <c r="EV178" i="1"/>
  <c r="EW178" i="1" s="1"/>
  <c r="EX178" i="1" s="1"/>
  <c r="EQ178" i="1"/>
  <c r="ER178" i="1" s="1"/>
  <c r="ES178" i="1" s="1"/>
  <c r="EL178" i="1"/>
  <c r="EM178" i="1" s="1"/>
  <c r="EN178" i="1" s="1"/>
  <c r="EE178" i="1"/>
  <c r="EF178" i="1" s="1"/>
  <c r="EG178" i="1" s="1"/>
  <c r="DZ178" i="1"/>
  <c r="EA178" i="1" s="1"/>
  <c r="EB178" i="1" s="1"/>
  <c r="DU178" i="1"/>
  <c r="DV178" i="1" s="1"/>
  <c r="DW178" i="1" s="1"/>
  <c r="DP178" i="1"/>
  <c r="DQ178" i="1" s="1"/>
  <c r="DR178" i="1" s="1"/>
  <c r="DK178" i="1"/>
  <c r="DL178" i="1" s="1"/>
  <c r="DM178" i="1" s="1"/>
  <c r="DF178" i="1"/>
  <c r="DG178" i="1" s="1"/>
  <c r="DH178" i="1" s="1"/>
  <c r="DA178" i="1"/>
  <c r="DB178" i="1" s="1"/>
  <c r="DC178" i="1" s="1"/>
  <c r="CV178" i="1"/>
  <c r="CW178" i="1" s="1"/>
  <c r="CX178" i="1" s="1"/>
  <c r="CQ178" i="1"/>
  <c r="CR178" i="1" s="1"/>
  <c r="CS178" i="1" s="1"/>
  <c r="CL178" i="1"/>
  <c r="CM178" i="1" s="1"/>
  <c r="CN178" i="1" s="1"/>
  <c r="CG178" i="1"/>
  <c r="CH178" i="1" s="1"/>
  <c r="CI178" i="1" s="1"/>
  <c r="CA178" i="1"/>
  <c r="CB178" i="1" s="1"/>
  <c r="CC178" i="1" s="1"/>
  <c r="BV178" i="1"/>
  <c r="BW178" i="1" s="1"/>
  <c r="BX178" i="1" s="1"/>
  <c r="BQ178" i="1"/>
  <c r="BR178" i="1" s="1"/>
  <c r="BS178" i="1" s="1"/>
  <c r="BL178" i="1"/>
  <c r="BM178" i="1" s="1"/>
  <c r="BN178" i="1" s="1"/>
  <c r="BG178" i="1"/>
  <c r="BH178" i="1" s="1"/>
  <c r="BI178" i="1" s="1"/>
  <c r="BB178" i="1"/>
  <c r="BC178" i="1" s="1"/>
  <c r="BD178" i="1" s="1"/>
  <c r="AW178" i="1"/>
  <c r="AX178" i="1" s="1"/>
  <c r="AY178" i="1" s="1"/>
  <c r="AR178" i="1"/>
  <c r="AS178" i="1" s="1"/>
  <c r="AT178" i="1" s="1"/>
  <c r="AM178" i="1"/>
  <c r="AN178" i="1" s="1"/>
  <c r="AO178" i="1" s="1"/>
  <c r="AH178" i="1"/>
  <c r="AI178" i="1" s="1"/>
  <c r="AJ178" i="1" s="1"/>
  <c r="AE178" i="1"/>
  <c r="W178" i="1"/>
  <c r="X178" i="1" s="1"/>
  <c r="Y178" i="1" s="1"/>
  <c r="S178" i="1"/>
  <c r="N178" i="1"/>
  <c r="G178" i="1"/>
  <c r="H178" i="1" s="1"/>
  <c r="I178" i="1" s="1"/>
  <c r="NZ177" i="1"/>
  <c r="NU177" i="1"/>
  <c r="NP177" i="1"/>
  <c r="NK177" i="1"/>
  <c r="NF177" i="1"/>
  <c r="NA177" i="1"/>
  <c r="MV177" i="1"/>
  <c r="MQ177" i="1"/>
  <c r="MM177" i="1"/>
  <c r="MI177" i="1"/>
  <c r="MD177" i="1"/>
  <c r="LY177" i="1"/>
  <c r="LT177" i="1"/>
  <c r="LO177" i="1"/>
  <c r="LJ177" i="1"/>
  <c r="LC177" i="1"/>
  <c r="LD177" i="1" s="1"/>
  <c r="LE177" i="1" s="1"/>
  <c r="KZ177" i="1"/>
  <c r="KT177" i="1"/>
  <c r="KU177" i="1" s="1"/>
  <c r="KV177" i="1" s="1"/>
  <c r="KQ177" i="1"/>
  <c r="KM177" i="1"/>
  <c r="KI177" i="1"/>
  <c r="KE177" i="1"/>
  <c r="JY177" i="1"/>
  <c r="JZ177" i="1" s="1"/>
  <c r="KA177" i="1" s="1"/>
  <c r="JV177" i="1"/>
  <c r="JQ177" i="1"/>
  <c r="JM177" i="1"/>
  <c r="JI177" i="1"/>
  <c r="JB177" i="1"/>
  <c r="JC177" i="1" s="1"/>
  <c r="JD177" i="1" s="1"/>
  <c r="IW177" i="1"/>
  <c r="IX177" i="1" s="1"/>
  <c r="IY177" i="1" s="1"/>
  <c r="IR177" i="1"/>
  <c r="IS177" i="1" s="1"/>
  <c r="IT177" i="1" s="1"/>
  <c r="IM177" i="1"/>
  <c r="IN177" i="1" s="1"/>
  <c r="IO177" i="1" s="1"/>
  <c r="IH177" i="1"/>
  <c r="II177" i="1" s="1"/>
  <c r="IJ177" i="1" s="1"/>
  <c r="IC177" i="1"/>
  <c r="ID177" i="1" s="1"/>
  <c r="IE177" i="1" s="1"/>
  <c r="HX177" i="1"/>
  <c r="HY177" i="1" s="1"/>
  <c r="HZ177" i="1" s="1"/>
  <c r="HU177" i="1"/>
  <c r="HP177" i="1"/>
  <c r="HI177" i="1"/>
  <c r="HJ177" i="1" s="1"/>
  <c r="HK177" i="1" s="1"/>
  <c r="HD177" i="1"/>
  <c r="HE177" i="1" s="1"/>
  <c r="HF177" i="1" s="1"/>
  <c r="GY177" i="1"/>
  <c r="GZ177" i="1" s="1"/>
  <c r="HA177" i="1" s="1"/>
  <c r="GT177" i="1"/>
  <c r="GU177" i="1" s="1"/>
  <c r="GV177" i="1" s="1"/>
  <c r="GO177" i="1"/>
  <c r="GP177" i="1" s="1"/>
  <c r="GQ177" i="1" s="1"/>
  <c r="GJ177" i="1"/>
  <c r="GK177" i="1" s="1"/>
  <c r="GL177" i="1" s="1"/>
  <c r="GE177" i="1"/>
  <c r="GF177" i="1" s="1"/>
  <c r="GG177" i="1" s="1"/>
  <c r="FZ177" i="1"/>
  <c r="GA177" i="1" s="1"/>
  <c r="GB177" i="1" s="1"/>
  <c r="FU177" i="1"/>
  <c r="FV177" i="1" s="1"/>
  <c r="FW177" i="1" s="1"/>
  <c r="FP177" i="1"/>
  <c r="FQ177" i="1" s="1"/>
  <c r="FR177" i="1" s="1"/>
  <c r="FK177" i="1"/>
  <c r="FL177" i="1" s="1"/>
  <c r="FM177" i="1" s="1"/>
  <c r="FF177" i="1"/>
  <c r="FG177" i="1" s="1"/>
  <c r="FH177" i="1" s="1"/>
  <c r="FA177" i="1"/>
  <c r="FB177" i="1" s="1"/>
  <c r="FC177" i="1" s="1"/>
  <c r="EV177" i="1"/>
  <c r="EW177" i="1" s="1"/>
  <c r="EX177" i="1" s="1"/>
  <c r="EQ177" i="1"/>
  <c r="ER177" i="1" s="1"/>
  <c r="ES177" i="1" s="1"/>
  <c r="EL177" i="1"/>
  <c r="EM177" i="1" s="1"/>
  <c r="EN177" i="1" s="1"/>
  <c r="EE177" i="1"/>
  <c r="EF177" i="1" s="1"/>
  <c r="EG177" i="1" s="1"/>
  <c r="DZ177" i="1"/>
  <c r="EA177" i="1" s="1"/>
  <c r="EB177" i="1" s="1"/>
  <c r="DU177" i="1"/>
  <c r="DV177" i="1" s="1"/>
  <c r="DW177" i="1" s="1"/>
  <c r="DP177" i="1"/>
  <c r="DQ177" i="1" s="1"/>
  <c r="DR177" i="1" s="1"/>
  <c r="DK177" i="1"/>
  <c r="DL177" i="1" s="1"/>
  <c r="DM177" i="1" s="1"/>
  <c r="DF177" i="1"/>
  <c r="DG177" i="1" s="1"/>
  <c r="DH177" i="1" s="1"/>
  <c r="DA177" i="1"/>
  <c r="DB177" i="1" s="1"/>
  <c r="DC177" i="1" s="1"/>
  <c r="CV177" i="1"/>
  <c r="CW177" i="1" s="1"/>
  <c r="CX177" i="1" s="1"/>
  <c r="CQ177" i="1"/>
  <c r="CR177" i="1" s="1"/>
  <c r="CS177" i="1" s="1"/>
  <c r="CL177" i="1"/>
  <c r="CM177" i="1" s="1"/>
  <c r="CN177" i="1" s="1"/>
  <c r="CG177" i="1"/>
  <c r="CH177" i="1" s="1"/>
  <c r="CI177" i="1" s="1"/>
  <c r="CA177" i="1"/>
  <c r="CB177" i="1" s="1"/>
  <c r="CC177" i="1" s="1"/>
  <c r="BV177" i="1"/>
  <c r="BW177" i="1" s="1"/>
  <c r="BX177" i="1" s="1"/>
  <c r="BQ177" i="1"/>
  <c r="BR177" i="1" s="1"/>
  <c r="BS177" i="1" s="1"/>
  <c r="BL177" i="1"/>
  <c r="BM177" i="1" s="1"/>
  <c r="BN177" i="1" s="1"/>
  <c r="BG177" i="1"/>
  <c r="BH177" i="1" s="1"/>
  <c r="BI177" i="1" s="1"/>
  <c r="BB177" i="1"/>
  <c r="BC177" i="1" s="1"/>
  <c r="BD177" i="1" s="1"/>
  <c r="AW177" i="1"/>
  <c r="AX177" i="1" s="1"/>
  <c r="AY177" i="1" s="1"/>
  <c r="AR177" i="1"/>
  <c r="AS177" i="1" s="1"/>
  <c r="AT177" i="1" s="1"/>
  <c r="AM177" i="1"/>
  <c r="AN177" i="1" s="1"/>
  <c r="AO177" i="1" s="1"/>
  <c r="AH177" i="1"/>
  <c r="AI177" i="1" s="1"/>
  <c r="AJ177" i="1" s="1"/>
  <c r="AC177" i="1"/>
  <c r="AD177" i="1" s="1"/>
  <c r="AE177" i="1" s="1"/>
  <c r="W177" i="1"/>
  <c r="X177" i="1" s="1"/>
  <c r="Y177" i="1" s="1"/>
  <c r="S177" i="1"/>
  <c r="N177" i="1"/>
  <c r="I177" i="1"/>
  <c r="NZ176" i="1"/>
  <c r="NU176" i="1"/>
  <c r="NP176" i="1"/>
  <c r="NK176" i="1"/>
  <c r="NF176" i="1"/>
  <c r="NA176" i="1"/>
  <c r="MV176" i="1"/>
  <c r="MQ176" i="1"/>
  <c r="MM176" i="1"/>
  <c r="MI176" i="1"/>
  <c r="MD176" i="1"/>
  <c r="LY176" i="1"/>
  <c r="LT176" i="1"/>
  <c r="LO176" i="1"/>
  <c r="LJ176" i="1"/>
  <c r="LE176" i="1"/>
  <c r="KZ176" i="1"/>
  <c r="KV176" i="1"/>
  <c r="KO176" i="1"/>
  <c r="KP176" i="1" s="1"/>
  <c r="KQ176" i="1" s="1"/>
  <c r="KM176" i="1"/>
  <c r="KI176" i="1"/>
  <c r="KE176" i="1"/>
  <c r="KA176" i="1"/>
  <c r="JV176" i="1"/>
  <c r="JQ176" i="1"/>
  <c r="JM176" i="1"/>
  <c r="JI176" i="1"/>
  <c r="JD176" i="1"/>
  <c r="IY176" i="1"/>
  <c r="IT176" i="1"/>
  <c r="IO176" i="1"/>
  <c r="IJ176" i="1"/>
  <c r="IE176" i="1"/>
  <c r="HZ176" i="1"/>
  <c r="HU176" i="1"/>
  <c r="HP176" i="1"/>
  <c r="HI176" i="1"/>
  <c r="HJ176" i="1" s="1"/>
  <c r="HK176" i="1" s="1"/>
  <c r="HD176" i="1"/>
  <c r="HE176" i="1" s="1"/>
  <c r="HF176" i="1" s="1"/>
  <c r="GY176" i="1"/>
  <c r="GZ176" i="1" s="1"/>
  <c r="HA176" i="1" s="1"/>
  <c r="GT176" i="1"/>
  <c r="GU176" i="1" s="1"/>
  <c r="GV176" i="1" s="1"/>
  <c r="GO176" i="1"/>
  <c r="GP176" i="1" s="1"/>
  <c r="GQ176" i="1" s="1"/>
  <c r="GJ176" i="1"/>
  <c r="GK176" i="1" s="1"/>
  <c r="GL176" i="1" s="1"/>
  <c r="GE176" i="1"/>
  <c r="GF176" i="1" s="1"/>
  <c r="GG176" i="1" s="1"/>
  <c r="FZ176" i="1"/>
  <c r="GA176" i="1" s="1"/>
  <c r="GB176" i="1" s="1"/>
  <c r="FU176" i="1"/>
  <c r="FV176" i="1" s="1"/>
  <c r="FW176" i="1" s="1"/>
  <c r="FP176" i="1"/>
  <c r="FQ176" i="1" s="1"/>
  <c r="FR176" i="1" s="1"/>
  <c r="FK176" i="1"/>
  <c r="FL176" i="1" s="1"/>
  <c r="FM176" i="1" s="1"/>
  <c r="FF176" i="1"/>
  <c r="FG176" i="1" s="1"/>
  <c r="FH176" i="1" s="1"/>
  <c r="FA176" i="1"/>
  <c r="FB176" i="1" s="1"/>
  <c r="FC176" i="1" s="1"/>
  <c r="EV176" i="1"/>
  <c r="EW176" i="1" s="1"/>
  <c r="EX176" i="1" s="1"/>
  <c r="EQ176" i="1"/>
  <c r="ER176" i="1" s="1"/>
  <c r="ES176" i="1" s="1"/>
  <c r="EL176" i="1"/>
  <c r="EM176" i="1" s="1"/>
  <c r="EN176" i="1" s="1"/>
  <c r="EE176" i="1"/>
  <c r="EF176" i="1" s="1"/>
  <c r="EG176" i="1" s="1"/>
  <c r="DZ176" i="1"/>
  <c r="EA176" i="1" s="1"/>
  <c r="EB176" i="1" s="1"/>
  <c r="DU176" i="1"/>
  <c r="DV176" i="1" s="1"/>
  <c r="DW176" i="1" s="1"/>
  <c r="DP176" i="1"/>
  <c r="DQ176" i="1" s="1"/>
  <c r="DR176" i="1" s="1"/>
  <c r="DK176" i="1"/>
  <c r="DL176" i="1" s="1"/>
  <c r="DM176" i="1" s="1"/>
  <c r="DF176" i="1"/>
  <c r="DG176" i="1" s="1"/>
  <c r="DH176" i="1" s="1"/>
  <c r="DA176" i="1"/>
  <c r="DB176" i="1" s="1"/>
  <c r="DC176" i="1" s="1"/>
  <c r="CV176" i="1"/>
  <c r="CW176" i="1" s="1"/>
  <c r="CX176" i="1" s="1"/>
  <c r="CQ176" i="1"/>
  <c r="CR176" i="1" s="1"/>
  <c r="CS176" i="1" s="1"/>
  <c r="CL176" i="1"/>
  <c r="CM176" i="1" s="1"/>
  <c r="CN176" i="1" s="1"/>
  <c r="CG176" i="1"/>
  <c r="CH176" i="1" s="1"/>
  <c r="CI176" i="1" s="1"/>
  <c r="CA176" i="1"/>
  <c r="CB176" i="1" s="1"/>
  <c r="CC176" i="1" s="1"/>
  <c r="BV176" i="1"/>
  <c r="BW176" i="1" s="1"/>
  <c r="BX176" i="1" s="1"/>
  <c r="BQ176" i="1"/>
  <c r="BR176" i="1" s="1"/>
  <c r="BS176" i="1" s="1"/>
  <c r="BL176" i="1"/>
  <c r="BM176" i="1" s="1"/>
  <c r="BN176" i="1" s="1"/>
  <c r="BG176" i="1"/>
  <c r="BH176" i="1" s="1"/>
  <c r="BI176" i="1" s="1"/>
  <c r="BB176" i="1"/>
  <c r="BC176" i="1" s="1"/>
  <c r="BD176" i="1" s="1"/>
  <c r="AW176" i="1"/>
  <c r="AX176" i="1" s="1"/>
  <c r="AY176" i="1" s="1"/>
  <c r="AR176" i="1"/>
  <c r="AS176" i="1" s="1"/>
  <c r="AT176" i="1" s="1"/>
  <c r="AM176" i="1"/>
  <c r="AN176" i="1" s="1"/>
  <c r="AO176" i="1" s="1"/>
  <c r="AH176" i="1"/>
  <c r="AI176" i="1" s="1"/>
  <c r="AJ176" i="1" s="1"/>
  <c r="AC176" i="1"/>
  <c r="AD176" i="1" s="1"/>
  <c r="AE176" i="1" s="1"/>
  <c r="W176" i="1"/>
  <c r="X176" i="1" s="1"/>
  <c r="Y176" i="1" s="1"/>
  <c r="S176" i="1"/>
  <c r="N176" i="1"/>
  <c r="I176" i="1"/>
  <c r="NZ175" i="1"/>
  <c r="NU175" i="1"/>
  <c r="NP175" i="1"/>
  <c r="NK175" i="1"/>
  <c r="NF175" i="1"/>
  <c r="NA175" i="1"/>
  <c r="MV175" i="1"/>
  <c r="MQ175" i="1"/>
  <c r="MM175" i="1"/>
  <c r="MI175" i="1"/>
  <c r="MD175" i="1"/>
  <c r="LY175" i="1"/>
  <c r="LT175" i="1"/>
  <c r="LO175" i="1"/>
  <c r="LJ175" i="1"/>
  <c r="LE175" i="1"/>
  <c r="KZ175" i="1"/>
  <c r="KV175" i="1"/>
  <c r="KQ175" i="1"/>
  <c r="KM175" i="1"/>
  <c r="KI175" i="1"/>
  <c r="KE175" i="1"/>
  <c r="KA175" i="1"/>
  <c r="JV175" i="1"/>
  <c r="JQ175" i="1"/>
  <c r="JM175" i="1"/>
  <c r="JI175" i="1"/>
  <c r="JD175" i="1"/>
  <c r="IY175" i="1"/>
  <c r="IT175" i="1"/>
  <c r="IO175" i="1"/>
  <c r="IJ175" i="1"/>
  <c r="IE175" i="1"/>
  <c r="HZ175" i="1"/>
  <c r="HU175" i="1"/>
  <c r="HP175" i="1"/>
  <c r="HI175" i="1"/>
  <c r="HJ175" i="1" s="1"/>
  <c r="HK175" i="1" s="1"/>
  <c r="HD175" i="1"/>
  <c r="HE175" i="1" s="1"/>
  <c r="HF175" i="1" s="1"/>
  <c r="GY175" i="1"/>
  <c r="GZ175" i="1" s="1"/>
  <c r="HA175" i="1" s="1"/>
  <c r="GT175" i="1"/>
  <c r="GU175" i="1" s="1"/>
  <c r="GV175" i="1" s="1"/>
  <c r="GO175" i="1"/>
  <c r="GP175" i="1" s="1"/>
  <c r="GQ175" i="1" s="1"/>
  <c r="GJ175" i="1"/>
  <c r="GK175" i="1" s="1"/>
  <c r="GL175" i="1" s="1"/>
  <c r="GE175" i="1"/>
  <c r="GF175" i="1" s="1"/>
  <c r="GG175" i="1" s="1"/>
  <c r="FZ175" i="1"/>
  <c r="GA175" i="1" s="1"/>
  <c r="GB175" i="1" s="1"/>
  <c r="FU175" i="1"/>
  <c r="FV175" i="1" s="1"/>
  <c r="FW175" i="1" s="1"/>
  <c r="FP175" i="1"/>
  <c r="FQ175" i="1" s="1"/>
  <c r="FR175" i="1" s="1"/>
  <c r="FK175" i="1"/>
  <c r="FL175" i="1" s="1"/>
  <c r="FM175" i="1" s="1"/>
  <c r="FF175" i="1"/>
  <c r="FG175" i="1" s="1"/>
  <c r="FH175" i="1" s="1"/>
  <c r="FA175" i="1"/>
  <c r="FB175" i="1" s="1"/>
  <c r="FC175" i="1" s="1"/>
  <c r="EV175" i="1"/>
  <c r="EW175" i="1" s="1"/>
  <c r="EX175" i="1" s="1"/>
  <c r="EQ175" i="1"/>
  <c r="ER175" i="1" s="1"/>
  <c r="ES175" i="1" s="1"/>
  <c r="EL175" i="1"/>
  <c r="EM175" i="1" s="1"/>
  <c r="EN175" i="1" s="1"/>
  <c r="EE175" i="1"/>
  <c r="EF175" i="1" s="1"/>
  <c r="EG175" i="1" s="1"/>
  <c r="DZ175" i="1"/>
  <c r="EA175" i="1" s="1"/>
  <c r="EB175" i="1" s="1"/>
  <c r="DU175" i="1"/>
  <c r="DV175" i="1" s="1"/>
  <c r="DW175" i="1" s="1"/>
  <c r="DP175" i="1"/>
  <c r="DQ175" i="1" s="1"/>
  <c r="DR175" i="1" s="1"/>
  <c r="DK175" i="1"/>
  <c r="DL175" i="1" s="1"/>
  <c r="DM175" i="1" s="1"/>
  <c r="DF175" i="1"/>
  <c r="DG175" i="1" s="1"/>
  <c r="DH175" i="1" s="1"/>
  <c r="DA175" i="1"/>
  <c r="DB175" i="1" s="1"/>
  <c r="DC175" i="1" s="1"/>
  <c r="CV175" i="1"/>
  <c r="CW175" i="1" s="1"/>
  <c r="CX175" i="1" s="1"/>
  <c r="CQ175" i="1"/>
  <c r="CR175" i="1" s="1"/>
  <c r="CS175" i="1" s="1"/>
  <c r="CL175" i="1"/>
  <c r="CM175" i="1" s="1"/>
  <c r="CN175" i="1" s="1"/>
  <c r="CG175" i="1"/>
  <c r="CH175" i="1" s="1"/>
  <c r="CI175" i="1" s="1"/>
  <c r="CA175" i="1"/>
  <c r="CB175" i="1" s="1"/>
  <c r="CC175" i="1" s="1"/>
  <c r="BV175" i="1"/>
  <c r="BW175" i="1" s="1"/>
  <c r="BX175" i="1" s="1"/>
  <c r="BQ175" i="1"/>
  <c r="BR175" i="1" s="1"/>
  <c r="BS175" i="1" s="1"/>
  <c r="BL175" i="1"/>
  <c r="BM175" i="1" s="1"/>
  <c r="BN175" i="1" s="1"/>
  <c r="BG175" i="1"/>
  <c r="BH175" i="1" s="1"/>
  <c r="BI175" i="1" s="1"/>
  <c r="BB175" i="1"/>
  <c r="BC175" i="1" s="1"/>
  <c r="BD175" i="1" s="1"/>
  <c r="AW175" i="1"/>
  <c r="AX175" i="1" s="1"/>
  <c r="AY175" i="1" s="1"/>
  <c r="AR175" i="1"/>
  <c r="AS175" i="1" s="1"/>
  <c r="AT175" i="1" s="1"/>
  <c r="AM175" i="1"/>
  <c r="AN175" i="1" s="1"/>
  <c r="AO175" i="1" s="1"/>
  <c r="AH175" i="1"/>
  <c r="AI175" i="1" s="1"/>
  <c r="AJ175" i="1" s="1"/>
  <c r="AE175" i="1"/>
  <c r="W175" i="1"/>
  <c r="X175" i="1" s="1"/>
  <c r="Y175" i="1" s="1"/>
  <c r="Q175" i="1"/>
  <c r="R175" i="1" s="1"/>
  <c r="S175" i="1" s="1"/>
  <c r="N175" i="1"/>
  <c r="I175" i="1"/>
  <c r="NZ174" i="1"/>
  <c r="NU174" i="1"/>
  <c r="NP174" i="1"/>
  <c r="NK174" i="1"/>
  <c r="NF174" i="1"/>
  <c r="NA174" i="1"/>
  <c r="MV174" i="1"/>
  <c r="MQ174" i="1"/>
  <c r="MM174" i="1"/>
  <c r="MI174" i="1"/>
  <c r="MD174" i="1"/>
  <c r="LY174" i="1"/>
  <c r="LT174" i="1"/>
  <c r="LO174" i="1"/>
  <c r="LJ174" i="1"/>
  <c r="LE174" i="1"/>
  <c r="KZ174" i="1"/>
  <c r="KV174" i="1"/>
  <c r="KO174" i="1"/>
  <c r="KP174" i="1" s="1"/>
  <c r="KQ174" i="1" s="1"/>
  <c r="KM174" i="1"/>
  <c r="KI174" i="1"/>
  <c r="KE174" i="1"/>
  <c r="KA174" i="1"/>
  <c r="JV174" i="1"/>
  <c r="JQ174" i="1"/>
  <c r="JM174" i="1"/>
  <c r="JI174" i="1"/>
  <c r="JB174" i="1"/>
  <c r="JC174" i="1" s="1"/>
  <c r="JD174" i="1" s="1"/>
  <c r="IW174" i="1"/>
  <c r="IX174" i="1" s="1"/>
  <c r="IY174" i="1" s="1"/>
  <c r="IR174" i="1"/>
  <c r="IS174" i="1" s="1"/>
  <c r="IT174" i="1" s="1"/>
  <c r="IM174" i="1"/>
  <c r="IN174" i="1" s="1"/>
  <c r="IO174" i="1" s="1"/>
  <c r="IJ174" i="1"/>
  <c r="IC174" i="1"/>
  <c r="ID174" i="1" s="1"/>
  <c r="IE174" i="1" s="1"/>
  <c r="HX174" i="1"/>
  <c r="HY174" i="1" s="1"/>
  <c r="HZ174" i="1" s="1"/>
  <c r="HU174" i="1"/>
  <c r="HP174" i="1"/>
  <c r="HI174" i="1"/>
  <c r="HJ174" i="1" s="1"/>
  <c r="HK174" i="1" s="1"/>
  <c r="HD174" i="1"/>
  <c r="HE174" i="1" s="1"/>
  <c r="HF174" i="1" s="1"/>
  <c r="GY174" i="1"/>
  <c r="GZ174" i="1" s="1"/>
  <c r="HA174" i="1" s="1"/>
  <c r="GT174" i="1"/>
  <c r="GU174" i="1" s="1"/>
  <c r="GV174" i="1" s="1"/>
  <c r="GO174" i="1"/>
  <c r="GP174" i="1" s="1"/>
  <c r="GQ174" i="1" s="1"/>
  <c r="GJ174" i="1"/>
  <c r="GK174" i="1" s="1"/>
  <c r="GL174" i="1" s="1"/>
  <c r="GE174" i="1"/>
  <c r="GF174" i="1" s="1"/>
  <c r="GG174" i="1" s="1"/>
  <c r="FZ174" i="1"/>
  <c r="GA174" i="1" s="1"/>
  <c r="GB174" i="1" s="1"/>
  <c r="FU174" i="1"/>
  <c r="FV174" i="1" s="1"/>
  <c r="FW174" i="1" s="1"/>
  <c r="FP174" i="1"/>
  <c r="FQ174" i="1" s="1"/>
  <c r="FR174" i="1" s="1"/>
  <c r="FK174" i="1"/>
  <c r="FL174" i="1" s="1"/>
  <c r="FM174" i="1" s="1"/>
  <c r="FF174" i="1"/>
  <c r="FG174" i="1" s="1"/>
  <c r="FH174" i="1" s="1"/>
  <c r="FA174" i="1"/>
  <c r="FB174" i="1" s="1"/>
  <c r="FC174" i="1" s="1"/>
  <c r="EV174" i="1"/>
  <c r="EW174" i="1" s="1"/>
  <c r="EX174" i="1" s="1"/>
  <c r="EQ174" i="1"/>
  <c r="ER174" i="1" s="1"/>
  <c r="ES174" i="1" s="1"/>
  <c r="EL174" i="1"/>
  <c r="EM174" i="1" s="1"/>
  <c r="EN174" i="1" s="1"/>
  <c r="EE174" i="1"/>
  <c r="EF174" i="1" s="1"/>
  <c r="EG174" i="1" s="1"/>
  <c r="DZ174" i="1"/>
  <c r="EA174" i="1" s="1"/>
  <c r="EB174" i="1" s="1"/>
  <c r="DU174" i="1"/>
  <c r="DV174" i="1" s="1"/>
  <c r="DW174" i="1" s="1"/>
  <c r="DP174" i="1"/>
  <c r="DQ174" i="1" s="1"/>
  <c r="DR174" i="1" s="1"/>
  <c r="DK174" i="1"/>
  <c r="DL174" i="1" s="1"/>
  <c r="DM174" i="1" s="1"/>
  <c r="DF174" i="1"/>
  <c r="DG174" i="1" s="1"/>
  <c r="DH174" i="1" s="1"/>
  <c r="DA174" i="1"/>
  <c r="DB174" i="1" s="1"/>
  <c r="DC174" i="1" s="1"/>
  <c r="CV174" i="1"/>
  <c r="CW174" i="1" s="1"/>
  <c r="CX174" i="1" s="1"/>
  <c r="CQ174" i="1"/>
  <c r="CR174" i="1" s="1"/>
  <c r="CS174" i="1" s="1"/>
  <c r="CL174" i="1"/>
  <c r="CM174" i="1" s="1"/>
  <c r="CN174" i="1" s="1"/>
  <c r="CG174" i="1"/>
  <c r="CH174" i="1" s="1"/>
  <c r="CI174" i="1" s="1"/>
  <c r="CA174" i="1"/>
  <c r="CB174" i="1" s="1"/>
  <c r="CC174" i="1" s="1"/>
  <c r="BV174" i="1"/>
  <c r="BW174" i="1" s="1"/>
  <c r="BX174" i="1" s="1"/>
  <c r="BQ174" i="1"/>
  <c r="BR174" i="1" s="1"/>
  <c r="BS174" i="1" s="1"/>
  <c r="BL174" i="1"/>
  <c r="BM174" i="1" s="1"/>
  <c r="BN174" i="1" s="1"/>
  <c r="BG174" i="1"/>
  <c r="BH174" i="1" s="1"/>
  <c r="BI174" i="1" s="1"/>
  <c r="BB174" i="1"/>
  <c r="BC174" i="1" s="1"/>
  <c r="BD174" i="1" s="1"/>
  <c r="AW174" i="1"/>
  <c r="AX174" i="1" s="1"/>
  <c r="AY174" i="1" s="1"/>
  <c r="AR174" i="1"/>
  <c r="AS174" i="1" s="1"/>
  <c r="AT174" i="1" s="1"/>
  <c r="AM174" i="1"/>
  <c r="AN174" i="1" s="1"/>
  <c r="AO174" i="1" s="1"/>
  <c r="AH174" i="1"/>
  <c r="AI174" i="1" s="1"/>
  <c r="AJ174" i="1" s="1"/>
  <c r="AC174" i="1"/>
  <c r="AD174" i="1" s="1"/>
  <c r="AE174" i="1" s="1"/>
  <c r="W174" i="1"/>
  <c r="X174" i="1" s="1"/>
  <c r="Y174" i="1" s="1"/>
  <c r="S174" i="1"/>
  <c r="N174" i="1"/>
  <c r="I174" i="1"/>
  <c r="NZ173" i="1"/>
  <c r="NU173" i="1"/>
  <c r="NP173" i="1"/>
  <c r="NK173" i="1"/>
  <c r="NF173" i="1"/>
  <c r="NA173" i="1"/>
  <c r="MV173" i="1"/>
  <c r="MQ173" i="1"/>
  <c r="MM173" i="1"/>
  <c r="MI173" i="1"/>
  <c r="MD173" i="1"/>
  <c r="LW173" i="1"/>
  <c r="LX173" i="1" s="1"/>
  <c r="LY173" i="1" s="1"/>
  <c r="LR173" i="1"/>
  <c r="LS173" i="1" s="1"/>
  <c r="LT173" i="1" s="1"/>
  <c r="LO173" i="1"/>
  <c r="LJ173" i="1"/>
  <c r="LC173" i="1"/>
  <c r="LD173" i="1" s="1"/>
  <c r="LE173" i="1" s="1"/>
  <c r="KZ173" i="1"/>
  <c r="KT173" i="1"/>
  <c r="KU173" i="1" s="1"/>
  <c r="KV173" i="1" s="1"/>
  <c r="KQ173" i="1"/>
  <c r="KM173" i="1"/>
  <c r="KI173" i="1"/>
  <c r="KE173" i="1"/>
  <c r="KA173" i="1"/>
  <c r="JT173" i="1"/>
  <c r="JU173" i="1" s="1"/>
  <c r="JV173" i="1" s="1"/>
  <c r="JO173" i="1"/>
  <c r="JP173" i="1" s="1"/>
  <c r="JQ173" i="1" s="1"/>
  <c r="JK173" i="1"/>
  <c r="JL173" i="1" s="1"/>
  <c r="JM173" i="1" s="1"/>
  <c r="JG173" i="1"/>
  <c r="JH173" i="1" s="1"/>
  <c r="JI173" i="1" s="1"/>
  <c r="JB173" i="1"/>
  <c r="JC173" i="1" s="1"/>
  <c r="JD173" i="1" s="1"/>
  <c r="IW173" i="1"/>
  <c r="IX173" i="1" s="1"/>
  <c r="IY173" i="1" s="1"/>
  <c r="IR173" i="1"/>
  <c r="IS173" i="1" s="1"/>
  <c r="IT173" i="1" s="1"/>
  <c r="IM173" i="1"/>
  <c r="IN173" i="1" s="1"/>
  <c r="IO173" i="1" s="1"/>
  <c r="IH173" i="1"/>
  <c r="II173" i="1" s="1"/>
  <c r="IJ173" i="1" s="1"/>
  <c r="IC173" i="1"/>
  <c r="ID173" i="1" s="1"/>
  <c r="IE173" i="1" s="1"/>
  <c r="HX173" i="1"/>
  <c r="HY173" i="1" s="1"/>
  <c r="HZ173" i="1" s="1"/>
  <c r="HS173" i="1"/>
  <c r="HT173" i="1" s="1"/>
  <c r="HU173" i="1" s="1"/>
  <c r="HN173" i="1"/>
  <c r="HO173" i="1" s="1"/>
  <c r="HP173" i="1" s="1"/>
  <c r="HI173" i="1"/>
  <c r="HJ173" i="1" s="1"/>
  <c r="HK173" i="1" s="1"/>
  <c r="HD173" i="1"/>
  <c r="HE173" i="1" s="1"/>
  <c r="HF173" i="1" s="1"/>
  <c r="GY173" i="1"/>
  <c r="GZ173" i="1" s="1"/>
  <c r="HA173" i="1" s="1"/>
  <c r="GT173" i="1"/>
  <c r="GU173" i="1" s="1"/>
  <c r="GV173" i="1" s="1"/>
  <c r="GO173" i="1"/>
  <c r="GP173" i="1" s="1"/>
  <c r="GQ173" i="1" s="1"/>
  <c r="GJ173" i="1"/>
  <c r="GK173" i="1" s="1"/>
  <c r="GL173" i="1" s="1"/>
  <c r="GE173" i="1"/>
  <c r="GF173" i="1" s="1"/>
  <c r="GG173" i="1" s="1"/>
  <c r="FZ173" i="1"/>
  <c r="GA173" i="1" s="1"/>
  <c r="GB173" i="1" s="1"/>
  <c r="FU173" i="1"/>
  <c r="FV173" i="1" s="1"/>
  <c r="FW173" i="1" s="1"/>
  <c r="FP173" i="1"/>
  <c r="FQ173" i="1" s="1"/>
  <c r="FR173" i="1" s="1"/>
  <c r="FK173" i="1"/>
  <c r="FL173" i="1" s="1"/>
  <c r="FM173" i="1" s="1"/>
  <c r="FF173" i="1"/>
  <c r="FG173" i="1" s="1"/>
  <c r="FH173" i="1" s="1"/>
  <c r="FA173" i="1"/>
  <c r="FB173" i="1" s="1"/>
  <c r="FC173" i="1" s="1"/>
  <c r="EV173" i="1"/>
  <c r="EW173" i="1" s="1"/>
  <c r="EX173" i="1" s="1"/>
  <c r="EQ173" i="1"/>
  <c r="ER173" i="1" s="1"/>
  <c r="ES173" i="1" s="1"/>
  <c r="EL173" i="1"/>
  <c r="EM173" i="1" s="1"/>
  <c r="EN173" i="1" s="1"/>
  <c r="EE173" i="1"/>
  <c r="EF173" i="1" s="1"/>
  <c r="EG173" i="1" s="1"/>
  <c r="DZ173" i="1"/>
  <c r="EA173" i="1" s="1"/>
  <c r="EB173" i="1" s="1"/>
  <c r="DU173" i="1"/>
  <c r="DV173" i="1" s="1"/>
  <c r="DW173" i="1" s="1"/>
  <c r="DP173" i="1"/>
  <c r="DQ173" i="1" s="1"/>
  <c r="DR173" i="1" s="1"/>
  <c r="DK173" i="1"/>
  <c r="DL173" i="1" s="1"/>
  <c r="DM173" i="1" s="1"/>
  <c r="DF173" i="1"/>
  <c r="DG173" i="1" s="1"/>
  <c r="DH173" i="1" s="1"/>
  <c r="DA173" i="1"/>
  <c r="DB173" i="1" s="1"/>
  <c r="DC173" i="1" s="1"/>
  <c r="CV173" i="1"/>
  <c r="CW173" i="1" s="1"/>
  <c r="CX173" i="1" s="1"/>
  <c r="CQ173" i="1"/>
  <c r="CR173" i="1" s="1"/>
  <c r="CS173" i="1" s="1"/>
  <c r="CL173" i="1"/>
  <c r="CM173" i="1" s="1"/>
  <c r="CN173" i="1" s="1"/>
  <c r="CG173" i="1"/>
  <c r="CH173" i="1" s="1"/>
  <c r="CI173" i="1" s="1"/>
  <c r="CA173" i="1"/>
  <c r="CB173" i="1" s="1"/>
  <c r="CC173" i="1" s="1"/>
  <c r="BV173" i="1"/>
  <c r="BW173" i="1" s="1"/>
  <c r="BX173" i="1" s="1"/>
  <c r="BQ173" i="1"/>
  <c r="BR173" i="1" s="1"/>
  <c r="BS173" i="1" s="1"/>
  <c r="BL173" i="1"/>
  <c r="BM173" i="1" s="1"/>
  <c r="BN173" i="1" s="1"/>
  <c r="BG173" i="1"/>
  <c r="BH173" i="1" s="1"/>
  <c r="BI173" i="1" s="1"/>
  <c r="BB173" i="1"/>
  <c r="BC173" i="1" s="1"/>
  <c r="BD173" i="1" s="1"/>
  <c r="AW173" i="1"/>
  <c r="AX173" i="1" s="1"/>
  <c r="AY173" i="1" s="1"/>
  <c r="AR173" i="1"/>
  <c r="AS173" i="1" s="1"/>
  <c r="AT173" i="1" s="1"/>
  <c r="AM173" i="1"/>
  <c r="AN173" i="1" s="1"/>
  <c r="AO173" i="1" s="1"/>
  <c r="AH173" i="1"/>
  <c r="AI173" i="1" s="1"/>
  <c r="AJ173" i="1" s="1"/>
  <c r="AC173" i="1"/>
  <c r="AD173" i="1" s="1"/>
  <c r="AE173" i="1" s="1"/>
  <c r="W173" i="1"/>
  <c r="X173" i="1" s="1"/>
  <c r="Y173" i="1" s="1"/>
  <c r="S173" i="1"/>
  <c r="N173" i="1"/>
  <c r="I173" i="1"/>
  <c r="NZ172" i="1"/>
  <c r="NU172" i="1"/>
  <c r="NP172" i="1"/>
  <c r="NK172" i="1"/>
  <c r="NF172" i="1"/>
  <c r="NA172" i="1"/>
  <c r="MV172" i="1"/>
  <c r="MQ172" i="1"/>
  <c r="MM172" i="1"/>
  <c r="MI172" i="1"/>
  <c r="MD172" i="1"/>
  <c r="LY172" i="1"/>
  <c r="LT172" i="1"/>
  <c r="LO172" i="1"/>
  <c r="LJ172" i="1"/>
  <c r="LC172" i="1"/>
  <c r="LD172" i="1" s="1"/>
  <c r="LE172" i="1" s="1"/>
  <c r="KX172" i="1"/>
  <c r="KY172" i="1" s="1"/>
  <c r="KZ172" i="1" s="1"/>
  <c r="KV172" i="1"/>
  <c r="KQ172" i="1"/>
  <c r="KM172" i="1"/>
  <c r="KI172" i="1"/>
  <c r="KE172" i="1"/>
  <c r="KA172" i="1"/>
  <c r="JV172" i="1"/>
  <c r="JQ172" i="1"/>
  <c r="JM172" i="1"/>
  <c r="JI172" i="1"/>
  <c r="JD172" i="1"/>
  <c r="IY172" i="1"/>
  <c r="IT172" i="1"/>
  <c r="IO172" i="1"/>
  <c r="IJ172" i="1"/>
  <c r="IE172" i="1"/>
  <c r="HZ172" i="1"/>
  <c r="HU172" i="1"/>
  <c r="HP172" i="1"/>
  <c r="HI172" i="1"/>
  <c r="HJ172" i="1" s="1"/>
  <c r="HK172" i="1" s="1"/>
  <c r="HD172" i="1"/>
  <c r="HE172" i="1" s="1"/>
  <c r="HF172" i="1" s="1"/>
  <c r="GY172" i="1"/>
  <c r="GZ172" i="1" s="1"/>
  <c r="HA172" i="1" s="1"/>
  <c r="GT172" i="1"/>
  <c r="GU172" i="1" s="1"/>
  <c r="GV172" i="1" s="1"/>
  <c r="GO172" i="1"/>
  <c r="GP172" i="1" s="1"/>
  <c r="GQ172" i="1" s="1"/>
  <c r="GJ172" i="1"/>
  <c r="GK172" i="1" s="1"/>
  <c r="GL172" i="1" s="1"/>
  <c r="GE172" i="1"/>
  <c r="GF172" i="1" s="1"/>
  <c r="GG172" i="1" s="1"/>
  <c r="FZ172" i="1"/>
  <c r="GA172" i="1" s="1"/>
  <c r="GB172" i="1" s="1"/>
  <c r="FU172" i="1"/>
  <c r="FV172" i="1" s="1"/>
  <c r="FW172" i="1" s="1"/>
  <c r="FP172" i="1"/>
  <c r="FQ172" i="1" s="1"/>
  <c r="FR172" i="1" s="1"/>
  <c r="FK172" i="1"/>
  <c r="FL172" i="1" s="1"/>
  <c r="FM172" i="1" s="1"/>
  <c r="FF172" i="1"/>
  <c r="FG172" i="1" s="1"/>
  <c r="FH172" i="1" s="1"/>
  <c r="FA172" i="1"/>
  <c r="FB172" i="1" s="1"/>
  <c r="FC172" i="1" s="1"/>
  <c r="EV172" i="1"/>
  <c r="EW172" i="1" s="1"/>
  <c r="EX172" i="1" s="1"/>
  <c r="EQ172" i="1"/>
  <c r="ER172" i="1" s="1"/>
  <c r="ES172" i="1" s="1"/>
  <c r="EL172" i="1"/>
  <c r="EM172" i="1" s="1"/>
  <c r="EN172" i="1" s="1"/>
  <c r="EE172" i="1"/>
  <c r="EF172" i="1" s="1"/>
  <c r="EG172" i="1" s="1"/>
  <c r="DZ172" i="1"/>
  <c r="EA172" i="1" s="1"/>
  <c r="EB172" i="1" s="1"/>
  <c r="DU172" i="1"/>
  <c r="DV172" i="1" s="1"/>
  <c r="DW172" i="1" s="1"/>
  <c r="DP172" i="1"/>
  <c r="DQ172" i="1" s="1"/>
  <c r="DR172" i="1" s="1"/>
  <c r="DK172" i="1"/>
  <c r="DL172" i="1" s="1"/>
  <c r="DM172" i="1" s="1"/>
  <c r="DF172" i="1"/>
  <c r="DG172" i="1" s="1"/>
  <c r="DH172" i="1" s="1"/>
  <c r="DA172" i="1"/>
  <c r="DB172" i="1" s="1"/>
  <c r="DC172" i="1" s="1"/>
  <c r="CV172" i="1"/>
  <c r="CW172" i="1" s="1"/>
  <c r="CX172" i="1" s="1"/>
  <c r="CQ172" i="1"/>
  <c r="CR172" i="1" s="1"/>
  <c r="CS172" i="1" s="1"/>
  <c r="CL172" i="1"/>
  <c r="CM172" i="1" s="1"/>
  <c r="CN172" i="1" s="1"/>
  <c r="CG172" i="1"/>
  <c r="CH172" i="1" s="1"/>
  <c r="CI172" i="1" s="1"/>
  <c r="CA172" i="1"/>
  <c r="CB172" i="1" s="1"/>
  <c r="CC172" i="1" s="1"/>
  <c r="BV172" i="1"/>
  <c r="BW172" i="1" s="1"/>
  <c r="BX172" i="1" s="1"/>
  <c r="BQ172" i="1"/>
  <c r="BR172" i="1" s="1"/>
  <c r="BS172" i="1" s="1"/>
  <c r="BL172" i="1"/>
  <c r="BM172" i="1" s="1"/>
  <c r="BN172" i="1" s="1"/>
  <c r="BG172" i="1"/>
  <c r="BH172" i="1" s="1"/>
  <c r="BI172" i="1" s="1"/>
  <c r="BB172" i="1"/>
  <c r="BC172" i="1" s="1"/>
  <c r="BD172" i="1" s="1"/>
  <c r="AW172" i="1"/>
  <c r="AX172" i="1" s="1"/>
  <c r="AY172" i="1" s="1"/>
  <c r="AR172" i="1"/>
  <c r="AS172" i="1" s="1"/>
  <c r="AT172" i="1" s="1"/>
  <c r="AM172" i="1"/>
  <c r="AN172" i="1" s="1"/>
  <c r="AO172" i="1" s="1"/>
  <c r="AH172" i="1"/>
  <c r="AI172" i="1" s="1"/>
  <c r="AJ172" i="1" s="1"/>
  <c r="AC172" i="1"/>
  <c r="AD172" i="1" s="1"/>
  <c r="AE172" i="1" s="1"/>
  <c r="W172" i="1"/>
  <c r="X172" i="1" s="1"/>
  <c r="Y172" i="1" s="1"/>
  <c r="Q172" i="1"/>
  <c r="R172" i="1" s="1"/>
  <c r="S172" i="1" s="1"/>
  <c r="L172" i="1"/>
  <c r="M172" i="1" s="1"/>
  <c r="N172" i="1" s="1"/>
  <c r="I172" i="1"/>
  <c r="NZ171" i="1"/>
  <c r="NU171" i="1"/>
  <c r="NP171" i="1"/>
  <c r="NK171" i="1"/>
  <c r="NF171" i="1"/>
  <c r="NA171" i="1"/>
  <c r="MV171" i="1"/>
  <c r="MQ171" i="1"/>
  <c r="MM171" i="1"/>
  <c r="MI171" i="1"/>
  <c r="MD171" i="1"/>
  <c r="LY171" i="1"/>
  <c r="LT171" i="1"/>
  <c r="LO171" i="1"/>
  <c r="LJ171" i="1"/>
  <c r="LE171" i="1"/>
  <c r="KZ171" i="1"/>
  <c r="KV171" i="1"/>
  <c r="KQ171" i="1"/>
  <c r="KM171" i="1"/>
  <c r="KI171" i="1"/>
  <c r="KE171" i="1"/>
  <c r="JY171" i="1"/>
  <c r="JZ171" i="1" s="1"/>
  <c r="KA171" i="1" s="1"/>
  <c r="JV171" i="1"/>
  <c r="JQ171" i="1"/>
  <c r="JM171" i="1"/>
  <c r="JI171" i="1"/>
  <c r="JD171" i="1"/>
  <c r="IY171" i="1"/>
  <c r="IT171" i="1"/>
  <c r="IO171" i="1"/>
  <c r="IJ171" i="1"/>
  <c r="IE171" i="1"/>
  <c r="HZ171" i="1"/>
  <c r="HU171" i="1"/>
  <c r="HP171" i="1"/>
  <c r="HK171" i="1"/>
  <c r="HD171" i="1"/>
  <c r="HE171" i="1" s="1"/>
  <c r="HF171" i="1" s="1"/>
  <c r="GY171" i="1"/>
  <c r="GZ171" i="1" s="1"/>
  <c r="HA171" i="1" s="1"/>
  <c r="GT171" i="1"/>
  <c r="GU171" i="1" s="1"/>
  <c r="GV171" i="1" s="1"/>
  <c r="GO171" i="1"/>
  <c r="GP171" i="1" s="1"/>
  <c r="GQ171" i="1" s="1"/>
  <c r="GJ171" i="1"/>
  <c r="GK171" i="1" s="1"/>
  <c r="GL171" i="1" s="1"/>
  <c r="GE171" i="1"/>
  <c r="GF171" i="1" s="1"/>
  <c r="GG171" i="1" s="1"/>
  <c r="FZ171" i="1"/>
  <c r="GA171" i="1" s="1"/>
  <c r="GB171" i="1" s="1"/>
  <c r="FU171" i="1"/>
  <c r="FV171" i="1" s="1"/>
  <c r="FW171" i="1" s="1"/>
  <c r="FP171" i="1"/>
  <c r="FQ171" i="1" s="1"/>
  <c r="FR171" i="1" s="1"/>
  <c r="FK171" i="1"/>
  <c r="FL171" i="1" s="1"/>
  <c r="FM171" i="1" s="1"/>
  <c r="FF171" i="1"/>
  <c r="FG171" i="1" s="1"/>
  <c r="FH171" i="1" s="1"/>
  <c r="FA171" i="1"/>
  <c r="FB171" i="1" s="1"/>
  <c r="FC171" i="1" s="1"/>
  <c r="EV171" i="1"/>
  <c r="EW171" i="1" s="1"/>
  <c r="EX171" i="1" s="1"/>
  <c r="EQ171" i="1"/>
  <c r="ER171" i="1" s="1"/>
  <c r="ES171" i="1" s="1"/>
  <c r="EL171" i="1"/>
  <c r="EM171" i="1" s="1"/>
  <c r="EN171" i="1" s="1"/>
  <c r="EE171" i="1"/>
  <c r="EF171" i="1" s="1"/>
  <c r="EG171" i="1" s="1"/>
  <c r="DZ171" i="1"/>
  <c r="EA171" i="1" s="1"/>
  <c r="EB171" i="1" s="1"/>
  <c r="DU171" i="1"/>
  <c r="DV171" i="1" s="1"/>
  <c r="DW171" i="1" s="1"/>
  <c r="DP171" i="1"/>
  <c r="DQ171" i="1" s="1"/>
  <c r="DR171" i="1" s="1"/>
  <c r="DK171" i="1"/>
  <c r="DL171" i="1" s="1"/>
  <c r="DM171" i="1" s="1"/>
  <c r="DF171" i="1"/>
  <c r="DG171" i="1" s="1"/>
  <c r="DH171" i="1" s="1"/>
  <c r="DA171" i="1"/>
  <c r="DB171" i="1" s="1"/>
  <c r="DC171" i="1" s="1"/>
  <c r="CV171" i="1"/>
  <c r="CW171" i="1" s="1"/>
  <c r="CX171" i="1" s="1"/>
  <c r="CQ171" i="1"/>
  <c r="CR171" i="1" s="1"/>
  <c r="CS171" i="1" s="1"/>
  <c r="CL171" i="1"/>
  <c r="CM171" i="1" s="1"/>
  <c r="CN171" i="1" s="1"/>
  <c r="CG171" i="1"/>
  <c r="CH171" i="1" s="1"/>
  <c r="CI171" i="1" s="1"/>
  <c r="CA171" i="1"/>
  <c r="CB171" i="1" s="1"/>
  <c r="CC171" i="1" s="1"/>
  <c r="BV171" i="1"/>
  <c r="BW171" i="1" s="1"/>
  <c r="BX171" i="1" s="1"/>
  <c r="BQ171" i="1"/>
  <c r="BR171" i="1" s="1"/>
  <c r="BS171" i="1" s="1"/>
  <c r="BL171" i="1"/>
  <c r="BM171" i="1" s="1"/>
  <c r="BN171" i="1" s="1"/>
  <c r="BG171" i="1"/>
  <c r="BH171" i="1" s="1"/>
  <c r="BI171" i="1" s="1"/>
  <c r="BB171" i="1"/>
  <c r="BC171" i="1" s="1"/>
  <c r="BD171" i="1" s="1"/>
  <c r="AW171" i="1"/>
  <c r="AX171" i="1" s="1"/>
  <c r="AY171" i="1" s="1"/>
  <c r="AR171" i="1"/>
  <c r="AS171" i="1" s="1"/>
  <c r="AT171" i="1" s="1"/>
  <c r="AM171" i="1"/>
  <c r="AN171" i="1" s="1"/>
  <c r="AO171" i="1" s="1"/>
  <c r="AH171" i="1"/>
  <c r="AI171" i="1" s="1"/>
  <c r="AJ171" i="1" s="1"/>
  <c r="AE171" i="1"/>
  <c r="W171" i="1"/>
  <c r="X171" i="1" s="1"/>
  <c r="Y171" i="1" s="1"/>
  <c r="S171" i="1"/>
  <c r="N171" i="1"/>
  <c r="I171" i="1"/>
  <c r="NZ170" i="1"/>
  <c r="NS170" i="1"/>
  <c r="NT170" i="1" s="1"/>
  <c r="NU170" i="1" s="1"/>
  <c r="NP170" i="1"/>
  <c r="NK170" i="1"/>
  <c r="NF170" i="1"/>
  <c r="NA170" i="1"/>
  <c r="MV170" i="1"/>
  <c r="MQ170" i="1"/>
  <c r="MM170" i="1"/>
  <c r="MI170" i="1"/>
  <c r="MD170" i="1"/>
  <c r="LY170" i="1"/>
  <c r="LT170" i="1"/>
  <c r="LO170" i="1"/>
  <c r="LJ170" i="1"/>
  <c r="LE170" i="1"/>
  <c r="KZ170" i="1"/>
  <c r="KV170" i="1"/>
  <c r="KQ170" i="1"/>
  <c r="KM170" i="1"/>
  <c r="KI170" i="1"/>
  <c r="KE170" i="1"/>
  <c r="KA170" i="1"/>
  <c r="JV170" i="1"/>
  <c r="JQ170" i="1"/>
  <c r="JM170" i="1"/>
  <c r="JI170" i="1"/>
  <c r="JD170" i="1"/>
  <c r="IY170" i="1"/>
  <c r="IT170" i="1"/>
  <c r="IO170" i="1"/>
  <c r="IJ170" i="1"/>
  <c r="IE170" i="1"/>
  <c r="HZ170" i="1"/>
  <c r="HU170" i="1"/>
  <c r="HP170" i="1"/>
  <c r="HI170" i="1"/>
  <c r="HJ170" i="1" s="1"/>
  <c r="HK170" i="1" s="1"/>
  <c r="HD170" i="1"/>
  <c r="HE170" i="1" s="1"/>
  <c r="HF170" i="1" s="1"/>
  <c r="GY170" i="1"/>
  <c r="GZ170" i="1" s="1"/>
  <c r="HA170" i="1" s="1"/>
  <c r="GT170" i="1"/>
  <c r="GU170" i="1" s="1"/>
  <c r="GV170" i="1" s="1"/>
  <c r="GO170" i="1"/>
  <c r="GP170" i="1" s="1"/>
  <c r="GQ170" i="1" s="1"/>
  <c r="GJ170" i="1"/>
  <c r="GK170" i="1" s="1"/>
  <c r="GL170" i="1" s="1"/>
  <c r="GE170" i="1"/>
  <c r="GF170" i="1" s="1"/>
  <c r="GG170" i="1" s="1"/>
  <c r="FZ170" i="1"/>
  <c r="GA170" i="1" s="1"/>
  <c r="GB170" i="1" s="1"/>
  <c r="FU170" i="1"/>
  <c r="FV170" i="1" s="1"/>
  <c r="FW170" i="1" s="1"/>
  <c r="FP170" i="1"/>
  <c r="FQ170" i="1" s="1"/>
  <c r="FR170" i="1" s="1"/>
  <c r="FK170" i="1"/>
  <c r="FL170" i="1" s="1"/>
  <c r="FM170" i="1" s="1"/>
  <c r="FF170" i="1"/>
  <c r="FG170" i="1" s="1"/>
  <c r="FH170" i="1" s="1"/>
  <c r="FA170" i="1"/>
  <c r="FB170" i="1" s="1"/>
  <c r="FC170" i="1" s="1"/>
  <c r="EV170" i="1"/>
  <c r="EW170" i="1" s="1"/>
  <c r="EX170" i="1" s="1"/>
  <c r="EQ170" i="1"/>
  <c r="ER170" i="1" s="1"/>
  <c r="ES170" i="1" s="1"/>
  <c r="EL170" i="1"/>
  <c r="EM170" i="1" s="1"/>
  <c r="EN170" i="1" s="1"/>
  <c r="EE170" i="1"/>
  <c r="EF170" i="1" s="1"/>
  <c r="EG170" i="1" s="1"/>
  <c r="DZ170" i="1"/>
  <c r="EA170" i="1" s="1"/>
  <c r="EB170" i="1" s="1"/>
  <c r="DU170" i="1"/>
  <c r="DV170" i="1" s="1"/>
  <c r="DW170" i="1" s="1"/>
  <c r="DP170" i="1"/>
  <c r="DQ170" i="1" s="1"/>
  <c r="DR170" i="1" s="1"/>
  <c r="DK170" i="1"/>
  <c r="DL170" i="1" s="1"/>
  <c r="DM170" i="1" s="1"/>
  <c r="DF170" i="1"/>
  <c r="DG170" i="1" s="1"/>
  <c r="DH170" i="1" s="1"/>
  <c r="DA170" i="1"/>
  <c r="DB170" i="1" s="1"/>
  <c r="DC170" i="1" s="1"/>
  <c r="CV170" i="1"/>
  <c r="CW170" i="1" s="1"/>
  <c r="CX170" i="1" s="1"/>
  <c r="CQ170" i="1"/>
  <c r="CR170" i="1" s="1"/>
  <c r="CS170" i="1" s="1"/>
  <c r="CL170" i="1"/>
  <c r="CM170" i="1" s="1"/>
  <c r="CN170" i="1" s="1"/>
  <c r="CG170" i="1"/>
  <c r="CH170" i="1" s="1"/>
  <c r="CI170" i="1" s="1"/>
  <c r="CA170" i="1"/>
  <c r="CB170" i="1" s="1"/>
  <c r="CC170" i="1" s="1"/>
  <c r="BV170" i="1"/>
  <c r="BW170" i="1" s="1"/>
  <c r="BX170" i="1" s="1"/>
  <c r="BQ170" i="1"/>
  <c r="BR170" i="1" s="1"/>
  <c r="BS170" i="1" s="1"/>
  <c r="BL170" i="1"/>
  <c r="BM170" i="1" s="1"/>
  <c r="BN170" i="1" s="1"/>
  <c r="BG170" i="1"/>
  <c r="BH170" i="1" s="1"/>
  <c r="BI170" i="1" s="1"/>
  <c r="BC170" i="1"/>
  <c r="BD170" i="1" s="1"/>
  <c r="BB170" i="1"/>
  <c r="AW170" i="1"/>
  <c r="AX170" i="1" s="1"/>
  <c r="AY170" i="1" s="1"/>
  <c r="AR170" i="1"/>
  <c r="AS170" i="1" s="1"/>
  <c r="AT170" i="1" s="1"/>
  <c r="AM170" i="1"/>
  <c r="AN170" i="1" s="1"/>
  <c r="AO170" i="1" s="1"/>
  <c r="AH170" i="1"/>
  <c r="AI170" i="1" s="1"/>
  <c r="AJ170" i="1" s="1"/>
  <c r="AC170" i="1"/>
  <c r="AD170" i="1" s="1"/>
  <c r="AE170" i="1" s="1"/>
  <c r="W170" i="1"/>
  <c r="X170" i="1" s="1"/>
  <c r="Y170" i="1" s="1"/>
  <c r="Q170" i="1"/>
  <c r="R170" i="1" s="1"/>
  <c r="S170" i="1" s="1"/>
  <c r="N170" i="1"/>
  <c r="I170" i="1"/>
  <c r="NZ169" i="1"/>
  <c r="NU169" i="1"/>
  <c r="NP169" i="1"/>
  <c r="NK169" i="1"/>
  <c r="NF169" i="1"/>
  <c r="NA169" i="1"/>
  <c r="MV169" i="1"/>
  <c r="MQ169" i="1"/>
  <c r="MM169" i="1"/>
  <c r="MI169" i="1"/>
  <c r="MD169" i="1"/>
  <c r="LY169" i="1"/>
  <c r="LT169" i="1"/>
  <c r="LO169" i="1"/>
  <c r="LJ169" i="1"/>
  <c r="LE169" i="1"/>
  <c r="KZ169" i="1"/>
  <c r="KV169" i="1"/>
  <c r="KO169" i="1"/>
  <c r="KP169" i="1" s="1"/>
  <c r="KQ169" i="1" s="1"/>
  <c r="KM169" i="1"/>
  <c r="KI169" i="1"/>
  <c r="KE169" i="1"/>
  <c r="KA169" i="1"/>
  <c r="JV169" i="1"/>
  <c r="JQ169" i="1"/>
  <c r="JM169" i="1"/>
  <c r="JI169" i="1"/>
  <c r="JD169" i="1"/>
  <c r="IY169" i="1"/>
  <c r="IT169" i="1"/>
  <c r="IO169" i="1"/>
  <c r="IJ169" i="1"/>
  <c r="IE169" i="1"/>
  <c r="HZ169" i="1"/>
  <c r="HU169" i="1"/>
  <c r="HP169" i="1"/>
  <c r="HI169" i="1"/>
  <c r="HJ169" i="1" s="1"/>
  <c r="HK169" i="1" s="1"/>
  <c r="HD169" i="1"/>
  <c r="HE169" i="1" s="1"/>
  <c r="HF169" i="1" s="1"/>
  <c r="GY169" i="1"/>
  <c r="GZ169" i="1" s="1"/>
  <c r="HA169" i="1" s="1"/>
  <c r="GT169" i="1"/>
  <c r="GU169" i="1" s="1"/>
  <c r="GV169" i="1" s="1"/>
  <c r="GO169" i="1"/>
  <c r="GP169" i="1" s="1"/>
  <c r="GQ169" i="1" s="1"/>
  <c r="GJ169" i="1"/>
  <c r="GK169" i="1" s="1"/>
  <c r="GL169" i="1" s="1"/>
  <c r="GE169" i="1"/>
  <c r="GF169" i="1" s="1"/>
  <c r="GG169" i="1" s="1"/>
  <c r="FZ169" i="1"/>
  <c r="GA169" i="1" s="1"/>
  <c r="GB169" i="1" s="1"/>
  <c r="FU169" i="1"/>
  <c r="FV169" i="1" s="1"/>
  <c r="FW169" i="1" s="1"/>
  <c r="FP169" i="1"/>
  <c r="FQ169" i="1" s="1"/>
  <c r="FR169" i="1" s="1"/>
  <c r="FK169" i="1"/>
  <c r="FL169" i="1" s="1"/>
  <c r="FM169" i="1" s="1"/>
  <c r="FF169" i="1"/>
  <c r="FG169" i="1" s="1"/>
  <c r="FH169" i="1" s="1"/>
  <c r="FA169" i="1"/>
  <c r="FB169" i="1" s="1"/>
  <c r="FC169" i="1" s="1"/>
  <c r="EV169" i="1"/>
  <c r="EW169" i="1" s="1"/>
  <c r="EX169" i="1" s="1"/>
  <c r="EQ169" i="1"/>
  <c r="ER169" i="1" s="1"/>
  <c r="ES169" i="1" s="1"/>
  <c r="EL169" i="1"/>
  <c r="EM169" i="1" s="1"/>
  <c r="EN169" i="1" s="1"/>
  <c r="EE169" i="1"/>
  <c r="EF169" i="1" s="1"/>
  <c r="EG169" i="1" s="1"/>
  <c r="DZ169" i="1"/>
  <c r="EA169" i="1" s="1"/>
  <c r="EB169" i="1" s="1"/>
  <c r="DU169" i="1"/>
  <c r="DV169" i="1" s="1"/>
  <c r="DW169" i="1" s="1"/>
  <c r="DP169" i="1"/>
  <c r="DQ169" i="1" s="1"/>
  <c r="DR169" i="1" s="1"/>
  <c r="DK169" i="1"/>
  <c r="DL169" i="1" s="1"/>
  <c r="DM169" i="1" s="1"/>
  <c r="DF169" i="1"/>
  <c r="DG169" i="1" s="1"/>
  <c r="DH169" i="1" s="1"/>
  <c r="DA169" i="1"/>
  <c r="DB169" i="1" s="1"/>
  <c r="DC169" i="1" s="1"/>
  <c r="CV169" i="1"/>
  <c r="CW169" i="1" s="1"/>
  <c r="CX169" i="1" s="1"/>
  <c r="CQ169" i="1"/>
  <c r="CR169" i="1" s="1"/>
  <c r="CS169" i="1" s="1"/>
  <c r="CL169" i="1"/>
  <c r="CM169" i="1" s="1"/>
  <c r="CN169" i="1" s="1"/>
  <c r="CG169" i="1"/>
  <c r="CH169" i="1" s="1"/>
  <c r="CI169" i="1" s="1"/>
  <c r="CA169" i="1"/>
  <c r="CB169" i="1" s="1"/>
  <c r="CC169" i="1" s="1"/>
  <c r="BV169" i="1"/>
  <c r="BW169" i="1" s="1"/>
  <c r="BX169" i="1" s="1"/>
  <c r="BQ169" i="1"/>
  <c r="BR169" i="1" s="1"/>
  <c r="BS169" i="1" s="1"/>
  <c r="BL169" i="1"/>
  <c r="BM169" i="1" s="1"/>
  <c r="BN169" i="1" s="1"/>
  <c r="BG169" i="1"/>
  <c r="BH169" i="1" s="1"/>
  <c r="BI169" i="1" s="1"/>
  <c r="BB169" i="1"/>
  <c r="BC169" i="1" s="1"/>
  <c r="BD169" i="1" s="1"/>
  <c r="AW169" i="1"/>
  <c r="AX169" i="1" s="1"/>
  <c r="AY169" i="1" s="1"/>
  <c r="AR169" i="1"/>
  <c r="AS169" i="1" s="1"/>
  <c r="AT169" i="1" s="1"/>
  <c r="AM169" i="1"/>
  <c r="AN169" i="1" s="1"/>
  <c r="AO169" i="1" s="1"/>
  <c r="AH169" i="1"/>
  <c r="AI169" i="1" s="1"/>
  <c r="AJ169" i="1" s="1"/>
  <c r="AC169" i="1"/>
  <c r="AD169" i="1" s="1"/>
  <c r="AE169" i="1" s="1"/>
  <c r="W169" i="1"/>
  <c r="X169" i="1" s="1"/>
  <c r="Y169" i="1" s="1"/>
  <c r="R169" i="1"/>
  <c r="S169" i="1" s="1"/>
  <c r="Q169" i="1"/>
  <c r="N169" i="1"/>
  <c r="I169" i="1"/>
  <c r="NZ168" i="1"/>
  <c r="NU168" i="1"/>
  <c r="NP168" i="1"/>
  <c r="NK168" i="1"/>
  <c r="NF168" i="1"/>
  <c r="NA168" i="1"/>
  <c r="MV168" i="1"/>
  <c r="MQ168" i="1"/>
  <c r="MM168" i="1"/>
  <c r="MI168" i="1"/>
  <c r="MB168" i="1"/>
  <c r="MC168" i="1" s="1"/>
  <c r="MD168" i="1" s="1"/>
  <c r="LY168" i="1"/>
  <c r="LT168" i="1"/>
  <c r="LO168" i="1"/>
  <c r="LJ168" i="1"/>
  <c r="LC168" i="1"/>
  <c r="LD168" i="1" s="1"/>
  <c r="LE168" i="1" s="1"/>
  <c r="KZ168" i="1"/>
  <c r="KV168" i="1"/>
  <c r="KO168" i="1"/>
  <c r="KP168" i="1" s="1"/>
  <c r="KQ168" i="1" s="1"/>
  <c r="KM168" i="1"/>
  <c r="KI168" i="1"/>
  <c r="KE168" i="1"/>
  <c r="KA168" i="1"/>
  <c r="JV168" i="1"/>
  <c r="JQ168" i="1"/>
  <c r="JM168" i="1"/>
  <c r="JI168" i="1"/>
  <c r="JB168" i="1"/>
  <c r="JC168" i="1" s="1"/>
  <c r="JD168" i="1" s="1"/>
  <c r="IW168" i="1"/>
  <c r="IX168" i="1" s="1"/>
  <c r="IY168" i="1" s="1"/>
  <c r="IR168" i="1"/>
  <c r="IS168" i="1" s="1"/>
  <c r="IT168" i="1" s="1"/>
  <c r="IM168" i="1"/>
  <c r="IN168" i="1" s="1"/>
  <c r="IO168" i="1" s="1"/>
  <c r="IH168" i="1"/>
  <c r="II168" i="1" s="1"/>
  <c r="IJ168" i="1" s="1"/>
  <c r="IC168" i="1"/>
  <c r="ID168" i="1" s="1"/>
  <c r="IE168" i="1" s="1"/>
  <c r="HX168" i="1"/>
  <c r="HY168" i="1" s="1"/>
  <c r="HZ168" i="1" s="1"/>
  <c r="HU168" i="1"/>
  <c r="HP168" i="1"/>
  <c r="HI168" i="1"/>
  <c r="HJ168" i="1" s="1"/>
  <c r="HK168" i="1" s="1"/>
  <c r="HD168" i="1"/>
  <c r="HE168" i="1" s="1"/>
  <c r="HF168" i="1" s="1"/>
  <c r="GY168" i="1"/>
  <c r="GZ168" i="1" s="1"/>
  <c r="HA168" i="1" s="1"/>
  <c r="GT168" i="1"/>
  <c r="GU168" i="1" s="1"/>
  <c r="GV168" i="1" s="1"/>
  <c r="GO168" i="1"/>
  <c r="GP168" i="1" s="1"/>
  <c r="GQ168" i="1" s="1"/>
  <c r="GJ168" i="1"/>
  <c r="GK168" i="1" s="1"/>
  <c r="GL168" i="1" s="1"/>
  <c r="GE168" i="1"/>
  <c r="GF168" i="1" s="1"/>
  <c r="GG168" i="1" s="1"/>
  <c r="FZ168" i="1"/>
  <c r="GA168" i="1" s="1"/>
  <c r="GB168" i="1" s="1"/>
  <c r="FU168" i="1"/>
  <c r="FV168" i="1" s="1"/>
  <c r="FW168" i="1" s="1"/>
  <c r="FP168" i="1"/>
  <c r="FQ168" i="1" s="1"/>
  <c r="FR168" i="1" s="1"/>
  <c r="FK168" i="1"/>
  <c r="FL168" i="1" s="1"/>
  <c r="FM168" i="1" s="1"/>
  <c r="FF168" i="1"/>
  <c r="FG168" i="1" s="1"/>
  <c r="FH168" i="1" s="1"/>
  <c r="FA168" i="1"/>
  <c r="FB168" i="1" s="1"/>
  <c r="FC168" i="1" s="1"/>
  <c r="EV168" i="1"/>
  <c r="EW168" i="1" s="1"/>
  <c r="EX168" i="1" s="1"/>
  <c r="EQ168" i="1"/>
  <c r="ER168" i="1" s="1"/>
  <c r="ES168" i="1" s="1"/>
  <c r="EL168" i="1"/>
  <c r="EM168" i="1" s="1"/>
  <c r="EN168" i="1" s="1"/>
  <c r="EE168" i="1"/>
  <c r="EF168" i="1" s="1"/>
  <c r="EG168" i="1" s="1"/>
  <c r="DZ168" i="1"/>
  <c r="EA168" i="1" s="1"/>
  <c r="EB168" i="1" s="1"/>
  <c r="DU168" i="1"/>
  <c r="DV168" i="1" s="1"/>
  <c r="DW168" i="1" s="1"/>
  <c r="DP168" i="1"/>
  <c r="DQ168" i="1" s="1"/>
  <c r="DR168" i="1" s="1"/>
  <c r="DK168" i="1"/>
  <c r="DL168" i="1" s="1"/>
  <c r="DM168" i="1" s="1"/>
  <c r="DF168" i="1"/>
  <c r="DG168" i="1" s="1"/>
  <c r="DH168" i="1" s="1"/>
  <c r="DA168" i="1"/>
  <c r="DB168" i="1" s="1"/>
  <c r="DC168" i="1" s="1"/>
  <c r="CV168" i="1"/>
  <c r="CW168" i="1" s="1"/>
  <c r="CX168" i="1" s="1"/>
  <c r="CQ168" i="1"/>
  <c r="CR168" i="1" s="1"/>
  <c r="CS168" i="1" s="1"/>
  <c r="CL168" i="1"/>
  <c r="CM168" i="1" s="1"/>
  <c r="CN168" i="1" s="1"/>
  <c r="CG168" i="1"/>
  <c r="CH168" i="1" s="1"/>
  <c r="CI168" i="1" s="1"/>
  <c r="CA168" i="1"/>
  <c r="CB168" i="1" s="1"/>
  <c r="CC168" i="1" s="1"/>
  <c r="BV168" i="1"/>
  <c r="BW168" i="1" s="1"/>
  <c r="BX168" i="1" s="1"/>
  <c r="BQ168" i="1"/>
  <c r="BR168" i="1" s="1"/>
  <c r="BS168" i="1" s="1"/>
  <c r="BL168" i="1"/>
  <c r="BM168" i="1" s="1"/>
  <c r="BN168" i="1" s="1"/>
  <c r="BG168" i="1"/>
  <c r="BH168" i="1" s="1"/>
  <c r="BI168" i="1" s="1"/>
  <c r="BB168" i="1"/>
  <c r="BC168" i="1" s="1"/>
  <c r="BD168" i="1" s="1"/>
  <c r="AW168" i="1"/>
  <c r="AX168" i="1" s="1"/>
  <c r="AY168" i="1" s="1"/>
  <c r="AR168" i="1"/>
  <c r="AS168" i="1" s="1"/>
  <c r="AT168" i="1" s="1"/>
  <c r="AM168" i="1"/>
  <c r="AN168" i="1" s="1"/>
  <c r="AO168" i="1" s="1"/>
  <c r="AH168" i="1"/>
  <c r="AI168" i="1" s="1"/>
  <c r="AJ168" i="1" s="1"/>
  <c r="AC168" i="1"/>
  <c r="AD168" i="1" s="1"/>
  <c r="AE168" i="1" s="1"/>
  <c r="W168" i="1"/>
  <c r="X168" i="1" s="1"/>
  <c r="Y168" i="1" s="1"/>
  <c r="S168" i="1"/>
  <c r="N168" i="1"/>
  <c r="I168" i="1"/>
  <c r="NZ167" i="1"/>
  <c r="NU167" i="1"/>
  <c r="NP167" i="1"/>
  <c r="NK167" i="1"/>
  <c r="NF167" i="1"/>
  <c r="NA167" i="1"/>
  <c r="MV167" i="1"/>
  <c r="MQ167" i="1"/>
  <c r="MM167" i="1"/>
  <c r="MI167" i="1"/>
  <c r="MD167" i="1"/>
  <c r="LY167" i="1"/>
  <c r="LT167" i="1"/>
  <c r="LO167" i="1"/>
  <c r="LJ167" i="1"/>
  <c r="LE167" i="1"/>
  <c r="KX167" i="1"/>
  <c r="KY167" i="1" s="1"/>
  <c r="KZ167" i="1" s="1"/>
  <c r="KV167" i="1"/>
  <c r="KQ167" i="1"/>
  <c r="KM167" i="1"/>
  <c r="KG167" i="1"/>
  <c r="KH167" i="1" s="1"/>
  <c r="KI167" i="1" s="1"/>
  <c r="KE167" i="1"/>
  <c r="KA167" i="1"/>
  <c r="JV167" i="1"/>
  <c r="JQ167" i="1"/>
  <c r="JM167" i="1"/>
  <c r="JI167" i="1"/>
  <c r="JB167" i="1"/>
  <c r="JC167" i="1" s="1"/>
  <c r="JD167" i="1" s="1"/>
  <c r="IW167" i="1"/>
  <c r="IX167" i="1" s="1"/>
  <c r="IY167" i="1" s="1"/>
  <c r="IR167" i="1"/>
  <c r="IS167" i="1" s="1"/>
  <c r="IT167" i="1" s="1"/>
  <c r="IM167" i="1"/>
  <c r="IN167" i="1" s="1"/>
  <c r="IO167" i="1" s="1"/>
  <c r="IH167" i="1"/>
  <c r="II167" i="1" s="1"/>
  <c r="IJ167" i="1" s="1"/>
  <c r="IC167" i="1"/>
  <c r="ID167" i="1" s="1"/>
  <c r="IE167" i="1" s="1"/>
  <c r="HX167" i="1"/>
  <c r="HY167" i="1" s="1"/>
  <c r="HZ167" i="1" s="1"/>
  <c r="HU167" i="1"/>
  <c r="HP167" i="1"/>
  <c r="HI167" i="1"/>
  <c r="HJ167" i="1" s="1"/>
  <c r="HK167" i="1" s="1"/>
  <c r="HD167" i="1"/>
  <c r="HE167" i="1" s="1"/>
  <c r="HF167" i="1" s="1"/>
  <c r="GY167" i="1"/>
  <c r="GZ167" i="1" s="1"/>
  <c r="HA167" i="1" s="1"/>
  <c r="GT167" i="1"/>
  <c r="GU167" i="1" s="1"/>
  <c r="GV167" i="1" s="1"/>
  <c r="GO167" i="1"/>
  <c r="GP167" i="1" s="1"/>
  <c r="GQ167" i="1" s="1"/>
  <c r="GJ167" i="1"/>
  <c r="GK167" i="1" s="1"/>
  <c r="GL167" i="1" s="1"/>
  <c r="GE167" i="1"/>
  <c r="GF167" i="1" s="1"/>
  <c r="GG167" i="1" s="1"/>
  <c r="FZ167" i="1"/>
  <c r="GA167" i="1" s="1"/>
  <c r="GB167" i="1" s="1"/>
  <c r="FU167" i="1"/>
  <c r="FV167" i="1" s="1"/>
  <c r="FW167" i="1" s="1"/>
  <c r="FP167" i="1"/>
  <c r="FQ167" i="1" s="1"/>
  <c r="FR167" i="1" s="1"/>
  <c r="FK167" i="1"/>
  <c r="FL167" i="1" s="1"/>
  <c r="FM167" i="1" s="1"/>
  <c r="FF167" i="1"/>
  <c r="FG167" i="1" s="1"/>
  <c r="FH167" i="1" s="1"/>
  <c r="FA167" i="1"/>
  <c r="FB167" i="1" s="1"/>
  <c r="FC167" i="1" s="1"/>
  <c r="EV167" i="1"/>
  <c r="EW167" i="1" s="1"/>
  <c r="EX167" i="1" s="1"/>
  <c r="EQ167" i="1"/>
  <c r="ER167" i="1" s="1"/>
  <c r="ES167" i="1" s="1"/>
  <c r="EL167" i="1"/>
  <c r="EM167" i="1" s="1"/>
  <c r="EN167" i="1" s="1"/>
  <c r="EE167" i="1"/>
  <c r="EF167" i="1" s="1"/>
  <c r="EG167" i="1" s="1"/>
  <c r="DZ167" i="1"/>
  <c r="EA167" i="1" s="1"/>
  <c r="EB167" i="1" s="1"/>
  <c r="DU167" i="1"/>
  <c r="DV167" i="1" s="1"/>
  <c r="DW167" i="1" s="1"/>
  <c r="DP167" i="1"/>
  <c r="DQ167" i="1" s="1"/>
  <c r="DR167" i="1" s="1"/>
  <c r="DK167" i="1"/>
  <c r="DL167" i="1" s="1"/>
  <c r="DM167" i="1" s="1"/>
  <c r="DF167" i="1"/>
  <c r="DG167" i="1" s="1"/>
  <c r="DH167" i="1" s="1"/>
  <c r="DA167" i="1"/>
  <c r="DB167" i="1" s="1"/>
  <c r="DC167" i="1" s="1"/>
  <c r="CV167" i="1"/>
  <c r="CW167" i="1" s="1"/>
  <c r="CX167" i="1" s="1"/>
  <c r="CQ167" i="1"/>
  <c r="CR167" i="1" s="1"/>
  <c r="CS167" i="1" s="1"/>
  <c r="CL167" i="1"/>
  <c r="CM167" i="1" s="1"/>
  <c r="CN167" i="1" s="1"/>
  <c r="CG167" i="1"/>
  <c r="CH167" i="1" s="1"/>
  <c r="CI167" i="1" s="1"/>
  <c r="CA167" i="1"/>
  <c r="CB167" i="1" s="1"/>
  <c r="CC167" i="1" s="1"/>
  <c r="BV167" i="1"/>
  <c r="BW167" i="1" s="1"/>
  <c r="BX167" i="1" s="1"/>
  <c r="BQ167" i="1"/>
  <c r="BR167" i="1" s="1"/>
  <c r="BS167" i="1" s="1"/>
  <c r="BL167" i="1"/>
  <c r="BM167" i="1" s="1"/>
  <c r="BN167" i="1" s="1"/>
  <c r="BG167" i="1"/>
  <c r="BH167" i="1" s="1"/>
  <c r="BI167" i="1" s="1"/>
  <c r="BB167" i="1"/>
  <c r="BC167" i="1" s="1"/>
  <c r="BD167" i="1" s="1"/>
  <c r="AW167" i="1"/>
  <c r="AX167" i="1" s="1"/>
  <c r="AY167" i="1" s="1"/>
  <c r="AR167" i="1"/>
  <c r="AS167" i="1" s="1"/>
  <c r="AT167" i="1" s="1"/>
  <c r="AM167" i="1"/>
  <c r="AN167" i="1" s="1"/>
  <c r="AO167" i="1" s="1"/>
  <c r="AH167" i="1"/>
  <c r="AI167" i="1" s="1"/>
  <c r="AJ167" i="1" s="1"/>
  <c r="AC167" i="1"/>
  <c r="AD167" i="1" s="1"/>
  <c r="AE167" i="1" s="1"/>
  <c r="W167" i="1"/>
  <c r="X167" i="1" s="1"/>
  <c r="Y167" i="1" s="1"/>
  <c r="Q167" i="1"/>
  <c r="R167" i="1" s="1"/>
  <c r="S167" i="1" s="1"/>
  <c r="N167" i="1"/>
  <c r="I167" i="1"/>
  <c r="NZ166" i="1"/>
  <c r="NU166" i="1"/>
  <c r="NP166" i="1"/>
  <c r="NI166" i="1"/>
  <c r="NJ166" i="1" s="1"/>
  <c r="NK166" i="1" s="1"/>
  <c r="NF166" i="1"/>
  <c r="NA166" i="1"/>
  <c r="MV166" i="1"/>
  <c r="MQ166" i="1"/>
  <c r="MM166" i="1"/>
  <c r="MG166" i="1"/>
  <c r="MH166" i="1" s="1"/>
  <c r="MI166" i="1" s="1"/>
  <c r="MB166" i="1"/>
  <c r="MC166" i="1" s="1"/>
  <c r="MD166" i="1" s="1"/>
  <c r="LW166" i="1"/>
  <c r="LX166" i="1" s="1"/>
  <c r="LY166" i="1" s="1"/>
  <c r="LR166" i="1"/>
  <c r="LS166" i="1" s="1"/>
  <c r="LT166" i="1" s="1"/>
  <c r="LO166" i="1"/>
  <c r="LJ166" i="1"/>
  <c r="LE166" i="1"/>
  <c r="KZ166" i="1"/>
  <c r="KV166" i="1"/>
  <c r="KO166" i="1"/>
  <c r="KP166" i="1" s="1"/>
  <c r="KQ166" i="1" s="1"/>
  <c r="KK166" i="1"/>
  <c r="KL166" i="1" s="1"/>
  <c r="KM166" i="1" s="1"/>
  <c r="KI166" i="1"/>
  <c r="KE166" i="1"/>
  <c r="KA166" i="1"/>
  <c r="JV166" i="1"/>
  <c r="JQ166" i="1"/>
  <c r="JM166" i="1"/>
  <c r="JI166" i="1"/>
  <c r="JD166" i="1"/>
  <c r="IY166" i="1"/>
  <c r="IT166" i="1"/>
  <c r="IO166" i="1"/>
  <c r="IJ166" i="1"/>
  <c r="IE166" i="1"/>
  <c r="HZ166" i="1"/>
  <c r="HU166" i="1"/>
  <c r="HP166" i="1"/>
  <c r="HI166" i="1"/>
  <c r="HJ166" i="1" s="1"/>
  <c r="HK166" i="1" s="1"/>
  <c r="HD166" i="1"/>
  <c r="HE166" i="1" s="1"/>
  <c r="HF166" i="1" s="1"/>
  <c r="GY166" i="1"/>
  <c r="GZ166" i="1" s="1"/>
  <c r="HA166" i="1" s="1"/>
  <c r="GT166" i="1"/>
  <c r="GU166" i="1" s="1"/>
  <c r="GV166" i="1" s="1"/>
  <c r="GO166" i="1"/>
  <c r="GP166" i="1" s="1"/>
  <c r="GQ166" i="1" s="1"/>
  <c r="GJ166" i="1"/>
  <c r="GK166" i="1" s="1"/>
  <c r="GL166" i="1" s="1"/>
  <c r="GE166" i="1"/>
  <c r="GF166" i="1" s="1"/>
  <c r="GG166" i="1" s="1"/>
  <c r="FZ166" i="1"/>
  <c r="GA166" i="1" s="1"/>
  <c r="GB166" i="1" s="1"/>
  <c r="FU166" i="1"/>
  <c r="FV166" i="1" s="1"/>
  <c r="FW166" i="1" s="1"/>
  <c r="FP166" i="1"/>
  <c r="FQ166" i="1" s="1"/>
  <c r="FR166" i="1" s="1"/>
  <c r="FK166" i="1"/>
  <c r="FL166" i="1" s="1"/>
  <c r="FM166" i="1" s="1"/>
  <c r="FF166" i="1"/>
  <c r="FG166" i="1" s="1"/>
  <c r="FH166" i="1" s="1"/>
  <c r="FA166" i="1"/>
  <c r="FB166" i="1" s="1"/>
  <c r="FC166" i="1" s="1"/>
  <c r="EV166" i="1"/>
  <c r="EW166" i="1" s="1"/>
  <c r="EX166" i="1" s="1"/>
  <c r="EQ166" i="1"/>
  <c r="ER166" i="1" s="1"/>
  <c r="ES166" i="1" s="1"/>
  <c r="EL166" i="1"/>
  <c r="EM166" i="1" s="1"/>
  <c r="EN166" i="1" s="1"/>
  <c r="EE166" i="1"/>
  <c r="EF166" i="1" s="1"/>
  <c r="EG166" i="1" s="1"/>
  <c r="DZ166" i="1"/>
  <c r="EA166" i="1" s="1"/>
  <c r="EB166" i="1" s="1"/>
  <c r="DU166" i="1"/>
  <c r="DV166" i="1" s="1"/>
  <c r="DW166" i="1" s="1"/>
  <c r="DP166" i="1"/>
  <c r="DQ166" i="1" s="1"/>
  <c r="DR166" i="1" s="1"/>
  <c r="DK166" i="1"/>
  <c r="DL166" i="1" s="1"/>
  <c r="DM166" i="1" s="1"/>
  <c r="DF166" i="1"/>
  <c r="DG166" i="1" s="1"/>
  <c r="DH166" i="1" s="1"/>
  <c r="DA166" i="1"/>
  <c r="DB166" i="1" s="1"/>
  <c r="DC166" i="1" s="1"/>
  <c r="CV166" i="1"/>
  <c r="CW166" i="1" s="1"/>
  <c r="CX166" i="1" s="1"/>
  <c r="CQ166" i="1"/>
  <c r="CR166" i="1" s="1"/>
  <c r="CS166" i="1" s="1"/>
  <c r="CL166" i="1"/>
  <c r="CM166" i="1" s="1"/>
  <c r="CN166" i="1" s="1"/>
  <c r="CG166" i="1"/>
  <c r="CH166" i="1" s="1"/>
  <c r="CI166" i="1" s="1"/>
  <c r="CA166" i="1"/>
  <c r="CB166" i="1" s="1"/>
  <c r="CC166" i="1" s="1"/>
  <c r="BV166" i="1"/>
  <c r="BW166" i="1" s="1"/>
  <c r="BX166" i="1" s="1"/>
  <c r="BQ166" i="1"/>
  <c r="BR166" i="1" s="1"/>
  <c r="BS166" i="1" s="1"/>
  <c r="BL166" i="1"/>
  <c r="BM166" i="1" s="1"/>
  <c r="BN166" i="1" s="1"/>
  <c r="BG166" i="1"/>
  <c r="BH166" i="1" s="1"/>
  <c r="BI166" i="1" s="1"/>
  <c r="BB166" i="1"/>
  <c r="BC166" i="1" s="1"/>
  <c r="BD166" i="1" s="1"/>
  <c r="AW166" i="1"/>
  <c r="AX166" i="1" s="1"/>
  <c r="AY166" i="1" s="1"/>
  <c r="AR166" i="1"/>
  <c r="AS166" i="1" s="1"/>
  <c r="AT166" i="1" s="1"/>
  <c r="AM166" i="1"/>
  <c r="AN166" i="1" s="1"/>
  <c r="AO166" i="1" s="1"/>
  <c r="AH166" i="1"/>
  <c r="AI166" i="1" s="1"/>
  <c r="AJ166" i="1" s="1"/>
  <c r="AC166" i="1"/>
  <c r="AD166" i="1" s="1"/>
  <c r="AE166" i="1" s="1"/>
  <c r="W166" i="1"/>
  <c r="X166" i="1" s="1"/>
  <c r="Y166" i="1" s="1"/>
  <c r="Q166" i="1"/>
  <c r="R166" i="1" s="1"/>
  <c r="S166" i="1" s="1"/>
  <c r="N166" i="1"/>
  <c r="I166" i="1"/>
  <c r="NZ165" i="1"/>
  <c r="NU165" i="1"/>
  <c r="NP165" i="1"/>
  <c r="NK165" i="1"/>
  <c r="NF165" i="1"/>
  <c r="NA165" i="1"/>
  <c r="MV165" i="1"/>
  <c r="MQ165" i="1"/>
  <c r="MM165" i="1"/>
  <c r="MI165" i="1"/>
  <c r="MD165" i="1"/>
  <c r="LW165" i="1"/>
  <c r="LX165" i="1" s="1"/>
  <c r="LY165" i="1" s="1"/>
  <c r="LR165" i="1"/>
  <c r="LS165" i="1" s="1"/>
  <c r="LT165" i="1" s="1"/>
  <c r="LO165" i="1"/>
  <c r="LJ165" i="1"/>
  <c r="LE165" i="1"/>
  <c r="KX165" i="1"/>
  <c r="KY165" i="1" s="1"/>
  <c r="KZ165" i="1" s="1"/>
  <c r="KV165" i="1"/>
  <c r="KO165" i="1"/>
  <c r="KP165" i="1" s="1"/>
  <c r="KQ165" i="1" s="1"/>
  <c r="KM165" i="1"/>
  <c r="KI165" i="1"/>
  <c r="KE165" i="1"/>
  <c r="KA165" i="1"/>
  <c r="JV165" i="1"/>
  <c r="JQ165" i="1"/>
  <c r="JM165" i="1"/>
  <c r="JI165" i="1"/>
  <c r="JB165" i="1"/>
  <c r="JC165" i="1" s="1"/>
  <c r="JD165" i="1" s="1"/>
  <c r="IW165" i="1"/>
  <c r="IX165" i="1" s="1"/>
  <c r="IY165" i="1" s="1"/>
  <c r="IR165" i="1"/>
  <c r="IS165" i="1" s="1"/>
  <c r="IT165" i="1" s="1"/>
  <c r="IM165" i="1"/>
  <c r="IN165" i="1" s="1"/>
  <c r="IO165" i="1" s="1"/>
  <c r="IH165" i="1"/>
  <c r="II165" i="1" s="1"/>
  <c r="IJ165" i="1" s="1"/>
  <c r="IC165" i="1"/>
  <c r="ID165" i="1" s="1"/>
  <c r="IE165" i="1" s="1"/>
  <c r="HX165" i="1"/>
  <c r="HY165" i="1" s="1"/>
  <c r="HZ165" i="1" s="1"/>
  <c r="HS165" i="1"/>
  <c r="HT165" i="1" s="1"/>
  <c r="HU165" i="1" s="1"/>
  <c r="HN165" i="1"/>
  <c r="HO165" i="1" s="1"/>
  <c r="HP165" i="1" s="1"/>
  <c r="HI165" i="1"/>
  <c r="HJ165" i="1" s="1"/>
  <c r="HK165" i="1" s="1"/>
  <c r="HD165" i="1"/>
  <c r="HE165" i="1" s="1"/>
  <c r="HF165" i="1" s="1"/>
  <c r="GY165" i="1"/>
  <c r="GZ165" i="1" s="1"/>
  <c r="HA165" i="1" s="1"/>
  <c r="GT165" i="1"/>
  <c r="GU165" i="1" s="1"/>
  <c r="GV165" i="1" s="1"/>
  <c r="GO165" i="1"/>
  <c r="GP165" i="1" s="1"/>
  <c r="GQ165" i="1" s="1"/>
  <c r="GJ165" i="1"/>
  <c r="GK165" i="1" s="1"/>
  <c r="GL165" i="1" s="1"/>
  <c r="GE165" i="1"/>
  <c r="GF165" i="1" s="1"/>
  <c r="GG165" i="1" s="1"/>
  <c r="FZ165" i="1"/>
  <c r="GA165" i="1" s="1"/>
  <c r="GB165" i="1" s="1"/>
  <c r="FU165" i="1"/>
  <c r="FV165" i="1" s="1"/>
  <c r="FW165" i="1" s="1"/>
  <c r="FP165" i="1"/>
  <c r="FQ165" i="1" s="1"/>
  <c r="FR165" i="1" s="1"/>
  <c r="FK165" i="1"/>
  <c r="FL165" i="1" s="1"/>
  <c r="FM165" i="1" s="1"/>
  <c r="FF165" i="1"/>
  <c r="FG165" i="1" s="1"/>
  <c r="FH165" i="1" s="1"/>
  <c r="FA165" i="1"/>
  <c r="FB165" i="1" s="1"/>
  <c r="FC165" i="1" s="1"/>
  <c r="EV165" i="1"/>
  <c r="EW165" i="1" s="1"/>
  <c r="EX165" i="1" s="1"/>
  <c r="EQ165" i="1"/>
  <c r="ER165" i="1" s="1"/>
  <c r="ES165" i="1" s="1"/>
  <c r="EL165" i="1"/>
  <c r="EM165" i="1" s="1"/>
  <c r="EN165" i="1" s="1"/>
  <c r="EE165" i="1"/>
  <c r="EF165" i="1" s="1"/>
  <c r="EG165" i="1" s="1"/>
  <c r="DZ165" i="1"/>
  <c r="EA165" i="1" s="1"/>
  <c r="EB165" i="1" s="1"/>
  <c r="DU165" i="1"/>
  <c r="DV165" i="1" s="1"/>
  <c r="DW165" i="1" s="1"/>
  <c r="DP165" i="1"/>
  <c r="DQ165" i="1" s="1"/>
  <c r="DR165" i="1" s="1"/>
  <c r="DK165" i="1"/>
  <c r="DL165" i="1" s="1"/>
  <c r="DM165" i="1" s="1"/>
  <c r="DF165" i="1"/>
  <c r="DG165" i="1" s="1"/>
  <c r="DH165" i="1" s="1"/>
  <c r="DA165" i="1"/>
  <c r="DB165" i="1" s="1"/>
  <c r="DC165" i="1" s="1"/>
  <c r="CV165" i="1"/>
  <c r="CW165" i="1" s="1"/>
  <c r="CX165" i="1" s="1"/>
  <c r="CQ165" i="1"/>
  <c r="CR165" i="1" s="1"/>
  <c r="CS165" i="1" s="1"/>
  <c r="CL165" i="1"/>
  <c r="CM165" i="1" s="1"/>
  <c r="CN165" i="1" s="1"/>
  <c r="CG165" i="1"/>
  <c r="CH165" i="1" s="1"/>
  <c r="CI165" i="1" s="1"/>
  <c r="CA165" i="1"/>
  <c r="CB165" i="1" s="1"/>
  <c r="CC165" i="1" s="1"/>
  <c r="BV165" i="1"/>
  <c r="BW165" i="1" s="1"/>
  <c r="BX165" i="1" s="1"/>
  <c r="BQ165" i="1"/>
  <c r="BR165" i="1" s="1"/>
  <c r="BS165" i="1" s="1"/>
  <c r="BL165" i="1"/>
  <c r="BM165" i="1" s="1"/>
  <c r="BN165" i="1" s="1"/>
  <c r="BG165" i="1"/>
  <c r="BH165" i="1" s="1"/>
  <c r="BI165" i="1" s="1"/>
  <c r="BB165" i="1"/>
  <c r="BC165" i="1" s="1"/>
  <c r="BD165" i="1" s="1"/>
  <c r="AW165" i="1"/>
  <c r="AX165" i="1" s="1"/>
  <c r="AY165" i="1" s="1"/>
  <c r="AR165" i="1"/>
  <c r="AS165" i="1" s="1"/>
  <c r="AT165" i="1" s="1"/>
  <c r="AM165" i="1"/>
  <c r="AN165" i="1" s="1"/>
  <c r="AO165" i="1" s="1"/>
  <c r="AH165" i="1"/>
  <c r="AI165" i="1" s="1"/>
  <c r="AJ165" i="1" s="1"/>
  <c r="AC165" i="1"/>
  <c r="AD165" i="1" s="1"/>
  <c r="AE165" i="1" s="1"/>
  <c r="W165" i="1"/>
  <c r="X165" i="1" s="1"/>
  <c r="Y165" i="1" s="1"/>
  <c r="S165" i="1"/>
  <c r="N165" i="1"/>
  <c r="I165" i="1"/>
  <c r="NZ164" i="1"/>
  <c r="NU164" i="1"/>
  <c r="NP164" i="1"/>
  <c r="NK164" i="1"/>
  <c r="NF164" i="1"/>
  <c r="NA164" i="1"/>
  <c r="MV164" i="1"/>
  <c r="MQ164" i="1"/>
  <c r="MM164" i="1"/>
  <c r="MI164" i="1"/>
  <c r="MD164" i="1"/>
  <c r="LY164" i="1"/>
  <c r="LT164" i="1"/>
  <c r="LO164" i="1"/>
  <c r="LJ164" i="1"/>
  <c r="LE164" i="1"/>
  <c r="KZ164" i="1"/>
  <c r="KV164" i="1"/>
  <c r="KQ164" i="1"/>
  <c r="KM164" i="1"/>
  <c r="KI164" i="1"/>
  <c r="KE164" i="1"/>
  <c r="KA164" i="1"/>
  <c r="JV164" i="1"/>
  <c r="JQ164" i="1"/>
  <c r="JM164" i="1"/>
  <c r="JI164" i="1"/>
  <c r="JD164" i="1"/>
  <c r="IY164" i="1"/>
  <c r="IT164" i="1"/>
  <c r="IO164" i="1"/>
  <c r="IJ164" i="1"/>
  <c r="IE164" i="1"/>
  <c r="HZ164" i="1"/>
  <c r="HU164" i="1"/>
  <c r="HP164" i="1"/>
  <c r="HK164" i="1"/>
  <c r="HD164" i="1"/>
  <c r="HE164" i="1" s="1"/>
  <c r="HF164" i="1" s="1"/>
  <c r="GY164" i="1"/>
  <c r="GZ164" i="1" s="1"/>
  <c r="HA164" i="1" s="1"/>
  <c r="GT164" i="1"/>
  <c r="GU164" i="1" s="1"/>
  <c r="GV164" i="1" s="1"/>
  <c r="GO164" i="1"/>
  <c r="GP164" i="1" s="1"/>
  <c r="GQ164" i="1" s="1"/>
  <c r="GJ164" i="1"/>
  <c r="GK164" i="1" s="1"/>
  <c r="GL164" i="1" s="1"/>
  <c r="GE164" i="1"/>
  <c r="GF164" i="1" s="1"/>
  <c r="GG164" i="1" s="1"/>
  <c r="FZ164" i="1"/>
  <c r="GA164" i="1" s="1"/>
  <c r="GB164" i="1" s="1"/>
  <c r="FU164" i="1"/>
  <c r="FV164" i="1" s="1"/>
  <c r="FW164" i="1" s="1"/>
  <c r="FP164" i="1"/>
  <c r="FQ164" i="1" s="1"/>
  <c r="FR164" i="1" s="1"/>
  <c r="FK164" i="1"/>
  <c r="FL164" i="1" s="1"/>
  <c r="FM164" i="1" s="1"/>
  <c r="FF164" i="1"/>
  <c r="FG164" i="1" s="1"/>
  <c r="FH164" i="1" s="1"/>
  <c r="FA164" i="1"/>
  <c r="FB164" i="1" s="1"/>
  <c r="FC164" i="1" s="1"/>
  <c r="EV164" i="1"/>
  <c r="EW164" i="1" s="1"/>
  <c r="EX164" i="1" s="1"/>
  <c r="EQ164" i="1"/>
  <c r="ER164" i="1" s="1"/>
  <c r="ES164" i="1" s="1"/>
  <c r="EL164" i="1"/>
  <c r="EM164" i="1" s="1"/>
  <c r="EN164" i="1" s="1"/>
  <c r="EE164" i="1"/>
  <c r="EF164" i="1" s="1"/>
  <c r="EG164" i="1" s="1"/>
  <c r="DZ164" i="1"/>
  <c r="EA164" i="1" s="1"/>
  <c r="EB164" i="1" s="1"/>
  <c r="DU164" i="1"/>
  <c r="DV164" i="1" s="1"/>
  <c r="DW164" i="1" s="1"/>
  <c r="DP164" i="1"/>
  <c r="DQ164" i="1" s="1"/>
  <c r="DR164" i="1" s="1"/>
  <c r="DK164" i="1"/>
  <c r="DL164" i="1" s="1"/>
  <c r="DM164" i="1" s="1"/>
  <c r="DF164" i="1"/>
  <c r="DG164" i="1" s="1"/>
  <c r="DH164" i="1" s="1"/>
  <c r="DA164" i="1"/>
  <c r="DB164" i="1" s="1"/>
  <c r="DC164" i="1" s="1"/>
  <c r="CV164" i="1"/>
  <c r="CW164" i="1" s="1"/>
  <c r="CX164" i="1" s="1"/>
  <c r="CQ164" i="1"/>
  <c r="CR164" i="1" s="1"/>
  <c r="CS164" i="1" s="1"/>
  <c r="CL164" i="1"/>
  <c r="CM164" i="1" s="1"/>
  <c r="CN164" i="1" s="1"/>
  <c r="CG164" i="1"/>
  <c r="CH164" i="1" s="1"/>
  <c r="CI164" i="1" s="1"/>
  <c r="CA164" i="1"/>
  <c r="CB164" i="1" s="1"/>
  <c r="CC164" i="1" s="1"/>
  <c r="BV164" i="1"/>
  <c r="BW164" i="1" s="1"/>
  <c r="BX164" i="1" s="1"/>
  <c r="BQ164" i="1"/>
  <c r="BR164" i="1" s="1"/>
  <c r="BS164" i="1" s="1"/>
  <c r="BL164" i="1"/>
  <c r="BM164" i="1" s="1"/>
  <c r="BN164" i="1" s="1"/>
  <c r="BG164" i="1"/>
  <c r="BH164" i="1" s="1"/>
  <c r="BI164" i="1" s="1"/>
  <c r="BB164" i="1"/>
  <c r="BC164" i="1" s="1"/>
  <c r="BD164" i="1" s="1"/>
  <c r="AW164" i="1"/>
  <c r="AX164" i="1" s="1"/>
  <c r="AY164" i="1" s="1"/>
  <c r="AR164" i="1"/>
  <c r="AS164" i="1" s="1"/>
  <c r="AT164" i="1" s="1"/>
  <c r="AM164" i="1"/>
  <c r="AN164" i="1" s="1"/>
  <c r="AO164" i="1" s="1"/>
  <c r="AH164" i="1"/>
  <c r="AI164" i="1" s="1"/>
  <c r="AJ164" i="1" s="1"/>
  <c r="AE164" i="1"/>
  <c r="W164" i="1"/>
  <c r="X164" i="1" s="1"/>
  <c r="Y164" i="1" s="1"/>
  <c r="S164" i="1"/>
  <c r="N164" i="1"/>
  <c r="G164" i="1"/>
  <c r="H164" i="1" s="1"/>
  <c r="I164" i="1" s="1"/>
  <c r="NZ163" i="1"/>
  <c r="NU163" i="1"/>
  <c r="NP163" i="1"/>
  <c r="NK163" i="1"/>
  <c r="NF163" i="1"/>
  <c r="NA163" i="1"/>
  <c r="MV163" i="1"/>
  <c r="MQ163" i="1"/>
  <c r="MM163" i="1"/>
  <c r="MI163" i="1"/>
  <c r="MD163" i="1"/>
  <c r="LY163" i="1"/>
  <c r="LT163" i="1"/>
  <c r="LO163" i="1"/>
  <c r="LJ163" i="1"/>
  <c r="LC163" i="1"/>
  <c r="LD163" i="1" s="1"/>
  <c r="LE163" i="1" s="1"/>
  <c r="KZ163" i="1"/>
  <c r="KV163" i="1"/>
  <c r="KQ163" i="1"/>
  <c r="KM163" i="1"/>
  <c r="KI163" i="1"/>
  <c r="KE163" i="1"/>
  <c r="KA163" i="1"/>
  <c r="JV163" i="1"/>
  <c r="JQ163" i="1"/>
  <c r="JM163" i="1"/>
  <c r="JI163" i="1"/>
  <c r="JD163" i="1"/>
  <c r="IY163" i="1"/>
  <c r="IT163" i="1"/>
  <c r="IO163" i="1"/>
  <c r="IJ163" i="1"/>
  <c r="IE163" i="1"/>
  <c r="HZ163" i="1"/>
  <c r="HU163" i="1"/>
  <c r="HP163" i="1"/>
  <c r="HI163" i="1"/>
  <c r="HJ163" i="1" s="1"/>
  <c r="HK163" i="1" s="1"/>
  <c r="HD163" i="1"/>
  <c r="HE163" i="1" s="1"/>
  <c r="HF163" i="1" s="1"/>
  <c r="GY163" i="1"/>
  <c r="GZ163" i="1" s="1"/>
  <c r="HA163" i="1" s="1"/>
  <c r="GT163" i="1"/>
  <c r="GU163" i="1" s="1"/>
  <c r="GV163" i="1" s="1"/>
  <c r="GO163" i="1"/>
  <c r="GP163" i="1" s="1"/>
  <c r="GQ163" i="1" s="1"/>
  <c r="GJ163" i="1"/>
  <c r="GK163" i="1" s="1"/>
  <c r="GL163" i="1" s="1"/>
  <c r="GE163" i="1"/>
  <c r="GF163" i="1" s="1"/>
  <c r="GG163" i="1" s="1"/>
  <c r="FZ163" i="1"/>
  <c r="GA163" i="1" s="1"/>
  <c r="GB163" i="1" s="1"/>
  <c r="FU163" i="1"/>
  <c r="FV163" i="1" s="1"/>
  <c r="FW163" i="1" s="1"/>
  <c r="FP163" i="1"/>
  <c r="FQ163" i="1" s="1"/>
  <c r="FR163" i="1" s="1"/>
  <c r="FK163" i="1"/>
  <c r="FL163" i="1" s="1"/>
  <c r="FM163" i="1" s="1"/>
  <c r="FF163" i="1"/>
  <c r="FG163" i="1" s="1"/>
  <c r="FH163" i="1" s="1"/>
  <c r="FA163" i="1"/>
  <c r="FB163" i="1" s="1"/>
  <c r="FC163" i="1" s="1"/>
  <c r="EV163" i="1"/>
  <c r="EW163" i="1" s="1"/>
  <c r="EX163" i="1" s="1"/>
  <c r="EQ163" i="1"/>
  <c r="ER163" i="1" s="1"/>
  <c r="ES163" i="1" s="1"/>
  <c r="EL163" i="1"/>
  <c r="EM163" i="1" s="1"/>
  <c r="EN163" i="1" s="1"/>
  <c r="EE163" i="1"/>
  <c r="EF163" i="1" s="1"/>
  <c r="EG163" i="1" s="1"/>
  <c r="DZ163" i="1"/>
  <c r="EA163" i="1" s="1"/>
  <c r="EB163" i="1" s="1"/>
  <c r="DU163" i="1"/>
  <c r="DV163" i="1" s="1"/>
  <c r="DW163" i="1" s="1"/>
  <c r="DP163" i="1"/>
  <c r="DQ163" i="1" s="1"/>
  <c r="DR163" i="1" s="1"/>
  <c r="DK163" i="1"/>
  <c r="DL163" i="1" s="1"/>
  <c r="DM163" i="1" s="1"/>
  <c r="DF163" i="1"/>
  <c r="DG163" i="1" s="1"/>
  <c r="DH163" i="1" s="1"/>
  <c r="DA163" i="1"/>
  <c r="DB163" i="1" s="1"/>
  <c r="DC163" i="1" s="1"/>
  <c r="CV163" i="1"/>
  <c r="CW163" i="1" s="1"/>
  <c r="CX163" i="1" s="1"/>
  <c r="CQ163" i="1"/>
  <c r="CR163" i="1" s="1"/>
  <c r="CS163" i="1" s="1"/>
  <c r="CL163" i="1"/>
  <c r="CM163" i="1" s="1"/>
  <c r="CN163" i="1" s="1"/>
  <c r="CG163" i="1"/>
  <c r="CH163" i="1" s="1"/>
  <c r="CI163" i="1" s="1"/>
  <c r="CA163" i="1"/>
  <c r="CB163" i="1" s="1"/>
  <c r="CC163" i="1" s="1"/>
  <c r="BV163" i="1"/>
  <c r="BW163" i="1" s="1"/>
  <c r="BX163" i="1" s="1"/>
  <c r="BQ163" i="1"/>
  <c r="BR163" i="1" s="1"/>
  <c r="BS163" i="1" s="1"/>
  <c r="BL163" i="1"/>
  <c r="BM163" i="1" s="1"/>
  <c r="BN163" i="1" s="1"/>
  <c r="BG163" i="1"/>
  <c r="BH163" i="1" s="1"/>
  <c r="BI163" i="1" s="1"/>
  <c r="BB163" i="1"/>
  <c r="BC163" i="1" s="1"/>
  <c r="BD163" i="1" s="1"/>
  <c r="AW163" i="1"/>
  <c r="AX163" i="1" s="1"/>
  <c r="AY163" i="1" s="1"/>
  <c r="AR163" i="1"/>
  <c r="AS163" i="1" s="1"/>
  <c r="AT163" i="1" s="1"/>
  <c r="AM163" i="1"/>
  <c r="AN163" i="1" s="1"/>
  <c r="AO163" i="1" s="1"/>
  <c r="AH163" i="1"/>
  <c r="AI163" i="1" s="1"/>
  <c r="AJ163" i="1" s="1"/>
  <c r="AC163" i="1"/>
  <c r="AD163" i="1" s="1"/>
  <c r="AE163" i="1" s="1"/>
  <c r="W163" i="1"/>
  <c r="X163" i="1" s="1"/>
  <c r="Y163" i="1" s="1"/>
  <c r="S163" i="1"/>
  <c r="N163" i="1"/>
  <c r="I163" i="1"/>
  <c r="NZ162" i="1"/>
  <c r="NU162" i="1"/>
  <c r="NP162" i="1"/>
  <c r="NK162" i="1"/>
  <c r="NF162" i="1"/>
  <c r="NA162" i="1"/>
  <c r="MV162" i="1"/>
  <c r="MQ162" i="1"/>
  <c r="MM162" i="1"/>
  <c r="MI162" i="1"/>
  <c r="MD162" i="1"/>
  <c r="LY162" i="1"/>
  <c r="LT162" i="1"/>
  <c r="LO162" i="1"/>
  <c r="LJ162" i="1"/>
  <c r="LE162" i="1"/>
  <c r="KZ162" i="1"/>
  <c r="KV162" i="1"/>
  <c r="KO162" i="1"/>
  <c r="KP162" i="1" s="1"/>
  <c r="KQ162" i="1" s="1"/>
  <c r="KM162" i="1"/>
  <c r="KI162" i="1"/>
  <c r="KE162" i="1"/>
  <c r="KA162" i="1"/>
  <c r="JV162" i="1"/>
  <c r="JQ162" i="1"/>
  <c r="JM162" i="1"/>
  <c r="JI162" i="1"/>
  <c r="JD162" i="1"/>
  <c r="IY162" i="1"/>
  <c r="IT162" i="1"/>
  <c r="IO162" i="1"/>
  <c r="IJ162" i="1"/>
  <c r="IE162" i="1"/>
  <c r="HZ162" i="1"/>
  <c r="HU162" i="1"/>
  <c r="HP162" i="1"/>
  <c r="HK162" i="1"/>
  <c r="HD162" i="1"/>
  <c r="HE162" i="1" s="1"/>
  <c r="HF162" i="1" s="1"/>
  <c r="GY162" i="1"/>
  <c r="GZ162" i="1" s="1"/>
  <c r="HA162" i="1" s="1"/>
  <c r="GT162" i="1"/>
  <c r="GU162" i="1" s="1"/>
  <c r="GV162" i="1" s="1"/>
  <c r="GO162" i="1"/>
  <c r="GP162" i="1" s="1"/>
  <c r="GQ162" i="1" s="1"/>
  <c r="GJ162" i="1"/>
  <c r="GK162" i="1" s="1"/>
  <c r="GL162" i="1" s="1"/>
  <c r="GE162" i="1"/>
  <c r="GF162" i="1" s="1"/>
  <c r="GG162" i="1" s="1"/>
  <c r="FZ162" i="1"/>
  <c r="GA162" i="1" s="1"/>
  <c r="GB162" i="1" s="1"/>
  <c r="FU162" i="1"/>
  <c r="FV162" i="1" s="1"/>
  <c r="FW162" i="1" s="1"/>
  <c r="FP162" i="1"/>
  <c r="FQ162" i="1" s="1"/>
  <c r="FR162" i="1" s="1"/>
  <c r="FK162" i="1"/>
  <c r="FL162" i="1" s="1"/>
  <c r="FM162" i="1" s="1"/>
  <c r="FF162" i="1"/>
  <c r="FG162" i="1" s="1"/>
  <c r="FH162" i="1" s="1"/>
  <c r="FA162" i="1"/>
  <c r="FB162" i="1" s="1"/>
  <c r="FC162" i="1" s="1"/>
  <c r="EV162" i="1"/>
  <c r="EW162" i="1" s="1"/>
  <c r="EX162" i="1" s="1"/>
  <c r="EQ162" i="1"/>
  <c r="ER162" i="1" s="1"/>
  <c r="ES162" i="1" s="1"/>
  <c r="EL162" i="1"/>
  <c r="EM162" i="1" s="1"/>
  <c r="EN162" i="1" s="1"/>
  <c r="EE162" i="1"/>
  <c r="EF162" i="1" s="1"/>
  <c r="EG162" i="1" s="1"/>
  <c r="DZ162" i="1"/>
  <c r="EA162" i="1" s="1"/>
  <c r="EB162" i="1" s="1"/>
  <c r="DU162" i="1"/>
  <c r="DV162" i="1" s="1"/>
  <c r="DW162" i="1" s="1"/>
  <c r="DP162" i="1"/>
  <c r="DQ162" i="1" s="1"/>
  <c r="DR162" i="1" s="1"/>
  <c r="DK162" i="1"/>
  <c r="DL162" i="1" s="1"/>
  <c r="DM162" i="1" s="1"/>
  <c r="DF162" i="1"/>
  <c r="DG162" i="1" s="1"/>
  <c r="DH162" i="1" s="1"/>
  <c r="DA162" i="1"/>
  <c r="DB162" i="1" s="1"/>
  <c r="DC162" i="1" s="1"/>
  <c r="CV162" i="1"/>
  <c r="CW162" i="1" s="1"/>
  <c r="CX162" i="1" s="1"/>
  <c r="CQ162" i="1"/>
  <c r="CR162" i="1" s="1"/>
  <c r="CS162" i="1" s="1"/>
  <c r="CL162" i="1"/>
  <c r="CM162" i="1" s="1"/>
  <c r="CN162" i="1" s="1"/>
  <c r="CG162" i="1"/>
  <c r="CH162" i="1" s="1"/>
  <c r="CI162" i="1" s="1"/>
  <c r="CA162" i="1"/>
  <c r="CB162" i="1" s="1"/>
  <c r="CC162" i="1" s="1"/>
  <c r="BV162" i="1"/>
  <c r="BW162" i="1" s="1"/>
  <c r="BX162" i="1" s="1"/>
  <c r="BQ162" i="1"/>
  <c r="BR162" i="1" s="1"/>
  <c r="BS162" i="1" s="1"/>
  <c r="BL162" i="1"/>
  <c r="BM162" i="1" s="1"/>
  <c r="BN162" i="1" s="1"/>
  <c r="BG162" i="1"/>
  <c r="BH162" i="1" s="1"/>
  <c r="BI162" i="1" s="1"/>
  <c r="BB162" i="1"/>
  <c r="BC162" i="1" s="1"/>
  <c r="BD162" i="1" s="1"/>
  <c r="AW162" i="1"/>
  <c r="AX162" i="1" s="1"/>
  <c r="AY162" i="1" s="1"/>
  <c r="AR162" i="1"/>
  <c r="AS162" i="1" s="1"/>
  <c r="AT162" i="1" s="1"/>
  <c r="AM162" i="1"/>
  <c r="AN162" i="1" s="1"/>
  <c r="AO162" i="1" s="1"/>
  <c r="AH162" i="1"/>
  <c r="AI162" i="1" s="1"/>
  <c r="AJ162" i="1" s="1"/>
  <c r="AE162" i="1"/>
  <c r="W162" i="1"/>
  <c r="X162" i="1" s="1"/>
  <c r="Y162" i="1" s="1"/>
  <c r="S162" i="1"/>
  <c r="N162" i="1"/>
  <c r="G162" i="1"/>
  <c r="H162" i="1" s="1"/>
  <c r="I162" i="1" s="1"/>
  <c r="NZ161" i="1"/>
  <c r="NU161" i="1"/>
  <c r="NP161" i="1"/>
  <c r="NK161" i="1"/>
  <c r="NF161" i="1"/>
  <c r="NA161" i="1"/>
  <c r="MV161" i="1"/>
  <c r="MQ161" i="1"/>
  <c r="MM161" i="1"/>
  <c r="MI161" i="1"/>
  <c r="MD161" i="1"/>
  <c r="LY161" i="1"/>
  <c r="LT161" i="1"/>
  <c r="LO161" i="1"/>
  <c r="LJ161" i="1"/>
  <c r="LE161" i="1"/>
  <c r="KX161" i="1"/>
  <c r="KY161" i="1" s="1"/>
  <c r="KZ161" i="1" s="1"/>
  <c r="KT161" i="1"/>
  <c r="KU161" i="1" s="1"/>
  <c r="KV161" i="1" s="1"/>
  <c r="KO161" i="1"/>
  <c r="KP161" i="1" s="1"/>
  <c r="KQ161" i="1" s="1"/>
  <c r="KM161" i="1"/>
  <c r="KI161" i="1"/>
  <c r="KE161" i="1"/>
  <c r="KA161" i="1"/>
  <c r="JV161" i="1"/>
  <c r="JQ161" i="1"/>
  <c r="JM161" i="1"/>
  <c r="JI161" i="1"/>
  <c r="JD161" i="1"/>
  <c r="IY161" i="1"/>
  <c r="IT161" i="1"/>
  <c r="IO161" i="1"/>
  <c r="IJ161" i="1"/>
  <c r="IE161" i="1"/>
  <c r="HZ161" i="1"/>
  <c r="HU161" i="1"/>
  <c r="HP161" i="1"/>
  <c r="HI161" i="1"/>
  <c r="HJ161" i="1" s="1"/>
  <c r="HK161" i="1" s="1"/>
  <c r="HD161" i="1"/>
  <c r="HE161" i="1" s="1"/>
  <c r="HF161" i="1" s="1"/>
  <c r="GY161" i="1"/>
  <c r="GZ161" i="1" s="1"/>
  <c r="HA161" i="1" s="1"/>
  <c r="GT161" i="1"/>
  <c r="GU161" i="1" s="1"/>
  <c r="GV161" i="1" s="1"/>
  <c r="GO161" i="1"/>
  <c r="GP161" i="1" s="1"/>
  <c r="GQ161" i="1" s="1"/>
  <c r="GJ161" i="1"/>
  <c r="GK161" i="1" s="1"/>
  <c r="GL161" i="1" s="1"/>
  <c r="GE161" i="1"/>
  <c r="GF161" i="1" s="1"/>
  <c r="GG161" i="1" s="1"/>
  <c r="FZ161" i="1"/>
  <c r="GA161" i="1" s="1"/>
  <c r="GB161" i="1" s="1"/>
  <c r="FU161" i="1"/>
  <c r="FV161" i="1" s="1"/>
  <c r="FW161" i="1" s="1"/>
  <c r="FP161" i="1"/>
  <c r="FQ161" i="1" s="1"/>
  <c r="FR161" i="1" s="1"/>
  <c r="FK161" i="1"/>
  <c r="FL161" i="1" s="1"/>
  <c r="FM161" i="1" s="1"/>
  <c r="FF161" i="1"/>
  <c r="FG161" i="1" s="1"/>
  <c r="FH161" i="1" s="1"/>
  <c r="FA161" i="1"/>
  <c r="FB161" i="1" s="1"/>
  <c r="FC161" i="1" s="1"/>
  <c r="EV161" i="1"/>
  <c r="EW161" i="1" s="1"/>
  <c r="EX161" i="1" s="1"/>
  <c r="EQ161" i="1"/>
  <c r="ER161" i="1" s="1"/>
  <c r="ES161" i="1" s="1"/>
  <c r="EL161" i="1"/>
  <c r="EM161" i="1" s="1"/>
  <c r="EN161" i="1" s="1"/>
  <c r="EE161" i="1"/>
  <c r="EF161" i="1" s="1"/>
  <c r="EG161" i="1" s="1"/>
  <c r="DZ161" i="1"/>
  <c r="EA161" i="1" s="1"/>
  <c r="EB161" i="1" s="1"/>
  <c r="DU161" i="1"/>
  <c r="DV161" i="1" s="1"/>
  <c r="DW161" i="1" s="1"/>
  <c r="DP161" i="1"/>
  <c r="DQ161" i="1" s="1"/>
  <c r="DR161" i="1" s="1"/>
  <c r="DK161" i="1"/>
  <c r="DL161" i="1" s="1"/>
  <c r="DM161" i="1" s="1"/>
  <c r="DF161" i="1"/>
  <c r="DG161" i="1" s="1"/>
  <c r="DH161" i="1" s="1"/>
  <c r="DA161" i="1"/>
  <c r="DB161" i="1" s="1"/>
  <c r="DC161" i="1" s="1"/>
  <c r="CV161" i="1"/>
  <c r="CW161" i="1" s="1"/>
  <c r="CX161" i="1" s="1"/>
  <c r="CQ161" i="1"/>
  <c r="CR161" i="1" s="1"/>
  <c r="CS161" i="1" s="1"/>
  <c r="CL161" i="1"/>
  <c r="CM161" i="1" s="1"/>
  <c r="CN161" i="1" s="1"/>
  <c r="CG161" i="1"/>
  <c r="CH161" i="1" s="1"/>
  <c r="CI161" i="1" s="1"/>
  <c r="CA161" i="1"/>
  <c r="CB161" i="1" s="1"/>
  <c r="CC161" i="1" s="1"/>
  <c r="BV161" i="1"/>
  <c r="BW161" i="1" s="1"/>
  <c r="BX161" i="1" s="1"/>
  <c r="BQ161" i="1"/>
  <c r="BR161" i="1" s="1"/>
  <c r="BS161" i="1" s="1"/>
  <c r="BL161" i="1"/>
  <c r="BM161" i="1" s="1"/>
  <c r="BN161" i="1" s="1"/>
  <c r="BG161" i="1"/>
  <c r="BH161" i="1" s="1"/>
  <c r="BI161" i="1" s="1"/>
  <c r="BB161" i="1"/>
  <c r="BC161" i="1" s="1"/>
  <c r="BD161" i="1" s="1"/>
  <c r="AW161" i="1"/>
  <c r="AX161" i="1" s="1"/>
  <c r="AY161" i="1" s="1"/>
  <c r="AR161" i="1"/>
  <c r="AS161" i="1" s="1"/>
  <c r="AT161" i="1" s="1"/>
  <c r="AM161" i="1"/>
  <c r="AN161" i="1" s="1"/>
  <c r="AO161" i="1" s="1"/>
  <c r="AH161" i="1"/>
  <c r="AI161" i="1" s="1"/>
  <c r="AJ161" i="1" s="1"/>
  <c r="AC161" i="1"/>
  <c r="AD161" i="1" s="1"/>
  <c r="AE161" i="1" s="1"/>
  <c r="W161" i="1"/>
  <c r="X161" i="1" s="1"/>
  <c r="Y161" i="1" s="1"/>
  <c r="Q161" i="1"/>
  <c r="R161" i="1" s="1"/>
  <c r="S161" i="1" s="1"/>
  <c r="N161" i="1"/>
  <c r="I161" i="1"/>
  <c r="NZ160" i="1"/>
  <c r="NU160" i="1"/>
  <c r="NP160" i="1"/>
  <c r="NK160" i="1"/>
  <c r="NF160" i="1"/>
  <c r="NA160" i="1"/>
  <c r="MV160" i="1"/>
  <c r="MQ160" i="1"/>
  <c r="MM160" i="1"/>
  <c r="MI160" i="1"/>
  <c r="MD160" i="1"/>
  <c r="LY160" i="1"/>
  <c r="LT160" i="1"/>
  <c r="LO160" i="1"/>
  <c r="LJ160" i="1"/>
  <c r="LE160" i="1"/>
  <c r="KX160" i="1"/>
  <c r="KY160" i="1" s="1"/>
  <c r="KZ160" i="1" s="1"/>
  <c r="KT160" i="1"/>
  <c r="KU160" i="1" s="1"/>
  <c r="KV160" i="1" s="1"/>
  <c r="KQ160" i="1"/>
  <c r="KM160" i="1"/>
  <c r="KI160" i="1"/>
  <c r="KE160" i="1"/>
  <c r="JY160" i="1"/>
  <c r="JZ160" i="1" s="1"/>
  <c r="KA160" i="1" s="1"/>
  <c r="JV160" i="1"/>
  <c r="JQ160" i="1"/>
  <c r="JM160" i="1"/>
  <c r="JI160" i="1"/>
  <c r="JB160" i="1"/>
  <c r="JC160" i="1" s="1"/>
  <c r="JD160" i="1" s="1"/>
  <c r="IW160" i="1"/>
  <c r="IX160" i="1" s="1"/>
  <c r="IY160" i="1" s="1"/>
  <c r="IR160" i="1"/>
  <c r="IS160" i="1" s="1"/>
  <c r="IT160" i="1" s="1"/>
  <c r="IM160" i="1"/>
  <c r="IN160" i="1" s="1"/>
  <c r="IO160" i="1" s="1"/>
  <c r="IH160" i="1"/>
  <c r="II160" i="1" s="1"/>
  <c r="IJ160" i="1" s="1"/>
  <c r="IC160" i="1"/>
  <c r="ID160" i="1" s="1"/>
  <c r="IE160" i="1" s="1"/>
  <c r="HX160" i="1"/>
  <c r="HY160" i="1" s="1"/>
  <c r="HZ160" i="1" s="1"/>
  <c r="HS160" i="1"/>
  <c r="HT160" i="1" s="1"/>
  <c r="HU160" i="1" s="1"/>
  <c r="HN160" i="1"/>
  <c r="HO160" i="1" s="1"/>
  <c r="HP160" i="1" s="1"/>
  <c r="HI160" i="1"/>
  <c r="HJ160" i="1" s="1"/>
  <c r="HK160" i="1" s="1"/>
  <c r="HD160" i="1"/>
  <c r="HE160" i="1" s="1"/>
  <c r="HF160" i="1" s="1"/>
  <c r="GY160" i="1"/>
  <c r="GZ160" i="1" s="1"/>
  <c r="HA160" i="1" s="1"/>
  <c r="GT160" i="1"/>
  <c r="GU160" i="1" s="1"/>
  <c r="GV160" i="1" s="1"/>
  <c r="GO160" i="1"/>
  <c r="GP160" i="1" s="1"/>
  <c r="GQ160" i="1" s="1"/>
  <c r="GJ160" i="1"/>
  <c r="GK160" i="1" s="1"/>
  <c r="GL160" i="1" s="1"/>
  <c r="GE160" i="1"/>
  <c r="GF160" i="1" s="1"/>
  <c r="GG160" i="1" s="1"/>
  <c r="FZ160" i="1"/>
  <c r="GA160" i="1" s="1"/>
  <c r="GB160" i="1" s="1"/>
  <c r="FU160" i="1"/>
  <c r="FV160" i="1" s="1"/>
  <c r="FW160" i="1" s="1"/>
  <c r="FP160" i="1"/>
  <c r="FQ160" i="1" s="1"/>
  <c r="FR160" i="1" s="1"/>
  <c r="FK160" i="1"/>
  <c r="FL160" i="1" s="1"/>
  <c r="FM160" i="1" s="1"/>
  <c r="FF160" i="1"/>
  <c r="FG160" i="1" s="1"/>
  <c r="FH160" i="1" s="1"/>
  <c r="FA160" i="1"/>
  <c r="FB160" i="1" s="1"/>
  <c r="FC160" i="1" s="1"/>
  <c r="EV160" i="1"/>
  <c r="EW160" i="1" s="1"/>
  <c r="EX160" i="1" s="1"/>
  <c r="EQ160" i="1"/>
  <c r="ER160" i="1" s="1"/>
  <c r="ES160" i="1" s="1"/>
  <c r="EL160" i="1"/>
  <c r="EM160" i="1" s="1"/>
  <c r="EN160" i="1" s="1"/>
  <c r="EE160" i="1"/>
  <c r="EF160" i="1" s="1"/>
  <c r="EG160" i="1" s="1"/>
  <c r="DZ160" i="1"/>
  <c r="EA160" i="1" s="1"/>
  <c r="EB160" i="1" s="1"/>
  <c r="DU160" i="1"/>
  <c r="DV160" i="1" s="1"/>
  <c r="DW160" i="1" s="1"/>
  <c r="DP160" i="1"/>
  <c r="DQ160" i="1" s="1"/>
  <c r="DR160" i="1" s="1"/>
  <c r="DK160" i="1"/>
  <c r="DL160" i="1" s="1"/>
  <c r="DM160" i="1" s="1"/>
  <c r="DF160" i="1"/>
  <c r="DG160" i="1" s="1"/>
  <c r="DH160" i="1" s="1"/>
  <c r="DA160" i="1"/>
  <c r="DB160" i="1" s="1"/>
  <c r="DC160" i="1" s="1"/>
  <c r="CV160" i="1"/>
  <c r="CW160" i="1" s="1"/>
  <c r="CX160" i="1" s="1"/>
  <c r="CQ160" i="1"/>
  <c r="CR160" i="1" s="1"/>
  <c r="CS160" i="1" s="1"/>
  <c r="CL160" i="1"/>
  <c r="CM160" i="1" s="1"/>
  <c r="CN160" i="1" s="1"/>
  <c r="CG160" i="1"/>
  <c r="CH160" i="1" s="1"/>
  <c r="CI160" i="1" s="1"/>
  <c r="CA160" i="1"/>
  <c r="CB160" i="1" s="1"/>
  <c r="CC160" i="1" s="1"/>
  <c r="BV160" i="1"/>
  <c r="BW160" i="1" s="1"/>
  <c r="BX160" i="1" s="1"/>
  <c r="BQ160" i="1"/>
  <c r="BR160" i="1" s="1"/>
  <c r="BS160" i="1" s="1"/>
  <c r="BL160" i="1"/>
  <c r="BM160" i="1" s="1"/>
  <c r="BN160" i="1" s="1"/>
  <c r="BG160" i="1"/>
  <c r="BH160" i="1" s="1"/>
  <c r="BI160" i="1" s="1"/>
  <c r="BB160" i="1"/>
  <c r="BC160" i="1" s="1"/>
  <c r="BD160" i="1" s="1"/>
  <c r="AW160" i="1"/>
  <c r="AX160" i="1" s="1"/>
  <c r="AY160" i="1" s="1"/>
  <c r="AR160" i="1"/>
  <c r="AS160" i="1" s="1"/>
  <c r="AT160" i="1" s="1"/>
  <c r="AM160" i="1"/>
  <c r="AN160" i="1" s="1"/>
  <c r="AO160" i="1" s="1"/>
  <c r="AH160" i="1"/>
  <c r="AI160" i="1" s="1"/>
  <c r="AJ160" i="1" s="1"/>
  <c r="AC160" i="1"/>
  <c r="AD160" i="1" s="1"/>
  <c r="AE160" i="1" s="1"/>
  <c r="W160" i="1"/>
  <c r="X160" i="1" s="1"/>
  <c r="Y160" i="1" s="1"/>
  <c r="S160" i="1"/>
  <c r="N160" i="1"/>
  <c r="I160" i="1"/>
  <c r="NZ159" i="1"/>
  <c r="NU159" i="1"/>
  <c r="NN159" i="1"/>
  <c r="NO159" i="1" s="1"/>
  <c r="NP159" i="1" s="1"/>
  <c r="NI159" i="1"/>
  <c r="NJ159" i="1" s="1"/>
  <c r="NK159" i="1" s="1"/>
  <c r="ND159" i="1"/>
  <c r="NE159" i="1" s="1"/>
  <c r="NF159" i="1" s="1"/>
  <c r="MY159" i="1"/>
  <c r="MZ159" i="1" s="1"/>
  <c r="NA159" i="1" s="1"/>
  <c r="MT159" i="1"/>
  <c r="MU159" i="1" s="1"/>
  <c r="MV159" i="1" s="1"/>
  <c r="MQ159" i="1"/>
  <c r="MM159" i="1"/>
  <c r="MI159" i="1"/>
  <c r="MD159" i="1"/>
  <c r="LY159" i="1"/>
  <c r="LT159" i="1"/>
  <c r="LM159" i="1"/>
  <c r="LN159" i="1" s="1"/>
  <c r="LO159" i="1" s="1"/>
  <c r="LJ159" i="1"/>
  <c r="LE159" i="1"/>
  <c r="KX159" i="1"/>
  <c r="KY159" i="1" s="1"/>
  <c r="KZ159" i="1" s="1"/>
  <c r="KV159" i="1"/>
  <c r="KO159" i="1"/>
  <c r="KP159" i="1" s="1"/>
  <c r="KQ159" i="1" s="1"/>
  <c r="KM159" i="1"/>
  <c r="KI159" i="1"/>
  <c r="KC159" i="1"/>
  <c r="KD159" i="1" s="1"/>
  <c r="KE159" i="1" s="1"/>
  <c r="KA159" i="1"/>
  <c r="JV159" i="1"/>
  <c r="JQ159" i="1"/>
  <c r="JM159" i="1"/>
  <c r="JI159" i="1"/>
  <c r="JD159" i="1"/>
  <c r="IY159" i="1"/>
  <c r="IT159" i="1"/>
  <c r="IO159" i="1"/>
  <c r="IJ159" i="1"/>
  <c r="IE159" i="1"/>
  <c r="HZ159" i="1"/>
  <c r="HU159" i="1"/>
  <c r="HP159" i="1"/>
  <c r="HI159" i="1"/>
  <c r="HJ159" i="1" s="1"/>
  <c r="HK159" i="1" s="1"/>
  <c r="HD159" i="1"/>
  <c r="HE159" i="1" s="1"/>
  <c r="HF159" i="1" s="1"/>
  <c r="GY159" i="1"/>
  <c r="GZ159" i="1" s="1"/>
  <c r="HA159" i="1" s="1"/>
  <c r="GT159" i="1"/>
  <c r="GU159" i="1" s="1"/>
  <c r="GV159" i="1" s="1"/>
  <c r="GO159" i="1"/>
  <c r="GP159" i="1" s="1"/>
  <c r="GQ159" i="1" s="1"/>
  <c r="GJ159" i="1"/>
  <c r="GK159" i="1" s="1"/>
  <c r="GL159" i="1" s="1"/>
  <c r="GE159" i="1"/>
  <c r="GF159" i="1" s="1"/>
  <c r="GG159" i="1" s="1"/>
  <c r="FZ159" i="1"/>
  <c r="GA159" i="1" s="1"/>
  <c r="GB159" i="1" s="1"/>
  <c r="FU159" i="1"/>
  <c r="FV159" i="1" s="1"/>
  <c r="FW159" i="1" s="1"/>
  <c r="FP159" i="1"/>
  <c r="FQ159" i="1" s="1"/>
  <c r="FR159" i="1" s="1"/>
  <c r="FK159" i="1"/>
  <c r="FL159" i="1" s="1"/>
  <c r="FM159" i="1" s="1"/>
  <c r="FF159" i="1"/>
  <c r="FG159" i="1" s="1"/>
  <c r="FH159" i="1" s="1"/>
  <c r="FA159" i="1"/>
  <c r="FB159" i="1" s="1"/>
  <c r="FC159" i="1" s="1"/>
  <c r="EV159" i="1"/>
  <c r="EW159" i="1" s="1"/>
  <c r="EX159" i="1" s="1"/>
  <c r="EQ159" i="1"/>
  <c r="ER159" i="1" s="1"/>
  <c r="ES159" i="1" s="1"/>
  <c r="EL159" i="1"/>
  <c r="EM159" i="1" s="1"/>
  <c r="EN159" i="1" s="1"/>
  <c r="EE159" i="1"/>
  <c r="EF159" i="1" s="1"/>
  <c r="EG159" i="1" s="1"/>
  <c r="DZ159" i="1"/>
  <c r="EA159" i="1" s="1"/>
  <c r="EB159" i="1" s="1"/>
  <c r="DU159" i="1"/>
  <c r="DV159" i="1" s="1"/>
  <c r="DW159" i="1" s="1"/>
  <c r="DP159" i="1"/>
  <c r="DQ159" i="1" s="1"/>
  <c r="DR159" i="1" s="1"/>
  <c r="DK159" i="1"/>
  <c r="DL159" i="1" s="1"/>
  <c r="DM159" i="1" s="1"/>
  <c r="DF159" i="1"/>
  <c r="DG159" i="1" s="1"/>
  <c r="DH159" i="1" s="1"/>
  <c r="DA159" i="1"/>
  <c r="DB159" i="1" s="1"/>
  <c r="DC159" i="1" s="1"/>
  <c r="CV159" i="1"/>
  <c r="CW159" i="1" s="1"/>
  <c r="CX159" i="1" s="1"/>
  <c r="CQ159" i="1"/>
  <c r="CR159" i="1" s="1"/>
  <c r="CS159" i="1" s="1"/>
  <c r="CL159" i="1"/>
  <c r="CM159" i="1" s="1"/>
  <c r="CN159" i="1" s="1"/>
  <c r="CG159" i="1"/>
  <c r="CH159" i="1" s="1"/>
  <c r="CI159" i="1" s="1"/>
  <c r="CA159" i="1"/>
  <c r="CB159" i="1" s="1"/>
  <c r="CC159" i="1" s="1"/>
  <c r="BV159" i="1"/>
  <c r="BW159" i="1" s="1"/>
  <c r="BX159" i="1" s="1"/>
  <c r="BQ159" i="1"/>
  <c r="BR159" i="1" s="1"/>
  <c r="BS159" i="1" s="1"/>
  <c r="BL159" i="1"/>
  <c r="BM159" i="1" s="1"/>
  <c r="BN159" i="1" s="1"/>
  <c r="BG159" i="1"/>
  <c r="BH159" i="1" s="1"/>
  <c r="BI159" i="1" s="1"/>
  <c r="BB159" i="1"/>
  <c r="BC159" i="1" s="1"/>
  <c r="BD159" i="1" s="1"/>
  <c r="AW159" i="1"/>
  <c r="AX159" i="1" s="1"/>
  <c r="AY159" i="1" s="1"/>
  <c r="AR159" i="1"/>
  <c r="AS159" i="1" s="1"/>
  <c r="AT159" i="1" s="1"/>
  <c r="AM159" i="1"/>
  <c r="AN159" i="1" s="1"/>
  <c r="AO159" i="1" s="1"/>
  <c r="AH159" i="1"/>
  <c r="AI159" i="1" s="1"/>
  <c r="AJ159" i="1" s="1"/>
  <c r="AC159" i="1"/>
  <c r="AD159" i="1" s="1"/>
  <c r="AE159" i="1" s="1"/>
  <c r="W159" i="1"/>
  <c r="X159" i="1" s="1"/>
  <c r="Y159" i="1" s="1"/>
  <c r="S159" i="1"/>
  <c r="N159" i="1"/>
  <c r="I159" i="1"/>
  <c r="NZ158" i="1"/>
  <c r="NU158" i="1"/>
  <c r="NP158" i="1"/>
  <c r="NK158" i="1"/>
  <c r="NF158" i="1"/>
  <c r="NA158" i="1"/>
  <c r="MV158" i="1"/>
  <c r="MQ158" i="1"/>
  <c r="MM158" i="1"/>
  <c r="MI158" i="1"/>
  <c r="MB158" i="1"/>
  <c r="MC158" i="1" s="1"/>
  <c r="MD158" i="1" s="1"/>
  <c r="LW158" i="1"/>
  <c r="LX158" i="1" s="1"/>
  <c r="LY158" i="1" s="1"/>
  <c r="LR158" i="1"/>
  <c r="LS158" i="1" s="1"/>
  <c r="LT158" i="1" s="1"/>
  <c r="LM158" i="1"/>
  <c r="LN158" i="1" s="1"/>
  <c r="LO158" i="1" s="1"/>
  <c r="LH158" i="1"/>
  <c r="LI158" i="1" s="1"/>
  <c r="LJ158" i="1" s="1"/>
  <c r="LC158" i="1"/>
  <c r="LD158" i="1" s="1"/>
  <c r="LE158" i="1" s="1"/>
  <c r="KX158" i="1"/>
  <c r="KY158" i="1" s="1"/>
  <c r="KZ158" i="1" s="1"/>
  <c r="KV158" i="1"/>
  <c r="KQ158" i="1"/>
  <c r="KK158" i="1"/>
  <c r="KL158" i="1" s="1"/>
  <c r="KM158" i="1" s="1"/>
  <c r="KI158" i="1"/>
  <c r="KE158" i="1"/>
  <c r="KA158" i="1"/>
  <c r="JV158" i="1"/>
  <c r="JQ158" i="1"/>
  <c r="JM158" i="1"/>
  <c r="JI158" i="1"/>
  <c r="JB158" i="1"/>
  <c r="JC158" i="1" s="1"/>
  <c r="JD158" i="1" s="1"/>
  <c r="IW158" i="1"/>
  <c r="IX158" i="1" s="1"/>
  <c r="IY158" i="1" s="1"/>
  <c r="IR158" i="1"/>
  <c r="IS158" i="1" s="1"/>
  <c r="IT158" i="1" s="1"/>
  <c r="IM158" i="1"/>
  <c r="IN158" i="1" s="1"/>
  <c r="IO158" i="1" s="1"/>
  <c r="IH158" i="1"/>
  <c r="II158" i="1" s="1"/>
  <c r="IJ158" i="1" s="1"/>
  <c r="IC158" i="1"/>
  <c r="ID158" i="1" s="1"/>
  <c r="IE158" i="1" s="1"/>
  <c r="HX158" i="1"/>
  <c r="HY158" i="1" s="1"/>
  <c r="HZ158" i="1" s="1"/>
  <c r="HU158" i="1"/>
  <c r="HN158" i="1"/>
  <c r="HO158" i="1" s="1"/>
  <c r="HP158" i="1" s="1"/>
  <c r="HI158" i="1"/>
  <c r="HJ158" i="1" s="1"/>
  <c r="HK158" i="1" s="1"/>
  <c r="HD158" i="1"/>
  <c r="HE158" i="1" s="1"/>
  <c r="HF158" i="1" s="1"/>
  <c r="GY158" i="1"/>
  <c r="GZ158" i="1" s="1"/>
  <c r="HA158" i="1" s="1"/>
  <c r="GT158" i="1"/>
  <c r="GU158" i="1" s="1"/>
  <c r="GV158" i="1" s="1"/>
  <c r="GO158" i="1"/>
  <c r="GP158" i="1" s="1"/>
  <c r="GQ158" i="1" s="1"/>
  <c r="GJ158" i="1"/>
  <c r="GK158" i="1" s="1"/>
  <c r="GL158" i="1" s="1"/>
  <c r="GE158" i="1"/>
  <c r="GF158" i="1" s="1"/>
  <c r="GG158" i="1" s="1"/>
  <c r="FZ158" i="1"/>
  <c r="GA158" i="1" s="1"/>
  <c r="GB158" i="1" s="1"/>
  <c r="FU158" i="1"/>
  <c r="FV158" i="1" s="1"/>
  <c r="FW158" i="1" s="1"/>
  <c r="FP158" i="1"/>
  <c r="FQ158" i="1" s="1"/>
  <c r="FR158" i="1" s="1"/>
  <c r="FK158" i="1"/>
  <c r="FL158" i="1" s="1"/>
  <c r="FM158" i="1" s="1"/>
  <c r="FF158" i="1"/>
  <c r="FG158" i="1" s="1"/>
  <c r="FH158" i="1" s="1"/>
  <c r="FA158" i="1"/>
  <c r="FB158" i="1" s="1"/>
  <c r="FC158" i="1" s="1"/>
  <c r="EV158" i="1"/>
  <c r="EW158" i="1" s="1"/>
  <c r="EX158" i="1" s="1"/>
  <c r="EQ158" i="1"/>
  <c r="ER158" i="1" s="1"/>
  <c r="ES158" i="1" s="1"/>
  <c r="EL158" i="1"/>
  <c r="EM158" i="1" s="1"/>
  <c r="EN158" i="1" s="1"/>
  <c r="EE158" i="1"/>
  <c r="EF158" i="1" s="1"/>
  <c r="EG158" i="1" s="1"/>
  <c r="DZ158" i="1"/>
  <c r="EA158" i="1" s="1"/>
  <c r="EB158" i="1" s="1"/>
  <c r="DU158" i="1"/>
  <c r="DV158" i="1" s="1"/>
  <c r="DW158" i="1" s="1"/>
  <c r="DP158" i="1"/>
  <c r="DQ158" i="1" s="1"/>
  <c r="DR158" i="1" s="1"/>
  <c r="DK158" i="1"/>
  <c r="DL158" i="1" s="1"/>
  <c r="DM158" i="1" s="1"/>
  <c r="DF158" i="1"/>
  <c r="DG158" i="1" s="1"/>
  <c r="DH158" i="1" s="1"/>
  <c r="DA158" i="1"/>
  <c r="DB158" i="1" s="1"/>
  <c r="DC158" i="1" s="1"/>
  <c r="CV158" i="1"/>
  <c r="CW158" i="1" s="1"/>
  <c r="CX158" i="1" s="1"/>
  <c r="CQ158" i="1"/>
  <c r="CR158" i="1" s="1"/>
  <c r="CS158" i="1" s="1"/>
  <c r="CL158" i="1"/>
  <c r="CM158" i="1" s="1"/>
  <c r="CN158" i="1" s="1"/>
  <c r="CG158" i="1"/>
  <c r="CH158" i="1" s="1"/>
  <c r="CI158" i="1" s="1"/>
  <c r="CA158" i="1"/>
  <c r="CB158" i="1" s="1"/>
  <c r="CC158" i="1" s="1"/>
  <c r="BV158" i="1"/>
  <c r="BW158" i="1" s="1"/>
  <c r="BX158" i="1" s="1"/>
  <c r="BQ158" i="1"/>
  <c r="BR158" i="1" s="1"/>
  <c r="BS158" i="1" s="1"/>
  <c r="BL158" i="1"/>
  <c r="BM158" i="1" s="1"/>
  <c r="BN158" i="1" s="1"/>
  <c r="BG158" i="1"/>
  <c r="BH158" i="1" s="1"/>
  <c r="BI158" i="1" s="1"/>
  <c r="BB158" i="1"/>
  <c r="BC158" i="1" s="1"/>
  <c r="BD158" i="1" s="1"/>
  <c r="AW158" i="1"/>
  <c r="AX158" i="1" s="1"/>
  <c r="AY158" i="1" s="1"/>
  <c r="AR158" i="1"/>
  <c r="AS158" i="1" s="1"/>
  <c r="AT158" i="1" s="1"/>
  <c r="AM158" i="1"/>
  <c r="AN158" i="1" s="1"/>
  <c r="AO158" i="1" s="1"/>
  <c r="AH158" i="1"/>
  <c r="AI158" i="1" s="1"/>
  <c r="AJ158" i="1" s="1"/>
  <c r="AC158" i="1"/>
  <c r="AD158" i="1" s="1"/>
  <c r="AE158" i="1" s="1"/>
  <c r="W158" i="1"/>
  <c r="X158" i="1" s="1"/>
  <c r="Y158" i="1" s="1"/>
  <c r="S158" i="1"/>
  <c r="N158" i="1"/>
  <c r="I158" i="1"/>
  <c r="NZ157" i="1"/>
  <c r="NU157" i="1"/>
  <c r="NP157" i="1"/>
  <c r="NK157" i="1"/>
  <c r="NF157" i="1"/>
  <c r="NA157" i="1"/>
  <c r="MV157" i="1"/>
  <c r="MQ157" i="1"/>
  <c r="MM157" i="1"/>
  <c r="MI157" i="1"/>
  <c r="MD157" i="1"/>
  <c r="LY157" i="1"/>
  <c r="LT157" i="1"/>
  <c r="LO157" i="1"/>
  <c r="LJ157" i="1"/>
  <c r="LE157" i="1"/>
  <c r="KZ157" i="1"/>
  <c r="KV157" i="1"/>
  <c r="KQ157" i="1"/>
  <c r="KM157" i="1"/>
  <c r="KI157" i="1"/>
  <c r="KE157" i="1"/>
  <c r="KA157" i="1"/>
  <c r="JV157" i="1"/>
  <c r="JQ157" i="1"/>
  <c r="JM157" i="1"/>
  <c r="JI157" i="1"/>
  <c r="JD157" i="1"/>
  <c r="IY157" i="1"/>
  <c r="IT157" i="1"/>
  <c r="IO157" i="1"/>
  <c r="IJ157" i="1"/>
  <c r="IE157" i="1"/>
  <c r="HZ157" i="1"/>
  <c r="HU157" i="1"/>
  <c r="HP157" i="1"/>
  <c r="HI157" i="1"/>
  <c r="HJ157" i="1" s="1"/>
  <c r="HK157" i="1" s="1"/>
  <c r="HD157" i="1"/>
  <c r="HE157" i="1" s="1"/>
  <c r="HF157" i="1" s="1"/>
  <c r="GY157" i="1"/>
  <c r="GZ157" i="1" s="1"/>
  <c r="HA157" i="1" s="1"/>
  <c r="GT157" i="1"/>
  <c r="GU157" i="1" s="1"/>
  <c r="GV157" i="1" s="1"/>
  <c r="GO157" i="1"/>
  <c r="GP157" i="1" s="1"/>
  <c r="GQ157" i="1" s="1"/>
  <c r="GJ157" i="1"/>
  <c r="GK157" i="1" s="1"/>
  <c r="GL157" i="1" s="1"/>
  <c r="GE157" i="1"/>
  <c r="GF157" i="1" s="1"/>
  <c r="GG157" i="1" s="1"/>
  <c r="FZ157" i="1"/>
  <c r="GA157" i="1" s="1"/>
  <c r="GB157" i="1" s="1"/>
  <c r="FU157" i="1"/>
  <c r="FV157" i="1" s="1"/>
  <c r="FW157" i="1" s="1"/>
  <c r="FP157" i="1"/>
  <c r="FQ157" i="1" s="1"/>
  <c r="FR157" i="1" s="1"/>
  <c r="FK157" i="1"/>
  <c r="FL157" i="1" s="1"/>
  <c r="FM157" i="1" s="1"/>
  <c r="FF157" i="1"/>
  <c r="FG157" i="1" s="1"/>
  <c r="FH157" i="1" s="1"/>
  <c r="FA157" i="1"/>
  <c r="FB157" i="1" s="1"/>
  <c r="FC157" i="1" s="1"/>
  <c r="EV157" i="1"/>
  <c r="EW157" i="1" s="1"/>
  <c r="EX157" i="1" s="1"/>
  <c r="EQ157" i="1"/>
  <c r="ER157" i="1" s="1"/>
  <c r="ES157" i="1" s="1"/>
  <c r="EL157" i="1"/>
  <c r="EM157" i="1" s="1"/>
  <c r="EN157" i="1" s="1"/>
  <c r="EE157" i="1"/>
  <c r="EF157" i="1" s="1"/>
  <c r="EG157" i="1" s="1"/>
  <c r="DZ157" i="1"/>
  <c r="EA157" i="1" s="1"/>
  <c r="EB157" i="1" s="1"/>
  <c r="DU157" i="1"/>
  <c r="DV157" i="1" s="1"/>
  <c r="DW157" i="1" s="1"/>
  <c r="DP157" i="1"/>
  <c r="DQ157" i="1" s="1"/>
  <c r="DR157" i="1" s="1"/>
  <c r="DK157" i="1"/>
  <c r="DL157" i="1" s="1"/>
  <c r="DM157" i="1" s="1"/>
  <c r="DF157" i="1"/>
  <c r="DG157" i="1" s="1"/>
  <c r="DH157" i="1" s="1"/>
  <c r="DA157" i="1"/>
  <c r="DB157" i="1" s="1"/>
  <c r="DC157" i="1" s="1"/>
  <c r="CV157" i="1"/>
  <c r="CW157" i="1" s="1"/>
  <c r="CX157" i="1" s="1"/>
  <c r="CQ157" i="1"/>
  <c r="CR157" i="1" s="1"/>
  <c r="CS157" i="1" s="1"/>
  <c r="CL157" i="1"/>
  <c r="CM157" i="1" s="1"/>
  <c r="CN157" i="1" s="1"/>
  <c r="CI157" i="1"/>
  <c r="CA157" i="1"/>
  <c r="CB157" i="1" s="1"/>
  <c r="CC157" i="1" s="1"/>
  <c r="BV157" i="1"/>
  <c r="BW157" i="1" s="1"/>
  <c r="BX157" i="1" s="1"/>
  <c r="BQ157" i="1"/>
  <c r="BR157" i="1" s="1"/>
  <c r="BS157" i="1" s="1"/>
  <c r="BL157" i="1"/>
  <c r="BM157" i="1" s="1"/>
  <c r="BN157" i="1" s="1"/>
  <c r="BG157" i="1"/>
  <c r="BH157" i="1" s="1"/>
  <c r="BI157" i="1" s="1"/>
  <c r="BB157" i="1"/>
  <c r="BC157" i="1" s="1"/>
  <c r="BD157" i="1" s="1"/>
  <c r="AW157" i="1"/>
  <c r="AX157" i="1" s="1"/>
  <c r="AY157" i="1" s="1"/>
  <c r="AR157" i="1"/>
  <c r="AS157" i="1" s="1"/>
  <c r="AT157" i="1" s="1"/>
  <c r="AM157" i="1"/>
  <c r="AN157" i="1" s="1"/>
  <c r="AO157" i="1" s="1"/>
  <c r="AH157" i="1"/>
  <c r="AI157" i="1" s="1"/>
  <c r="AJ157" i="1" s="1"/>
  <c r="AE157" i="1"/>
  <c r="Y157" i="1"/>
  <c r="Q157" i="1"/>
  <c r="R157" i="1" s="1"/>
  <c r="S157" i="1" s="1"/>
  <c r="N157" i="1"/>
  <c r="I157" i="1"/>
  <c r="NZ156" i="1"/>
  <c r="NU156" i="1"/>
  <c r="NP156" i="1"/>
  <c r="NK156" i="1"/>
  <c r="NF156" i="1"/>
  <c r="NA156" i="1"/>
  <c r="MV156" i="1"/>
  <c r="MQ156" i="1"/>
  <c r="MM156" i="1"/>
  <c r="MI156" i="1"/>
  <c r="MD156" i="1"/>
  <c r="LY156" i="1"/>
  <c r="LT156" i="1"/>
  <c r="LO156" i="1"/>
  <c r="LJ156" i="1"/>
  <c r="LE156" i="1"/>
  <c r="KZ156" i="1"/>
  <c r="KV156" i="1"/>
  <c r="KO156" i="1"/>
  <c r="KP156" i="1" s="1"/>
  <c r="KQ156" i="1" s="1"/>
  <c r="KM156" i="1"/>
  <c r="KG156" i="1"/>
  <c r="KH156" i="1" s="1"/>
  <c r="KI156" i="1" s="1"/>
  <c r="KE156" i="1"/>
  <c r="KA156" i="1"/>
  <c r="JV156" i="1"/>
  <c r="JQ156" i="1"/>
  <c r="JM156" i="1"/>
  <c r="JI156" i="1"/>
  <c r="JD156" i="1"/>
  <c r="IW156" i="1"/>
  <c r="IX156" i="1" s="1"/>
  <c r="IY156" i="1" s="1"/>
  <c r="IT156" i="1"/>
  <c r="IO156" i="1"/>
  <c r="IJ156" i="1"/>
  <c r="IE156" i="1"/>
  <c r="HZ156" i="1"/>
  <c r="HU156" i="1"/>
  <c r="HP156" i="1"/>
  <c r="HI156" i="1"/>
  <c r="HJ156" i="1" s="1"/>
  <c r="HK156" i="1" s="1"/>
  <c r="HD156" i="1"/>
  <c r="HE156" i="1" s="1"/>
  <c r="HF156" i="1" s="1"/>
  <c r="GY156" i="1"/>
  <c r="GZ156" i="1" s="1"/>
  <c r="HA156" i="1" s="1"/>
  <c r="GT156" i="1"/>
  <c r="GU156" i="1" s="1"/>
  <c r="GV156" i="1" s="1"/>
  <c r="GO156" i="1"/>
  <c r="GP156" i="1" s="1"/>
  <c r="GQ156" i="1" s="1"/>
  <c r="GJ156" i="1"/>
  <c r="GK156" i="1" s="1"/>
  <c r="GL156" i="1" s="1"/>
  <c r="GE156" i="1"/>
  <c r="GF156" i="1" s="1"/>
  <c r="GG156" i="1" s="1"/>
  <c r="FZ156" i="1"/>
  <c r="GA156" i="1" s="1"/>
  <c r="GB156" i="1" s="1"/>
  <c r="FU156" i="1"/>
  <c r="FV156" i="1" s="1"/>
  <c r="FW156" i="1" s="1"/>
  <c r="FP156" i="1"/>
  <c r="FQ156" i="1" s="1"/>
  <c r="FR156" i="1" s="1"/>
  <c r="FK156" i="1"/>
  <c r="FL156" i="1" s="1"/>
  <c r="FM156" i="1" s="1"/>
  <c r="FF156" i="1"/>
  <c r="FG156" i="1" s="1"/>
  <c r="FH156" i="1" s="1"/>
  <c r="FA156" i="1"/>
  <c r="FB156" i="1" s="1"/>
  <c r="FC156" i="1" s="1"/>
  <c r="EV156" i="1"/>
  <c r="EW156" i="1" s="1"/>
  <c r="EX156" i="1" s="1"/>
  <c r="EQ156" i="1"/>
  <c r="ER156" i="1" s="1"/>
  <c r="ES156" i="1" s="1"/>
  <c r="EL156" i="1"/>
  <c r="EM156" i="1" s="1"/>
  <c r="EN156" i="1" s="1"/>
  <c r="EF156" i="1"/>
  <c r="EG156" i="1" s="1"/>
  <c r="EE156" i="1"/>
  <c r="DZ156" i="1"/>
  <c r="EA156" i="1" s="1"/>
  <c r="EB156" i="1" s="1"/>
  <c r="DU156" i="1"/>
  <c r="DV156" i="1" s="1"/>
  <c r="DW156" i="1" s="1"/>
  <c r="DP156" i="1"/>
  <c r="DQ156" i="1" s="1"/>
  <c r="DR156" i="1" s="1"/>
  <c r="DK156" i="1"/>
  <c r="DL156" i="1" s="1"/>
  <c r="DM156" i="1" s="1"/>
  <c r="DF156" i="1"/>
  <c r="DG156" i="1" s="1"/>
  <c r="DH156" i="1" s="1"/>
  <c r="DA156" i="1"/>
  <c r="DB156" i="1" s="1"/>
  <c r="DC156" i="1" s="1"/>
  <c r="CV156" i="1"/>
  <c r="CW156" i="1" s="1"/>
  <c r="CX156" i="1" s="1"/>
  <c r="CQ156" i="1"/>
  <c r="CR156" i="1" s="1"/>
  <c r="CS156" i="1" s="1"/>
  <c r="CL156" i="1"/>
  <c r="CM156" i="1" s="1"/>
  <c r="CN156" i="1" s="1"/>
  <c r="CG156" i="1"/>
  <c r="CH156" i="1" s="1"/>
  <c r="CI156" i="1" s="1"/>
  <c r="CA156" i="1"/>
  <c r="CB156" i="1" s="1"/>
  <c r="CC156" i="1" s="1"/>
  <c r="BV156" i="1"/>
  <c r="BW156" i="1" s="1"/>
  <c r="BX156" i="1" s="1"/>
  <c r="BQ156" i="1"/>
  <c r="BR156" i="1" s="1"/>
  <c r="BS156" i="1" s="1"/>
  <c r="BL156" i="1"/>
  <c r="BM156" i="1" s="1"/>
  <c r="BN156" i="1" s="1"/>
  <c r="BG156" i="1"/>
  <c r="BH156" i="1" s="1"/>
  <c r="BI156" i="1" s="1"/>
  <c r="BB156" i="1"/>
  <c r="BC156" i="1" s="1"/>
  <c r="BD156" i="1" s="1"/>
  <c r="AW156" i="1"/>
  <c r="AX156" i="1" s="1"/>
  <c r="AY156" i="1" s="1"/>
  <c r="AR156" i="1"/>
  <c r="AS156" i="1" s="1"/>
  <c r="AT156" i="1" s="1"/>
  <c r="AM156" i="1"/>
  <c r="AN156" i="1" s="1"/>
  <c r="AO156" i="1" s="1"/>
  <c r="AH156" i="1"/>
  <c r="AI156" i="1" s="1"/>
  <c r="AJ156" i="1" s="1"/>
  <c r="AC156" i="1"/>
  <c r="AD156" i="1" s="1"/>
  <c r="AE156" i="1" s="1"/>
  <c r="W156" i="1"/>
  <c r="X156" i="1" s="1"/>
  <c r="Y156" i="1" s="1"/>
  <c r="S156" i="1"/>
  <c r="N156" i="1"/>
  <c r="I156" i="1"/>
  <c r="NZ155" i="1"/>
  <c r="NU155" i="1"/>
  <c r="NP155" i="1"/>
  <c r="NK155" i="1"/>
  <c r="NF155" i="1"/>
  <c r="NA155" i="1"/>
  <c r="MV155" i="1"/>
  <c r="MQ155" i="1"/>
  <c r="MM155" i="1"/>
  <c r="MI155" i="1"/>
  <c r="MD155" i="1"/>
  <c r="LY155" i="1"/>
  <c r="LT155" i="1"/>
  <c r="LO155" i="1"/>
  <c r="LJ155" i="1"/>
  <c r="LE155" i="1"/>
  <c r="KZ155" i="1"/>
  <c r="KV155" i="1"/>
  <c r="KQ155" i="1"/>
  <c r="KM155" i="1"/>
  <c r="KI155" i="1"/>
  <c r="KE155" i="1"/>
  <c r="KA155" i="1"/>
  <c r="JV155" i="1"/>
  <c r="JQ155" i="1"/>
  <c r="JM155" i="1"/>
  <c r="JI155" i="1"/>
  <c r="JB155" i="1"/>
  <c r="JC155" i="1" s="1"/>
  <c r="JD155" i="1" s="1"/>
  <c r="IW155" i="1"/>
  <c r="IX155" i="1" s="1"/>
  <c r="IY155" i="1" s="1"/>
  <c r="IR155" i="1"/>
  <c r="IS155" i="1" s="1"/>
  <c r="IT155" i="1" s="1"/>
  <c r="IM155" i="1"/>
  <c r="IN155" i="1" s="1"/>
  <c r="IO155" i="1" s="1"/>
  <c r="IH155" i="1"/>
  <c r="II155" i="1" s="1"/>
  <c r="IJ155" i="1" s="1"/>
  <c r="IC155" i="1"/>
  <c r="ID155" i="1" s="1"/>
  <c r="IE155" i="1" s="1"/>
  <c r="HX155" i="1"/>
  <c r="HY155" i="1" s="1"/>
  <c r="HZ155" i="1" s="1"/>
  <c r="HS155" i="1"/>
  <c r="HT155" i="1" s="1"/>
  <c r="HU155" i="1" s="1"/>
  <c r="HN155" i="1"/>
  <c r="HO155" i="1" s="1"/>
  <c r="HP155" i="1" s="1"/>
  <c r="HI155" i="1"/>
  <c r="HJ155" i="1" s="1"/>
  <c r="HK155" i="1" s="1"/>
  <c r="HD155" i="1"/>
  <c r="HE155" i="1" s="1"/>
  <c r="HF155" i="1" s="1"/>
  <c r="GY155" i="1"/>
  <c r="GZ155" i="1" s="1"/>
  <c r="HA155" i="1" s="1"/>
  <c r="GT155" i="1"/>
  <c r="GU155" i="1" s="1"/>
  <c r="GV155" i="1" s="1"/>
  <c r="GO155" i="1"/>
  <c r="GP155" i="1" s="1"/>
  <c r="GQ155" i="1" s="1"/>
  <c r="GJ155" i="1"/>
  <c r="GK155" i="1" s="1"/>
  <c r="GL155" i="1" s="1"/>
  <c r="GE155" i="1"/>
  <c r="GF155" i="1" s="1"/>
  <c r="GG155" i="1" s="1"/>
  <c r="FZ155" i="1"/>
  <c r="GA155" i="1" s="1"/>
  <c r="GB155" i="1" s="1"/>
  <c r="FU155" i="1"/>
  <c r="FV155" i="1" s="1"/>
  <c r="FW155" i="1" s="1"/>
  <c r="FP155" i="1"/>
  <c r="FQ155" i="1" s="1"/>
  <c r="FR155" i="1" s="1"/>
  <c r="FK155" i="1"/>
  <c r="FL155" i="1" s="1"/>
  <c r="FM155" i="1" s="1"/>
  <c r="FF155" i="1"/>
  <c r="FG155" i="1" s="1"/>
  <c r="FH155" i="1" s="1"/>
  <c r="FA155" i="1"/>
  <c r="FB155" i="1" s="1"/>
  <c r="FC155" i="1" s="1"/>
  <c r="EV155" i="1"/>
  <c r="EW155" i="1" s="1"/>
  <c r="EX155" i="1" s="1"/>
  <c r="EQ155" i="1"/>
  <c r="ER155" i="1" s="1"/>
  <c r="ES155" i="1" s="1"/>
  <c r="EL155" i="1"/>
  <c r="EM155" i="1" s="1"/>
  <c r="EN155" i="1" s="1"/>
  <c r="EE155" i="1"/>
  <c r="EF155" i="1" s="1"/>
  <c r="EG155" i="1" s="1"/>
  <c r="DZ155" i="1"/>
  <c r="EA155" i="1" s="1"/>
  <c r="EB155" i="1" s="1"/>
  <c r="DU155" i="1"/>
  <c r="DV155" i="1" s="1"/>
  <c r="DW155" i="1" s="1"/>
  <c r="DP155" i="1"/>
  <c r="DQ155" i="1" s="1"/>
  <c r="DR155" i="1" s="1"/>
  <c r="DK155" i="1"/>
  <c r="DL155" i="1" s="1"/>
  <c r="DM155" i="1" s="1"/>
  <c r="DF155" i="1"/>
  <c r="DG155" i="1" s="1"/>
  <c r="DH155" i="1" s="1"/>
  <c r="DA155" i="1"/>
  <c r="DB155" i="1" s="1"/>
  <c r="DC155" i="1" s="1"/>
  <c r="CV155" i="1"/>
  <c r="CW155" i="1" s="1"/>
  <c r="CX155" i="1" s="1"/>
  <c r="CQ155" i="1"/>
  <c r="CR155" i="1" s="1"/>
  <c r="CS155" i="1" s="1"/>
  <c r="CL155" i="1"/>
  <c r="CM155" i="1" s="1"/>
  <c r="CN155" i="1" s="1"/>
  <c r="CG155" i="1"/>
  <c r="CH155" i="1" s="1"/>
  <c r="CI155" i="1" s="1"/>
  <c r="CA155" i="1"/>
  <c r="CB155" i="1" s="1"/>
  <c r="CC155" i="1" s="1"/>
  <c r="BV155" i="1"/>
  <c r="BW155" i="1" s="1"/>
  <c r="BX155" i="1" s="1"/>
  <c r="BQ155" i="1"/>
  <c r="BR155" i="1" s="1"/>
  <c r="BS155" i="1" s="1"/>
  <c r="BL155" i="1"/>
  <c r="BM155" i="1" s="1"/>
  <c r="BN155" i="1" s="1"/>
  <c r="BG155" i="1"/>
  <c r="BH155" i="1" s="1"/>
  <c r="BI155" i="1" s="1"/>
  <c r="BB155" i="1"/>
  <c r="BC155" i="1" s="1"/>
  <c r="BD155" i="1" s="1"/>
  <c r="AW155" i="1"/>
  <c r="AX155" i="1" s="1"/>
  <c r="AY155" i="1" s="1"/>
  <c r="AR155" i="1"/>
  <c r="AS155" i="1" s="1"/>
  <c r="AT155" i="1" s="1"/>
  <c r="AM155" i="1"/>
  <c r="AN155" i="1" s="1"/>
  <c r="AO155" i="1" s="1"/>
  <c r="AH155" i="1"/>
  <c r="AI155" i="1" s="1"/>
  <c r="AJ155" i="1" s="1"/>
  <c r="AC155" i="1"/>
  <c r="AD155" i="1" s="1"/>
  <c r="AE155" i="1" s="1"/>
  <c r="W155" i="1"/>
  <c r="X155" i="1" s="1"/>
  <c r="Y155" i="1" s="1"/>
  <c r="S155" i="1"/>
  <c r="N155" i="1"/>
  <c r="I155" i="1"/>
  <c r="NZ154" i="1"/>
  <c r="NS154" i="1"/>
  <c r="NT154" i="1" s="1"/>
  <c r="NU154" i="1" s="1"/>
  <c r="NP154" i="1"/>
  <c r="NK154" i="1"/>
  <c r="NF154" i="1"/>
  <c r="NA154" i="1"/>
  <c r="MV154" i="1"/>
  <c r="MQ154" i="1"/>
  <c r="MM154" i="1"/>
  <c r="MI154" i="1"/>
  <c r="MD154" i="1"/>
  <c r="LY154" i="1"/>
  <c r="LT154" i="1"/>
  <c r="LO154" i="1"/>
  <c r="LJ154" i="1"/>
  <c r="LE154" i="1"/>
  <c r="KZ154" i="1"/>
  <c r="KV154" i="1"/>
  <c r="KO154" i="1"/>
  <c r="KP154" i="1" s="1"/>
  <c r="KQ154" i="1" s="1"/>
  <c r="KM154" i="1"/>
  <c r="KI154" i="1"/>
  <c r="KE154" i="1"/>
  <c r="KA154" i="1"/>
  <c r="JV154" i="1"/>
  <c r="JQ154" i="1"/>
  <c r="JM154" i="1"/>
  <c r="JI154" i="1"/>
  <c r="JD154" i="1"/>
  <c r="IY154" i="1"/>
  <c r="IT154" i="1"/>
  <c r="IO154" i="1"/>
  <c r="IJ154" i="1"/>
  <c r="IE154" i="1"/>
  <c r="HZ154" i="1"/>
  <c r="HU154" i="1"/>
  <c r="HP154" i="1"/>
  <c r="HI154" i="1"/>
  <c r="HJ154" i="1" s="1"/>
  <c r="HK154" i="1" s="1"/>
  <c r="HD154" i="1"/>
  <c r="HE154" i="1" s="1"/>
  <c r="HF154" i="1" s="1"/>
  <c r="GY154" i="1"/>
  <c r="GZ154" i="1" s="1"/>
  <c r="HA154" i="1" s="1"/>
  <c r="GT154" i="1"/>
  <c r="GU154" i="1" s="1"/>
  <c r="GV154" i="1" s="1"/>
  <c r="GO154" i="1"/>
  <c r="GP154" i="1" s="1"/>
  <c r="GQ154" i="1" s="1"/>
  <c r="GJ154" i="1"/>
  <c r="GK154" i="1" s="1"/>
  <c r="GL154" i="1" s="1"/>
  <c r="GE154" i="1"/>
  <c r="GF154" i="1" s="1"/>
  <c r="GG154" i="1" s="1"/>
  <c r="FZ154" i="1"/>
  <c r="GA154" i="1" s="1"/>
  <c r="GB154" i="1" s="1"/>
  <c r="FU154" i="1"/>
  <c r="FV154" i="1" s="1"/>
  <c r="FW154" i="1" s="1"/>
  <c r="FP154" i="1"/>
  <c r="FQ154" i="1" s="1"/>
  <c r="FR154" i="1" s="1"/>
  <c r="FK154" i="1"/>
  <c r="FL154" i="1" s="1"/>
  <c r="FM154" i="1" s="1"/>
  <c r="FF154" i="1"/>
  <c r="FG154" i="1" s="1"/>
  <c r="FH154" i="1" s="1"/>
  <c r="FA154" i="1"/>
  <c r="FB154" i="1" s="1"/>
  <c r="FC154" i="1" s="1"/>
  <c r="EV154" i="1"/>
  <c r="EW154" i="1" s="1"/>
  <c r="EX154" i="1" s="1"/>
  <c r="EQ154" i="1"/>
  <c r="ER154" i="1" s="1"/>
  <c r="ES154" i="1" s="1"/>
  <c r="EL154" i="1"/>
  <c r="EM154" i="1" s="1"/>
  <c r="EN154" i="1" s="1"/>
  <c r="EE154" i="1"/>
  <c r="EF154" i="1" s="1"/>
  <c r="EG154" i="1" s="1"/>
  <c r="DZ154" i="1"/>
  <c r="EA154" i="1" s="1"/>
  <c r="EB154" i="1" s="1"/>
  <c r="DU154" i="1"/>
  <c r="DV154" i="1" s="1"/>
  <c r="DW154" i="1" s="1"/>
  <c r="DP154" i="1"/>
  <c r="DQ154" i="1" s="1"/>
  <c r="DR154" i="1" s="1"/>
  <c r="DK154" i="1"/>
  <c r="DL154" i="1" s="1"/>
  <c r="DM154" i="1" s="1"/>
  <c r="DF154" i="1"/>
  <c r="DG154" i="1" s="1"/>
  <c r="DH154" i="1" s="1"/>
  <c r="DA154" i="1"/>
  <c r="DB154" i="1" s="1"/>
  <c r="DC154" i="1" s="1"/>
  <c r="CV154" i="1"/>
  <c r="CW154" i="1" s="1"/>
  <c r="CX154" i="1" s="1"/>
  <c r="CQ154" i="1"/>
  <c r="CR154" i="1" s="1"/>
  <c r="CS154" i="1" s="1"/>
  <c r="CL154" i="1"/>
  <c r="CM154" i="1" s="1"/>
  <c r="CN154" i="1" s="1"/>
  <c r="CG154" i="1"/>
  <c r="CH154" i="1" s="1"/>
  <c r="CI154" i="1" s="1"/>
  <c r="CA154" i="1"/>
  <c r="CB154" i="1" s="1"/>
  <c r="CC154" i="1" s="1"/>
  <c r="BV154" i="1"/>
  <c r="BW154" i="1" s="1"/>
  <c r="BX154" i="1" s="1"/>
  <c r="BQ154" i="1"/>
  <c r="BR154" i="1" s="1"/>
  <c r="BS154" i="1" s="1"/>
  <c r="BL154" i="1"/>
  <c r="BM154" i="1" s="1"/>
  <c r="BN154" i="1" s="1"/>
  <c r="BG154" i="1"/>
  <c r="BH154" i="1" s="1"/>
  <c r="BI154" i="1" s="1"/>
  <c r="BB154" i="1"/>
  <c r="BC154" i="1" s="1"/>
  <c r="BD154" i="1" s="1"/>
  <c r="AW154" i="1"/>
  <c r="AX154" i="1" s="1"/>
  <c r="AY154" i="1" s="1"/>
  <c r="AR154" i="1"/>
  <c r="AS154" i="1" s="1"/>
  <c r="AT154" i="1" s="1"/>
  <c r="AM154" i="1"/>
  <c r="AN154" i="1" s="1"/>
  <c r="AO154" i="1" s="1"/>
  <c r="AH154" i="1"/>
  <c r="AI154" i="1" s="1"/>
  <c r="AJ154" i="1" s="1"/>
  <c r="AE154" i="1"/>
  <c r="W154" i="1"/>
  <c r="X154" i="1" s="1"/>
  <c r="Y154" i="1" s="1"/>
  <c r="Q154" i="1"/>
  <c r="R154" i="1" s="1"/>
  <c r="S154" i="1" s="1"/>
  <c r="N154" i="1"/>
  <c r="I154" i="1"/>
  <c r="NZ153" i="1"/>
  <c r="NU153" i="1"/>
  <c r="NP153" i="1"/>
  <c r="NK153" i="1"/>
  <c r="NF153" i="1"/>
  <c r="NA153" i="1"/>
  <c r="MV153" i="1"/>
  <c r="MO153" i="1"/>
  <c r="MP153" i="1" s="1"/>
  <c r="MQ153" i="1" s="1"/>
  <c r="MK153" i="1"/>
  <c r="ML153" i="1" s="1"/>
  <c r="MM153" i="1" s="1"/>
  <c r="MI153" i="1"/>
  <c r="MD153" i="1"/>
  <c r="LY153" i="1"/>
  <c r="LT153" i="1"/>
  <c r="LO153" i="1"/>
  <c r="LJ153" i="1"/>
  <c r="LC153" i="1"/>
  <c r="LD153" i="1" s="1"/>
  <c r="LE153" i="1" s="1"/>
  <c r="KX153" i="1"/>
  <c r="KY153" i="1" s="1"/>
  <c r="KZ153" i="1" s="1"/>
  <c r="KV153" i="1"/>
  <c r="KQ153" i="1"/>
  <c r="KM153" i="1"/>
  <c r="KG153" i="1"/>
  <c r="KH153" i="1" s="1"/>
  <c r="KI153" i="1" s="1"/>
  <c r="KE153" i="1"/>
  <c r="KA153" i="1"/>
  <c r="JV153" i="1"/>
  <c r="JQ153" i="1"/>
  <c r="JM153" i="1"/>
  <c r="JI153" i="1"/>
  <c r="JB153" i="1"/>
  <c r="JC153" i="1" s="1"/>
  <c r="JD153" i="1" s="1"/>
  <c r="IW153" i="1"/>
  <c r="IX153" i="1" s="1"/>
  <c r="IY153" i="1" s="1"/>
  <c r="IR153" i="1"/>
  <c r="IS153" i="1" s="1"/>
  <c r="IT153" i="1" s="1"/>
  <c r="IM153" i="1"/>
  <c r="IN153" i="1" s="1"/>
  <c r="IO153" i="1" s="1"/>
  <c r="IH153" i="1"/>
  <c r="II153" i="1" s="1"/>
  <c r="IJ153" i="1" s="1"/>
  <c r="IC153" i="1"/>
  <c r="ID153" i="1" s="1"/>
  <c r="IE153" i="1" s="1"/>
  <c r="HY153" i="1"/>
  <c r="HZ153" i="1" s="1"/>
  <c r="HX153" i="1"/>
  <c r="HU153" i="1"/>
  <c r="HP153" i="1"/>
  <c r="HI153" i="1"/>
  <c r="HJ153" i="1" s="1"/>
  <c r="HK153" i="1" s="1"/>
  <c r="HD153" i="1"/>
  <c r="HE153" i="1" s="1"/>
  <c r="HF153" i="1" s="1"/>
  <c r="GY153" i="1"/>
  <c r="GZ153" i="1" s="1"/>
  <c r="HA153" i="1" s="1"/>
  <c r="GT153" i="1"/>
  <c r="GU153" i="1" s="1"/>
  <c r="GV153" i="1" s="1"/>
  <c r="GO153" i="1"/>
  <c r="GP153" i="1" s="1"/>
  <c r="GQ153" i="1" s="1"/>
  <c r="GJ153" i="1"/>
  <c r="GK153" i="1" s="1"/>
  <c r="GL153" i="1" s="1"/>
  <c r="GE153" i="1"/>
  <c r="GF153" i="1" s="1"/>
  <c r="GG153" i="1" s="1"/>
  <c r="FZ153" i="1"/>
  <c r="GA153" i="1" s="1"/>
  <c r="GB153" i="1" s="1"/>
  <c r="FU153" i="1"/>
  <c r="FV153" i="1" s="1"/>
  <c r="FW153" i="1" s="1"/>
  <c r="FP153" i="1"/>
  <c r="FQ153" i="1" s="1"/>
  <c r="FR153" i="1" s="1"/>
  <c r="FK153" i="1"/>
  <c r="FL153" i="1" s="1"/>
  <c r="FM153" i="1" s="1"/>
  <c r="FF153" i="1"/>
  <c r="FG153" i="1" s="1"/>
  <c r="FH153" i="1" s="1"/>
  <c r="FA153" i="1"/>
  <c r="FB153" i="1" s="1"/>
  <c r="FC153" i="1" s="1"/>
  <c r="EV153" i="1"/>
  <c r="EW153" i="1" s="1"/>
  <c r="EX153" i="1" s="1"/>
  <c r="EQ153" i="1"/>
  <c r="ER153" i="1" s="1"/>
  <c r="ES153" i="1" s="1"/>
  <c r="EL153" i="1"/>
  <c r="EM153" i="1" s="1"/>
  <c r="EN153" i="1" s="1"/>
  <c r="EE153" i="1"/>
  <c r="EF153" i="1" s="1"/>
  <c r="EG153" i="1" s="1"/>
  <c r="DZ153" i="1"/>
  <c r="EA153" i="1" s="1"/>
  <c r="EB153" i="1" s="1"/>
  <c r="DU153" i="1"/>
  <c r="DV153" i="1" s="1"/>
  <c r="DW153" i="1" s="1"/>
  <c r="DP153" i="1"/>
  <c r="DQ153" i="1" s="1"/>
  <c r="DR153" i="1" s="1"/>
  <c r="DK153" i="1"/>
  <c r="DL153" i="1" s="1"/>
  <c r="DM153" i="1" s="1"/>
  <c r="DF153" i="1"/>
  <c r="DG153" i="1" s="1"/>
  <c r="DH153" i="1" s="1"/>
  <c r="DA153" i="1"/>
  <c r="DB153" i="1" s="1"/>
  <c r="DC153" i="1" s="1"/>
  <c r="CV153" i="1"/>
  <c r="CW153" i="1" s="1"/>
  <c r="CX153" i="1" s="1"/>
  <c r="CQ153" i="1"/>
  <c r="CR153" i="1" s="1"/>
  <c r="CS153" i="1" s="1"/>
  <c r="CL153" i="1"/>
  <c r="CM153" i="1" s="1"/>
  <c r="CN153" i="1" s="1"/>
  <c r="CG153" i="1"/>
  <c r="CH153" i="1" s="1"/>
  <c r="CI153" i="1" s="1"/>
  <c r="CA153" i="1"/>
  <c r="CB153" i="1" s="1"/>
  <c r="CC153" i="1" s="1"/>
  <c r="BV153" i="1"/>
  <c r="BW153" i="1" s="1"/>
  <c r="BX153" i="1" s="1"/>
  <c r="BQ153" i="1"/>
  <c r="BR153" i="1" s="1"/>
  <c r="BS153" i="1" s="1"/>
  <c r="BL153" i="1"/>
  <c r="BM153" i="1" s="1"/>
  <c r="BN153" i="1" s="1"/>
  <c r="BG153" i="1"/>
  <c r="BH153" i="1" s="1"/>
  <c r="BI153" i="1" s="1"/>
  <c r="BB153" i="1"/>
  <c r="BC153" i="1" s="1"/>
  <c r="BD153" i="1" s="1"/>
  <c r="AW153" i="1"/>
  <c r="AX153" i="1" s="1"/>
  <c r="AY153" i="1" s="1"/>
  <c r="AR153" i="1"/>
  <c r="AS153" i="1" s="1"/>
  <c r="AT153" i="1" s="1"/>
  <c r="AM153" i="1"/>
  <c r="AN153" i="1" s="1"/>
  <c r="AO153" i="1" s="1"/>
  <c r="AH153" i="1"/>
  <c r="AI153" i="1" s="1"/>
  <c r="AJ153" i="1" s="1"/>
  <c r="AC153" i="1"/>
  <c r="AD153" i="1" s="1"/>
  <c r="AE153" i="1" s="1"/>
  <c r="W153" i="1"/>
  <c r="X153" i="1" s="1"/>
  <c r="Y153" i="1" s="1"/>
  <c r="S153" i="1"/>
  <c r="N153" i="1"/>
  <c r="I153" i="1"/>
  <c r="NZ152" i="1"/>
  <c r="NU152" i="1"/>
  <c r="NP152" i="1"/>
  <c r="NK152" i="1"/>
  <c r="NF152" i="1"/>
  <c r="NA152" i="1"/>
  <c r="MV152" i="1"/>
  <c r="MQ152" i="1"/>
  <c r="MM152" i="1"/>
  <c r="MI152" i="1"/>
  <c r="MD152" i="1"/>
  <c r="LY152" i="1"/>
  <c r="LT152" i="1"/>
  <c r="LO152" i="1"/>
  <c r="LJ152" i="1"/>
  <c r="LE152" i="1"/>
  <c r="KZ152" i="1"/>
  <c r="KV152" i="1"/>
  <c r="KQ152" i="1"/>
  <c r="KM152" i="1"/>
  <c r="KI152" i="1"/>
  <c r="KE152" i="1"/>
  <c r="KA152" i="1"/>
  <c r="JV152" i="1"/>
  <c r="JQ152" i="1"/>
  <c r="JM152" i="1"/>
  <c r="JI152" i="1"/>
  <c r="JD152" i="1"/>
  <c r="IY152" i="1"/>
  <c r="IT152" i="1"/>
  <c r="IO152" i="1"/>
  <c r="IJ152" i="1"/>
  <c r="IE152" i="1"/>
  <c r="HZ152" i="1"/>
  <c r="HU152" i="1"/>
  <c r="HP152" i="1"/>
  <c r="HK152" i="1"/>
  <c r="HD152" i="1"/>
  <c r="HE152" i="1" s="1"/>
  <c r="HF152" i="1" s="1"/>
  <c r="GY152" i="1"/>
  <c r="GZ152" i="1" s="1"/>
  <c r="HA152" i="1" s="1"/>
  <c r="GT152" i="1"/>
  <c r="GU152" i="1" s="1"/>
  <c r="GV152" i="1" s="1"/>
  <c r="GO152" i="1"/>
  <c r="GP152" i="1" s="1"/>
  <c r="GQ152" i="1" s="1"/>
  <c r="GJ152" i="1"/>
  <c r="GK152" i="1" s="1"/>
  <c r="GL152" i="1" s="1"/>
  <c r="GE152" i="1"/>
  <c r="GF152" i="1" s="1"/>
  <c r="GG152" i="1" s="1"/>
  <c r="FZ152" i="1"/>
  <c r="GA152" i="1" s="1"/>
  <c r="GB152" i="1" s="1"/>
  <c r="FU152" i="1"/>
  <c r="FV152" i="1" s="1"/>
  <c r="FW152" i="1" s="1"/>
  <c r="FP152" i="1"/>
  <c r="FQ152" i="1" s="1"/>
  <c r="FR152" i="1" s="1"/>
  <c r="FK152" i="1"/>
  <c r="FL152" i="1" s="1"/>
  <c r="FM152" i="1" s="1"/>
  <c r="FF152" i="1"/>
  <c r="FG152" i="1" s="1"/>
  <c r="FH152" i="1" s="1"/>
  <c r="FA152" i="1"/>
  <c r="FB152" i="1" s="1"/>
  <c r="FC152" i="1" s="1"/>
  <c r="EV152" i="1"/>
  <c r="EW152" i="1" s="1"/>
  <c r="EX152" i="1" s="1"/>
  <c r="EQ152" i="1"/>
  <c r="ER152" i="1" s="1"/>
  <c r="ES152" i="1" s="1"/>
  <c r="EL152" i="1"/>
  <c r="EM152" i="1" s="1"/>
  <c r="EN152" i="1" s="1"/>
  <c r="EE152" i="1"/>
  <c r="EF152" i="1" s="1"/>
  <c r="EG152" i="1" s="1"/>
  <c r="DZ152" i="1"/>
  <c r="EA152" i="1" s="1"/>
  <c r="EB152" i="1" s="1"/>
  <c r="DU152" i="1"/>
  <c r="DV152" i="1" s="1"/>
  <c r="DW152" i="1" s="1"/>
  <c r="DP152" i="1"/>
  <c r="DQ152" i="1" s="1"/>
  <c r="DR152" i="1" s="1"/>
  <c r="DK152" i="1"/>
  <c r="DL152" i="1" s="1"/>
  <c r="DM152" i="1" s="1"/>
  <c r="DF152" i="1"/>
  <c r="DG152" i="1" s="1"/>
  <c r="DH152" i="1" s="1"/>
  <c r="DA152" i="1"/>
  <c r="DB152" i="1" s="1"/>
  <c r="DC152" i="1" s="1"/>
  <c r="CV152" i="1"/>
  <c r="CW152" i="1" s="1"/>
  <c r="CX152" i="1" s="1"/>
  <c r="CQ152" i="1"/>
  <c r="CR152" i="1" s="1"/>
  <c r="CS152" i="1" s="1"/>
  <c r="CL152" i="1"/>
  <c r="CM152" i="1" s="1"/>
  <c r="CN152" i="1" s="1"/>
  <c r="CG152" i="1"/>
  <c r="CH152" i="1" s="1"/>
  <c r="CI152" i="1" s="1"/>
  <c r="CA152" i="1"/>
  <c r="CB152" i="1" s="1"/>
  <c r="CC152" i="1" s="1"/>
  <c r="BV152" i="1"/>
  <c r="BW152" i="1" s="1"/>
  <c r="BX152" i="1" s="1"/>
  <c r="BR152" i="1"/>
  <c r="BS152" i="1" s="1"/>
  <c r="BQ152" i="1"/>
  <c r="BL152" i="1"/>
  <c r="BM152" i="1" s="1"/>
  <c r="BN152" i="1" s="1"/>
  <c r="BG152" i="1"/>
  <c r="BH152" i="1" s="1"/>
  <c r="BI152" i="1" s="1"/>
  <c r="BB152" i="1"/>
  <c r="BC152" i="1" s="1"/>
  <c r="BD152" i="1" s="1"/>
  <c r="AW152" i="1"/>
  <c r="AX152" i="1" s="1"/>
  <c r="AY152" i="1" s="1"/>
  <c r="AR152" i="1"/>
  <c r="AS152" i="1" s="1"/>
  <c r="AT152" i="1" s="1"/>
  <c r="AM152" i="1"/>
  <c r="AN152" i="1" s="1"/>
  <c r="AO152" i="1" s="1"/>
  <c r="AH152" i="1"/>
  <c r="AI152" i="1" s="1"/>
  <c r="AJ152" i="1" s="1"/>
  <c r="AE152" i="1"/>
  <c r="W152" i="1"/>
  <c r="X152" i="1" s="1"/>
  <c r="Y152" i="1" s="1"/>
  <c r="S152" i="1"/>
  <c r="N152" i="1"/>
  <c r="G152" i="1"/>
  <c r="H152" i="1" s="1"/>
  <c r="I152" i="1" s="1"/>
  <c r="NZ151" i="1"/>
  <c r="NU151" i="1"/>
  <c r="NP151" i="1"/>
  <c r="NK151" i="1"/>
  <c r="NF151" i="1"/>
  <c r="NA151" i="1"/>
  <c r="MV151" i="1"/>
  <c r="MQ151" i="1"/>
  <c r="MM151" i="1"/>
  <c r="MI151" i="1"/>
  <c r="MD151" i="1"/>
  <c r="LY151" i="1"/>
  <c r="LT151" i="1"/>
  <c r="LO151" i="1"/>
  <c r="LJ151" i="1"/>
  <c r="LE151" i="1"/>
  <c r="KZ151" i="1"/>
  <c r="KT151" i="1"/>
  <c r="KU151" i="1" s="1"/>
  <c r="KV151" i="1" s="1"/>
  <c r="KQ151" i="1"/>
  <c r="KM151" i="1"/>
  <c r="KI151" i="1"/>
  <c r="KE151" i="1"/>
  <c r="KA151" i="1"/>
  <c r="JV151" i="1"/>
  <c r="JQ151" i="1"/>
  <c r="JM151" i="1"/>
  <c r="JI151" i="1"/>
  <c r="JB151" i="1"/>
  <c r="JC151" i="1" s="1"/>
  <c r="JD151" i="1" s="1"/>
  <c r="IW151" i="1"/>
  <c r="IX151" i="1" s="1"/>
  <c r="IY151" i="1" s="1"/>
  <c r="IR151" i="1"/>
  <c r="IS151" i="1" s="1"/>
  <c r="IT151" i="1" s="1"/>
  <c r="IM151" i="1"/>
  <c r="IN151" i="1" s="1"/>
  <c r="IO151" i="1" s="1"/>
  <c r="IH151" i="1"/>
  <c r="II151" i="1" s="1"/>
  <c r="IJ151" i="1" s="1"/>
  <c r="IC151" i="1"/>
  <c r="ID151" i="1" s="1"/>
  <c r="IE151" i="1" s="1"/>
  <c r="HX151" i="1"/>
  <c r="HY151" i="1" s="1"/>
  <c r="HZ151" i="1" s="1"/>
  <c r="HS151" i="1"/>
  <c r="HT151" i="1" s="1"/>
  <c r="HU151" i="1" s="1"/>
  <c r="HN151" i="1"/>
  <c r="HO151" i="1" s="1"/>
  <c r="HP151" i="1" s="1"/>
  <c r="HI151" i="1"/>
  <c r="HJ151" i="1" s="1"/>
  <c r="HK151" i="1" s="1"/>
  <c r="HD151" i="1"/>
  <c r="HE151" i="1" s="1"/>
  <c r="HF151" i="1" s="1"/>
  <c r="GY151" i="1"/>
  <c r="GZ151" i="1" s="1"/>
  <c r="HA151" i="1" s="1"/>
  <c r="GT151" i="1"/>
  <c r="GU151" i="1" s="1"/>
  <c r="GV151" i="1" s="1"/>
  <c r="GO151" i="1"/>
  <c r="GP151" i="1" s="1"/>
  <c r="GQ151" i="1" s="1"/>
  <c r="GJ151" i="1"/>
  <c r="GK151" i="1" s="1"/>
  <c r="GL151" i="1" s="1"/>
  <c r="GE151" i="1"/>
  <c r="GF151" i="1" s="1"/>
  <c r="GG151" i="1" s="1"/>
  <c r="FZ151" i="1"/>
  <c r="GA151" i="1" s="1"/>
  <c r="GB151" i="1" s="1"/>
  <c r="FU151" i="1"/>
  <c r="FV151" i="1" s="1"/>
  <c r="FW151" i="1" s="1"/>
  <c r="FP151" i="1"/>
  <c r="FQ151" i="1" s="1"/>
  <c r="FR151" i="1" s="1"/>
  <c r="FK151" i="1"/>
  <c r="FL151" i="1" s="1"/>
  <c r="FM151" i="1" s="1"/>
  <c r="FF151" i="1"/>
  <c r="FG151" i="1" s="1"/>
  <c r="FH151" i="1" s="1"/>
  <c r="FA151" i="1"/>
  <c r="FB151" i="1" s="1"/>
  <c r="FC151" i="1" s="1"/>
  <c r="EV151" i="1"/>
  <c r="EW151" i="1" s="1"/>
  <c r="EX151" i="1" s="1"/>
  <c r="EQ151" i="1"/>
  <c r="ER151" i="1" s="1"/>
  <c r="ES151" i="1" s="1"/>
  <c r="EL151" i="1"/>
  <c r="EM151" i="1" s="1"/>
  <c r="EN151" i="1" s="1"/>
  <c r="EE151" i="1"/>
  <c r="EF151" i="1" s="1"/>
  <c r="EG151" i="1" s="1"/>
  <c r="DZ151" i="1"/>
  <c r="EA151" i="1" s="1"/>
  <c r="EB151" i="1" s="1"/>
  <c r="DU151" i="1"/>
  <c r="DV151" i="1" s="1"/>
  <c r="DW151" i="1" s="1"/>
  <c r="DP151" i="1"/>
  <c r="DQ151" i="1" s="1"/>
  <c r="DR151" i="1" s="1"/>
  <c r="DK151" i="1"/>
  <c r="DL151" i="1" s="1"/>
  <c r="DM151" i="1" s="1"/>
  <c r="DF151" i="1"/>
  <c r="DG151" i="1" s="1"/>
  <c r="DH151" i="1" s="1"/>
  <c r="DA151" i="1"/>
  <c r="DB151" i="1" s="1"/>
  <c r="DC151" i="1" s="1"/>
  <c r="CV151" i="1"/>
  <c r="CW151" i="1" s="1"/>
  <c r="CX151" i="1" s="1"/>
  <c r="CQ151" i="1"/>
  <c r="CR151" i="1" s="1"/>
  <c r="CS151" i="1" s="1"/>
  <c r="CL151" i="1"/>
  <c r="CM151" i="1" s="1"/>
  <c r="CN151" i="1" s="1"/>
  <c r="CG151" i="1"/>
  <c r="CH151" i="1" s="1"/>
  <c r="CI151" i="1" s="1"/>
  <c r="CA151" i="1"/>
  <c r="CB151" i="1" s="1"/>
  <c r="CC151" i="1" s="1"/>
  <c r="BV151" i="1"/>
  <c r="BW151" i="1" s="1"/>
  <c r="BX151" i="1" s="1"/>
  <c r="BQ151" i="1"/>
  <c r="BR151" i="1" s="1"/>
  <c r="BS151" i="1" s="1"/>
  <c r="BL151" i="1"/>
  <c r="BM151" i="1" s="1"/>
  <c r="BN151" i="1" s="1"/>
  <c r="BG151" i="1"/>
  <c r="BH151" i="1" s="1"/>
  <c r="BI151" i="1" s="1"/>
  <c r="BB151" i="1"/>
  <c r="BC151" i="1" s="1"/>
  <c r="BD151" i="1" s="1"/>
  <c r="AW151" i="1"/>
  <c r="AX151" i="1" s="1"/>
  <c r="AY151" i="1" s="1"/>
  <c r="AR151" i="1"/>
  <c r="AS151" i="1" s="1"/>
  <c r="AT151" i="1" s="1"/>
  <c r="AM151" i="1"/>
  <c r="AN151" i="1" s="1"/>
  <c r="AO151" i="1" s="1"/>
  <c r="AH151" i="1"/>
  <c r="AI151" i="1" s="1"/>
  <c r="AJ151" i="1" s="1"/>
  <c r="AC151" i="1"/>
  <c r="AD151" i="1" s="1"/>
  <c r="AE151" i="1" s="1"/>
  <c r="W151" i="1"/>
  <c r="X151" i="1" s="1"/>
  <c r="Y151" i="1" s="1"/>
  <c r="Q151" i="1"/>
  <c r="R151" i="1" s="1"/>
  <c r="S151" i="1" s="1"/>
  <c r="N151" i="1"/>
  <c r="I151" i="1"/>
  <c r="NZ150" i="1"/>
  <c r="NU150" i="1"/>
  <c r="NP150" i="1"/>
  <c r="NK150" i="1"/>
  <c r="NF150" i="1"/>
  <c r="NA150" i="1"/>
  <c r="MV150" i="1"/>
  <c r="MQ150" i="1"/>
  <c r="MM150" i="1"/>
  <c r="MI150" i="1"/>
  <c r="MD150" i="1"/>
  <c r="LY150" i="1"/>
  <c r="LT150" i="1"/>
  <c r="LO150" i="1"/>
  <c r="LJ150" i="1"/>
  <c r="LC150" i="1"/>
  <c r="LD150" i="1" s="1"/>
  <c r="LE150" i="1" s="1"/>
  <c r="KZ150" i="1"/>
  <c r="KT150" i="1"/>
  <c r="KU150" i="1" s="1"/>
  <c r="KV150" i="1" s="1"/>
  <c r="KQ150" i="1"/>
  <c r="KM150" i="1"/>
  <c r="KG150" i="1"/>
  <c r="KH150" i="1" s="1"/>
  <c r="KI150" i="1" s="1"/>
  <c r="KE150" i="1"/>
  <c r="KA150" i="1"/>
  <c r="JV150" i="1"/>
  <c r="JQ150" i="1"/>
  <c r="JM150" i="1"/>
  <c r="JI150" i="1"/>
  <c r="JB150" i="1"/>
  <c r="JC150" i="1" s="1"/>
  <c r="JD150" i="1" s="1"/>
  <c r="IW150" i="1"/>
  <c r="IX150" i="1" s="1"/>
  <c r="IY150" i="1" s="1"/>
  <c r="IR150" i="1"/>
  <c r="IS150" i="1" s="1"/>
  <c r="IT150" i="1" s="1"/>
  <c r="IM150" i="1"/>
  <c r="IN150" i="1" s="1"/>
  <c r="IO150" i="1" s="1"/>
  <c r="IH150" i="1"/>
  <c r="II150" i="1" s="1"/>
  <c r="IJ150" i="1" s="1"/>
  <c r="IC150" i="1"/>
  <c r="ID150" i="1" s="1"/>
  <c r="IE150" i="1" s="1"/>
  <c r="HX150" i="1"/>
  <c r="HY150" i="1" s="1"/>
  <c r="HZ150" i="1" s="1"/>
  <c r="HU150" i="1"/>
  <c r="HP150" i="1"/>
  <c r="HJ150" i="1"/>
  <c r="HK150" i="1" s="1"/>
  <c r="HI150" i="1"/>
  <c r="HD150" i="1"/>
  <c r="HE150" i="1" s="1"/>
  <c r="HF150" i="1" s="1"/>
  <c r="GY150" i="1"/>
  <c r="GZ150" i="1" s="1"/>
  <c r="HA150" i="1" s="1"/>
  <c r="GT150" i="1"/>
  <c r="GU150" i="1" s="1"/>
  <c r="GV150" i="1" s="1"/>
  <c r="GO150" i="1"/>
  <c r="GP150" i="1" s="1"/>
  <c r="GQ150" i="1" s="1"/>
  <c r="GJ150" i="1"/>
  <c r="GK150" i="1" s="1"/>
  <c r="GL150" i="1" s="1"/>
  <c r="GE150" i="1"/>
  <c r="GF150" i="1" s="1"/>
  <c r="GG150" i="1" s="1"/>
  <c r="FZ150" i="1"/>
  <c r="GA150" i="1" s="1"/>
  <c r="GB150" i="1" s="1"/>
  <c r="FU150" i="1"/>
  <c r="FV150" i="1" s="1"/>
  <c r="FW150" i="1" s="1"/>
  <c r="FP150" i="1"/>
  <c r="FQ150" i="1" s="1"/>
  <c r="FR150" i="1" s="1"/>
  <c r="FK150" i="1"/>
  <c r="FL150" i="1" s="1"/>
  <c r="FM150" i="1" s="1"/>
  <c r="FF150" i="1"/>
  <c r="FG150" i="1" s="1"/>
  <c r="FH150" i="1" s="1"/>
  <c r="FA150" i="1"/>
  <c r="FB150" i="1" s="1"/>
  <c r="FC150" i="1" s="1"/>
  <c r="EV150" i="1"/>
  <c r="EW150" i="1" s="1"/>
  <c r="EX150" i="1" s="1"/>
  <c r="EQ150" i="1"/>
  <c r="ER150" i="1" s="1"/>
  <c r="ES150" i="1" s="1"/>
  <c r="EL150" i="1"/>
  <c r="EM150" i="1" s="1"/>
  <c r="EN150" i="1" s="1"/>
  <c r="EE150" i="1"/>
  <c r="EF150" i="1" s="1"/>
  <c r="EG150" i="1" s="1"/>
  <c r="DZ150" i="1"/>
  <c r="EA150" i="1" s="1"/>
  <c r="EB150" i="1" s="1"/>
  <c r="DU150" i="1"/>
  <c r="DV150" i="1" s="1"/>
  <c r="DW150" i="1" s="1"/>
  <c r="DP150" i="1"/>
  <c r="DQ150" i="1" s="1"/>
  <c r="DR150" i="1" s="1"/>
  <c r="DK150" i="1"/>
  <c r="DL150" i="1" s="1"/>
  <c r="DM150" i="1" s="1"/>
  <c r="DF150" i="1"/>
  <c r="DG150" i="1" s="1"/>
  <c r="DH150" i="1" s="1"/>
  <c r="DA150" i="1"/>
  <c r="DB150" i="1" s="1"/>
  <c r="DC150" i="1" s="1"/>
  <c r="CV150" i="1"/>
  <c r="CW150" i="1" s="1"/>
  <c r="CX150" i="1" s="1"/>
  <c r="CQ150" i="1"/>
  <c r="CR150" i="1" s="1"/>
  <c r="CS150" i="1" s="1"/>
  <c r="CL150" i="1"/>
  <c r="CM150" i="1" s="1"/>
  <c r="CN150" i="1" s="1"/>
  <c r="CG150" i="1"/>
  <c r="CH150" i="1" s="1"/>
  <c r="CI150" i="1" s="1"/>
  <c r="CA150" i="1"/>
  <c r="CB150" i="1" s="1"/>
  <c r="CC150" i="1" s="1"/>
  <c r="BV150" i="1"/>
  <c r="BW150" i="1" s="1"/>
  <c r="BX150" i="1" s="1"/>
  <c r="BQ150" i="1"/>
  <c r="BR150" i="1" s="1"/>
  <c r="BS150" i="1" s="1"/>
  <c r="BL150" i="1"/>
  <c r="BM150" i="1" s="1"/>
  <c r="BN150" i="1" s="1"/>
  <c r="BG150" i="1"/>
  <c r="BH150" i="1" s="1"/>
  <c r="BI150" i="1" s="1"/>
  <c r="BB150" i="1"/>
  <c r="BC150" i="1" s="1"/>
  <c r="BD150" i="1" s="1"/>
  <c r="AW150" i="1"/>
  <c r="AX150" i="1" s="1"/>
  <c r="AY150" i="1" s="1"/>
  <c r="AR150" i="1"/>
  <c r="AS150" i="1" s="1"/>
  <c r="AT150" i="1" s="1"/>
  <c r="AM150" i="1"/>
  <c r="AN150" i="1" s="1"/>
  <c r="AO150" i="1" s="1"/>
  <c r="AH150" i="1"/>
  <c r="AI150" i="1" s="1"/>
  <c r="AJ150" i="1" s="1"/>
  <c r="AC150" i="1"/>
  <c r="AD150" i="1" s="1"/>
  <c r="AE150" i="1" s="1"/>
  <c r="W150" i="1"/>
  <c r="X150" i="1" s="1"/>
  <c r="Y150" i="1" s="1"/>
  <c r="S150" i="1"/>
  <c r="N150" i="1"/>
  <c r="I150" i="1"/>
  <c r="NZ149" i="1"/>
  <c r="NU149" i="1"/>
  <c r="NP149" i="1"/>
  <c r="NK149" i="1"/>
  <c r="NF149" i="1"/>
  <c r="NA149" i="1"/>
  <c r="MV149" i="1"/>
  <c r="MQ149" i="1"/>
  <c r="MM149" i="1"/>
  <c r="MI149" i="1"/>
  <c r="MD149" i="1"/>
  <c r="LY149" i="1"/>
  <c r="LT149" i="1"/>
  <c r="LO149" i="1"/>
  <c r="LJ149" i="1"/>
  <c r="LE149" i="1"/>
  <c r="KZ149" i="1"/>
  <c r="KV149" i="1"/>
  <c r="KQ149" i="1"/>
  <c r="KM149" i="1"/>
  <c r="KI149" i="1"/>
  <c r="KE149" i="1"/>
  <c r="KA149" i="1"/>
  <c r="JV149" i="1"/>
  <c r="JQ149" i="1"/>
  <c r="JM149" i="1"/>
  <c r="JI149" i="1"/>
  <c r="JD149" i="1"/>
  <c r="IY149" i="1"/>
  <c r="IT149" i="1"/>
  <c r="IO149" i="1"/>
  <c r="IJ149" i="1"/>
  <c r="IE149" i="1"/>
  <c r="HZ149" i="1"/>
  <c r="HU149" i="1"/>
  <c r="HP149" i="1"/>
  <c r="HI149" i="1"/>
  <c r="HJ149" i="1" s="1"/>
  <c r="HK149" i="1" s="1"/>
  <c r="HD149" i="1"/>
  <c r="HE149" i="1" s="1"/>
  <c r="HF149" i="1" s="1"/>
  <c r="GY149" i="1"/>
  <c r="GZ149" i="1" s="1"/>
  <c r="HA149" i="1" s="1"/>
  <c r="GT149" i="1"/>
  <c r="GU149" i="1" s="1"/>
  <c r="GV149" i="1" s="1"/>
  <c r="GO149" i="1"/>
  <c r="GP149" i="1" s="1"/>
  <c r="GQ149" i="1" s="1"/>
  <c r="GJ149" i="1"/>
  <c r="GK149" i="1" s="1"/>
  <c r="GL149" i="1" s="1"/>
  <c r="GE149" i="1"/>
  <c r="GF149" i="1" s="1"/>
  <c r="GG149" i="1" s="1"/>
  <c r="FZ149" i="1"/>
  <c r="GA149" i="1" s="1"/>
  <c r="GB149" i="1" s="1"/>
  <c r="FU149" i="1"/>
  <c r="FV149" i="1" s="1"/>
  <c r="FW149" i="1" s="1"/>
  <c r="FP149" i="1"/>
  <c r="FQ149" i="1" s="1"/>
  <c r="FR149" i="1" s="1"/>
  <c r="FK149" i="1"/>
  <c r="FL149" i="1" s="1"/>
  <c r="FM149" i="1" s="1"/>
  <c r="FF149" i="1"/>
  <c r="FG149" i="1" s="1"/>
  <c r="FH149" i="1" s="1"/>
  <c r="FA149" i="1"/>
  <c r="FB149" i="1" s="1"/>
  <c r="FC149" i="1" s="1"/>
  <c r="EV149" i="1"/>
  <c r="EW149" i="1" s="1"/>
  <c r="EX149" i="1" s="1"/>
  <c r="EQ149" i="1"/>
  <c r="ER149" i="1" s="1"/>
  <c r="ES149" i="1" s="1"/>
  <c r="EL149" i="1"/>
  <c r="EM149" i="1" s="1"/>
  <c r="EN149" i="1" s="1"/>
  <c r="EE149" i="1"/>
  <c r="EF149" i="1" s="1"/>
  <c r="EG149" i="1" s="1"/>
  <c r="DZ149" i="1"/>
  <c r="EA149" i="1" s="1"/>
  <c r="EB149" i="1" s="1"/>
  <c r="DU149" i="1"/>
  <c r="DV149" i="1" s="1"/>
  <c r="DW149" i="1" s="1"/>
  <c r="DP149" i="1"/>
  <c r="DQ149" i="1" s="1"/>
  <c r="DR149" i="1" s="1"/>
  <c r="DK149" i="1"/>
  <c r="DL149" i="1" s="1"/>
  <c r="DM149" i="1" s="1"/>
  <c r="DF149" i="1"/>
  <c r="DG149" i="1" s="1"/>
  <c r="DH149" i="1" s="1"/>
  <c r="DA149" i="1"/>
  <c r="DB149" i="1" s="1"/>
  <c r="DC149" i="1" s="1"/>
  <c r="CV149" i="1"/>
  <c r="CW149" i="1" s="1"/>
  <c r="CX149" i="1" s="1"/>
  <c r="CQ149" i="1"/>
  <c r="CR149" i="1" s="1"/>
  <c r="CS149" i="1" s="1"/>
  <c r="CL149" i="1"/>
  <c r="CM149" i="1" s="1"/>
  <c r="CN149" i="1" s="1"/>
  <c r="CG149" i="1"/>
  <c r="CH149" i="1" s="1"/>
  <c r="CI149" i="1" s="1"/>
  <c r="CA149" i="1"/>
  <c r="CB149" i="1" s="1"/>
  <c r="CC149" i="1" s="1"/>
  <c r="BV149" i="1"/>
  <c r="BW149" i="1" s="1"/>
  <c r="BX149" i="1" s="1"/>
  <c r="BQ149" i="1"/>
  <c r="BR149" i="1" s="1"/>
  <c r="BS149" i="1" s="1"/>
  <c r="BL149" i="1"/>
  <c r="BM149" i="1" s="1"/>
  <c r="BN149" i="1" s="1"/>
  <c r="BG149" i="1"/>
  <c r="BH149" i="1" s="1"/>
  <c r="BI149" i="1" s="1"/>
  <c r="BB149" i="1"/>
  <c r="BC149" i="1" s="1"/>
  <c r="BD149" i="1" s="1"/>
  <c r="AW149" i="1"/>
  <c r="AX149" i="1" s="1"/>
  <c r="AY149" i="1" s="1"/>
  <c r="AR149" i="1"/>
  <c r="AS149" i="1" s="1"/>
  <c r="AT149" i="1" s="1"/>
  <c r="AM149" i="1"/>
  <c r="AN149" i="1" s="1"/>
  <c r="AO149" i="1" s="1"/>
  <c r="AH149" i="1"/>
  <c r="AI149" i="1" s="1"/>
  <c r="AJ149" i="1" s="1"/>
  <c r="AC149" i="1"/>
  <c r="AD149" i="1" s="1"/>
  <c r="AE149" i="1" s="1"/>
  <c r="W149" i="1"/>
  <c r="X149" i="1" s="1"/>
  <c r="Y149" i="1" s="1"/>
  <c r="Q149" i="1"/>
  <c r="R149" i="1" s="1"/>
  <c r="S149" i="1" s="1"/>
  <c r="N149" i="1"/>
  <c r="I149" i="1"/>
  <c r="NZ148" i="1"/>
  <c r="NU148" i="1"/>
  <c r="NP148" i="1"/>
  <c r="NK148" i="1"/>
  <c r="NF148" i="1"/>
  <c r="NA148" i="1"/>
  <c r="MV148" i="1"/>
  <c r="MO148" i="1"/>
  <c r="MP148" i="1" s="1"/>
  <c r="MQ148" i="1" s="1"/>
  <c r="MK148" i="1"/>
  <c r="ML148" i="1" s="1"/>
  <c r="MM148" i="1" s="1"/>
  <c r="MI148" i="1"/>
  <c r="MD148" i="1"/>
  <c r="LY148" i="1"/>
  <c r="LT148" i="1"/>
  <c r="LO148" i="1"/>
  <c r="LJ148" i="1"/>
  <c r="LC148" i="1"/>
  <c r="LD148" i="1" s="1"/>
  <c r="LE148" i="1" s="1"/>
  <c r="KZ148" i="1"/>
  <c r="KT148" i="1"/>
  <c r="KU148" i="1" s="1"/>
  <c r="KV148" i="1" s="1"/>
  <c r="KO148" i="1"/>
  <c r="KP148" i="1" s="1"/>
  <c r="KQ148" i="1" s="1"/>
  <c r="KM148" i="1"/>
  <c r="KI148" i="1"/>
  <c r="KE148" i="1"/>
  <c r="JY148" i="1"/>
  <c r="JZ148" i="1" s="1"/>
  <c r="KA148" i="1" s="1"/>
  <c r="JV148" i="1"/>
  <c r="JQ148" i="1"/>
  <c r="JM148" i="1"/>
  <c r="JI148" i="1"/>
  <c r="JB148" i="1"/>
  <c r="JC148" i="1" s="1"/>
  <c r="JD148" i="1" s="1"/>
  <c r="IW148" i="1"/>
  <c r="IX148" i="1" s="1"/>
  <c r="IY148" i="1" s="1"/>
  <c r="IR148" i="1"/>
  <c r="IS148" i="1" s="1"/>
  <c r="IT148" i="1" s="1"/>
  <c r="IM148" i="1"/>
  <c r="IN148" i="1" s="1"/>
  <c r="IO148" i="1" s="1"/>
  <c r="IH148" i="1"/>
  <c r="II148" i="1" s="1"/>
  <c r="IJ148" i="1" s="1"/>
  <c r="IC148" i="1"/>
  <c r="ID148" i="1" s="1"/>
  <c r="IE148" i="1" s="1"/>
  <c r="HX148" i="1"/>
  <c r="HY148" i="1" s="1"/>
  <c r="HZ148" i="1" s="1"/>
  <c r="HU148" i="1"/>
  <c r="HP148" i="1"/>
  <c r="HI148" i="1"/>
  <c r="HJ148" i="1" s="1"/>
  <c r="HK148" i="1" s="1"/>
  <c r="HD148" i="1"/>
  <c r="HE148" i="1" s="1"/>
  <c r="HF148" i="1" s="1"/>
  <c r="GY148" i="1"/>
  <c r="GZ148" i="1" s="1"/>
  <c r="HA148" i="1" s="1"/>
  <c r="GT148" i="1"/>
  <c r="GU148" i="1" s="1"/>
  <c r="GV148" i="1" s="1"/>
  <c r="GO148" i="1"/>
  <c r="GP148" i="1" s="1"/>
  <c r="GQ148" i="1" s="1"/>
  <c r="GJ148" i="1"/>
  <c r="GK148" i="1" s="1"/>
  <c r="GL148" i="1" s="1"/>
  <c r="GE148" i="1"/>
  <c r="GF148" i="1" s="1"/>
  <c r="GG148" i="1" s="1"/>
  <c r="FZ148" i="1"/>
  <c r="GA148" i="1" s="1"/>
  <c r="GB148" i="1" s="1"/>
  <c r="FU148" i="1"/>
  <c r="FV148" i="1" s="1"/>
  <c r="FW148" i="1" s="1"/>
  <c r="FP148" i="1"/>
  <c r="FQ148" i="1" s="1"/>
  <c r="FR148" i="1" s="1"/>
  <c r="FK148" i="1"/>
  <c r="FL148" i="1" s="1"/>
  <c r="FM148" i="1" s="1"/>
  <c r="FF148" i="1"/>
  <c r="FG148" i="1" s="1"/>
  <c r="FH148" i="1" s="1"/>
  <c r="FA148" i="1"/>
  <c r="FB148" i="1" s="1"/>
  <c r="FC148" i="1" s="1"/>
  <c r="EV148" i="1"/>
  <c r="EW148" i="1" s="1"/>
  <c r="EX148" i="1" s="1"/>
  <c r="EQ148" i="1"/>
  <c r="ER148" i="1" s="1"/>
  <c r="ES148" i="1" s="1"/>
  <c r="EL148" i="1"/>
  <c r="EM148" i="1" s="1"/>
  <c r="EN148" i="1" s="1"/>
  <c r="EE148" i="1"/>
  <c r="EF148" i="1" s="1"/>
  <c r="EG148" i="1" s="1"/>
  <c r="DZ148" i="1"/>
  <c r="EA148" i="1" s="1"/>
  <c r="EB148" i="1" s="1"/>
  <c r="DU148" i="1"/>
  <c r="DV148" i="1" s="1"/>
  <c r="DW148" i="1" s="1"/>
  <c r="DP148" i="1"/>
  <c r="DQ148" i="1" s="1"/>
  <c r="DR148" i="1" s="1"/>
  <c r="DK148" i="1"/>
  <c r="DL148" i="1" s="1"/>
  <c r="DM148" i="1" s="1"/>
  <c r="DF148" i="1"/>
  <c r="DG148" i="1" s="1"/>
  <c r="DH148" i="1" s="1"/>
  <c r="DA148" i="1"/>
  <c r="DB148" i="1" s="1"/>
  <c r="DC148" i="1" s="1"/>
  <c r="CV148" i="1"/>
  <c r="CW148" i="1" s="1"/>
  <c r="CX148" i="1" s="1"/>
  <c r="CQ148" i="1"/>
  <c r="CR148" i="1" s="1"/>
  <c r="CS148" i="1" s="1"/>
  <c r="CL148" i="1"/>
  <c r="CM148" i="1" s="1"/>
  <c r="CN148" i="1" s="1"/>
  <c r="CG148" i="1"/>
  <c r="CH148" i="1" s="1"/>
  <c r="CI148" i="1" s="1"/>
  <c r="CA148" i="1"/>
  <c r="CB148" i="1" s="1"/>
  <c r="CC148" i="1" s="1"/>
  <c r="BV148" i="1"/>
  <c r="BW148" i="1" s="1"/>
  <c r="BX148" i="1" s="1"/>
  <c r="BQ148" i="1"/>
  <c r="BR148" i="1" s="1"/>
  <c r="BS148" i="1" s="1"/>
  <c r="BL148" i="1"/>
  <c r="BM148" i="1" s="1"/>
  <c r="BN148" i="1" s="1"/>
  <c r="BG148" i="1"/>
  <c r="BH148" i="1" s="1"/>
  <c r="BI148" i="1" s="1"/>
  <c r="BB148" i="1"/>
  <c r="BC148" i="1" s="1"/>
  <c r="BD148" i="1" s="1"/>
  <c r="AW148" i="1"/>
  <c r="AX148" i="1" s="1"/>
  <c r="AY148" i="1" s="1"/>
  <c r="AR148" i="1"/>
  <c r="AS148" i="1" s="1"/>
  <c r="AT148" i="1" s="1"/>
  <c r="AM148" i="1"/>
  <c r="AN148" i="1" s="1"/>
  <c r="AO148" i="1" s="1"/>
  <c r="AH148" i="1"/>
  <c r="AI148" i="1" s="1"/>
  <c r="AJ148" i="1" s="1"/>
  <c r="AC148" i="1"/>
  <c r="AD148" i="1" s="1"/>
  <c r="AE148" i="1" s="1"/>
  <c r="W148" i="1"/>
  <c r="X148" i="1" s="1"/>
  <c r="Y148" i="1" s="1"/>
  <c r="S148" i="1"/>
  <c r="N148" i="1"/>
  <c r="I148" i="1"/>
  <c r="NZ147" i="1"/>
  <c r="NU147" i="1"/>
  <c r="NP147" i="1"/>
  <c r="NK147" i="1"/>
  <c r="NF147" i="1"/>
  <c r="NA147" i="1"/>
  <c r="MV147" i="1"/>
  <c r="MQ147" i="1"/>
  <c r="MM147" i="1"/>
  <c r="MI147" i="1"/>
  <c r="MD147" i="1"/>
  <c r="LY147" i="1"/>
  <c r="LT147" i="1"/>
  <c r="LO147" i="1"/>
  <c r="LJ147" i="1"/>
  <c r="LC147" i="1"/>
  <c r="LD147" i="1" s="1"/>
  <c r="LE147" i="1" s="1"/>
  <c r="KZ147" i="1"/>
  <c r="KV147" i="1"/>
  <c r="KQ147" i="1"/>
  <c r="KM147" i="1"/>
  <c r="KI147" i="1"/>
  <c r="KE147" i="1"/>
  <c r="KA147" i="1"/>
  <c r="JV147" i="1"/>
  <c r="JQ147" i="1"/>
  <c r="JM147" i="1"/>
  <c r="JI147" i="1"/>
  <c r="JB147" i="1"/>
  <c r="JC147" i="1" s="1"/>
  <c r="JD147" i="1" s="1"/>
  <c r="IW147" i="1"/>
  <c r="IX147" i="1" s="1"/>
  <c r="IY147" i="1" s="1"/>
  <c r="IR147" i="1"/>
  <c r="IS147" i="1" s="1"/>
  <c r="IT147" i="1" s="1"/>
  <c r="IM147" i="1"/>
  <c r="IN147" i="1" s="1"/>
  <c r="IO147" i="1" s="1"/>
  <c r="IH147" i="1"/>
  <c r="II147" i="1" s="1"/>
  <c r="IJ147" i="1" s="1"/>
  <c r="IC147" i="1"/>
  <c r="ID147" i="1" s="1"/>
  <c r="IE147" i="1" s="1"/>
  <c r="HX147" i="1"/>
  <c r="HY147" i="1" s="1"/>
  <c r="HZ147" i="1" s="1"/>
  <c r="HU147" i="1"/>
  <c r="HP147" i="1"/>
  <c r="HI147" i="1"/>
  <c r="HJ147" i="1" s="1"/>
  <c r="HK147" i="1" s="1"/>
  <c r="HD147" i="1"/>
  <c r="HE147" i="1" s="1"/>
  <c r="HF147" i="1" s="1"/>
  <c r="GY147" i="1"/>
  <c r="GZ147" i="1" s="1"/>
  <c r="HA147" i="1" s="1"/>
  <c r="GT147" i="1"/>
  <c r="GU147" i="1" s="1"/>
  <c r="GV147" i="1" s="1"/>
  <c r="GO147" i="1"/>
  <c r="GP147" i="1" s="1"/>
  <c r="GQ147" i="1" s="1"/>
  <c r="GJ147" i="1"/>
  <c r="GK147" i="1" s="1"/>
  <c r="GL147" i="1" s="1"/>
  <c r="GE147" i="1"/>
  <c r="GF147" i="1" s="1"/>
  <c r="GG147" i="1" s="1"/>
  <c r="FZ147" i="1"/>
  <c r="GA147" i="1" s="1"/>
  <c r="GB147" i="1" s="1"/>
  <c r="FU147" i="1"/>
  <c r="FV147" i="1" s="1"/>
  <c r="FW147" i="1" s="1"/>
  <c r="FP147" i="1"/>
  <c r="FQ147" i="1" s="1"/>
  <c r="FR147" i="1" s="1"/>
  <c r="FK147" i="1"/>
  <c r="FL147" i="1" s="1"/>
  <c r="FM147" i="1" s="1"/>
  <c r="FF147" i="1"/>
  <c r="FG147" i="1" s="1"/>
  <c r="FH147" i="1" s="1"/>
  <c r="FA147" i="1"/>
  <c r="FB147" i="1" s="1"/>
  <c r="FC147" i="1" s="1"/>
  <c r="EV147" i="1"/>
  <c r="EW147" i="1" s="1"/>
  <c r="EX147" i="1" s="1"/>
  <c r="EQ147" i="1"/>
  <c r="ER147" i="1" s="1"/>
  <c r="ES147" i="1" s="1"/>
  <c r="EL147" i="1"/>
  <c r="EM147" i="1" s="1"/>
  <c r="EN147" i="1" s="1"/>
  <c r="EE147" i="1"/>
  <c r="EF147" i="1" s="1"/>
  <c r="EG147" i="1" s="1"/>
  <c r="DZ147" i="1"/>
  <c r="EA147" i="1" s="1"/>
  <c r="EB147" i="1" s="1"/>
  <c r="DU147" i="1"/>
  <c r="DV147" i="1" s="1"/>
  <c r="DW147" i="1" s="1"/>
  <c r="DP147" i="1"/>
  <c r="DQ147" i="1" s="1"/>
  <c r="DR147" i="1" s="1"/>
  <c r="DK147" i="1"/>
  <c r="DL147" i="1" s="1"/>
  <c r="DM147" i="1" s="1"/>
  <c r="DF147" i="1"/>
  <c r="DG147" i="1" s="1"/>
  <c r="DH147" i="1" s="1"/>
  <c r="DA147" i="1"/>
  <c r="DB147" i="1" s="1"/>
  <c r="DC147" i="1" s="1"/>
  <c r="CV147" i="1"/>
  <c r="CW147" i="1" s="1"/>
  <c r="CX147" i="1" s="1"/>
  <c r="CQ147" i="1"/>
  <c r="CR147" i="1" s="1"/>
  <c r="CS147" i="1" s="1"/>
  <c r="CL147" i="1"/>
  <c r="CM147" i="1" s="1"/>
  <c r="CN147" i="1" s="1"/>
  <c r="CG147" i="1"/>
  <c r="CH147" i="1" s="1"/>
  <c r="CI147" i="1" s="1"/>
  <c r="CA147" i="1"/>
  <c r="CB147" i="1" s="1"/>
  <c r="CC147" i="1" s="1"/>
  <c r="BV147" i="1"/>
  <c r="BW147" i="1" s="1"/>
  <c r="BX147" i="1" s="1"/>
  <c r="BQ147" i="1"/>
  <c r="BR147" i="1" s="1"/>
  <c r="BS147" i="1" s="1"/>
  <c r="BL147" i="1"/>
  <c r="BM147" i="1" s="1"/>
  <c r="BN147" i="1" s="1"/>
  <c r="BG147" i="1"/>
  <c r="BH147" i="1" s="1"/>
  <c r="BI147" i="1" s="1"/>
  <c r="BB147" i="1"/>
  <c r="BC147" i="1" s="1"/>
  <c r="BD147" i="1" s="1"/>
  <c r="AW147" i="1"/>
  <c r="AX147" i="1" s="1"/>
  <c r="AY147" i="1" s="1"/>
  <c r="AR147" i="1"/>
  <c r="AS147" i="1" s="1"/>
  <c r="AT147" i="1" s="1"/>
  <c r="AM147" i="1"/>
  <c r="AN147" i="1" s="1"/>
  <c r="AO147" i="1" s="1"/>
  <c r="AH147" i="1"/>
  <c r="AI147" i="1" s="1"/>
  <c r="AJ147" i="1" s="1"/>
  <c r="AC147" i="1"/>
  <c r="AD147" i="1" s="1"/>
  <c r="AE147" i="1" s="1"/>
  <c r="W147" i="1"/>
  <c r="X147" i="1" s="1"/>
  <c r="Y147" i="1" s="1"/>
  <c r="S147" i="1"/>
  <c r="N147" i="1"/>
  <c r="I147" i="1"/>
  <c r="NZ146" i="1"/>
  <c r="NU146" i="1"/>
  <c r="NP146" i="1"/>
  <c r="NK146" i="1"/>
  <c r="NF146" i="1"/>
  <c r="NA146" i="1"/>
  <c r="MV146" i="1"/>
  <c r="MQ146" i="1"/>
  <c r="MM146" i="1"/>
  <c r="MI146" i="1"/>
  <c r="MD146" i="1"/>
  <c r="LY146" i="1"/>
  <c r="LT146" i="1"/>
  <c r="LO146" i="1"/>
  <c r="LJ146" i="1"/>
  <c r="LE146" i="1"/>
  <c r="KZ146" i="1"/>
  <c r="KT146" i="1"/>
  <c r="KU146" i="1" s="1"/>
  <c r="KV146" i="1" s="1"/>
  <c r="KQ146" i="1"/>
  <c r="KM146" i="1"/>
  <c r="KI146" i="1"/>
  <c r="KE146" i="1"/>
  <c r="KA146" i="1"/>
  <c r="JV146" i="1"/>
  <c r="JQ146" i="1"/>
  <c r="JM146" i="1"/>
  <c r="JI146" i="1"/>
  <c r="JD146" i="1"/>
  <c r="IY146" i="1"/>
  <c r="IT146" i="1"/>
  <c r="IO146" i="1"/>
  <c r="IJ146" i="1"/>
  <c r="IE146" i="1"/>
  <c r="HZ146" i="1"/>
  <c r="HU146" i="1"/>
  <c r="HP146" i="1"/>
  <c r="HI146" i="1"/>
  <c r="HJ146" i="1" s="1"/>
  <c r="HK146" i="1" s="1"/>
  <c r="HD146" i="1"/>
  <c r="HE146" i="1" s="1"/>
  <c r="HF146" i="1" s="1"/>
  <c r="GY146" i="1"/>
  <c r="GZ146" i="1" s="1"/>
  <c r="HA146" i="1" s="1"/>
  <c r="GT146" i="1"/>
  <c r="GU146" i="1" s="1"/>
  <c r="GV146" i="1" s="1"/>
  <c r="GO146" i="1"/>
  <c r="GP146" i="1" s="1"/>
  <c r="GQ146" i="1" s="1"/>
  <c r="GJ146" i="1"/>
  <c r="GK146" i="1" s="1"/>
  <c r="GL146" i="1" s="1"/>
  <c r="GE146" i="1"/>
  <c r="GF146" i="1" s="1"/>
  <c r="GG146" i="1" s="1"/>
  <c r="FZ146" i="1"/>
  <c r="GA146" i="1" s="1"/>
  <c r="GB146" i="1" s="1"/>
  <c r="FU146" i="1"/>
  <c r="FV146" i="1" s="1"/>
  <c r="FW146" i="1" s="1"/>
  <c r="FP146" i="1"/>
  <c r="FQ146" i="1" s="1"/>
  <c r="FR146" i="1" s="1"/>
  <c r="FK146" i="1"/>
  <c r="FL146" i="1" s="1"/>
  <c r="FM146" i="1" s="1"/>
  <c r="FF146" i="1"/>
  <c r="FG146" i="1" s="1"/>
  <c r="FH146" i="1" s="1"/>
  <c r="FA146" i="1"/>
  <c r="FB146" i="1" s="1"/>
  <c r="FC146" i="1" s="1"/>
  <c r="EV146" i="1"/>
  <c r="EW146" i="1" s="1"/>
  <c r="EX146" i="1" s="1"/>
  <c r="EQ146" i="1"/>
  <c r="ER146" i="1" s="1"/>
  <c r="ES146" i="1" s="1"/>
  <c r="EL146" i="1"/>
  <c r="EM146" i="1" s="1"/>
  <c r="EN146" i="1" s="1"/>
  <c r="EE146" i="1"/>
  <c r="EF146" i="1" s="1"/>
  <c r="EG146" i="1" s="1"/>
  <c r="DZ146" i="1"/>
  <c r="EA146" i="1" s="1"/>
  <c r="EB146" i="1" s="1"/>
  <c r="DU146" i="1"/>
  <c r="DV146" i="1" s="1"/>
  <c r="DW146" i="1" s="1"/>
  <c r="DP146" i="1"/>
  <c r="DQ146" i="1" s="1"/>
  <c r="DR146" i="1" s="1"/>
  <c r="DK146" i="1"/>
  <c r="DL146" i="1" s="1"/>
  <c r="DM146" i="1" s="1"/>
  <c r="DF146" i="1"/>
  <c r="DG146" i="1" s="1"/>
  <c r="DH146" i="1" s="1"/>
  <c r="DA146" i="1"/>
  <c r="DB146" i="1" s="1"/>
  <c r="DC146" i="1" s="1"/>
  <c r="CV146" i="1"/>
  <c r="CW146" i="1" s="1"/>
  <c r="CX146" i="1" s="1"/>
  <c r="CQ146" i="1"/>
  <c r="CR146" i="1" s="1"/>
  <c r="CS146" i="1" s="1"/>
  <c r="CL146" i="1"/>
  <c r="CM146" i="1" s="1"/>
  <c r="CN146" i="1" s="1"/>
  <c r="CG146" i="1"/>
  <c r="CH146" i="1" s="1"/>
  <c r="CI146" i="1" s="1"/>
  <c r="CA146" i="1"/>
  <c r="CB146" i="1" s="1"/>
  <c r="CC146" i="1" s="1"/>
  <c r="BV146" i="1"/>
  <c r="BW146" i="1" s="1"/>
  <c r="BX146" i="1" s="1"/>
  <c r="BQ146" i="1"/>
  <c r="BR146" i="1" s="1"/>
  <c r="BS146" i="1" s="1"/>
  <c r="BL146" i="1"/>
  <c r="BM146" i="1" s="1"/>
  <c r="BN146" i="1" s="1"/>
  <c r="BG146" i="1"/>
  <c r="BH146" i="1" s="1"/>
  <c r="BI146" i="1" s="1"/>
  <c r="BB146" i="1"/>
  <c r="BC146" i="1" s="1"/>
  <c r="BD146" i="1" s="1"/>
  <c r="AW146" i="1"/>
  <c r="AX146" i="1" s="1"/>
  <c r="AY146" i="1" s="1"/>
  <c r="AR146" i="1"/>
  <c r="AS146" i="1" s="1"/>
  <c r="AT146" i="1" s="1"/>
  <c r="AM146" i="1"/>
  <c r="AN146" i="1" s="1"/>
  <c r="AO146" i="1" s="1"/>
  <c r="AH146" i="1"/>
  <c r="AI146" i="1" s="1"/>
  <c r="AJ146" i="1" s="1"/>
  <c r="AC146" i="1"/>
  <c r="AD146" i="1" s="1"/>
  <c r="AE146" i="1" s="1"/>
  <c r="W146" i="1"/>
  <c r="X146" i="1" s="1"/>
  <c r="Y146" i="1" s="1"/>
  <c r="S146" i="1"/>
  <c r="N146" i="1"/>
  <c r="I146" i="1"/>
  <c r="NZ145" i="1"/>
  <c r="NU145" i="1"/>
  <c r="NP145" i="1"/>
  <c r="NK145" i="1"/>
  <c r="NF145" i="1"/>
  <c r="NA145" i="1"/>
  <c r="MV145" i="1"/>
  <c r="MQ145" i="1"/>
  <c r="MM145" i="1"/>
  <c r="MI145" i="1"/>
  <c r="MD145" i="1"/>
  <c r="LY145" i="1"/>
  <c r="LT145" i="1"/>
  <c r="LO145" i="1"/>
  <c r="LJ145" i="1"/>
  <c r="LE145" i="1"/>
  <c r="KZ145" i="1"/>
  <c r="KV145" i="1"/>
  <c r="KQ145" i="1"/>
  <c r="KM145" i="1"/>
  <c r="KI145" i="1"/>
  <c r="KE145" i="1"/>
  <c r="KA145" i="1"/>
  <c r="JV145" i="1"/>
  <c r="JQ145" i="1"/>
  <c r="JM145" i="1"/>
  <c r="JI145" i="1"/>
  <c r="JD145" i="1"/>
  <c r="IY145" i="1"/>
  <c r="IT145" i="1"/>
  <c r="IO145" i="1"/>
  <c r="IJ145" i="1"/>
  <c r="IE145" i="1"/>
  <c r="HZ145" i="1"/>
  <c r="HU145" i="1"/>
  <c r="HP145" i="1"/>
  <c r="HK145" i="1"/>
  <c r="HD145" i="1"/>
  <c r="HE145" i="1" s="1"/>
  <c r="HF145" i="1" s="1"/>
  <c r="GY145" i="1"/>
  <c r="GZ145" i="1" s="1"/>
  <c r="HA145" i="1" s="1"/>
  <c r="GT145" i="1"/>
  <c r="GU145" i="1" s="1"/>
  <c r="GV145" i="1" s="1"/>
  <c r="GO145" i="1"/>
  <c r="GP145" i="1" s="1"/>
  <c r="GQ145" i="1" s="1"/>
  <c r="GJ145" i="1"/>
  <c r="GK145" i="1" s="1"/>
  <c r="GL145" i="1" s="1"/>
  <c r="GE145" i="1"/>
  <c r="GF145" i="1" s="1"/>
  <c r="GG145" i="1" s="1"/>
  <c r="FZ145" i="1"/>
  <c r="GA145" i="1" s="1"/>
  <c r="GB145" i="1" s="1"/>
  <c r="FU145" i="1"/>
  <c r="FV145" i="1" s="1"/>
  <c r="FW145" i="1" s="1"/>
  <c r="FP145" i="1"/>
  <c r="FQ145" i="1" s="1"/>
  <c r="FR145" i="1" s="1"/>
  <c r="FK145" i="1"/>
  <c r="FL145" i="1" s="1"/>
  <c r="FM145" i="1" s="1"/>
  <c r="FF145" i="1"/>
  <c r="FG145" i="1" s="1"/>
  <c r="FH145" i="1" s="1"/>
  <c r="FA145" i="1"/>
  <c r="FB145" i="1" s="1"/>
  <c r="FC145" i="1" s="1"/>
  <c r="EV145" i="1"/>
  <c r="EW145" i="1" s="1"/>
  <c r="EX145" i="1" s="1"/>
  <c r="EQ145" i="1"/>
  <c r="ER145" i="1" s="1"/>
  <c r="ES145" i="1" s="1"/>
  <c r="EL145" i="1"/>
  <c r="EM145" i="1" s="1"/>
  <c r="EN145" i="1" s="1"/>
  <c r="EE145" i="1"/>
  <c r="EF145" i="1" s="1"/>
  <c r="EG145" i="1" s="1"/>
  <c r="DZ145" i="1"/>
  <c r="EA145" i="1" s="1"/>
  <c r="EB145" i="1" s="1"/>
  <c r="DU145" i="1"/>
  <c r="DV145" i="1" s="1"/>
  <c r="DW145" i="1" s="1"/>
  <c r="DP145" i="1"/>
  <c r="DQ145" i="1" s="1"/>
  <c r="DR145" i="1" s="1"/>
  <c r="DK145" i="1"/>
  <c r="DL145" i="1" s="1"/>
  <c r="DM145" i="1" s="1"/>
  <c r="DF145" i="1"/>
  <c r="DG145" i="1" s="1"/>
  <c r="DH145" i="1" s="1"/>
  <c r="DA145" i="1"/>
  <c r="DB145" i="1" s="1"/>
  <c r="DC145" i="1" s="1"/>
  <c r="CV145" i="1"/>
  <c r="CW145" i="1" s="1"/>
  <c r="CX145" i="1" s="1"/>
  <c r="CQ145" i="1"/>
  <c r="CR145" i="1" s="1"/>
  <c r="CS145" i="1" s="1"/>
  <c r="CL145" i="1"/>
  <c r="CM145" i="1" s="1"/>
  <c r="CN145" i="1" s="1"/>
  <c r="CG145" i="1"/>
  <c r="CH145" i="1" s="1"/>
  <c r="CI145" i="1" s="1"/>
  <c r="CA145" i="1"/>
  <c r="CB145" i="1" s="1"/>
  <c r="CC145" i="1" s="1"/>
  <c r="BV145" i="1"/>
  <c r="BW145" i="1" s="1"/>
  <c r="BX145" i="1" s="1"/>
  <c r="BQ145" i="1"/>
  <c r="BR145" i="1" s="1"/>
  <c r="BS145" i="1" s="1"/>
  <c r="BL145" i="1"/>
  <c r="BM145" i="1" s="1"/>
  <c r="BN145" i="1" s="1"/>
  <c r="BG145" i="1"/>
  <c r="BH145" i="1" s="1"/>
  <c r="BI145" i="1" s="1"/>
  <c r="BB145" i="1"/>
  <c r="BC145" i="1" s="1"/>
  <c r="BD145" i="1" s="1"/>
  <c r="AW145" i="1"/>
  <c r="AX145" i="1" s="1"/>
  <c r="AY145" i="1" s="1"/>
  <c r="AR145" i="1"/>
  <c r="AS145" i="1" s="1"/>
  <c r="AT145" i="1" s="1"/>
  <c r="AM145" i="1"/>
  <c r="AN145" i="1" s="1"/>
  <c r="AO145" i="1" s="1"/>
  <c r="AH145" i="1"/>
  <c r="AI145" i="1" s="1"/>
  <c r="AJ145" i="1" s="1"/>
  <c r="AE145" i="1"/>
  <c r="W145" i="1"/>
  <c r="X145" i="1" s="1"/>
  <c r="Y145" i="1" s="1"/>
  <c r="S145" i="1"/>
  <c r="N145" i="1"/>
  <c r="G145" i="1"/>
  <c r="H145" i="1" s="1"/>
  <c r="I145" i="1" s="1"/>
  <c r="NZ144" i="1"/>
  <c r="NU144" i="1"/>
  <c r="NP144" i="1"/>
  <c r="NK144" i="1"/>
  <c r="NF144" i="1"/>
  <c r="NA144" i="1"/>
  <c r="MV144" i="1"/>
  <c r="MQ144" i="1"/>
  <c r="MM144" i="1"/>
  <c r="MI144" i="1"/>
  <c r="MD144" i="1"/>
  <c r="LY144" i="1"/>
  <c r="LT144" i="1"/>
  <c r="LO144" i="1"/>
  <c r="LJ144" i="1"/>
  <c r="LC144" i="1"/>
  <c r="LD144" i="1" s="1"/>
  <c r="LE144" i="1" s="1"/>
  <c r="KZ144" i="1"/>
  <c r="KV144" i="1"/>
  <c r="KO144" i="1"/>
  <c r="KP144" i="1" s="1"/>
  <c r="KQ144" i="1" s="1"/>
  <c r="KM144" i="1"/>
  <c r="KI144" i="1"/>
  <c r="KE144" i="1"/>
  <c r="KA144" i="1"/>
  <c r="JV144" i="1"/>
  <c r="JQ144" i="1"/>
  <c r="JM144" i="1"/>
  <c r="JI144" i="1"/>
  <c r="JB144" i="1"/>
  <c r="JC144" i="1" s="1"/>
  <c r="JD144" i="1" s="1"/>
  <c r="IW144" i="1"/>
  <c r="IX144" i="1" s="1"/>
  <c r="IY144" i="1" s="1"/>
  <c r="IR144" i="1"/>
  <c r="IS144" i="1" s="1"/>
  <c r="IT144" i="1" s="1"/>
  <c r="IM144" i="1"/>
  <c r="IN144" i="1" s="1"/>
  <c r="IO144" i="1" s="1"/>
  <c r="IH144" i="1"/>
  <c r="II144" i="1" s="1"/>
  <c r="IJ144" i="1" s="1"/>
  <c r="IC144" i="1"/>
  <c r="ID144" i="1" s="1"/>
  <c r="IE144" i="1" s="1"/>
  <c r="HX144" i="1"/>
  <c r="HY144" i="1" s="1"/>
  <c r="HZ144" i="1" s="1"/>
  <c r="HU144" i="1"/>
  <c r="HP144" i="1"/>
  <c r="HI144" i="1"/>
  <c r="HJ144" i="1" s="1"/>
  <c r="HK144" i="1" s="1"/>
  <c r="HD144" i="1"/>
  <c r="HE144" i="1" s="1"/>
  <c r="HF144" i="1" s="1"/>
  <c r="GY144" i="1"/>
  <c r="GZ144" i="1" s="1"/>
  <c r="HA144" i="1" s="1"/>
  <c r="GT144" i="1"/>
  <c r="GU144" i="1" s="1"/>
  <c r="GV144" i="1" s="1"/>
  <c r="GO144" i="1"/>
  <c r="GP144" i="1" s="1"/>
  <c r="GQ144" i="1" s="1"/>
  <c r="GJ144" i="1"/>
  <c r="GK144" i="1" s="1"/>
  <c r="GL144" i="1" s="1"/>
  <c r="GE144" i="1"/>
  <c r="GF144" i="1" s="1"/>
  <c r="GG144" i="1" s="1"/>
  <c r="FZ144" i="1"/>
  <c r="GA144" i="1" s="1"/>
  <c r="GB144" i="1" s="1"/>
  <c r="FU144" i="1"/>
  <c r="FV144" i="1" s="1"/>
  <c r="FW144" i="1" s="1"/>
  <c r="FP144" i="1"/>
  <c r="FQ144" i="1" s="1"/>
  <c r="FR144" i="1" s="1"/>
  <c r="FK144" i="1"/>
  <c r="FL144" i="1" s="1"/>
  <c r="FM144" i="1" s="1"/>
  <c r="FF144" i="1"/>
  <c r="FG144" i="1" s="1"/>
  <c r="FH144" i="1" s="1"/>
  <c r="FA144" i="1"/>
  <c r="FB144" i="1" s="1"/>
  <c r="FC144" i="1" s="1"/>
  <c r="EV144" i="1"/>
  <c r="EW144" i="1" s="1"/>
  <c r="EX144" i="1" s="1"/>
  <c r="EQ144" i="1"/>
  <c r="ER144" i="1" s="1"/>
  <c r="ES144" i="1" s="1"/>
  <c r="EL144" i="1"/>
  <c r="EM144" i="1" s="1"/>
  <c r="EN144" i="1" s="1"/>
  <c r="EE144" i="1"/>
  <c r="EF144" i="1" s="1"/>
  <c r="EG144" i="1" s="1"/>
  <c r="DZ144" i="1"/>
  <c r="EA144" i="1" s="1"/>
  <c r="EB144" i="1" s="1"/>
  <c r="DU144" i="1"/>
  <c r="DV144" i="1" s="1"/>
  <c r="DW144" i="1" s="1"/>
  <c r="DP144" i="1"/>
  <c r="DQ144" i="1" s="1"/>
  <c r="DR144" i="1" s="1"/>
  <c r="DK144" i="1"/>
  <c r="DL144" i="1" s="1"/>
  <c r="DM144" i="1" s="1"/>
  <c r="DF144" i="1"/>
  <c r="DG144" i="1" s="1"/>
  <c r="DH144" i="1" s="1"/>
  <c r="DA144" i="1"/>
  <c r="DB144" i="1" s="1"/>
  <c r="DC144" i="1" s="1"/>
  <c r="CV144" i="1"/>
  <c r="CW144" i="1" s="1"/>
  <c r="CX144" i="1" s="1"/>
  <c r="CQ144" i="1"/>
  <c r="CR144" i="1" s="1"/>
  <c r="CS144" i="1" s="1"/>
  <c r="CL144" i="1"/>
  <c r="CM144" i="1" s="1"/>
  <c r="CN144" i="1" s="1"/>
  <c r="CG144" i="1"/>
  <c r="CH144" i="1" s="1"/>
  <c r="CI144" i="1" s="1"/>
  <c r="CA144" i="1"/>
  <c r="CB144" i="1" s="1"/>
  <c r="CC144" i="1" s="1"/>
  <c r="BV144" i="1"/>
  <c r="BW144" i="1" s="1"/>
  <c r="BX144" i="1" s="1"/>
  <c r="BQ144" i="1"/>
  <c r="BR144" i="1" s="1"/>
  <c r="BS144" i="1" s="1"/>
  <c r="BL144" i="1"/>
  <c r="BM144" i="1" s="1"/>
  <c r="BN144" i="1" s="1"/>
  <c r="BG144" i="1"/>
  <c r="BH144" i="1" s="1"/>
  <c r="BI144" i="1" s="1"/>
  <c r="BB144" i="1"/>
  <c r="BC144" i="1" s="1"/>
  <c r="BD144" i="1" s="1"/>
  <c r="AW144" i="1"/>
  <c r="AX144" i="1" s="1"/>
  <c r="AY144" i="1" s="1"/>
  <c r="AR144" i="1"/>
  <c r="AS144" i="1" s="1"/>
  <c r="AT144" i="1" s="1"/>
  <c r="AM144" i="1"/>
  <c r="AN144" i="1" s="1"/>
  <c r="AO144" i="1" s="1"/>
  <c r="AH144" i="1"/>
  <c r="AI144" i="1" s="1"/>
  <c r="AJ144" i="1" s="1"/>
  <c r="AC144" i="1"/>
  <c r="AD144" i="1" s="1"/>
  <c r="AE144" i="1" s="1"/>
  <c r="W144" i="1"/>
  <c r="X144" i="1" s="1"/>
  <c r="Y144" i="1" s="1"/>
  <c r="S144" i="1"/>
  <c r="N144" i="1"/>
  <c r="I144" i="1"/>
  <c r="NZ143" i="1"/>
  <c r="NU143" i="1"/>
  <c r="NP143" i="1"/>
  <c r="NK143" i="1"/>
  <c r="NF143" i="1"/>
  <c r="NA143" i="1"/>
  <c r="MV143" i="1"/>
  <c r="MQ143" i="1"/>
  <c r="MM143" i="1"/>
  <c r="MI143" i="1"/>
  <c r="MD143" i="1"/>
  <c r="LY143" i="1"/>
  <c r="LT143" i="1"/>
  <c r="LO143" i="1"/>
  <c r="LJ143" i="1"/>
  <c r="LE143" i="1"/>
  <c r="KZ143" i="1"/>
  <c r="KV143" i="1"/>
  <c r="KQ143" i="1"/>
  <c r="KM143" i="1"/>
  <c r="KI143" i="1"/>
  <c r="KE143" i="1"/>
  <c r="JY143" i="1"/>
  <c r="JZ143" i="1" s="1"/>
  <c r="KA143" i="1" s="1"/>
  <c r="JV143" i="1"/>
  <c r="JQ143" i="1"/>
  <c r="JM143" i="1"/>
  <c r="JI143" i="1"/>
  <c r="JD143" i="1"/>
  <c r="IY143" i="1"/>
  <c r="IT143" i="1"/>
  <c r="IO143" i="1"/>
  <c r="IJ143" i="1"/>
  <c r="IE143" i="1"/>
  <c r="HZ143" i="1"/>
  <c r="HU143" i="1"/>
  <c r="HP143" i="1"/>
  <c r="HI143" i="1"/>
  <c r="HJ143" i="1" s="1"/>
  <c r="HK143" i="1" s="1"/>
  <c r="HD143" i="1"/>
  <c r="HE143" i="1" s="1"/>
  <c r="HF143" i="1" s="1"/>
  <c r="GY143" i="1"/>
  <c r="GZ143" i="1" s="1"/>
  <c r="HA143" i="1" s="1"/>
  <c r="GT143" i="1"/>
  <c r="GU143" i="1" s="1"/>
  <c r="GV143" i="1" s="1"/>
  <c r="GO143" i="1"/>
  <c r="GP143" i="1" s="1"/>
  <c r="GQ143" i="1" s="1"/>
  <c r="GJ143" i="1"/>
  <c r="GK143" i="1" s="1"/>
  <c r="GL143" i="1" s="1"/>
  <c r="GE143" i="1"/>
  <c r="GF143" i="1" s="1"/>
  <c r="GG143" i="1" s="1"/>
  <c r="FZ143" i="1"/>
  <c r="GA143" i="1" s="1"/>
  <c r="GB143" i="1" s="1"/>
  <c r="FU143" i="1"/>
  <c r="FV143" i="1" s="1"/>
  <c r="FW143" i="1" s="1"/>
  <c r="FP143" i="1"/>
  <c r="FQ143" i="1" s="1"/>
  <c r="FR143" i="1" s="1"/>
  <c r="FK143" i="1"/>
  <c r="FL143" i="1" s="1"/>
  <c r="FM143" i="1" s="1"/>
  <c r="FF143" i="1"/>
  <c r="FG143" i="1" s="1"/>
  <c r="FH143" i="1" s="1"/>
  <c r="FA143" i="1"/>
  <c r="FB143" i="1" s="1"/>
  <c r="FC143" i="1" s="1"/>
  <c r="EV143" i="1"/>
  <c r="EW143" i="1" s="1"/>
  <c r="EX143" i="1" s="1"/>
  <c r="EQ143" i="1"/>
  <c r="ER143" i="1" s="1"/>
  <c r="ES143" i="1" s="1"/>
  <c r="EL143" i="1"/>
  <c r="EM143" i="1" s="1"/>
  <c r="EN143" i="1" s="1"/>
  <c r="EE143" i="1"/>
  <c r="EF143" i="1" s="1"/>
  <c r="EG143" i="1" s="1"/>
  <c r="DZ143" i="1"/>
  <c r="EA143" i="1" s="1"/>
  <c r="EB143" i="1" s="1"/>
  <c r="DU143" i="1"/>
  <c r="DV143" i="1" s="1"/>
  <c r="DW143" i="1" s="1"/>
  <c r="DP143" i="1"/>
  <c r="DQ143" i="1" s="1"/>
  <c r="DR143" i="1" s="1"/>
  <c r="DK143" i="1"/>
  <c r="DL143" i="1" s="1"/>
  <c r="DM143" i="1" s="1"/>
  <c r="DF143" i="1"/>
  <c r="DG143" i="1" s="1"/>
  <c r="DH143" i="1" s="1"/>
  <c r="DA143" i="1"/>
  <c r="DB143" i="1" s="1"/>
  <c r="DC143" i="1" s="1"/>
  <c r="CV143" i="1"/>
  <c r="CW143" i="1" s="1"/>
  <c r="CX143" i="1" s="1"/>
  <c r="CQ143" i="1"/>
  <c r="CR143" i="1" s="1"/>
  <c r="CS143" i="1" s="1"/>
  <c r="CL143" i="1"/>
  <c r="CM143" i="1" s="1"/>
  <c r="CN143" i="1" s="1"/>
  <c r="CG143" i="1"/>
  <c r="CH143" i="1" s="1"/>
  <c r="CI143" i="1" s="1"/>
  <c r="CA143" i="1"/>
  <c r="CB143" i="1" s="1"/>
  <c r="CC143" i="1" s="1"/>
  <c r="BV143" i="1"/>
  <c r="BW143" i="1" s="1"/>
  <c r="BX143" i="1" s="1"/>
  <c r="BQ143" i="1"/>
  <c r="BR143" i="1" s="1"/>
  <c r="BS143" i="1" s="1"/>
  <c r="BL143" i="1"/>
  <c r="BM143" i="1" s="1"/>
  <c r="BN143" i="1" s="1"/>
  <c r="BG143" i="1"/>
  <c r="BH143" i="1" s="1"/>
  <c r="BI143" i="1" s="1"/>
  <c r="BB143" i="1"/>
  <c r="BC143" i="1" s="1"/>
  <c r="BD143" i="1" s="1"/>
  <c r="AW143" i="1"/>
  <c r="AX143" i="1" s="1"/>
  <c r="AY143" i="1" s="1"/>
  <c r="AR143" i="1"/>
  <c r="AS143" i="1" s="1"/>
  <c r="AT143" i="1" s="1"/>
  <c r="AM143" i="1"/>
  <c r="AN143" i="1" s="1"/>
  <c r="AO143" i="1" s="1"/>
  <c r="AH143" i="1"/>
  <c r="AI143" i="1" s="1"/>
  <c r="AJ143" i="1" s="1"/>
  <c r="AC143" i="1"/>
  <c r="AD143" i="1" s="1"/>
  <c r="AE143" i="1" s="1"/>
  <c r="W143" i="1"/>
  <c r="X143" i="1" s="1"/>
  <c r="Y143" i="1" s="1"/>
  <c r="S143" i="1"/>
  <c r="N143" i="1"/>
  <c r="I143" i="1"/>
  <c r="NZ142" i="1"/>
  <c r="NS142" i="1"/>
  <c r="NT142" i="1" s="1"/>
  <c r="NU142" i="1" s="1"/>
  <c r="NP142" i="1"/>
  <c r="NK142" i="1"/>
  <c r="NF142" i="1"/>
  <c r="NA142" i="1"/>
  <c r="MV142" i="1"/>
  <c r="MQ142" i="1"/>
  <c r="MM142" i="1"/>
  <c r="MI142" i="1"/>
  <c r="MD142" i="1"/>
  <c r="LY142" i="1"/>
  <c r="LT142" i="1"/>
  <c r="LO142" i="1"/>
  <c r="LJ142" i="1"/>
  <c r="LE142" i="1"/>
  <c r="KZ142" i="1"/>
  <c r="KV142" i="1"/>
  <c r="KQ142" i="1"/>
  <c r="KM142" i="1"/>
  <c r="KI142" i="1"/>
  <c r="KE142" i="1"/>
  <c r="KA142" i="1"/>
  <c r="JV142" i="1"/>
  <c r="JQ142" i="1"/>
  <c r="JM142" i="1"/>
  <c r="JI142" i="1"/>
  <c r="JD142" i="1"/>
  <c r="IY142" i="1"/>
  <c r="IT142" i="1"/>
  <c r="IO142" i="1"/>
  <c r="IJ142" i="1"/>
  <c r="IE142" i="1"/>
  <c r="HZ142" i="1"/>
  <c r="HU142" i="1"/>
  <c r="HP142" i="1"/>
  <c r="HI142" i="1"/>
  <c r="HJ142" i="1" s="1"/>
  <c r="HK142" i="1" s="1"/>
  <c r="HD142" i="1"/>
  <c r="HE142" i="1" s="1"/>
  <c r="HF142" i="1" s="1"/>
  <c r="GY142" i="1"/>
  <c r="GZ142" i="1" s="1"/>
  <c r="HA142" i="1" s="1"/>
  <c r="GT142" i="1"/>
  <c r="GU142" i="1" s="1"/>
  <c r="GV142" i="1" s="1"/>
  <c r="GO142" i="1"/>
  <c r="GP142" i="1" s="1"/>
  <c r="GQ142" i="1" s="1"/>
  <c r="GJ142" i="1"/>
  <c r="GK142" i="1" s="1"/>
  <c r="GL142" i="1" s="1"/>
  <c r="GE142" i="1"/>
  <c r="GF142" i="1" s="1"/>
  <c r="GG142" i="1" s="1"/>
  <c r="FZ142" i="1"/>
  <c r="GA142" i="1" s="1"/>
  <c r="GB142" i="1" s="1"/>
  <c r="FU142" i="1"/>
  <c r="FV142" i="1" s="1"/>
  <c r="FW142" i="1" s="1"/>
  <c r="FP142" i="1"/>
  <c r="FQ142" i="1" s="1"/>
  <c r="FR142" i="1" s="1"/>
  <c r="FK142" i="1"/>
  <c r="FL142" i="1" s="1"/>
  <c r="FM142" i="1" s="1"/>
  <c r="FF142" i="1"/>
  <c r="FG142" i="1" s="1"/>
  <c r="FH142" i="1" s="1"/>
  <c r="FA142" i="1"/>
  <c r="FB142" i="1" s="1"/>
  <c r="FC142" i="1" s="1"/>
  <c r="EV142" i="1"/>
  <c r="EW142" i="1" s="1"/>
  <c r="EX142" i="1" s="1"/>
  <c r="EQ142" i="1"/>
  <c r="ER142" i="1" s="1"/>
  <c r="ES142" i="1" s="1"/>
  <c r="EL142" i="1"/>
  <c r="EM142" i="1" s="1"/>
  <c r="EN142" i="1" s="1"/>
  <c r="EE142" i="1"/>
  <c r="EF142" i="1" s="1"/>
  <c r="EG142" i="1" s="1"/>
  <c r="DZ142" i="1"/>
  <c r="EA142" i="1" s="1"/>
  <c r="EB142" i="1" s="1"/>
  <c r="DU142" i="1"/>
  <c r="DV142" i="1" s="1"/>
  <c r="DW142" i="1" s="1"/>
  <c r="DP142" i="1"/>
  <c r="DQ142" i="1" s="1"/>
  <c r="DR142" i="1" s="1"/>
  <c r="DK142" i="1"/>
  <c r="DL142" i="1" s="1"/>
  <c r="DM142" i="1" s="1"/>
  <c r="DF142" i="1"/>
  <c r="DG142" i="1" s="1"/>
  <c r="DH142" i="1" s="1"/>
  <c r="DA142" i="1"/>
  <c r="DB142" i="1" s="1"/>
  <c r="DC142" i="1" s="1"/>
  <c r="CV142" i="1"/>
  <c r="CW142" i="1" s="1"/>
  <c r="CX142" i="1" s="1"/>
  <c r="CQ142" i="1"/>
  <c r="CR142" i="1" s="1"/>
  <c r="CS142" i="1" s="1"/>
  <c r="CL142" i="1"/>
  <c r="CM142" i="1" s="1"/>
  <c r="CN142" i="1" s="1"/>
  <c r="CG142" i="1"/>
  <c r="CH142" i="1" s="1"/>
  <c r="CA142" i="1"/>
  <c r="CB142" i="1" s="1"/>
  <c r="CC142" i="1" s="1"/>
  <c r="BV142" i="1"/>
  <c r="BW142" i="1" s="1"/>
  <c r="BX142" i="1" s="1"/>
  <c r="BQ142" i="1"/>
  <c r="BR142" i="1" s="1"/>
  <c r="BS142" i="1" s="1"/>
  <c r="BL142" i="1"/>
  <c r="BM142" i="1" s="1"/>
  <c r="BN142" i="1" s="1"/>
  <c r="BG142" i="1"/>
  <c r="BH142" i="1" s="1"/>
  <c r="BI142" i="1" s="1"/>
  <c r="BB142" i="1"/>
  <c r="BC142" i="1" s="1"/>
  <c r="BD142" i="1" s="1"/>
  <c r="AW142" i="1"/>
  <c r="AX142" i="1" s="1"/>
  <c r="AY142" i="1" s="1"/>
  <c r="AR142" i="1"/>
  <c r="AS142" i="1" s="1"/>
  <c r="AT142" i="1" s="1"/>
  <c r="AM142" i="1"/>
  <c r="AN142" i="1" s="1"/>
  <c r="AO142" i="1" s="1"/>
  <c r="AH142" i="1"/>
  <c r="AI142" i="1" s="1"/>
  <c r="AJ142" i="1" s="1"/>
  <c r="AC142" i="1"/>
  <c r="AD142" i="1" s="1"/>
  <c r="AE142" i="1" s="1"/>
  <c r="W142" i="1"/>
  <c r="X142" i="1" s="1"/>
  <c r="Y142" i="1" s="1"/>
  <c r="Q142" i="1"/>
  <c r="R142" i="1" s="1"/>
  <c r="S142" i="1" s="1"/>
  <c r="N142" i="1"/>
  <c r="I142" i="1"/>
  <c r="NZ141" i="1"/>
  <c r="NU141" i="1"/>
  <c r="NP141" i="1"/>
  <c r="NK141" i="1"/>
  <c r="NF141" i="1"/>
  <c r="NA141" i="1"/>
  <c r="MV141" i="1"/>
  <c r="MQ141" i="1"/>
  <c r="MM141" i="1"/>
  <c r="MI141" i="1"/>
  <c r="MD141" i="1"/>
  <c r="LY141" i="1"/>
  <c r="LT141" i="1"/>
  <c r="LO141" i="1"/>
  <c r="LJ141" i="1"/>
  <c r="LE141" i="1"/>
  <c r="KZ141" i="1"/>
  <c r="KV141" i="1"/>
  <c r="KO141" i="1"/>
  <c r="KP141" i="1" s="1"/>
  <c r="KQ141" i="1" s="1"/>
  <c r="KM141" i="1"/>
  <c r="KI141" i="1"/>
  <c r="KE141" i="1"/>
  <c r="KA141" i="1"/>
  <c r="JV141" i="1"/>
  <c r="JQ141" i="1"/>
  <c r="JM141" i="1"/>
  <c r="JI141" i="1"/>
  <c r="JD141" i="1"/>
  <c r="IW141" i="1"/>
  <c r="IX141" i="1" s="1"/>
  <c r="IY141" i="1" s="1"/>
  <c r="IT141" i="1"/>
  <c r="IO141" i="1"/>
  <c r="IJ141" i="1"/>
  <c r="IE141" i="1"/>
  <c r="HZ141" i="1"/>
  <c r="HU141" i="1"/>
  <c r="HP141" i="1"/>
  <c r="HI141" i="1"/>
  <c r="HJ141" i="1" s="1"/>
  <c r="HK141" i="1" s="1"/>
  <c r="HD141" i="1"/>
  <c r="HE141" i="1" s="1"/>
  <c r="HF141" i="1" s="1"/>
  <c r="GY141" i="1"/>
  <c r="GZ141" i="1" s="1"/>
  <c r="HA141" i="1" s="1"/>
  <c r="GT141" i="1"/>
  <c r="GU141" i="1" s="1"/>
  <c r="GV141" i="1" s="1"/>
  <c r="GO141" i="1"/>
  <c r="GP141" i="1" s="1"/>
  <c r="GQ141" i="1" s="1"/>
  <c r="GJ141" i="1"/>
  <c r="GK141" i="1" s="1"/>
  <c r="GL141" i="1" s="1"/>
  <c r="GE141" i="1"/>
  <c r="GF141" i="1" s="1"/>
  <c r="GG141" i="1" s="1"/>
  <c r="FZ141" i="1"/>
  <c r="GA141" i="1" s="1"/>
  <c r="GB141" i="1" s="1"/>
  <c r="FU141" i="1"/>
  <c r="FV141" i="1" s="1"/>
  <c r="FW141" i="1" s="1"/>
  <c r="FP141" i="1"/>
  <c r="FQ141" i="1" s="1"/>
  <c r="FR141" i="1" s="1"/>
  <c r="FK141" i="1"/>
  <c r="FL141" i="1" s="1"/>
  <c r="FM141" i="1" s="1"/>
  <c r="FF141" i="1"/>
  <c r="FG141" i="1" s="1"/>
  <c r="FH141" i="1" s="1"/>
  <c r="FA141" i="1"/>
  <c r="FB141" i="1" s="1"/>
  <c r="FC141" i="1" s="1"/>
  <c r="EV141" i="1"/>
  <c r="EW141" i="1" s="1"/>
  <c r="EX141" i="1" s="1"/>
  <c r="EQ141" i="1"/>
  <c r="ER141" i="1" s="1"/>
  <c r="ES141" i="1" s="1"/>
  <c r="EL141" i="1"/>
  <c r="EM141" i="1" s="1"/>
  <c r="EN141" i="1" s="1"/>
  <c r="EE141" i="1"/>
  <c r="EF141" i="1" s="1"/>
  <c r="EG141" i="1" s="1"/>
  <c r="DZ141" i="1"/>
  <c r="EA141" i="1" s="1"/>
  <c r="EB141" i="1" s="1"/>
  <c r="DU141" i="1"/>
  <c r="DV141" i="1" s="1"/>
  <c r="DW141" i="1" s="1"/>
  <c r="DP141" i="1"/>
  <c r="DQ141" i="1" s="1"/>
  <c r="DR141" i="1" s="1"/>
  <c r="DK141" i="1"/>
  <c r="DL141" i="1" s="1"/>
  <c r="DM141" i="1" s="1"/>
  <c r="DF141" i="1"/>
  <c r="DG141" i="1" s="1"/>
  <c r="DH141" i="1" s="1"/>
  <c r="DA141" i="1"/>
  <c r="DB141" i="1" s="1"/>
  <c r="DC141" i="1" s="1"/>
  <c r="CV141" i="1"/>
  <c r="CW141" i="1" s="1"/>
  <c r="CX141" i="1" s="1"/>
  <c r="CQ141" i="1"/>
  <c r="CR141" i="1" s="1"/>
  <c r="CS141" i="1" s="1"/>
  <c r="CL141" i="1"/>
  <c r="CM141" i="1" s="1"/>
  <c r="CN141" i="1" s="1"/>
  <c r="CG141" i="1"/>
  <c r="CH141" i="1" s="1"/>
  <c r="CI141" i="1" s="1"/>
  <c r="CA141" i="1"/>
  <c r="CB141" i="1" s="1"/>
  <c r="CC141" i="1" s="1"/>
  <c r="BV141" i="1"/>
  <c r="BW141" i="1" s="1"/>
  <c r="BX141" i="1" s="1"/>
  <c r="BQ141" i="1"/>
  <c r="BR141" i="1" s="1"/>
  <c r="BS141" i="1" s="1"/>
  <c r="BL141" i="1"/>
  <c r="BM141" i="1" s="1"/>
  <c r="BN141" i="1" s="1"/>
  <c r="BG141" i="1"/>
  <c r="BH141" i="1" s="1"/>
  <c r="BI141" i="1" s="1"/>
  <c r="BB141" i="1"/>
  <c r="BC141" i="1" s="1"/>
  <c r="BD141" i="1" s="1"/>
  <c r="AW141" i="1"/>
  <c r="AX141" i="1" s="1"/>
  <c r="AY141" i="1" s="1"/>
  <c r="AR141" i="1"/>
  <c r="AS141" i="1" s="1"/>
  <c r="AT141" i="1" s="1"/>
  <c r="AM141" i="1"/>
  <c r="AN141" i="1" s="1"/>
  <c r="AO141" i="1" s="1"/>
  <c r="AH141" i="1"/>
  <c r="AI141" i="1" s="1"/>
  <c r="AJ141" i="1" s="1"/>
  <c r="AC141" i="1"/>
  <c r="AD141" i="1" s="1"/>
  <c r="AE141" i="1" s="1"/>
  <c r="W141" i="1"/>
  <c r="X141" i="1" s="1"/>
  <c r="Y141" i="1" s="1"/>
  <c r="S141" i="1"/>
  <c r="N141" i="1"/>
  <c r="I141" i="1"/>
  <c r="NZ140" i="1"/>
  <c r="NU140" i="1"/>
  <c r="NP140" i="1"/>
  <c r="NK140" i="1"/>
  <c r="NF140" i="1"/>
  <c r="NA140" i="1"/>
  <c r="MV140" i="1"/>
  <c r="MQ140" i="1"/>
  <c r="MM140" i="1"/>
  <c r="MI140" i="1"/>
  <c r="MD140" i="1"/>
  <c r="LY140" i="1"/>
  <c r="LT140" i="1"/>
  <c r="LO140" i="1"/>
  <c r="LJ140" i="1"/>
  <c r="LE140" i="1"/>
  <c r="KZ140" i="1"/>
  <c r="KV140" i="1"/>
  <c r="KQ140" i="1"/>
  <c r="KM140" i="1"/>
  <c r="KI140" i="1"/>
  <c r="KE140" i="1"/>
  <c r="JY140" i="1"/>
  <c r="JZ140" i="1" s="1"/>
  <c r="KA140" i="1" s="1"/>
  <c r="JV140" i="1"/>
  <c r="JQ140" i="1"/>
  <c r="JM140" i="1"/>
  <c r="JI140" i="1"/>
  <c r="JD140" i="1"/>
  <c r="IY140" i="1"/>
  <c r="IT140" i="1"/>
  <c r="IO140" i="1"/>
  <c r="IJ140" i="1"/>
  <c r="IE140" i="1"/>
  <c r="HZ140" i="1"/>
  <c r="HU140" i="1"/>
  <c r="HP140" i="1"/>
  <c r="HK140" i="1"/>
  <c r="HD140" i="1"/>
  <c r="HE140" i="1" s="1"/>
  <c r="HF140" i="1" s="1"/>
  <c r="GY140" i="1"/>
  <c r="GZ140" i="1" s="1"/>
  <c r="HA140" i="1" s="1"/>
  <c r="GT140" i="1"/>
  <c r="GU140" i="1" s="1"/>
  <c r="GV140" i="1" s="1"/>
  <c r="GO140" i="1"/>
  <c r="GP140" i="1" s="1"/>
  <c r="GQ140" i="1" s="1"/>
  <c r="GJ140" i="1"/>
  <c r="GK140" i="1" s="1"/>
  <c r="GL140" i="1" s="1"/>
  <c r="GE140" i="1"/>
  <c r="GF140" i="1" s="1"/>
  <c r="GG140" i="1" s="1"/>
  <c r="FZ140" i="1"/>
  <c r="GA140" i="1" s="1"/>
  <c r="GB140" i="1" s="1"/>
  <c r="FU140" i="1"/>
  <c r="FV140" i="1" s="1"/>
  <c r="FW140" i="1" s="1"/>
  <c r="FP140" i="1"/>
  <c r="FQ140" i="1" s="1"/>
  <c r="FR140" i="1" s="1"/>
  <c r="FK140" i="1"/>
  <c r="FL140" i="1" s="1"/>
  <c r="FM140" i="1" s="1"/>
  <c r="FF140" i="1"/>
  <c r="FG140" i="1" s="1"/>
  <c r="FH140" i="1" s="1"/>
  <c r="FA140" i="1"/>
  <c r="FB140" i="1" s="1"/>
  <c r="FC140" i="1" s="1"/>
  <c r="EV140" i="1"/>
  <c r="EW140" i="1" s="1"/>
  <c r="EX140" i="1" s="1"/>
  <c r="EQ140" i="1"/>
  <c r="ER140" i="1" s="1"/>
  <c r="ES140" i="1" s="1"/>
  <c r="EL140" i="1"/>
  <c r="EM140" i="1" s="1"/>
  <c r="EN140" i="1" s="1"/>
  <c r="EE140" i="1"/>
  <c r="EF140" i="1" s="1"/>
  <c r="EG140" i="1" s="1"/>
  <c r="DZ140" i="1"/>
  <c r="EA140" i="1" s="1"/>
  <c r="EB140" i="1" s="1"/>
  <c r="DU140" i="1"/>
  <c r="DV140" i="1" s="1"/>
  <c r="DW140" i="1" s="1"/>
  <c r="DP140" i="1"/>
  <c r="DQ140" i="1" s="1"/>
  <c r="DR140" i="1" s="1"/>
  <c r="DK140" i="1"/>
  <c r="DL140" i="1" s="1"/>
  <c r="DM140" i="1" s="1"/>
  <c r="DF140" i="1"/>
  <c r="DG140" i="1" s="1"/>
  <c r="DH140" i="1" s="1"/>
  <c r="DA140" i="1"/>
  <c r="DB140" i="1" s="1"/>
  <c r="DC140" i="1" s="1"/>
  <c r="CV140" i="1"/>
  <c r="CW140" i="1" s="1"/>
  <c r="CX140" i="1" s="1"/>
  <c r="CQ140" i="1"/>
  <c r="CR140" i="1" s="1"/>
  <c r="CS140" i="1" s="1"/>
  <c r="CL140" i="1"/>
  <c r="CM140" i="1" s="1"/>
  <c r="CN140" i="1" s="1"/>
  <c r="CG140" i="1"/>
  <c r="CH140" i="1" s="1"/>
  <c r="CI140" i="1" s="1"/>
  <c r="CA140" i="1"/>
  <c r="CB140" i="1" s="1"/>
  <c r="CC140" i="1" s="1"/>
  <c r="BV140" i="1"/>
  <c r="BW140" i="1" s="1"/>
  <c r="BX140" i="1" s="1"/>
  <c r="BQ140" i="1"/>
  <c r="BR140" i="1" s="1"/>
  <c r="BS140" i="1" s="1"/>
  <c r="BL140" i="1"/>
  <c r="BM140" i="1" s="1"/>
  <c r="BN140" i="1" s="1"/>
  <c r="BG140" i="1"/>
  <c r="BH140" i="1" s="1"/>
  <c r="BI140" i="1" s="1"/>
  <c r="BB140" i="1"/>
  <c r="BC140" i="1" s="1"/>
  <c r="BD140" i="1" s="1"/>
  <c r="AW140" i="1"/>
  <c r="AX140" i="1" s="1"/>
  <c r="AY140" i="1" s="1"/>
  <c r="AR140" i="1"/>
  <c r="AS140" i="1" s="1"/>
  <c r="AT140" i="1" s="1"/>
  <c r="AM140" i="1"/>
  <c r="AN140" i="1" s="1"/>
  <c r="AO140" i="1" s="1"/>
  <c r="AH140" i="1"/>
  <c r="AI140" i="1" s="1"/>
  <c r="AJ140" i="1" s="1"/>
  <c r="AE140" i="1"/>
  <c r="W140" i="1"/>
  <c r="X140" i="1" s="1"/>
  <c r="Y140" i="1" s="1"/>
  <c r="S140" i="1"/>
  <c r="N140" i="1"/>
  <c r="G140" i="1"/>
  <c r="H140" i="1" s="1"/>
  <c r="I140" i="1" s="1"/>
  <c r="NZ139" i="1"/>
  <c r="NU139" i="1"/>
  <c r="NP139" i="1"/>
  <c r="NK139" i="1"/>
  <c r="NF139" i="1"/>
  <c r="NA139" i="1"/>
  <c r="MV139" i="1"/>
  <c r="MQ139" i="1"/>
  <c r="MM139" i="1"/>
  <c r="MI139" i="1"/>
  <c r="MD139" i="1"/>
  <c r="LY139" i="1"/>
  <c r="LT139" i="1"/>
  <c r="LO139" i="1"/>
  <c r="LJ139" i="1"/>
  <c r="LE139" i="1"/>
  <c r="KX139" i="1"/>
  <c r="KY139" i="1" s="1"/>
  <c r="KZ139" i="1" s="1"/>
  <c r="KV139" i="1"/>
  <c r="KQ139" i="1"/>
  <c r="KM139" i="1"/>
  <c r="KI139" i="1"/>
  <c r="KE139" i="1"/>
  <c r="KA139" i="1"/>
  <c r="JV139" i="1"/>
  <c r="JQ139" i="1"/>
  <c r="JM139" i="1"/>
  <c r="JI139" i="1"/>
  <c r="JB139" i="1"/>
  <c r="JC139" i="1" s="1"/>
  <c r="JD139" i="1" s="1"/>
  <c r="IW139" i="1"/>
  <c r="IX139" i="1" s="1"/>
  <c r="IY139" i="1" s="1"/>
  <c r="IR139" i="1"/>
  <c r="IS139" i="1" s="1"/>
  <c r="IT139" i="1" s="1"/>
  <c r="IM139" i="1"/>
  <c r="IN139" i="1" s="1"/>
  <c r="IO139" i="1" s="1"/>
  <c r="IH139" i="1"/>
  <c r="II139" i="1" s="1"/>
  <c r="IJ139" i="1" s="1"/>
  <c r="IC139" i="1"/>
  <c r="ID139" i="1" s="1"/>
  <c r="IE139" i="1" s="1"/>
  <c r="HX139" i="1"/>
  <c r="HY139" i="1" s="1"/>
  <c r="HZ139" i="1" s="1"/>
  <c r="HU139" i="1"/>
  <c r="HP139" i="1"/>
  <c r="HI139" i="1"/>
  <c r="HJ139" i="1" s="1"/>
  <c r="HK139" i="1" s="1"/>
  <c r="HD139" i="1"/>
  <c r="HE139" i="1" s="1"/>
  <c r="HF139" i="1" s="1"/>
  <c r="GY139" i="1"/>
  <c r="GZ139" i="1" s="1"/>
  <c r="HA139" i="1" s="1"/>
  <c r="GT139" i="1"/>
  <c r="GU139" i="1" s="1"/>
  <c r="GV139" i="1" s="1"/>
  <c r="GO139" i="1"/>
  <c r="GP139" i="1" s="1"/>
  <c r="GQ139" i="1" s="1"/>
  <c r="GJ139" i="1"/>
  <c r="GK139" i="1" s="1"/>
  <c r="GL139" i="1" s="1"/>
  <c r="GE139" i="1"/>
  <c r="GF139" i="1" s="1"/>
  <c r="GG139" i="1" s="1"/>
  <c r="FZ139" i="1"/>
  <c r="GA139" i="1" s="1"/>
  <c r="GB139" i="1" s="1"/>
  <c r="FU139" i="1"/>
  <c r="FV139" i="1" s="1"/>
  <c r="FW139" i="1" s="1"/>
  <c r="FP139" i="1"/>
  <c r="FQ139" i="1" s="1"/>
  <c r="FR139" i="1" s="1"/>
  <c r="FK139" i="1"/>
  <c r="FL139" i="1" s="1"/>
  <c r="FM139" i="1" s="1"/>
  <c r="FF139" i="1"/>
  <c r="FG139" i="1" s="1"/>
  <c r="FH139" i="1" s="1"/>
  <c r="FA139" i="1"/>
  <c r="FB139" i="1" s="1"/>
  <c r="FC139" i="1" s="1"/>
  <c r="EV139" i="1"/>
  <c r="EW139" i="1" s="1"/>
  <c r="EX139" i="1" s="1"/>
  <c r="EQ139" i="1"/>
  <c r="ER139" i="1" s="1"/>
  <c r="ES139" i="1" s="1"/>
  <c r="EL139" i="1"/>
  <c r="EM139" i="1" s="1"/>
  <c r="EN139" i="1" s="1"/>
  <c r="EE139" i="1"/>
  <c r="EF139" i="1" s="1"/>
  <c r="EG139" i="1" s="1"/>
  <c r="DZ139" i="1"/>
  <c r="EA139" i="1" s="1"/>
  <c r="EB139" i="1" s="1"/>
  <c r="DU139" i="1"/>
  <c r="DV139" i="1" s="1"/>
  <c r="DW139" i="1" s="1"/>
  <c r="DP139" i="1"/>
  <c r="DQ139" i="1" s="1"/>
  <c r="DR139" i="1" s="1"/>
  <c r="DK139" i="1"/>
  <c r="DL139" i="1" s="1"/>
  <c r="DM139" i="1" s="1"/>
  <c r="DF139" i="1"/>
  <c r="DG139" i="1" s="1"/>
  <c r="DH139" i="1" s="1"/>
  <c r="DA139" i="1"/>
  <c r="DB139" i="1" s="1"/>
  <c r="DC139" i="1" s="1"/>
  <c r="CV139" i="1"/>
  <c r="CW139" i="1" s="1"/>
  <c r="CX139" i="1" s="1"/>
  <c r="CQ139" i="1"/>
  <c r="CR139" i="1" s="1"/>
  <c r="CS139" i="1" s="1"/>
  <c r="CL139" i="1"/>
  <c r="CM139" i="1" s="1"/>
  <c r="CN139" i="1" s="1"/>
  <c r="CG139" i="1"/>
  <c r="CH139" i="1" s="1"/>
  <c r="CI139" i="1" s="1"/>
  <c r="CA139" i="1"/>
  <c r="CB139" i="1" s="1"/>
  <c r="CC139" i="1" s="1"/>
  <c r="BV139" i="1"/>
  <c r="BW139" i="1" s="1"/>
  <c r="BX139" i="1" s="1"/>
  <c r="BQ139" i="1"/>
  <c r="BR139" i="1" s="1"/>
  <c r="BS139" i="1" s="1"/>
  <c r="BL139" i="1"/>
  <c r="BM139" i="1" s="1"/>
  <c r="BN139" i="1" s="1"/>
  <c r="BG139" i="1"/>
  <c r="BH139" i="1" s="1"/>
  <c r="BI139" i="1" s="1"/>
  <c r="BB139" i="1"/>
  <c r="BC139" i="1" s="1"/>
  <c r="BD139" i="1" s="1"/>
  <c r="AW139" i="1"/>
  <c r="AX139" i="1" s="1"/>
  <c r="AY139" i="1" s="1"/>
  <c r="AR139" i="1"/>
  <c r="AS139" i="1" s="1"/>
  <c r="AT139" i="1" s="1"/>
  <c r="AM139" i="1"/>
  <c r="AN139" i="1" s="1"/>
  <c r="AO139" i="1" s="1"/>
  <c r="AH139" i="1"/>
  <c r="AI139" i="1" s="1"/>
  <c r="AJ139" i="1" s="1"/>
  <c r="AC139" i="1"/>
  <c r="AD139" i="1" s="1"/>
  <c r="AE139" i="1" s="1"/>
  <c r="W139" i="1"/>
  <c r="X139" i="1" s="1"/>
  <c r="Y139" i="1" s="1"/>
  <c r="S139" i="1"/>
  <c r="N139" i="1"/>
  <c r="I139" i="1"/>
  <c r="NZ138" i="1"/>
  <c r="NU138" i="1"/>
  <c r="NP138" i="1"/>
  <c r="NK138" i="1"/>
  <c r="NF138" i="1"/>
  <c r="NA138" i="1"/>
  <c r="MV138" i="1"/>
  <c r="MQ138" i="1"/>
  <c r="MM138" i="1"/>
  <c r="MI138" i="1"/>
  <c r="MD138" i="1"/>
  <c r="LY138" i="1"/>
  <c r="LT138" i="1"/>
  <c r="LO138" i="1"/>
  <c r="LJ138" i="1"/>
  <c r="LE138" i="1"/>
  <c r="KZ138" i="1"/>
  <c r="KV138" i="1"/>
  <c r="KQ138" i="1"/>
  <c r="KM138" i="1"/>
  <c r="KI138" i="1"/>
  <c r="KE138" i="1"/>
  <c r="KA138" i="1"/>
  <c r="JV138" i="1"/>
  <c r="JQ138" i="1"/>
  <c r="JM138" i="1"/>
  <c r="JI138" i="1"/>
  <c r="JD138" i="1"/>
  <c r="IY138" i="1"/>
  <c r="IT138" i="1"/>
  <c r="IO138" i="1"/>
  <c r="IJ138" i="1"/>
  <c r="IE138" i="1"/>
  <c r="HZ138" i="1"/>
  <c r="HU138" i="1"/>
  <c r="HP138" i="1"/>
  <c r="HK138" i="1"/>
  <c r="HD138" i="1"/>
  <c r="HE138" i="1" s="1"/>
  <c r="HF138" i="1" s="1"/>
  <c r="GY138" i="1"/>
  <c r="GZ138" i="1" s="1"/>
  <c r="HA138" i="1" s="1"/>
  <c r="GT138" i="1"/>
  <c r="GU138" i="1" s="1"/>
  <c r="GV138" i="1" s="1"/>
  <c r="GO138" i="1"/>
  <c r="GP138" i="1" s="1"/>
  <c r="GQ138" i="1" s="1"/>
  <c r="GJ138" i="1"/>
  <c r="GK138" i="1" s="1"/>
  <c r="GL138" i="1" s="1"/>
  <c r="GE138" i="1"/>
  <c r="GF138" i="1" s="1"/>
  <c r="GG138" i="1" s="1"/>
  <c r="FZ138" i="1"/>
  <c r="GA138" i="1" s="1"/>
  <c r="GB138" i="1" s="1"/>
  <c r="FU138" i="1"/>
  <c r="FV138" i="1" s="1"/>
  <c r="FW138" i="1" s="1"/>
  <c r="FP138" i="1"/>
  <c r="FQ138" i="1" s="1"/>
  <c r="FR138" i="1" s="1"/>
  <c r="FK138" i="1"/>
  <c r="FL138" i="1" s="1"/>
  <c r="FM138" i="1" s="1"/>
  <c r="FF138" i="1"/>
  <c r="FG138" i="1" s="1"/>
  <c r="FH138" i="1" s="1"/>
  <c r="FA138" i="1"/>
  <c r="FB138" i="1" s="1"/>
  <c r="FC138" i="1" s="1"/>
  <c r="EV138" i="1"/>
  <c r="EW138" i="1" s="1"/>
  <c r="EX138" i="1" s="1"/>
  <c r="EQ138" i="1"/>
  <c r="ER138" i="1" s="1"/>
  <c r="ES138" i="1" s="1"/>
  <c r="EL138" i="1"/>
  <c r="EM138" i="1" s="1"/>
  <c r="EN138" i="1" s="1"/>
  <c r="EE138" i="1"/>
  <c r="EF138" i="1" s="1"/>
  <c r="EG138" i="1" s="1"/>
  <c r="DZ138" i="1"/>
  <c r="EA138" i="1" s="1"/>
  <c r="EB138" i="1" s="1"/>
  <c r="DU138" i="1"/>
  <c r="DV138" i="1" s="1"/>
  <c r="DW138" i="1" s="1"/>
  <c r="DP138" i="1"/>
  <c r="DQ138" i="1" s="1"/>
  <c r="DR138" i="1" s="1"/>
  <c r="DK138" i="1"/>
  <c r="DL138" i="1" s="1"/>
  <c r="DM138" i="1" s="1"/>
  <c r="DF138" i="1"/>
  <c r="DG138" i="1" s="1"/>
  <c r="DH138" i="1" s="1"/>
  <c r="DA138" i="1"/>
  <c r="DB138" i="1" s="1"/>
  <c r="DC138" i="1" s="1"/>
  <c r="CV138" i="1"/>
  <c r="CW138" i="1" s="1"/>
  <c r="CX138" i="1" s="1"/>
  <c r="CQ138" i="1"/>
  <c r="CR138" i="1" s="1"/>
  <c r="CS138" i="1" s="1"/>
  <c r="CL138" i="1"/>
  <c r="CM138" i="1" s="1"/>
  <c r="CN138" i="1" s="1"/>
  <c r="CG138" i="1"/>
  <c r="CH138" i="1" s="1"/>
  <c r="CI138" i="1" s="1"/>
  <c r="CA138" i="1"/>
  <c r="CB138" i="1" s="1"/>
  <c r="CC138" i="1" s="1"/>
  <c r="BV138" i="1"/>
  <c r="BW138" i="1" s="1"/>
  <c r="BX138" i="1" s="1"/>
  <c r="BQ138" i="1"/>
  <c r="BR138" i="1" s="1"/>
  <c r="BS138" i="1" s="1"/>
  <c r="BL138" i="1"/>
  <c r="BM138" i="1" s="1"/>
  <c r="BN138" i="1" s="1"/>
  <c r="BG138" i="1"/>
  <c r="BH138" i="1" s="1"/>
  <c r="BI138" i="1" s="1"/>
  <c r="BB138" i="1"/>
  <c r="BC138" i="1" s="1"/>
  <c r="BD138" i="1" s="1"/>
  <c r="AW138" i="1"/>
  <c r="AX138" i="1" s="1"/>
  <c r="AY138" i="1" s="1"/>
  <c r="AR138" i="1"/>
  <c r="AS138" i="1" s="1"/>
  <c r="AT138" i="1" s="1"/>
  <c r="AM138" i="1"/>
  <c r="AN138" i="1" s="1"/>
  <c r="AO138" i="1" s="1"/>
  <c r="AH138" i="1"/>
  <c r="AI138" i="1" s="1"/>
  <c r="AJ138" i="1" s="1"/>
  <c r="AE138" i="1"/>
  <c r="W138" i="1"/>
  <c r="X138" i="1" s="1"/>
  <c r="Y138" i="1" s="1"/>
  <c r="S138" i="1"/>
  <c r="N138" i="1"/>
  <c r="I138" i="1"/>
  <c r="NZ137" i="1"/>
  <c r="NU137" i="1"/>
  <c r="NP137" i="1"/>
  <c r="NK137" i="1"/>
  <c r="NF137" i="1"/>
  <c r="NA137" i="1"/>
  <c r="MV137" i="1"/>
  <c r="MQ137" i="1"/>
  <c r="MM137" i="1"/>
  <c r="MI137" i="1"/>
  <c r="MD137" i="1"/>
  <c r="LW137" i="1"/>
  <c r="LX137" i="1" s="1"/>
  <c r="LY137" i="1" s="1"/>
  <c r="LR137" i="1"/>
  <c r="LS137" i="1" s="1"/>
  <c r="LT137" i="1" s="1"/>
  <c r="LO137" i="1"/>
  <c r="LJ137" i="1"/>
  <c r="LE137" i="1"/>
  <c r="KX137" i="1"/>
  <c r="KY137" i="1" s="1"/>
  <c r="KZ137" i="1" s="1"/>
  <c r="KV137" i="1"/>
  <c r="KQ137" i="1"/>
  <c r="KM137" i="1"/>
  <c r="KI137" i="1"/>
  <c r="KE137" i="1"/>
  <c r="KA137" i="1"/>
  <c r="JV137" i="1"/>
  <c r="JQ137" i="1"/>
  <c r="JM137" i="1"/>
  <c r="JI137" i="1"/>
  <c r="JB137" i="1"/>
  <c r="JC137" i="1" s="1"/>
  <c r="JD137" i="1" s="1"/>
  <c r="IW137" i="1"/>
  <c r="IX137" i="1" s="1"/>
  <c r="IY137" i="1" s="1"/>
  <c r="IR137" i="1"/>
  <c r="IS137" i="1" s="1"/>
  <c r="IT137" i="1" s="1"/>
  <c r="IM137" i="1"/>
  <c r="IN137" i="1" s="1"/>
  <c r="IO137" i="1" s="1"/>
  <c r="IH137" i="1"/>
  <c r="II137" i="1" s="1"/>
  <c r="IJ137" i="1" s="1"/>
  <c r="IC137" i="1"/>
  <c r="ID137" i="1" s="1"/>
  <c r="IE137" i="1" s="1"/>
  <c r="HX137" i="1"/>
  <c r="HY137" i="1" s="1"/>
  <c r="HZ137" i="1" s="1"/>
  <c r="HU137" i="1"/>
  <c r="HP137" i="1"/>
  <c r="HI137" i="1"/>
  <c r="HJ137" i="1" s="1"/>
  <c r="HK137" i="1" s="1"/>
  <c r="HD137" i="1"/>
  <c r="HE137" i="1" s="1"/>
  <c r="HF137" i="1" s="1"/>
  <c r="GY137" i="1"/>
  <c r="GZ137" i="1" s="1"/>
  <c r="HA137" i="1" s="1"/>
  <c r="GT137" i="1"/>
  <c r="GU137" i="1" s="1"/>
  <c r="GV137" i="1" s="1"/>
  <c r="GO137" i="1"/>
  <c r="GP137" i="1" s="1"/>
  <c r="GQ137" i="1" s="1"/>
  <c r="GJ137" i="1"/>
  <c r="GK137" i="1" s="1"/>
  <c r="GL137" i="1" s="1"/>
  <c r="GE137" i="1"/>
  <c r="GF137" i="1" s="1"/>
  <c r="GG137" i="1" s="1"/>
  <c r="FZ137" i="1"/>
  <c r="GA137" i="1" s="1"/>
  <c r="GB137" i="1" s="1"/>
  <c r="FU137" i="1"/>
  <c r="FV137" i="1" s="1"/>
  <c r="FW137" i="1" s="1"/>
  <c r="FP137" i="1"/>
  <c r="FQ137" i="1" s="1"/>
  <c r="FR137" i="1" s="1"/>
  <c r="FK137" i="1"/>
  <c r="FL137" i="1" s="1"/>
  <c r="FM137" i="1" s="1"/>
  <c r="FF137" i="1"/>
  <c r="FG137" i="1" s="1"/>
  <c r="FH137" i="1" s="1"/>
  <c r="FA137" i="1"/>
  <c r="FB137" i="1" s="1"/>
  <c r="FC137" i="1" s="1"/>
  <c r="EV137" i="1"/>
  <c r="EW137" i="1" s="1"/>
  <c r="EX137" i="1" s="1"/>
  <c r="EQ137" i="1"/>
  <c r="ER137" i="1" s="1"/>
  <c r="ES137" i="1" s="1"/>
  <c r="EL137" i="1"/>
  <c r="EM137" i="1" s="1"/>
  <c r="EN137" i="1" s="1"/>
  <c r="EE137" i="1"/>
  <c r="EF137" i="1" s="1"/>
  <c r="EG137" i="1" s="1"/>
  <c r="DZ137" i="1"/>
  <c r="EA137" i="1" s="1"/>
  <c r="EB137" i="1" s="1"/>
  <c r="DU137" i="1"/>
  <c r="DV137" i="1" s="1"/>
  <c r="DW137" i="1" s="1"/>
  <c r="DP137" i="1"/>
  <c r="DQ137" i="1" s="1"/>
  <c r="DR137" i="1" s="1"/>
  <c r="DK137" i="1"/>
  <c r="DL137" i="1" s="1"/>
  <c r="DM137" i="1" s="1"/>
  <c r="DF137" i="1"/>
  <c r="DG137" i="1" s="1"/>
  <c r="DH137" i="1" s="1"/>
  <c r="DA137" i="1"/>
  <c r="DB137" i="1" s="1"/>
  <c r="DC137" i="1" s="1"/>
  <c r="CV137" i="1"/>
  <c r="CW137" i="1" s="1"/>
  <c r="CX137" i="1" s="1"/>
  <c r="CQ137" i="1"/>
  <c r="CR137" i="1" s="1"/>
  <c r="CS137" i="1" s="1"/>
  <c r="CL137" i="1"/>
  <c r="CM137" i="1" s="1"/>
  <c r="CN137" i="1" s="1"/>
  <c r="CG137" i="1"/>
  <c r="CH137" i="1" s="1"/>
  <c r="CI137" i="1" s="1"/>
  <c r="CA137" i="1"/>
  <c r="CB137" i="1" s="1"/>
  <c r="CC137" i="1" s="1"/>
  <c r="BV137" i="1"/>
  <c r="BW137" i="1" s="1"/>
  <c r="BX137" i="1" s="1"/>
  <c r="BQ137" i="1"/>
  <c r="BR137" i="1" s="1"/>
  <c r="BS137" i="1" s="1"/>
  <c r="BL137" i="1"/>
  <c r="BM137" i="1" s="1"/>
  <c r="BN137" i="1" s="1"/>
  <c r="BG137" i="1"/>
  <c r="BH137" i="1" s="1"/>
  <c r="BI137" i="1" s="1"/>
  <c r="BB137" i="1"/>
  <c r="BC137" i="1" s="1"/>
  <c r="BD137" i="1" s="1"/>
  <c r="AW137" i="1"/>
  <c r="AX137" i="1" s="1"/>
  <c r="AY137" i="1" s="1"/>
  <c r="AR137" i="1"/>
  <c r="AS137" i="1" s="1"/>
  <c r="AT137" i="1" s="1"/>
  <c r="AM137" i="1"/>
  <c r="AN137" i="1" s="1"/>
  <c r="AO137" i="1" s="1"/>
  <c r="AH137" i="1"/>
  <c r="AI137" i="1" s="1"/>
  <c r="AJ137" i="1" s="1"/>
  <c r="AC137" i="1"/>
  <c r="AD137" i="1" s="1"/>
  <c r="AE137" i="1" s="1"/>
  <c r="W137" i="1"/>
  <c r="X137" i="1" s="1"/>
  <c r="Y137" i="1" s="1"/>
  <c r="S137" i="1"/>
  <c r="N137" i="1"/>
  <c r="I137" i="1"/>
  <c r="NZ136" i="1"/>
  <c r="NU136" i="1"/>
  <c r="NP136" i="1"/>
  <c r="NK136" i="1"/>
  <c r="NF136" i="1"/>
  <c r="NA136" i="1"/>
  <c r="MV136" i="1"/>
  <c r="MQ136" i="1"/>
  <c r="MM136" i="1"/>
  <c r="MI136" i="1"/>
  <c r="MD136" i="1"/>
  <c r="LY136" i="1"/>
  <c r="LT136" i="1"/>
  <c r="LO136" i="1"/>
  <c r="LJ136" i="1"/>
  <c r="LC136" i="1"/>
  <c r="LD136" i="1" s="1"/>
  <c r="LE136" i="1" s="1"/>
  <c r="KZ136" i="1"/>
  <c r="KV136" i="1"/>
  <c r="KQ136" i="1"/>
  <c r="KM136" i="1"/>
  <c r="KI136" i="1"/>
  <c r="KE136" i="1"/>
  <c r="KA136" i="1"/>
  <c r="JV136" i="1"/>
  <c r="JQ136" i="1"/>
  <c r="JM136" i="1"/>
  <c r="JI136" i="1"/>
  <c r="JB136" i="1"/>
  <c r="JC136" i="1" s="1"/>
  <c r="JD136" i="1" s="1"/>
  <c r="IW136" i="1"/>
  <c r="IX136" i="1" s="1"/>
  <c r="IY136" i="1" s="1"/>
  <c r="IT136" i="1"/>
  <c r="IO136" i="1"/>
  <c r="IH136" i="1"/>
  <c r="II136" i="1" s="1"/>
  <c r="IJ136" i="1" s="1"/>
  <c r="IE136" i="1"/>
  <c r="HZ136" i="1"/>
  <c r="HU136" i="1"/>
  <c r="HP136" i="1"/>
  <c r="HI136" i="1"/>
  <c r="HJ136" i="1" s="1"/>
  <c r="HK136" i="1" s="1"/>
  <c r="HD136" i="1"/>
  <c r="HE136" i="1" s="1"/>
  <c r="HF136" i="1" s="1"/>
  <c r="GY136" i="1"/>
  <c r="GZ136" i="1" s="1"/>
  <c r="HA136" i="1" s="1"/>
  <c r="GT136" i="1"/>
  <c r="GU136" i="1" s="1"/>
  <c r="GV136" i="1" s="1"/>
  <c r="GO136" i="1"/>
  <c r="GP136" i="1" s="1"/>
  <c r="GQ136" i="1" s="1"/>
  <c r="GJ136" i="1"/>
  <c r="GK136" i="1" s="1"/>
  <c r="GL136" i="1" s="1"/>
  <c r="GE136" i="1"/>
  <c r="GF136" i="1" s="1"/>
  <c r="GG136" i="1" s="1"/>
  <c r="FZ136" i="1"/>
  <c r="GA136" i="1" s="1"/>
  <c r="GB136" i="1" s="1"/>
  <c r="FU136" i="1"/>
  <c r="FV136" i="1" s="1"/>
  <c r="FW136" i="1" s="1"/>
  <c r="FP136" i="1"/>
  <c r="FQ136" i="1" s="1"/>
  <c r="FR136" i="1" s="1"/>
  <c r="FK136" i="1"/>
  <c r="FL136" i="1" s="1"/>
  <c r="FM136" i="1" s="1"/>
  <c r="FF136" i="1"/>
  <c r="FG136" i="1" s="1"/>
  <c r="FH136" i="1" s="1"/>
  <c r="FA136" i="1"/>
  <c r="FB136" i="1" s="1"/>
  <c r="FC136" i="1" s="1"/>
  <c r="EV136" i="1"/>
  <c r="EW136" i="1" s="1"/>
  <c r="EX136" i="1" s="1"/>
  <c r="EQ136" i="1"/>
  <c r="ER136" i="1" s="1"/>
  <c r="ES136" i="1" s="1"/>
  <c r="EL136" i="1"/>
  <c r="EM136" i="1" s="1"/>
  <c r="EN136" i="1" s="1"/>
  <c r="EE136" i="1"/>
  <c r="EF136" i="1" s="1"/>
  <c r="EG136" i="1" s="1"/>
  <c r="DZ136" i="1"/>
  <c r="EA136" i="1" s="1"/>
  <c r="EB136" i="1" s="1"/>
  <c r="DU136" i="1"/>
  <c r="DV136" i="1" s="1"/>
  <c r="DW136" i="1" s="1"/>
  <c r="DP136" i="1"/>
  <c r="DQ136" i="1" s="1"/>
  <c r="DR136" i="1" s="1"/>
  <c r="DK136" i="1"/>
  <c r="DL136" i="1" s="1"/>
  <c r="DM136" i="1" s="1"/>
  <c r="DF136" i="1"/>
  <c r="DG136" i="1" s="1"/>
  <c r="DH136" i="1" s="1"/>
  <c r="DA136" i="1"/>
  <c r="DB136" i="1" s="1"/>
  <c r="DC136" i="1" s="1"/>
  <c r="CV136" i="1"/>
  <c r="CW136" i="1" s="1"/>
  <c r="CX136" i="1" s="1"/>
  <c r="CQ136" i="1"/>
  <c r="CR136" i="1" s="1"/>
  <c r="CS136" i="1" s="1"/>
  <c r="CL136" i="1"/>
  <c r="CM136" i="1" s="1"/>
  <c r="CN136" i="1" s="1"/>
  <c r="CG136" i="1"/>
  <c r="CH136" i="1" s="1"/>
  <c r="CI136" i="1" s="1"/>
  <c r="CA136" i="1"/>
  <c r="CB136" i="1" s="1"/>
  <c r="CC136" i="1" s="1"/>
  <c r="BV136" i="1"/>
  <c r="BW136" i="1" s="1"/>
  <c r="BX136" i="1" s="1"/>
  <c r="BQ136" i="1"/>
  <c r="BR136" i="1" s="1"/>
  <c r="BS136" i="1" s="1"/>
  <c r="BL136" i="1"/>
  <c r="BM136" i="1" s="1"/>
  <c r="BN136" i="1" s="1"/>
  <c r="BG136" i="1"/>
  <c r="BH136" i="1" s="1"/>
  <c r="BI136" i="1" s="1"/>
  <c r="BB136" i="1"/>
  <c r="BC136" i="1" s="1"/>
  <c r="BD136" i="1" s="1"/>
  <c r="AW136" i="1"/>
  <c r="AX136" i="1" s="1"/>
  <c r="AY136" i="1" s="1"/>
  <c r="AR136" i="1"/>
  <c r="AS136" i="1" s="1"/>
  <c r="AT136" i="1" s="1"/>
  <c r="AM136" i="1"/>
  <c r="AN136" i="1" s="1"/>
  <c r="AO136" i="1" s="1"/>
  <c r="AH136" i="1"/>
  <c r="AI136" i="1" s="1"/>
  <c r="AJ136" i="1" s="1"/>
  <c r="AC136" i="1"/>
  <c r="AD136" i="1" s="1"/>
  <c r="AE136" i="1" s="1"/>
  <c r="W136" i="1"/>
  <c r="X136" i="1" s="1"/>
  <c r="Y136" i="1" s="1"/>
  <c r="S136" i="1"/>
  <c r="N136" i="1"/>
  <c r="I136" i="1"/>
  <c r="NZ135" i="1"/>
  <c r="NU135" i="1"/>
  <c r="NP135" i="1"/>
  <c r="NK135" i="1"/>
  <c r="NF135" i="1"/>
  <c r="NA135" i="1"/>
  <c r="MV135" i="1"/>
  <c r="MQ135" i="1"/>
  <c r="MM135" i="1"/>
  <c r="MI135" i="1"/>
  <c r="MD135" i="1"/>
  <c r="LY135" i="1"/>
  <c r="LT135" i="1"/>
  <c r="LO135" i="1"/>
  <c r="LJ135" i="1"/>
  <c r="LE135" i="1"/>
  <c r="KZ135" i="1"/>
  <c r="KV135" i="1"/>
  <c r="KQ135" i="1"/>
  <c r="KM135" i="1"/>
  <c r="KI135" i="1"/>
  <c r="KE135" i="1"/>
  <c r="KA135" i="1"/>
  <c r="JV135" i="1"/>
  <c r="JQ135" i="1"/>
  <c r="JM135" i="1"/>
  <c r="JI135" i="1"/>
  <c r="JD135" i="1"/>
  <c r="IY135" i="1"/>
  <c r="IT135" i="1"/>
  <c r="IO135" i="1"/>
  <c r="IJ135" i="1"/>
  <c r="IE135" i="1"/>
  <c r="HZ135" i="1"/>
  <c r="HU135" i="1"/>
  <c r="HP135" i="1"/>
  <c r="HK135" i="1"/>
  <c r="HD135" i="1"/>
  <c r="HE135" i="1" s="1"/>
  <c r="HF135" i="1" s="1"/>
  <c r="GY135" i="1"/>
  <c r="GZ135" i="1" s="1"/>
  <c r="HA135" i="1" s="1"/>
  <c r="GT135" i="1"/>
  <c r="GU135" i="1" s="1"/>
  <c r="GV135" i="1" s="1"/>
  <c r="GO135" i="1"/>
  <c r="GP135" i="1" s="1"/>
  <c r="GQ135" i="1" s="1"/>
  <c r="GJ135" i="1"/>
  <c r="GK135" i="1" s="1"/>
  <c r="GL135" i="1" s="1"/>
  <c r="GE135" i="1"/>
  <c r="GF135" i="1" s="1"/>
  <c r="GG135" i="1" s="1"/>
  <c r="FZ135" i="1"/>
  <c r="GA135" i="1" s="1"/>
  <c r="GB135" i="1" s="1"/>
  <c r="FU135" i="1"/>
  <c r="FV135" i="1" s="1"/>
  <c r="FW135" i="1" s="1"/>
  <c r="FP135" i="1"/>
  <c r="FQ135" i="1" s="1"/>
  <c r="FR135" i="1" s="1"/>
  <c r="FK135" i="1"/>
  <c r="FL135" i="1" s="1"/>
  <c r="FM135" i="1" s="1"/>
  <c r="FF135" i="1"/>
  <c r="FG135" i="1" s="1"/>
  <c r="FH135" i="1" s="1"/>
  <c r="FA135" i="1"/>
  <c r="FB135" i="1" s="1"/>
  <c r="FC135" i="1" s="1"/>
  <c r="EV135" i="1"/>
  <c r="EW135" i="1" s="1"/>
  <c r="EX135" i="1" s="1"/>
  <c r="EQ135" i="1"/>
  <c r="ER135" i="1" s="1"/>
  <c r="ES135" i="1" s="1"/>
  <c r="EL135" i="1"/>
  <c r="EM135" i="1" s="1"/>
  <c r="EN135" i="1" s="1"/>
  <c r="EE135" i="1"/>
  <c r="EF135" i="1" s="1"/>
  <c r="EG135" i="1" s="1"/>
  <c r="DZ135" i="1"/>
  <c r="EA135" i="1" s="1"/>
  <c r="EB135" i="1" s="1"/>
  <c r="DU135" i="1"/>
  <c r="DV135" i="1" s="1"/>
  <c r="DW135" i="1" s="1"/>
  <c r="DP135" i="1"/>
  <c r="DQ135" i="1" s="1"/>
  <c r="DR135" i="1" s="1"/>
  <c r="DK135" i="1"/>
  <c r="DL135" i="1" s="1"/>
  <c r="DM135" i="1" s="1"/>
  <c r="DF135" i="1"/>
  <c r="DG135" i="1" s="1"/>
  <c r="DH135" i="1" s="1"/>
  <c r="DA135" i="1"/>
  <c r="DB135" i="1" s="1"/>
  <c r="DC135" i="1" s="1"/>
  <c r="CV135" i="1"/>
  <c r="CW135" i="1" s="1"/>
  <c r="CX135" i="1" s="1"/>
  <c r="CQ135" i="1"/>
  <c r="CR135" i="1" s="1"/>
  <c r="CS135" i="1" s="1"/>
  <c r="CL135" i="1"/>
  <c r="CM135" i="1" s="1"/>
  <c r="CN135" i="1" s="1"/>
  <c r="CG135" i="1"/>
  <c r="CH135" i="1" s="1"/>
  <c r="CI135" i="1" s="1"/>
  <c r="CA135" i="1"/>
  <c r="CB135" i="1" s="1"/>
  <c r="CC135" i="1" s="1"/>
  <c r="BV135" i="1"/>
  <c r="BW135" i="1" s="1"/>
  <c r="BX135" i="1" s="1"/>
  <c r="BQ135" i="1"/>
  <c r="BR135" i="1" s="1"/>
  <c r="BS135" i="1" s="1"/>
  <c r="BL135" i="1"/>
  <c r="BM135" i="1" s="1"/>
  <c r="BN135" i="1" s="1"/>
  <c r="BG135" i="1"/>
  <c r="BH135" i="1" s="1"/>
  <c r="BI135" i="1" s="1"/>
  <c r="BB135" i="1"/>
  <c r="BC135" i="1" s="1"/>
  <c r="BD135" i="1" s="1"/>
  <c r="AW135" i="1"/>
  <c r="AX135" i="1" s="1"/>
  <c r="AY135" i="1" s="1"/>
  <c r="AR135" i="1"/>
  <c r="AS135" i="1" s="1"/>
  <c r="AT135" i="1" s="1"/>
  <c r="AM135" i="1"/>
  <c r="AN135" i="1" s="1"/>
  <c r="AO135" i="1" s="1"/>
  <c r="AH135" i="1"/>
  <c r="AI135" i="1" s="1"/>
  <c r="AJ135" i="1" s="1"/>
  <c r="AE135" i="1"/>
  <c r="W135" i="1"/>
  <c r="X135" i="1" s="1"/>
  <c r="Y135" i="1" s="1"/>
  <c r="S135" i="1"/>
  <c r="N135" i="1"/>
  <c r="G135" i="1"/>
  <c r="H135" i="1" s="1"/>
  <c r="I135" i="1" s="1"/>
  <c r="NZ134" i="1"/>
  <c r="NU134" i="1"/>
  <c r="NP134" i="1"/>
  <c r="NK134" i="1"/>
  <c r="NF134" i="1"/>
  <c r="NA134" i="1"/>
  <c r="MV134" i="1"/>
  <c r="MQ134" i="1"/>
  <c r="MM134" i="1"/>
  <c r="MI134" i="1"/>
  <c r="MD134" i="1"/>
  <c r="LY134" i="1"/>
  <c r="LT134" i="1"/>
  <c r="LO134" i="1"/>
  <c r="LJ134" i="1"/>
  <c r="LE134" i="1"/>
  <c r="KZ134" i="1"/>
  <c r="KV134" i="1"/>
  <c r="KQ134" i="1"/>
  <c r="KM134" i="1"/>
  <c r="KI134" i="1"/>
  <c r="KE134" i="1"/>
  <c r="KA134" i="1"/>
  <c r="JV134" i="1"/>
  <c r="JQ134" i="1"/>
  <c r="JM134" i="1"/>
  <c r="JI134" i="1"/>
  <c r="JD134" i="1"/>
  <c r="IY134" i="1"/>
  <c r="IT134" i="1"/>
  <c r="IO134" i="1"/>
  <c r="IJ134" i="1"/>
  <c r="IE134" i="1"/>
  <c r="HZ134" i="1"/>
  <c r="HU134" i="1"/>
  <c r="HP134" i="1"/>
  <c r="HK134" i="1"/>
  <c r="HD134" i="1"/>
  <c r="HE134" i="1" s="1"/>
  <c r="HF134" i="1" s="1"/>
  <c r="GY134" i="1"/>
  <c r="GZ134" i="1" s="1"/>
  <c r="HA134" i="1" s="1"/>
  <c r="GT134" i="1"/>
  <c r="GU134" i="1" s="1"/>
  <c r="GV134" i="1" s="1"/>
  <c r="GO134" i="1"/>
  <c r="GP134" i="1" s="1"/>
  <c r="GQ134" i="1" s="1"/>
  <c r="GJ134" i="1"/>
  <c r="GK134" i="1" s="1"/>
  <c r="GL134" i="1" s="1"/>
  <c r="GE134" i="1"/>
  <c r="GF134" i="1" s="1"/>
  <c r="GG134" i="1" s="1"/>
  <c r="FZ134" i="1"/>
  <c r="GA134" i="1" s="1"/>
  <c r="GB134" i="1" s="1"/>
  <c r="FU134" i="1"/>
  <c r="FV134" i="1" s="1"/>
  <c r="FW134" i="1" s="1"/>
  <c r="FP134" i="1"/>
  <c r="FQ134" i="1" s="1"/>
  <c r="FR134" i="1" s="1"/>
  <c r="FK134" i="1"/>
  <c r="FL134" i="1" s="1"/>
  <c r="FM134" i="1" s="1"/>
  <c r="FF134" i="1"/>
  <c r="FG134" i="1" s="1"/>
  <c r="FH134" i="1" s="1"/>
  <c r="FA134" i="1"/>
  <c r="FB134" i="1" s="1"/>
  <c r="FC134" i="1" s="1"/>
  <c r="EV134" i="1"/>
  <c r="EW134" i="1" s="1"/>
  <c r="EX134" i="1" s="1"/>
  <c r="EQ134" i="1"/>
  <c r="ER134" i="1" s="1"/>
  <c r="ES134" i="1" s="1"/>
  <c r="EL134" i="1"/>
  <c r="EM134" i="1" s="1"/>
  <c r="EN134" i="1" s="1"/>
  <c r="EE134" i="1"/>
  <c r="EF134" i="1" s="1"/>
  <c r="EG134" i="1" s="1"/>
  <c r="DZ134" i="1"/>
  <c r="EA134" i="1" s="1"/>
  <c r="EB134" i="1" s="1"/>
  <c r="DU134" i="1"/>
  <c r="DV134" i="1" s="1"/>
  <c r="DW134" i="1" s="1"/>
  <c r="DP134" i="1"/>
  <c r="DQ134" i="1" s="1"/>
  <c r="DR134" i="1" s="1"/>
  <c r="DK134" i="1"/>
  <c r="DL134" i="1" s="1"/>
  <c r="DM134" i="1" s="1"/>
  <c r="DF134" i="1"/>
  <c r="DG134" i="1" s="1"/>
  <c r="DH134" i="1" s="1"/>
  <c r="DA134" i="1"/>
  <c r="DB134" i="1" s="1"/>
  <c r="DC134" i="1" s="1"/>
  <c r="CV134" i="1"/>
  <c r="CW134" i="1" s="1"/>
  <c r="CX134" i="1" s="1"/>
  <c r="CQ134" i="1"/>
  <c r="CR134" i="1" s="1"/>
  <c r="CS134" i="1" s="1"/>
  <c r="CL134" i="1"/>
  <c r="CM134" i="1" s="1"/>
  <c r="CN134" i="1" s="1"/>
  <c r="CG134" i="1"/>
  <c r="CH134" i="1" s="1"/>
  <c r="CI134" i="1" s="1"/>
  <c r="CA134" i="1"/>
  <c r="CB134" i="1" s="1"/>
  <c r="CC134" i="1" s="1"/>
  <c r="BV134" i="1"/>
  <c r="BW134" i="1" s="1"/>
  <c r="BX134" i="1" s="1"/>
  <c r="BQ134" i="1"/>
  <c r="BR134" i="1" s="1"/>
  <c r="BS134" i="1" s="1"/>
  <c r="BL134" i="1"/>
  <c r="BM134" i="1" s="1"/>
  <c r="BN134" i="1" s="1"/>
  <c r="BG134" i="1"/>
  <c r="BH134" i="1" s="1"/>
  <c r="BI134" i="1" s="1"/>
  <c r="BB134" i="1"/>
  <c r="BC134" i="1" s="1"/>
  <c r="BD134" i="1" s="1"/>
  <c r="AW134" i="1"/>
  <c r="AX134" i="1" s="1"/>
  <c r="AY134" i="1" s="1"/>
  <c r="AR134" i="1"/>
  <c r="AS134" i="1" s="1"/>
  <c r="AT134" i="1" s="1"/>
  <c r="AM134" i="1"/>
  <c r="AN134" i="1" s="1"/>
  <c r="AO134" i="1" s="1"/>
  <c r="AH134" i="1"/>
  <c r="AI134" i="1" s="1"/>
  <c r="AJ134" i="1" s="1"/>
  <c r="AE134" i="1"/>
  <c r="W134" i="1"/>
  <c r="X134" i="1" s="1"/>
  <c r="Y134" i="1" s="1"/>
  <c r="S134" i="1"/>
  <c r="N134" i="1"/>
  <c r="I134" i="1"/>
  <c r="NZ133" i="1"/>
  <c r="NU133" i="1"/>
  <c r="NP133" i="1"/>
  <c r="NK133" i="1"/>
  <c r="NF133" i="1"/>
  <c r="NA133" i="1"/>
  <c r="MV133" i="1"/>
  <c r="MQ133" i="1"/>
  <c r="MM133" i="1"/>
  <c r="MI133" i="1"/>
  <c r="MD133" i="1"/>
  <c r="LY133" i="1"/>
  <c r="LT133" i="1"/>
  <c r="LO133" i="1"/>
  <c r="LJ133" i="1"/>
  <c r="LC133" i="1"/>
  <c r="LD133" i="1" s="1"/>
  <c r="LE133" i="1" s="1"/>
  <c r="KX133" i="1"/>
  <c r="KY133" i="1" s="1"/>
  <c r="KZ133" i="1" s="1"/>
  <c r="KT133" i="1"/>
  <c r="KU133" i="1" s="1"/>
  <c r="KV133" i="1" s="1"/>
  <c r="KQ133" i="1"/>
  <c r="KM133" i="1"/>
  <c r="KG133" i="1"/>
  <c r="KH133" i="1" s="1"/>
  <c r="KI133" i="1" s="1"/>
  <c r="KE133" i="1"/>
  <c r="KA133" i="1"/>
  <c r="JV133" i="1"/>
  <c r="JQ133" i="1"/>
  <c r="JM133" i="1"/>
  <c r="JI133" i="1"/>
  <c r="JB133" i="1"/>
  <c r="JC133" i="1" s="1"/>
  <c r="JD133" i="1" s="1"/>
  <c r="IW133" i="1"/>
  <c r="IX133" i="1" s="1"/>
  <c r="IY133" i="1" s="1"/>
  <c r="IR133" i="1"/>
  <c r="IS133" i="1" s="1"/>
  <c r="IT133" i="1" s="1"/>
  <c r="IM133" i="1"/>
  <c r="IN133" i="1" s="1"/>
  <c r="IO133" i="1" s="1"/>
  <c r="IH133" i="1"/>
  <c r="II133" i="1" s="1"/>
  <c r="IJ133" i="1" s="1"/>
  <c r="IC133" i="1"/>
  <c r="ID133" i="1" s="1"/>
  <c r="IE133" i="1" s="1"/>
  <c r="HX133" i="1"/>
  <c r="HY133" i="1" s="1"/>
  <c r="HZ133" i="1" s="1"/>
  <c r="HS133" i="1"/>
  <c r="HT133" i="1" s="1"/>
  <c r="HU133" i="1" s="1"/>
  <c r="HN133" i="1"/>
  <c r="HO133" i="1" s="1"/>
  <c r="HP133" i="1" s="1"/>
  <c r="HI133" i="1"/>
  <c r="HJ133" i="1" s="1"/>
  <c r="HK133" i="1" s="1"/>
  <c r="HD133" i="1"/>
  <c r="HE133" i="1" s="1"/>
  <c r="HF133" i="1" s="1"/>
  <c r="GY133" i="1"/>
  <c r="GZ133" i="1" s="1"/>
  <c r="HA133" i="1" s="1"/>
  <c r="GT133" i="1"/>
  <c r="GU133" i="1" s="1"/>
  <c r="GV133" i="1" s="1"/>
  <c r="GO133" i="1"/>
  <c r="GP133" i="1" s="1"/>
  <c r="GQ133" i="1" s="1"/>
  <c r="GJ133" i="1"/>
  <c r="GK133" i="1" s="1"/>
  <c r="GL133" i="1" s="1"/>
  <c r="GE133" i="1"/>
  <c r="GF133" i="1" s="1"/>
  <c r="GG133" i="1" s="1"/>
  <c r="FZ133" i="1"/>
  <c r="GA133" i="1" s="1"/>
  <c r="GB133" i="1" s="1"/>
  <c r="FU133" i="1"/>
  <c r="FV133" i="1" s="1"/>
  <c r="FW133" i="1" s="1"/>
  <c r="FP133" i="1"/>
  <c r="FQ133" i="1" s="1"/>
  <c r="FR133" i="1" s="1"/>
  <c r="FK133" i="1"/>
  <c r="FL133" i="1" s="1"/>
  <c r="FM133" i="1" s="1"/>
  <c r="FF133" i="1"/>
  <c r="FG133" i="1" s="1"/>
  <c r="FH133" i="1" s="1"/>
  <c r="FA133" i="1"/>
  <c r="FB133" i="1" s="1"/>
  <c r="FC133" i="1" s="1"/>
  <c r="EV133" i="1"/>
  <c r="EW133" i="1" s="1"/>
  <c r="EX133" i="1" s="1"/>
  <c r="EQ133" i="1"/>
  <c r="ER133" i="1" s="1"/>
  <c r="ES133" i="1" s="1"/>
  <c r="EL133" i="1"/>
  <c r="EM133" i="1" s="1"/>
  <c r="EN133" i="1" s="1"/>
  <c r="EE133" i="1"/>
  <c r="EF133" i="1" s="1"/>
  <c r="EG133" i="1" s="1"/>
  <c r="DZ133" i="1"/>
  <c r="EA133" i="1" s="1"/>
  <c r="EB133" i="1" s="1"/>
  <c r="DU133" i="1"/>
  <c r="DV133" i="1" s="1"/>
  <c r="DW133" i="1" s="1"/>
  <c r="DP133" i="1"/>
  <c r="DQ133" i="1" s="1"/>
  <c r="DR133" i="1" s="1"/>
  <c r="DK133" i="1"/>
  <c r="DL133" i="1" s="1"/>
  <c r="DM133" i="1" s="1"/>
  <c r="DF133" i="1"/>
  <c r="DG133" i="1" s="1"/>
  <c r="DH133" i="1" s="1"/>
  <c r="DA133" i="1"/>
  <c r="DB133" i="1" s="1"/>
  <c r="DC133" i="1" s="1"/>
  <c r="CV133" i="1"/>
  <c r="CW133" i="1" s="1"/>
  <c r="CX133" i="1" s="1"/>
  <c r="CQ133" i="1"/>
  <c r="CR133" i="1" s="1"/>
  <c r="CS133" i="1" s="1"/>
  <c r="CL133" i="1"/>
  <c r="CM133" i="1" s="1"/>
  <c r="CN133" i="1" s="1"/>
  <c r="CG133" i="1"/>
  <c r="CH133" i="1" s="1"/>
  <c r="CI133" i="1" s="1"/>
  <c r="CA133" i="1"/>
  <c r="CB133" i="1" s="1"/>
  <c r="CC133" i="1" s="1"/>
  <c r="BV133" i="1"/>
  <c r="BW133" i="1" s="1"/>
  <c r="BX133" i="1" s="1"/>
  <c r="BQ133" i="1"/>
  <c r="BR133" i="1" s="1"/>
  <c r="BS133" i="1" s="1"/>
  <c r="BL133" i="1"/>
  <c r="BM133" i="1" s="1"/>
  <c r="BN133" i="1" s="1"/>
  <c r="BG133" i="1"/>
  <c r="BH133" i="1" s="1"/>
  <c r="BI133" i="1" s="1"/>
  <c r="BB133" i="1"/>
  <c r="BC133" i="1" s="1"/>
  <c r="BD133" i="1" s="1"/>
  <c r="AW133" i="1"/>
  <c r="AX133" i="1" s="1"/>
  <c r="AY133" i="1" s="1"/>
  <c r="AR133" i="1"/>
  <c r="AS133" i="1" s="1"/>
  <c r="AT133" i="1" s="1"/>
  <c r="AM133" i="1"/>
  <c r="AN133" i="1" s="1"/>
  <c r="AO133" i="1" s="1"/>
  <c r="AH133" i="1"/>
  <c r="AI133" i="1" s="1"/>
  <c r="AJ133" i="1" s="1"/>
  <c r="AC133" i="1"/>
  <c r="AD133" i="1" s="1"/>
  <c r="AE133" i="1" s="1"/>
  <c r="W133" i="1"/>
  <c r="X133" i="1" s="1"/>
  <c r="Y133" i="1" s="1"/>
  <c r="S133" i="1"/>
  <c r="N133" i="1"/>
  <c r="I133" i="1"/>
  <c r="NZ132" i="1"/>
  <c r="NU132" i="1"/>
  <c r="NP132" i="1"/>
  <c r="NK132" i="1"/>
  <c r="NF132" i="1"/>
  <c r="NA132" i="1"/>
  <c r="MV132" i="1"/>
  <c r="MQ132" i="1"/>
  <c r="MM132" i="1"/>
  <c r="MI132" i="1"/>
  <c r="MD132" i="1"/>
  <c r="LY132" i="1"/>
  <c r="LT132" i="1"/>
  <c r="LO132" i="1"/>
  <c r="LJ132" i="1"/>
  <c r="LE132" i="1"/>
  <c r="KZ132" i="1"/>
  <c r="KV132" i="1"/>
  <c r="KO132" i="1"/>
  <c r="KP132" i="1" s="1"/>
  <c r="KQ132" i="1" s="1"/>
  <c r="KM132" i="1"/>
  <c r="KI132" i="1"/>
  <c r="KE132" i="1"/>
  <c r="KA132" i="1"/>
  <c r="JV132" i="1"/>
  <c r="JQ132" i="1"/>
  <c r="JM132" i="1"/>
  <c r="JI132" i="1"/>
  <c r="JD132" i="1"/>
  <c r="IY132" i="1"/>
  <c r="IT132" i="1"/>
  <c r="IO132" i="1"/>
  <c r="IJ132" i="1"/>
  <c r="IE132" i="1"/>
  <c r="HZ132" i="1"/>
  <c r="HU132" i="1"/>
  <c r="HP132" i="1"/>
  <c r="HI132" i="1"/>
  <c r="HJ132" i="1" s="1"/>
  <c r="HK132" i="1" s="1"/>
  <c r="HD132" i="1"/>
  <c r="HE132" i="1" s="1"/>
  <c r="HF132" i="1" s="1"/>
  <c r="GY132" i="1"/>
  <c r="GZ132" i="1" s="1"/>
  <c r="HA132" i="1" s="1"/>
  <c r="GT132" i="1"/>
  <c r="GU132" i="1" s="1"/>
  <c r="GV132" i="1" s="1"/>
  <c r="GO132" i="1"/>
  <c r="GP132" i="1" s="1"/>
  <c r="GQ132" i="1" s="1"/>
  <c r="GJ132" i="1"/>
  <c r="GK132" i="1" s="1"/>
  <c r="GL132" i="1" s="1"/>
  <c r="GE132" i="1"/>
  <c r="GF132" i="1" s="1"/>
  <c r="GG132" i="1" s="1"/>
  <c r="FZ132" i="1"/>
  <c r="GA132" i="1" s="1"/>
  <c r="GB132" i="1" s="1"/>
  <c r="FU132" i="1"/>
  <c r="FV132" i="1" s="1"/>
  <c r="FW132" i="1" s="1"/>
  <c r="FP132" i="1"/>
  <c r="FQ132" i="1" s="1"/>
  <c r="FR132" i="1" s="1"/>
  <c r="FK132" i="1"/>
  <c r="FL132" i="1" s="1"/>
  <c r="FM132" i="1" s="1"/>
  <c r="FF132" i="1"/>
  <c r="FG132" i="1" s="1"/>
  <c r="FH132" i="1" s="1"/>
  <c r="FA132" i="1"/>
  <c r="FB132" i="1" s="1"/>
  <c r="FC132" i="1" s="1"/>
  <c r="EV132" i="1"/>
  <c r="EW132" i="1" s="1"/>
  <c r="EX132" i="1" s="1"/>
  <c r="EQ132" i="1"/>
  <c r="ER132" i="1" s="1"/>
  <c r="ES132" i="1" s="1"/>
  <c r="EL132" i="1"/>
  <c r="EM132" i="1" s="1"/>
  <c r="EN132" i="1" s="1"/>
  <c r="EE132" i="1"/>
  <c r="EF132" i="1" s="1"/>
  <c r="EG132" i="1" s="1"/>
  <c r="DZ132" i="1"/>
  <c r="EA132" i="1" s="1"/>
  <c r="EB132" i="1" s="1"/>
  <c r="DU132" i="1"/>
  <c r="DV132" i="1" s="1"/>
  <c r="DW132" i="1" s="1"/>
  <c r="DP132" i="1"/>
  <c r="DQ132" i="1" s="1"/>
  <c r="DR132" i="1" s="1"/>
  <c r="DK132" i="1"/>
  <c r="DL132" i="1" s="1"/>
  <c r="DM132" i="1" s="1"/>
  <c r="DF132" i="1"/>
  <c r="DG132" i="1" s="1"/>
  <c r="DH132" i="1" s="1"/>
  <c r="DA132" i="1"/>
  <c r="DB132" i="1" s="1"/>
  <c r="DC132" i="1" s="1"/>
  <c r="CV132" i="1"/>
  <c r="CW132" i="1" s="1"/>
  <c r="CX132" i="1" s="1"/>
  <c r="CQ132" i="1"/>
  <c r="CR132" i="1" s="1"/>
  <c r="CS132" i="1" s="1"/>
  <c r="CL132" i="1"/>
  <c r="CM132" i="1" s="1"/>
  <c r="CN132" i="1" s="1"/>
  <c r="CG132" i="1"/>
  <c r="CH132" i="1" s="1"/>
  <c r="CI132" i="1" s="1"/>
  <c r="CA132" i="1"/>
  <c r="CB132" i="1" s="1"/>
  <c r="CC132" i="1" s="1"/>
  <c r="BV132" i="1"/>
  <c r="BW132" i="1" s="1"/>
  <c r="BX132" i="1" s="1"/>
  <c r="BQ132" i="1"/>
  <c r="BR132" i="1" s="1"/>
  <c r="BS132" i="1" s="1"/>
  <c r="BL132" i="1"/>
  <c r="BM132" i="1" s="1"/>
  <c r="BN132" i="1" s="1"/>
  <c r="BG132" i="1"/>
  <c r="BH132" i="1" s="1"/>
  <c r="BI132" i="1" s="1"/>
  <c r="BB132" i="1"/>
  <c r="BC132" i="1" s="1"/>
  <c r="BD132" i="1" s="1"/>
  <c r="AW132" i="1"/>
  <c r="AX132" i="1" s="1"/>
  <c r="AY132" i="1" s="1"/>
  <c r="AR132" i="1"/>
  <c r="AS132" i="1" s="1"/>
  <c r="AT132" i="1" s="1"/>
  <c r="AM132" i="1"/>
  <c r="AN132" i="1" s="1"/>
  <c r="AO132" i="1" s="1"/>
  <c r="AH132" i="1"/>
  <c r="AI132" i="1" s="1"/>
  <c r="AJ132" i="1" s="1"/>
  <c r="AE132" i="1"/>
  <c r="W132" i="1"/>
  <c r="X132" i="1" s="1"/>
  <c r="Y132" i="1" s="1"/>
  <c r="Q132" i="1"/>
  <c r="R132" i="1" s="1"/>
  <c r="S132" i="1" s="1"/>
  <c r="N132" i="1"/>
  <c r="I132" i="1"/>
  <c r="NZ131" i="1"/>
  <c r="NU131" i="1"/>
  <c r="NP131" i="1"/>
  <c r="NK131" i="1"/>
  <c r="NF131" i="1"/>
  <c r="NA131" i="1"/>
  <c r="MV131" i="1"/>
  <c r="MQ131" i="1"/>
  <c r="MM131" i="1"/>
  <c r="MI131" i="1"/>
  <c r="MD131" i="1"/>
  <c r="LY131" i="1"/>
  <c r="LT131" i="1"/>
  <c r="LO131" i="1"/>
  <c r="LJ131" i="1"/>
  <c r="LE131" i="1"/>
  <c r="KZ131" i="1"/>
  <c r="KV131" i="1"/>
  <c r="KQ131" i="1"/>
  <c r="KM131" i="1"/>
  <c r="KI131" i="1"/>
  <c r="KE131" i="1"/>
  <c r="KA131" i="1"/>
  <c r="JV131" i="1"/>
  <c r="JQ131" i="1"/>
  <c r="JM131" i="1"/>
  <c r="JI131" i="1"/>
  <c r="JD131" i="1"/>
  <c r="IY131" i="1"/>
  <c r="IR131" i="1"/>
  <c r="IS131" i="1" s="1"/>
  <c r="IT131" i="1" s="1"/>
  <c r="IO131" i="1"/>
  <c r="IJ131" i="1"/>
  <c r="IE131" i="1"/>
  <c r="HZ131" i="1"/>
  <c r="HU131" i="1"/>
  <c r="HP131" i="1"/>
  <c r="HI131" i="1"/>
  <c r="HJ131" i="1" s="1"/>
  <c r="HK131" i="1" s="1"/>
  <c r="HD131" i="1"/>
  <c r="HE131" i="1" s="1"/>
  <c r="HF131" i="1" s="1"/>
  <c r="GY131" i="1"/>
  <c r="GZ131" i="1" s="1"/>
  <c r="HA131" i="1" s="1"/>
  <c r="GT131" i="1"/>
  <c r="GU131" i="1" s="1"/>
  <c r="GV131" i="1" s="1"/>
  <c r="GO131" i="1"/>
  <c r="GP131" i="1" s="1"/>
  <c r="GQ131" i="1" s="1"/>
  <c r="GJ131" i="1"/>
  <c r="GK131" i="1" s="1"/>
  <c r="GL131" i="1" s="1"/>
  <c r="GE131" i="1"/>
  <c r="GF131" i="1" s="1"/>
  <c r="GG131" i="1" s="1"/>
  <c r="FZ131" i="1"/>
  <c r="GA131" i="1" s="1"/>
  <c r="GB131" i="1" s="1"/>
  <c r="FU131" i="1"/>
  <c r="FV131" i="1" s="1"/>
  <c r="FW131" i="1" s="1"/>
  <c r="FP131" i="1"/>
  <c r="FQ131" i="1" s="1"/>
  <c r="FR131" i="1" s="1"/>
  <c r="FK131" i="1"/>
  <c r="FL131" i="1" s="1"/>
  <c r="FM131" i="1" s="1"/>
  <c r="FF131" i="1"/>
  <c r="FG131" i="1" s="1"/>
  <c r="FH131" i="1" s="1"/>
  <c r="FA131" i="1"/>
  <c r="FB131" i="1" s="1"/>
  <c r="FC131" i="1" s="1"/>
  <c r="EV131" i="1"/>
  <c r="EW131" i="1" s="1"/>
  <c r="EX131" i="1" s="1"/>
  <c r="EQ131" i="1"/>
  <c r="ER131" i="1" s="1"/>
  <c r="ES131" i="1" s="1"/>
  <c r="EL131" i="1"/>
  <c r="EM131" i="1" s="1"/>
  <c r="EN131" i="1" s="1"/>
  <c r="EE131" i="1"/>
  <c r="EF131" i="1" s="1"/>
  <c r="EG131" i="1" s="1"/>
  <c r="DZ131" i="1"/>
  <c r="EA131" i="1" s="1"/>
  <c r="EB131" i="1" s="1"/>
  <c r="DU131" i="1"/>
  <c r="DV131" i="1" s="1"/>
  <c r="DW131" i="1" s="1"/>
  <c r="DP131" i="1"/>
  <c r="DQ131" i="1" s="1"/>
  <c r="DR131" i="1" s="1"/>
  <c r="DK131" i="1"/>
  <c r="DL131" i="1" s="1"/>
  <c r="DM131" i="1" s="1"/>
  <c r="DF131" i="1"/>
  <c r="DG131" i="1" s="1"/>
  <c r="DH131" i="1" s="1"/>
  <c r="DA131" i="1"/>
  <c r="DB131" i="1" s="1"/>
  <c r="DC131" i="1" s="1"/>
  <c r="CV131" i="1"/>
  <c r="CW131" i="1" s="1"/>
  <c r="CX131" i="1" s="1"/>
  <c r="CQ131" i="1"/>
  <c r="CR131" i="1" s="1"/>
  <c r="CS131" i="1" s="1"/>
  <c r="CL131" i="1"/>
  <c r="CM131" i="1" s="1"/>
  <c r="CN131" i="1" s="1"/>
  <c r="CG131" i="1"/>
  <c r="CH131" i="1" s="1"/>
  <c r="CI131" i="1" s="1"/>
  <c r="CA131" i="1"/>
  <c r="CB131" i="1" s="1"/>
  <c r="CC131" i="1" s="1"/>
  <c r="BV131" i="1"/>
  <c r="BW131" i="1" s="1"/>
  <c r="BX131" i="1" s="1"/>
  <c r="BQ131" i="1"/>
  <c r="BR131" i="1" s="1"/>
  <c r="BS131" i="1" s="1"/>
  <c r="BL131" i="1"/>
  <c r="BM131" i="1" s="1"/>
  <c r="BN131" i="1" s="1"/>
  <c r="BG131" i="1"/>
  <c r="BH131" i="1" s="1"/>
  <c r="BI131" i="1" s="1"/>
  <c r="BB131" i="1"/>
  <c r="BC131" i="1" s="1"/>
  <c r="BD131" i="1" s="1"/>
  <c r="AW131" i="1"/>
  <c r="AX131" i="1" s="1"/>
  <c r="AY131" i="1" s="1"/>
  <c r="AR131" i="1"/>
  <c r="AS131" i="1" s="1"/>
  <c r="AT131" i="1" s="1"/>
  <c r="AM131" i="1"/>
  <c r="AN131" i="1" s="1"/>
  <c r="AO131" i="1" s="1"/>
  <c r="AH131" i="1"/>
  <c r="AI131" i="1" s="1"/>
  <c r="AJ131" i="1" s="1"/>
  <c r="AC131" i="1"/>
  <c r="AD131" i="1" s="1"/>
  <c r="AE131" i="1" s="1"/>
  <c r="W131" i="1"/>
  <c r="X131" i="1" s="1"/>
  <c r="Y131" i="1" s="1"/>
  <c r="S131" i="1"/>
  <c r="N131" i="1"/>
  <c r="I131" i="1"/>
  <c r="NZ130" i="1"/>
  <c r="NU130" i="1"/>
  <c r="NP130" i="1"/>
  <c r="NK130" i="1"/>
  <c r="NF130" i="1"/>
  <c r="NA130" i="1"/>
  <c r="MV130" i="1"/>
  <c r="MQ130" i="1"/>
  <c r="MM130" i="1"/>
  <c r="MI130" i="1"/>
  <c r="MD130" i="1"/>
  <c r="LY130" i="1"/>
  <c r="LT130" i="1"/>
  <c r="LO130" i="1"/>
  <c r="LJ130" i="1"/>
  <c r="LE130" i="1"/>
  <c r="KZ130" i="1"/>
  <c r="KV130" i="1"/>
  <c r="KQ130" i="1"/>
  <c r="KM130" i="1"/>
  <c r="KI130" i="1"/>
  <c r="KE130" i="1"/>
  <c r="KA130" i="1"/>
  <c r="JV130" i="1"/>
  <c r="JQ130" i="1"/>
  <c r="JM130" i="1"/>
  <c r="JI130" i="1"/>
  <c r="JD130" i="1"/>
  <c r="IY130" i="1"/>
  <c r="IT130" i="1"/>
  <c r="IO130" i="1"/>
  <c r="IJ130" i="1"/>
  <c r="IE130" i="1"/>
  <c r="HZ130" i="1"/>
  <c r="HU130" i="1"/>
  <c r="HP130" i="1"/>
  <c r="HK130" i="1"/>
  <c r="HD130" i="1"/>
  <c r="HE130" i="1" s="1"/>
  <c r="HF130" i="1" s="1"/>
  <c r="GY130" i="1"/>
  <c r="GZ130" i="1" s="1"/>
  <c r="HA130" i="1" s="1"/>
  <c r="GT130" i="1"/>
  <c r="GU130" i="1" s="1"/>
  <c r="GV130" i="1" s="1"/>
  <c r="GO130" i="1"/>
  <c r="GP130" i="1" s="1"/>
  <c r="GQ130" i="1" s="1"/>
  <c r="GJ130" i="1"/>
  <c r="GK130" i="1" s="1"/>
  <c r="GL130" i="1" s="1"/>
  <c r="GE130" i="1"/>
  <c r="GF130" i="1" s="1"/>
  <c r="GG130" i="1" s="1"/>
  <c r="FZ130" i="1"/>
  <c r="GA130" i="1" s="1"/>
  <c r="GB130" i="1" s="1"/>
  <c r="FU130" i="1"/>
  <c r="FV130" i="1" s="1"/>
  <c r="FW130" i="1" s="1"/>
  <c r="FP130" i="1"/>
  <c r="FQ130" i="1" s="1"/>
  <c r="FR130" i="1" s="1"/>
  <c r="FK130" i="1"/>
  <c r="FL130" i="1" s="1"/>
  <c r="FM130" i="1" s="1"/>
  <c r="FF130" i="1"/>
  <c r="FG130" i="1" s="1"/>
  <c r="FH130" i="1" s="1"/>
  <c r="FA130" i="1"/>
  <c r="FB130" i="1" s="1"/>
  <c r="FC130" i="1" s="1"/>
  <c r="EV130" i="1"/>
  <c r="EW130" i="1" s="1"/>
  <c r="EX130" i="1" s="1"/>
  <c r="EQ130" i="1"/>
  <c r="ER130" i="1" s="1"/>
  <c r="ES130" i="1" s="1"/>
  <c r="EL130" i="1"/>
  <c r="EM130" i="1" s="1"/>
  <c r="EN130" i="1" s="1"/>
  <c r="EE130" i="1"/>
  <c r="EF130" i="1" s="1"/>
  <c r="EG130" i="1" s="1"/>
  <c r="DZ130" i="1"/>
  <c r="EA130" i="1" s="1"/>
  <c r="EB130" i="1" s="1"/>
  <c r="DU130" i="1"/>
  <c r="DV130" i="1" s="1"/>
  <c r="DW130" i="1" s="1"/>
  <c r="DP130" i="1"/>
  <c r="DQ130" i="1" s="1"/>
  <c r="DR130" i="1" s="1"/>
  <c r="DK130" i="1"/>
  <c r="DL130" i="1" s="1"/>
  <c r="DM130" i="1" s="1"/>
  <c r="DF130" i="1"/>
  <c r="DG130" i="1" s="1"/>
  <c r="DH130" i="1" s="1"/>
  <c r="DA130" i="1"/>
  <c r="DB130" i="1" s="1"/>
  <c r="DC130" i="1" s="1"/>
  <c r="CV130" i="1"/>
  <c r="CW130" i="1" s="1"/>
  <c r="CX130" i="1" s="1"/>
  <c r="CQ130" i="1"/>
  <c r="CR130" i="1" s="1"/>
  <c r="CS130" i="1" s="1"/>
  <c r="CL130" i="1"/>
  <c r="CM130" i="1" s="1"/>
  <c r="CN130" i="1" s="1"/>
  <c r="CG130" i="1"/>
  <c r="CH130" i="1" s="1"/>
  <c r="CI130" i="1" s="1"/>
  <c r="CA130" i="1"/>
  <c r="CB130" i="1" s="1"/>
  <c r="CC130" i="1" s="1"/>
  <c r="BV130" i="1"/>
  <c r="BW130" i="1" s="1"/>
  <c r="BX130" i="1" s="1"/>
  <c r="BQ130" i="1"/>
  <c r="BR130" i="1" s="1"/>
  <c r="BS130" i="1" s="1"/>
  <c r="BL130" i="1"/>
  <c r="BM130" i="1" s="1"/>
  <c r="BN130" i="1" s="1"/>
  <c r="BG130" i="1"/>
  <c r="BH130" i="1" s="1"/>
  <c r="BI130" i="1" s="1"/>
  <c r="BB130" i="1"/>
  <c r="BC130" i="1" s="1"/>
  <c r="BD130" i="1" s="1"/>
  <c r="AW130" i="1"/>
  <c r="AX130" i="1" s="1"/>
  <c r="AY130" i="1" s="1"/>
  <c r="AR130" i="1"/>
  <c r="AS130" i="1" s="1"/>
  <c r="AT130" i="1" s="1"/>
  <c r="AM130" i="1"/>
  <c r="AN130" i="1" s="1"/>
  <c r="AO130" i="1" s="1"/>
  <c r="AH130" i="1"/>
  <c r="AI130" i="1" s="1"/>
  <c r="AJ130" i="1" s="1"/>
  <c r="AE130" i="1"/>
  <c r="W130" i="1"/>
  <c r="X130" i="1" s="1"/>
  <c r="Y130" i="1" s="1"/>
  <c r="S130" i="1"/>
  <c r="N130" i="1"/>
  <c r="I130" i="1"/>
  <c r="NZ129" i="1"/>
  <c r="NU129" i="1"/>
  <c r="NP129" i="1"/>
  <c r="NK129" i="1"/>
  <c r="NF129" i="1"/>
  <c r="NA129" i="1"/>
  <c r="MV129" i="1"/>
  <c r="MQ129" i="1"/>
  <c r="MM129" i="1"/>
  <c r="MI129" i="1"/>
  <c r="MD129" i="1"/>
  <c r="LY129" i="1"/>
  <c r="LT129" i="1"/>
  <c r="LO129" i="1"/>
  <c r="LJ129" i="1"/>
  <c r="LC129" i="1"/>
  <c r="LD129" i="1" s="1"/>
  <c r="LE129" i="1" s="1"/>
  <c r="KZ129" i="1"/>
  <c r="KV129" i="1"/>
  <c r="KO129" i="1"/>
  <c r="KP129" i="1" s="1"/>
  <c r="KQ129" i="1" s="1"/>
  <c r="KM129" i="1"/>
  <c r="KI129" i="1"/>
  <c r="KE129" i="1"/>
  <c r="KA129" i="1"/>
  <c r="JV129" i="1"/>
  <c r="JQ129" i="1"/>
  <c r="JM129" i="1"/>
  <c r="JI129" i="1"/>
  <c r="JB129" i="1"/>
  <c r="JC129" i="1" s="1"/>
  <c r="JD129" i="1" s="1"/>
  <c r="IW129" i="1"/>
  <c r="IX129" i="1" s="1"/>
  <c r="IY129" i="1" s="1"/>
  <c r="IR129" i="1"/>
  <c r="IS129" i="1" s="1"/>
  <c r="IT129" i="1" s="1"/>
  <c r="IM129" i="1"/>
  <c r="IN129" i="1" s="1"/>
  <c r="IO129" i="1" s="1"/>
  <c r="IH129" i="1"/>
  <c r="II129" i="1" s="1"/>
  <c r="IJ129" i="1" s="1"/>
  <c r="IC129" i="1"/>
  <c r="ID129" i="1" s="1"/>
  <c r="IE129" i="1" s="1"/>
  <c r="HX129" i="1"/>
  <c r="HY129" i="1" s="1"/>
  <c r="HZ129" i="1" s="1"/>
  <c r="HU129" i="1"/>
  <c r="HP129" i="1"/>
  <c r="HI129" i="1"/>
  <c r="HJ129" i="1" s="1"/>
  <c r="HK129" i="1" s="1"/>
  <c r="HD129" i="1"/>
  <c r="HE129" i="1" s="1"/>
  <c r="HF129" i="1" s="1"/>
  <c r="GY129" i="1"/>
  <c r="GZ129" i="1" s="1"/>
  <c r="HA129" i="1" s="1"/>
  <c r="GT129" i="1"/>
  <c r="GU129" i="1" s="1"/>
  <c r="GV129" i="1" s="1"/>
  <c r="GO129" i="1"/>
  <c r="GP129" i="1" s="1"/>
  <c r="GQ129" i="1" s="1"/>
  <c r="GJ129" i="1"/>
  <c r="GK129" i="1" s="1"/>
  <c r="GL129" i="1" s="1"/>
  <c r="GE129" i="1"/>
  <c r="GF129" i="1" s="1"/>
  <c r="GG129" i="1" s="1"/>
  <c r="FZ129" i="1"/>
  <c r="GA129" i="1" s="1"/>
  <c r="GB129" i="1" s="1"/>
  <c r="FU129" i="1"/>
  <c r="FV129" i="1" s="1"/>
  <c r="FW129" i="1" s="1"/>
  <c r="FP129" i="1"/>
  <c r="FQ129" i="1" s="1"/>
  <c r="FR129" i="1" s="1"/>
  <c r="FK129" i="1"/>
  <c r="FL129" i="1" s="1"/>
  <c r="FM129" i="1" s="1"/>
  <c r="FF129" i="1"/>
  <c r="FG129" i="1" s="1"/>
  <c r="FH129" i="1" s="1"/>
  <c r="FA129" i="1"/>
  <c r="FB129" i="1" s="1"/>
  <c r="FC129" i="1" s="1"/>
  <c r="EV129" i="1"/>
  <c r="EW129" i="1" s="1"/>
  <c r="EX129" i="1" s="1"/>
  <c r="EQ129" i="1"/>
  <c r="ER129" i="1" s="1"/>
  <c r="ES129" i="1" s="1"/>
  <c r="EL129" i="1"/>
  <c r="EM129" i="1" s="1"/>
  <c r="EN129" i="1" s="1"/>
  <c r="EE129" i="1"/>
  <c r="EF129" i="1" s="1"/>
  <c r="EG129" i="1" s="1"/>
  <c r="DZ129" i="1"/>
  <c r="EA129" i="1" s="1"/>
  <c r="EB129" i="1" s="1"/>
  <c r="DU129" i="1"/>
  <c r="DV129" i="1" s="1"/>
  <c r="DW129" i="1" s="1"/>
  <c r="DP129" i="1"/>
  <c r="DQ129" i="1" s="1"/>
  <c r="DR129" i="1" s="1"/>
  <c r="DK129" i="1"/>
  <c r="DL129" i="1" s="1"/>
  <c r="DM129" i="1" s="1"/>
  <c r="DF129" i="1"/>
  <c r="DG129" i="1" s="1"/>
  <c r="DH129" i="1" s="1"/>
  <c r="DA129" i="1"/>
  <c r="DB129" i="1" s="1"/>
  <c r="DC129" i="1" s="1"/>
  <c r="CV129" i="1"/>
  <c r="CW129" i="1" s="1"/>
  <c r="CX129" i="1" s="1"/>
  <c r="CQ129" i="1"/>
  <c r="CR129" i="1" s="1"/>
  <c r="CS129" i="1" s="1"/>
  <c r="CL129" i="1"/>
  <c r="CM129" i="1" s="1"/>
  <c r="CN129" i="1" s="1"/>
  <c r="CG129" i="1"/>
  <c r="CH129" i="1" s="1"/>
  <c r="CI129" i="1" s="1"/>
  <c r="CA129" i="1"/>
  <c r="CB129" i="1" s="1"/>
  <c r="CC129" i="1" s="1"/>
  <c r="BV129" i="1"/>
  <c r="BW129" i="1" s="1"/>
  <c r="BX129" i="1" s="1"/>
  <c r="BQ129" i="1"/>
  <c r="BR129" i="1" s="1"/>
  <c r="BS129" i="1" s="1"/>
  <c r="BL129" i="1"/>
  <c r="BM129" i="1" s="1"/>
  <c r="BN129" i="1" s="1"/>
  <c r="BG129" i="1"/>
  <c r="BH129" i="1" s="1"/>
  <c r="BI129" i="1" s="1"/>
  <c r="BB129" i="1"/>
  <c r="BC129" i="1" s="1"/>
  <c r="BD129" i="1" s="1"/>
  <c r="AW129" i="1"/>
  <c r="AX129" i="1" s="1"/>
  <c r="AY129" i="1" s="1"/>
  <c r="AR129" i="1"/>
  <c r="AS129" i="1" s="1"/>
  <c r="AT129" i="1" s="1"/>
  <c r="AM129" i="1"/>
  <c r="AN129" i="1" s="1"/>
  <c r="AO129" i="1" s="1"/>
  <c r="AH129" i="1"/>
  <c r="AI129" i="1" s="1"/>
  <c r="AJ129" i="1" s="1"/>
  <c r="AC129" i="1"/>
  <c r="AD129" i="1" s="1"/>
  <c r="AE129" i="1" s="1"/>
  <c r="W129" i="1"/>
  <c r="X129" i="1" s="1"/>
  <c r="Y129" i="1" s="1"/>
  <c r="S129" i="1"/>
  <c r="N129" i="1"/>
  <c r="I129" i="1"/>
  <c r="NZ128" i="1"/>
  <c r="NU128" i="1"/>
  <c r="NP128" i="1"/>
  <c r="NK128" i="1"/>
  <c r="NF128" i="1"/>
  <c r="NA128" i="1"/>
  <c r="MV128" i="1"/>
  <c r="MQ128" i="1"/>
  <c r="MM128" i="1"/>
  <c r="MI128" i="1"/>
  <c r="MD128" i="1"/>
  <c r="LY128" i="1"/>
  <c r="LT128" i="1"/>
  <c r="LO128" i="1"/>
  <c r="LJ128" i="1"/>
  <c r="LE128" i="1"/>
  <c r="KZ128" i="1"/>
  <c r="KV128" i="1"/>
  <c r="KQ128" i="1"/>
  <c r="KM128" i="1"/>
  <c r="KI128" i="1"/>
  <c r="KE128" i="1"/>
  <c r="KA128" i="1"/>
  <c r="JV128" i="1"/>
  <c r="JQ128" i="1"/>
  <c r="JM128" i="1"/>
  <c r="JI128" i="1"/>
  <c r="JB128" i="1"/>
  <c r="JC128" i="1" s="1"/>
  <c r="JD128" i="1" s="1"/>
  <c r="IW128" i="1"/>
  <c r="IX128" i="1" s="1"/>
  <c r="IY128" i="1" s="1"/>
  <c r="IR128" i="1"/>
  <c r="IS128" i="1" s="1"/>
  <c r="IT128" i="1" s="1"/>
  <c r="IM128" i="1"/>
  <c r="IN128" i="1" s="1"/>
  <c r="IO128" i="1" s="1"/>
  <c r="IH128" i="1"/>
  <c r="II128" i="1" s="1"/>
  <c r="IJ128" i="1" s="1"/>
  <c r="IC128" i="1"/>
  <c r="ID128" i="1" s="1"/>
  <c r="IE128" i="1" s="1"/>
  <c r="HX128" i="1"/>
  <c r="HY128" i="1" s="1"/>
  <c r="HZ128" i="1" s="1"/>
  <c r="HU128" i="1"/>
  <c r="HP128" i="1"/>
  <c r="HI128" i="1"/>
  <c r="HJ128" i="1" s="1"/>
  <c r="HK128" i="1" s="1"/>
  <c r="HD128" i="1"/>
  <c r="HE128" i="1" s="1"/>
  <c r="HF128" i="1" s="1"/>
  <c r="GY128" i="1"/>
  <c r="GZ128" i="1" s="1"/>
  <c r="HA128" i="1" s="1"/>
  <c r="GT128" i="1"/>
  <c r="GU128" i="1" s="1"/>
  <c r="GV128" i="1" s="1"/>
  <c r="GO128" i="1"/>
  <c r="GP128" i="1" s="1"/>
  <c r="GQ128" i="1" s="1"/>
  <c r="GJ128" i="1"/>
  <c r="GK128" i="1" s="1"/>
  <c r="GL128" i="1" s="1"/>
  <c r="GE128" i="1"/>
  <c r="GF128" i="1" s="1"/>
  <c r="GG128" i="1" s="1"/>
  <c r="FZ128" i="1"/>
  <c r="GA128" i="1" s="1"/>
  <c r="GB128" i="1" s="1"/>
  <c r="FU128" i="1"/>
  <c r="FV128" i="1" s="1"/>
  <c r="FW128" i="1" s="1"/>
  <c r="FP128" i="1"/>
  <c r="FQ128" i="1" s="1"/>
  <c r="FR128" i="1" s="1"/>
  <c r="FK128" i="1"/>
  <c r="FL128" i="1" s="1"/>
  <c r="FM128" i="1" s="1"/>
  <c r="FF128" i="1"/>
  <c r="FG128" i="1" s="1"/>
  <c r="FH128" i="1" s="1"/>
  <c r="FA128" i="1"/>
  <c r="FB128" i="1" s="1"/>
  <c r="FC128" i="1" s="1"/>
  <c r="EV128" i="1"/>
  <c r="EW128" i="1" s="1"/>
  <c r="EX128" i="1" s="1"/>
  <c r="EQ128" i="1"/>
  <c r="ER128" i="1" s="1"/>
  <c r="ES128" i="1" s="1"/>
  <c r="EL128" i="1"/>
  <c r="EM128" i="1" s="1"/>
  <c r="EN128" i="1" s="1"/>
  <c r="EE128" i="1"/>
  <c r="EF128" i="1" s="1"/>
  <c r="EG128" i="1" s="1"/>
  <c r="DZ128" i="1"/>
  <c r="EA128" i="1" s="1"/>
  <c r="EB128" i="1" s="1"/>
  <c r="DU128" i="1"/>
  <c r="DV128" i="1" s="1"/>
  <c r="DW128" i="1" s="1"/>
  <c r="DP128" i="1"/>
  <c r="DQ128" i="1" s="1"/>
  <c r="DR128" i="1" s="1"/>
  <c r="DK128" i="1"/>
  <c r="DL128" i="1" s="1"/>
  <c r="DM128" i="1" s="1"/>
  <c r="DF128" i="1"/>
  <c r="DG128" i="1" s="1"/>
  <c r="DH128" i="1" s="1"/>
  <c r="DA128" i="1"/>
  <c r="DB128" i="1" s="1"/>
  <c r="DC128" i="1" s="1"/>
  <c r="CV128" i="1"/>
  <c r="CW128" i="1" s="1"/>
  <c r="CX128" i="1" s="1"/>
  <c r="CQ128" i="1"/>
  <c r="CR128" i="1" s="1"/>
  <c r="CS128" i="1" s="1"/>
  <c r="CL128" i="1"/>
  <c r="CM128" i="1" s="1"/>
  <c r="CN128" i="1" s="1"/>
  <c r="CG128" i="1"/>
  <c r="CH128" i="1" s="1"/>
  <c r="CI128" i="1" s="1"/>
  <c r="CA128" i="1"/>
  <c r="CB128" i="1" s="1"/>
  <c r="CC128" i="1" s="1"/>
  <c r="BV128" i="1"/>
  <c r="BW128" i="1" s="1"/>
  <c r="BX128" i="1" s="1"/>
  <c r="BQ128" i="1"/>
  <c r="BR128" i="1" s="1"/>
  <c r="BS128" i="1" s="1"/>
  <c r="BL128" i="1"/>
  <c r="BM128" i="1" s="1"/>
  <c r="BN128" i="1" s="1"/>
  <c r="BG128" i="1"/>
  <c r="BH128" i="1" s="1"/>
  <c r="BI128" i="1" s="1"/>
  <c r="BB128" i="1"/>
  <c r="BC128" i="1" s="1"/>
  <c r="BD128" i="1" s="1"/>
  <c r="AW128" i="1"/>
  <c r="AX128" i="1" s="1"/>
  <c r="AY128" i="1" s="1"/>
  <c r="AR128" i="1"/>
  <c r="AS128" i="1" s="1"/>
  <c r="AT128" i="1" s="1"/>
  <c r="AM128" i="1"/>
  <c r="AN128" i="1" s="1"/>
  <c r="AO128" i="1" s="1"/>
  <c r="AH128" i="1"/>
  <c r="AI128" i="1" s="1"/>
  <c r="AJ128" i="1" s="1"/>
  <c r="AC128" i="1"/>
  <c r="AD128" i="1" s="1"/>
  <c r="AE128" i="1" s="1"/>
  <c r="W128" i="1"/>
  <c r="X128" i="1" s="1"/>
  <c r="Y128" i="1" s="1"/>
  <c r="S128" i="1"/>
  <c r="N128" i="1"/>
  <c r="I128" i="1"/>
  <c r="NZ127" i="1"/>
  <c r="NU127" i="1"/>
  <c r="NP127" i="1"/>
  <c r="NK127" i="1"/>
  <c r="NF127" i="1"/>
  <c r="NA127" i="1"/>
  <c r="MV127" i="1"/>
  <c r="MQ127" i="1"/>
  <c r="MM127" i="1"/>
  <c r="MI127" i="1"/>
  <c r="MD127" i="1"/>
  <c r="LY127" i="1"/>
  <c r="LT127" i="1"/>
  <c r="LO127" i="1"/>
  <c r="LJ127" i="1"/>
  <c r="LE127" i="1"/>
  <c r="KZ127" i="1"/>
  <c r="KV127" i="1"/>
  <c r="KO127" i="1"/>
  <c r="KP127" i="1" s="1"/>
  <c r="KQ127" i="1" s="1"/>
  <c r="KM127" i="1"/>
  <c r="KI127" i="1"/>
  <c r="KC127" i="1"/>
  <c r="KD127" i="1" s="1"/>
  <c r="KE127" i="1" s="1"/>
  <c r="KA127" i="1"/>
  <c r="JV127" i="1"/>
  <c r="JQ127" i="1"/>
  <c r="JM127" i="1"/>
  <c r="JI127" i="1"/>
  <c r="JD127" i="1"/>
  <c r="IW127" i="1"/>
  <c r="IX127" i="1" s="1"/>
  <c r="IY127" i="1" s="1"/>
  <c r="IT127" i="1"/>
  <c r="IO127" i="1"/>
  <c r="IJ127" i="1"/>
  <c r="IE127" i="1"/>
  <c r="HZ127" i="1"/>
  <c r="HU127" i="1"/>
  <c r="HP127" i="1"/>
  <c r="HI127" i="1"/>
  <c r="HJ127" i="1" s="1"/>
  <c r="HK127" i="1" s="1"/>
  <c r="HD127" i="1"/>
  <c r="HE127" i="1" s="1"/>
  <c r="HF127" i="1" s="1"/>
  <c r="GY127" i="1"/>
  <c r="GZ127" i="1" s="1"/>
  <c r="HA127" i="1" s="1"/>
  <c r="GT127" i="1"/>
  <c r="GU127" i="1" s="1"/>
  <c r="GV127" i="1" s="1"/>
  <c r="GO127" i="1"/>
  <c r="GP127" i="1" s="1"/>
  <c r="GQ127" i="1" s="1"/>
  <c r="GJ127" i="1"/>
  <c r="GK127" i="1" s="1"/>
  <c r="GL127" i="1" s="1"/>
  <c r="GE127" i="1"/>
  <c r="GF127" i="1" s="1"/>
  <c r="GG127" i="1" s="1"/>
  <c r="FZ127" i="1"/>
  <c r="GA127" i="1" s="1"/>
  <c r="GB127" i="1" s="1"/>
  <c r="FU127" i="1"/>
  <c r="FV127" i="1" s="1"/>
  <c r="FW127" i="1" s="1"/>
  <c r="FP127" i="1"/>
  <c r="FQ127" i="1" s="1"/>
  <c r="FR127" i="1" s="1"/>
  <c r="FK127" i="1"/>
  <c r="FL127" i="1" s="1"/>
  <c r="FM127" i="1" s="1"/>
  <c r="FF127" i="1"/>
  <c r="FG127" i="1" s="1"/>
  <c r="FH127" i="1" s="1"/>
  <c r="FA127" i="1"/>
  <c r="FB127" i="1" s="1"/>
  <c r="FC127" i="1" s="1"/>
  <c r="EV127" i="1"/>
  <c r="EW127" i="1" s="1"/>
  <c r="EX127" i="1" s="1"/>
  <c r="EQ127" i="1"/>
  <c r="ER127" i="1" s="1"/>
  <c r="ES127" i="1" s="1"/>
  <c r="EL127" i="1"/>
  <c r="EM127" i="1" s="1"/>
  <c r="EN127" i="1" s="1"/>
  <c r="EE127" i="1"/>
  <c r="EF127" i="1" s="1"/>
  <c r="EG127" i="1" s="1"/>
  <c r="DZ127" i="1"/>
  <c r="EA127" i="1" s="1"/>
  <c r="EB127" i="1" s="1"/>
  <c r="DU127" i="1"/>
  <c r="DV127" i="1" s="1"/>
  <c r="DW127" i="1" s="1"/>
  <c r="DP127" i="1"/>
  <c r="DQ127" i="1" s="1"/>
  <c r="DR127" i="1" s="1"/>
  <c r="DK127" i="1"/>
  <c r="DL127" i="1" s="1"/>
  <c r="DM127" i="1" s="1"/>
  <c r="DF127" i="1"/>
  <c r="DG127" i="1" s="1"/>
  <c r="DH127" i="1" s="1"/>
  <c r="DA127" i="1"/>
  <c r="DB127" i="1" s="1"/>
  <c r="DC127" i="1" s="1"/>
  <c r="CV127" i="1"/>
  <c r="CW127" i="1" s="1"/>
  <c r="CX127" i="1" s="1"/>
  <c r="CQ127" i="1"/>
  <c r="CR127" i="1" s="1"/>
  <c r="CS127" i="1" s="1"/>
  <c r="CL127" i="1"/>
  <c r="CM127" i="1" s="1"/>
  <c r="CN127" i="1" s="1"/>
  <c r="CG127" i="1"/>
  <c r="CH127" i="1" s="1"/>
  <c r="CI127" i="1" s="1"/>
  <c r="CA127" i="1"/>
  <c r="CB127" i="1" s="1"/>
  <c r="CC127" i="1" s="1"/>
  <c r="BV127" i="1"/>
  <c r="BW127" i="1" s="1"/>
  <c r="BX127" i="1" s="1"/>
  <c r="BQ127" i="1"/>
  <c r="BR127" i="1" s="1"/>
  <c r="BS127" i="1" s="1"/>
  <c r="BL127" i="1"/>
  <c r="BM127" i="1" s="1"/>
  <c r="BN127" i="1" s="1"/>
  <c r="BG127" i="1"/>
  <c r="BH127" i="1" s="1"/>
  <c r="BI127" i="1" s="1"/>
  <c r="BB127" i="1"/>
  <c r="BC127" i="1" s="1"/>
  <c r="BD127" i="1" s="1"/>
  <c r="AW127" i="1"/>
  <c r="AX127" i="1" s="1"/>
  <c r="AY127" i="1" s="1"/>
  <c r="AR127" i="1"/>
  <c r="AS127" i="1" s="1"/>
  <c r="AT127" i="1" s="1"/>
  <c r="AM127" i="1"/>
  <c r="AN127" i="1" s="1"/>
  <c r="AO127" i="1" s="1"/>
  <c r="AH127" i="1"/>
  <c r="AI127" i="1" s="1"/>
  <c r="AJ127" i="1" s="1"/>
  <c r="AC127" i="1"/>
  <c r="AD127" i="1" s="1"/>
  <c r="AE127" i="1" s="1"/>
  <c r="W127" i="1"/>
  <c r="X127" i="1" s="1"/>
  <c r="Y127" i="1" s="1"/>
  <c r="S127" i="1"/>
  <c r="N127" i="1"/>
  <c r="I127" i="1"/>
  <c r="NZ126" i="1"/>
  <c r="NU126" i="1"/>
  <c r="NP126" i="1"/>
  <c r="NK126" i="1"/>
  <c r="NF126" i="1"/>
  <c r="NA126" i="1"/>
  <c r="MV126" i="1"/>
  <c r="MQ126" i="1"/>
  <c r="MM126" i="1"/>
  <c r="MI126" i="1"/>
  <c r="MD126" i="1"/>
  <c r="LY126" i="1"/>
  <c r="LT126" i="1"/>
  <c r="LO126" i="1"/>
  <c r="LJ126" i="1"/>
  <c r="LE126" i="1"/>
  <c r="KZ126" i="1"/>
  <c r="KV126" i="1"/>
  <c r="KQ126" i="1"/>
  <c r="KM126" i="1"/>
  <c r="KI126" i="1"/>
  <c r="KE126" i="1"/>
  <c r="KA126" i="1"/>
  <c r="JV126" i="1"/>
  <c r="JQ126" i="1"/>
  <c r="JM126" i="1"/>
  <c r="JI126" i="1"/>
  <c r="JD126" i="1"/>
  <c r="IY126" i="1"/>
  <c r="IT126" i="1"/>
  <c r="IO126" i="1"/>
  <c r="IJ126" i="1"/>
  <c r="IE126" i="1"/>
  <c r="HZ126" i="1"/>
  <c r="HU126" i="1"/>
  <c r="HP126" i="1"/>
  <c r="HI126" i="1"/>
  <c r="HJ126" i="1" s="1"/>
  <c r="HK126" i="1" s="1"/>
  <c r="HD126" i="1"/>
  <c r="HE126" i="1" s="1"/>
  <c r="HF126" i="1" s="1"/>
  <c r="GY126" i="1"/>
  <c r="GZ126" i="1" s="1"/>
  <c r="HA126" i="1" s="1"/>
  <c r="GT126" i="1"/>
  <c r="GU126" i="1" s="1"/>
  <c r="GV126" i="1" s="1"/>
  <c r="GO126" i="1"/>
  <c r="GP126" i="1" s="1"/>
  <c r="GQ126" i="1" s="1"/>
  <c r="GJ126" i="1"/>
  <c r="GK126" i="1" s="1"/>
  <c r="GL126" i="1" s="1"/>
  <c r="GE126" i="1"/>
  <c r="GF126" i="1" s="1"/>
  <c r="GG126" i="1" s="1"/>
  <c r="FZ126" i="1"/>
  <c r="GA126" i="1" s="1"/>
  <c r="GB126" i="1" s="1"/>
  <c r="FU126" i="1"/>
  <c r="FV126" i="1" s="1"/>
  <c r="FW126" i="1" s="1"/>
  <c r="FP126" i="1"/>
  <c r="FQ126" i="1" s="1"/>
  <c r="FR126" i="1" s="1"/>
  <c r="FK126" i="1"/>
  <c r="FL126" i="1" s="1"/>
  <c r="FM126" i="1" s="1"/>
  <c r="FF126" i="1"/>
  <c r="FG126" i="1" s="1"/>
  <c r="FH126" i="1" s="1"/>
  <c r="FA126" i="1"/>
  <c r="FB126" i="1" s="1"/>
  <c r="FC126" i="1" s="1"/>
  <c r="EV126" i="1"/>
  <c r="EW126" i="1" s="1"/>
  <c r="EX126" i="1" s="1"/>
  <c r="EQ126" i="1"/>
  <c r="ER126" i="1" s="1"/>
  <c r="ES126" i="1" s="1"/>
  <c r="EL126" i="1"/>
  <c r="EM126" i="1" s="1"/>
  <c r="EN126" i="1" s="1"/>
  <c r="EE126" i="1"/>
  <c r="EF126" i="1" s="1"/>
  <c r="EG126" i="1" s="1"/>
  <c r="DZ126" i="1"/>
  <c r="EA126" i="1" s="1"/>
  <c r="EB126" i="1" s="1"/>
  <c r="DU126" i="1"/>
  <c r="DV126" i="1" s="1"/>
  <c r="DW126" i="1" s="1"/>
  <c r="DP126" i="1"/>
  <c r="DQ126" i="1" s="1"/>
  <c r="DR126" i="1" s="1"/>
  <c r="DK126" i="1"/>
  <c r="DL126" i="1" s="1"/>
  <c r="DM126" i="1" s="1"/>
  <c r="DF126" i="1"/>
  <c r="DG126" i="1" s="1"/>
  <c r="DH126" i="1" s="1"/>
  <c r="DA126" i="1"/>
  <c r="DB126" i="1" s="1"/>
  <c r="DC126" i="1" s="1"/>
  <c r="CV126" i="1"/>
  <c r="CW126" i="1" s="1"/>
  <c r="CX126" i="1" s="1"/>
  <c r="CQ126" i="1"/>
  <c r="CR126" i="1" s="1"/>
  <c r="CS126" i="1" s="1"/>
  <c r="CL126" i="1"/>
  <c r="CM126" i="1" s="1"/>
  <c r="CN126" i="1" s="1"/>
  <c r="CG126" i="1"/>
  <c r="CH126" i="1" s="1"/>
  <c r="CI126" i="1" s="1"/>
  <c r="CA126" i="1"/>
  <c r="CB126" i="1" s="1"/>
  <c r="CC126" i="1" s="1"/>
  <c r="BV126" i="1"/>
  <c r="BW126" i="1" s="1"/>
  <c r="BX126" i="1" s="1"/>
  <c r="BQ126" i="1"/>
  <c r="BR126" i="1" s="1"/>
  <c r="BS126" i="1" s="1"/>
  <c r="BL126" i="1"/>
  <c r="BM126" i="1" s="1"/>
  <c r="BN126" i="1" s="1"/>
  <c r="BG126" i="1"/>
  <c r="BH126" i="1" s="1"/>
  <c r="BI126" i="1" s="1"/>
  <c r="BB126" i="1"/>
  <c r="BC126" i="1" s="1"/>
  <c r="BD126" i="1" s="1"/>
  <c r="AW126" i="1"/>
  <c r="AX126" i="1" s="1"/>
  <c r="AY126" i="1" s="1"/>
  <c r="AR126" i="1"/>
  <c r="AS126" i="1" s="1"/>
  <c r="AT126" i="1" s="1"/>
  <c r="AM126" i="1"/>
  <c r="AN126" i="1" s="1"/>
  <c r="AO126" i="1" s="1"/>
  <c r="AH126" i="1"/>
  <c r="AI126" i="1" s="1"/>
  <c r="AJ126" i="1" s="1"/>
  <c r="AC126" i="1"/>
  <c r="AD126" i="1" s="1"/>
  <c r="AE126" i="1" s="1"/>
  <c r="W126" i="1"/>
  <c r="X126" i="1" s="1"/>
  <c r="Y126" i="1" s="1"/>
  <c r="Q126" i="1"/>
  <c r="R126" i="1" s="1"/>
  <c r="S126" i="1" s="1"/>
  <c r="N126" i="1"/>
  <c r="I126" i="1"/>
  <c r="NZ125" i="1"/>
  <c r="NU125" i="1"/>
  <c r="NP125" i="1"/>
  <c r="NK125" i="1"/>
  <c r="NF125" i="1"/>
  <c r="NA125" i="1"/>
  <c r="MV125" i="1"/>
  <c r="MQ125" i="1"/>
  <c r="MM125" i="1"/>
  <c r="MI125" i="1"/>
  <c r="MD125" i="1"/>
  <c r="LY125" i="1"/>
  <c r="LT125" i="1"/>
  <c r="LO125" i="1"/>
  <c r="LJ125" i="1"/>
  <c r="LC125" i="1"/>
  <c r="LD125" i="1" s="1"/>
  <c r="LE125" i="1" s="1"/>
  <c r="KZ125" i="1"/>
  <c r="KT125" i="1"/>
  <c r="KU125" i="1" s="1"/>
  <c r="KV125" i="1" s="1"/>
  <c r="KQ125" i="1"/>
  <c r="KM125" i="1"/>
  <c r="KI125" i="1"/>
  <c r="KE125" i="1"/>
  <c r="KA125" i="1"/>
  <c r="JV125" i="1"/>
  <c r="JQ125" i="1"/>
  <c r="JM125" i="1"/>
  <c r="JI125" i="1"/>
  <c r="JB125" i="1"/>
  <c r="JC125" i="1" s="1"/>
  <c r="JD125" i="1" s="1"/>
  <c r="IW125" i="1"/>
  <c r="IX125" i="1" s="1"/>
  <c r="IY125" i="1" s="1"/>
  <c r="IR125" i="1"/>
  <c r="IS125" i="1" s="1"/>
  <c r="IT125" i="1" s="1"/>
  <c r="IM125" i="1"/>
  <c r="IN125" i="1" s="1"/>
  <c r="IO125" i="1" s="1"/>
  <c r="IH125" i="1"/>
  <c r="II125" i="1" s="1"/>
  <c r="IJ125" i="1" s="1"/>
  <c r="IC125" i="1"/>
  <c r="ID125" i="1" s="1"/>
  <c r="IE125" i="1" s="1"/>
  <c r="HX125" i="1"/>
  <c r="HY125" i="1" s="1"/>
  <c r="HZ125" i="1" s="1"/>
  <c r="HU125" i="1"/>
  <c r="HP125" i="1"/>
  <c r="HI125" i="1"/>
  <c r="HJ125" i="1" s="1"/>
  <c r="HK125" i="1" s="1"/>
  <c r="HD125" i="1"/>
  <c r="HE125" i="1" s="1"/>
  <c r="HF125" i="1" s="1"/>
  <c r="GY125" i="1"/>
  <c r="GZ125" i="1" s="1"/>
  <c r="HA125" i="1" s="1"/>
  <c r="GT125" i="1"/>
  <c r="GU125" i="1" s="1"/>
  <c r="GV125" i="1" s="1"/>
  <c r="GO125" i="1"/>
  <c r="GP125" i="1" s="1"/>
  <c r="GQ125" i="1" s="1"/>
  <c r="GJ125" i="1"/>
  <c r="GK125" i="1" s="1"/>
  <c r="GL125" i="1" s="1"/>
  <c r="GE125" i="1"/>
  <c r="GF125" i="1" s="1"/>
  <c r="GG125" i="1" s="1"/>
  <c r="FZ125" i="1"/>
  <c r="GA125" i="1" s="1"/>
  <c r="GB125" i="1" s="1"/>
  <c r="FU125" i="1"/>
  <c r="FV125" i="1" s="1"/>
  <c r="FW125" i="1" s="1"/>
  <c r="FP125" i="1"/>
  <c r="FQ125" i="1" s="1"/>
  <c r="FR125" i="1" s="1"/>
  <c r="FK125" i="1"/>
  <c r="FL125" i="1" s="1"/>
  <c r="FM125" i="1" s="1"/>
  <c r="FF125" i="1"/>
  <c r="FG125" i="1" s="1"/>
  <c r="FH125" i="1" s="1"/>
  <c r="FA125" i="1"/>
  <c r="FB125" i="1" s="1"/>
  <c r="FC125" i="1" s="1"/>
  <c r="EV125" i="1"/>
  <c r="EW125" i="1" s="1"/>
  <c r="EX125" i="1" s="1"/>
  <c r="EQ125" i="1"/>
  <c r="ER125" i="1" s="1"/>
  <c r="ES125" i="1" s="1"/>
  <c r="EL125" i="1"/>
  <c r="EM125" i="1" s="1"/>
  <c r="EN125" i="1" s="1"/>
  <c r="EE125" i="1"/>
  <c r="EF125" i="1" s="1"/>
  <c r="EG125" i="1" s="1"/>
  <c r="DZ125" i="1"/>
  <c r="EA125" i="1" s="1"/>
  <c r="EB125" i="1" s="1"/>
  <c r="DU125" i="1"/>
  <c r="DV125" i="1" s="1"/>
  <c r="DW125" i="1" s="1"/>
  <c r="DP125" i="1"/>
  <c r="DQ125" i="1" s="1"/>
  <c r="DR125" i="1" s="1"/>
  <c r="DK125" i="1"/>
  <c r="DL125" i="1" s="1"/>
  <c r="DM125" i="1" s="1"/>
  <c r="DF125" i="1"/>
  <c r="DG125" i="1" s="1"/>
  <c r="DH125" i="1" s="1"/>
  <c r="DA125" i="1"/>
  <c r="DB125" i="1" s="1"/>
  <c r="DC125" i="1" s="1"/>
  <c r="CV125" i="1"/>
  <c r="CW125" i="1" s="1"/>
  <c r="CX125" i="1" s="1"/>
  <c r="CQ125" i="1"/>
  <c r="CR125" i="1" s="1"/>
  <c r="CS125" i="1" s="1"/>
  <c r="CL125" i="1"/>
  <c r="CM125" i="1" s="1"/>
  <c r="CN125" i="1" s="1"/>
  <c r="CG125" i="1"/>
  <c r="CH125" i="1" s="1"/>
  <c r="CI125" i="1" s="1"/>
  <c r="CA125" i="1"/>
  <c r="CB125" i="1" s="1"/>
  <c r="CC125" i="1" s="1"/>
  <c r="BV125" i="1"/>
  <c r="BW125" i="1" s="1"/>
  <c r="BX125" i="1" s="1"/>
  <c r="BQ125" i="1"/>
  <c r="BR125" i="1" s="1"/>
  <c r="BS125" i="1" s="1"/>
  <c r="BL125" i="1"/>
  <c r="BM125" i="1" s="1"/>
  <c r="BN125" i="1" s="1"/>
  <c r="BG125" i="1"/>
  <c r="BH125" i="1" s="1"/>
  <c r="BI125" i="1" s="1"/>
  <c r="BB125" i="1"/>
  <c r="BC125" i="1" s="1"/>
  <c r="BD125" i="1" s="1"/>
  <c r="AW125" i="1"/>
  <c r="AX125" i="1" s="1"/>
  <c r="AY125" i="1" s="1"/>
  <c r="AR125" i="1"/>
  <c r="AS125" i="1" s="1"/>
  <c r="AT125" i="1" s="1"/>
  <c r="AM125" i="1"/>
  <c r="AN125" i="1" s="1"/>
  <c r="AO125" i="1" s="1"/>
  <c r="AH125" i="1"/>
  <c r="AI125" i="1" s="1"/>
  <c r="AJ125" i="1" s="1"/>
  <c r="AC125" i="1"/>
  <c r="AD125" i="1" s="1"/>
  <c r="AE125" i="1" s="1"/>
  <c r="W125" i="1"/>
  <c r="X125" i="1" s="1"/>
  <c r="Y125" i="1" s="1"/>
  <c r="S125" i="1"/>
  <c r="N125" i="1"/>
  <c r="I125" i="1"/>
  <c r="NZ124" i="1"/>
  <c r="NU124" i="1"/>
  <c r="NP124" i="1"/>
  <c r="NK124" i="1"/>
  <c r="NF124" i="1"/>
  <c r="NA124" i="1"/>
  <c r="MV124" i="1"/>
  <c r="MQ124" i="1"/>
  <c r="MM124" i="1"/>
  <c r="MI124" i="1"/>
  <c r="MD124" i="1"/>
  <c r="LY124" i="1"/>
  <c r="LT124" i="1"/>
  <c r="LO124" i="1"/>
  <c r="LJ124" i="1"/>
  <c r="LE124" i="1"/>
  <c r="KZ124" i="1"/>
  <c r="KT124" i="1"/>
  <c r="KU124" i="1" s="1"/>
  <c r="KV124" i="1" s="1"/>
  <c r="KQ124" i="1"/>
  <c r="KM124" i="1"/>
  <c r="KI124" i="1"/>
  <c r="KE124" i="1"/>
  <c r="KA124" i="1"/>
  <c r="JV124" i="1"/>
  <c r="JQ124" i="1"/>
  <c r="JM124" i="1"/>
  <c r="JI124" i="1"/>
  <c r="JB124" i="1"/>
  <c r="JC124" i="1" s="1"/>
  <c r="JD124" i="1" s="1"/>
  <c r="IW124" i="1"/>
  <c r="IX124" i="1" s="1"/>
  <c r="IY124" i="1" s="1"/>
  <c r="IR124" i="1"/>
  <c r="IS124" i="1" s="1"/>
  <c r="IT124" i="1" s="1"/>
  <c r="IM124" i="1"/>
  <c r="IN124" i="1" s="1"/>
  <c r="IO124" i="1" s="1"/>
  <c r="IH124" i="1"/>
  <c r="II124" i="1" s="1"/>
  <c r="IJ124" i="1" s="1"/>
  <c r="IC124" i="1"/>
  <c r="ID124" i="1" s="1"/>
  <c r="IE124" i="1" s="1"/>
  <c r="HX124" i="1"/>
  <c r="HY124" i="1" s="1"/>
  <c r="HZ124" i="1" s="1"/>
  <c r="HS124" i="1"/>
  <c r="HT124" i="1" s="1"/>
  <c r="HU124" i="1" s="1"/>
  <c r="HN124" i="1"/>
  <c r="HO124" i="1" s="1"/>
  <c r="HP124" i="1" s="1"/>
  <c r="HI124" i="1"/>
  <c r="HJ124" i="1" s="1"/>
  <c r="HK124" i="1" s="1"/>
  <c r="HD124" i="1"/>
  <c r="HE124" i="1" s="1"/>
  <c r="HF124" i="1" s="1"/>
  <c r="GY124" i="1"/>
  <c r="GZ124" i="1" s="1"/>
  <c r="HA124" i="1" s="1"/>
  <c r="GT124" i="1"/>
  <c r="GU124" i="1" s="1"/>
  <c r="GV124" i="1" s="1"/>
  <c r="GO124" i="1"/>
  <c r="GP124" i="1" s="1"/>
  <c r="GQ124" i="1" s="1"/>
  <c r="GJ124" i="1"/>
  <c r="GK124" i="1" s="1"/>
  <c r="GL124" i="1" s="1"/>
  <c r="GE124" i="1"/>
  <c r="GF124" i="1" s="1"/>
  <c r="GG124" i="1" s="1"/>
  <c r="FZ124" i="1"/>
  <c r="GA124" i="1" s="1"/>
  <c r="GB124" i="1" s="1"/>
  <c r="FU124" i="1"/>
  <c r="FV124" i="1" s="1"/>
  <c r="FW124" i="1" s="1"/>
  <c r="FP124" i="1"/>
  <c r="FQ124" i="1" s="1"/>
  <c r="FR124" i="1" s="1"/>
  <c r="FK124" i="1"/>
  <c r="FL124" i="1" s="1"/>
  <c r="FM124" i="1" s="1"/>
  <c r="FF124" i="1"/>
  <c r="FG124" i="1" s="1"/>
  <c r="FH124" i="1" s="1"/>
  <c r="FA124" i="1"/>
  <c r="FB124" i="1" s="1"/>
  <c r="FC124" i="1" s="1"/>
  <c r="EV124" i="1"/>
  <c r="EW124" i="1" s="1"/>
  <c r="EX124" i="1" s="1"/>
  <c r="EQ124" i="1"/>
  <c r="ER124" i="1" s="1"/>
  <c r="ES124" i="1" s="1"/>
  <c r="EL124" i="1"/>
  <c r="EM124" i="1" s="1"/>
  <c r="EN124" i="1" s="1"/>
  <c r="EE124" i="1"/>
  <c r="EF124" i="1" s="1"/>
  <c r="EG124" i="1" s="1"/>
  <c r="DZ124" i="1"/>
  <c r="EA124" i="1" s="1"/>
  <c r="EB124" i="1" s="1"/>
  <c r="DU124" i="1"/>
  <c r="DV124" i="1" s="1"/>
  <c r="DW124" i="1" s="1"/>
  <c r="DP124" i="1"/>
  <c r="DQ124" i="1" s="1"/>
  <c r="DR124" i="1" s="1"/>
  <c r="DK124" i="1"/>
  <c r="DL124" i="1" s="1"/>
  <c r="DM124" i="1" s="1"/>
  <c r="DF124" i="1"/>
  <c r="DG124" i="1" s="1"/>
  <c r="DH124" i="1" s="1"/>
  <c r="DA124" i="1"/>
  <c r="DB124" i="1" s="1"/>
  <c r="DC124" i="1" s="1"/>
  <c r="CV124" i="1"/>
  <c r="CW124" i="1" s="1"/>
  <c r="CX124" i="1" s="1"/>
  <c r="CQ124" i="1"/>
  <c r="CR124" i="1" s="1"/>
  <c r="CS124" i="1" s="1"/>
  <c r="CL124" i="1"/>
  <c r="CM124" i="1" s="1"/>
  <c r="CN124" i="1" s="1"/>
  <c r="CG124" i="1"/>
  <c r="CH124" i="1" s="1"/>
  <c r="CI124" i="1" s="1"/>
  <c r="CA124" i="1"/>
  <c r="CB124" i="1" s="1"/>
  <c r="CC124" i="1" s="1"/>
  <c r="BV124" i="1"/>
  <c r="BW124" i="1" s="1"/>
  <c r="BX124" i="1" s="1"/>
  <c r="BQ124" i="1"/>
  <c r="BR124" i="1" s="1"/>
  <c r="BS124" i="1" s="1"/>
  <c r="BL124" i="1"/>
  <c r="BM124" i="1" s="1"/>
  <c r="BN124" i="1" s="1"/>
  <c r="BG124" i="1"/>
  <c r="BH124" i="1" s="1"/>
  <c r="BI124" i="1" s="1"/>
  <c r="BB124" i="1"/>
  <c r="BC124" i="1" s="1"/>
  <c r="BD124" i="1" s="1"/>
  <c r="AW124" i="1"/>
  <c r="AX124" i="1" s="1"/>
  <c r="AY124" i="1" s="1"/>
  <c r="AR124" i="1"/>
  <c r="AS124" i="1" s="1"/>
  <c r="AT124" i="1" s="1"/>
  <c r="AM124" i="1"/>
  <c r="AN124" i="1" s="1"/>
  <c r="AO124" i="1" s="1"/>
  <c r="AI124" i="1"/>
  <c r="AJ124" i="1" s="1"/>
  <c r="AH124" i="1"/>
  <c r="AC124" i="1"/>
  <c r="AD124" i="1" s="1"/>
  <c r="AE124" i="1" s="1"/>
  <c r="W124" i="1"/>
  <c r="X124" i="1" s="1"/>
  <c r="Y124" i="1" s="1"/>
  <c r="S124" i="1"/>
  <c r="N124" i="1"/>
  <c r="I124" i="1"/>
  <c r="NZ123" i="1"/>
  <c r="NU123" i="1"/>
  <c r="NN123" i="1"/>
  <c r="NO123" i="1" s="1"/>
  <c r="NP123" i="1" s="1"/>
  <c r="NK123" i="1"/>
  <c r="ND123" i="1"/>
  <c r="NE123" i="1" s="1"/>
  <c r="NF123" i="1" s="1"/>
  <c r="MY123" i="1"/>
  <c r="MZ123" i="1" s="1"/>
  <c r="NA123" i="1" s="1"/>
  <c r="MT123" i="1"/>
  <c r="MU123" i="1" s="1"/>
  <c r="MV123" i="1" s="1"/>
  <c r="MQ123" i="1"/>
  <c r="MM123" i="1"/>
  <c r="MI123" i="1"/>
  <c r="MD123" i="1"/>
  <c r="LY123" i="1"/>
  <c r="LT123" i="1"/>
  <c r="LO123" i="1"/>
  <c r="LJ123" i="1"/>
  <c r="LE123" i="1"/>
  <c r="KZ123" i="1"/>
  <c r="KV123" i="1"/>
  <c r="KO123" i="1"/>
  <c r="KP123" i="1" s="1"/>
  <c r="KQ123" i="1" s="1"/>
  <c r="KM123" i="1"/>
  <c r="KI123" i="1"/>
  <c r="KE123" i="1"/>
  <c r="KA123" i="1"/>
  <c r="JV123" i="1"/>
  <c r="JQ123" i="1"/>
  <c r="JM123" i="1"/>
  <c r="JI123" i="1"/>
  <c r="JD123" i="1"/>
  <c r="IY123" i="1"/>
  <c r="IT123" i="1"/>
  <c r="IO123" i="1"/>
  <c r="IJ123" i="1"/>
  <c r="IE123" i="1"/>
  <c r="HZ123" i="1"/>
  <c r="HU123" i="1"/>
  <c r="HN123" i="1"/>
  <c r="HO123" i="1" s="1"/>
  <c r="HP123" i="1" s="1"/>
  <c r="HI123" i="1"/>
  <c r="HJ123" i="1" s="1"/>
  <c r="HK123" i="1" s="1"/>
  <c r="HD123" i="1"/>
  <c r="HE123" i="1" s="1"/>
  <c r="HF123" i="1" s="1"/>
  <c r="GY123" i="1"/>
  <c r="GZ123" i="1" s="1"/>
  <c r="HA123" i="1" s="1"/>
  <c r="GT123" i="1"/>
  <c r="GU123" i="1" s="1"/>
  <c r="GV123" i="1" s="1"/>
  <c r="GO123" i="1"/>
  <c r="GP123" i="1" s="1"/>
  <c r="GQ123" i="1" s="1"/>
  <c r="GJ123" i="1"/>
  <c r="GK123" i="1" s="1"/>
  <c r="GL123" i="1" s="1"/>
  <c r="GE123" i="1"/>
  <c r="GF123" i="1" s="1"/>
  <c r="GG123" i="1" s="1"/>
  <c r="FZ123" i="1"/>
  <c r="GA123" i="1" s="1"/>
  <c r="GB123" i="1" s="1"/>
  <c r="FU123" i="1"/>
  <c r="FV123" i="1" s="1"/>
  <c r="FW123" i="1" s="1"/>
  <c r="FP123" i="1"/>
  <c r="FQ123" i="1" s="1"/>
  <c r="FR123" i="1" s="1"/>
  <c r="FK123" i="1"/>
  <c r="FL123" i="1" s="1"/>
  <c r="FM123" i="1" s="1"/>
  <c r="FF123" i="1"/>
  <c r="FG123" i="1" s="1"/>
  <c r="FH123" i="1" s="1"/>
  <c r="FA123" i="1"/>
  <c r="FB123" i="1" s="1"/>
  <c r="FC123" i="1" s="1"/>
  <c r="EV123" i="1"/>
  <c r="EW123" i="1" s="1"/>
  <c r="EX123" i="1" s="1"/>
  <c r="EQ123" i="1"/>
  <c r="ER123" i="1" s="1"/>
  <c r="ES123" i="1" s="1"/>
  <c r="EL123" i="1"/>
  <c r="EM123" i="1" s="1"/>
  <c r="EN123" i="1" s="1"/>
  <c r="EE123" i="1"/>
  <c r="EF123" i="1" s="1"/>
  <c r="EG123" i="1" s="1"/>
  <c r="DZ123" i="1"/>
  <c r="EA123" i="1" s="1"/>
  <c r="EB123" i="1" s="1"/>
  <c r="DU123" i="1"/>
  <c r="DV123" i="1" s="1"/>
  <c r="DW123" i="1" s="1"/>
  <c r="DP123" i="1"/>
  <c r="DQ123" i="1" s="1"/>
  <c r="DR123" i="1" s="1"/>
  <c r="DK123" i="1"/>
  <c r="DL123" i="1" s="1"/>
  <c r="DM123" i="1" s="1"/>
  <c r="DF123" i="1"/>
  <c r="DG123" i="1" s="1"/>
  <c r="DH123" i="1" s="1"/>
  <c r="DA123" i="1"/>
  <c r="DB123" i="1" s="1"/>
  <c r="DC123" i="1" s="1"/>
  <c r="CV123" i="1"/>
  <c r="CW123" i="1" s="1"/>
  <c r="CX123" i="1" s="1"/>
  <c r="CQ123" i="1"/>
  <c r="CR123" i="1" s="1"/>
  <c r="CS123" i="1" s="1"/>
  <c r="CL123" i="1"/>
  <c r="CM123" i="1" s="1"/>
  <c r="CN123" i="1" s="1"/>
  <c r="CG123" i="1"/>
  <c r="CH123" i="1" s="1"/>
  <c r="CI123" i="1" s="1"/>
  <c r="CA123" i="1"/>
  <c r="CB123" i="1" s="1"/>
  <c r="CC123" i="1" s="1"/>
  <c r="BV123" i="1"/>
  <c r="BW123" i="1" s="1"/>
  <c r="BX123" i="1" s="1"/>
  <c r="BQ123" i="1"/>
  <c r="BR123" i="1" s="1"/>
  <c r="BS123" i="1" s="1"/>
  <c r="BL123" i="1"/>
  <c r="BM123" i="1" s="1"/>
  <c r="BN123" i="1" s="1"/>
  <c r="BG123" i="1"/>
  <c r="BH123" i="1" s="1"/>
  <c r="BI123" i="1" s="1"/>
  <c r="BB123" i="1"/>
  <c r="BC123" i="1" s="1"/>
  <c r="BD123" i="1" s="1"/>
  <c r="AW123" i="1"/>
  <c r="AX123" i="1" s="1"/>
  <c r="AY123" i="1" s="1"/>
  <c r="AR123" i="1"/>
  <c r="AS123" i="1" s="1"/>
  <c r="AT123" i="1" s="1"/>
  <c r="AM123" i="1"/>
  <c r="AN123" i="1" s="1"/>
  <c r="AO123" i="1" s="1"/>
  <c r="AH123" i="1"/>
  <c r="AI123" i="1" s="1"/>
  <c r="AJ123" i="1" s="1"/>
  <c r="AC123" i="1"/>
  <c r="AD123" i="1" s="1"/>
  <c r="AE123" i="1" s="1"/>
  <c r="W123" i="1"/>
  <c r="X123" i="1" s="1"/>
  <c r="Y123" i="1" s="1"/>
  <c r="S123" i="1"/>
  <c r="N123" i="1"/>
  <c r="I123" i="1"/>
  <c r="NZ122" i="1"/>
  <c r="NU122" i="1"/>
  <c r="NP122" i="1"/>
  <c r="NI122" i="1"/>
  <c r="NJ122" i="1" s="1"/>
  <c r="NK122" i="1" s="1"/>
  <c r="NF122" i="1"/>
  <c r="MY122" i="1"/>
  <c r="MZ122" i="1" s="1"/>
  <c r="NA122" i="1" s="1"/>
  <c r="MT122" i="1"/>
  <c r="MU122" i="1" s="1"/>
  <c r="MV122" i="1" s="1"/>
  <c r="MQ122" i="1"/>
  <c r="MM122" i="1"/>
  <c r="MI122" i="1"/>
  <c r="MD122" i="1"/>
  <c r="LW122" i="1"/>
  <c r="LX122" i="1" s="1"/>
  <c r="LY122" i="1" s="1"/>
  <c r="LR122" i="1"/>
  <c r="LS122" i="1" s="1"/>
  <c r="LT122" i="1" s="1"/>
  <c r="LO122" i="1"/>
  <c r="LJ122" i="1"/>
  <c r="LC122" i="1"/>
  <c r="LD122" i="1" s="1"/>
  <c r="LE122" i="1" s="1"/>
  <c r="KX122" i="1"/>
  <c r="KY122" i="1" s="1"/>
  <c r="KZ122" i="1" s="1"/>
  <c r="KT122" i="1"/>
  <c r="KU122" i="1" s="1"/>
  <c r="KV122" i="1" s="1"/>
  <c r="KQ122" i="1"/>
  <c r="KM122" i="1"/>
  <c r="KG122" i="1"/>
  <c r="KH122" i="1" s="1"/>
  <c r="KI122" i="1" s="1"/>
  <c r="KC122" i="1"/>
  <c r="KD122" i="1" s="1"/>
  <c r="KE122" i="1" s="1"/>
  <c r="KA122" i="1"/>
  <c r="JV122" i="1"/>
  <c r="JQ122" i="1"/>
  <c r="JM122" i="1"/>
  <c r="JI122" i="1"/>
  <c r="JB122" i="1"/>
  <c r="JC122" i="1" s="1"/>
  <c r="JD122" i="1" s="1"/>
  <c r="IW122" i="1"/>
  <c r="IX122" i="1" s="1"/>
  <c r="IY122" i="1" s="1"/>
  <c r="IR122" i="1"/>
  <c r="IS122" i="1" s="1"/>
  <c r="IT122" i="1" s="1"/>
  <c r="IM122" i="1"/>
  <c r="IN122" i="1" s="1"/>
  <c r="IO122" i="1" s="1"/>
  <c r="IH122" i="1"/>
  <c r="II122" i="1" s="1"/>
  <c r="IJ122" i="1" s="1"/>
  <c r="IC122" i="1"/>
  <c r="ID122" i="1" s="1"/>
  <c r="IE122" i="1" s="1"/>
  <c r="HX122" i="1"/>
  <c r="HY122" i="1" s="1"/>
  <c r="HZ122" i="1" s="1"/>
  <c r="HU122" i="1"/>
  <c r="HN122" i="1"/>
  <c r="HO122" i="1" s="1"/>
  <c r="HP122" i="1" s="1"/>
  <c r="HI122" i="1"/>
  <c r="HJ122" i="1" s="1"/>
  <c r="HK122" i="1" s="1"/>
  <c r="HD122" i="1"/>
  <c r="HE122" i="1" s="1"/>
  <c r="HF122" i="1" s="1"/>
  <c r="GY122" i="1"/>
  <c r="GZ122" i="1" s="1"/>
  <c r="HA122" i="1" s="1"/>
  <c r="GT122" i="1"/>
  <c r="GU122" i="1" s="1"/>
  <c r="GV122" i="1" s="1"/>
  <c r="GO122" i="1"/>
  <c r="GP122" i="1" s="1"/>
  <c r="GQ122" i="1" s="1"/>
  <c r="GJ122" i="1"/>
  <c r="GK122" i="1" s="1"/>
  <c r="GL122" i="1" s="1"/>
  <c r="GE122" i="1"/>
  <c r="GF122" i="1" s="1"/>
  <c r="GG122" i="1" s="1"/>
  <c r="FZ122" i="1"/>
  <c r="GA122" i="1" s="1"/>
  <c r="GB122" i="1" s="1"/>
  <c r="FU122" i="1"/>
  <c r="FV122" i="1" s="1"/>
  <c r="FW122" i="1" s="1"/>
  <c r="FP122" i="1"/>
  <c r="FQ122" i="1" s="1"/>
  <c r="FR122" i="1" s="1"/>
  <c r="FK122" i="1"/>
  <c r="FL122" i="1" s="1"/>
  <c r="FM122" i="1" s="1"/>
  <c r="FF122" i="1"/>
  <c r="FG122" i="1" s="1"/>
  <c r="FH122" i="1" s="1"/>
  <c r="FA122" i="1"/>
  <c r="FB122" i="1" s="1"/>
  <c r="FC122" i="1" s="1"/>
  <c r="EV122" i="1"/>
  <c r="EW122" i="1" s="1"/>
  <c r="EX122" i="1" s="1"/>
  <c r="EQ122" i="1"/>
  <c r="ER122" i="1" s="1"/>
  <c r="ES122" i="1" s="1"/>
  <c r="EL122" i="1"/>
  <c r="EM122" i="1" s="1"/>
  <c r="EN122" i="1" s="1"/>
  <c r="EE122" i="1"/>
  <c r="EF122" i="1" s="1"/>
  <c r="EG122" i="1" s="1"/>
  <c r="DZ122" i="1"/>
  <c r="EA122" i="1" s="1"/>
  <c r="EB122" i="1" s="1"/>
  <c r="DU122" i="1"/>
  <c r="DV122" i="1" s="1"/>
  <c r="DW122" i="1" s="1"/>
  <c r="DP122" i="1"/>
  <c r="DQ122" i="1" s="1"/>
  <c r="DR122" i="1" s="1"/>
  <c r="DK122" i="1"/>
  <c r="DL122" i="1" s="1"/>
  <c r="DM122" i="1" s="1"/>
  <c r="DF122" i="1"/>
  <c r="DG122" i="1" s="1"/>
  <c r="DH122" i="1" s="1"/>
  <c r="DA122" i="1"/>
  <c r="DB122" i="1" s="1"/>
  <c r="DC122" i="1" s="1"/>
  <c r="CV122" i="1"/>
  <c r="CW122" i="1" s="1"/>
  <c r="CX122" i="1" s="1"/>
  <c r="CQ122" i="1"/>
  <c r="CR122" i="1" s="1"/>
  <c r="CS122" i="1" s="1"/>
  <c r="CL122" i="1"/>
  <c r="CM122" i="1" s="1"/>
  <c r="CN122" i="1" s="1"/>
  <c r="CG122" i="1"/>
  <c r="CH122" i="1" s="1"/>
  <c r="CI122" i="1" s="1"/>
  <c r="CA122" i="1"/>
  <c r="CB122" i="1" s="1"/>
  <c r="CC122" i="1" s="1"/>
  <c r="BV122" i="1"/>
  <c r="BW122" i="1" s="1"/>
  <c r="BX122" i="1" s="1"/>
  <c r="BQ122" i="1"/>
  <c r="BR122" i="1" s="1"/>
  <c r="BS122" i="1" s="1"/>
  <c r="BL122" i="1"/>
  <c r="BM122" i="1" s="1"/>
  <c r="BN122" i="1" s="1"/>
  <c r="BG122" i="1"/>
  <c r="BH122" i="1" s="1"/>
  <c r="BI122" i="1" s="1"/>
  <c r="BB122" i="1"/>
  <c r="BC122" i="1" s="1"/>
  <c r="BD122" i="1" s="1"/>
  <c r="AW122" i="1"/>
  <c r="AX122" i="1" s="1"/>
  <c r="AY122" i="1" s="1"/>
  <c r="AR122" i="1"/>
  <c r="AS122" i="1" s="1"/>
  <c r="AT122" i="1" s="1"/>
  <c r="AM122" i="1"/>
  <c r="AN122" i="1" s="1"/>
  <c r="AO122" i="1" s="1"/>
  <c r="AH122" i="1"/>
  <c r="AI122" i="1" s="1"/>
  <c r="AJ122" i="1" s="1"/>
  <c r="AC122" i="1"/>
  <c r="AD122" i="1" s="1"/>
  <c r="AE122" i="1" s="1"/>
  <c r="W122" i="1"/>
  <c r="X122" i="1" s="1"/>
  <c r="Y122" i="1" s="1"/>
  <c r="S122" i="1"/>
  <c r="N122" i="1"/>
  <c r="I122" i="1"/>
  <c r="NZ121" i="1"/>
  <c r="NU121" i="1"/>
  <c r="NP121" i="1"/>
  <c r="NK121" i="1"/>
  <c r="NF121" i="1"/>
  <c r="MY121" i="1"/>
  <c r="MZ121" i="1" s="1"/>
  <c r="NA121" i="1" s="1"/>
  <c r="MT121" i="1"/>
  <c r="MU121" i="1" s="1"/>
  <c r="MV121" i="1" s="1"/>
  <c r="MO121" i="1"/>
  <c r="MP121" i="1" s="1"/>
  <c r="MQ121" i="1" s="1"/>
  <c r="MK121" i="1"/>
  <c r="ML121" i="1" s="1"/>
  <c r="MM121" i="1" s="1"/>
  <c r="MI121" i="1"/>
  <c r="MD121" i="1"/>
  <c r="LW121" i="1"/>
  <c r="LX121" i="1" s="1"/>
  <c r="LY121" i="1" s="1"/>
  <c r="LR121" i="1"/>
  <c r="LS121" i="1" s="1"/>
  <c r="LT121" i="1" s="1"/>
  <c r="LO121" i="1"/>
  <c r="LJ121" i="1"/>
  <c r="LC121" i="1"/>
  <c r="LD121" i="1" s="1"/>
  <c r="LE121" i="1" s="1"/>
  <c r="KZ121" i="1"/>
  <c r="KT121" i="1"/>
  <c r="KU121" i="1" s="1"/>
  <c r="KV121" i="1" s="1"/>
  <c r="KO121" i="1"/>
  <c r="KP121" i="1" s="1"/>
  <c r="KQ121" i="1" s="1"/>
  <c r="KM121" i="1"/>
  <c r="KI121" i="1"/>
  <c r="KE121" i="1"/>
  <c r="KA121" i="1"/>
  <c r="JV121" i="1"/>
  <c r="JQ121" i="1"/>
  <c r="JM121" i="1"/>
  <c r="JI121" i="1"/>
  <c r="JB121" i="1"/>
  <c r="JC121" i="1" s="1"/>
  <c r="JD121" i="1" s="1"/>
  <c r="IW121" i="1"/>
  <c r="IX121" i="1" s="1"/>
  <c r="IY121" i="1" s="1"/>
  <c r="IR121" i="1"/>
  <c r="IS121" i="1" s="1"/>
  <c r="IT121" i="1" s="1"/>
  <c r="IM121" i="1"/>
  <c r="IN121" i="1" s="1"/>
  <c r="IO121" i="1" s="1"/>
  <c r="IH121" i="1"/>
  <c r="II121" i="1" s="1"/>
  <c r="IJ121" i="1" s="1"/>
  <c r="IC121" i="1"/>
  <c r="ID121" i="1" s="1"/>
  <c r="IE121" i="1" s="1"/>
  <c r="HX121" i="1"/>
  <c r="HY121" i="1" s="1"/>
  <c r="HZ121" i="1" s="1"/>
  <c r="HS121" i="1"/>
  <c r="HT121" i="1" s="1"/>
  <c r="HU121" i="1" s="1"/>
  <c r="HN121" i="1"/>
  <c r="HO121" i="1" s="1"/>
  <c r="HP121" i="1" s="1"/>
  <c r="HI121" i="1"/>
  <c r="HJ121" i="1" s="1"/>
  <c r="HK121" i="1" s="1"/>
  <c r="HD121" i="1"/>
  <c r="HE121" i="1" s="1"/>
  <c r="HF121" i="1" s="1"/>
  <c r="GY121" i="1"/>
  <c r="GZ121" i="1" s="1"/>
  <c r="HA121" i="1" s="1"/>
  <c r="GT121" i="1"/>
  <c r="GU121" i="1" s="1"/>
  <c r="GV121" i="1" s="1"/>
  <c r="GO121" i="1"/>
  <c r="GP121" i="1" s="1"/>
  <c r="GQ121" i="1" s="1"/>
  <c r="GJ121" i="1"/>
  <c r="GK121" i="1" s="1"/>
  <c r="GL121" i="1" s="1"/>
  <c r="GE121" i="1"/>
  <c r="GF121" i="1" s="1"/>
  <c r="GG121" i="1" s="1"/>
  <c r="FZ121" i="1"/>
  <c r="GA121" i="1" s="1"/>
  <c r="GB121" i="1" s="1"/>
  <c r="FU121" i="1"/>
  <c r="FV121" i="1" s="1"/>
  <c r="FW121" i="1" s="1"/>
  <c r="FP121" i="1"/>
  <c r="FQ121" i="1" s="1"/>
  <c r="FR121" i="1" s="1"/>
  <c r="FK121" i="1"/>
  <c r="FL121" i="1" s="1"/>
  <c r="FM121" i="1" s="1"/>
  <c r="FF121" i="1"/>
  <c r="FG121" i="1" s="1"/>
  <c r="FH121" i="1" s="1"/>
  <c r="FA121" i="1"/>
  <c r="FB121" i="1" s="1"/>
  <c r="FC121" i="1" s="1"/>
  <c r="EV121" i="1"/>
  <c r="EW121" i="1" s="1"/>
  <c r="EX121" i="1" s="1"/>
  <c r="EQ121" i="1"/>
  <c r="ER121" i="1" s="1"/>
  <c r="ES121" i="1" s="1"/>
  <c r="EL121" i="1"/>
  <c r="EM121" i="1" s="1"/>
  <c r="EN121" i="1" s="1"/>
  <c r="EE121" i="1"/>
  <c r="EF121" i="1" s="1"/>
  <c r="EG121" i="1" s="1"/>
  <c r="DZ121" i="1"/>
  <c r="EA121" i="1" s="1"/>
  <c r="EB121" i="1" s="1"/>
  <c r="DU121" i="1"/>
  <c r="DV121" i="1" s="1"/>
  <c r="DW121" i="1" s="1"/>
  <c r="DP121" i="1"/>
  <c r="DQ121" i="1" s="1"/>
  <c r="DR121" i="1" s="1"/>
  <c r="DK121" i="1"/>
  <c r="DL121" i="1" s="1"/>
  <c r="DM121" i="1" s="1"/>
  <c r="DF121" i="1"/>
  <c r="DG121" i="1" s="1"/>
  <c r="DH121" i="1" s="1"/>
  <c r="DA121" i="1"/>
  <c r="DB121" i="1" s="1"/>
  <c r="DC121" i="1" s="1"/>
  <c r="CV121" i="1"/>
  <c r="CW121" i="1" s="1"/>
  <c r="CX121" i="1" s="1"/>
  <c r="CQ121" i="1"/>
  <c r="CR121" i="1" s="1"/>
  <c r="CS121" i="1" s="1"/>
  <c r="CL121" i="1"/>
  <c r="CM121" i="1" s="1"/>
  <c r="CN121" i="1" s="1"/>
  <c r="CG121" i="1"/>
  <c r="CH121" i="1" s="1"/>
  <c r="CI121" i="1" s="1"/>
  <c r="CA121" i="1"/>
  <c r="CB121" i="1" s="1"/>
  <c r="CC121" i="1" s="1"/>
  <c r="BV121" i="1"/>
  <c r="BW121" i="1" s="1"/>
  <c r="BX121" i="1" s="1"/>
  <c r="BQ121" i="1"/>
  <c r="BR121" i="1" s="1"/>
  <c r="BS121" i="1" s="1"/>
  <c r="BL121" i="1"/>
  <c r="BM121" i="1" s="1"/>
  <c r="BN121" i="1" s="1"/>
  <c r="BG121" i="1"/>
  <c r="BH121" i="1" s="1"/>
  <c r="BI121" i="1" s="1"/>
  <c r="BB121" i="1"/>
  <c r="BC121" i="1" s="1"/>
  <c r="BD121" i="1" s="1"/>
  <c r="AW121" i="1"/>
  <c r="AX121" i="1" s="1"/>
  <c r="AY121" i="1" s="1"/>
  <c r="AR121" i="1"/>
  <c r="AS121" i="1" s="1"/>
  <c r="AT121" i="1" s="1"/>
  <c r="AM121" i="1"/>
  <c r="AN121" i="1" s="1"/>
  <c r="AO121" i="1" s="1"/>
  <c r="AH121" i="1"/>
  <c r="AI121" i="1" s="1"/>
  <c r="AJ121" i="1" s="1"/>
  <c r="AC121" i="1"/>
  <c r="AD121" i="1" s="1"/>
  <c r="AE121" i="1" s="1"/>
  <c r="W121" i="1"/>
  <c r="X121" i="1" s="1"/>
  <c r="Y121" i="1" s="1"/>
  <c r="S121" i="1"/>
  <c r="N121" i="1"/>
  <c r="I121" i="1"/>
  <c r="NZ120" i="1"/>
  <c r="NU120" i="1"/>
  <c r="NP120" i="1"/>
  <c r="NK120" i="1"/>
  <c r="ND120" i="1"/>
  <c r="NE120" i="1" s="1"/>
  <c r="NF120" i="1" s="1"/>
  <c r="NA120" i="1"/>
  <c r="MV120" i="1"/>
  <c r="MO120" i="1"/>
  <c r="MP120" i="1" s="1"/>
  <c r="MQ120" i="1" s="1"/>
  <c r="MK120" i="1"/>
  <c r="ML120" i="1" s="1"/>
  <c r="MM120" i="1" s="1"/>
  <c r="MI120" i="1"/>
  <c r="MD120" i="1"/>
  <c r="LW120" i="1"/>
  <c r="LX120" i="1" s="1"/>
  <c r="LY120" i="1" s="1"/>
  <c r="LR120" i="1"/>
  <c r="LS120" i="1" s="1"/>
  <c r="LT120" i="1" s="1"/>
  <c r="LM120" i="1"/>
  <c r="LN120" i="1" s="1"/>
  <c r="LO120" i="1" s="1"/>
  <c r="LJ120" i="1"/>
  <c r="LE120" i="1"/>
  <c r="KX120" i="1"/>
  <c r="KY120" i="1" s="1"/>
  <c r="KZ120" i="1" s="1"/>
  <c r="KV120" i="1"/>
  <c r="KQ120" i="1"/>
  <c r="KM120" i="1"/>
  <c r="KI120" i="1"/>
  <c r="KE120" i="1"/>
  <c r="KA120" i="1"/>
  <c r="JV120" i="1"/>
  <c r="JQ120" i="1"/>
  <c r="JM120" i="1"/>
  <c r="JI120" i="1"/>
  <c r="JB120" i="1"/>
  <c r="JC120" i="1" s="1"/>
  <c r="JD120" i="1" s="1"/>
  <c r="IW120" i="1"/>
  <c r="IX120" i="1" s="1"/>
  <c r="IY120" i="1" s="1"/>
  <c r="IR120" i="1"/>
  <c r="IS120" i="1" s="1"/>
  <c r="IT120" i="1" s="1"/>
  <c r="IM120" i="1"/>
  <c r="IN120" i="1" s="1"/>
  <c r="IO120" i="1" s="1"/>
  <c r="IH120" i="1"/>
  <c r="II120" i="1" s="1"/>
  <c r="IJ120" i="1" s="1"/>
  <c r="IC120" i="1"/>
  <c r="ID120" i="1" s="1"/>
  <c r="IE120" i="1" s="1"/>
  <c r="HX120" i="1"/>
  <c r="HY120" i="1" s="1"/>
  <c r="HZ120" i="1" s="1"/>
  <c r="HU120" i="1"/>
  <c r="HP120" i="1"/>
  <c r="HI120" i="1"/>
  <c r="HJ120" i="1" s="1"/>
  <c r="HK120" i="1" s="1"/>
  <c r="HD120" i="1"/>
  <c r="HE120" i="1" s="1"/>
  <c r="HF120" i="1" s="1"/>
  <c r="GY120" i="1"/>
  <c r="GZ120" i="1" s="1"/>
  <c r="HA120" i="1" s="1"/>
  <c r="GT120" i="1"/>
  <c r="GU120" i="1" s="1"/>
  <c r="GV120" i="1" s="1"/>
  <c r="GO120" i="1"/>
  <c r="GP120" i="1" s="1"/>
  <c r="GQ120" i="1" s="1"/>
  <c r="GJ120" i="1"/>
  <c r="GK120" i="1" s="1"/>
  <c r="GL120" i="1" s="1"/>
  <c r="GE120" i="1"/>
  <c r="GF120" i="1" s="1"/>
  <c r="GG120" i="1" s="1"/>
  <c r="FZ120" i="1"/>
  <c r="GA120" i="1" s="1"/>
  <c r="GB120" i="1" s="1"/>
  <c r="FU120" i="1"/>
  <c r="FV120" i="1" s="1"/>
  <c r="FW120" i="1" s="1"/>
  <c r="FP120" i="1"/>
  <c r="FQ120" i="1" s="1"/>
  <c r="FR120" i="1" s="1"/>
  <c r="FK120" i="1"/>
  <c r="FL120" i="1" s="1"/>
  <c r="FM120" i="1" s="1"/>
  <c r="FF120" i="1"/>
  <c r="FG120" i="1" s="1"/>
  <c r="FH120" i="1" s="1"/>
  <c r="FA120" i="1"/>
  <c r="FB120" i="1" s="1"/>
  <c r="FC120" i="1" s="1"/>
  <c r="EV120" i="1"/>
  <c r="EW120" i="1" s="1"/>
  <c r="EX120" i="1" s="1"/>
  <c r="EQ120" i="1"/>
  <c r="ER120" i="1" s="1"/>
  <c r="ES120" i="1" s="1"/>
  <c r="EL120" i="1"/>
  <c r="EM120" i="1" s="1"/>
  <c r="EN120" i="1" s="1"/>
  <c r="EE120" i="1"/>
  <c r="EF120" i="1" s="1"/>
  <c r="EG120" i="1" s="1"/>
  <c r="DZ120" i="1"/>
  <c r="EA120" i="1" s="1"/>
  <c r="EB120" i="1" s="1"/>
  <c r="DU120" i="1"/>
  <c r="DV120" i="1" s="1"/>
  <c r="DW120" i="1" s="1"/>
  <c r="DP120" i="1"/>
  <c r="DQ120" i="1" s="1"/>
  <c r="DR120" i="1" s="1"/>
  <c r="DK120" i="1"/>
  <c r="DL120" i="1" s="1"/>
  <c r="DM120" i="1" s="1"/>
  <c r="DF120" i="1"/>
  <c r="DG120" i="1" s="1"/>
  <c r="DH120" i="1" s="1"/>
  <c r="DA120" i="1"/>
  <c r="DB120" i="1" s="1"/>
  <c r="DC120" i="1" s="1"/>
  <c r="CV120" i="1"/>
  <c r="CW120" i="1" s="1"/>
  <c r="CX120" i="1" s="1"/>
  <c r="CQ120" i="1"/>
  <c r="CR120" i="1" s="1"/>
  <c r="CS120" i="1" s="1"/>
  <c r="CL120" i="1"/>
  <c r="CM120" i="1" s="1"/>
  <c r="CN120" i="1" s="1"/>
  <c r="CG120" i="1"/>
  <c r="CH120" i="1" s="1"/>
  <c r="CI120" i="1" s="1"/>
  <c r="CA120" i="1"/>
  <c r="CB120" i="1" s="1"/>
  <c r="CC120" i="1" s="1"/>
  <c r="BV120" i="1"/>
  <c r="BW120" i="1" s="1"/>
  <c r="BX120" i="1" s="1"/>
  <c r="BQ120" i="1"/>
  <c r="BR120" i="1" s="1"/>
  <c r="BS120" i="1" s="1"/>
  <c r="BL120" i="1"/>
  <c r="BM120" i="1" s="1"/>
  <c r="BN120" i="1" s="1"/>
  <c r="BG120" i="1"/>
  <c r="BH120" i="1" s="1"/>
  <c r="BI120" i="1" s="1"/>
  <c r="BB120" i="1"/>
  <c r="BC120" i="1" s="1"/>
  <c r="BD120" i="1" s="1"/>
  <c r="AW120" i="1"/>
  <c r="AX120" i="1" s="1"/>
  <c r="AY120" i="1" s="1"/>
  <c r="AR120" i="1"/>
  <c r="AS120" i="1" s="1"/>
  <c r="AT120" i="1" s="1"/>
  <c r="AM120" i="1"/>
  <c r="AN120" i="1" s="1"/>
  <c r="AO120" i="1" s="1"/>
  <c r="AH120" i="1"/>
  <c r="AI120" i="1" s="1"/>
  <c r="AJ120" i="1" s="1"/>
  <c r="AC120" i="1"/>
  <c r="AD120" i="1" s="1"/>
  <c r="AE120" i="1" s="1"/>
  <c r="W120" i="1"/>
  <c r="X120" i="1" s="1"/>
  <c r="Y120" i="1" s="1"/>
  <c r="S120" i="1"/>
  <c r="N120" i="1"/>
  <c r="I120" i="1"/>
  <c r="NZ119" i="1"/>
  <c r="NU119" i="1"/>
  <c r="NP119" i="1"/>
  <c r="NK119" i="1"/>
  <c r="NF119" i="1"/>
  <c r="NA119" i="1"/>
  <c r="MV119" i="1"/>
  <c r="MQ119" i="1"/>
  <c r="MM119" i="1"/>
  <c r="MI119" i="1"/>
  <c r="MD119" i="1"/>
  <c r="LY119" i="1"/>
  <c r="LT119" i="1"/>
  <c r="LO119" i="1"/>
  <c r="LJ119" i="1"/>
  <c r="LE119" i="1"/>
  <c r="KZ119" i="1"/>
  <c r="KV119" i="1"/>
  <c r="KQ119" i="1"/>
  <c r="KM119" i="1"/>
  <c r="KI119" i="1"/>
  <c r="KE119" i="1"/>
  <c r="KA119" i="1"/>
  <c r="JV119" i="1"/>
  <c r="JQ119" i="1"/>
  <c r="JM119" i="1"/>
  <c r="JI119" i="1"/>
  <c r="JD119" i="1"/>
  <c r="IY119" i="1"/>
  <c r="IT119" i="1"/>
  <c r="IO119" i="1"/>
  <c r="IJ119" i="1"/>
  <c r="IE119" i="1"/>
  <c r="HZ119" i="1"/>
  <c r="HU119" i="1"/>
  <c r="HP119" i="1"/>
  <c r="HI119" i="1"/>
  <c r="HJ119" i="1" s="1"/>
  <c r="HK119" i="1" s="1"/>
  <c r="HD119" i="1"/>
  <c r="HE119" i="1" s="1"/>
  <c r="HF119" i="1" s="1"/>
  <c r="GY119" i="1"/>
  <c r="GZ119" i="1" s="1"/>
  <c r="HA119" i="1" s="1"/>
  <c r="GT119" i="1"/>
  <c r="GU119" i="1" s="1"/>
  <c r="GV119" i="1" s="1"/>
  <c r="GO119" i="1"/>
  <c r="GP119" i="1" s="1"/>
  <c r="GQ119" i="1" s="1"/>
  <c r="GJ119" i="1"/>
  <c r="GK119" i="1" s="1"/>
  <c r="GL119" i="1" s="1"/>
  <c r="GE119" i="1"/>
  <c r="GF119" i="1" s="1"/>
  <c r="GG119" i="1" s="1"/>
  <c r="FZ119" i="1"/>
  <c r="GA119" i="1" s="1"/>
  <c r="GB119" i="1" s="1"/>
  <c r="FU119" i="1"/>
  <c r="FV119" i="1" s="1"/>
  <c r="FW119" i="1" s="1"/>
  <c r="FP119" i="1"/>
  <c r="FQ119" i="1" s="1"/>
  <c r="FR119" i="1" s="1"/>
  <c r="FK119" i="1"/>
  <c r="FL119" i="1" s="1"/>
  <c r="FM119" i="1" s="1"/>
  <c r="FF119" i="1"/>
  <c r="FG119" i="1" s="1"/>
  <c r="FH119" i="1" s="1"/>
  <c r="FA119" i="1"/>
  <c r="FB119" i="1" s="1"/>
  <c r="FC119" i="1" s="1"/>
  <c r="EV119" i="1"/>
  <c r="EW119" i="1" s="1"/>
  <c r="EX119" i="1" s="1"/>
  <c r="EQ119" i="1"/>
  <c r="ER119" i="1" s="1"/>
  <c r="ES119" i="1" s="1"/>
  <c r="EL119" i="1"/>
  <c r="EM119" i="1" s="1"/>
  <c r="EN119" i="1" s="1"/>
  <c r="EE119" i="1"/>
  <c r="EF119" i="1" s="1"/>
  <c r="EG119" i="1" s="1"/>
  <c r="DZ119" i="1"/>
  <c r="EA119" i="1" s="1"/>
  <c r="EB119" i="1" s="1"/>
  <c r="DU119" i="1"/>
  <c r="DV119" i="1" s="1"/>
  <c r="DW119" i="1" s="1"/>
  <c r="DP119" i="1"/>
  <c r="DQ119" i="1" s="1"/>
  <c r="DR119" i="1" s="1"/>
  <c r="DK119" i="1"/>
  <c r="DL119" i="1" s="1"/>
  <c r="DM119" i="1" s="1"/>
  <c r="DF119" i="1"/>
  <c r="DG119" i="1" s="1"/>
  <c r="DH119" i="1" s="1"/>
  <c r="DA119" i="1"/>
  <c r="DB119" i="1" s="1"/>
  <c r="DC119" i="1" s="1"/>
  <c r="CV119" i="1"/>
  <c r="CW119" i="1" s="1"/>
  <c r="CX119" i="1" s="1"/>
  <c r="CQ119" i="1"/>
  <c r="CR119" i="1" s="1"/>
  <c r="CS119" i="1" s="1"/>
  <c r="CL119" i="1"/>
  <c r="CM119" i="1" s="1"/>
  <c r="CN119" i="1" s="1"/>
  <c r="CG119" i="1"/>
  <c r="CH119" i="1" s="1"/>
  <c r="CI119" i="1" s="1"/>
  <c r="CA119" i="1"/>
  <c r="CB119" i="1" s="1"/>
  <c r="CC119" i="1" s="1"/>
  <c r="BV119" i="1"/>
  <c r="BW119" i="1" s="1"/>
  <c r="BX119" i="1" s="1"/>
  <c r="BQ119" i="1"/>
  <c r="BR119" i="1" s="1"/>
  <c r="BS119" i="1" s="1"/>
  <c r="BL119" i="1"/>
  <c r="BM119" i="1" s="1"/>
  <c r="BN119" i="1" s="1"/>
  <c r="BG119" i="1"/>
  <c r="BH119" i="1" s="1"/>
  <c r="BI119" i="1" s="1"/>
  <c r="BB119" i="1"/>
  <c r="BC119" i="1" s="1"/>
  <c r="BD119" i="1" s="1"/>
  <c r="AW119" i="1"/>
  <c r="AX119" i="1" s="1"/>
  <c r="AY119" i="1" s="1"/>
  <c r="AR119" i="1"/>
  <c r="AS119" i="1" s="1"/>
  <c r="AT119" i="1" s="1"/>
  <c r="AM119" i="1"/>
  <c r="AN119" i="1" s="1"/>
  <c r="AO119" i="1" s="1"/>
  <c r="AH119" i="1"/>
  <c r="AI119" i="1" s="1"/>
  <c r="AJ119" i="1" s="1"/>
  <c r="AE119" i="1"/>
  <c r="W119" i="1"/>
  <c r="X119" i="1" s="1"/>
  <c r="Y119" i="1" s="1"/>
  <c r="Q119" i="1"/>
  <c r="R119" i="1" s="1"/>
  <c r="S119" i="1" s="1"/>
  <c r="N119" i="1"/>
  <c r="I119" i="1"/>
  <c r="NZ118" i="1"/>
  <c r="NU118" i="1"/>
  <c r="NP118" i="1"/>
  <c r="NK118" i="1"/>
  <c r="NF118" i="1"/>
  <c r="NA118" i="1"/>
  <c r="MV118" i="1"/>
  <c r="MQ118" i="1"/>
  <c r="MM118" i="1"/>
  <c r="MI118" i="1"/>
  <c r="MD118" i="1"/>
  <c r="LY118" i="1"/>
  <c r="LT118" i="1"/>
  <c r="LO118" i="1"/>
  <c r="LJ118" i="1"/>
  <c r="LE118" i="1"/>
  <c r="KZ118" i="1"/>
  <c r="KV118" i="1"/>
  <c r="KQ118" i="1"/>
  <c r="KM118" i="1"/>
  <c r="KI118" i="1"/>
  <c r="KE118" i="1"/>
  <c r="KA118" i="1"/>
  <c r="JV118" i="1"/>
  <c r="JQ118" i="1"/>
  <c r="JM118" i="1"/>
  <c r="JI118" i="1"/>
  <c r="JD118" i="1"/>
  <c r="IY118" i="1"/>
  <c r="IT118" i="1"/>
  <c r="IO118" i="1"/>
  <c r="IJ118" i="1"/>
  <c r="IE118" i="1"/>
  <c r="HZ118" i="1"/>
  <c r="HU118" i="1"/>
  <c r="HP118" i="1"/>
  <c r="HK118" i="1"/>
  <c r="HD118" i="1"/>
  <c r="HE118" i="1" s="1"/>
  <c r="HF118" i="1" s="1"/>
  <c r="GY118" i="1"/>
  <c r="GZ118" i="1" s="1"/>
  <c r="HA118" i="1" s="1"/>
  <c r="GT118" i="1"/>
  <c r="GU118" i="1" s="1"/>
  <c r="GV118" i="1" s="1"/>
  <c r="GO118" i="1"/>
  <c r="GP118" i="1" s="1"/>
  <c r="GQ118" i="1" s="1"/>
  <c r="GJ118" i="1"/>
  <c r="GK118" i="1" s="1"/>
  <c r="GL118" i="1" s="1"/>
  <c r="GE118" i="1"/>
  <c r="GF118" i="1" s="1"/>
  <c r="GG118" i="1" s="1"/>
  <c r="FZ118" i="1"/>
  <c r="GA118" i="1" s="1"/>
  <c r="GB118" i="1" s="1"/>
  <c r="FU118" i="1"/>
  <c r="FV118" i="1" s="1"/>
  <c r="FW118" i="1" s="1"/>
  <c r="FP118" i="1"/>
  <c r="FQ118" i="1" s="1"/>
  <c r="FR118" i="1" s="1"/>
  <c r="FK118" i="1"/>
  <c r="FL118" i="1" s="1"/>
  <c r="FM118" i="1" s="1"/>
  <c r="FF118" i="1"/>
  <c r="FG118" i="1" s="1"/>
  <c r="FH118" i="1" s="1"/>
  <c r="FA118" i="1"/>
  <c r="FB118" i="1" s="1"/>
  <c r="FC118" i="1" s="1"/>
  <c r="EV118" i="1"/>
  <c r="EW118" i="1" s="1"/>
  <c r="EX118" i="1" s="1"/>
  <c r="EQ118" i="1"/>
  <c r="ER118" i="1" s="1"/>
  <c r="ES118" i="1" s="1"/>
  <c r="EL118" i="1"/>
  <c r="EM118" i="1" s="1"/>
  <c r="EN118" i="1" s="1"/>
  <c r="EE118" i="1"/>
  <c r="EF118" i="1" s="1"/>
  <c r="EG118" i="1" s="1"/>
  <c r="DZ118" i="1"/>
  <c r="EA118" i="1" s="1"/>
  <c r="EB118" i="1" s="1"/>
  <c r="DU118" i="1"/>
  <c r="DV118" i="1" s="1"/>
  <c r="DW118" i="1" s="1"/>
  <c r="DP118" i="1"/>
  <c r="DQ118" i="1" s="1"/>
  <c r="DR118" i="1" s="1"/>
  <c r="DK118" i="1"/>
  <c r="DL118" i="1" s="1"/>
  <c r="DM118" i="1" s="1"/>
  <c r="DF118" i="1"/>
  <c r="DG118" i="1" s="1"/>
  <c r="DH118" i="1" s="1"/>
  <c r="DA118" i="1"/>
  <c r="DB118" i="1" s="1"/>
  <c r="DC118" i="1" s="1"/>
  <c r="CV118" i="1"/>
  <c r="CW118" i="1" s="1"/>
  <c r="CX118" i="1" s="1"/>
  <c r="CQ118" i="1"/>
  <c r="CR118" i="1" s="1"/>
  <c r="CS118" i="1" s="1"/>
  <c r="CL118" i="1"/>
  <c r="CM118" i="1" s="1"/>
  <c r="CN118" i="1" s="1"/>
  <c r="CG118" i="1"/>
  <c r="CH118" i="1" s="1"/>
  <c r="CI118" i="1" s="1"/>
  <c r="CA118" i="1"/>
  <c r="CB118" i="1" s="1"/>
  <c r="CC118" i="1" s="1"/>
  <c r="BV118" i="1"/>
  <c r="BW118" i="1" s="1"/>
  <c r="BX118" i="1" s="1"/>
  <c r="BQ118" i="1"/>
  <c r="BR118" i="1" s="1"/>
  <c r="BS118" i="1" s="1"/>
  <c r="BL118" i="1"/>
  <c r="BM118" i="1" s="1"/>
  <c r="BN118" i="1" s="1"/>
  <c r="BG118" i="1"/>
  <c r="BH118" i="1" s="1"/>
  <c r="BI118" i="1" s="1"/>
  <c r="BB118" i="1"/>
  <c r="BC118" i="1" s="1"/>
  <c r="BD118" i="1" s="1"/>
  <c r="AW118" i="1"/>
  <c r="AX118" i="1" s="1"/>
  <c r="AY118" i="1" s="1"/>
  <c r="AR118" i="1"/>
  <c r="AS118" i="1" s="1"/>
  <c r="AT118" i="1" s="1"/>
  <c r="AM118" i="1"/>
  <c r="AN118" i="1" s="1"/>
  <c r="AO118" i="1" s="1"/>
  <c r="AH118" i="1"/>
  <c r="AI118" i="1" s="1"/>
  <c r="AJ118" i="1" s="1"/>
  <c r="AE118" i="1"/>
  <c r="W118" i="1"/>
  <c r="X118" i="1" s="1"/>
  <c r="Y118" i="1" s="1"/>
  <c r="S118" i="1"/>
  <c r="N118" i="1"/>
  <c r="G118" i="1"/>
  <c r="H118" i="1" s="1"/>
  <c r="I118" i="1" s="1"/>
  <c r="NZ117" i="1"/>
  <c r="NU117" i="1"/>
  <c r="NP117" i="1"/>
  <c r="NK117" i="1"/>
  <c r="NF117" i="1"/>
  <c r="NA117" i="1"/>
  <c r="MV117" i="1"/>
  <c r="MQ117" i="1"/>
  <c r="MM117" i="1"/>
  <c r="MI117" i="1"/>
  <c r="MD117" i="1"/>
  <c r="LY117" i="1"/>
  <c r="LT117" i="1"/>
  <c r="LO117" i="1"/>
  <c r="LJ117" i="1"/>
  <c r="LC117" i="1"/>
  <c r="LD117" i="1" s="1"/>
  <c r="LE117" i="1" s="1"/>
  <c r="KZ117" i="1"/>
  <c r="KV117" i="1"/>
  <c r="KQ117" i="1"/>
  <c r="KM117" i="1"/>
  <c r="KI117" i="1"/>
  <c r="KE117" i="1"/>
  <c r="KA117" i="1"/>
  <c r="JV117" i="1"/>
  <c r="JQ117" i="1"/>
  <c r="JM117" i="1"/>
  <c r="JI117" i="1"/>
  <c r="JB117" i="1"/>
  <c r="JC117" i="1" s="1"/>
  <c r="JD117" i="1" s="1"/>
  <c r="IW117" i="1"/>
  <c r="IX117" i="1" s="1"/>
  <c r="IY117" i="1" s="1"/>
  <c r="IR117" i="1"/>
  <c r="IS117" i="1" s="1"/>
  <c r="IT117" i="1" s="1"/>
  <c r="IM117" i="1"/>
  <c r="IN117" i="1" s="1"/>
  <c r="IO117" i="1" s="1"/>
  <c r="IH117" i="1"/>
  <c r="II117" i="1" s="1"/>
  <c r="IJ117" i="1" s="1"/>
  <c r="IC117" i="1"/>
  <c r="ID117" i="1" s="1"/>
  <c r="IE117" i="1" s="1"/>
  <c r="HX117" i="1"/>
  <c r="HY117" i="1" s="1"/>
  <c r="HZ117" i="1" s="1"/>
  <c r="HU117" i="1"/>
  <c r="HN117" i="1"/>
  <c r="HO117" i="1" s="1"/>
  <c r="HP117" i="1" s="1"/>
  <c r="HI117" i="1"/>
  <c r="HJ117" i="1" s="1"/>
  <c r="HK117" i="1" s="1"/>
  <c r="HD117" i="1"/>
  <c r="HE117" i="1" s="1"/>
  <c r="HF117" i="1" s="1"/>
  <c r="GY117" i="1"/>
  <c r="GZ117" i="1" s="1"/>
  <c r="HA117" i="1" s="1"/>
  <c r="GT117" i="1"/>
  <c r="GU117" i="1" s="1"/>
  <c r="GV117" i="1" s="1"/>
  <c r="GO117" i="1"/>
  <c r="GP117" i="1" s="1"/>
  <c r="GQ117" i="1" s="1"/>
  <c r="GJ117" i="1"/>
  <c r="GK117" i="1" s="1"/>
  <c r="GL117" i="1" s="1"/>
  <c r="GE117" i="1"/>
  <c r="GF117" i="1" s="1"/>
  <c r="GG117" i="1" s="1"/>
  <c r="FZ117" i="1"/>
  <c r="GA117" i="1" s="1"/>
  <c r="GB117" i="1" s="1"/>
  <c r="FU117" i="1"/>
  <c r="FV117" i="1" s="1"/>
  <c r="FW117" i="1" s="1"/>
  <c r="FP117" i="1"/>
  <c r="FQ117" i="1" s="1"/>
  <c r="FR117" i="1" s="1"/>
  <c r="FK117" i="1"/>
  <c r="FL117" i="1" s="1"/>
  <c r="FM117" i="1" s="1"/>
  <c r="FF117" i="1"/>
  <c r="FG117" i="1" s="1"/>
  <c r="FH117" i="1" s="1"/>
  <c r="FA117" i="1"/>
  <c r="FB117" i="1" s="1"/>
  <c r="FC117" i="1" s="1"/>
  <c r="EV117" i="1"/>
  <c r="EW117" i="1" s="1"/>
  <c r="EX117" i="1" s="1"/>
  <c r="EQ117" i="1"/>
  <c r="ER117" i="1" s="1"/>
  <c r="ES117" i="1" s="1"/>
  <c r="EL117" i="1"/>
  <c r="EM117" i="1" s="1"/>
  <c r="EN117" i="1" s="1"/>
  <c r="EE117" i="1"/>
  <c r="EF117" i="1" s="1"/>
  <c r="EG117" i="1" s="1"/>
  <c r="DZ117" i="1"/>
  <c r="EA117" i="1" s="1"/>
  <c r="EB117" i="1" s="1"/>
  <c r="DU117" i="1"/>
  <c r="DV117" i="1" s="1"/>
  <c r="DW117" i="1" s="1"/>
  <c r="DP117" i="1"/>
  <c r="DQ117" i="1" s="1"/>
  <c r="DR117" i="1" s="1"/>
  <c r="DK117" i="1"/>
  <c r="DL117" i="1" s="1"/>
  <c r="DM117" i="1" s="1"/>
  <c r="DF117" i="1"/>
  <c r="DG117" i="1" s="1"/>
  <c r="DH117" i="1" s="1"/>
  <c r="DA117" i="1"/>
  <c r="DB117" i="1" s="1"/>
  <c r="DC117" i="1" s="1"/>
  <c r="CV117" i="1"/>
  <c r="CW117" i="1" s="1"/>
  <c r="CX117" i="1" s="1"/>
  <c r="CQ117" i="1"/>
  <c r="CR117" i="1" s="1"/>
  <c r="CS117" i="1" s="1"/>
  <c r="CL117" i="1"/>
  <c r="CM117" i="1" s="1"/>
  <c r="CN117" i="1" s="1"/>
  <c r="CG117" i="1"/>
  <c r="CH117" i="1" s="1"/>
  <c r="CI117" i="1" s="1"/>
  <c r="CA117" i="1"/>
  <c r="CB117" i="1" s="1"/>
  <c r="CC117" i="1" s="1"/>
  <c r="BV117" i="1"/>
  <c r="BW117" i="1" s="1"/>
  <c r="BX117" i="1" s="1"/>
  <c r="BQ117" i="1"/>
  <c r="BR117" i="1" s="1"/>
  <c r="BS117" i="1" s="1"/>
  <c r="BL117" i="1"/>
  <c r="BM117" i="1" s="1"/>
  <c r="BN117" i="1" s="1"/>
  <c r="BG117" i="1"/>
  <c r="BH117" i="1" s="1"/>
  <c r="BI117" i="1" s="1"/>
  <c r="BB117" i="1"/>
  <c r="BC117" i="1" s="1"/>
  <c r="BD117" i="1" s="1"/>
  <c r="AW117" i="1"/>
  <c r="AX117" i="1" s="1"/>
  <c r="AY117" i="1" s="1"/>
  <c r="AR117" i="1"/>
  <c r="AS117" i="1" s="1"/>
  <c r="AT117" i="1" s="1"/>
  <c r="AM117" i="1"/>
  <c r="AN117" i="1" s="1"/>
  <c r="AO117" i="1" s="1"/>
  <c r="AH117" i="1"/>
  <c r="AI117" i="1" s="1"/>
  <c r="AJ117" i="1" s="1"/>
  <c r="AC117" i="1"/>
  <c r="AD117" i="1" s="1"/>
  <c r="AE117" i="1" s="1"/>
  <c r="W117" i="1"/>
  <c r="X117" i="1" s="1"/>
  <c r="Y117" i="1" s="1"/>
  <c r="S117" i="1"/>
  <c r="N117" i="1"/>
  <c r="I117" i="1"/>
  <c r="NZ116" i="1"/>
  <c r="NU116" i="1"/>
  <c r="NP116" i="1"/>
  <c r="NK116" i="1"/>
  <c r="NF116" i="1"/>
  <c r="NA116" i="1"/>
  <c r="MV116" i="1"/>
  <c r="MQ116" i="1"/>
  <c r="MM116" i="1"/>
  <c r="MI116" i="1"/>
  <c r="MD116" i="1"/>
  <c r="LY116" i="1"/>
  <c r="LT116" i="1"/>
  <c r="LO116" i="1"/>
  <c r="LJ116" i="1"/>
  <c r="LE116" i="1"/>
  <c r="KX116" i="1"/>
  <c r="KY116" i="1" s="1"/>
  <c r="KZ116" i="1" s="1"/>
  <c r="KV116" i="1"/>
  <c r="KQ116" i="1"/>
  <c r="KM116" i="1"/>
  <c r="KG116" i="1"/>
  <c r="KH116" i="1" s="1"/>
  <c r="KI116" i="1" s="1"/>
  <c r="KE116" i="1"/>
  <c r="KA116" i="1"/>
  <c r="JV116" i="1"/>
  <c r="JQ116" i="1"/>
  <c r="JM116" i="1"/>
  <c r="JI116" i="1"/>
  <c r="JB116" i="1"/>
  <c r="JC116" i="1" s="1"/>
  <c r="JD116" i="1" s="1"/>
  <c r="IW116" i="1"/>
  <c r="IX116" i="1" s="1"/>
  <c r="IY116" i="1" s="1"/>
  <c r="IR116" i="1"/>
  <c r="IS116" i="1" s="1"/>
  <c r="IT116" i="1" s="1"/>
  <c r="IM116" i="1"/>
  <c r="IN116" i="1" s="1"/>
  <c r="IO116" i="1" s="1"/>
  <c r="IH116" i="1"/>
  <c r="II116" i="1" s="1"/>
  <c r="IJ116" i="1" s="1"/>
  <c r="IC116" i="1"/>
  <c r="ID116" i="1" s="1"/>
  <c r="IE116" i="1" s="1"/>
  <c r="HX116" i="1"/>
  <c r="HY116" i="1" s="1"/>
  <c r="HZ116" i="1" s="1"/>
  <c r="HU116" i="1"/>
  <c r="HP116" i="1"/>
  <c r="HI116" i="1"/>
  <c r="HJ116" i="1" s="1"/>
  <c r="HK116" i="1" s="1"/>
  <c r="HD116" i="1"/>
  <c r="HE116" i="1" s="1"/>
  <c r="HF116" i="1" s="1"/>
  <c r="GY116" i="1"/>
  <c r="GZ116" i="1" s="1"/>
  <c r="HA116" i="1" s="1"/>
  <c r="GT116" i="1"/>
  <c r="GU116" i="1" s="1"/>
  <c r="GV116" i="1" s="1"/>
  <c r="GO116" i="1"/>
  <c r="GP116" i="1" s="1"/>
  <c r="GQ116" i="1" s="1"/>
  <c r="GJ116" i="1"/>
  <c r="GK116" i="1" s="1"/>
  <c r="GL116" i="1" s="1"/>
  <c r="GE116" i="1"/>
  <c r="GF116" i="1" s="1"/>
  <c r="GG116" i="1" s="1"/>
  <c r="FZ116" i="1"/>
  <c r="GA116" i="1" s="1"/>
  <c r="GB116" i="1" s="1"/>
  <c r="FU116" i="1"/>
  <c r="FV116" i="1" s="1"/>
  <c r="FW116" i="1" s="1"/>
  <c r="FP116" i="1"/>
  <c r="FQ116" i="1" s="1"/>
  <c r="FR116" i="1" s="1"/>
  <c r="FK116" i="1"/>
  <c r="FL116" i="1" s="1"/>
  <c r="FM116" i="1" s="1"/>
  <c r="FF116" i="1"/>
  <c r="FG116" i="1" s="1"/>
  <c r="FH116" i="1" s="1"/>
  <c r="FA116" i="1"/>
  <c r="FB116" i="1" s="1"/>
  <c r="FC116" i="1" s="1"/>
  <c r="EV116" i="1"/>
  <c r="EW116" i="1" s="1"/>
  <c r="EX116" i="1" s="1"/>
  <c r="EQ116" i="1"/>
  <c r="ER116" i="1" s="1"/>
  <c r="ES116" i="1" s="1"/>
  <c r="EL116" i="1"/>
  <c r="EM116" i="1" s="1"/>
  <c r="EN116" i="1" s="1"/>
  <c r="EE116" i="1"/>
  <c r="EF116" i="1" s="1"/>
  <c r="EG116" i="1" s="1"/>
  <c r="DZ116" i="1"/>
  <c r="EA116" i="1" s="1"/>
  <c r="EB116" i="1" s="1"/>
  <c r="DU116" i="1"/>
  <c r="DV116" i="1" s="1"/>
  <c r="DW116" i="1" s="1"/>
  <c r="DP116" i="1"/>
  <c r="DQ116" i="1" s="1"/>
  <c r="DR116" i="1" s="1"/>
  <c r="DK116" i="1"/>
  <c r="DL116" i="1" s="1"/>
  <c r="DM116" i="1" s="1"/>
  <c r="DF116" i="1"/>
  <c r="DG116" i="1" s="1"/>
  <c r="DH116" i="1" s="1"/>
  <c r="DA116" i="1"/>
  <c r="DB116" i="1" s="1"/>
  <c r="DC116" i="1" s="1"/>
  <c r="CV116" i="1"/>
  <c r="CW116" i="1" s="1"/>
  <c r="CX116" i="1" s="1"/>
  <c r="CQ116" i="1"/>
  <c r="CR116" i="1" s="1"/>
  <c r="CS116" i="1" s="1"/>
  <c r="CL116" i="1"/>
  <c r="CM116" i="1" s="1"/>
  <c r="CN116" i="1" s="1"/>
  <c r="CG116" i="1"/>
  <c r="CH116" i="1" s="1"/>
  <c r="CI116" i="1" s="1"/>
  <c r="CA116" i="1"/>
  <c r="CB116" i="1" s="1"/>
  <c r="CC116" i="1" s="1"/>
  <c r="BV116" i="1"/>
  <c r="BW116" i="1" s="1"/>
  <c r="BX116" i="1" s="1"/>
  <c r="BQ116" i="1"/>
  <c r="BR116" i="1" s="1"/>
  <c r="BS116" i="1" s="1"/>
  <c r="BL116" i="1"/>
  <c r="BM116" i="1" s="1"/>
  <c r="BN116" i="1" s="1"/>
  <c r="BG116" i="1"/>
  <c r="BH116" i="1" s="1"/>
  <c r="BI116" i="1" s="1"/>
  <c r="BB116" i="1"/>
  <c r="BC116" i="1" s="1"/>
  <c r="BD116" i="1" s="1"/>
  <c r="AW116" i="1"/>
  <c r="AX116" i="1" s="1"/>
  <c r="AY116" i="1" s="1"/>
  <c r="AR116" i="1"/>
  <c r="AS116" i="1" s="1"/>
  <c r="AT116" i="1" s="1"/>
  <c r="AM116" i="1"/>
  <c r="AN116" i="1" s="1"/>
  <c r="AO116" i="1" s="1"/>
  <c r="AH116" i="1"/>
  <c r="AI116" i="1" s="1"/>
  <c r="AJ116" i="1" s="1"/>
  <c r="AC116" i="1"/>
  <c r="AD116" i="1" s="1"/>
  <c r="AE116" i="1" s="1"/>
  <c r="W116" i="1"/>
  <c r="X116" i="1" s="1"/>
  <c r="Y116" i="1" s="1"/>
  <c r="S116" i="1"/>
  <c r="N116" i="1"/>
  <c r="I116" i="1"/>
  <c r="NZ115" i="1"/>
  <c r="NU115" i="1"/>
  <c r="NP115" i="1"/>
  <c r="NK115" i="1"/>
  <c r="NF115" i="1"/>
  <c r="NA115" i="1"/>
  <c r="MV115" i="1"/>
  <c r="MQ115" i="1"/>
  <c r="MM115" i="1"/>
  <c r="MI115" i="1"/>
  <c r="MD115" i="1"/>
  <c r="LY115" i="1"/>
  <c r="LT115" i="1"/>
  <c r="LO115" i="1"/>
  <c r="LJ115" i="1"/>
  <c r="LC115" i="1"/>
  <c r="LD115" i="1" s="1"/>
  <c r="LE115" i="1" s="1"/>
  <c r="KZ115" i="1"/>
  <c r="KV115" i="1"/>
  <c r="KO115" i="1"/>
  <c r="KP115" i="1" s="1"/>
  <c r="KQ115" i="1" s="1"/>
  <c r="KM115" i="1"/>
  <c r="KG115" i="1"/>
  <c r="KH115" i="1" s="1"/>
  <c r="KI115" i="1" s="1"/>
  <c r="KE115" i="1"/>
  <c r="KA115" i="1"/>
  <c r="JV115" i="1"/>
  <c r="JQ115" i="1"/>
  <c r="JM115" i="1"/>
  <c r="JI115" i="1"/>
  <c r="JD115" i="1"/>
  <c r="IY115" i="1"/>
  <c r="IT115" i="1"/>
  <c r="IO115" i="1"/>
  <c r="IJ115" i="1"/>
  <c r="IE115" i="1"/>
  <c r="HZ115" i="1"/>
  <c r="HU115" i="1"/>
  <c r="HP115" i="1"/>
  <c r="HI115" i="1"/>
  <c r="HJ115" i="1" s="1"/>
  <c r="HK115" i="1" s="1"/>
  <c r="HD115" i="1"/>
  <c r="HE115" i="1" s="1"/>
  <c r="HF115" i="1" s="1"/>
  <c r="GY115" i="1"/>
  <c r="GZ115" i="1" s="1"/>
  <c r="HA115" i="1" s="1"/>
  <c r="GT115" i="1"/>
  <c r="GU115" i="1" s="1"/>
  <c r="GV115" i="1" s="1"/>
  <c r="GO115" i="1"/>
  <c r="GP115" i="1" s="1"/>
  <c r="GQ115" i="1" s="1"/>
  <c r="GJ115" i="1"/>
  <c r="GK115" i="1" s="1"/>
  <c r="GL115" i="1" s="1"/>
  <c r="GE115" i="1"/>
  <c r="GF115" i="1" s="1"/>
  <c r="GG115" i="1" s="1"/>
  <c r="FZ115" i="1"/>
  <c r="GA115" i="1" s="1"/>
  <c r="GB115" i="1" s="1"/>
  <c r="FU115" i="1"/>
  <c r="FV115" i="1" s="1"/>
  <c r="FW115" i="1" s="1"/>
  <c r="FP115" i="1"/>
  <c r="FQ115" i="1" s="1"/>
  <c r="FR115" i="1" s="1"/>
  <c r="FK115" i="1"/>
  <c r="FL115" i="1" s="1"/>
  <c r="FM115" i="1" s="1"/>
  <c r="FF115" i="1"/>
  <c r="FG115" i="1" s="1"/>
  <c r="FH115" i="1" s="1"/>
  <c r="FA115" i="1"/>
  <c r="FB115" i="1" s="1"/>
  <c r="FC115" i="1" s="1"/>
  <c r="EV115" i="1"/>
  <c r="EW115" i="1" s="1"/>
  <c r="EX115" i="1" s="1"/>
  <c r="EQ115" i="1"/>
  <c r="ER115" i="1" s="1"/>
  <c r="ES115" i="1" s="1"/>
  <c r="EL115" i="1"/>
  <c r="EM115" i="1" s="1"/>
  <c r="EN115" i="1" s="1"/>
  <c r="EE115" i="1"/>
  <c r="EF115" i="1" s="1"/>
  <c r="EG115" i="1" s="1"/>
  <c r="DZ115" i="1"/>
  <c r="EA115" i="1" s="1"/>
  <c r="EB115" i="1" s="1"/>
  <c r="DU115" i="1"/>
  <c r="DV115" i="1" s="1"/>
  <c r="DW115" i="1" s="1"/>
  <c r="DP115" i="1"/>
  <c r="DQ115" i="1" s="1"/>
  <c r="DR115" i="1" s="1"/>
  <c r="DK115" i="1"/>
  <c r="DL115" i="1" s="1"/>
  <c r="DM115" i="1" s="1"/>
  <c r="DF115" i="1"/>
  <c r="DG115" i="1" s="1"/>
  <c r="DH115" i="1" s="1"/>
  <c r="DA115" i="1"/>
  <c r="DB115" i="1" s="1"/>
  <c r="DC115" i="1" s="1"/>
  <c r="CV115" i="1"/>
  <c r="CW115" i="1" s="1"/>
  <c r="CX115" i="1" s="1"/>
  <c r="CQ115" i="1"/>
  <c r="CR115" i="1" s="1"/>
  <c r="CS115" i="1" s="1"/>
  <c r="CL115" i="1"/>
  <c r="CM115" i="1" s="1"/>
  <c r="CN115" i="1" s="1"/>
  <c r="CG115" i="1"/>
  <c r="CH115" i="1" s="1"/>
  <c r="CI115" i="1" s="1"/>
  <c r="CA115" i="1"/>
  <c r="CB115" i="1" s="1"/>
  <c r="CC115" i="1" s="1"/>
  <c r="BV115" i="1"/>
  <c r="BW115" i="1" s="1"/>
  <c r="BX115" i="1" s="1"/>
  <c r="BQ115" i="1"/>
  <c r="BR115" i="1" s="1"/>
  <c r="BS115" i="1" s="1"/>
  <c r="BL115" i="1"/>
  <c r="BM115" i="1" s="1"/>
  <c r="BN115" i="1" s="1"/>
  <c r="BG115" i="1"/>
  <c r="BH115" i="1" s="1"/>
  <c r="BI115" i="1" s="1"/>
  <c r="BB115" i="1"/>
  <c r="BC115" i="1" s="1"/>
  <c r="BD115" i="1" s="1"/>
  <c r="AW115" i="1"/>
  <c r="AX115" i="1" s="1"/>
  <c r="AY115" i="1" s="1"/>
  <c r="AR115" i="1"/>
  <c r="AS115" i="1" s="1"/>
  <c r="AT115" i="1" s="1"/>
  <c r="AM115" i="1"/>
  <c r="AN115" i="1" s="1"/>
  <c r="AO115" i="1" s="1"/>
  <c r="AH115" i="1"/>
  <c r="AI115" i="1" s="1"/>
  <c r="AJ115" i="1" s="1"/>
  <c r="AC115" i="1"/>
  <c r="AD115" i="1" s="1"/>
  <c r="AE115" i="1" s="1"/>
  <c r="W115" i="1"/>
  <c r="X115" i="1" s="1"/>
  <c r="Y115" i="1" s="1"/>
  <c r="S115" i="1"/>
  <c r="N115" i="1"/>
  <c r="I115" i="1"/>
  <c r="NZ114" i="1"/>
  <c r="NU114" i="1"/>
  <c r="NP114" i="1"/>
  <c r="NK114" i="1"/>
  <c r="NF114" i="1"/>
  <c r="NA114" i="1"/>
  <c r="MV114" i="1"/>
  <c r="MQ114" i="1"/>
  <c r="MM114" i="1"/>
  <c r="MI114" i="1"/>
  <c r="MD114" i="1"/>
  <c r="LY114" i="1"/>
  <c r="LT114" i="1"/>
  <c r="LO114" i="1"/>
  <c r="LJ114" i="1"/>
  <c r="LE114" i="1"/>
  <c r="KZ114" i="1"/>
  <c r="KV114" i="1"/>
  <c r="KQ114" i="1"/>
  <c r="KM114" i="1"/>
  <c r="KI114" i="1"/>
  <c r="KE114" i="1"/>
  <c r="KA114" i="1"/>
  <c r="JV114" i="1"/>
  <c r="JQ114" i="1"/>
  <c r="JM114" i="1"/>
  <c r="JI114" i="1"/>
  <c r="JD114" i="1"/>
  <c r="IY114" i="1"/>
  <c r="IT114" i="1"/>
  <c r="IO114" i="1"/>
  <c r="IJ114" i="1"/>
  <c r="IE114" i="1"/>
  <c r="HZ114" i="1"/>
  <c r="HU114" i="1"/>
  <c r="HP114" i="1"/>
  <c r="HI114" i="1"/>
  <c r="HJ114" i="1" s="1"/>
  <c r="HK114" i="1" s="1"/>
  <c r="HD114" i="1"/>
  <c r="HE114" i="1" s="1"/>
  <c r="HF114" i="1" s="1"/>
  <c r="GY114" i="1"/>
  <c r="GZ114" i="1" s="1"/>
  <c r="HA114" i="1" s="1"/>
  <c r="GT114" i="1"/>
  <c r="GU114" i="1" s="1"/>
  <c r="GV114" i="1" s="1"/>
  <c r="GO114" i="1"/>
  <c r="GP114" i="1" s="1"/>
  <c r="GQ114" i="1" s="1"/>
  <c r="GJ114" i="1"/>
  <c r="GK114" i="1" s="1"/>
  <c r="GL114" i="1" s="1"/>
  <c r="GE114" i="1"/>
  <c r="GF114" i="1" s="1"/>
  <c r="GG114" i="1" s="1"/>
  <c r="FZ114" i="1"/>
  <c r="GA114" i="1" s="1"/>
  <c r="GB114" i="1" s="1"/>
  <c r="FU114" i="1"/>
  <c r="FV114" i="1" s="1"/>
  <c r="FW114" i="1" s="1"/>
  <c r="FP114" i="1"/>
  <c r="FQ114" i="1" s="1"/>
  <c r="FR114" i="1" s="1"/>
  <c r="FK114" i="1"/>
  <c r="FL114" i="1" s="1"/>
  <c r="FM114" i="1" s="1"/>
  <c r="FF114" i="1"/>
  <c r="FG114" i="1" s="1"/>
  <c r="FH114" i="1" s="1"/>
  <c r="FA114" i="1"/>
  <c r="FB114" i="1" s="1"/>
  <c r="FC114" i="1" s="1"/>
  <c r="EV114" i="1"/>
  <c r="EW114" i="1" s="1"/>
  <c r="EX114" i="1" s="1"/>
  <c r="EQ114" i="1"/>
  <c r="ER114" i="1" s="1"/>
  <c r="ES114" i="1" s="1"/>
  <c r="EL114" i="1"/>
  <c r="EM114" i="1" s="1"/>
  <c r="EN114" i="1" s="1"/>
  <c r="EE114" i="1"/>
  <c r="EF114" i="1" s="1"/>
  <c r="EG114" i="1" s="1"/>
  <c r="DZ114" i="1"/>
  <c r="EA114" i="1" s="1"/>
  <c r="EB114" i="1" s="1"/>
  <c r="DU114" i="1"/>
  <c r="DV114" i="1" s="1"/>
  <c r="DW114" i="1" s="1"/>
  <c r="DP114" i="1"/>
  <c r="DQ114" i="1" s="1"/>
  <c r="DR114" i="1" s="1"/>
  <c r="DK114" i="1"/>
  <c r="DL114" i="1" s="1"/>
  <c r="DM114" i="1" s="1"/>
  <c r="DF114" i="1"/>
  <c r="DG114" i="1" s="1"/>
  <c r="DH114" i="1" s="1"/>
  <c r="DA114" i="1"/>
  <c r="DB114" i="1" s="1"/>
  <c r="DC114" i="1" s="1"/>
  <c r="CV114" i="1"/>
  <c r="CW114" i="1" s="1"/>
  <c r="CX114" i="1" s="1"/>
  <c r="CQ114" i="1"/>
  <c r="CR114" i="1" s="1"/>
  <c r="CS114" i="1" s="1"/>
  <c r="CL114" i="1"/>
  <c r="CM114" i="1" s="1"/>
  <c r="CN114" i="1" s="1"/>
  <c r="CG114" i="1"/>
  <c r="CH114" i="1" s="1"/>
  <c r="CI114" i="1" s="1"/>
  <c r="CA114" i="1"/>
  <c r="CB114" i="1" s="1"/>
  <c r="CC114" i="1" s="1"/>
  <c r="BV114" i="1"/>
  <c r="BW114" i="1" s="1"/>
  <c r="BX114" i="1" s="1"/>
  <c r="BQ114" i="1"/>
  <c r="BR114" i="1" s="1"/>
  <c r="BS114" i="1" s="1"/>
  <c r="BL114" i="1"/>
  <c r="BM114" i="1" s="1"/>
  <c r="BN114" i="1" s="1"/>
  <c r="BG114" i="1"/>
  <c r="BH114" i="1" s="1"/>
  <c r="BI114" i="1" s="1"/>
  <c r="BB114" i="1"/>
  <c r="BC114" i="1" s="1"/>
  <c r="BD114" i="1" s="1"/>
  <c r="AW114" i="1"/>
  <c r="AX114" i="1" s="1"/>
  <c r="AY114" i="1" s="1"/>
  <c r="AR114" i="1"/>
  <c r="AS114" i="1" s="1"/>
  <c r="AT114" i="1" s="1"/>
  <c r="AM114" i="1"/>
  <c r="AN114" i="1" s="1"/>
  <c r="AO114" i="1" s="1"/>
  <c r="AH114" i="1"/>
  <c r="AI114" i="1" s="1"/>
  <c r="AJ114" i="1" s="1"/>
  <c r="AC114" i="1"/>
  <c r="AD114" i="1" s="1"/>
  <c r="AE114" i="1" s="1"/>
  <c r="W114" i="1"/>
  <c r="X114" i="1" s="1"/>
  <c r="Y114" i="1" s="1"/>
  <c r="Q114" i="1"/>
  <c r="R114" i="1" s="1"/>
  <c r="S114" i="1" s="1"/>
  <c r="N114" i="1"/>
  <c r="I114" i="1"/>
  <c r="NZ113" i="1"/>
  <c r="NU113" i="1"/>
  <c r="NP113" i="1"/>
  <c r="NK113" i="1"/>
  <c r="NF113" i="1"/>
  <c r="NA113" i="1"/>
  <c r="MV113" i="1"/>
  <c r="MQ113" i="1"/>
  <c r="MM113" i="1"/>
  <c r="MI113" i="1"/>
  <c r="MD113" i="1"/>
  <c r="LW113" i="1"/>
  <c r="LX113" i="1" s="1"/>
  <c r="LY113" i="1" s="1"/>
  <c r="LR113" i="1"/>
  <c r="LS113" i="1" s="1"/>
  <c r="LT113" i="1" s="1"/>
  <c r="LO113" i="1"/>
  <c r="LJ113" i="1"/>
  <c r="LE113" i="1"/>
  <c r="KX113" i="1"/>
  <c r="KY113" i="1" s="1"/>
  <c r="KZ113" i="1" s="1"/>
  <c r="KV113" i="1"/>
  <c r="KO113" i="1"/>
  <c r="KP113" i="1" s="1"/>
  <c r="KQ113" i="1" s="1"/>
  <c r="KM113" i="1"/>
  <c r="KG113" i="1"/>
  <c r="KH113" i="1" s="1"/>
  <c r="KI113" i="1" s="1"/>
  <c r="KE113" i="1"/>
  <c r="KA113" i="1"/>
  <c r="JV113" i="1"/>
  <c r="JQ113" i="1"/>
  <c r="JM113" i="1"/>
  <c r="JI113" i="1"/>
  <c r="JB113" i="1"/>
  <c r="JC113" i="1" s="1"/>
  <c r="JD113" i="1" s="1"/>
  <c r="IW113" i="1"/>
  <c r="IX113" i="1" s="1"/>
  <c r="IY113" i="1" s="1"/>
  <c r="IR113" i="1"/>
  <c r="IS113" i="1" s="1"/>
  <c r="IT113" i="1" s="1"/>
  <c r="IN113" i="1"/>
  <c r="IO113" i="1" s="1"/>
  <c r="IM113" i="1"/>
  <c r="IH113" i="1"/>
  <c r="II113" i="1" s="1"/>
  <c r="IJ113" i="1" s="1"/>
  <c r="IC113" i="1"/>
  <c r="ID113" i="1" s="1"/>
  <c r="IE113" i="1" s="1"/>
  <c r="HX113" i="1"/>
  <c r="HY113" i="1" s="1"/>
  <c r="HZ113" i="1" s="1"/>
  <c r="HS113" i="1"/>
  <c r="HT113" i="1" s="1"/>
  <c r="HU113" i="1" s="1"/>
  <c r="HN113" i="1"/>
  <c r="HO113" i="1" s="1"/>
  <c r="HP113" i="1" s="1"/>
  <c r="HI113" i="1"/>
  <c r="HJ113" i="1" s="1"/>
  <c r="HK113" i="1" s="1"/>
  <c r="HD113" i="1"/>
  <c r="HE113" i="1" s="1"/>
  <c r="HF113" i="1" s="1"/>
  <c r="GY113" i="1"/>
  <c r="GZ113" i="1" s="1"/>
  <c r="HA113" i="1" s="1"/>
  <c r="GT113" i="1"/>
  <c r="GU113" i="1" s="1"/>
  <c r="GV113" i="1" s="1"/>
  <c r="GO113" i="1"/>
  <c r="GP113" i="1" s="1"/>
  <c r="GQ113" i="1" s="1"/>
  <c r="GJ113" i="1"/>
  <c r="GK113" i="1" s="1"/>
  <c r="GL113" i="1" s="1"/>
  <c r="GE113" i="1"/>
  <c r="GF113" i="1" s="1"/>
  <c r="GG113" i="1" s="1"/>
  <c r="FZ113" i="1"/>
  <c r="GA113" i="1" s="1"/>
  <c r="GB113" i="1" s="1"/>
  <c r="FU113" i="1"/>
  <c r="FV113" i="1" s="1"/>
  <c r="FW113" i="1" s="1"/>
  <c r="FP113" i="1"/>
  <c r="FQ113" i="1" s="1"/>
  <c r="FR113" i="1" s="1"/>
  <c r="FK113" i="1"/>
  <c r="FL113" i="1" s="1"/>
  <c r="FM113" i="1" s="1"/>
  <c r="FF113" i="1"/>
  <c r="FG113" i="1" s="1"/>
  <c r="FH113" i="1" s="1"/>
  <c r="FA113" i="1"/>
  <c r="FB113" i="1" s="1"/>
  <c r="FC113" i="1" s="1"/>
  <c r="EV113" i="1"/>
  <c r="EW113" i="1" s="1"/>
  <c r="EX113" i="1" s="1"/>
  <c r="EQ113" i="1"/>
  <c r="ER113" i="1" s="1"/>
  <c r="ES113" i="1" s="1"/>
  <c r="EL113" i="1"/>
  <c r="EM113" i="1" s="1"/>
  <c r="EN113" i="1" s="1"/>
  <c r="EE113" i="1"/>
  <c r="EF113" i="1" s="1"/>
  <c r="EG113" i="1" s="1"/>
  <c r="DZ113" i="1"/>
  <c r="EA113" i="1" s="1"/>
  <c r="EB113" i="1" s="1"/>
  <c r="DU113" i="1"/>
  <c r="DV113" i="1" s="1"/>
  <c r="DW113" i="1" s="1"/>
  <c r="DP113" i="1"/>
  <c r="DQ113" i="1" s="1"/>
  <c r="DR113" i="1" s="1"/>
  <c r="DK113" i="1"/>
  <c r="DL113" i="1" s="1"/>
  <c r="DM113" i="1" s="1"/>
  <c r="DF113" i="1"/>
  <c r="DG113" i="1" s="1"/>
  <c r="DH113" i="1" s="1"/>
  <c r="DA113" i="1"/>
  <c r="DB113" i="1" s="1"/>
  <c r="DC113" i="1" s="1"/>
  <c r="CV113" i="1"/>
  <c r="CW113" i="1" s="1"/>
  <c r="CX113" i="1" s="1"/>
  <c r="CQ113" i="1"/>
  <c r="CR113" i="1" s="1"/>
  <c r="CS113" i="1" s="1"/>
  <c r="CL113" i="1"/>
  <c r="CM113" i="1" s="1"/>
  <c r="CN113" i="1" s="1"/>
  <c r="CG113" i="1"/>
  <c r="CH113" i="1" s="1"/>
  <c r="CI113" i="1" s="1"/>
  <c r="CA113" i="1"/>
  <c r="CB113" i="1" s="1"/>
  <c r="CC113" i="1" s="1"/>
  <c r="BV113" i="1"/>
  <c r="BW113" i="1" s="1"/>
  <c r="BX113" i="1" s="1"/>
  <c r="BQ113" i="1"/>
  <c r="BR113" i="1" s="1"/>
  <c r="BS113" i="1" s="1"/>
  <c r="BL113" i="1"/>
  <c r="BM113" i="1" s="1"/>
  <c r="BN113" i="1" s="1"/>
  <c r="BG113" i="1"/>
  <c r="BH113" i="1" s="1"/>
  <c r="BI113" i="1" s="1"/>
  <c r="BB113" i="1"/>
  <c r="BC113" i="1" s="1"/>
  <c r="BD113" i="1" s="1"/>
  <c r="AW113" i="1"/>
  <c r="AX113" i="1" s="1"/>
  <c r="AY113" i="1" s="1"/>
  <c r="AR113" i="1"/>
  <c r="AS113" i="1" s="1"/>
  <c r="AT113" i="1" s="1"/>
  <c r="AM113" i="1"/>
  <c r="AN113" i="1" s="1"/>
  <c r="AO113" i="1" s="1"/>
  <c r="AH113" i="1"/>
  <c r="AI113" i="1" s="1"/>
  <c r="AJ113" i="1" s="1"/>
  <c r="AC113" i="1"/>
  <c r="AD113" i="1" s="1"/>
  <c r="AE113" i="1" s="1"/>
  <c r="W113" i="1"/>
  <c r="X113" i="1" s="1"/>
  <c r="Y113" i="1" s="1"/>
  <c r="S113" i="1"/>
  <c r="N113" i="1"/>
  <c r="I113" i="1"/>
  <c r="NZ112" i="1"/>
  <c r="NU112" i="1"/>
  <c r="NP112" i="1"/>
  <c r="NK112" i="1"/>
  <c r="NF112" i="1"/>
  <c r="NA112" i="1"/>
  <c r="MV112" i="1"/>
  <c r="MQ112" i="1"/>
  <c r="MM112" i="1"/>
  <c r="MI112" i="1"/>
  <c r="MD112" i="1"/>
  <c r="LY112" i="1"/>
  <c r="LT112" i="1"/>
  <c r="LO112" i="1"/>
  <c r="LJ112" i="1"/>
  <c r="LC112" i="1"/>
  <c r="LD112" i="1" s="1"/>
  <c r="LE112" i="1" s="1"/>
  <c r="KZ112" i="1"/>
  <c r="KT112" i="1"/>
  <c r="KU112" i="1" s="1"/>
  <c r="KV112" i="1" s="1"/>
  <c r="KQ112" i="1"/>
  <c r="KM112" i="1"/>
  <c r="KI112" i="1"/>
  <c r="KE112" i="1"/>
  <c r="KA112" i="1"/>
  <c r="JV112" i="1"/>
  <c r="JQ112" i="1"/>
  <c r="JM112" i="1"/>
  <c r="JI112" i="1"/>
  <c r="JB112" i="1"/>
  <c r="JC112" i="1" s="1"/>
  <c r="JD112" i="1" s="1"/>
  <c r="IW112" i="1"/>
  <c r="IX112" i="1" s="1"/>
  <c r="IY112" i="1" s="1"/>
  <c r="IR112" i="1"/>
  <c r="IS112" i="1" s="1"/>
  <c r="IT112" i="1" s="1"/>
  <c r="IM112" i="1"/>
  <c r="IN112" i="1" s="1"/>
  <c r="IO112" i="1" s="1"/>
  <c r="IH112" i="1"/>
  <c r="II112" i="1" s="1"/>
  <c r="IJ112" i="1" s="1"/>
  <c r="IC112" i="1"/>
  <c r="ID112" i="1" s="1"/>
  <c r="IE112" i="1" s="1"/>
  <c r="HX112" i="1"/>
  <c r="HY112" i="1" s="1"/>
  <c r="HZ112" i="1" s="1"/>
  <c r="HS112" i="1"/>
  <c r="HT112" i="1" s="1"/>
  <c r="HU112" i="1" s="1"/>
  <c r="HN112" i="1"/>
  <c r="HO112" i="1" s="1"/>
  <c r="HP112" i="1" s="1"/>
  <c r="HI112" i="1"/>
  <c r="HJ112" i="1" s="1"/>
  <c r="HK112" i="1" s="1"/>
  <c r="HD112" i="1"/>
  <c r="HE112" i="1" s="1"/>
  <c r="HF112" i="1" s="1"/>
  <c r="GY112" i="1"/>
  <c r="GZ112" i="1" s="1"/>
  <c r="HA112" i="1" s="1"/>
  <c r="GT112" i="1"/>
  <c r="GU112" i="1" s="1"/>
  <c r="GV112" i="1" s="1"/>
  <c r="GO112" i="1"/>
  <c r="GP112" i="1" s="1"/>
  <c r="GQ112" i="1" s="1"/>
  <c r="GJ112" i="1"/>
  <c r="GK112" i="1" s="1"/>
  <c r="GL112" i="1" s="1"/>
  <c r="GE112" i="1"/>
  <c r="GF112" i="1" s="1"/>
  <c r="GG112" i="1" s="1"/>
  <c r="FZ112" i="1"/>
  <c r="GA112" i="1" s="1"/>
  <c r="GB112" i="1" s="1"/>
  <c r="FU112" i="1"/>
  <c r="FV112" i="1" s="1"/>
  <c r="FW112" i="1" s="1"/>
  <c r="FP112" i="1"/>
  <c r="FQ112" i="1" s="1"/>
  <c r="FR112" i="1" s="1"/>
  <c r="FK112" i="1"/>
  <c r="FL112" i="1" s="1"/>
  <c r="FM112" i="1" s="1"/>
  <c r="FF112" i="1"/>
  <c r="FG112" i="1" s="1"/>
  <c r="FH112" i="1" s="1"/>
  <c r="FA112" i="1"/>
  <c r="FB112" i="1" s="1"/>
  <c r="FC112" i="1" s="1"/>
  <c r="EV112" i="1"/>
  <c r="EW112" i="1" s="1"/>
  <c r="EX112" i="1" s="1"/>
  <c r="EQ112" i="1"/>
  <c r="ER112" i="1" s="1"/>
  <c r="ES112" i="1" s="1"/>
  <c r="EL112" i="1"/>
  <c r="EM112" i="1" s="1"/>
  <c r="EN112" i="1" s="1"/>
  <c r="EE112" i="1"/>
  <c r="EF112" i="1" s="1"/>
  <c r="EG112" i="1" s="1"/>
  <c r="DZ112" i="1"/>
  <c r="EA112" i="1" s="1"/>
  <c r="EB112" i="1" s="1"/>
  <c r="DU112" i="1"/>
  <c r="DV112" i="1" s="1"/>
  <c r="DW112" i="1" s="1"/>
  <c r="DP112" i="1"/>
  <c r="DQ112" i="1" s="1"/>
  <c r="DR112" i="1" s="1"/>
  <c r="DK112" i="1"/>
  <c r="DL112" i="1" s="1"/>
  <c r="DM112" i="1" s="1"/>
  <c r="DF112" i="1"/>
  <c r="DG112" i="1" s="1"/>
  <c r="DH112" i="1" s="1"/>
  <c r="DA112" i="1"/>
  <c r="DB112" i="1" s="1"/>
  <c r="DC112" i="1" s="1"/>
  <c r="CV112" i="1"/>
  <c r="CW112" i="1" s="1"/>
  <c r="CX112" i="1" s="1"/>
  <c r="CQ112" i="1"/>
  <c r="CR112" i="1" s="1"/>
  <c r="CS112" i="1" s="1"/>
  <c r="CL112" i="1"/>
  <c r="CM112" i="1" s="1"/>
  <c r="CN112" i="1" s="1"/>
  <c r="CG112" i="1"/>
  <c r="CH112" i="1" s="1"/>
  <c r="CI112" i="1" s="1"/>
  <c r="CA112" i="1"/>
  <c r="CB112" i="1" s="1"/>
  <c r="CC112" i="1" s="1"/>
  <c r="BV112" i="1"/>
  <c r="BW112" i="1" s="1"/>
  <c r="BX112" i="1" s="1"/>
  <c r="BQ112" i="1"/>
  <c r="BR112" i="1" s="1"/>
  <c r="BS112" i="1" s="1"/>
  <c r="BL112" i="1"/>
  <c r="BM112" i="1" s="1"/>
  <c r="BN112" i="1" s="1"/>
  <c r="BG112" i="1"/>
  <c r="BH112" i="1" s="1"/>
  <c r="BI112" i="1" s="1"/>
  <c r="BB112" i="1"/>
  <c r="BC112" i="1" s="1"/>
  <c r="BD112" i="1" s="1"/>
  <c r="AW112" i="1"/>
  <c r="AX112" i="1" s="1"/>
  <c r="AY112" i="1" s="1"/>
  <c r="AR112" i="1"/>
  <c r="AS112" i="1" s="1"/>
  <c r="AT112" i="1" s="1"/>
  <c r="AM112" i="1"/>
  <c r="AN112" i="1" s="1"/>
  <c r="AO112" i="1" s="1"/>
  <c r="AH112" i="1"/>
  <c r="AI112" i="1" s="1"/>
  <c r="AJ112" i="1" s="1"/>
  <c r="AC112" i="1"/>
  <c r="AD112" i="1" s="1"/>
  <c r="AE112" i="1" s="1"/>
  <c r="W112" i="1"/>
  <c r="X112" i="1" s="1"/>
  <c r="Y112" i="1" s="1"/>
  <c r="S112" i="1"/>
  <c r="N112" i="1"/>
  <c r="I112" i="1"/>
  <c r="NX111" i="1"/>
  <c r="NY111" i="1" s="1"/>
  <c r="NZ111" i="1" s="1"/>
  <c r="NS111" i="1"/>
  <c r="NT111" i="1" s="1"/>
  <c r="NU111" i="1" s="1"/>
  <c r="NP111" i="1"/>
  <c r="NK111" i="1"/>
  <c r="NF111" i="1"/>
  <c r="NA111" i="1"/>
  <c r="MV111" i="1"/>
  <c r="MQ111" i="1"/>
  <c r="MM111" i="1"/>
  <c r="MI111" i="1"/>
  <c r="MD111" i="1"/>
  <c r="LY111" i="1"/>
  <c r="LT111" i="1"/>
  <c r="LO111" i="1"/>
  <c r="LJ111" i="1"/>
  <c r="LE111" i="1"/>
  <c r="KZ111" i="1"/>
  <c r="KV111" i="1"/>
  <c r="KQ111" i="1"/>
  <c r="KM111" i="1"/>
  <c r="KI111" i="1"/>
  <c r="KE111" i="1"/>
  <c r="KA111" i="1"/>
  <c r="JV111" i="1"/>
  <c r="JQ111" i="1"/>
  <c r="JM111" i="1"/>
  <c r="JI111" i="1"/>
  <c r="JD111" i="1"/>
  <c r="IY111" i="1"/>
  <c r="IT111" i="1"/>
  <c r="IO111" i="1"/>
  <c r="IJ111" i="1"/>
  <c r="IE111" i="1"/>
  <c r="HZ111" i="1"/>
  <c r="HU111" i="1"/>
  <c r="HP111" i="1"/>
  <c r="HI111" i="1"/>
  <c r="HJ111" i="1" s="1"/>
  <c r="HK111" i="1" s="1"/>
  <c r="HD111" i="1"/>
  <c r="HE111" i="1" s="1"/>
  <c r="HF111" i="1" s="1"/>
  <c r="GY111" i="1"/>
  <c r="GZ111" i="1" s="1"/>
  <c r="HA111" i="1" s="1"/>
  <c r="GT111" i="1"/>
  <c r="GU111" i="1" s="1"/>
  <c r="GV111" i="1" s="1"/>
  <c r="GO111" i="1"/>
  <c r="GP111" i="1" s="1"/>
  <c r="GQ111" i="1" s="1"/>
  <c r="GJ111" i="1"/>
  <c r="GK111" i="1" s="1"/>
  <c r="GL111" i="1" s="1"/>
  <c r="GE111" i="1"/>
  <c r="GF111" i="1" s="1"/>
  <c r="GG111" i="1" s="1"/>
  <c r="FZ111" i="1"/>
  <c r="GA111" i="1" s="1"/>
  <c r="GB111" i="1" s="1"/>
  <c r="FU111" i="1"/>
  <c r="FV111" i="1" s="1"/>
  <c r="FW111" i="1" s="1"/>
  <c r="FP111" i="1"/>
  <c r="FQ111" i="1" s="1"/>
  <c r="FR111" i="1" s="1"/>
  <c r="FK111" i="1"/>
  <c r="FL111" i="1" s="1"/>
  <c r="FM111" i="1" s="1"/>
  <c r="FF111" i="1"/>
  <c r="FG111" i="1" s="1"/>
  <c r="FH111" i="1" s="1"/>
  <c r="FA111" i="1"/>
  <c r="FB111" i="1" s="1"/>
  <c r="FC111" i="1" s="1"/>
  <c r="EV111" i="1"/>
  <c r="EW111" i="1" s="1"/>
  <c r="EX111" i="1" s="1"/>
  <c r="EQ111" i="1"/>
  <c r="ER111" i="1" s="1"/>
  <c r="ES111" i="1" s="1"/>
  <c r="EL111" i="1"/>
  <c r="EM111" i="1" s="1"/>
  <c r="EN111" i="1" s="1"/>
  <c r="EE111" i="1"/>
  <c r="EF111" i="1" s="1"/>
  <c r="EG111" i="1" s="1"/>
  <c r="DZ111" i="1"/>
  <c r="EA111" i="1" s="1"/>
  <c r="EB111" i="1" s="1"/>
  <c r="DU111" i="1"/>
  <c r="DV111" i="1" s="1"/>
  <c r="DW111" i="1" s="1"/>
  <c r="DP111" i="1"/>
  <c r="DQ111" i="1" s="1"/>
  <c r="DR111" i="1" s="1"/>
  <c r="DK111" i="1"/>
  <c r="DL111" i="1" s="1"/>
  <c r="DM111" i="1" s="1"/>
  <c r="DF111" i="1"/>
  <c r="DG111" i="1" s="1"/>
  <c r="DH111" i="1" s="1"/>
  <c r="DA111" i="1"/>
  <c r="DB111" i="1" s="1"/>
  <c r="DC111" i="1" s="1"/>
  <c r="CV111" i="1"/>
  <c r="CW111" i="1" s="1"/>
  <c r="CX111" i="1" s="1"/>
  <c r="CQ111" i="1"/>
  <c r="CR111" i="1" s="1"/>
  <c r="CS111" i="1" s="1"/>
  <c r="CL111" i="1"/>
  <c r="CM111" i="1" s="1"/>
  <c r="CN111" i="1" s="1"/>
  <c r="CG111" i="1"/>
  <c r="CH111" i="1" s="1"/>
  <c r="CI111" i="1" s="1"/>
  <c r="CA111" i="1"/>
  <c r="CB111" i="1" s="1"/>
  <c r="CC111" i="1" s="1"/>
  <c r="BV111" i="1"/>
  <c r="BW111" i="1" s="1"/>
  <c r="BX111" i="1" s="1"/>
  <c r="BQ111" i="1"/>
  <c r="BR111" i="1" s="1"/>
  <c r="BS111" i="1" s="1"/>
  <c r="BL111" i="1"/>
  <c r="BM111" i="1" s="1"/>
  <c r="BN111" i="1" s="1"/>
  <c r="BG111" i="1"/>
  <c r="BH111" i="1" s="1"/>
  <c r="BI111" i="1" s="1"/>
  <c r="BB111" i="1"/>
  <c r="BC111" i="1" s="1"/>
  <c r="BD111" i="1" s="1"/>
  <c r="AW111" i="1"/>
  <c r="AX111" i="1" s="1"/>
  <c r="AY111" i="1" s="1"/>
  <c r="AR111" i="1"/>
  <c r="AS111" i="1" s="1"/>
  <c r="AT111" i="1" s="1"/>
  <c r="AM111" i="1"/>
  <c r="AN111" i="1" s="1"/>
  <c r="AO111" i="1" s="1"/>
  <c r="AH111" i="1"/>
  <c r="AI111" i="1" s="1"/>
  <c r="AJ111" i="1" s="1"/>
  <c r="AC111" i="1"/>
  <c r="AD111" i="1" s="1"/>
  <c r="AE111" i="1" s="1"/>
  <c r="W111" i="1"/>
  <c r="X111" i="1" s="1"/>
  <c r="Y111" i="1" s="1"/>
  <c r="Q111" i="1"/>
  <c r="R111" i="1" s="1"/>
  <c r="S111" i="1" s="1"/>
  <c r="N111" i="1"/>
  <c r="I111" i="1"/>
  <c r="NZ110" i="1"/>
  <c r="NU110" i="1"/>
  <c r="NP110" i="1"/>
  <c r="NK110" i="1"/>
  <c r="NF110" i="1"/>
  <c r="NA110" i="1"/>
  <c r="MV110" i="1"/>
  <c r="MO110" i="1"/>
  <c r="MP110" i="1" s="1"/>
  <c r="MQ110" i="1" s="1"/>
  <c r="MK110" i="1"/>
  <c r="ML110" i="1" s="1"/>
  <c r="MM110" i="1" s="1"/>
  <c r="MI110" i="1"/>
  <c r="MD110" i="1"/>
  <c r="LY110" i="1"/>
  <c r="LT110" i="1"/>
  <c r="LO110" i="1"/>
  <c r="LJ110" i="1"/>
  <c r="LE110" i="1"/>
  <c r="KZ110" i="1"/>
  <c r="KT110" i="1"/>
  <c r="KU110" i="1" s="1"/>
  <c r="KV110" i="1" s="1"/>
  <c r="KO110" i="1"/>
  <c r="KP110" i="1" s="1"/>
  <c r="KQ110" i="1" s="1"/>
  <c r="KM110" i="1"/>
  <c r="KI110" i="1"/>
  <c r="KE110" i="1"/>
  <c r="JY110" i="1"/>
  <c r="JZ110" i="1" s="1"/>
  <c r="KA110" i="1" s="1"/>
  <c r="JV110" i="1"/>
  <c r="JQ110" i="1"/>
  <c r="JM110" i="1"/>
  <c r="JI110" i="1"/>
  <c r="JB110" i="1"/>
  <c r="JC110" i="1" s="1"/>
  <c r="JD110" i="1" s="1"/>
  <c r="IW110" i="1"/>
  <c r="IX110" i="1" s="1"/>
  <c r="IY110" i="1" s="1"/>
  <c r="IR110" i="1"/>
  <c r="IS110" i="1" s="1"/>
  <c r="IT110" i="1" s="1"/>
  <c r="IM110" i="1"/>
  <c r="IN110" i="1" s="1"/>
  <c r="IO110" i="1" s="1"/>
  <c r="IH110" i="1"/>
  <c r="II110" i="1" s="1"/>
  <c r="IJ110" i="1" s="1"/>
  <c r="IC110" i="1"/>
  <c r="ID110" i="1" s="1"/>
  <c r="IE110" i="1" s="1"/>
  <c r="HX110" i="1"/>
  <c r="HY110" i="1" s="1"/>
  <c r="HZ110" i="1" s="1"/>
  <c r="HS110" i="1"/>
  <c r="HT110" i="1" s="1"/>
  <c r="HU110" i="1" s="1"/>
  <c r="HN110" i="1"/>
  <c r="HO110" i="1" s="1"/>
  <c r="HP110" i="1" s="1"/>
  <c r="HI110" i="1"/>
  <c r="HJ110" i="1" s="1"/>
  <c r="HK110" i="1" s="1"/>
  <c r="HD110" i="1"/>
  <c r="HE110" i="1" s="1"/>
  <c r="HF110" i="1" s="1"/>
  <c r="GY110" i="1"/>
  <c r="GZ110" i="1" s="1"/>
  <c r="HA110" i="1" s="1"/>
  <c r="GT110" i="1"/>
  <c r="GU110" i="1" s="1"/>
  <c r="GV110" i="1" s="1"/>
  <c r="GO110" i="1"/>
  <c r="GP110" i="1" s="1"/>
  <c r="GQ110" i="1" s="1"/>
  <c r="GJ110" i="1"/>
  <c r="GK110" i="1" s="1"/>
  <c r="GL110" i="1" s="1"/>
  <c r="GE110" i="1"/>
  <c r="GF110" i="1" s="1"/>
  <c r="GG110" i="1" s="1"/>
  <c r="FZ110" i="1"/>
  <c r="GA110" i="1" s="1"/>
  <c r="GB110" i="1" s="1"/>
  <c r="FU110" i="1"/>
  <c r="FV110" i="1" s="1"/>
  <c r="FW110" i="1" s="1"/>
  <c r="FP110" i="1"/>
  <c r="FQ110" i="1" s="1"/>
  <c r="FR110" i="1" s="1"/>
  <c r="FK110" i="1"/>
  <c r="FL110" i="1" s="1"/>
  <c r="FM110" i="1" s="1"/>
  <c r="FF110" i="1"/>
  <c r="FG110" i="1" s="1"/>
  <c r="FH110" i="1" s="1"/>
  <c r="FA110" i="1"/>
  <c r="FB110" i="1" s="1"/>
  <c r="FC110" i="1" s="1"/>
  <c r="EV110" i="1"/>
  <c r="EW110" i="1" s="1"/>
  <c r="EX110" i="1" s="1"/>
  <c r="EQ110" i="1"/>
  <c r="ER110" i="1" s="1"/>
  <c r="ES110" i="1" s="1"/>
  <c r="EL110" i="1"/>
  <c r="EM110" i="1" s="1"/>
  <c r="EN110" i="1" s="1"/>
  <c r="EE110" i="1"/>
  <c r="EF110" i="1" s="1"/>
  <c r="EG110" i="1" s="1"/>
  <c r="DZ110" i="1"/>
  <c r="EA110" i="1" s="1"/>
  <c r="EB110" i="1" s="1"/>
  <c r="DU110" i="1"/>
  <c r="DV110" i="1" s="1"/>
  <c r="DW110" i="1" s="1"/>
  <c r="DP110" i="1"/>
  <c r="DQ110" i="1" s="1"/>
  <c r="DR110" i="1" s="1"/>
  <c r="DK110" i="1"/>
  <c r="DL110" i="1" s="1"/>
  <c r="DM110" i="1" s="1"/>
  <c r="DF110" i="1"/>
  <c r="DG110" i="1" s="1"/>
  <c r="DH110" i="1" s="1"/>
  <c r="DA110" i="1"/>
  <c r="DB110" i="1" s="1"/>
  <c r="DC110" i="1" s="1"/>
  <c r="CV110" i="1"/>
  <c r="CW110" i="1" s="1"/>
  <c r="CX110" i="1" s="1"/>
  <c r="CQ110" i="1"/>
  <c r="CR110" i="1" s="1"/>
  <c r="CS110" i="1" s="1"/>
  <c r="CL110" i="1"/>
  <c r="CM110" i="1" s="1"/>
  <c r="CN110" i="1" s="1"/>
  <c r="CG110" i="1"/>
  <c r="CH110" i="1" s="1"/>
  <c r="CI110" i="1" s="1"/>
  <c r="CA110" i="1"/>
  <c r="CB110" i="1" s="1"/>
  <c r="CC110" i="1" s="1"/>
  <c r="BV110" i="1"/>
  <c r="BW110" i="1" s="1"/>
  <c r="BX110" i="1" s="1"/>
  <c r="BQ110" i="1"/>
  <c r="BR110" i="1" s="1"/>
  <c r="BS110" i="1" s="1"/>
  <c r="BM110" i="1"/>
  <c r="BN110" i="1" s="1"/>
  <c r="BL110" i="1"/>
  <c r="BG110" i="1"/>
  <c r="BH110" i="1" s="1"/>
  <c r="BI110" i="1" s="1"/>
  <c r="BB110" i="1"/>
  <c r="BC110" i="1" s="1"/>
  <c r="BD110" i="1" s="1"/>
  <c r="AW110" i="1"/>
  <c r="AX110" i="1" s="1"/>
  <c r="AY110" i="1" s="1"/>
  <c r="AR110" i="1"/>
  <c r="AS110" i="1" s="1"/>
  <c r="AT110" i="1" s="1"/>
  <c r="AM110" i="1"/>
  <c r="AN110" i="1" s="1"/>
  <c r="AO110" i="1" s="1"/>
  <c r="AH110" i="1"/>
  <c r="AI110" i="1" s="1"/>
  <c r="AJ110" i="1" s="1"/>
  <c r="AC110" i="1"/>
  <c r="AD110" i="1" s="1"/>
  <c r="AE110" i="1" s="1"/>
  <c r="W110" i="1"/>
  <c r="X110" i="1" s="1"/>
  <c r="Y110" i="1" s="1"/>
  <c r="S110" i="1"/>
  <c r="N110" i="1"/>
  <c r="I110" i="1"/>
  <c r="NZ109" i="1"/>
  <c r="NU109" i="1"/>
  <c r="NP109" i="1"/>
  <c r="NK109" i="1"/>
  <c r="NF109" i="1"/>
  <c r="NA109" i="1"/>
  <c r="MV109" i="1"/>
  <c r="MQ109" i="1"/>
  <c r="MM109" i="1"/>
  <c r="MI109" i="1"/>
  <c r="MD109" i="1"/>
  <c r="LY109" i="1"/>
  <c r="LT109" i="1"/>
  <c r="LO109" i="1"/>
  <c r="LJ109" i="1"/>
  <c r="LC109" i="1"/>
  <c r="LD109" i="1" s="1"/>
  <c r="LE109" i="1" s="1"/>
  <c r="KZ109" i="1"/>
  <c r="KV109" i="1"/>
  <c r="KQ109" i="1"/>
  <c r="KM109" i="1"/>
  <c r="KG109" i="1"/>
  <c r="KH109" i="1" s="1"/>
  <c r="KI109" i="1" s="1"/>
  <c r="KE109" i="1"/>
  <c r="KA109" i="1"/>
  <c r="JV109" i="1"/>
  <c r="JQ109" i="1"/>
  <c r="JM109" i="1"/>
  <c r="JI109" i="1"/>
  <c r="JB109" i="1"/>
  <c r="JC109" i="1" s="1"/>
  <c r="JD109" i="1" s="1"/>
  <c r="IW109" i="1"/>
  <c r="IX109" i="1" s="1"/>
  <c r="IY109" i="1" s="1"/>
  <c r="IR109" i="1"/>
  <c r="IS109" i="1" s="1"/>
  <c r="IT109" i="1" s="1"/>
  <c r="IM109" i="1"/>
  <c r="IN109" i="1" s="1"/>
  <c r="IO109" i="1" s="1"/>
  <c r="IH109" i="1"/>
  <c r="II109" i="1" s="1"/>
  <c r="IJ109" i="1" s="1"/>
  <c r="IC109" i="1"/>
  <c r="ID109" i="1" s="1"/>
  <c r="IE109" i="1" s="1"/>
  <c r="HX109" i="1"/>
  <c r="HY109" i="1" s="1"/>
  <c r="HZ109" i="1" s="1"/>
  <c r="HS109" i="1"/>
  <c r="HT109" i="1" s="1"/>
  <c r="HU109" i="1" s="1"/>
  <c r="HN109" i="1"/>
  <c r="HO109" i="1" s="1"/>
  <c r="HP109" i="1" s="1"/>
  <c r="HJ109" i="1"/>
  <c r="HK109" i="1" s="1"/>
  <c r="HI109" i="1"/>
  <c r="HD109" i="1"/>
  <c r="HE109" i="1" s="1"/>
  <c r="HF109" i="1" s="1"/>
  <c r="GY109" i="1"/>
  <c r="GZ109" i="1" s="1"/>
  <c r="HA109" i="1" s="1"/>
  <c r="GT109" i="1"/>
  <c r="GU109" i="1" s="1"/>
  <c r="GV109" i="1" s="1"/>
  <c r="GO109" i="1"/>
  <c r="GP109" i="1" s="1"/>
  <c r="GQ109" i="1" s="1"/>
  <c r="GJ109" i="1"/>
  <c r="GK109" i="1" s="1"/>
  <c r="GL109" i="1" s="1"/>
  <c r="GE109" i="1"/>
  <c r="GF109" i="1" s="1"/>
  <c r="GG109" i="1" s="1"/>
  <c r="FZ109" i="1"/>
  <c r="GA109" i="1" s="1"/>
  <c r="GB109" i="1" s="1"/>
  <c r="FU109" i="1"/>
  <c r="FV109" i="1" s="1"/>
  <c r="FW109" i="1" s="1"/>
  <c r="FP109" i="1"/>
  <c r="FQ109" i="1" s="1"/>
  <c r="FR109" i="1" s="1"/>
  <c r="FK109" i="1"/>
  <c r="FL109" i="1" s="1"/>
  <c r="FM109" i="1" s="1"/>
  <c r="FF109" i="1"/>
  <c r="FG109" i="1" s="1"/>
  <c r="FH109" i="1" s="1"/>
  <c r="FA109" i="1"/>
  <c r="FB109" i="1" s="1"/>
  <c r="FC109" i="1" s="1"/>
  <c r="EV109" i="1"/>
  <c r="EW109" i="1" s="1"/>
  <c r="EX109" i="1" s="1"/>
  <c r="EQ109" i="1"/>
  <c r="ER109" i="1" s="1"/>
  <c r="ES109" i="1" s="1"/>
  <c r="EL109" i="1"/>
  <c r="EM109" i="1" s="1"/>
  <c r="EN109" i="1" s="1"/>
  <c r="EE109" i="1"/>
  <c r="EF109" i="1" s="1"/>
  <c r="EG109" i="1" s="1"/>
  <c r="DZ109" i="1"/>
  <c r="EA109" i="1" s="1"/>
  <c r="EB109" i="1" s="1"/>
  <c r="DU109" i="1"/>
  <c r="DV109" i="1" s="1"/>
  <c r="DW109" i="1" s="1"/>
  <c r="DP109" i="1"/>
  <c r="DQ109" i="1" s="1"/>
  <c r="DR109" i="1" s="1"/>
  <c r="DK109" i="1"/>
  <c r="DL109" i="1" s="1"/>
  <c r="DM109" i="1" s="1"/>
  <c r="DF109" i="1"/>
  <c r="DG109" i="1" s="1"/>
  <c r="DH109" i="1" s="1"/>
  <c r="DB109" i="1"/>
  <c r="DC109" i="1" s="1"/>
  <c r="DA109" i="1"/>
  <c r="CV109" i="1"/>
  <c r="CW109" i="1" s="1"/>
  <c r="CX109" i="1" s="1"/>
  <c r="CQ109" i="1"/>
  <c r="CR109" i="1" s="1"/>
  <c r="CS109" i="1" s="1"/>
  <c r="CL109" i="1"/>
  <c r="CM109" i="1" s="1"/>
  <c r="CN109" i="1" s="1"/>
  <c r="CG109" i="1"/>
  <c r="CH109" i="1" s="1"/>
  <c r="CI109" i="1" s="1"/>
  <c r="CA109" i="1"/>
  <c r="CB109" i="1" s="1"/>
  <c r="CC109" i="1" s="1"/>
  <c r="BV109" i="1"/>
  <c r="BW109" i="1" s="1"/>
  <c r="BX109" i="1" s="1"/>
  <c r="BQ109" i="1"/>
  <c r="BR109" i="1" s="1"/>
  <c r="BS109" i="1" s="1"/>
  <c r="BL109" i="1"/>
  <c r="BM109" i="1" s="1"/>
  <c r="BN109" i="1" s="1"/>
  <c r="BG109" i="1"/>
  <c r="BH109" i="1" s="1"/>
  <c r="BI109" i="1" s="1"/>
  <c r="BB109" i="1"/>
  <c r="BC109" i="1" s="1"/>
  <c r="BD109" i="1" s="1"/>
  <c r="AW109" i="1"/>
  <c r="AX109" i="1" s="1"/>
  <c r="AY109" i="1" s="1"/>
  <c r="AR109" i="1"/>
  <c r="AS109" i="1" s="1"/>
  <c r="AT109" i="1" s="1"/>
  <c r="AM109" i="1"/>
  <c r="AN109" i="1" s="1"/>
  <c r="AO109" i="1" s="1"/>
  <c r="AH109" i="1"/>
  <c r="AI109" i="1" s="1"/>
  <c r="AJ109" i="1" s="1"/>
  <c r="AC109" i="1"/>
  <c r="AD109" i="1" s="1"/>
  <c r="AE109" i="1" s="1"/>
  <c r="W109" i="1"/>
  <c r="X109" i="1" s="1"/>
  <c r="Y109" i="1" s="1"/>
  <c r="S109" i="1"/>
  <c r="N109" i="1"/>
  <c r="I109" i="1"/>
  <c r="NZ108" i="1"/>
  <c r="NU108" i="1"/>
  <c r="NP108" i="1"/>
  <c r="NK108" i="1"/>
  <c r="NF108" i="1"/>
  <c r="NA108" i="1"/>
  <c r="MV108" i="1"/>
  <c r="MQ108" i="1"/>
  <c r="MM108" i="1"/>
  <c r="MI108" i="1"/>
  <c r="MD108" i="1"/>
  <c r="LY108" i="1"/>
  <c r="LT108" i="1"/>
  <c r="LO108" i="1"/>
  <c r="LJ108" i="1"/>
  <c r="LE108" i="1"/>
  <c r="KZ108" i="1"/>
  <c r="KV108" i="1"/>
  <c r="KQ108" i="1"/>
  <c r="KM108" i="1"/>
  <c r="KI108" i="1"/>
  <c r="KE108" i="1"/>
  <c r="KA108" i="1"/>
  <c r="JV108" i="1"/>
  <c r="JQ108" i="1"/>
  <c r="JM108" i="1"/>
  <c r="JI108" i="1"/>
  <c r="JD108" i="1"/>
  <c r="IY108" i="1"/>
  <c r="IT108" i="1"/>
  <c r="IO108" i="1"/>
  <c r="IJ108" i="1"/>
  <c r="IE108" i="1"/>
  <c r="HZ108" i="1"/>
  <c r="HU108" i="1"/>
  <c r="HP108" i="1"/>
  <c r="HI108" i="1"/>
  <c r="HJ108" i="1" s="1"/>
  <c r="HK108" i="1" s="1"/>
  <c r="HD108" i="1"/>
  <c r="HE108" i="1" s="1"/>
  <c r="HF108" i="1" s="1"/>
  <c r="GY108" i="1"/>
  <c r="GZ108" i="1" s="1"/>
  <c r="HA108" i="1" s="1"/>
  <c r="GT108" i="1"/>
  <c r="GU108" i="1" s="1"/>
  <c r="GV108" i="1" s="1"/>
  <c r="GO108" i="1"/>
  <c r="GP108" i="1" s="1"/>
  <c r="GQ108" i="1" s="1"/>
  <c r="GJ108" i="1"/>
  <c r="GK108" i="1" s="1"/>
  <c r="GL108" i="1" s="1"/>
  <c r="GE108" i="1"/>
  <c r="GF108" i="1" s="1"/>
  <c r="GG108" i="1" s="1"/>
  <c r="FZ108" i="1"/>
  <c r="GA108" i="1" s="1"/>
  <c r="GB108" i="1" s="1"/>
  <c r="FU108" i="1"/>
  <c r="FV108" i="1" s="1"/>
  <c r="FW108" i="1" s="1"/>
  <c r="FP108" i="1"/>
  <c r="FQ108" i="1" s="1"/>
  <c r="FR108" i="1" s="1"/>
  <c r="FK108" i="1"/>
  <c r="FL108" i="1" s="1"/>
  <c r="FM108" i="1" s="1"/>
  <c r="FF108" i="1"/>
  <c r="FG108" i="1" s="1"/>
  <c r="FH108" i="1" s="1"/>
  <c r="FA108" i="1"/>
  <c r="FB108" i="1" s="1"/>
  <c r="FC108" i="1" s="1"/>
  <c r="EV108" i="1"/>
  <c r="EW108" i="1" s="1"/>
  <c r="EX108" i="1" s="1"/>
  <c r="EQ108" i="1"/>
  <c r="ER108" i="1" s="1"/>
  <c r="ES108" i="1" s="1"/>
  <c r="EL108" i="1"/>
  <c r="EM108" i="1" s="1"/>
  <c r="EN108" i="1" s="1"/>
  <c r="EE108" i="1"/>
  <c r="EF108" i="1" s="1"/>
  <c r="EG108" i="1" s="1"/>
  <c r="DZ108" i="1"/>
  <c r="EA108" i="1" s="1"/>
  <c r="EB108" i="1" s="1"/>
  <c r="DU108" i="1"/>
  <c r="DV108" i="1" s="1"/>
  <c r="DW108" i="1" s="1"/>
  <c r="DP108" i="1"/>
  <c r="DQ108" i="1" s="1"/>
  <c r="DR108" i="1" s="1"/>
  <c r="DK108" i="1"/>
  <c r="DL108" i="1" s="1"/>
  <c r="DM108" i="1" s="1"/>
  <c r="DF108" i="1"/>
  <c r="DG108" i="1" s="1"/>
  <c r="DH108" i="1" s="1"/>
  <c r="DA108" i="1"/>
  <c r="DB108" i="1" s="1"/>
  <c r="DC108" i="1" s="1"/>
  <c r="CV108" i="1"/>
  <c r="CW108" i="1" s="1"/>
  <c r="CX108" i="1" s="1"/>
  <c r="CQ108" i="1"/>
  <c r="CR108" i="1" s="1"/>
  <c r="CS108" i="1" s="1"/>
  <c r="CL108" i="1"/>
  <c r="CM108" i="1" s="1"/>
  <c r="CN108" i="1" s="1"/>
  <c r="CI108" i="1"/>
  <c r="CA108" i="1"/>
  <c r="CB108" i="1" s="1"/>
  <c r="CC108" i="1" s="1"/>
  <c r="BV108" i="1"/>
  <c r="BW108" i="1" s="1"/>
  <c r="BX108" i="1" s="1"/>
  <c r="BQ108" i="1"/>
  <c r="BR108" i="1" s="1"/>
  <c r="BS108" i="1" s="1"/>
  <c r="BL108" i="1"/>
  <c r="BM108" i="1" s="1"/>
  <c r="BN108" i="1" s="1"/>
  <c r="BG108" i="1"/>
  <c r="BH108" i="1" s="1"/>
  <c r="BI108" i="1" s="1"/>
  <c r="BB108" i="1"/>
  <c r="BC108" i="1" s="1"/>
  <c r="BD108" i="1" s="1"/>
  <c r="AW108" i="1"/>
  <c r="AX108" i="1" s="1"/>
  <c r="AY108" i="1" s="1"/>
  <c r="AR108" i="1"/>
  <c r="AS108" i="1" s="1"/>
  <c r="AT108" i="1" s="1"/>
  <c r="AM108" i="1"/>
  <c r="AN108" i="1" s="1"/>
  <c r="AO108" i="1" s="1"/>
  <c r="AH108" i="1"/>
  <c r="AI108" i="1" s="1"/>
  <c r="AJ108" i="1" s="1"/>
  <c r="AE108" i="1"/>
  <c r="Y108" i="1"/>
  <c r="S108" i="1"/>
  <c r="N108" i="1"/>
  <c r="I108" i="1"/>
  <c r="NZ107" i="1"/>
  <c r="NU107" i="1"/>
  <c r="NP107" i="1"/>
  <c r="NK107" i="1"/>
  <c r="NF107" i="1"/>
  <c r="NA107" i="1"/>
  <c r="MV107" i="1"/>
  <c r="MQ107" i="1"/>
  <c r="MM107" i="1"/>
  <c r="MI107" i="1"/>
  <c r="MD107" i="1"/>
  <c r="LY107" i="1"/>
  <c r="LT107" i="1"/>
  <c r="LO107" i="1"/>
  <c r="LJ107" i="1"/>
  <c r="LE107" i="1"/>
  <c r="KZ107" i="1"/>
  <c r="KV107" i="1"/>
  <c r="KQ107" i="1"/>
  <c r="KM107" i="1"/>
  <c r="KI107" i="1"/>
  <c r="KC107" i="1"/>
  <c r="KD107" i="1" s="1"/>
  <c r="KE107" i="1" s="1"/>
  <c r="KA107" i="1"/>
  <c r="JV107" i="1"/>
  <c r="JQ107" i="1"/>
  <c r="JM107" i="1"/>
  <c r="JI107" i="1"/>
  <c r="JB107" i="1"/>
  <c r="JC107" i="1" s="1"/>
  <c r="JD107" i="1" s="1"/>
  <c r="IW107" i="1"/>
  <c r="IX107" i="1" s="1"/>
  <c r="IY107" i="1" s="1"/>
  <c r="IR107" i="1"/>
  <c r="IS107" i="1" s="1"/>
  <c r="IT107" i="1" s="1"/>
  <c r="IM107" i="1"/>
  <c r="IN107" i="1" s="1"/>
  <c r="IO107" i="1" s="1"/>
  <c r="IH107" i="1"/>
  <c r="II107" i="1" s="1"/>
  <c r="IJ107" i="1" s="1"/>
  <c r="IC107" i="1"/>
  <c r="ID107" i="1" s="1"/>
  <c r="IE107" i="1" s="1"/>
  <c r="HX107" i="1"/>
  <c r="HY107" i="1" s="1"/>
  <c r="HZ107" i="1" s="1"/>
  <c r="HU107" i="1"/>
  <c r="HN107" i="1"/>
  <c r="HO107" i="1" s="1"/>
  <c r="HP107" i="1" s="1"/>
  <c r="HI107" i="1"/>
  <c r="HJ107" i="1" s="1"/>
  <c r="HK107" i="1" s="1"/>
  <c r="HD107" i="1"/>
  <c r="HE107" i="1" s="1"/>
  <c r="HF107" i="1" s="1"/>
  <c r="GY107" i="1"/>
  <c r="GZ107" i="1" s="1"/>
  <c r="HA107" i="1" s="1"/>
  <c r="GT107" i="1"/>
  <c r="GU107" i="1" s="1"/>
  <c r="GV107" i="1" s="1"/>
  <c r="GO107" i="1"/>
  <c r="GP107" i="1" s="1"/>
  <c r="GQ107" i="1" s="1"/>
  <c r="GJ107" i="1"/>
  <c r="GK107" i="1" s="1"/>
  <c r="GL107" i="1" s="1"/>
  <c r="GE107" i="1"/>
  <c r="GF107" i="1" s="1"/>
  <c r="GG107" i="1" s="1"/>
  <c r="FZ107" i="1"/>
  <c r="GA107" i="1" s="1"/>
  <c r="GB107" i="1" s="1"/>
  <c r="FU107" i="1"/>
  <c r="FV107" i="1" s="1"/>
  <c r="FW107" i="1" s="1"/>
  <c r="FP107" i="1"/>
  <c r="FQ107" i="1" s="1"/>
  <c r="FR107" i="1" s="1"/>
  <c r="FK107" i="1"/>
  <c r="FL107" i="1" s="1"/>
  <c r="FM107" i="1" s="1"/>
  <c r="FF107" i="1"/>
  <c r="FG107" i="1" s="1"/>
  <c r="FH107" i="1" s="1"/>
  <c r="FA107" i="1"/>
  <c r="FB107" i="1" s="1"/>
  <c r="FC107" i="1" s="1"/>
  <c r="EV107" i="1"/>
  <c r="EW107" i="1" s="1"/>
  <c r="EX107" i="1" s="1"/>
  <c r="EQ107" i="1"/>
  <c r="ER107" i="1" s="1"/>
  <c r="ES107" i="1" s="1"/>
  <c r="EL107" i="1"/>
  <c r="EM107" i="1" s="1"/>
  <c r="EN107" i="1" s="1"/>
  <c r="EE107" i="1"/>
  <c r="EF107" i="1" s="1"/>
  <c r="EG107" i="1" s="1"/>
  <c r="DZ107" i="1"/>
  <c r="EA107" i="1" s="1"/>
  <c r="EB107" i="1" s="1"/>
  <c r="DU107" i="1"/>
  <c r="DV107" i="1" s="1"/>
  <c r="DW107" i="1" s="1"/>
  <c r="DP107" i="1"/>
  <c r="DQ107" i="1" s="1"/>
  <c r="DR107" i="1" s="1"/>
  <c r="DK107" i="1"/>
  <c r="DL107" i="1" s="1"/>
  <c r="DM107" i="1" s="1"/>
  <c r="DF107" i="1"/>
  <c r="DG107" i="1" s="1"/>
  <c r="DH107" i="1" s="1"/>
  <c r="DA107" i="1"/>
  <c r="DB107" i="1" s="1"/>
  <c r="DC107" i="1" s="1"/>
  <c r="CV107" i="1"/>
  <c r="CW107" i="1" s="1"/>
  <c r="CX107" i="1" s="1"/>
  <c r="CQ107" i="1"/>
  <c r="CR107" i="1" s="1"/>
  <c r="CS107" i="1" s="1"/>
  <c r="CL107" i="1"/>
  <c r="CM107" i="1" s="1"/>
  <c r="CN107" i="1" s="1"/>
  <c r="CG107" i="1"/>
  <c r="CH107" i="1" s="1"/>
  <c r="CI107" i="1" s="1"/>
  <c r="CA107" i="1"/>
  <c r="CB107" i="1" s="1"/>
  <c r="CC107" i="1" s="1"/>
  <c r="BV107" i="1"/>
  <c r="BW107" i="1" s="1"/>
  <c r="BX107" i="1" s="1"/>
  <c r="BQ107" i="1"/>
  <c r="BR107" i="1" s="1"/>
  <c r="BS107" i="1" s="1"/>
  <c r="BL107" i="1"/>
  <c r="BM107" i="1" s="1"/>
  <c r="BN107" i="1" s="1"/>
  <c r="BG107" i="1"/>
  <c r="BH107" i="1" s="1"/>
  <c r="BI107" i="1" s="1"/>
  <c r="BB107" i="1"/>
  <c r="BC107" i="1" s="1"/>
  <c r="BD107" i="1" s="1"/>
  <c r="AW107" i="1"/>
  <c r="AX107" i="1" s="1"/>
  <c r="AY107" i="1" s="1"/>
  <c r="AR107" i="1"/>
  <c r="AS107" i="1" s="1"/>
  <c r="AT107" i="1" s="1"/>
  <c r="AM107" i="1"/>
  <c r="AN107" i="1" s="1"/>
  <c r="AO107" i="1" s="1"/>
  <c r="AH107" i="1"/>
  <c r="AI107" i="1" s="1"/>
  <c r="AJ107" i="1" s="1"/>
  <c r="AC107" i="1"/>
  <c r="AD107" i="1" s="1"/>
  <c r="AE107" i="1" s="1"/>
  <c r="W107" i="1"/>
  <c r="X107" i="1" s="1"/>
  <c r="Y107" i="1" s="1"/>
  <c r="S107" i="1"/>
  <c r="N107" i="1"/>
  <c r="I107" i="1"/>
  <c r="NZ106" i="1"/>
  <c r="NU106" i="1"/>
  <c r="NP106" i="1"/>
  <c r="NK106" i="1"/>
  <c r="NF106" i="1"/>
  <c r="NA106" i="1"/>
  <c r="MV106" i="1"/>
  <c r="MQ106" i="1"/>
  <c r="MM106" i="1"/>
  <c r="MI106" i="1"/>
  <c r="MD106" i="1"/>
  <c r="LY106" i="1"/>
  <c r="LT106" i="1"/>
  <c r="LO106" i="1"/>
  <c r="LJ106" i="1"/>
  <c r="LE106" i="1"/>
  <c r="KZ106" i="1"/>
  <c r="KV106" i="1"/>
  <c r="KQ106" i="1"/>
  <c r="KM106" i="1"/>
  <c r="KG106" i="1"/>
  <c r="KH106" i="1" s="1"/>
  <c r="KI106" i="1" s="1"/>
  <c r="KE106" i="1"/>
  <c r="KA106" i="1"/>
  <c r="JV106" i="1"/>
  <c r="JQ106" i="1"/>
  <c r="JM106" i="1"/>
  <c r="JI106" i="1"/>
  <c r="JD106" i="1"/>
  <c r="IY106" i="1"/>
  <c r="IT106" i="1"/>
  <c r="IO106" i="1"/>
  <c r="IJ106" i="1"/>
  <c r="IE106" i="1"/>
  <c r="HZ106" i="1"/>
  <c r="HU106" i="1"/>
  <c r="HP106" i="1"/>
  <c r="HI106" i="1"/>
  <c r="HJ106" i="1" s="1"/>
  <c r="HK106" i="1" s="1"/>
  <c r="HD106" i="1"/>
  <c r="HE106" i="1" s="1"/>
  <c r="HF106" i="1" s="1"/>
  <c r="GY106" i="1"/>
  <c r="GZ106" i="1" s="1"/>
  <c r="HA106" i="1" s="1"/>
  <c r="GT106" i="1"/>
  <c r="GU106" i="1" s="1"/>
  <c r="GV106" i="1" s="1"/>
  <c r="GO106" i="1"/>
  <c r="GP106" i="1" s="1"/>
  <c r="GQ106" i="1" s="1"/>
  <c r="GJ106" i="1"/>
  <c r="GK106" i="1" s="1"/>
  <c r="GL106" i="1" s="1"/>
  <c r="GE106" i="1"/>
  <c r="GF106" i="1" s="1"/>
  <c r="GG106" i="1" s="1"/>
  <c r="FZ106" i="1"/>
  <c r="GA106" i="1" s="1"/>
  <c r="GB106" i="1" s="1"/>
  <c r="FU106" i="1"/>
  <c r="FV106" i="1" s="1"/>
  <c r="FW106" i="1" s="1"/>
  <c r="FP106" i="1"/>
  <c r="FQ106" i="1" s="1"/>
  <c r="FR106" i="1" s="1"/>
  <c r="FK106" i="1"/>
  <c r="FL106" i="1" s="1"/>
  <c r="FM106" i="1" s="1"/>
  <c r="FF106" i="1"/>
  <c r="FG106" i="1" s="1"/>
  <c r="FH106" i="1" s="1"/>
  <c r="FA106" i="1"/>
  <c r="FB106" i="1" s="1"/>
  <c r="FC106" i="1" s="1"/>
  <c r="EV106" i="1"/>
  <c r="EW106" i="1" s="1"/>
  <c r="EX106" i="1" s="1"/>
  <c r="EQ106" i="1"/>
  <c r="ER106" i="1" s="1"/>
  <c r="ES106" i="1" s="1"/>
  <c r="EL106" i="1"/>
  <c r="EM106" i="1" s="1"/>
  <c r="EN106" i="1" s="1"/>
  <c r="EE106" i="1"/>
  <c r="EF106" i="1" s="1"/>
  <c r="EG106" i="1" s="1"/>
  <c r="DZ106" i="1"/>
  <c r="EA106" i="1" s="1"/>
  <c r="EB106" i="1" s="1"/>
  <c r="DU106" i="1"/>
  <c r="DV106" i="1" s="1"/>
  <c r="DW106" i="1" s="1"/>
  <c r="DP106" i="1"/>
  <c r="DQ106" i="1" s="1"/>
  <c r="DR106" i="1" s="1"/>
  <c r="DK106" i="1"/>
  <c r="DL106" i="1" s="1"/>
  <c r="DM106" i="1" s="1"/>
  <c r="DF106" i="1"/>
  <c r="DG106" i="1" s="1"/>
  <c r="DH106" i="1" s="1"/>
  <c r="DA106" i="1"/>
  <c r="DB106" i="1" s="1"/>
  <c r="DC106" i="1" s="1"/>
  <c r="CV106" i="1"/>
  <c r="CW106" i="1" s="1"/>
  <c r="CX106" i="1" s="1"/>
  <c r="CQ106" i="1"/>
  <c r="CR106" i="1" s="1"/>
  <c r="CS106" i="1" s="1"/>
  <c r="CL106" i="1"/>
  <c r="CM106" i="1" s="1"/>
  <c r="CN106" i="1" s="1"/>
  <c r="CG106" i="1"/>
  <c r="CH106" i="1" s="1"/>
  <c r="CI106" i="1" s="1"/>
  <c r="CA106" i="1"/>
  <c r="CB106" i="1" s="1"/>
  <c r="CC106" i="1" s="1"/>
  <c r="BV106" i="1"/>
  <c r="BW106" i="1" s="1"/>
  <c r="BX106" i="1" s="1"/>
  <c r="BQ106" i="1"/>
  <c r="BR106" i="1" s="1"/>
  <c r="BS106" i="1" s="1"/>
  <c r="BL106" i="1"/>
  <c r="BM106" i="1" s="1"/>
  <c r="BN106" i="1" s="1"/>
  <c r="BG106" i="1"/>
  <c r="BH106" i="1" s="1"/>
  <c r="BI106" i="1" s="1"/>
  <c r="BB106" i="1"/>
  <c r="BC106" i="1" s="1"/>
  <c r="BD106" i="1" s="1"/>
  <c r="AW106" i="1"/>
  <c r="AX106" i="1" s="1"/>
  <c r="AY106" i="1" s="1"/>
  <c r="AR106" i="1"/>
  <c r="AS106" i="1" s="1"/>
  <c r="AT106" i="1" s="1"/>
  <c r="AM106" i="1"/>
  <c r="AN106" i="1" s="1"/>
  <c r="AO106" i="1" s="1"/>
  <c r="AH106" i="1"/>
  <c r="AI106" i="1" s="1"/>
  <c r="AJ106" i="1" s="1"/>
  <c r="AC106" i="1"/>
  <c r="AD106" i="1" s="1"/>
  <c r="AE106" i="1" s="1"/>
  <c r="W106" i="1"/>
  <c r="X106" i="1" s="1"/>
  <c r="Y106" i="1" s="1"/>
  <c r="S106" i="1"/>
  <c r="N106" i="1"/>
  <c r="I106" i="1"/>
  <c r="NZ105" i="1"/>
  <c r="NU105" i="1"/>
  <c r="NP105" i="1"/>
  <c r="NK105" i="1"/>
  <c r="NF105" i="1"/>
  <c r="NA105" i="1"/>
  <c r="MV105" i="1"/>
  <c r="MQ105" i="1"/>
  <c r="MM105" i="1"/>
  <c r="MI105" i="1"/>
  <c r="MD105" i="1"/>
  <c r="LY105" i="1"/>
  <c r="LT105" i="1"/>
  <c r="LO105" i="1"/>
  <c r="LJ105" i="1"/>
  <c r="LE105" i="1"/>
  <c r="KZ105" i="1"/>
  <c r="KV105" i="1"/>
  <c r="KQ105" i="1"/>
  <c r="KM105" i="1"/>
  <c r="KI105" i="1"/>
  <c r="KE105" i="1"/>
  <c r="KA105" i="1"/>
  <c r="JV105" i="1"/>
  <c r="JQ105" i="1"/>
  <c r="JM105" i="1"/>
  <c r="JI105" i="1"/>
  <c r="JD105" i="1"/>
  <c r="IY105" i="1"/>
  <c r="IT105" i="1"/>
  <c r="IO105" i="1"/>
  <c r="IJ105" i="1"/>
  <c r="IE105" i="1"/>
  <c r="HZ105" i="1"/>
  <c r="HU105" i="1"/>
  <c r="HN105" i="1"/>
  <c r="HO105" i="1" s="1"/>
  <c r="HP105" i="1" s="1"/>
  <c r="HI105" i="1"/>
  <c r="HJ105" i="1" s="1"/>
  <c r="HK105" i="1" s="1"/>
  <c r="HD105" i="1"/>
  <c r="HE105" i="1" s="1"/>
  <c r="HF105" i="1" s="1"/>
  <c r="GY105" i="1"/>
  <c r="GZ105" i="1" s="1"/>
  <c r="HA105" i="1" s="1"/>
  <c r="GV105" i="1"/>
  <c r="GT105" i="1"/>
  <c r="GO105" i="1"/>
  <c r="GP105" i="1" s="1"/>
  <c r="GQ105" i="1" s="1"/>
  <c r="GJ105" i="1"/>
  <c r="GK105" i="1" s="1"/>
  <c r="GL105" i="1" s="1"/>
  <c r="GE105" i="1"/>
  <c r="GF105" i="1" s="1"/>
  <c r="GG105" i="1" s="1"/>
  <c r="FZ105" i="1"/>
  <c r="GA105" i="1" s="1"/>
  <c r="GB105" i="1" s="1"/>
  <c r="FU105" i="1"/>
  <c r="FV105" i="1" s="1"/>
  <c r="FW105" i="1" s="1"/>
  <c r="FP105" i="1"/>
  <c r="FQ105" i="1" s="1"/>
  <c r="FR105" i="1" s="1"/>
  <c r="FK105" i="1"/>
  <c r="FL105" i="1" s="1"/>
  <c r="FM105" i="1" s="1"/>
  <c r="FF105" i="1"/>
  <c r="FG105" i="1" s="1"/>
  <c r="FH105" i="1" s="1"/>
  <c r="FA105" i="1"/>
  <c r="FB105" i="1" s="1"/>
  <c r="FC105" i="1" s="1"/>
  <c r="EV105" i="1"/>
  <c r="EW105" i="1" s="1"/>
  <c r="EX105" i="1" s="1"/>
  <c r="EQ105" i="1"/>
  <c r="ER105" i="1" s="1"/>
  <c r="ES105" i="1" s="1"/>
  <c r="EL105" i="1"/>
  <c r="EM105" i="1" s="1"/>
  <c r="EN105" i="1" s="1"/>
  <c r="EE105" i="1"/>
  <c r="EF105" i="1" s="1"/>
  <c r="EG105" i="1" s="1"/>
  <c r="DZ105" i="1"/>
  <c r="EA105" i="1" s="1"/>
  <c r="EB105" i="1" s="1"/>
  <c r="DU105" i="1"/>
  <c r="DV105" i="1" s="1"/>
  <c r="DW105" i="1" s="1"/>
  <c r="DP105" i="1"/>
  <c r="DQ105" i="1" s="1"/>
  <c r="DR105" i="1" s="1"/>
  <c r="DK105" i="1"/>
  <c r="DL105" i="1" s="1"/>
  <c r="DM105" i="1" s="1"/>
  <c r="DF105" i="1"/>
  <c r="DG105" i="1" s="1"/>
  <c r="DH105" i="1" s="1"/>
  <c r="DA105" i="1"/>
  <c r="DB105" i="1" s="1"/>
  <c r="DC105" i="1" s="1"/>
  <c r="CV105" i="1"/>
  <c r="CW105" i="1" s="1"/>
  <c r="CX105" i="1" s="1"/>
  <c r="CQ105" i="1"/>
  <c r="CR105" i="1" s="1"/>
  <c r="CS105" i="1" s="1"/>
  <c r="CL105" i="1"/>
  <c r="CM105" i="1" s="1"/>
  <c r="CN105" i="1" s="1"/>
  <c r="CG105" i="1"/>
  <c r="CH105" i="1" s="1"/>
  <c r="CI105" i="1" s="1"/>
  <c r="CA105" i="1"/>
  <c r="CB105" i="1" s="1"/>
  <c r="CC105" i="1" s="1"/>
  <c r="BV105" i="1"/>
  <c r="BW105" i="1" s="1"/>
  <c r="BX105" i="1" s="1"/>
  <c r="BQ105" i="1"/>
  <c r="BR105" i="1" s="1"/>
  <c r="BS105" i="1" s="1"/>
  <c r="BL105" i="1"/>
  <c r="BM105" i="1" s="1"/>
  <c r="BN105" i="1" s="1"/>
  <c r="BG105" i="1"/>
  <c r="BH105" i="1" s="1"/>
  <c r="BI105" i="1" s="1"/>
  <c r="BB105" i="1"/>
  <c r="BC105" i="1" s="1"/>
  <c r="BD105" i="1" s="1"/>
  <c r="AW105" i="1"/>
  <c r="AX105" i="1" s="1"/>
  <c r="AY105" i="1" s="1"/>
  <c r="AR105" i="1"/>
  <c r="AS105" i="1" s="1"/>
  <c r="AT105" i="1" s="1"/>
  <c r="AM105" i="1"/>
  <c r="AN105" i="1" s="1"/>
  <c r="AO105" i="1" s="1"/>
  <c r="AH105" i="1"/>
  <c r="AI105" i="1" s="1"/>
  <c r="AJ105" i="1" s="1"/>
  <c r="AE105" i="1"/>
  <c r="W105" i="1"/>
  <c r="X105" i="1" s="1"/>
  <c r="Y105" i="1" s="1"/>
  <c r="S105" i="1"/>
  <c r="N105" i="1"/>
  <c r="I105" i="1"/>
  <c r="NZ104" i="1"/>
  <c r="NU104" i="1"/>
  <c r="NP104" i="1"/>
  <c r="NK104" i="1"/>
  <c r="NF104" i="1"/>
  <c r="NA104" i="1"/>
  <c r="MV104" i="1"/>
  <c r="MQ104" i="1"/>
  <c r="MM104" i="1"/>
  <c r="MI104" i="1"/>
  <c r="MD104" i="1"/>
  <c r="LY104" i="1"/>
  <c r="LT104" i="1"/>
  <c r="LO104" i="1"/>
  <c r="LJ104" i="1"/>
  <c r="LE104" i="1"/>
  <c r="KZ104" i="1"/>
  <c r="KV104" i="1"/>
  <c r="KQ104" i="1"/>
  <c r="KM104" i="1"/>
  <c r="KI104" i="1"/>
  <c r="KE104" i="1"/>
  <c r="KA104" i="1"/>
  <c r="JV104" i="1"/>
  <c r="JQ104" i="1"/>
  <c r="JM104" i="1"/>
  <c r="JI104" i="1"/>
  <c r="JD104" i="1"/>
  <c r="IY104" i="1"/>
  <c r="IT104" i="1"/>
  <c r="IO104" i="1"/>
  <c r="IJ104" i="1"/>
  <c r="IE104" i="1"/>
  <c r="HZ104" i="1"/>
  <c r="HU104" i="1"/>
  <c r="HP104" i="1"/>
  <c r="HK104" i="1"/>
  <c r="HD104" i="1"/>
  <c r="HE104" i="1" s="1"/>
  <c r="HF104" i="1" s="1"/>
  <c r="GY104" i="1"/>
  <c r="GZ104" i="1" s="1"/>
  <c r="HA104" i="1" s="1"/>
  <c r="GT104" i="1"/>
  <c r="GU104" i="1" s="1"/>
  <c r="GV104" i="1" s="1"/>
  <c r="GO104" i="1"/>
  <c r="GP104" i="1" s="1"/>
  <c r="GQ104" i="1" s="1"/>
  <c r="GJ104" i="1"/>
  <c r="GK104" i="1" s="1"/>
  <c r="GL104" i="1" s="1"/>
  <c r="GE104" i="1"/>
  <c r="GF104" i="1" s="1"/>
  <c r="GG104" i="1" s="1"/>
  <c r="FZ104" i="1"/>
  <c r="GA104" i="1" s="1"/>
  <c r="GB104" i="1" s="1"/>
  <c r="FU104" i="1"/>
  <c r="FV104" i="1" s="1"/>
  <c r="FW104" i="1" s="1"/>
  <c r="FP104" i="1"/>
  <c r="FQ104" i="1" s="1"/>
  <c r="FR104" i="1" s="1"/>
  <c r="FK104" i="1"/>
  <c r="FL104" i="1" s="1"/>
  <c r="FM104" i="1" s="1"/>
  <c r="FF104" i="1"/>
  <c r="FG104" i="1" s="1"/>
  <c r="FH104" i="1" s="1"/>
  <c r="FA104" i="1"/>
  <c r="FB104" i="1" s="1"/>
  <c r="FC104" i="1" s="1"/>
  <c r="EV104" i="1"/>
  <c r="EW104" i="1" s="1"/>
  <c r="EX104" i="1" s="1"/>
  <c r="EQ104" i="1"/>
  <c r="ER104" i="1" s="1"/>
  <c r="ES104" i="1" s="1"/>
  <c r="EL104" i="1"/>
  <c r="EM104" i="1" s="1"/>
  <c r="EN104" i="1" s="1"/>
  <c r="EE104" i="1"/>
  <c r="EF104" i="1" s="1"/>
  <c r="EG104" i="1" s="1"/>
  <c r="DZ104" i="1"/>
  <c r="EA104" i="1" s="1"/>
  <c r="EB104" i="1" s="1"/>
  <c r="DU104" i="1"/>
  <c r="DV104" i="1" s="1"/>
  <c r="DW104" i="1" s="1"/>
  <c r="DP104" i="1"/>
  <c r="DQ104" i="1" s="1"/>
  <c r="DR104" i="1" s="1"/>
  <c r="DK104" i="1"/>
  <c r="DL104" i="1" s="1"/>
  <c r="DM104" i="1" s="1"/>
  <c r="DF104" i="1"/>
  <c r="DG104" i="1" s="1"/>
  <c r="DH104" i="1" s="1"/>
  <c r="DA104" i="1"/>
  <c r="DB104" i="1" s="1"/>
  <c r="DC104" i="1" s="1"/>
  <c r="CV104" i="1"/>
  <c r="CW104" i="1" s="1"/>
  <c r="CX104" i="1" s="1"/>
  <c r="CQ104" i="1"/>
  <c r="CR104" i="1" s="1"/>
  <c r="CS104" i="1" s="1"/>
  <c r="CL104" i="1"/>
  <c r="CM104" i="1" s="1"/>
  <c r="CN104" i="1" s="1"/>
  <c r="CG104" i="1"/>
  <c r="CH104" i="1" s="1"/>
  <c r="CI104" i="1" s="1"/>
  <c r="CA104" i="1"/>
  <c r="CB104" i="1" s="1"/>
  <c r="CC104" i="1" s="1"/>
  <c r="BV104" i="1"/>
  <c r="BW104" i="1" s="1"/>
  <c r="BX104" i="1" s="1"/>
  <c r="BQ104" i="1"/>
  <c r="BR104" i="1" s="1"/>
  <c r="BS104" i="1" s="1"/>
  <c r="BL104" i="1"/>
  <c r="BM104" i="1" s="1"/>
  <c r="BN104" i="1" s="1"/>
  <c r="BG104" i="1"/>
  <c r="BH104" i="1" s="1"/>
  <c r="BI104" i="1" s="1"/>
  <c r="BB104" i="1"/>
  <c r="BC104" i="1" s="1"/>
  <c r="BD104" i="1" s="1"/>
  <c r="AW104" i="1"/>
  <c r="AX104" i="1" s="1"/>
  <c r="AY104" i="1" s="1"/>
  <c r="AR104" i="1"/>
  <c r="AS104" i="1" s="1"/>
  <c r="AT104" i="1" s="1"/>
  <c r="AM104" i="1"/>
  <c r="AN104" i="1" s="1"/>
  <c r="AO104" i="1" s="1"/>
  <c r="AH104" i="1"/>
  <c r="AI104" i="1" s="1"/>
  <c r="AJ104" i="1" s="1"/>
  <c r="AE104" i="1"/>
  <c r="W104" i="1"/>
  <c r="X104" i="1" s="1"/>
  <c r="Y104" i="1" s="1"/>
  <c r="S104" i="1"/>
  <c r="N104" i="1"/>
  <c r="I104" i="1"/>
  <c r="NZ103" i="1"/>
  <c r="NS103" i="1"/>
  <c r="NT103" i="1" s="1"/>
  <c r="NU103" i="1" s="1"/>
  <c r="NP103" i="1"/>
  <c r="NK103" i="1"/>
  <c r="NF103" i="1"/>
  <c r="NA103" i="1"/>
  <c r="MV103" i="1"/>
  <c r="MQ103" i="1"/>
  <c r="MM103" i="1"/>
  <c r="MI103" i="1"/>
  <c r="MD103" i="1"/>
  <c r="LY103" i="1"/>
  <c r="LT103" i="1"/>
  <c r="LO103" i="1"/>
  <c r="LJ103" i="1"/>
  <c r="LE103" i="1"/>
  <c r="KZ103" i="1"/>
  <c r="KV103" i="1"/>
  <c r="KQ103" i="1"/>
  <c r="KM103" i="1"/>
  <c r="KI103" i="1"/>
  <c r="KE103" i="1"/>
  <c r="KA103" i="1"/>
  <c r="JV103" i="1"/>
  <c r="JQ103" i="1"/>
  <c r="JM103" i="1"/>
  <c r="JI103" i="1"/>
  <c r="JD103" i="1"/>
  <c r="IY103" i="1"/>
  <c r="IT103" i="1"/>
  <c r="IO103" i="1"/>
  <c r="IJ103" i="1"/>
  <c r="IE103" i="1"/>
  <c r="HZ103" i="1"/>
  <c r="HU103" i="1"/>
  <c r="HP103" i="1"/>
  <c r="HI103" i="1"/>
  <c r="HJ103" i="1" s="1"/>
  <c r="HK103" i="1" s="1"/>
  <c r="HD103" i="1"/>
  <c r="HE103" i="1" s="1"/>
  <c r="HF103" i="1" s="1"/>
  <c r="GY103" i="1"/>
  <c r="GZ103" i="1" s="1"/>
  <c r="HA103" i="1" s="1"/>
  <c r="GT103" i="1"/>
  <c r="GU103" i="1" s="1"/>
  <c r="GV103" i="1" s="1"/>
  <c r="GO103" i="1"/>
  <c r="GP103" i="1" s="1"/>
  <c r="GQ103" i="1" s="1"/>
  <c r="GJ103" i="1"/>
  <c r="GK103" i="1" s="1"/>
  <c r="GL103" i="1" s="1"/>
  <c r="GE103" i="1"/>
  <c r="GF103" i="1" s="1"/>
  <c r="GG103" i="1" s="1"/>
  <c r="FZ103" i="1"/>
  <c r="GA103" i="1" s="1"/>
  <c r="GB103" i="1" s="1"/>
  <c r="FU103" i="1"/>
  <c r="FV103" i="1" s="1"/>
  <c r="FW103" i="1" s="1"/>
  <c r="FP103" i="1"/>
  <c r="FQ103" i="1" s="1"/>
  <c r="FR103" i="1" s="1"/>
  <c r="FK103" i="1"/>
  <c r="FL103" i="1" s="1"/>
  <c r="FM103" i="1" s="1"/>
  <c r="FF103" i="1"/>
  <c r="FG103" i="1" s="1"/>
  <c r="FH103" i="1" s="1"/>
  <c r="FA103" i="1"/>
  <c r="FB103" i="1" s="1"/>
  <c r="FC103" i="1" s="1"/>
  <c r="EV103" i="1"/>
  <c r="EW103" i="1" s="1"/>
  <c r="EX103" i="1" s="1"/>
  <c r="EQ103" i="1"/>
  <c r="ER103" i="1" s="1"/>
  <c r="ES103" i="1" s="1"/>
  <c r="EL103" i="1"/>
  <c r="EM103" i="1" s="1"/>
  <c r="EN103" i="1" s="1"/>
  <c r="EE103" i="1"/>
  <c r="EF103" i="1" s="1"/>
  <c r="EG103" i="1" s="1"/>
  <c r="DZ103" i="1"/>
  <c r="EA103" i="1" s="1"/>
  <c r="EB103" i="1" s="1"/>
  <c r="DU103" i="1"/>
  <c r="DV103" i="1" s="1"/>
  <c r="DW103" i="1" s="1"/>
  <c r="DP103" i="1"/>
  <c r="DQ103" i="1" s="1"/>
  <c r="DR103" i="1" s="1"/>
  <c r="DK103" i="1"/>
  <c r="DL103" i="1" s="1"/>
  <c r="DM103" i="1" s="1"/>
  <c r="DF103" i="1"/>
  <c r="DG103" i="1" s="1"/>
  <c r="DH103" i="1" s="1"/>
  <c r="DA103" i="1"/>
  <c r="DB103" i="1" s="1"/>
  <c r="DC103" i="1" s="1"/>
  <c r="CV103" i="1"/>
  <c r="CW103" i="1" s="1"/>
  <c r="CX103" i="1" s="1"/>
  <c r="CQ103" i="1"/>
  <c r="CR103" i="1" s="1"/>
  <c r="CS103" i="1" s="1"/>
  <c r="CL103" i="1"/>
  <c r="CM103" i="1" s="1"/>
  <c r="CN103" i="1" s="1"/>
  <c r="CG103" i="1"/>
  <c r="CH103" i="1" s="1"/>
  <c r="CI103" i="1" s="1"/>
  <c r="CA103" i="1"/>
  <c r="CB103" i="1" s="1"/>
  <c r="CC103" i="1" s="1"/>
  <c r="BV103" i="1"/>
  <c r="BW103" i="1" s="1"/>
  <c r="BX103" i="1" s="1"/>
  <c r="BQ103" i="1"/>
  <c r="BR103" i="1" s="1"/>
  <c r="BS103" i="1" s="1"/>
  <c r="BL103" i="1"/>
  <c r="BM103" i="1" s="1"/>
  <c r="BN103" i="1" s="1"/>
  <c r="BG103" i="1"/>
  <c r="BH103" i="1" s="1"/>
  <c r="BI103" i="1" s="1"/>
  <c r="BB103" i="1"/>
  <c r="BC103" i="1" s="1"/>
  <c r="BD103" i="1" s="1"/>
  <c r="AW103" i="1"/>
  <c r="AX103" i="1" s="1"/>
  <c r="AY103" i="1" s="1"/>
  <c r="AR103" i="1"/>
  <c r="AS103" i="1" s="1"/>
  <c r="AT103" i="1" s="1"/>
  <c r="AM103" i="1"/>
  <c r="AN103" i="1" s="1"/>
  <c r="AO103" i="1" s="1"/>
  <c r="AH103" i="1"/>
  <c r="AI103" i="1" s="1"/>
  <c r="AJ103" i="1" s="1"/>
  <c r="AE103" i="1"/>
  <c r="W103" i="1"/>
  <c r="X103" i="1" s="1"/>
  <c r="Y103" i="1" s="1"/>
  <c r="Q103" i="1"/>
  <c r="R103" i="1" s="1"/>
  <c r="S103" i="1" s="1"/>
  <c r="N103" i="1"/>
  <c r="I103" i="1"/>
  <c r="NZ102" i="1"/>
  <c r="NU102" i="1"/>
  <c r="NP102" i="1"/>
  <c r="NK102" i="1"/>
  <c r="NF102" i="1"/>
  <c r="NA102" i="1"/>
  <c r="MV102" i="1"/>
  <c r="MQ102" i="1"/>
  <c r="MM102" i="1"/>
  <c r="MI102" i="1"/>
  <c r="MD102" i="1"/>
  <c r="LY102" i="1"/>
  <c r="LT102" i="1"/>
  <c r="LO102" i="1"/>
  <c r="LJ102" i="1"/>
  <c r="LE102" i="1"/>
  <c r="KX102" i="1"/>
  <c r="KY102" i="1" s="1"/>
  <c r="KZ102" i="1" s="1"/>
  <c r="KV102" i="1"/>
  <c r="KQ102" i="1"/>
  <c r="KK102" i="1"/>
  <c r="KL102" i="1" s="1"/>
  <c r="KM102" i="1" s="1"/>
  <c r="KI102" i="1"/>
  <c r="KE102" i="1"/>
  <c r="KA102" i="1"/>
  <c r="JV102" i="1"/>
  <c r="JQ102" i="1"/>
  <c r="JM102" i="1"/>
  <c r="JI102" i="1"/>
  <c r="JB102" i="1"/>
  <c r="JC102" i="1" s="1"/>
  <c r="JD102" i="1" s="1"/>
  <c r="IW102" i="1"/>
  <c r="IX102" i="1" s="1"/>
  <c r="IY102" i="1" s="1"/>
  <c r="IR102" i="1"/>
  <c r="IS102" i="1" s="1"/>
  <c r="IT102" i="1" s="1"/>
  <c r="IM102" i="1"/>
  <c r="IN102" i="1" s="1"/>
  <c r="IO102" i="1" s="1"/>
  <c r="IH102" i="1"/>
  <c r="II102" i="1" s="1"/>
  <c r="IJ102" i="1" s="1"/>
  <c r="IC102" i="1"/>
  <c r="ID102" i="1" s="1"/>
  <c r="IE102" i="1" s="1"/>
  <c r="HX102" i="1"/>
  <c r="HY102" i="1" s="1"/>
  <c r="HZ102" i="1" s="1"/>
  <c r="HU102" i="1"/>
  <c r="HP102" i="1"/>
  <c r="HI102" i="1"/>
  <c r="HJ102" i="1" s="1"/>
  <c r="HK102" i="1" s="1"/>
  <c r="HD102" i="1"/>
  <c r="HE102" i="1" s="1"/>
  <c r="HF102" i="1" s="1"/>
  <c r="GY102" i="1"/>
  <c r="GZ102" i="1" s="1"/>
  <c r="HA102" i="1" s="1"/>
  <c r="GT102" i="1"/>
  <c r="GU102" i="1" s="1"/>
  <c r="GV102" i="1" s="1"/>
  <c r="GO102" i="1"/>
  <c r="GP102" i="1" s="1"/>
  <c r="GQ102" i="1" s="1"/>
  <c r="GJ102" i="1"/>
  <c r="GK102" i="1" s="1"/>
  <c r="GL102" i="1" s="1"/>
  <c r="GE102" i="1"/>
  <c r="GF102" i="1" s="1"/>
  <c r="GG102" i="1" s="1"/>
  <c r="FZ102" i="1"/>
  <c r="GA102" i="1" s="1"/>
  <c r="GB102" i="1" s="1"/>
  <c r="FU102" i="1"/>
  <c r="FV102" i="1" s="1"/>
  <c r="FW102" i="1" s="1"/>
  <c r="FP102" i="1"/>
  <c r="FQ102" i="1" s="1"/>
  <c r="FR102" i="1" s="1"/>
  <c r="FK102" i="1"/>
  <c r="FL102" i="1" s="1"/>
  <c r="FM102" i="1" s="1"/>
  <c r="FF102" i="1"/>
  <c r="FG102" i="1" s="1"/>
  <c r="FH102" i="1" s="1"/>
  <c r="FA102" i="1"/>
  <c r="FB102" i="1" s="1"/>
  <c r="FC102" i="1" s="1"/>
  <c r="EV102" i="1"/>
  <c r="EW102" i="1" s="1"/>
  <c r="EX102" i="1" s="1"/>
  <c r="EQ102" i="1"/>
  <c r="ER102" i="1" s="1"/>
  <c r="ES102" i="1" s="1"/>
  <c r="EL102" i="1"/>
  <c r="EM102" i="1" s="1"/>
  <c r="EN102" i="1" s="1"/>
  <c r="EE102" i="1"/>
  <c r="EF102" i="1" s="1"/>
  <c r="EG102" i="1" s="1"/>
  <c r="DZ102" i="1"/>
  <c r="EA102" i="1" s="1"/>
  <c r="EB102" i="1" s="1"/>
  <c r="DU102" i="1"/>
  <c r="DV102" i="1" s="1"/>
  <c r="DW102" i="1" s="1"/>
  <c r="DP102" i="1"/>
  <c r="DQ102" i="1" s="1"/>
  <c r="DR102" i="1" s="1"/>
  <c r="DK102" i="1"/>
  <c r="DL102" i="1" s="1"/>
  <c r="DM102" i="1" s="1"/>
  <c r="DF102" i="1"/>
  <c r="DG102" i="1" s="1"/>
  <c r="DH102" i="1" s="1"/>
  <c r="DA102" i="1"/>
  <c r="DB102" i="1" s="1"/>
  <c r="DC102" i="1" s="1"/>
  <c r="CV102" i="1"/>
  <c r="CW102" i="1" s="1"/>
  <c r="CX102" i="1" s="1"/>
  <c r="CQ102" i="1"/>
  <c r="CR102" i="1" s="1"/>
  <c r="CS102" i="1" s="1"/>
  <c r="CL102" i="1"/>
  <c r="CM102" i="1" s="1"/>
  <c r="CN102" i="1" s="1"/>
  <c r="CG102" i="1"/>
  <c r="CH102" i="1" s="1"/>
  <c r="CI102" i="1" s="1"/>
  <c r="CA102" i="1"/>
  <c r="CB102" i="1" s="1"/>
  <c r="CC102" i="1" s="1"/>
  <c r="BV102" i="1"/>
  <c r="BW102" i="1" s="1"/>
  <c r="BX102" i="1" s="1"/>
  <c r="BQ102" i="1"/>
  <c r="BR102" i="1" s="1"/>
  <c r="BS102" i="1" s="1"/>
  <c r="BL102" i="1"/>
  <c r="BM102" i="1" s="1"/>
  <c r="BN102" i="1" s="1"/>
  <c r="BG102" i="1"/>
  <c r="BH102" i="1" s="1"/>
  <c r="BI102" i="1" s="1"/>
  <c r="BB102" i="1"/>
  <c r="BC102" i="1" s="1"/>
  <c r="BD102" i="1" s="1"/>
  <c r="AW102" i="1"/>
  <c r="AX102" i="1" s="1"/>
  <c r="AY102" i="1" s="1"/>
  <c r="AR102" i="1"/>
  <c r="AS102" i="1" s="1"/>
  <c r="AT102" i="1" s="1"/>
  <c r="AM102" i="1"/>
  <c r="AN102" i="1" s="1"/>
  <c r="AO102" i="1" s="1"/>
  <c r="AH102" i="1"/>
  <c r="AI102" i="1" s="1"/>
  <c r="AJ102" i="1" s="1"/>
  <c r="AC102" i="1"/>
  <c r="AD102" i="1" s="1"/>
  <c r="AE102" i="1" s="1"/>
  <c r="W102" i="1"/>
  <c r="X102" i="1" s="1"/>
  <c r="Y102" i="1" s="1"/>
  <c r="Q102" i="1"/>
  <c r="R102" i="1" s="1"/>
  <c r="S102" i="1" s="1"/>
  <c r="N102" i="1"/>
  <c r="I102" i="1"/>
  <c r="NZ101" i="1"/>
  <c r="NU101" i="1"/>
  <c r="NP101" i="1"/>
  <c r="NK101" i="1"/>
  <c r="NF101" i="1"/>
  <c r="NA101" i="1"/>
  <c r="MV101" i="1"/>
  <c r="MQ101" i="1"/>
  <c r="MM101" i="1"/>
  <c r="MI101" i="1"/>
  <c r="MD101" i="1"/>
  <c r="LY101" i="1"/>
  <c r="LT101" i="1"/>
  <c r="LO101" i="1"/>
  <c r="LJ101" i="1"/>
  <c r="LE101" i="1"/>
  <c r="KZ101" i="1"/>
  <c r="KT101" i="1"/>
  <c r="KU101" i="1" s="1"/>
  <c r="KV101" i="1" s="1"/>
  <c r="KQ101" i="1"/>
  <c r="KM101" i="1"/>
  <c r="KI101" i="1"/>
  <c r="KE101" i="1"/>
  <c r="JY101" i="1"/>
  <c r="JZ101" i="1" s="1"/>
  <c r="KA101" i="1" s="1"/>
  <c r="JV101" i="1"/>
  <c r="JQ101" i="1"/>
  <c r="JM101" i="1"/>
  <c r="JI101" i="1"/>
  <c r="JB101" i="1"/>
  <c r="JC101" i="1" s="1"/>
  <c r="JD101" i="1" s="1"/>
  <c r="IW101" i="1"/>
  <c r="IX101" i="1" s="1"/>
  <c r="IY101" i="1" s="1"/>
  <c r="IR101" i="1"/>
  <c r="IS101" i="1" s="1"/>
  <c r="IT101" i="1" s="1"/>
  <c r="IM101" i="1"/>
  <c r="IN101" i="1" s="1"/>
  <c r="IO101" i="1" s="1"/>
  <c r="IH101" i="1"/>
  <c r="II101" i="1" s="1"/>
  <c r="IJ101" i="1" s="1"/>
  <c r="IC101" i="1"/>
  <c r="ID101" i="1" s="1"/>
  <c r="IE101" i="1" s="1"/>
  <c r="HX101" i="1"/>
  <c r="HY101" i="1" s="1"/>
  <c r="HZ101" i="1" s="1"/>
  <c r="HS101" i="1"/>
  <c r="HT101" i="1" s="1"/>
  <c r="HU101" i="1" s="1"/>
  <c r="HN101" i="1"/>
  <c r="HO101" i="1" s="1"/>
  <c r="HP101" i="1" s="1"/>
  <c r="HI101" i="1"/>
  <c r="HJ101" i="1" s="1"/>
  <c r="HK101" i="1" s="1"/>
  <c r="HD101" i="1"/>
  <c r="HE101" i="1" s="1"/>
  <c r="HF101" i="1" s="1"/>
  <c r="GY101" i="1"/>
  <c r="GZ101" i="1" s="1"/>
  <c r="HA101" i="1" s="1"/>
  <c r="GT101" i="1"/>
  <c r="GU101" i="1" s="1"/>
  <c r="GV101" i="1" s="1"/>
  <c r="GO101" i="1"/>
  <c r="GP101" i="1" s="1"/>
  <c r="GQ101" i="1" s="1"/>
  <c r="GJ101" i="1"/>
  <c r="GK101" i="1" s="1"/>
  <c r="GL101" i="1" s="1"/>
  <c r="GE101" i="1"/>
  <c r="GF101" i="1" s="1"/>
  <c r="GG101" i="1" s="1"/>
  <c r="FZ101" i="1"/>
  <c r="GA101" i="1" s="1"/>
  <c r="GB101" i="1" s="1"/>
  <c r="FU101" i="1"/>
  <c r="FV101" i="1" s="1"/>
  <c r="FW101" i="1" s="1"/>
  <c r="FP101" i="1"/>
  <c r="FQ101" i="1" s="1"/>
  <c r="FR101" i="1" s="1"/>
  <c r="FK101" i="1"/>
  <c r="FL101" i="1" s="1"/>
  <c r="FM101" i="1" s="1"/>
  <c r="FF101" i="1"/>
  <c r="FG101" i="1" s="1"/>
  <c r="FH101" i="1" s="1"/>
  <c r="FA101" i="1"/>
  <c r="FB101" i="1" s="1"/>
  <c r="FC101" i="1" s="1"/>
  <c r="EV101" i="1"/>
  <c r="EW101" i="1" s="1"/>
  <c r="EX101" i="1" s="1"/>
  <c r="EQ101" i="1"/>
  <c r="ER101" i="1" s="1"/>
  <c r="ES101" i="1" s="1"/>
  <c r="EL101" i="1"/>
  <c r="EM101" i="1" s="1"/>
  <c r="EN101" i="1" s="1"/>
  <c r="EE101" i="1"/>
  <c r="EF101" i="1" s="1"/>
  <c r="EG101" i="1" s="1"/>
  <c r="DZ101" i="1"/>
  <c r="EA101" i="1" s="1"/>
  <c r="EB101" i="1" s="1"/>
  <c r="DU101" i="1"/>
  <c r="DV101" i="1" s="1"/>
  <c r="DW101" i="1" s="1"/>
  <c r="DP101" i="1"/>
  <c r="DQ101" i="1" s="1"/>
  <c r="DR101" i="1" s="1"/>
  <c r="DK101" i="1"/>
  <c r="DL101" i="1" s="1"/>
  <c r="DM101" i="1" s="1"/>
  <c r="DF101" i="1"/>
  <c r="DG101" i="1" s="1"/>
  <c r="DH101" i="1" s="1"/>
  <c r="DA101" i="1"/>
  <c r="DB101" i="1" s="1"/>
  <c r="DC101" i="1" s="1"/>
  <c r="CV101" i="1"/>
  <c r="CW101" i="1" s="1"/>
  <c r="CX101" i="1" s="1"/>
  <c r="CQ101" i="1"/>
  <c r="CR101" i="1" s="1"/>
  <c r="CS101" i="1" s="1"/>
  <c r="CL101" i="1"/>
  <c r="CM101" i="1" s="1"/>
  <c r="CN101" i="1" s="1"/>
  <c r="CG101" i="1"/>
  <c r="CH101" i="1" s="1"/>
  <c r="CI101" i="1" s="1"/>
  <c r="CA101" i="1"/>
  <c r="CB101" i="1" s="1"/>
  <c r="CC101" i="1" s="1"/>
  <c r="BV101" i="1"/>
  <c r="BW101" i="1" s="1"/>
  <c r="BX101" i="1" s="1"/>
  <c r="BQ101" i="1"/>
  <c r="BR101" i="1" s="1"/>
  <c r="BS101" i="1" s="1"/>
  <c r="BL101" i="1"/>
  <c r="BM101" i="1" s="1"/>
  <c r="BN101" i="1" s="1"/>
  <c r="BG101" i="1"/>
  <c r="BH101" i="1" s="1"/>
  <c r="BI101" i="1" s="1"/>
  <c r="BB101" i="1"/>
  <c r="BC101" i="1" s="1"/>
  <c r="BD101" i="1" s="1"/>
  <c r="AW101" i="1"/>
  <c r="AX101" i="1" s="1"/>
  <c r="AY101" i="1" s="1"/>
  <c r="AR101" i="1"/>
  <c r="AS101" i="1" s="1"/>
  <c r="AT101" i="1" s="1"/>
  <c r="AM101" i="1"/>
  <c r="AN101" i="1" s="1"/>
  <c r="AO101" i="1" s="1"/>
  <c r="AH101" i="1"/>
  <c r="AI101" i="1" s="1"/>
  <c r="AJ101" i="1" s="1"/>
  <c r="AC101" i="1"/>
  <c r="AD101" i="1" s="1"/>
  <c r="AE101" i="1" s="1"/>
  <c r="W101" i="1"/>
  <c r="X101" i="1" s="1"/>
  <c r="Y101" i="1" s="1"/>
  <c r="S101" i="1"/>
  <c r="N101" i="1"/>
  <c r="I101" i="1"/>
  <c r="NZ100" i="1"/>
  <c r="NU100" i="1"/>
  <c r="NP100" i="1"/>
  <c r="NK100" i="1"/>
  <c r="NF100" i="1"/>
  <c r="NA100" i="1"/>
  <c r="MV100" i="1"/>
  <c r="MQ100" i="1"/>
  <c r="MM100" i="1"/>
  <c r="MI100" i="1"/>
  <c r="MD100" i="1"/>
  <c r="LY100" i="1"/>
  <c r="LT100" i="1"/>
  <c r="LO100" i="1"/>
  <c r="LJ100" i="1"/>
  <c r="LE100" i="1"/>
  <c r="KX100" i="1"/>
  <c r="KY100" i="1" s="1"/>
  <c r="KZ100" i="1" s="1"/>
  <c r="KV100" i="1"/>
  <c r="KQ100" i="1"/>
  <c r="KM100" i="1"/>
  <c r="KI100" i="1"/>
  <c r="KE100" i="1"/>
  <c r="KA100" i="1"/>
  <c r="JV100" i="1"/>
  <c r="JQ100" i="1"/>
  <c r="JM100" i="1"/>
  <c r="JI100" i="1"/>
  <c r="JB100" i="1"/>
  <c r="JC100" i="1" s="1"/>
  <c r="JD100" i="1" s="1"/>
  <c r="IW100" i="1"/>
  <c r="IX100" i="1" s="1"/>
  <c r="IY100" i="1" s="1"/>
  <c r="IR100" i="1"/>
  <c r="IS100" i="1" s="1"/>
  <c r="IT100" i="1" s="1"/>
  <c r="IM100" i="1"/>
  <c r="IN100" i="1" s="1"/>
  <c r="IO100" i="1" s="1"/>
  <c r="IH100" i="1"/>
  <c r="II100" i="1" s="1"/>
  <c r="IJ100" i="1" s="1"/>
  <c r="IC100" i="1"/>
  <c r="ID100" i="1" s="1"/>
  <c r="IE100" i="1" s="1"/>
  <c r="HX100" i="1"/>
  <c r="HY100" i="1" s="1"/>
  <c r="HZ100" i="1" s="1"/>
  <c r="HU100" i="1"/>
  <c r="HN100" i="1"/>
  <c r="HO100" i="1" s="1"/>
  <c r="HP100" i="1" s="1"/>
  <c r="HI100" i="1"/>
  <c r="HJ100" i="1" s="1"/>
  <c r="HK100" i="1" s="1"/>
  <c r="HD100" i="1"/>
  <c r="HE100" i="1" s="1"/>
  <c r="HF100" i="1" s="1"/>
  <c r="GY100" i="1"/>
  <c r="GZ100" i="1" s="1"/>
  <c r="HA100" i="1" s="1"/>
  <c r="GT100" i="1"/>
  <c r="GU100" i="1" s="1"/>
  <c r="GV100" i="1" s="1"/>
  <c r="GO100" i="1"/>
  <c r="GP100" i="1" s="1"/>
  <c r="GQ100" i="1" s="1"/>
  <c r="GJ100" i="1"/>
  <c r="GK100" i="1" s="1"/>
  <c r="GL100" i="1" s="1"/>
  <c r="GE100" i="1"/>
  <c r="GF100" i="1" s="1"/>
  <c r="GG100" i="1" s="1"/>
  <c r="FZ100" i="1"/>
  <c r="GA100" i="1" s="1"/>
  <c r="GB100" i="1" s="1"/>
  <c r="FU100" i="1"/>
  <c r="FV100" i="1" s="1"/>
  <c r="FW100" i="1" s="1"/>
  <c r="FP100" i="1"/>
  <c r="FQ100" i="1" s="1"/>
  <c r="FR100" i="1" s="1"/>
  <c r="FK100" i="1"/>
  <c r="FL100" i="1" s="1"/>
  <c r="FM100" i="1" s="1"/>
  <c r="FF100" i="1"/>
  <c r="FG100" i="1" s="1"/>
  <c r="FH100" i="1" s="1"/>
  <c r="FA100" i="1"/>
  <c r="FB100" i="1" s="1"/>
  <c r="FC100" i="1" s="1"/>
  <c r="EV100" i="1"/>
  <c r="EW100" i="1" s="1"/>
  <c r="EX100" i="1" s="1"/>
  <c r="EQ100" i="1"/>
  <c r="ER100" i="1" s="1"/>
  <c r="ES100" i="1" s="1"/>
  <c r="EL100" i="1"/>
  <c r="EM100" i="1" s="1"/>
  <c r="EN100" i="1" s="1"/>
  <c r="EE100" i="1"/>
  <c r="EF100" i="1" s="1"/>
  <c r="EG100" i="1" s="1"/>
  <c r="DZ100" i="1"/>
  <c r="EA100" i="1" s="1"/>
  <c r="EB100" i="1" s="1"/>
  <c r="DU100" i="1"/>
  <c r="DV100" i="1" s="1"/>
  <c r="DW100" i="1" s="1"/>
  <c r="DP100" i="1"/>
  <c r="DQ100" i="1" s="1"/>
  <c r="DR100" i="1" s="1"/>
  <c r="DK100" i="1"/>
  <c r="DL100" i="1" s="1"/>
  <c r="DM100" i="1" s="1"/>
  <c r="DF100" i="1"/>
  <c r="DG100" i="1" s="1"/>
  <c r="DH100" i="1" s="1"/>
  <c r="DA100" i="1"/>
  <c r="DB100" i="1" s="1"/>
  <c r="DC100" i="1" s="1"/>
  <c r="CV100" i="1"/>
  <c r="CW100" i="1" s="1"/>
  <c r="CX100" i="1" s="1"/>
  <c r="CQ100" i="1"/>
  <c r="CR100" i="1" s="1"/>
  <c r="CS100" i="1" s="1"/>
  <c r="CL100" i="1"/>
  <c r="CM100" i="1" s="1"/>
  <c r="CN100" i="1" s="1"/>
  <c r="CG100" i="1"/>
  <c r="CH100" i="1" s="1"/>
  <c r="CI100" i="1" s="1"/>
  <c r="CA100" i="1"/>
  <c r="CB100" i="1" s="1"/>
  <c r="CC100" i="1" s="1"/>
  <c r="BV100" i="1"/>
  <c r="BW100" i="1" s="1"/>
  <c r="BX100" i="1" s="1"/>
  <c r="BQ100" i="1"/>
  <c r="BR100" i="1" s="1"/>
  <c r="BS100" i="1" s="1"/>
  <c r="BL100" i="1"/>
  <c r="BM100" i="1" s="1"/>
  <c r="BN100" i="1" s="1"/>
  <c r="BG100" i="1"/>
  <c r="BH100" i="1" s="1"/>
  <c r="BI100" i="1" s="1"/>
  <c r="BB100" i="1"/>
  <c r="BC100" i="1" s="1"/>
  <c r="BD100" i="1" s="1"/>
  <c r="AW100" i="1"/>
  <c r="AX100" i="1" s="1"/>
  <c r="AY100" i="1" s="1"/>
  <c r="AR100" i="1"/>
  <c r="AS100" i="1" s="1"/>
  <c r="AT100" i="1" s="1"/>
  <c r="AM100" i="1"/>
  <c r="AN100" i="1" s="1"/>
  <c r="AO100" i="1" s="1"/>
  <c r="AH100" i="1"/>
  <c r="AI100" i="1" s="1"/>
  <c r="AJ100" i="1" s="1"/>
  <c r="AC100" i="1"/>
  <c r="AD100" i="1" s="1"/>
  <c r="AE100" i="1" s="1"/>
  <c r="W100" i="1"/>
  <c r="X100" i="1" s="1"/>
  <c r="Y100" i="1" s="1"/>
  <c r="S100" i="1"/>
  <c r="N100" i="1"/>
  <c r="I100" i="1"/>
  <c r="NZ99" i="1"/>
  <c r="NU99" i="1"/>
  <c r="NP99" i="1"/>
  <c r="NK99" i="1"/>
  <c r="NF99" i="1"/>
  <c r="NA99" i="1"/>
  <c r="MV99" i="1"/>
  <c r="MQ99" i="1"/>
  <c r="MM99" i="1"/>
  <c r="MI99" i="1"/>
  <c r="MD99" i="1"/>
  <c r="LY99" i="1"/>
  <c r="LT99" i="1"/>
  <c r="LO99" i="1"/>
  <c r="LJ99" i="1"/>
  <c r="LC99" i="1"/>
  <c r="LD99" i="1" s="1"/>
  <c r="LE99" i="1" s="1"/>
  <c r="KZ99" i="1"/>
  <c r="KV99" i="1"/>
  <c r="KQ99" i="1"/>
  <c r="KM99" i="1"/>
  <c r="KI99" i="1"/>
  <c r="KE99" i="1"/>
  <c r="KA99" i="1"/>
  <c r="JT99" i="1"/>
  <c r="JU99" i="1" s="1"/>
  <c r="JV99" i="1" s="1"/>
  <c r="JO99" i="1"/>
  <c r="JP99" i="1" s="1"/>
  <c r="JQ99" i="1" s="1"/>
  <c r="JK99" i="1"/>
  <c r="JL99" i="1" s="1"/>
  <c r="JM99" i="1" s="1"/>
  <c r="JG99" i="1"/>
  <c r="JH99" i="1" s="1"/>
  <c r="JI99" i="1" s="1"/>
  <c r="JB99" i="1"/>
  <c r="JC99" i="1" s="1"/>
  <c r="JD99" i="1" s="1"/>
  <c r="IW99" i="1"/>
  <c r="IX99" i="1" s="1"/>
  <c r="IY99" i="1" s="1"/>
  <c r="IR99" i="1"/>
  <c r="IS99" i="1" s="1"/>
  <c r="IT99" i="1" s="1"/>
  <c r="IM99" i="1"/>
  <c r="IN99" i="1" s="1"/>
  <c r="IO99" i="1" s="1"/>
  <c r="IH99" i="1"/>
  <c r="II99" i="1" s="1"/>
  <c r="IJ99" i="1" s="1"/>
  <c r="IC99" i="1"/>
  <c r="ID99" i="1" s="1"/>
  <c r="IE99" i="1" s="1"/>
  <c r="HX99" i="1"/>
  <c r="HY99" i="1" s="1"/>
  <c r="HZ99" i="1" s="1"/>
  <c r="HU99" i="1"/>
  <c r="HP99" i="1"/>
  <c r="HI99" i="1"/>
  <c r="HJ99" i="1" s="1"/>
  <c r="HK99" i="1" s="1"/>
  <c r="HD99" i="1"/>
  <c r="HE99" i="1" s="1"/>
  <c r="HF99" i="1" s="1"/>
  <c r="GY99" i="1"/>
  <c r="GZ99" i="1" s="1"/>
  <c r="HA99" i="1" s="1"/>
  <c r="GT99" i="1"/>
  <c r="GU99" i="1" s="1"/>
  <c r="GV99" i="1" s="1"/>
  <c r="GO99" i="1"/>
  <c r="GP99" i="1" s="1"/>
  <c r="GQ99" i="1" s="1"/>
  <c r="GJ99" i="1"/>
  <c r="GK99" i="1" s="1"/>
  <c r="GL99" i="1" s="1"/>
  <c r="GE99" i="1"/>
  <c r="GF99" i="1" s="1"/>
  <c r="GG99" i="1" s="1"/>
  <c r="FZ99" i="1"/>
  <c r="GA99" i="1" s="1"/>
  <c r="GB99" i="1" s="1"/>
  <c r="FU99" i="1"/>
  <c r="FV99" i="1" s="1"/>
  <c r="FW99" i="1" s="1"/>
  <c r="FP99" i="1"/>
  <c r="FQ99" i="1" s="1"/>
  <c r="FR99" i="1" s="1"/>
  <c r="FK99" i="1"/>
  <c r="FL99" i="1" s="1"/>
  <c r="FM99" i="1" s="1"/>
  <c r="FF99" i="1"/>
  <c r="FG99" i="1" s="1"/>
  <c r="FH99" i="1" s="1"/>
  <c r="FA99" i="1"/>
  <c r="FB99" i="1" s="1"/>
  <c r="FC99" i="1" s="1"/>
  <c r="EV99" i="1"/>
  <c r="EW99" i="1" s="1"/>
  <c r="EX99" i="1" s="1"/>
  <c r="EQ99" i="1"/>
  <c r="ER99" i="1" s="1"/>
  <c r="ES99" i="1" s="1"/>
  <c r="EL99" i="1"/>
  <c r="EM99" i="1" s="1"/>
  <c r="EN99" i="1" s="1"/>
  <c r="EE99" i="1"/>
  <c r="EF99" i="1" s="1"/>
  <c r="EG99" i="1" s="1"/>
  <c r="DZ99" i="1"/>
  <c r="EA99" i="1" s="1"/>
  <c r="EB99" i="1" s="1"/>
  <c r="DU99" i="1"/>
  <c r="DV99" i="1" s="1"/>
  <c r="DW99" i="1" s="1"/>
  <c r="DP99" i="1"/>
  <c r="DQ99" i="1" s="1"/>
  <c r="DR99" i="1" s="1"/>
  <c r="DK99" i="1"/>
  <c r="DL99" i="1" s="1"/>
  <c r="DM99" i="1" s="1"/>
  <c r="DF99" i="1"/>
  <c r="DG99" i="1" s="1"/>
  <c r="DH99" i="1" s="1"/>
  <c r="DA99" i="1"/>
  <c r="DB99" i="1" s="1"/>
  <c r="DC99" i="1" s="1"/>
  <c r="CV99" i="1"/>
  <c r="CW99" i="1" s="1"/>
  <c r="CX99" i="1" s="1"/>
  <c r="CQ99" i="1"/>
  <c r="CR99" i="1" s="1"/>
  <c r="CS99" i="1" s="1"/>
  <c r="CL99" i="1"/>
  <c r="CM99" i="1" s="1"/>
  <c r="CN99" i="1" s="1"/>
  <c r="CG99" i="1"/>
  <c r="CH99" i="1" s="1"/>
  <c r="CI99" i="1" s="1"/>
  <c r="CA99" i="1"/>
  <c r="CB99" i="1" s="1"/>
  <c r="CC99" i="1" s="1"/>
  <c r="BV99" i="1"/>
  <c r="BW99" i="1" s="1"/>
  <c r="BX99" i="1" s="1"/>
  <c r="BQ99" i="1"/>
  <c r="BR99" i="1" s="1"/>
  <c r="BS99" i="1" s="1"/>
  <c r="BL99" i="1"/>
  <c r="BM99" i="1" s="1"/>
  <c r="BN99" i="1" s="1"/>
  <c r="BG99" i="1"/>
  <c r="BH99" i="1" s="1"/>
  <c r="BI99" i="1" s="1"/>
  <c r="BB99" i="1"/>
  <c r="BC99" i="1" s="1"/>
  <c r="BD99" i="1" s="1"/>
  <c r="AW99" i="1"/>
  <c r="AX99" i="1" s="1"/>
  <c r="AY99" i="1" s="1"/>
  <c r="AR99" i="1"/>
  <c r="AS99" i="1" s="1"/>
  <c r="AT99" i="1" s="1"/>
  <c r="AM99" i="1"/>
  <c r="AN99" i="1" s="1"/>
  <c r="AO99" i="1" s="1"/>
  <c r="AH99" i="1"/>
  <c r="AI99" i="1" s="1"/>
  <c r="AJ99" i="1" s="1"/>
  <c r="AC99" i="1"/>
  <c r="AD99" i="1" s="1"/>
  <c r="AE99" i="1" s="1"/>
  <c r="W99" i="1"/>
  <c r="X99" i="1" s="1"/>
  <c r="Y99" i="1" s="1"/>
  <c r="S99" i="1"/>
  <c r="N99" i="1"/>
  <c r="I99" i="1"/>
  <c r="NZ98" i="1"/>
  <c r="NU98" i="1"/>
  <c r="NP98" i="1"/>
  <c r="NK98" i="1"/>
  <c r="NF98" i="1"/>
  <c r="NA98" i="1"/>
  <c r="MV98" i="1"/>
  <c r="MQ98" i="1"/>
  <c r="MM98" i="1"/>
  <c r="MI98" i="1"/>
  <c r="MD98" i="1"/>
  <c r="LY98" i="1"/>
  <c r="LT98" i="1"/>
  <c r="LO98" i="1"/>
  <c r="LJ98" i="1"/>
  <c r="LC98" i="1"/>
  <c r="LD98" i="1" s="1"/>
  <c r="LE98" i="1" s="1"/>
  <c r="KZ98" i="1"/>
  <c r="KV98" i="1"/>
  <c r="KO98" i="1"/>
  <c r="KP98" i="1" s="1"/>
  <c r="KQ98" i="1" s="1"/>
  <c r="KM98" i="1"/>
  <c r="KG98" i="1"/>
  <c r="KH98" i="1" s="1"/>
  <c r="KI98" i="1" s="1"/>
  <c r="KE98" i="1"/>
  <c r="KA98" i="1"/>
  <c r="JV98" i="1"/>
  <c r="JQ98" i="1"/>
  <c r="JM98" i="1"/>
  <c r="JI98" i="1"/>
  <c r="JD98" i="1"/>
  <c r="IW98" i="1"/>
  <c r="IX98" i="1" s="1"/>
  <c r="IY98" i="1" s="1"/>
  <c r="IT98" i="1"/>
  <c r="IO98" i="1"/>
  <c r="IJ98" i="1"/>
  <c r="IE98" i="1"/>
  <c r="HZ98" i="1"/>
  <c r="HU98" i="1"/>
  <c r="HP98" i="1"/>
  <c r="HI98" i="1"/>
  <c r="HJ98" i="1" s="1"/>
  <c r="HK98" i="1" s="1"/>
  <c r="HD98" i="1"/>
  <c r="HE98" i="1" s="1"/>
  <c r="HF98" i="1" s="1"/>
  <c r="GY98" i="1"/>
  <c r="GZ98" i="1" s="1"/>
  <c r="HA98" i="1" s="1"/>
  <c r="GT98" i="1"/>
  <c r="GU98" i="1" s="1"/>
  <c r="GV98" i="1" s="1"/>
  <c r="GO98" i="1"/>
  <c r="GP98" i="1" s="1"/>
  <c r="GQ98" i="1" s="1"/>
  <c r="GJ98" i="1"/>
  <c r="GK98" i="1" s="1"/>
  <c r="GL98" i="1" s="1"/>
  <c r="GE98" i="1"/>
  <c r="GF98" i="1" s="1"/>
  <c r="GG98" i="1" s="1"/>
  <c r="FZ98" i="1"/>
  <c r="GA98" i="1" s="1"/>
  <c r="GB98" i="1" s="1"/>
  <c r="FU98" i="1"/>
  <c r="FV98" i="1" s="1"/>
  <c r="FW98" i="1" s="1"/>
  <c r="FP98" i="1"/>
  <c r="FQ98" i="1" s="1"/>
  <c r="FR98" i="1" s="1"/>
  <c r="FK98" i="1"/>
  <c r="FL98" i="1" s="1"/>
  <c r="FM98" i="1" s="1"/>
  <c r="FF98" i="1"/>
  <c r="FG98" i="1" s="1"/>
  <c r="FH98" i="1" s="1"/>
  <c r="FA98" i="1"/>
  <c r="FB98" i="1" s="1"/>
  <c r="FC98" i="1" s="1"/>
  <c r="EV98" i="1"/>
  <c r="EW98" i="1" s="1"/>
  <c r="EX98" i="1" s="1"/>
  <c r="EQ98" i="1"/>
  <c r="ER98" i="1" s="1"/>
  <c r="ES98" i="1" s="1"/>
  <c r="EL98" i="1"/>
  <c r="EM98" i="1" s="1"/>
  <c r="EN98" i="1" s="1"/>
  <c r="EE98" i="1"/>
  <c r="EF98" i="1" s="1"/>
  <c r="EG98" i="1" s="1"/>
  <c r="DZ98" i="1"/>
  <c r="EA98" i="1" s="1"/>
  <c r="EB98" i="1" s="1"/>
  <c r="DU98" i="1"/>
  <c r="DV98" i="1" s="1"/>
  <c r="DW98" i="1" s="1"/>
  <c r="DP98" i="1"/>
  <c r="DQ98" i="1" s="1"/>
  <c r="DR98" i="1" s="1"/>
  <c r="DK98" i="1"/>
  <c r="DL98" i="1" s="1"/>
  <c r="DM98" i="1" s="1"/>
  <c r="DF98" i="1"/>
  <c r="DG98" i="1" s="1"/>
  <c r="DH98" i="1" s="1"/>
  <c r="DA98" i="1"/>
  <c r="DB98" i="1" s="1"/>
  <c r="DC98" i="1" s="1"/>
  <c r="CV98" i="1"/>
  <c r="CW98" i="1" s="1"/>
  <c r="CX98" i="1" s="1"/>
  <c r="CQ98" i="1"/>
  <c r="CR98" i="1" s="1"/>
  <c r="CS98" i="1" s="1"/>
  <c r="CL98" i="1"/>
  <c r="CM98" i="1" s="1"/>
  <c r="CN98" i="1" s="1"/>
  <c r="CG98" i="1"/>
  <c r="CH98" i="1" s="1"/>
  <c r="CI98" i="1" s="1"/>
  <c r="CA98" i="1"/>
  <c r="CB98" i="1" s="1"/>
  <c r="CC98" i="1" s="1"/>
  <c r="BV98" i="1"/>
  <c r="BW98" i="1" s="1"/>
  <c r="BX98" i="1" s="1"/>
  <c r="BQ98" i="1"/>
  <c r="BR98" i="1" s="1"/>
  <c r="BS98" i="1" s="1"/>
  <c r="BL98" i="1"/>
  <c r="BM98" i="1" s="1"/>
  <c r="BN98" i="1" s="1"/>
  <c r="BG98" i="1"/>
  <c r="BH98" i="1" s="1"/>
  <c r="BI98" i="1" s="1"/>
  <c r="BB98" i="1"/>
  <c r="BC98" i="1" s="1"/>
  <c r="BD98" i="1" s="1"/>
  <c r="AW98" i="1"/>
  <c r="AX98" i="1" s="1"/>
  <c r="AY98" i="1" s="1"/>
  <c r="AR98" i="1"/>
  <c r="AS98" i="1" s="1"/>
  <c r="AT98" i="1" s="1"/>
  <c r="AM98" i="1"/>
  <c r="AN98" i="1" s="1"/>
  <c r="AO98" i="1" s="1"/>
  <c r="AH98" i="1"/>
  <c r="AI98" i="1" s="1"/>
  <c r="AJ98" i="1" s="1"/>
  <c r="AC98" i="1"/>
  <c r="AD98" i="1" s="1"/>
  <c r="AE98" i="1" s="1"/>
  <c r="W98" i="1"/>
  <c r="X98" i="1" s="1"/>
  <c r="Y98" i="1" s="1"/>
  <c r="S98" i="1"/>
  <c r="N98" i="1"/>
  <c r="I98" i="1"/>
  <c r="NZ97" i="1"/>
  <c r="NU97" i="1"/>
  <c r="NP97" i="1"/>
  <c r="NK97" i="1"/>
  <c r="NF97" i="1"/>
  <c r="NA97" i="1"/>
  <c r="MV97" i="1"/>
  <c r="MQ97" i="1"/>
  <c r="MM97" i="1"/>
  <c r="MI97" i="1"/>
  <c r="MD97" i="1"/>
  <c r="LY97" i="1"/>
  <c r="LT97" i="1"/>
  <c r="LO97" i="1"/>
  <c r="LJ97" i="1"/>
  <c r="LE97" i="1"/>
  <c r="KZ97" i="1"/>
  <c r="KV97" i="1"/>
  <c r="KQ97" i="1"/>
  <c r="KM97" i="1"/>
  <c r="KI97" i="1"/>
  <c r="KE97" i="1"/>
  <c r="KA97" i="1"/>
  <c r="JV97" i="1"/>
  <c r="JQ97" i="1"/>
  <c r="JM97" i="1"/>
  <c r="JI97" i="1"/>
  <c r="JD97" i="1"/>
  <c r="IY97" i="1"/>
  <c r="IT97" i="1"/>
  <c r="IO97" i="1"/>
  <c r="IJ97" i="1"/>
  <c r="IE97" i="1"/>
  <c r="HZ97" i="1"/>
  <c r="HU97" i="1"/>
  <c r="HP97" i="1"/>
  <c r="HK97" i="1"/>
  <c r="HD97" i="1"/>
  <c r="HE97" i="1" s="1"/>
  <c r="HF97" i="1" s="1"/>
  <c r="GY97" i="1"/>
  <c r="GZ97" i="1" s="1"/>
  <c r="HA97" i="1" s="1"/>
  <c r="GT97" i="1"/>
  <c r="GU97" i="1" s="1"/>
  <c r="GV97" i="1" s="1"/>
  <c r="GO97" i="1"/>
  <c r="GP97" i="1" s="1"/>
  <c r="GQ97" i="1" s="1"/>
  <c r="GJ97" i="1"/>
  <c r="GK97" i="1" s="1"/>
  <c r="GL97" i="1" s="1"/>
  <c r="GE97" i="1"/>
  <c r="GF97" i="1" s="1"/>
  <c r="GG97" i="1" s="1"/>
  <c r="FZ97" i="1"/>
  <c r="GA97" i="1" s="1"/>
  <c r="GB97" i="1" s="1"/>
  <c r="FU97" i="1"/>
  <c r="FV97" i="1" s="1"/>
  <c r="FW97" i="1" s="1"/>
  <c r="FP97" i="1"/>
  <c r="FQ97" i="1" s="1"/>
  <c r="FR97" i="1" s="1"/>
  <c r="FK97" i="1"/>
  <c r="FL97" i="1" s="1"/>
  <c r="FM97" i="1" s="1"/>
  <c r="FF97" i="1"/>
  <c r="FG97" i="1" s="1"/>
  <c r="FH97" i="1" s="1"/>
  <c r="FA97" i="1"/>
  <c r="FB97" i="1" s="1"/>
  <c r="FC97" i="1" s="1"/>
  <c r="EV97" i="1"/>
  <c r="EW97" i="1" s="1"/>
  <c r="EX97" i="1" s="1"/>
  <c r="EQ97" i="1"/>
  <c r="ER97" i="1" s="1"/>
  <c r="ES97" i="1" s="1"/>
  <c r="EL97" i="1"/>
  <c r="EM97" i="1" s="1"/>
  <c r="EN97" i="1" s="1"/>
  <c r="EE97" i="1"/>
  <c r="EF97" i="1" s="1"/>
  <c r="EG97" i="1" s="1"/>
  <c r="DZ97" i="1"/>
  <c r="EA97" i="1" s="1"/>
  <c r="EB97" i="1" s="1"/>
  <c r="DU97" i="1"/>
  <c r="DV97" i="1" s="1"/>
  <c r="DW97" i="1" s="1"/>
  <c r="DP97" i="1"/>
  <c r="DQ97" i="1" s="1"/>
  <c r="DR97" i="1" s="1"/>
  <c r="DK97" i="1"/>
  <c r="DL97" i="1" s="1"/>
  <c r="DM97" i="1" s="1"/>
  <c r="DF97" i="1"/>
  <c r="DG97" i="1" s="1"/>
  <c r="DH97" i="1" s="1"/>
  <c r="DA97" i="1"/>
  <c r="DB97" i="1" s="1"/>
  <c r="DC97" i="1" s="1"/>
  <c r="CV97" i="1"/>
  <c r="CW97" i="1" s="1"/>
  <c r="CX97" i="1" s="1"/>
  <c r="CQ97" i="1"/>
  <c r="CR97" i="1" s="1"/>
  <c r="CS97" i="1" s="1"/>
  <c r="CL97" i="1"/>
  <c r="CM97" i="1" s="1"/>
  <c r="CN97" i="1" s="1"/>
  <c r="CG97" i="1"/>
  <c r="CH97" i="1" s="1"/>
  <c r="CI97" i="1" s="1"/>
  <c r="CA97" i="1"/>
  <c r="CB97" i="1" s="1"/>
  <c r="CC97" i="1" s="1"/>
  <c r="BV97" i="1"/>
  <c r="BW97" i="1" s="1"/>
  <c r="BX97" i="1" s="1"/>
  <c r="BQ97" i="1"/>
  <c r="BR97" i="1" s="1"/>
  <c r="BS97" i="1" s="1"/>
  <c r="BL97" i="1"/>
  <c r="BM97" i="1" s="1"/>
  <c r="BN97" i="1" s="1"/>
  <c r="BG97" i="1"/>
  <c r="BH97" i="1" s="1"/>
  <c r="BI97" i="1" s="1"/>
  <c r="BB97" i="1"/>
  <c r="BC97" i="1" s="1"/>
  <c r="BD97" i="1" s="1"/>
  <c r="AW97" i="1"/>
  <c r="AX97" i="1" s="1"/>
  <c r="AY97" i="1" s="1"/>
  <c r="AR97" i="1"/>
  <c r="AS97" i="1" s="1"/>
  <c r="AT97" i="1" s="1"/>
  <c r="AM97" i="1"/>
  <c r="AN97" i="1" s="1"/>
  <c r="AO97" i="1" s="1"/>
  <c r="AH97" i="1"/>
  <c r="AI97" i="1" s="1"/>
  <c r="AJ97" i="1" s="1"/>
  <c r="AE97" i="1"/>
  <c r="W97" i="1"/>
  <c r="X97" i="1" s="1"/>
  <c r="Y97" i="1" s="1"/>
  <c r="S97" i="1"/>
  <c r="N97" i="1"/>
  <c r="G97" i="1"/>
  <c r="H97" i="1" s="1"/>
  <c r="I97" i="1" s="1"/>
  <c r="NZ96" i="1"/>
  <c r="NU96" i="1"/>
  <c r="NP96" i="1"/>
  <c r="NK96" i="1"/>
  <c r="NF96" i="1"/>
  <c r="NA96" i="1"/>
  <c r="MV96" i="1"/>
  <c r="MQ96" i="1"/>
  <c r="MM96" i="1"/>
  <c r="MI96" i="1"/>
  <c r="MD96" i="1"/>
  <c r="LY96" i="1"/>
  <c r="LT96" i="1"/>
  <c r="LO96" i="1"/>
  <c r="LJ96" i="1"/>
  <c r="LC96" i="1"/>
  <c r="LD96" i="1" s="1"/>
  <c r="LE96" i="1" s="1"/>
  <c r="KZ96" i="1"/>
  <c r="KV96" i="1"/>
  <c r="KO96" i="1"/>
  <c r="KP96" i="1" s="1"/>
  <c r="KQ96" i="1" s="1"/>
  <c r="KM96" i="1"/>
  <c r="KG96" i="1"/>
  <c r="KH96" i="1" s="1"/>
  <c r="KI96" i="1" s="1"/>
  <c r="KE96" i="1"/>
  <c r="KA96" i="1"/>
  <c r="JV96" i="1"/>
  <c r="JQ96" i="1"/>
  <c r="JM96" i="1"/>
  <c r="JI96" i="1"/>
  <c r="JD96" i="1"/>
  <c r="IW96" i="1"/>
  <c r="IX96" i="1" s="1"/>
  <c r="IY96" i="1" s="1"/>
  <c r="IT96" i="1"/>
  <c r="IO96" i="1"/>
  <c r="IJ96" i="1"/>
  <c r="IE96" i="1"/>
  <c r="HX96" i="1"/>
  <c r="HY96" i="1" s="1"/>
  <c r="HZ96" i="1" s="1"/>
  <c r="HU96" i="1"/>
  <c r="HP96" i="1"/>
  <c r="HI96" i="1"/>
  <c r="HJ96" i="1" s="1"/>
  <c r="HK96" i="1" s="1"/>
  <c r="HD96" i="1"/>
  <c r="HE96" i="1" s="1"/>
  <c r="HF96" i="1" s="1"/>
  <c r="GY96" i="1"/>
  <c r="GZ96" i="1" s="1"/>
  <c r="HA96" i="1" s="1"/>
  <c r="GT96" i="1"/>
  <c r="GU96" i="1" s="1"/>
  <c r="GV96" i="1" s="1"/>
  <c r="GO96" i="1"/>
  <c r="GP96" i="1" s="1"/>
  <c r="GQ96" i="1" s="1"/>
  <c r="GJ96" i="1"/>
  <c r="GK96" i="1" s="1"/>
  <c r="GL96" i="1" s="1"/>
  <c r="GE96" i="1"/>
  <c r="GF96" i="1" s="1"/>
  <c r="GG96" i="1" s="1"/>
  <c r="FZ96" i="1"/>
  <c r="GA96" i="1" s="1"/>
  <c r="GB96" i="1" s="1"/>
  <c r="FU96" i="1"/>
  <c r="FV96" i="1" s="1"/>
  <c r="FW96" i="1" s="1"/>
  <c r="FP96" i="1"/>
  <c r="FQ96" i="1" s="1"/>
  <c r="FR96" i="1" s="1"/>
  <c r="FK96" i="1"/>
  <c r="FL96" i="1" s="1"/>
  <c r="FM96" i="1" s="1"/>
  <c r="FF96" i="1"/>
  <c r="FG96" i="1" s="1"/>
  <c r="FH96" i="1" s="1"/>
  <c r="FA96" i="1"/>
  <c r="FB96" i="1" s="1"/>
  <c r="FC96" i="1" s="1"/>
  <c r="EV96" i="1"/>
  <c r="EW96" i="1" s="1"/>
  <c r="EX96" i="1" s="1"/>
  <c r="EQ96" i="1"/>
  <c r="ER96" i="1" s="1"/>
  <c r="ES96" i="1" s="1"/>
  <c r="EL96" i="1"/>
  <c r="EM96" i="1" s="1"/>
  <c r="EN96" i="1" s="1"/>
  <c r="EE96" i="1"/>
  <c r="EF96" i="1" s="1"/>
  <c r="EG96" i="1" s="1"/>
  <c r="DZ96" i="1"/>
  <c r="EA96" i="1" s="1"/>
  <c r="EB96" i="1" s="1"/>
  <c r="DU96" i="1"/>
  <c r="DV96" i="1" s="1"/>
  <c r="DW96" i="1" s="1"/>
  <c r="DP96" i="1"/>
  <c r="DQ96" i="1" s="1"/>
  <c r="DR96" i="1" s="1"/>
  <c r="DK96" i="1"/>
  <c r="DL96" i="1" s="1"/>
  <c r="DM96" i="1" s="1"/>
  <c r="DF96" i="1"/>
  <c r="DG96" i="1" s="1"/>
  <c r="DH96" i="1" s="1"/>
  <c r="DA96" i="1"/>
  <c r="DB96" i="1" s="1"/>
  <c r="DC96" i="1" s="1"/>
  <c r="CV96" i="1"/>
  <c r="CW96" i="1" s="1"/>
  <c r="CX96" i="1" s="1"/>
  <c r="CQ96" i="1"/>
  <c r="CR96" i="1" s="1"/>
  <c r="CS96" i="1" s="1"/>
  <c r="CL96" i="1"/>
  <c r="CM96" i="1" s="1"/>
  <c r="CN96" i="1" s="1"/>
  <c r="CG96" i="1"/>
  <c r="CH96" i="1" s="1"/>
  <c r="CI96" i="1" s="1"/>
  <c r="CA96" i="1"/>
  <c r="CB96" i="1" s="1"/>
  <c r="CC96" i="1" s="1"/>
  <c r="BV96" i="1"/>
  <c r="BW96" i="1" s="1"/>
  <c r="BX96" i="1" s="1"/>
  <c r="BQ96" i="1"/>
  <c r="BR96" i="1" s="1"/>
  <c r="BS96" i="1" s="1"/>
  <c r="BL96" i="1"/>
  <c r="BM96" i="1" s="1"/>
  <c r="BN96" i="1" s="1"/>
  <c r="BG96" i="1"/>
  <c r="BH96" i="1" s="1"/>
  <c r="BI96" i="1" s="1"/>
  <c r="BB96" i="1"/>
  <c r="BC96" i="1" s="1"/>
  <c r="BD96" i="1" s="1"/>
  <c r="AW96" i="1"/>
  <c r="AX96" i="1" s="1"/>
  <c r="AY96" i="1" s="1"/>
  <c r="AR96" i="1"/>
  <c r="AS96" i="1" s="1"/>
  <c r="AT96" i="1" s="1"/>
  <c r="AM96" i="1"/>
  <c r="AN96" i="1" s="1"/>
  <c r="AO96" i="1" s="1"/>
  <c r="AH96" i="1"/>
  <c r="AI96" i="1" s="1"/>
  <c r="AJ96" i="1" s="1"/>
  <c r="AC96" i="1"/>
  <c r="AD96" i="1" s="1"/>
  <c r="AE96" i="1" s="1"/>
  <c r="W96" i="1"/>
  <c r="X96" i="1" s="1"/>
  <c r="Y96" i="1" s="1"/>
  <c r="S96" i="1"/>
  <c r="N96" i="1"/>
  <c r="I96" i="1"/>
  <c r="NZ95" i="1"/>
  <c r="NU95" i="1"/>
  <c r="NP95" i="1"/>
  <c r="NK95" i="1"/>
  <c r="NF95" i="1"/>
  <c r="NA95" i="1"/>
  <c r="MV95" i="1"/>
  <c r="MQ95" i="1"/>
  <c r="MM95" i="1"/>
  <c r="MI95" i="1"/>
  <c r="MD95" i="1"/>
  <c r="LY95" i="1"/>
  <c r="LT95" i="1"/>
  <c r="LO95" i="1"/>
  <c r="LJ95" i="1"/>
  <c r="LE95" i="1"/>
  <c r="KX95" i="1"/>
  <c r="KY95" i="1" s="1"/>
  <c r="KZ95" i="1" s="1"/>
  <c r="KV95" i="1"/>
  <c r="KQ95" i="1"/>
  <c r="KM95" i="1"/>
  <c r="KI95" i="1"/>
  <c r="KE95" i="1"/>
  <c r="KA95" i="1"/>
  <c r="JV95" i="1"/>
  <c r="JQ95" i="1"/>
  <c r="JM95" i="1"/>
  <c r="JI95" i="1"/>
  <c r="JB95" i="1"/>
  <c r="JC95" i="1" s="1"/>
  <c r="JD95" i="1" s="1"/>
  <c r="IW95" i="1"/>
  <c r="IX95" i="1" s="1"/>
  <c r="IY95" i="1" s="1"/>
  <c r="IR95" i="1"/>
  <c r="IS95" i="1" s="1"/>
  <c r="IT95" i="1" s="1"/>
  <c r="IM95" i="1"/>
  <c r="IN95" i="1" s="1"/>
  <c r="IO95" i="1" s="1"/>
  <c r="IH95" i="1"/>
  <c r="II95" i="1" s="1"/>
  <c r="IJ95" i="1" s="1"/>
  <c r="IC95" i="1"/>
  <c r="ID95" i="1" s="1"/>
  <c r="IE95" i="1" s="1"/>
  <c r="HX95" i="1"/>
  <c r="HY95" i="1" s="1"/>
  <c r="HZ95" i="1" s="1"/>
  <c r="HU95" i="1"/>
  <c r="HP95" i="1"/>
  <c r="HI95" i="1"/>
  <c r="HJ95" i="1" s="1"/>
  <c r="HK95" i="1" s="1"/>
  <c r="HD95" i="1"/>
  <c r="HE95" i="1" s="1"/>
  <c r="HF95" i="1" s="1"/>
  <c r="GY95" i="1"/>
  <c r="GZ95" i="1" s="1"/>
  <c r="HA95" i="1" s="1"/>
  <c r="GT95" i="1"/>
  <c r="GU95" i="1" s="1"/>
  <c r="GV95" i="1" s="1"/>
  <c r="GO95" i="1"/>
  <c r="GP95" i="1" s="1"/>
  <c r="GQ95" i="1" s="1"/>
  <c r="GJ95" i="1"/>
  <c r="GK95" i="1" s="1"/>
  <c r="GL95" i="1" s="1"/>
  <c r="GE95" i="1"/>
  <c r="GF95" i="1" s="1"/>
  <c r="GG95" i="1" s="1"/>
  <c r="FZ95" i="1"/>
  <c r="GA95" i="1" s="1"/>
  <c r="GB95" i="1" s="1"/>
  <c r="FU95" i="1"/>
  <c r="FV95" i="1" s="1"/>
  <c r="FW95" i="1" s="1"/>
  <c r="FP95" i="1"/>
  <c r="FQ95" i="1" s="1"/>
  <c r="FR95" i="1" s="1"/>
  <c r="FK95" i="1"/>
  <c r="FL95" i="1" s="1"/>
  <c r="FM95" i="1" s="1"/>
  <c r="FF95" i="1"/>
  <c r="FG95" i="1" s="1"/>
  <c r="FH95" i="1" s="1"/>
  <c r="FA95" i="1"/>
  <c r="FB95" i="1" s="1"/>
  <c r="FC95" i="1" s="1"/>
  <c r="EV95" i="1"/>
  <c r="EW95" i="1" s="1"/>
  <c r="EX95" i="1" s="1"/>
  <c r="EQ95" i="1"/>
  <c r="ER95" i="1" s="1"/>
  <c r="ES95" i="1" s="1"/>
  <c r="EL95" i="1"/>
  <c r="EM95" i="1" s="1"/>
  <c r="EN95" i="1" s="1"/>
  <c r="EE95" i="1"/>
  <c r="EF95" i="1" s="1"/>
  <c r="EG95" i="1" s="1"/>
  <c r="DZ95" i="1"/>
  <c r="EA95" i="1" s="1"/>
  <c r="EB95" i="1" s="1"/>
  <c r="DU95" i="1"/>
  <c r="DV95" i="1" s="1"/>
  <c r="DW95" i="1" s="1"/>
  <c r="DP95" i="1"/>
  <c r="DQ95" i="1" s="1"/>
  <c r="DR95" i="1" s="1"/>
  <c r="DK95" i="1"/>
  <c r="DL95" i="1" s="1"/>
  <c r="DM95" i="1" s="1"/>
  <c r="DF95" i="1"/>
  <c r="DG95" i="1" s="1"/>
  <c r="DH95" i="1" s="1"/>
  <c r="DA95" i="1"/>
  <c r="DB95" i="1" s="1"/>
  <c r="DC95" i="1" s="1"/>
  <c r="CV95" i="1"/>
  <c r="CW95" i="1" s="1"/>
  <c r="CX95" i="1" s="1"/>
  <c r="CQ95" i="1"/>
  <c r="CR95" i="1" s="1"/>
  <c r="CS95" i="1" s="1"/>
  <c r="CL95" i="1"/>
  <c r="CM95" i="1" s="1"/>
  <c r="CN95" i="1" s="1"/>
  <c r="CG95" i="1"/>
  <c r="CH95" i="1" s="1"/>
  <c r="CI95" i="1" s="1"/>
  <c r="CA95" i="1"/>
  <c r="CB95" i="1" s="1"/>
  <c r="CC95" i="1" s="1"/>
  <c r="BV95" i="1"/>
  <c r="BW95" i="1" s="1"/>
  <c r="BX95" i="1" s="1"/>
  <c r="BQ95" i="1"/>
  <c r="BR95" i="1" s="1"/>
  <c r="BS95" i="1" s="1"/>
  <c r="BL95" i="1"/>
  <c r="BM95" i="1" s="1"/>
  <c r="BN95" i="1" s="1"/>
  <c r="BG95" i="1"/>
  <c r="BH95" i="1" s="1"/>
  <c r="BI95" i="1" s="1"/>
  <c r="BB95" i="1"/>
  <c r="BC95" i="1" s="1"/>
  <c r="BD95" i="1" s="1"/>
  <c r="AW95" i="1"/>
  <c r="AX95" i="1" s="1"/>
  <c r="AY95" i="1" s="1"/>
  <c r="AR95" i="1"/>
  <c r="AS95" i="1" s="1"/>
  <c r="AT95" i="1" s="1"/>
  <c r="AM95" i="1"/>
  <c r="AN95" i="1" s="1"/>
  <c r="AO95" i="1" s="1"/>
  <c r="AH95" i="1"/>
  <c r="AI95" i="1" s="1"/>
  <c r="AJ95" i="1" s="1"/>
  <c r="AC95" i="1"/>
  <c r="AD95" i="1" s="1"/>
  <c r="AE95" i="1" s="1"/>
  <c r="W95" i="1"/>
  <c r="X95" i="1" s="1"/>
  <c r="Y95" i="1" s="1"/>
  <c r="S95" i="1"/>
  <c r="N95" i="1"/>
  <c r="I95" i="1"/>
  <c r="NZ94" i="1"/>
  <c r="NU94" i="1"/>
  <c r="NP94" i="1"/>
  <c r="NK94" i="1"/>
  <c r="NF94" i="1"/>
  <c r="NA94" i="1"/>
  <c r="MV94" i="1"/>
  <c r="MQ94" i="1"/>
  <c r="MM94" i="1"/>
  <c r="MI94" i="1"/>
  <c r="MD94" i="1"/>
  <c r="LY94" i="1"/>
  <c r="LT94" i="1"/>
  <c r="LO94" i="1"/>
  <c r="LJ94" i="1"/>
  <c r="LE94" i="1"/>
  <c r="KZ94" i="1"/>
  <c r="KV94" i="1"/>
  <c r="KQ94" i="1"/>
  <c r="KM94" i="1"/>
  <c r="KI94" i="1"/>
  <c r="KE94" i="1"/>
  <c r="KA94" i="1"/>
  <c r="JV94" i="1"/>
  <c r="JQ94" i="1"/>
  <c r="JM94" i="1"/>
  <c r="JI94" i="1"/>
  <c r="JD94" i="1"/>
  <c r="IW94" i="1"/>
  <c r="IX94" i="1" s="1"/>
  <c r="IY94" i="1" s="1"/>
  <c r="IR94" i="1"/>
  <c r="IS94" i="1" s="1"/>
  <c r="IT94" i="1" s="1"/>
  <c r="IO94" i="1"/>
  <c r="IH94" i="1"/>
  <c r="II94" i="1" s="1"/>
  <c r="IJ94" i="1" s="1"/>
  <c r="IC94" i="1"/>
  <c r="ID94" i="1" s="1"/>
  <c r="IE94" i="1" s="1"/>
  <c r="HZ94" i="1"/>
  <c r="HU94" i="1"/>
  <c r="HP94" i="1"/>
  <c r="HI94" i="1"/>
  <c r="HJ94" i="1" s="1"/>
  <c r="HK94" i="1" s="1"/>
  <c r="HD94" i="1"/>
  <c r="HE94" i="1" s="1"/>
  <c r="HF94" i="1" s="1"/>
  <c r="GY94" i="1"/>
  <c r="GZ94" i="1" s="1"/>
  <c r="HA94" i="1" s="1"/>
  <c r="GT94" i="1"/>
  <c r="GU94" i="1" s="1"/>
  <c r="GV94" i="1" s="1"/>
  <c r="GO94" i="1"/>
  <c r="GP94" i="1" s="1"/>
  <c r="GQ94" i="1" s="1"/>
  <c r="GJ94" i="1"/>
  <c r="GK94" i="1" s="1"/>
  <c r="GL94" i="1" s="1"/>
  <c r="GE94" i="1"/>
  <c r="GF94" i="1" s="1"/>
  <c r="GG94" i="1" s="1"/>
  <c r="FZ94" i="1"/>
  <c r="GA94" i="1" s="1"/>
  <c r="GB94" i="1" s="1"/>
  <c r="FU94" i="1"/>
  <c r="FV94" i="1" s="1"/>
  <c r="FW94" i="1" s="1"/>
  <c r="FP94" i="1"/>
  <c r="FQ94" i="1" s="1"/>
  <c r="FR94" i="1" s="1"/>
  <c r="FK94" i="1"/>
  <c r="FL94" i="1" s="1"/>
  <c r="FM94" i="1" s="1"/>
  <c r="FF94" i="1"/>
  <c r="FG94" i="1" s="1"/>
  <c r="FH94" i="1" s="1"/>
  <c r="FA94" i="1"/>
  <c r="FB94" i="1" s="1"/>
  <c r="FC94" i="1" s="1"/>
  <c r="EV94" i="1"/>
  <c r="EW94" i="1" s="1"/>
  <c r="EX94" i="1" s="1"/>
  <c r="EQ94" i="1"/>
  <c r="ER94" i="1" s="1"/>
  <c r="ES94" i="1" s="1"/>
  <c r="EL94" i="1"/>
  <c r="EM94" i="1" s="1"/>
  <c r="EN94" i="1" s="1"/>
  <c r="EE94" i="1"/>
  <c r="EF94" i="1" s="1"/>
  <c r="EG94" i="1" s="1"/>
  <c r="DZ94" i="1"/>
  <c r="EA94" i="1" s="1"/>
  <c r="EB94" i="1" s="1"/>
  <c r="DU94" i="1"/>
  <c r="DV94" i="1" s="1"/>
  <c r="DW94" i="1" s="1"/>
  <c r="DP94" i="1"/>
  <c r="DQ94" i="1" s="1"/>
  <c r="DR94" i="1" s="1"/>
  <c r="DK94" i="1"/>
  <c r="DL94" i="1" s="1"/>
  <c r="DM94" i="1" s="1"/>
  <c r="DF94" i="1"/>
  <c r="DG94" i="1" s="1"/>
  <c r="DH94" i="1" s="1"/>
  <c r="DA94" i="1"/>
  <c r="DB94" i="1" s="1"/>
  <c r="DC94" i="1" s="1"/>
  <c r="CV94" i="1"/>
  <c r="CW94" i="1" s="1"/>
  <c r="CX94" i="1" s="1"/>
  <c r="CQ94" i="1"/>
  <c r="CR94" i="1" s="1"/>
  <c r="CS94" i="1" s="1"/>
  <c r="CL94" i="1"/>
  <c r="CM94" i="1" s="1"/>
  <c r="CN94" i="1" s="1"/>
  <c r="CG94" i="1"/>
  <c r="CH94" i="1" s="1"/>
  <c r="CI94" i="1" s="1"/>
  <c r="CA94" i="1"/>
  <c r="CB94" i="1" s="1"/>
  <c r="CC94" i="1" s="1"/>
  <c r="BV94" i="1"/>
  <c r="BW94" i="1" s="1"/>
  <c r="BX94" i="1" s="1"/>
  <c r="BQ94" i="1"/>
  <c r="BR94" i="1" s="1"/>
  <c r="BS94" i="1" s="1"/>
  <c r="BL94" i="1"/>
  <c r="BM94" i="1" s="1"/>
  <c r="BN94" i="1" s="1"/>
  <c r="BG94" i="1"/>
  <c r="BH94" i="1" s="1"/>
  <c r="BI94" i="1" s="1"/>
  <c r="BB94" i="1"/>
  <c r="BC94" i="1" s="1"/>
  <c r="BD94" i="1" s="1"/>
  <c r="AW94" i="1"/>
  <c r="AX94" i="1" s="1"/>
  <c r="AY94" i="1" s="1"/>
  <c r="AR94" i="1"/>
  <c r="AS94" i="1" s="1"/>
  <c r="AT94" i="1" s="1"/>
  <c r="AM94" i="1"/>
  <c r="AN94" i="1" s="1"/>
  <c r="AO94" i="1" s="1"/>
  <c r="AH94" i="1"/>
  <c r="AI94" i="1" s="1"/>
  <c r="AJ94" i="1" s="1"/>
  <c r="AC94" i="1"/>
  <c r="AD94" i="1" s="1"/>
  <c r="AE94" i="1" s="1"/>
  <c r="W94" i="1"/>
  <c r="X94" i="1" s="1"/>
  <c r="Y94" i="1" s="1"/>
  <c r="S94" i="1"/>
  <c r="N94" i="1"/>
  <c r="I94" i="1"/>
  <c r="NZ93" i="1"/>
  <c r="NU93" i="1"/>
  <c r="NP93" i="1"/>
  <c r="NK93" i="1"/>
  <c r="NF93" i="1"/>
  <c r="NA93" i="1"/>
  <c r="MV93" i="1"/>
  <c r="MQ93" i="1"/>
  <c r="MM93" i="1"/>
  <c r="MI93" i="1"/>
  <c r="MD93" i="1"/>
  <c r="LY93" i="1"/>
  <c r="LT93" i="1"/>
  <c r="LO93" i="1"/>
  <c r="LJ93" i="1"/>
  <c r="LE93" i="1"/>
  <c r="KZ93" i="1"/>
  <c r="KV93" i="1"/>
  <c r="KO93" i="1"/>
  <c r="KP93" i="1" s="1"/>
  <c r="KQ93" i="1" s="1"/>
  <c r="KM93" i="1"/>
  <c r="KI93" i="1"/>
  <c r="KE93" i="1"/>
  <c r="KA93" i="1"/>
  <c r="JV93" i="1"/>
  <c r="JQ93" i="1"/>
  <c r="JM93" i="1"/>
  <c r="JI93" i="1"/>
  <c r="JD93" i="1"/>
  <c r="IY93" i="1"/>
  <c r="IT93" i="1"/>
  <c r="IO93" i="1"/>
  <c r="IJ93" i="1"/>
  <c r="IE93" i="1"/>
  <c r="HZ93" i="1"/>
  <c r="HU93" i="1"/>
  <c r="HP93" i="1"/>
  <c r="HI93" i="1"/>
  <c r="HJ93" i="1" s="1"/>
  <c r="HK93" i="1" s="1"/>
  <c r="HD93" i="1"/>
  <c r="HE93" i="1" s="1"/>
  <c r="HF93" i="1" s="1"/>
  <c r="GY93" i="1"/>
  <c r="GZ93" i="1" s="1"/>
  <c r="HA93" i="1" s="1"/>
  <c r="GT93" i="1"/>
  <c r="GU93" i="1" s="1"/>
  <c r="GV93" i="1" s="1"/>
  <c r="GO93" i="1"/>
  <c r="GP93" i="1" s="1"/>
  <c r="GQ93" i="1" s="1"/>
  <c r="GJ93" i="1"/>
  <c r="GK93" i="1" s="1"/>
  <c r="GL93" i="1" s="1"/>
  <c r="GE93" i="1"/>
  <c r="GF93" i="1" s="1"/>
  <c r="GG93" i="1" s="1"/>
  <c r="FZ93" i="1"/>
  <c r="GA93" i="1" s="1"/>
  <c r="GB93" i="1" s="1"/>
  <c r="FU93" i="1"/>
  <c r="FV93" i="1" s="1"/>
  <c r="FW93" i="1" s="1"/>
  <c r="FP93" i="1"/>
  <c r="FQ93" i="1" s="1"/>
  <c r="FR93" i="1" s="1"/>
  <c r="FK93" i="1"/>
  <c r="FL93" i="1" s="1"/>
  <c r="FM93" i="1" s="1"/>
  <c r="FF93" i="1"/>
  <c r="FG93" i="1" s="1"/>
  <c r="FH93" i="1" s="1"/>
  <c r="FA93" i="1"/>
  <c r="FB93" i="1" s="1"/>
  <c r="FC93" i="1" s="1"/>
  <c r="EV93" i="1"/>
  <c r="EW93" i="1" s="1"/>
  <c r="EX93" i="1" s="1"/>
  <c r="EQ93" i="1"/>
  <c r="ER93" i="1" s="1"/>
  <c r="ES93" i="1" s="1"/>
  <c r="EL93" i="1"/>
  <c r="EM93" i="1" s="1"/>
  <c r="EN93" i="1" s="1"/>
  <c r="EE93" i="1"/>
  <c r="EF93" i="1" s="1"/>
  <c r="EG93" i="1" s="1"/>
  <c r="DZ93" i="1"/>
  <c r="EA93" i="1" s="1"/>
  <c r="EB93" i="1" s="1"/>
  <c r="DU93" i="1"/>
  <c r="DV93" i="1" s="1"/>
  <c r="DW93" i="1" s="1"/>
  <c r="DP93" i="1"/>
  <c r="DQ93" i="1" s="1"/>
  <c r="DR93" i="1" s="1"/>
  <c r="DK93" i="1"/>
  <c r="DL93" i="1" s="1"/>
  <c r="DM93" i="1" s="1"/>
  <c r="DF93" i="1"/>
  <c r="DG93" i="1" s="1"/>
  <c r="DH93" i="1" s="1"/>
  <c r="DA93" i="1"/>
  <c r="DB93" i="1" s="1"/>
  <c r="DC93" i="1" s="1"/>
  <c r="CV93" i="1"/>
  <c r="CW93" i="1" s="1"/>
  <c r="CX93" i="1" s="1"/>
  <c r="CQ93" i="1"/>
  <c r="CR93" i="1" s="1"/>
  <c r="CS93" i="1" s="1"/>
  <c r="CL93" i="1"/>
  <c r="CM93" i="1" s="1"/>
  <c r="CN93" i="1" s="1"/>
  <c r="CG93" i="1"/>
  <c r="CH93" i="1" s="1"/>
  <c r="CI93" i="1" s="1"/>
  <c r="CA93" i="1"/>
  <c r="CB93" i="1" s="1"/>
  <c r="CC93" i="1" s="1"/>
  <c r="BV93" i="1"/>
  <c r="BW93" i="1" s="1"/>
  <c r="BX93" i="1" s="1"/>
  <c r="BQ93" i="1"/>
  <c r="BR93" i="1" s="1"/>
  <c r="BS93" i="1" s="1"/>
  <c r="BL93" i="1"/>
  <c r="BM93" i="1" s="1"/>
  <c r="BN93" i="1" s="1"/>
  <c r="BG93" i="1"/>
  <c r="BH93" i="1" s="1"/>
  <c r="BI93" i="1" s="1"/>
  <c r="BB93" i="1"/>
  <c r="BC93" i="1" s="1"/>
  <c r="BD93" i="1" s="1"/>
  <c r="AW93" i="1"/>
  <c r="AX93" i="1" s="1"/>
  <c r="AY93" i="1" s="1"/>
  <c r="AR93" i="1"/>
  <c r="AS93" i="1" s="1"/>
  <c r="AT93" i="1" s="1"/>
  <c r="AM93" i="1"/>
  <c r="AN93" i="1" s="1"/>
  <c r="AO93" i="1" s="1"/>
  <c r="AH93" i="1"/>
  <c r="AI93" i="1" s="1"/>
  <c r="AJ93" i="1" s="1"/>
  <c r="AE93" i="1"/>
  <c r="W93" i="1"/>
  <c r="X93" i="1" s="1"/>
  <c r="Y93" i="1" s="1"/>
  <c r="Q93" i="1"/>
  <c r="R93" i="1" s="1"/>
  <c r="S93" i="1" s="1"/>
  <c r="N93" i="1"/>
  <c r="I93" i="1"/>
  <c r="NZ92" i="1"/>
  <c r="NU92" i="1"/>
  <c r="NP92" i="1"/>
  <c r="NK92" i="1"/>
  <c r="NF92" i="1"/>
  <c r="NA92" i="1"/>
  <c r="MV92" i="1"/>
  <c r="MQ92" i="1"/>
  <c r="MM92" i="1"/>
  <c r="MI92" i="1"/>
  <c r="MD92" i="1"/>
  <c r="LY92" i="1"/>
  <c r="LT92" i="1"/>
  <c r="LO92" i="1"/>
  <c r="LJ92" i="1"/>
  <c r="LC92" i="1"/>
  <c r="LD92" i="1" s="1"/>
  <c r="LE92" i="1" s="1"/>
  <c r="KZ92" i="1"/>
  <c r="KV92" i="1"/>
  <c r="KQ92" i="1"/>
  <c r="KM92" i="1"/>
  <c r="KI92" i="1"/>
  <c r="KE92" i="1"/>
  <c r="KA92" i="1"/>
  <c r="JV92" i="1"/>
  <c r="JQ92" i="1"/>
  <c r="JM92" i="1"/>
  <c r="JI92" i="1"/>
  <c r="JB92" i="1"/>
  <c r="JC92" i="1" s="1"/>
  <c r="JD92" i="1" s="1"/>
  <c r="IW92" i="1"/>
  <c r="IX92" i="1" s="1"/>
  <c r="IY92" i="1" s="1"/>
  <c r="IR92" i="1"/>
  <c r="IS92" i="1" s="1"/>
  <c r="IT92" i="1" s="1"/>
  <c r="IM92" i="1"/>
  <c r="IN92" i="1" s="1"/>
  <c r="IO92" i="1" s="1"/>
  <c r="IH92" i="1"/>
  <c r="II92" i="1" s="1"/>
  <c r="IJ92" i="1" s="1"/>
  <c r="IC92" i="1"/>
  <c r="ID92" i="1" s="1"/>
  <c r="IE92" i="1" s="1"/>
  <c r="HX92" i="1"/>
  <c r="HY92" i="1" s="1"/>
  <c r="HZ92" i="1" s="1"/>
  <c r="HS92" i="1"/>
  <c r="HT92" i="1" s="1"/>
  <c r="HU92" i="1" s="1"/>
  <c r="HN92" i="1"/>
  <c r="HO92" i="1" s="1"/>
  <c r="HP92" i="1" s="1"/>
  <c r="HI92" i="1"/>
  <c r="HJ92" i="1" s="1"/>
  <c r="HK92" i="1" s="1"/>
  <c r="HD92" i="1"/>
  <c r="HE92" i="1" s="1"/>
  <c r="HF92" i="1" s="1"/>
  <c r="GY92" i="1"/>
  <c r="GZ92" i="1" s="1"/>
  <c r="HA92" i="1" s="1"/>
  <c r="GT92" i="1"/>
  <c r="GU92" i="1" s="1"/>
  <c r="GV92" i="1" s="1"/>
  <c r="GO92" i="1"/>
  <c r="GP92" i="1" s="1"/>
  <c r="GQ92" i="1" s="1"/>
  <c r="GJ92" i="1"/>
  <c r="GK92" i="1" s="1"/>
  <c r="GL92" i="1" s="1"/>
  <c r="GE92" i="1"/>
  <c r="GF92" i="1" s="1"/>
  <c r="GG92" i="1" s="1"/>
  <c r="FZ92" i="1"/>
  <c r="GA92" i="1" s="1"/>
  <c r="GB92" i="1" s="1"/>
  <c r="FU92" i="1"/>
  <c r="FV92" i="1" s="1"/>
  <c r="FW92" i="1" s="1"/>
  <c r="FP92" i="1"/>
  <c r="FQ92" i="1" s="1"/>
  <c r="FR92" i="1" s="1"/>
  <c r="FK92" i="1"/>
  <c r="FL92" i="1" s="1"/>
  <c r="FM92" i="1" s="1"/>
  <c r="FF92" i="1"/>
  <c r="FG92" i="1" s="1"/>
  <c r="FH92" i="1" s="1"/>
  <c r="FA92" i="1"/>
  <c r="FB92" i="1" s="1"/>
  <c r="FC92" i="1" s="1"/>
  <c r="EV92" i="1"/>
  <c r="EW92" i="1" s="1"/>
  <c r="EX92" i="1" s="1"/>
  <c r="EQ92" i="1"/>
  <c r="ER92" i="1" s="1"/>
  <c r="ES92" i="1" s="1"/>
  <c r="EL92" i="1"/>
  <c r="EM92" i="1" s="1"/>
  <c r="EN92" i="1" s="1"/>
  <c r="EE92" i="1"/>
  <c r="EF92" i="1" s="1"/>
  <c r="EG92" i="1" s="1"/>
  <c r="DZ92" i="1"/>
  <c r="EA92" i="1" s="1"/>
  <c r="EB92" i="1" s="1"/>
  <c r="DU92" i="1"/>
  <c r="DV92" i="1" s="1"/>
  <c r="DW92" i="1" s="1"/>
  <c r="DP92" i="1"/>
  <c r="DQ92" i="1" s="1"/>
  <c r="DR92" i="1" s="1"/>
  <c r="DK92" i="1"/>
  <c r="DL92" i="1" s="1"/>
  <c r="DM92" i="1" s="1"/>
  <c r="DF92" i="1"/>
  <c r="DG92" i="1" s="1"/>
  <c r="DH92" i="1" s="1"/>
  <c r="DA92" i="1"/>
  <c r="DB92" i="1" s="1"/>
  <c r="DC92" i="1" s="1"/>
  <c r="CV92" i="1"/>
  <c r="CW92" i="1" s="1"/>
  <c r="CX92" i="1" s="1"/>
  <c r="CQ92" i="1"/>
  <c r="CR92" i="1" s="1"/>
  <c r="CS92" i="1" s="1"/>
  <c r="CL92" i="1"/>
  <c r="CM92" i="1" s="1"/>
  <c r="CN92" i="1" s="1"/>
  <c r="CG92" i="1"/>
  <c r="CH92" i="1" s="1"/>
  <c r="CI92" i="1" s="1"/>
  <c r="CA92" i="1"/>
  <c r="CB92" i="1" s="1"/>
  <c r="CC92" i="1" s="1"/>
  <c r="BV92" i="1"/>
  <c r="BW92" i="1" s="1"/>
  <c r="BX92" i="1" s="1"/>
  <c r="BQ92" i="1"/>
  <c r="BR92" i="1" s="1"/>
  <c r="BS92" i="1" s="1"/>
  <c r="BL92" i="1"/>
  <c r="BM92" i="1" s="1"/>
  <c r="BN92" i="1" s="1"/>
  <c r="BG92" i="1"/>
  <c r="BH92" i="1" s="1"/>
  <c r="BI92" i="1" s="1"/>
  <c r="BB92" i="1"/>
  <c r="BC92" i="1" s="1"/>
  <c r="BD92" i="1" s="1"/>
  <c r="AW92" i="1"/>
  <c r="AX92" i="1" s="1"/>
  <c r="AY92" i="1" s="1"/>
  <c r="AR92" i="1"/>
  <c r="AS92" i="1" s="1"/>
  <c r="AT92" i="1" s="1"/>
  <c r="AM92" i="1"/>
  <c r="AN92" i="1" s="1"/>
  <c r="AO92" i="1" s="1"/>
  <c r="AH92" i="1"/>
  <c r="AI92" i="1" s="1"/>
  <c r="AJ92" i="1" s="1"/>
  <c r="AC92" i="1"/>
  <c r="AD92" i="1" s="1"/>
  <c r="AE92" i="1" s="1"/>
  <c r="W92" i="1"/>
  <c r="X92" i="1" s="1"/>
  <c r="Y92" i="1" s="1"/>
  <c r="S92" i="1"/>
  <c r="N92" i="1"/>
  <c r="I92" i="1"/>
  <c r="NZ91" i="1"/>
  <c r="NU91" i="1"/>
  <c r="NP91" i="1"/>
  <c r="NK91" i="1"/>
  <c r="NF91" i="1"/>
  <c r="NA91" i="1"/>
  <c r="MV91" i="1"/>
  <c r="MQ91" i="1"/>
  <c r="MM91" i="1"/>
  <c r="MI91" i="1"/>
  <c r="MD91" i="1"/>
  <c r="LY91" i="1"/>
  <c r="LT91" i="1"/>
  <c r="LO91" i="1"/>
  <c r="LJ91" i="1"/>
  <c r="LE91" i="1"/>
  <c r="KZ91" i="1"/>
  <c r="KV91" i="1"/>
  <c r="KQ91" i="1"/>
  <c r="KM91" i="1"/>
  <c r="KI91" i="1"/>
  <c r="KE91" i="1"/>
  <c r="KA91" i="1"/>
  <c r="JV91" i="1"/>
  <c r="JQ91" i="1"/>
  <c r="JM91" i="1"/>
  <c r="JI91" i="1"/>
  <c r="JD91" i="1"/>
  <c r="IY91" i="1"/>
  <c r="IT91" i="1"/>
  <c r="IO91" i="1"/>
  <c r="IJ91" i="1"/>
  <c r="IE91" i="1"/>
  <c r="HZ91" i="1"/>
  <c r="HU91" i="1"/>
  <c r="HP91" i="1"/>
  <c r="HK91" i="1"/>
  <c r="HD91" i="1"/>
  <c r="HE91" i="1" s="1"/>
  <c r="HF91" i="1" s="1"/>
  <c r="GY91" i="1"/>
  <c r="GZ91" i="1" s="1"/>
  <c r="HA91" i="1" s="1"/>
  <c r="GT91" i="1"/>
  <c r="GU91" i="1" s="1"/>
  <c r="GV91" i="1" s="1"/>
  <c r="GO91" i="1"/>
  <c r="GP91" i="1" s="1"/>
  <c r="GQ91" i="1" s="1"/>
  <c r="GJ91" i="1"/>
  <c r="GK91" i="1" s="1"/>
  <c r="GL91" i="1" s="1"/>
  <c r="GE91" i="1"/>
  <c r="GF91" i="1" s="1"/>
  <c r="GG91" i="1" s="1"/>
  <c r="FZ91" i="1"/>
  <c r="GA91" i="1" s="1"/>
  <c r="GB91" i="1" s="1"/>
  <c r="FU91" i="1"/>
  <c r="FV91" i="1" s="1"/>
  <c r="FW91" i="1" s="1"/>
  <c r="FP91" i="1"/>
  <c r="FQ91" i="1" s="1"/>
  <c r="FR91" i="1" s="1"/>
  <c r="FK91" i="1"/>
  <c r="FL91" i="1" s="1"/>
  <c r="FM91" i="1" s="1"/>
  <c r="FF91" i="1"/>
  <c r="FG91" i="1" s="1"/>
  <c r="FH91" i="1" s="1"/>
  <c r="FA91" i="1"/>
  <c r="FB91" i="1" s="1"/>
  <c r="FC91" i="1" s="1"/>
  <c r="EV91" i="1"/>
  <c r="EW91" i="1" s="1"/>
  <c r="EX91" i="1" s="1"/>
  <c r="EQ91" i="1"/>
  <c r="ER91" i="1" s="1"/>
  <c r="ES91" i="1" s="1"/>
  <c r="EL91" i="1"/>
  <c r="EM91" i="1" s="1"/>
  <c r="EN91" i="1" s="1"/>
  <c r="EE91" i="1"/>
  <c r="EF91" i="1" s="1"/>
  <c r="EG91" i="1" s="1"/>
  <c r="DZ91" i="1"/>
  <c r="EA91" i="1" s="1"/>
  <c r="EB91" i="1" s="1"/>
  <c r="DU91" i="1"/>
  <c r="DV91" i="1" s="1"/>
  <c r="DW91" i="1" s="1"/>
  <c r="DP91" i="1"/>
  <c r="DQ91" i="1" s="1"/>
  <c r="DR91" i="1" s="1"/>
  <c r="DK91" i="1"/>
  <c r="DL91" i="1" s="1"/>
  <c r="DM91" i="1" s="1"/>
  <c r="DF91" i="1"/>
  <c r="DG91" i="1" s="1"/>
  <c r="DH91" i="1" s="1"/>
  <c r="DA91" i="1"/>
  <c r="DB91" i="1" s="1"/>
  <c r="DC91" i="1" s="1"/>
  <c r="CV91" i="1"/>
  <c r="CW91" i="1" s="1"/>
  <c r="CX91" i="1" s="1"/>
  <c r="CQ91" i="1"/>
  <c r="CR91" i="1" s="1"/>
  <c r="CS91" i="1" s="1"/>
  <c r="CL91" i="1"/>
  <c r="CM91" i="1" s="1"/>
  <c r="CN91" i="1" s="1"/>
  <c r="CG91" i="1"/>
  <c r="CH91" i="1" s="1"/>
  <c r="CI91" i="1" s="1"/>
  <c r="CA91" i="1"/>
  <c r="CB91" i="1" s="1"/>
  <c r="CC91" i="1" s="1"/>
  <c r="BV91" i="1"/>
  <c r="BW91" i="1" s="1"/>
  <c r="BX91" i="1" s="1"/>
  <c r="BQ91" i="1"/>
  <c r="BR91" i="1" s="1"/>
  <c r="BS91" i="1" s="1"/>
  <c r="BL91" i="1"/>
  <c r="BM91" i="1" s="1"/>
  <c r="BN91" i="1" s="1"/>
  <c r="BG91" i="1"/>
  <c r="BH91" i="1" s="1"/>
  <c r="BI91" i="1" s="1"/>
  <c r="BB91" i="1"/>
  <c r="BC91" i="1" s="1"/>
  <c r="BD91" i="1" s="1"/>
  <c r="AW91" i="1"/>
  <c r="AX91" i="1" s="1"/>
  <c r="AY91" i="1" s="1"/>
  <c r="AR91" i="1"/>
  <c r="AS91" i="1" s="1"/>
  <c r="AT91" i="1" s="1"/>
  <c r="AM91" i="1"/>
  <c r="AN91" i="1" s="1"/>
  <c r="AO91" i="1" s="1"/>
  <c r="AH91" i="1"/>
  <c r="AI91" i="1" s="1"/>
  <c r="AJ91" i="1" s="1"/>
  <c r="AE91" i="1"/>
  <c r="W91" i="1"/>
  <c r="X91" i="1" s="1"/>
  <c r="Y91" i="1" s="1"/>
  <c r="S91" i="1"/>
  <c r="N91" i="1"/>
  <c r="G91" i="1"/>
  <c r="H91" i="1" s="1"/>
  <c r="I91" i="1" s="1"/>
  <c r="NZ90" i="1"/>
  <c r="NU90" i="1"/>
  <c r="NP90" i="1"/>
  <c r="NK90" i="1"/>
  <c r="NF90" i="1"/>
  <c r="NA90" i="1"/>
  <c r="MV90" i="1"/>
  <c r="MQ90" i="1"/>
  <c r="MM90" i="1"/>
  <c r="MI90" i="1"/>
  <c r="MD90" i="1"/>
  <c r="LY90" i="1"/>
  <c r="LT90" i="1"/>
  <c r="LO90" i="1"/>
  <c r="LJ90" i="1"/>
  <c r="LC90" i="1"/>
  <c r="LD90" i="1" s="1"/>
  <c r="LE90" i="1" s="1"/>
  <c r="KZ90" i="1"/>
  <c r="KV90" i="1"/>
  <c r="KQ90" i="1"/>
  <c r="KM90" i="1"/>
  <c r="KG90" i="1"/>
  <c r="KH90" i="1" s="1"/>
  <c r="KI90" i="1" s="1"/>
  <c r="KE90" i="1"/>
  <c r="KA90" i="1"/>
  <c r="JV90" i="1"/>
  <c r="JQ90" i="1"/>
  <c r="JM90" i="1"/>
  <c r="JI90" i="1"/>
  <c r="JD90" i="1"/>
  <c r="IY90" i="1"/>
  <c r="IT90" i="1"/>
  <c r="IO90" i="1"/>
  <c r="IJ90" i="1"/>
  <c r="IE90" i="1"/>
  <c r="HZ90" i="1"/>
  <c r="HU90" i="1"/>
  <c r="HP90" i="1"/>
  <c r="HI90" i="1"/>
  <c r="HJ90" i="1" s="1"/>
  <c r="HK90" i="1" s="1"/>
  <c r="HD90" i="1"/>
  <c r="HE90" i="1" s="1"/>
  <c r="HF90" i="1" s="1"/>
  <c r="GY90" i="1"/>
  <c r="GZ90" i="1" s="1"/>
  <c r="HA90" i="1" s="1"/>
  <c r="GT90" i="1"/>
  <c r="GU90" i="1" s="1"/>
  <c r="GV90" i="1" s="1"/>
  <c r="GO90" i="1"/>
  <c r="GP90" i="1" s="1"/>
  <c r="GQ90" i="1" s="1"/>
  <c r="GJ90" i="1"/>
  <c r="GK90" i="1" s="1"/>
  <c r="GL90" i="1" s="1"/>
  <c r="GE90" i="1"/>
  <c r="GF90" i="1" s="1"/>
  <c r="GG90" i="1" s="1"/>
  <c r="FZ90" i="1"/>
  <c r="GA90" i="1" s="1"/>
  <c r="GB90" i="1" s="1"/>
  <c r="FU90" i="1"/>
  <c r="FV90" i="1" s="1"/>
  <c r="FW90" i="1" s="1"/>
  <c r="FP90" i="1"/>
  <c r="FQ90" i="1" s="1"/>
  <c r="FR90" i="1" s="1"/>
  <c r="FK90" i="1"/>
  <c r="FL90" i="1" s="1"/>
  <c r="FM90" i="1" s="1"/>
  <c r="FF90" i="1"/>
  <c r="FG90" i="1" s="1"/>
  <c r="FH90" i="1" s="1"/>
  <c r="FA90" i="1"/>
  <c r="FB90" i="1" s="1"/>
  <c r="FC90" i="1" s="1"/>
  <c r="EV90" i="1"/>
  <c r="EW90" i="1" s="1"/>
  <c r="EX90" i="1" s="1"/>
  <c r="EQ90" i="1"/>
  <c r="ER90" i="1" s="1"/>
  <c r="ES90" i="1" s="1"/>
  <c r="EL90" i="1"/>
  <c r="EM90" i="1" s="1"/>
  <c r="EN90" i="1" s="1"/>
  <c r="EE90" i="1"/>
  <c r="EF90" i="1" s="1"/>
  <c r="EG90" i="1" s="1"/>
  <c r="DZ90" i="1"/>
  <c r="EA90" i="1" s="1"/>
  <c r="EB90" i="1" s="1"/>
  <c r="DU90" i="1"/>
  <c r="DV90" i="1" s="1"/>
  <c r="DW90" i="1" s="1"/>
  <c r="DP90" i="1"/>
  <c r="DQ90" i="1" s="1"/>
  <c r="DR90" i="1" s="1"/>
  <c r="DK90" i="1"/>
  <c r="DL90" i="1" s="1"/>
  <c r="DM90" i="1" s="1"/>
  <c r="DF90" i="1"/>
  <c r="DG90" i="1" s="1"/>
  <c r="DH90" i="1" s="1"/>
  <c r="DA90" i="1"/>
  <c r="DB90" i="1" s="1"/>
  <c r="DC90" i="1" s="1"/>
  <c r="CV90" i="1"/>
  <c r="CW90" i="1" s="1"/>
  <c r="CX90" i="1" s="1"/>
  <c r="CQ90" i="1"/>
  <c r="CR90" i="1" s="1"/>
  <c r="CS90" i="1" s="1"/>
  <c r="CL90" i="1"/>
  <c r="CM90" i="1" s="1"/>
  <c r="CN90" i="1" s="1"/>
  <c r="CG90" i="1"/>
  <c r="CH90" i="1" s="1"/>
  <c r="CI90" i="1" s="1"/>
  <c r="CA90" i="1"/>
  <c r="CB90" i="1" s="1"/>
  <c r="CC90" i="1" s="1"/>
  <c r="BV90" i="1"/>
  <c r="BW90" i="1" s="1"/>
  <c r="BX90" i="1" s="1"/>
  <c r="BQ90" i="1"/>
  <c r="BR90" i="1" s="1"/>
  <c r="BS90" i="1" s="1"/>
  <c r="BL90" i="1"/>
  <c r="BM90" i="1" s="1"/>
  <c r="BN90" i="1" s="1"/>
  <c r="BG90" i="1"/>
  <c r="BH90" i="1" s="1"/>
  <c r="BI90" i="1" s="1"/>
  <c r="BB90" i="1"/>
  <c r="BC90" i="1" s="1"/>
  <c r="BD90" i="1" s="1"/>
  <c r="AW90" i="1"/>
  <c r="AX90" i="1" s="1"/>
  <c r="AY90" i="1" s="1"/>
  <c r="AR90" i="1"/>
  <c r="AS90" i="1" s="1"/>
  <c r="AT90" i="1" s="1"/>
  <c r="AM90" i="1"/>
  <c r="AN90" i="1" s="1"/>
  <c r="AO90" i="1" s="1"/>
  <c r="AH90" i="1"/>
  <c r="AI90" i="1" s="1"/>
  <c r="AJ90" i="1" s="1"/>
  <c r="AC90" i="1"/>
  <c r="AD90" i="1" s="1"/>
  <c r="AE90" i="1" s="1"/>
  <c r="W90" i="1"/>
  <c r="X90" i="1" s="1"/>
  <c r="Y90" i="1" s="1"/>
  <c r="S90" i="1"/>
  <c r="N90" i="1"/>
  <c r="I90" i="1"/>
  <c r="NZ89" i="1"/>
  <c r="NU89" i="1"/>
  <c r="NP89" i="1"/>
  <c r="NK89" i="1"/>
  <c r="NF89" i="1"/>
  <c r="NA89" i="1"/>
  <c r="MV89" i="1"/>
  <c r="MQ89" i="1"/>
  <c r="MM89" i="1"/>
  <c r="MI89" i="1"/>
  <c r="MD89" i="1"/>
  <c r="LY89" i="1"/>
  <c r="LT89" i="1"/>
  <c r="LO89" i="1"/>
  <c r="LJ89" i="1"/>
  <c r="LC89" i="1"/>
  <c r="LD89" i="1" s="1"/>
  <c r="LE89" i="1" s="1"/>
  <c r="KX89" i="1"/>
  <c r="KY89" i="1" s="1"/>
  <c r="KZ89" i="1" s="1"/>
  <c r="KT89" i="1"/>
  <c r="KU89" i="1" s="1"/>
  <c r="KV89" i="1" s="1"/>
  <c r="KQ89" i="1"/>
  <c r="KM89" i="1"/>
  <c r="KI89" i="1"/>
  <c r="KE89" i="1"/>
  <c r="KA89" i="1"/>
  <c r="JV89" i="1"/>
  <c r="JQ89" i="1"/>
  <c r="JM89" i="1"/>
  <c r="JI89" i="1"/>
  <c r="JB89" i="1"/>
  <c r="JC89" i="1" s="1"/>
  <c r="JD89" i="1" s="1"/>
  <c r="IW89" i="1"/>
  <c r="IX89" i="1" s="1"/>
  <c r="IY89" i="1" s="1"/>
  <c r="IR89" i="1"/>
  <c r="IS89" i="1" s="1"/>
  <c r="IT89" i="1" s="1"/>
  <c r="IM89" i="1"/>
  <c r="IN89" i="1" s="1"/>
  <c r="IO89" i="1" s="1"/>
  <c r="IH89" i="1"/>
  <c r="II89" i="1" s="1"/>
  <c r="IJ89" i="1" s="1"/>
  <c r="IC89" i="1"/>
  <c r="ID89" i="1" s="1"/>
  <c r="IE89" i="1" s="1"/>
  <c r="HX89" i="1"/>
  <c r="HY89" i="1" s="1"/>
  <c r="HZ89" i="1" s="1"/>
  <c r="HU89" i="1"/>
  <c r="HN89" i="1"/>
  <c r="HO89" i="1" s="1"/>
  <c r="HP89" i="1" s="1"/>
  <c r="HI89" i="1"/>
  <c r="HJ89" i="1" s="1"/>
  <c r="HK89" i="1" s="1"/>
  <c r="HD89" i="1"/>
  <c r="HE89" i="1" s="1"/>
  <c r="HF89" i="1" s="1"/>
  <c r="GY89" i="1"/>
  <c r="GZ89" i="1" s="1"/>
  <c r="HA89" i="1" s="1"/>
  <c r="GT89" i="1"/>
  <c r="GU89" i="1" s="1"/>
  <c r="GV89" i="1" s="1"/>
  <c r="GO89" i="1"/>
  <c r="GP89" i="1" s="1"/>
  <c r="GQ89" i="1" s="1"/>
  <c r="GJ89" i="1"/>
  <c r="GK89" i="1" s="1"/>
  <c r="GL89" i="1" s="1"/>
  <c r="GE89" i="1"/>
  <c r="GF89" i="1" s="1"/>
  <c r="GG89" i="1" s="1"/>
  <c r="FZ89" i="1"/>
  <c r="GA89" i="1" s="1"/>
  <c r="GB89" i="1" s="1"/>
  <c r="FU89" i="1"/>
  <c r="FV89" i="1" s="1"/>
  <c r="FW89" i="1" s="1"/>
  <c r="FP89" i="1"/>
  <c r="FQ89" i="1" s="1"/>
  <c r="FR89" i="1" s="1"/>
  <c r="FK89" i="1"/>
  <c r="FL89" i="1" s="1"/>
  <c r="FM89" i="1" s="1"/>
  <c r="FF89" i="1"/>
  <c r="FG89" i="1" s="1"/>
  <c r="FH89" i="1" s="1"/>
  <c r="FA89" i="1"/>
  <c r="FB89" i="1" s="1"/>
  <c r="FC89" i="1" s="1"/>
  <c r="EV89" i="1"/>
  <c r="EW89" i="1" s="1"/>
  <c r="EX89" i="1" s="1"/>
  <c r="EQ89" i="1"/>
  <c r="ER89" i="1" s="1"/>
  <c r="ES89" i="1" s="1"/>
  <c r="EL89" i="1"/>
  <c r="EM89" i="1" s="1"/>
  <c r="EN89" i="1" s="1"/>
  <c r="EE89" i="1"/>
  <c r="EF89" i="1" s="1"/>
  <c r="EG89" i="1" s="1"/>
  <c r="DZ89" i="1"/>
  <c r="EA89" i="1" s="1"/>
  <c r="EB89" i="1" s="1"/>
  <c r="DU89" i="1"/>
  <c r="DV89" i="1" s="1"/>
  <c r="DW89" i="1" s="1"/>
  <c r="DP89" i="1"/>
  <c r="DQ89" i="1" s="1"/>
  <c r="DR89" i="1" s="1"/>
  <c r="DK89" i="1"/>
  <c r="DL89" i="1" s="1"/>
  <c r="DM89" i="1" s="1"/>
  <c r="DF89" i="1"/>
  <c r="DG89" i="1" s="1"/>
  <c r="DH89" i="1" s="1"/>
  <c r="DA89" i="1"/>
  <c r="DB89" i="1" s="1"/>
  <c r="DC89" i="1" s="1"/>
  <c r="CV89" i="1"/>
  <c r="CW89" i="1" s="1"/>
  <c r="CX89" i="1" s="1"/>
  <c r="CQ89" i="1"/>
  <c r="CR89" i="1" s="1"/>
  <c r="CS89" i="1" s="1"/>
  <c r="CL89" i="1"/>
  <c r="CM89" i="1" s="1"/>
  <c r="CN89" i="1" s="1"/>
  <c r="CG89" i="1"/>
  <c r="CH89" i="1" s="1"/>
  <c r="CI89" i="1" s="1"/>
  <c r="CA89" i="1"/>
  <c r="CB89" i="1" s="1"/>
  <c r="CC89" i="1" s="1"/>
  <c r="BV89" i="1"/>
  <c r="BW89" i="1" s="1"/>
  <c r="BX89" i="1" s="1"/>
  <c r="BQ89" i="1"/>
  <c r="BR89" i="1" s="1"/>
  <c r="BS89" i="1" s="1"/>
  <c r="BL89" i="1"/>
  <c r="BM89" i="1" s="1"/>
  <c r="BN89" i="1" s="1"/>
  <c r="BG89" i="1"/>
  <c r="BH89" i="1" s="1"/>
  <c r="BI89" i="1" s="1"/>
  <c r="BB89" i="1"/>
  <c r="BC89" i="1" s="1"/>
  <c r="BD89" i="1" s="1"/>
  <c r="AW89" i="1"/>
  <c r="AX89" i="1" s="1"/>
  <c r="AY89" i="1" s="1"/>
  <c r="AR89" i="1"/>
  <c r="AS89" i="1" s="1"/>
  <c r="AT89" i="1" s="1"/>
  <c r="AM89" i="1"/>
  <c r="AN89" i="1" s="1"/>
  <c r="AO89" i="1" s="1"/>
  <c r="AH89" i="1"/>
  <c r="AI89" i="1" s="1"/>
  <c r="AJ89" i="1" s="1"/>
  <c r="AC89" i="1"/>
  <c r="AD89" i="1" s="1"/>
  <c r="AE89" i="1" s="1"/>
  <c r="W89" i="1"/>
  <c r="X89" i="1" s="1"/>
  <c r="Y89" i="1" s="1"/>
  <c r="S89" i="1"/>
  <c r="N89" i="1"/>
  <c r="I89" i="1"/>
  <c r="NZ88" i="1"/>
  <c r="NU88" i="1"/>
  <c r="NP88" i="1"/>
  <c r="NK88" i="1"/>
  <c r="NF88" i="1"/>
  <c r="NA88" i="1"/>
  <c r="MV88" i="1"/>
  <c r="MO88" i="1"/>
  <c r="MP88" i="1" s="1"/>
  <c r="MQ88" i="1" s="1"/>
  <c r="MK88" i="1"/>
  <c r="ML88" i="1" s="1"/>
  <c r="MM88" i="1" s="1"/>
  <c r="MI88" i="1"/>
  <c r="MD88" i="1"/>
  <c r="LW88" i="1"/>
  <c r="LX88" i="1" s="1"/>
  <c r="LY88" i="1" s="1"/>
  <c r="LR88" i="1"/>
  <c r="LS88" i="1" s="1"/>
  <c r="LT88" i="1" s="1"/>
  <c r="LO88" i="1"/>
  <c r="LJ88" i="1"/>
  <c r="LE88" i="1"/>
  <c r="KX88" i="1"/>
  <c r="KY88" i="1" s="1"/>
  <c r="KZ88" i="1" s="1"/>
  <c r="KV88" i="1"/>
  <c r="KO88" i="1"/>
  <c r="KP88" i="1" s="1"/>
  <c r="KQ88" i="1" s="1"/>
  <c r="KM88" i="1"/>
  <c r="KI88" i="1"/>
  <c r="KE88" i="1"/>
  <c r="KA88" i="1"/>
  <c r="JT88" i="1"/>
  <c r="JU88" i="1" s="1"/>
  <c r="JV88" i="1" s="1"/>
  <c r="JQ88" i="1"/>
  <c r="JK88" i="1"/>
  <c r="JL88" i="1" s="1"/>
  <c r="JM88" i="1" s="1"/>
  <c r="JG88" i="1"/>
  <c r="JH88" i="1" s="1"/>
  <c r="JI88" i="1" s="1"/>
  <c r="JB88" i="1"/>
  <c r="JC88" i="1" s="1"/>
  <c r="JD88" i="1" s="1"/>
  <c r="IW88" i="1"/>
  <c r="IX88" i="1" s="1"/>
  <c r="IY88" i="1" s="1"/>
  <c r="IR88" i="1"/>
  <c r="IS88" i="1" s="1"/>
  <c r="IT88" i="1" s="1"/>
  <c r="IM88" i="1"/>
  <c r="IN88" i="1" s="1"/>
  <c r="IO88" i="1" s="1"/>
  <c r="IH88" i="1"/>
  <c r="II88" i="1" s="1"/>
  <c r="IJ88" i="1" s="1"/>
  <c r="IC88" i="1"/>
  <c r="ID88" i="1" s="1"/>
  <c r="IE88" i="1" s="1"/>
  <c r="HX88" i="1"/>
  <c r="HY88" i="1" s="1"/>
  <c r="HZ88" i="1" s="1"/>
  <c r="HU88" i="1"/>
  <c r="HP88" i="1"/>
  <c r="HI88" i="1"/>
  <c r="HJ88" i="1" s="1"/>
  <c r="HK88" i="1" s="1"/>
  <c r="HD88" i="1"/>
  <c r="HE88" i="1" s="1"/>
  <c r="HF88" i="1" s="1"/>
  <c r="GY88" i="1"/>
  <c r="GZ88" i="1" s="1"/>
  <c r="HA88" i="1" s="1"/>
  <c r="GT88" i="1"/>
  <c r="GU88" i="1" s="1"/>
  <c r="GV88" i="1" s="1"/>
  <c r="GO88" i="1"/>
  <c r="GP88" i="1" s="1"/>
  <c r="GQ88" i="1" s="1"/>
  <c r="GJ88" i="1"/>
  <c r="GK88" i="1" s="1"/>
  <c r="GL88" i="1" s="1"/>
  <c r="GE88" i="1"/>
  <c r="GF88" i="1" s="1"/>
  <c r="GG88" i="1" s="1"/>
  <c r="FZ88" i="1"/>
  <c r="GA88" i="1" s="1"/>
  <c r="GB88" i="1" s="1"/>
  <c r="FU88" i="1"/>
  <c r="FV88" i="1" s="1"/>
  <c r="FW88" i="1" s="1"/>
  <c r="FP88" i="1"/>
  <c r="FQ88" i="1" s="1"/>
  <c r="FR88" i="1" s="1"/>
  <c r="FK88" i="1"/>
  <c r="FL88" i="1" s="1"/>
  <c r="FM88" i="1" s="1"/>
  <c r="FF88" i="1"/>
  <c r="FG88" i="1" s="1"/>
  <c r="FH88" i="1" s="1"/>
  <c r="FA88" i="1"/>
  <c r="FB88" i="1" s="1"/>
  <c r="FC88" i="1" s="1"/>
  <c r="EV88" i="1"/>
  <c r="EW88" i="1" s="1"/>
  <c r="EX88" i="1" s="1"/>
  <c r="EQ88" i="1"/>
  <c r="ER88" i="1" s="1"/>
  <c r="ES88" i="1" s="1"/>
  <c r="EL88" i="1"/>
  <c r="EM88" i="1" s="1"/>
  <c r="EN88" i="1" s="1"/>
  <c r="EE88" i="1"/>
  <c r="EF88" i="1" s="1"/>
  <c r="EG88" i="1" s="1"/>
  <c r="DZ88" i="1"/>
  <c r="EA88" i="1" s="1"/>
  <c r="EB88" i="1" s="1"/>
  <c r="DU88" i="1"/>
  <c r="DV88" i="1" s="1"/>
  <c r="DW88" i="1" s="1"/>
  <c r="DP88" i="1"/>
  <c r="DQ88" i="1" s="1"/>
  <c r="DR88" i="1" s="1"/>
  <c r="DK88" i="1"/>
  <c r="DL88" i="1" s="1"/>
  <c r="DM88" i="1" s="1"/>
  <c r="DF88" i="1"/>
  <c r="DG88" i="1" s="1"/>
  <c r="DH88" i="1" s="1"/>
  <c r="DA88" i="1"/>
  <c r="DB88" i="1" s="1"/>
  <c r="DC88" i="1" s="1"/>
  <c r="CV88" i="1"/>
  <c r="CW88" i="1" s="1"/>
  <c r="CX88" i="1" s="1"/>
  <c r="CQ88" i="1"/>
  <c r="CR88" i="1" s="1"/>
  <c r="CS88" i="1" s="1"/>
  <c r="CL88" i="1"/>
  <c r="CM88" i="1" s="1"/>
  <c r="CN88" i="1" s="1"/>
  <c r="CG88" i="1"/>
  <c r="CH88" i="1" s="1"/>
  <c r="CI88" i="1" s="1"/>
  <c r="CA88" i="1"/>
  <c r="CB88" i="1" s="1"/>
  <c r="CC88" i="1" s="1"/>
  <c r="BV88" i="1"/>
  <c r="BW88" i="1" s="1"/>
  <c r="BX88" i="1" s="1"/>
  <c r="BQ88" i="1"/>
  <c r="BR88" i="1" s="1"/>
  <c r="BS88" i="1" s="1"/>
  <c r="BL88" i="1"/>
  <c r="BM88" i="1" s="1"/>
  <c r="BN88" i="1" s="1"/>
  <c r="BG88" i="1"/>
  <c r="BH88" i="1" s="1"/>
  <c r="BI88" i="1" s="1"/>
  <c r="BB88" i="1"/>
  <c r="BC88" i="1" s="1"/>
  <c r="BD88" i="1" s="1"/>
  <c r="AW88" i="1"/>
  <c r="AX88" i="1" s="1"/>
  <c r="AY88" i="1" s="1"/>
  <c r="AR88" i="1"/>
  <c r="AS88" i="1" s="1"/>
  <c r="AT88" i="1" s="1"/>
  <c r="AM88" i="1"/>
  <c r="AN88" i="1" s="1"/>
  <c r="AO88" i="1" s="1"/>
  <c r="AH88" i="1"/>
  <c r="AI88" i="1" s="1"/>
  <c r="AJ88" i="1" s="1"/>
  <c r="AC88" i="1"/>
  <c r="AD88" i="1" s="1"/>
  <c r="AE88" i="1" s="1"/>
  <c r="W88" i="1"/>
  <c r="X88" i="1" s="1"/>
  <c r="Y88" i="1" s="1"/>
  <c r="S88" i="1"/>
  <c r="N88" i="1"/>
  <c r="I88" i="1"/>
  <c r="NZ87" i="1"/>
  <c r="NU87" i="1"/>
  <c r="NP87" i="1"/>
  <c r="NK87" i="1"/>
  <c r="NF87" i="1"/>
  <c r="NA87" i="1"/>
  <c r="MV87" i="1"/>
  <c r="MQ87" i="1"/>
  <c r="MM87" i="1"/>
  <c r="MI87" i="1"/>
  <c r="MD87" i="1"/>
  <c r="LY87" i="1"/>
  <c r="LT87" i="1"/>
  <c r="LO87" i="1"/>
  <c r="LJ87" i="1"/>
  <c r="LE87" i="1"/>
  <c r="KZ87" i="1"/>
  <c r="KV87" i="1"/>
  <c r="KQ87" i="1"/>
  <c r="KM87" i="1"/>
  <c r="KI87" i="1"/>
  <c r="KE87" i="1"/>
  <c r="KA87" i="1"/>
  <c r="JV87" i="1"/>
  <c r="JQ87" i="1"/>
  <c r="JM87" i="1"/>
  <c r="JI87" i="1"/>
  <c r="JD87" i="1"/>
  <c r="IY87" i="1"/>
  <c r="IT87" i="1"/>
  <c r="IO87" i="1"/>
  <c r="IJ87" i="1"/>
  <c r="IE87" i="1"/>
  <c r="HZ87" i="1"/>
  <c r="HU87" i="1"/>
  <c r="HP87" i="1"/>
  <c r="HK87" i="1"/>
  <c r="HD87" i="1"/>
  <c r="HE87" i="1" s="1"/>
  <c r="HF87" i="1" s="1"/>
  <c r="GY87" i="1"/>
  <c r="GZ87" i="1" s="1"/>
  <c r="HA87" i="1" s="1"/>
  <c r="GT87" i="1"/>
  <c r="GU87" i="1" s="1"/>
  <c r="GV87" i="1" s="1"/>
  <c r="GO87" i="1"/>
  <c r="GP87" i="1" s="1"/>
  <c r="GQ87" i="1" s="1"/>
  <c r="GJ87" i="1"/>
  <c r="GK87" i="1" s="1"/>
  <c r="GL87" i="1" s="1"/>
  <c r="GE87" i="1"/>
  <c r="GF87" i="1" s="1"/>
  <c r="GG87" i="1" s="1"/>
  <c r="FZ87" i="1"/>
  <c r="GA87" i="1" s="1"/>
  <c r="GB87" i="1" s="1"/>
  <c r="FU87" i="1"/>
  <c r="FV87" i="1" s="1"/>
  <c r="FW87" i="1" s="1"/>
  <c r="FP87" i="1"/>
  <c r="FQ87" i="1" s="1"/>
  <c r="FR87" i="1" s="1"/>
  <c r="FK87" i="1"/>
  <c r="FL87" i="1" s="1"/>
  <c r="FM87" i="1" s="1"/>
  <c r="FF87" i="1"/>
  <c r="FG87" i="1" s="1"/>
  <c r="FH87" i="1" s="1"/>
  <c r="FA87" i="1"/>
  <c r="FB87" i="1" s="1"/>
  <c r="FC87" i="1" s="1"/>
  <c r="EV87" i="1"/>
  <c r="EW87" i="1" s="1"/>
  <c r="EX87" i="1" s="1"/>
  <c r="EQ87" i="1"/>
  <c r="ER87" i="1" s="1"/>
  <c r="ES87" i="1" s="1"/>
  <c r="EL87" i="1"/>
  <c r="EM87" i="1" s="1"/>
  <c r="EN87" i="1" s="1"/>
  <c r="EE87" i="1"/>
  <c r="EF87" i="1" s="1"/>
  <c r="EG87" i="1" s="1"/>
  <c r="DZ87" i="1"/>
  <c r="EA87" i="1" s="1"/>
  <c r="EB87" i="1" s="1"/>
  <c r="DU87" i="1"/>
  <c r="DV87" i="1" s="1"/>
  <c r="DW87" i="1" s="1"/>
  <c r="DP87" i="1"/>
  <c r="DQ87" i="1" s="1"/>
  <c r="DR87" i="1" s="1"/>
  <c r="DK87" i="1"/>
  <c r="DL87" i="1" s="1"/>
  <c r="DM87" i="1" s="1"/>
  <c r="DF87" i="1"/>
  <c r="DG87" i="1" s="1"/>
  <c r="DH87" i="1" s="1"/>
  <c r="DA87" i="1"/>
  <c r="DB87" i="1" s="1"/>
  <c r="DC87" i="1" s="1"/>
  <c r="CV87" i="1"/>
  <c r="CW87" i="1" s="1"/>
  <c r="CX87" i="1" s="1"/>
  <c r="CQ87" i="1"/>
  <c r="CR87" i="1" s="1"/>
  <c r="CS87" i="1" s="1"/>
  <c r="CL87" i="1"/>
  <c r="CM87" i="1" s="1"/>
  <c r="CN87" i="1" s="1"/>
  <c r="CG87" i="1"/>
  <c r="CH87" i="1" s="1"/>
  <c r="CI87" i="1" s="1"/>
  <c r="CA87" i="1"/>
  <c r="CB87" i="1" s="1"/>
  <c r="CC87" i="1" s="1"/>
  <c r="BV87" i="1"/>
  <c r="BW87" i="1" s="1"/>
  <c r="BX87" i="1" s="1"/>
  <c r="BQ87" i="1"/>
  <c r="BR87" i="1" s="1"/>
  <c r="BS87" i="1" s="1"/>
  <c r="BL87" i="1"/>
  <c r="BM87" i="1" s="1"/>
  <c r="BN87" i="1" s="1"/>
  <c r="BG87" i="1"/>
  <c r="BH87" i="1" s="1"/>
  <c r="BI87" i="1" s="1"/>
  <c r="BB87" i="1"/>
  <c r="BC87" i="1" s="1"/>
  <c r="BD87" i="1" s="1"/>
  <c r="AW87" i="1"/>
  <c r="AX87" i="1" s="1"/>
  <c r="AY87" i="1" s="1"/>
  <c r="AR87" i="1"/>
  <c r="AS87" i="1" s="1"/>
  <c r="AT87" i="1" s="1"/>
  <c r="AM87" i="1"/>
  <c r="AN87" i="1" s="1"/>
  <c r="AO87" i="1" s="1"/>
  <c r="AH87" i="1"/>
  <c r="AI87" i="1" s="1"/>
  <c r="AJ87" i="1" s="1"/>
  <c r="AE87" i="1"/>
  <c r="W87" i="1"/>
  <c r="X87" i="1" s="1"/>
  <c r="Y87" i="1" s="1"/>
  <c r="S87" i="1"/>
  <c r="N87" i="1"/>
  <c r="I87" i="1"/>
  <c r="NZ86" i="1"/>
  <c r="NU86" i="1"/>
  <c r="NP86" i="1"/>
  <c r="NK86" i="1"/>
  <c r="NF86" i="1"/>
  <c r="NA86" i="1"/>
  <c r="MV86" i="1"/>
  <c r="MQ86" i="1"/>
  <c r="MM86" i="1"/>
  <c r="MI86" i="1"/>
  <c r="MD86" i="1"/>
  <c r="LY86" i="1"/>
  <c r="LT86" i="1"/>
  <c r="LO86" i="1"/>
  <c r="LJ86" i="1"/>
  <c r="LC86" i="1"/>
  <c r="LD86" i="1" s="1"/>
  <c r="LE86" i="1" s="1"/>
  <c r="KZ86" i="1"/>
  <c r="KT86" i="1"/>
  <c r="KU86" i="1" s="1"/>
  <c r="KV86" i="1" s="1"/>
  <c r="KQ86" i="1"/>
  <c r="KM86" i="1"/>
  <c r="KG86" i="1"/>
  <c r="KH86" i="1" s="1"/>
  <c r="KI86" i="1" s="1"/>
  <c r="KE86" i="1"/>
  <c r="KA86" i="1"/>
  <c r="JV86" i="1"/>
  <c r="JQ86" i="1"/>
  <c r="JM86" i="1"/>
  <c r="JI86" i="1"/>
  <c r="JB86" i="1"/>
  <c r="JC86" i="1" s="1"/>
  <c r="JD86" i="1" s="1"/>
  <c r="IW86" i="1"/>
  <c r="IX86" i="1" s="1"/>
  <c r="IY86" i="1" s="1"/>
  <c r="IR86" i="1"/>
  <c r="IS86" i="1" s="1"/>
  <c r="IT86" i="1" s="1"/>
  <c r="IM86" i="1"/>
  <c r="IN86" i="1" s="1"/>
  <c r="IO86" i="1" s="1"/>
  <c r="IH86" i="1"/>
  <c r="II86" i="1" s="1"/>
  <c r="IJ86" i="1" s="1"/>
  <c r="IC86" i="1"/>
  <c r="ID86" i="1" s="1"/>
  <c r="IE86" i="1" s="1"/>
  <c r="HX86" i="1"/>
  <c r="HY86" i="1" s="1"/>
  <c r="HZ86" i="1" s="1"/>
  <c r="HU86" i="1"/>
  <c r="HP86" i="1"/>
  <c r="HI86" i="1"/>
  <c r="HJ86" i="1" s="1"/>
  <c r="HK86" i="1" s="1"/>
  <c r="HD86" i="1"/>
  <c r="HE86" i="1" s="1"/>
  <c r="HF86" i="1" s="1"/>
  <c r="GY86" i="1"/>
  <c r="GZ86" i="1" s="1"/>
  <c r="HA86" i="1" s="1"/>
  <c r="GT86" i="1"/>
  <c r="GU86" i="1" s="1"/>
  <c r="GV86" i="1" s="1"/>
  <c r="GO86" i="1"/>
  <c r="GP86" i="1" s="1"/>
  <c r="GQ86" i="1" s="1"/>
  <c r="GJ86" i="1"/>
  <c r="GK86" i="1" s="1"/>
  <c r="GL86" i="1" s="1"/>
  <c r="GE86" i="1"/>
  <c r="GF86" i="1" s="1"/>
  <c r="GG86" i="1" s="1"/>
  <c r="FZ86" i="1"/>
  <c r="GA86" i="1" s="1"/>
  <c r="GB86" i="1" s="1"/>
  <c r="FU86" i="1"/>
  <c r="FV86" i="1" s="1"/>
  <c r="FW86" i="1" s="1"/>
  <c r="FP86" i="1"/>
  <c r="FQ86" i="1" s="1"/>
  <c r="FR86" i="1" s="1"/>
  <c r="FK86" i="1"/>
  <c r="FL86" i="1" s="1"/>
  <c r="FM86" i="1" s="1"/>
  <c r="FF86" i="1"/>
  <c r="FG86" i="1" s="1"/>
  <c r="FH86" i="1" s="1"/>
  <c r="FA86" i="1"/>
  <c r="FB86" i="1" s="1"/>
  <c r="FC86" i="1" s="1"/>
  <c r="EV86" i="1"/>
  <c r="EW86" i="1" s="1"/>
  <c r="EX86" i="1" s="1"/>
  <c r="EQ86" i="1"/>
  <c r="ER86" i="1" s="1"/>
  <c r="ES86" i="1" s="1"/>
  <c r="EL86" i="1"/>
  <c r="EM86" i="1" s="1"/>
  <c r="EN86" i="1" s="1"/>
  <c r="EE86" i="1"/>
  <c r="EF86" i="1" s="1"/>
  <c r="EG86" i="1" s="1"/>
  <c r="DZ86" i="1"/>
  <c r="EA86" i="1" s="1"/>
  <c r="EB86" i="1" s="1"/>
  <c r="DU86" i="1"/>
  <c r="DV86" i="1" s="1"/>
  <c r="DW86" i="1" s="1"/>
  <c r="DP86" i="1"/>
  <c r="DQ86" i="1" s="1"/>
  <c r="DR86" i="1" s="1"/>
  <c r="DK86" i="1"/>
  <c r="DL86" i="1" s="1"/>
  <c r="DM86" i="1" s="1"/>
  <c r="DF86" i="1"/>
  <c r="DG86" i="1" s="1"/>
  <c r="DH86" i="1" s="1"/>
  <c r="DA86" i="1"/>
  <c r="DB86" i="1" s="1"/>
  <c r="DC86" i="1" s="1"/>
  <c r="CV86" i="1"/>
  <c r="CW86" i="1" s="1"/>
  <c r="CX86" i="1" s="1"/>
  <c r="CQ86" i="1"/>
  <c r="CR86" i="1" s="1"/>
  <c r="CS86" i="1" s="1"/>
  <c r="CL86" i="1"/>
  <c r="CM86" i="1" s="1"/>
  <c r="CN86" i="1" s="1"/>
  <c r="CG86" i="1"/>
  <c r="CH86" i="1" s="1"/>
  <c r="CI86" i="1" s="1"/>
  <c r="CA86" i="1"/>
  <c r="CB86" i="1" s="1"/>
  <c r="CC86" i="1" s="1"/>
  <c r="BV86" i="1"/>
  <c r="BW86" i="1" s="1"/>
  <c r="BX86" i="1" s="1"/>
  <c r="BQ86" i="1"/>
  <c r="BR86" i="1" s="1"/>
  <c r="BS86" i="1" s="1"/>
  <c r="BL86" i="1"/>
  <c r="BM86" i="1" s="1"/>
  <c r="BN86" i="1" s="1"/>
  <c r="BG86" i="1"/>
  <c r="BH86" i="1" s="1"/>
  <c r="BI86" i="1" s="1"/>
  <c r="BB86" i="1"/>
  <c r="BC86" i="1" s="1"/>
  <c r="BD86" i="1" s="1"/>
  <c r="AW86" i="1"/>
  <c r="AX86" i="1" s="1"/>
  <c r="AY86" i="1" s="1"/>
  <c r="AR86" i="1"/>
  <c r="AS86" i="1" s="1"/>
  <c r="AT86" i="1" s="1"/>
  <c r="AM86" i="1"/>
  <c r="AN86" i="1" s="1"/>
  <c r="AO86" i="1" s="1"/>
  <c r="AH86" i="1"/>
  <c r="AI86" i="1" s="1"/>
  <c r="AJ86" i="1" s="1"/>
  <c r="AC86" i="1"/>
  <c r="AD86" i="1" s="1"/>
  <c r="AE86" i="1" s="1"/>
  <c r="W86" i="1"/>
  <c r="X86" i="1" s="1"/>
  <c r="Y86" i="1" s="1"/>
  <c r="S86" i="1"/>
  <c r="N86" i="1"/>
  <c r="I86" i="1"/>
  <c r="NZ85" i="1"/>
  <c r="NU85" i="1"/>
  <c r="NP85" i="1"/>
  <c r="NK85" i="1"/>
  <c r="NF85" i="1"/>
  <c r="NA85" i="1"/>
  <c r="MV85" i="1"/>
  <c r="MQ85" i="1"/>
  <c r="MM85" i="1"/>
  <c r="MI85" i="1"/>
  <c r="MD85" i="1"/>
  <c r="LY85" i="1"/>
  <c r="LT85" i="1"/>
  <c r="LO85" i="1"/>
  <c r="LJ85" i="1"/>
  <c r="LE85" i="1"/>
  <c r="KZ85" i="1"/>
  <c r="KV85" i="1"/>
  <c r="KQ85" i="1"/>
  <c r="KM85" i="1"/>
  <c r="KI85" i="1"/>
  <c r="KE85" i="1"/>
  <c r="JY85" i="1"/>
  <c r="JZ85" i="1" s="1"/>
  <c r="KA85" i="1" s="1"/>
  <c r="JV85" i="1"/>
  <c r="JQ85" i="1"/>
  <c r="JM85" i="1"/>
  <c r="JI85" i="1"/>
  <c r="JD85" i="1"/>
  <c r="IY85" i="1"/>
  <c r="IT85" i="1"/>
  <c r="IO85" i="1"/>
  <c r="IJ85" i="1"/>
  <c r="IE85" i="1"/>
  <c r="HZ85" i="1"/>
  <c r="HU85" i="1"/>
  <c r="HP85" i="1"/>
  <c r="HI85" i="1"/>
  <c r="HJ85" i="1" s="1"/>
  <c r="HK85" i="1" s="1"/>
  <c r="HD85" i="1"/>
  <c r="HE85" i="1" s="1"/>
  <c r="HF85" i="1" s="1"/>
  <c r="GY85" i="1"/>
  <c r="GZ85" i="1" s="1"/>
  <c r="HA85" i="1" s="1"/>
  <c r="GT85" i="1"/>
  <c r="GU85" i="1" s="1"/>
  <c r="GV85" i="1" s="1"/>
  <c r="GO85" i="1"/>
  <c r="GP85" i="1" s="1"/>
  <c r="GQ85" i="1" s="1"/>
  <c r="GJ85" i="1"/>
  <c r="GK85" i="1" s="1"/>
  <c r="GL85" i="1" s="1"/>
  <c r="GE85" i="1"/>
  <c r="GF85" i="1" s="1"/>
  <c r="GG85" i="1" s="1"/>
  <c r="FZ85" i="1"/>
  <c r="GA85" i="1" s="1"/>
  <c r="GB85" i="1" s="1"/>
  <c r="FU85" i="1"/>
  <c r="FV85" i="1" s="1"/>
  <c r="FW85" i="1" s="1"/>
  <c r="FP85" i="1"/>
  <c r="FQ85" i="1" s="1"/>
  <c r="FR85" i="1" s="1"/>
  <c r="FK85" i="1"/>
  <c r="FL85" i="1" s="1"/>
  <c r="FM85" i="1" s="1"/>
  <c r="FF85" i="1"/>
  <c r="FG85" i="1" s="1"/>
  <c r="FH85" i="1" s="1"/>
  <c r="FA85" i="1"/>
  <c r="FB85" i="1" s="1"/>
  <c r="FC85" i="1" s="1"/>
  <c r="EV85" i="1"/>
  <c r="EW85" i="1" s="1"/>
  <c r="EX85" i="1" s="1"/>
  <c r="EQ85" i="1"/>
  <c r="ER85" i="1" s="1"/>
  <c r="ES85" i="1" s="1"/>
  <c r="EL85" i="1"/>
  <c r="EM85" i="1" s="1"/>
  <c r="EN85" i="1" s="1"/>
  <c r="EE85" i="1"/>
  <c r="EF85" i="1" s="1"/>
  <c r="EG85" i="1" s="1"/>
  <c r="DZ85" i="1"/>
  <c r="EA85" i="1" s="1"/>
  <c r="EB85" i="1" s="1"/>
  <c r="DU85" i="1"/>
  <c r="DV85" i="1" s="1"/>
  <c r="DW85" i="1" s="1"/>
  <c r="DP85" i="1"/>
  <c r="DQ85" i="1" s="1"/>
  <c r="DR85" i="1" s="1"/>
  <c r="DK85" i="1"/>
  <c r="DL85" i="1" s="1"/>
  <c r="DM85" i="1" s="1"/>
  <c r="DF85" i="1"/>
  <c r="DG85" i="1" s="1"/>
  <c r="DH85" i="1" s="1"/>
  <c r="DA85" i="1"/>
  <c r="DB85" i="1" s="1"/>
  <c r="DC85" i="1" s="1"/>
  <c r="CV85" i="1"/>
  <c r="CW85" i="1" s="1"/>
  <c r="CX85" i="1" s="1"/>
  <c r="CQ85" i="1"/>
  <c r="CR85" i="1" s="1"/>
  <c r="CS85" i="1" s="1"/>
  <c r="CL85" i="1"/>
  <c r="CM85" i="1" s="1"/>
  <c r="CN85" i="1" s="1"/>
  <c r="CG85" i="1"/>
  <c r="CH85" i="1" s="1"/>
  <c r="CI85" i="1" s="1"/>
  <c r="CA85" i="1"/>
  <c r="CB85" i="1" s="1"/>
  <c r="CC85" i="1" s="1"/>
  <c r="BV85" i="1"/>
  <c r="BW85" i="1" s="1"/>
  <c r="BX85" i="1" s="1"/>
  <c r="BQ85" i="1"/>
  <c r="BR85" i="1" s="1"/>
  <c r="BS85" i="1" s="1"/>
  <c r="BL85" i="1"/>
  <c r="BM85" i="1" s="1"/>
  <c r="BN85" i="1" s="1"/>
  <c r="BG85" i="1"/>
  <c r="BH85" i="1" s="1"/>
  <c r="BI85" i="1" s="1"/>
  <c r="BB85" i="1"/>
  <c r="BC85" i="1" s="1"/>
  <c r="BD85" i="1" s="1"/>
  <c r="AW85" i="1"/>
  <c r="AX85" i="1" s="1"/>
  <c r="AY85" i="1" s="1"/>
  <c r="AR85" i="1"/>
  <c r="AS85" i="1" s="1"/>
  <c r="AT85" i="1" s="1"/>
  <c r="AM85" i="1"/>
  <c r="AN85" i="1" s="1"/>
  <c r="AO85" i="1" s="1"/>
  <c r="AH85" i="1"/>
  <c r="AI85" i="1" s="1"/>
  <c r="AJ85" i="1" s="1"/>
  <c r="AC85" i="1"/>
  <c r="AD85" i="1" s="1"/>
  <c r="AE85" i="1" s="1"/>
  <c r="W85" i="1"/>
  <c r="X85" i="1" s="1"/>
  <c r="Y85" i="1" s="1"/>
  <c r="S85" i="1"/>
  <c r="N85" i="1"/>
  <c r="I85" i="1"/>
  <c r="NZ84" i="1"/>
  <c r="NU84" i="1"/>
  <c r="NP84" i="1"/>
  <c r="NK84" i="1"/>
  <c r="NF84" i="1"/>
  <c r="NA84" i="1"/>
  <c r="MV84" i="1"/>
  <c r="MQ84" i="1"/>
  <c r="MM84" i="1"/>
  <c r="MI84" i="1"/>
  <c r="MD84" i="1"/>
  <c r="LY84" i="1"/>
  <c r="LT84" i="1"/>
  <c r="LO84" i="1"/>
  <c r="LJ84" i="1"/>
  <c r="LE84" i="1"/>
  <c r="KX84" i="1"/>
  <c r="KY84" i="1" s="1"/>
  <c r="KZ84" i="1" s="1"/>
  <c r="KV84" i="1"/>
  <c r="KQ84" i="1"/>
  <c r="KM84" i="1"/>
  <c r="KI84" i="1"/>
  <c r="KE84" i="1"/>
  <c r="KA84" i="1"/>
  <c r="JV84" i="1"/>
  <c r="JQ84" i="1"/>
  <c r="JM84" i="1"/>
  <c r="JI84" i="1"/>
  <c r="JD84" i="1"/>
  <c r="IY84" i="1"/>
  <c r="IT84" i="1"/>
  <c r="IO84" i="1"/>
  <c r="IH84" i="1"/>
  <c r="II84" i="1" s="1"/>
  <c r="IJ84" i="1" s="1"/>
  <c r="IC84" i="1"/>
  <c r="ID84" i="1" s="1"/>
  <c r="IE84" i="1" s="1"/>
  <c r="HX84" i="1"/>
  <c r="HY84" i="1" s="1"/>
  <c r="HZ84" i="1" s="1"/>
  <c r="HU84" i="1"/>
  <c r="HP84" i="1"/>
  <c r="HI84" i="1"/>
  <c r="HJ84" i="1" s="1"/>
  <c r="HK84" i="1" s="1"/>
  <c r="HD84" i="1"/>
  <c r="HE84" i="1" s="1"/>
  <c r="HF84" i="1" s="1"/>
  <c r="GY84" i="1"/>
  <c r="GZ84" i="1" s="1"/>
  <c r="HA84" i="1" s="1"/>
  <c r="GT84" i="1"/>
  <c r="GU84" i="1" s="1"/>
  <c r="GV84" i="1" s="1"/>
  <c r="GO84" i="1"/>
  <c r="GP84" i="1" s="1"/>
  <c r="GQ84" i="1" s="1"/>
  <c r="GJ84" i="1"/>
  <c r="GK84" i="1" s="1"/>
  <c r="GL84" i="1" s="1"/>
  <c r="GE84" i="1"/>
  <c r="GF84" i="1" s="1"/>
  <c r="GG84" i="1" s="1"/>
  <c r="FZ84" i="1"/>
  <c r="GA84" i="1" s="1"/>
  <c r="GB84" i="1" s="1"/>
  <c r="FU84" i="1"/>
  <c r="FV84" i="1" s="1"/>
  <c r="FW84" i="1" s="1"/>
  <c r="FP84" i="1"/>
  <c r="FQ84" i="1" s="1"/>
  <c r="FR84" i="1" s="1"/>
  <c r="FK84" i="1"/>
  <c r="FL84" i="1" s="1"/>
  <c r="FM84" i="1" s="1"/>
  <c r="FF84" i="1"/>
  <c r="FG84" i="1" s="1"/>
  <c r="FH84" i="1" s="1"/>
  <c r="FA84" i="1"/>
  <c r="FB84" i="1" s="1"/>
  <c r="FC84" i="1" s="1"/>
  <c r="EV84" i="1"/>
  <c r="EW84" i="1" s="1"/>
  <c r="EX84" i="1" s="1"/>
  <c r="EQ84" i="1"/>
  <c r="ER84" i="1" s="1"/>
  <c r="ES84" i="1" s="1"/>
  <c r="EL84" i="1"/>
  <c r="EM84" i="1" s="1"/>
  <c r="EN84" i="1" s="1"/>
  <c r="EE84" i="1"/>
  <c r="EF84" i="1" s="1"/>
  <c r="EG84" i="1" s="1"/>
  <c r="DZ84" i="1"/>
  <c r="EA84" i="1" s="1"/>
  <c r="EB84" i="1" s="1"/>
  <c r="DU84" i="1"/>
  <c r="DV84" i="1" s="1"/>
  <c r="DW84" i="1" s="1"/>
  <c r="DP84" i="1"/>
  <c r="DQ84" i="1" s="1"/>
  <c r="DR84" i="1" s="1"/>
  <c r="DK84" i="1"/>
  <c r="DL84" i="1" s="1"/>
  <c r="DM84" i="1" s="1"/>
  <c r="DF84" i="1"/>
  <c r="DG84" i="1" s="1"/>
  <c r="DH84" i="1" s="1"/>
  <c r="DA84" i="1"/>
  <c r="DB84" i="1" s="1"/>
  <c r="DC84" i="1" s="1"/>
  <c r="CV84" i="1"/>
  <c r="CW84" i="1" s="1"/>
  <c r="CX84" i="1" s="1"/>
  <c r="CQ84" i="1"/>
  <c r="CR84" i="1" s="1"/>
  <c r="CS84" i="1" s="1"/>
  <c r="CL84" i="1"/>
  <c r="CM84" i="1" s="1"/>
  <c r="CN84" i="1" s="1"/>
  <c r="CI84" i="1"/>
  <c r="CA84" i="1"/>
  <c r="CB84" i="1" s="1"/>
  <c r="CC84" i="1" s="1"/>
  <c r="BV84" i="1"/>
  <c r="BW84" i="1" s="1"/>
  <c r="BX84" i="1" s="1"/>
  <c r="BQ84" i="1"/>
  <c r="BR84" i="1" s="1"/>
  <c r="BS84" i="1" s="1"/>
  <c r="BL84" i="1"/>
  <c r="BM84" i="1" s="1"/>
  <c r="BN84" i="1" s="1"/>
  <c r="BG84" i="1"/>
  <c r="BH84" i="1" s="1"/>
  <c r="BI84" i="1" s="1"/>
  <c r="BB84" i="1"/>
  <c r="BC84" i="1" s="1"/>
  <c r="BD84" i="1" s="1"/>
  <c r="AW84" i="1"/>
  <c r="AX84" i="1" s="1"/>
  <c r="AY84" i="1" s="1"/>
  <c r="AR84" i="1"/>
  <c r="AS84" i="1" s="1"/>
  <c r="AT84" i="1" s="1"/>
  <c r="AM84" i="1"/>
  <c r="AN84" i="1" s="1"/>
  <c r="AO84" i="1" s="1"/>
  <c r="AH84" i="1"/>
  <c r="AI84" i="1" s="1"/>
  <c r="AJ84" i="1" s="1"/>
  <c r="AE84" i="1"/>
  <c r="W84" i="1"/>
  <c r="X84" i="1" s="1"/>
  <c r="Y84" i="1" s="1"/>
  <c r="S84" i="1"/>
  <c r="N84" i="1"/>
  <c r="I84" i="1"/>
  <c r="NZ83" i="1"/>
  <c r="NU83" i="1"/>
  <c r="NP83" i="1"/>
  <c r="NK83" i="1"/>
  <c r="NF83" i="1"/>
  <c r="NA83" i="1"/>
  <c r="MV83" i="1"/>
  <c r="MQ83" i="1"/>
  <c r="MM83" i="1"/>
  <c r="MI83" i="1"/>
  <c r="MD83" i="1"/>
  <c r="LY83" i="1"/>
  <c r="LT83" i="1"/>
  <c r="LO83" i="1"/>
  <c r="LJ83" i="1"/>
  <c r="LE83" i="1"/>
  <c r="KZ83" i="1"/>
  <c r="KV83" i="1"/>
  <c r="KQ83" i="1"/>
  <c r="KM83" i="1"/>
  <c r="KI83" i="1"/>
  <c r="KE83" i="1"/>
  <c r="JY83" i="1"/>
  <c r="JZ83" i="1" s="1"/>
  <c r="KA83" i="1" s="1"/>
  <c r="JV83" i="1"/>
  <c r="JQ83" i="1"/>
  <c r="JM83" i="1"/>
  <c r="JI83" i="1"/>
  <c r="JD83" i="1"/>
  <c r="IY83" i="1"/>
  <c r="IT83" i="1"/>
  <c r="IO83" i="1"/>
  <c r="IJ83" i="1"/>
  <c r="IE83" i="1"/>
  <c r="HZ83" i="1"/>
  <c r="HU83" i="1"/>
  <c r="HP83" i="1"/>
  <c r="HK83" i="1"/>
  <c r="HD83" i="1"/>
  <c r="HE83" i="1" s="1"/>
  <c r="HF83" i="1" s="1"/>
  <c r="GY83" i="1"/>
  <c r="GZ83" i="1" s="1"/>
  <c r="HA83" i="1" s="1"/>
  <c r="GT83" i="1"/>
  <c r="GU83" i="1" s="1"/>
  <c r="GV83" i="1" s="1"/>
  <c r="GO83" i="1"/>
  <c r="GP83" i="1" s="1"/>
  <c r="GQ83" i="1" s="1"/>
  <c r="GJ83" i="1"/>
  <c r="GK83" i="1" s="1"/>
  <c r="GL83" i="1" s="1"/>
  <c r="GE83" i="1"/>
  <c r="GF83" i="1" s="1"/>
  <c r="GG83" i="1" s="1"/>
  <c r="FZ83" i="1"/>
  <c r="GA83" i="1" s="1"/>
  <c r="GB83" i="1" s="1"/>
  <c r="FU83" i="1"/>
  <c r="FV83" i="1" s="1"/>
  <c r="FW83" i="1" s="1"/>
  <c r="FP83" i="1"/>
  <c r="FQ83" i="1" s="1"/>
  <c r="FR83" i="1" s="1"/>
  <c r="FK83" i="1"/>
  <c r="FL83" i="1" s="1"/>
  <c r="FM83" i="1" s="1"/>
  <c r="FF83" i="1"/>
  <c r="FG83" i="1" s="1"/>
  <c r="FH83" i="1" s="1"/>
  <c r="FA83" i="1"/>
  <c r="FB83" i="1" s="1"/>
  <c r="FC83" i="1" s="1"/>
  <c r="EV83" i="1"/>
  <c r="EW83" i="1" s="1"/>
  <c r="EX83" i="1" s="1"/>
  <c r="EQ83" i="1"/>
  <c r="ER83" i="1" s="1"/>
  <c r="ES83" i="1" s="1"/>
  <c r="EL83" i="1"/>
  <c r="EM83" i="1" s="1"/>
  <c r="EN83" i="1" s="1"/>
  <c r="EE83" i="1"/>
  <c r="EF83" i="1" s="1"/>
  <c r="EG83" i="1" s="1"/>
  <c r="DZ83" i="1"/>
  <c r="EA83" i="1" s="1"/>
  <c r="EB83" i="1" s="1"/>
  <c r="DU83" i="1"/>
  <c r="DV83" i="1" s="1"/>
  <c r="DW83" i="1" s="1"/>
  <c r="DP83" i="1"/>
  <c r="DQ83" i="1" s="1"/>
  <c r="DR83" i="1" s="1"/>
  <c r="DK83" i="1"/>
  <c r="DL83" i="1" s="1"/>
  <c r="DM83" i="1" s="1"/>
  <c r="DF83" i="1"/>
  <c r="DG83" i="1" s="1"/>
  <c r="DH83" i="1" s="1"/>
  <c r="DA83" i="1"/>
  <c r="DB83" i="1" s="1"/>
  <c r="DC83" i="1" s="1"/>
  <c r="CV83" i="1"/>
  <c r="CW83" i="1" s="1"/>
  <c r="CX83" i="1" s="1"/>
  <c r="CQ83" i="1"/>
  <c r="CR83" i="1" s="1"/>
  <c r="CS83" i="1" s="1"/>
  <c r="CL83" i="1"/>
  <c r="CM83" i="1" s="1"/>
  <c r="CN83" i="1" s="1"/>
  <c r="CG83" i="1"/>
  <c r="CH83" i="1" s="1"/>
  <c r="CI83" i="1" s="1"/>
  <c r="CA83" i="1"/>
  <c r="CB83" i="1" s="1"/>
  <c r="CC83" i="1" s="1"/>
  <c r="BV83" i="1"/>
  <c r="BW83" i="1" s="1"/>
  <c r="BX83" i="1" s="1"/>
  <c r="BQ83" i="1"/>
  <c r="BR83" i="1" s="1"/>
  <c r="BS83" i="1" s="1"/>
  <c r="BL83" i="1"/>
  <c r="BM83" i="1" s="1"/>
  <c r="BN83" i="1" s="1"/>
  <c r="BG83" i="1"/>
  <c r="BH83" i="1" s="1"/>
  <c r="BI83" i="1" s="1"/>
  <c r="BB83" i="1"/>
  <c r="BC83" i="1" s="1"/>
  <c r="BD83" i="1" s="1"/>
  <c r="AW83" i="1"/>
  <c r="AX83" i="1" s="1"/>
  <c r="AY83" i="1" s="1"/>
  <c r="AR83" i="1"/>
  <c r="AS83" i="1" s="1"/>
  <c r="AT83" i="1" s="1"/>
  <c r="AM83" i="1"/>
  <c r="AN83" i="1" s="1"/>
  <c r="AO83" i="1" s="1"/>
  <c r="AH83" i="1"/>
  <c r="AI83" i="1" s="1"/>
  <c r="AJ83" i="1" s="1"/>
  <c r="AE83" i="1"/>
  <c r="W83" i="1"/>
  <c r="X83" i="1" s="1"/>
  <c r="Y83" i="1" s="1"/>
  <c r="S83" i="1"/>
  <c r="N83" i="1"/>
  <c r="G83" i="1"/>
  <c r="H83" i="1" s="1"/>
  <c r="I83" i="1" s="1"/>
  <c r="NZ82" i="1"/>
  <c r="NU82" i="1"/>
  <c r="NP82" i="1"/>
  <c r="NK82" i="1"/>
  <c r="NF82" i="1"/>
  <c r="NA82" i="1"/>
  <c r="MV82" i="1"/>
  <c r="MQ82" i="1"/>
  <c r="MM82" i="1"/>
  <c r="MI82" i="1"/>
  <c r="MD82" i="1"/>
  <c r="LY82" i="1"/>
  <c r="LT82" i="1"/>
  <c r="LO82" i="1"/>
  <c r="LJ82" i="1"/>
  <c r="LE82" i="1"/>
  <c r="KZ82" i="1"/>
  <c r="KV82" i="1"/>
  <c r="KO82" i="1"/>
  <c r="KP82" i="1" s="1"/>
  <c r="KQ82" i="1" s="1"/>
  <c r="KK82" i="1"/>
  <c r="KL82" i="1" s="1"/>
  <c r="KM82" i="1" s="1"/>
  <c r="KI82" i="1"/>
  <c r="KE82" i="1"/>
  <c r="KA82" i="1"/>
  <c r="JV82" i="1"/>
  <c r="JQ82" i="1"/>
  <c r="JM82" i="1"/>
  <c r="JI82" i="1"/>
  <c r="JD82" i="1"/>
  <c r="IY82" i="1"/>
  <c r="IT82" i="1"/>
  <c r="IO82" i="1"/>
  <c r="IJ82" i="1"/>
  <c r="IE82" i="1"/>
  <c r="HZ82" i="1"/>
  <c r="HU82" i="1"/>
  <c r="HP82" i="1"/>
  <c r="HI82" i="1"/>
  <c r="HJ82" i="1" s="1"/>
  <c r="HK82" i="1" s="1"/>
  <c r="HD82" i="1"/>
  <c r="HE82" i="1" s="1"/>
  <c r="HF82" i="1" s="1"/>
  <c r="GY82" i="1"/>
  <c r="GZ82" i="1" s="1"/>
  <c r="HA82" i="1" s="1"/>
  <c r="GT82" i="1"/>
  <c r="GU82" i="1" s="1"/>
  <c r="GV82" i="1" s="1"/>
  <c r="GO82" i="1"/>
  <c r="GP82" i="1" s="1"/>
  <c r="GQ82" i="1" s="1"/>
  <c r="GJ82" i="1"/>
  <c r="GK82" i="1" s="1"/>
  <c r="GL82" i="1" s="1"/>
  <c r="GE82" i="1"/>
  <c r="GF82" i="1" s="1"/>
  <c r="GG82" i="1" s="1"/>
  <c r="FZ82" i="1"/>
  <c r="GA82" i="1" s="1"/>
  <c r="GB82" i="1" s="1"/>
  <c r="FU82" i="1"/>
  <c r="FV82" i="1" s="1"/>
  <c r="FW82" i="1" s="1"/>
  <c r="FP82" i="1"/>
  <c r="FQ82" i="1" s="1"/>
  <c r="FR82" i="1" s="1"/>
  <c r="FK82" i="1"/>
  <c r="FL82" i="1" s="1"/>
  <c r="FM82" i="1" s="1"/>
  <c r="FF82" i="1"/>
  <c r="FG82" i="1" s="1"/>
  <c r="FH82" i="1" s="1"/>
  <c r="FA82" i="1"/>
  <c r="FB82" i="1" s="1"/>
  <c r="FC82" i="1" s="1"/>
  <c r="EV82" i="1"/>
  <c r="EW82" i="1" s="1"/>
  <c r="EX82" i="1" s="1"/>
  <c r="EQ82" i="1"/>
  <c r="ER82" i="1" s="1"/>
  <c r="ES82" i="1" s="1"/>
  <c r="EL82" i="1"/>
  <c r="EM82" i="1" s="1"/>
  <c r="EN82" i="1" s="1"/>
  <c r="EE82" i="1"/>
  <c r="EF82" i="1" s="1"/>
  <c r="EG82" i="1" s="1"/>
  <c r="DZ82" i="1"/>
  <c r="EA82" i="1" s="1"/>
  <c r="EB82" i="1" s="1"/>
  <c r="DU82" i="1"/>
  <c r="DV82" i="1" s="1"/>
  <c r="DW82" i="1" s="1"/>
  <c r="DP82" i="1"/>
  <c r="DQ82" i="1" s="1"/>
  <c r="DR82" i="1" s="1"/>
  <c r="DK82" i="1"/>
  <c r="DL82" i="1" s="1"/>
  <c r="DM82" i="1" s="1"/>
  <c r="DF82" i="1"/>
  <c r="DG82" i="1" s="1"/>
  <c r="DH82" i="1" s="1"/>
  <c r="DA82" i="1"/>
  <c r="DB82" i="1" s="1"/>
  <c r="DC82" i="1" s="1"/>
  <c r="CV82" i="1"/>
  <c r="CW82" i="1" s="1"/>
  <c r="CX82" i="1" s="1"/>
  <c r="CQ82" i="1"/>
  <c r="CR82" i="1" s="1"/>
  <c r="CS82" i="1" s="1"/>
  <c r="CL82" i="1"/>
  <c r="CM82" i="1" s="1"/>
  <c r="CN82" i="1" s="1"/>
  <c r="CG82" i="1"/>
  <c r="CH82" i="1" s="1"/>
  <c r="CI82" i="1" s="1"/>
  <c r="CA82" i="1"/>
  <c r="CB82" i="1" s="1"/>
  <c r="CC82" i="1" s="1"/>
  <c r="BV82" i="1"/>
  <c r="BW82" i="1" s="1"/>
  <c r="BX82" i="1" s="1"/>
  <c r="BQ82" i="1"/>
  <c r="BR82" i="1" s="1"/>
  <c r="BS82" i="1" s="1"/>
  <c r="BL82" i="1"/>
  <c r="BM82" i="1" s="1"/>
  <c r="BN82" i="1" s="1"/>
  <c r="BG82" i="1"/>
  <c r="BH82" i="1" s="1"/>
  <c r="BI82" i="1" s="1"/>
  <c r="BB82" i="1"/>
  <c r="BC82" i="1" s="1"/>
  <c r="BD82" i="1" s="1"/>
  <c r="AW82" i="1"/>
  <c r="AX82" i="1" s="1"/>
  <c r="AY82" i="1" s="1"/>
  <c r="AR82" i="1"/>
  <c r="AS82" i="1" s="1"/>
  <c r="AT82" i="1" s="1"/>
  <c r="AM82" i="1"/>
  <c r="AN82" i="1" s="1"/>
  <c r="AO82" i="1" s="1"/>
  <c r="AH82" i="1"/>
  <c r="AI82" i="1" s="1"/>
  <c r="AJ82" i="1" s="1"/>
  <c r="AC82" i="1"/>
  <c r="AD82" i="1" s="1"/>
  <c r="AE82" i="1" s="1"/>
  <c r="W82" i="1"/>
  <c r="X82" i="1" s="1"/>
  <c r="Y82" i="1" s="1"/>
  <c r="Q82" i="1"/>
  <c r="R82" i="1" s="1"/>
  <c r="S82" i="1" s="1"/>
  <c r="N82" i="1"/>
  <c r="I82" i="1"/>
  <c r="NZ81" i="1"/>
  <c r="NU81" i="1"/>
  <c r="NP81" i="1"/>
  <c r="NK81" i="1"/>
  <c r="NF81" i="1"/>
  <c r="NA81" i="1"/>
  <c r="MV81" i="1"/>
  <c r="MQ81" i="1"/>
  <c r="MM81" i="1"/>
  <c r="MI81" i="1"/>
  <c r="MD81" i="1"/>
  <c r="LY81" i="1"/>
  <c r="LT81" i="1"/>
  <c r="LO81" i="1"/>
  <c r="LJ81" i="1"/>
  <c r="LE81" i="1"/>
  <c r="KZ81" i="1"/>
  <c r="KV81" i="1"/>
  <c r="KQ81" i="1"/>
  <c r="KM81" i="1"/>
  <c r="KI81" i="1"/>
  <c r="KE81" i="1"/>
  <c r="KA81" i="1"/>
  <c r="JV81" i="1"/>
  <c r="JQ81" i="1"/>
  <c r="JM81" i="1"/>
  <c r="JI81" i="1"/>
  <c r="JD81" i="1"/>
  <c r="IW81" i="1"/>
  <c r="IX81" i="1" s="1"/>
  <c r="IY81" i="1" s="1"/>
  <c r="IT81" i="1"/>
  <c r="IO81" i="1"/>
  <c r="IJ81" i="1"/>
  <c r="IC81" i="1"/>
  <c r="ID81" i="1" s="1"/>
  <c r="IE81" i="1" s="1"/>
  <c r="HZ81" i="1"/>
  <c r="HU81" i="1"/>
  <c r="HN81" i="1"/>
  <c r="HO81" i="1" s="1"/>
  <c r="HP81" i="1" s="1"/>
  <c r="HI81" i="1"/>
  <c r="HJ81" i="1" s="1"/>
  <c r="HK81" i="1" s="1"/>
  <c r="HD81" i="1"/>
  <c r="HE81" i="1" s="1"/>
  <c r="HF81" i="1" s="1"/>
  <c r="GY81" i="1"/>
  <c r="GZ81" i="1" s="1"/>
  <c r="HA81" i="1" s="1"/>
  <c r="GT81" i="1"/>
  <c r="GU81" i="1" s="1"/>
  <c r="GV81" i="1" s="1"/>
  <c r="GO81" i="1"/>
  <c r="GP81" i="1" s="1"/>
  <c r="GQ81" i="1" s="1"/>
  <c r="GJ81" i="1"/>
  <c r="GK81" i="1" s="1"/>
  <c r="GL81" i="1" s="1"/>
  <c r="GE81" i="1"/>
  <c r="GF81" i="1" s="1"/>
  <c r="GG81" i="1" s="1"/>
  <c r="FZ81" i="1"/>
  <c r="GA81" i="1" s="1"/>
  <c r="GB81" i="1" s="1"/>
  <c r="FU81" i="1"/>
  <c r="FV81" i="1" s="1"/>
  <c r="FW81" i="1" s="1"/>
  <c r="FP81" i="1"/>
  <c r="FQ81" i="1" s="1"/>
  <c r="FR81" i="1" s="1"/>
  <c r="FK81" i="1"/>
  <c r="FL81" i="1" s="1"/>
  <c r="FM81" i="1" s="1"/>
  <c r="FF81" i="1"/>
  <c r="FG81" i="1" s="1"/>
  <c r="FH81" i="1" s="1"/>
  <c r="FA81" i="1"/>
  <c r="FB81" i="1" s="1"/>
  <c r="FC81" i="1" s="1"/>
  <c r="EV81" i="1"/>
  <c r="EW81" i="1" s="1"/>
  <c r="EX81" i="1" s="1"/>
  <c r="EQ81" i="1"/>
  <c r="ER81" i="1" s="1"/>
  <c r="ES81" i="1" s="1"/>
  <c r="EL81" i="1"/>
  <c r="EM81" i="1" s="1"/>
  <c r="EN81" i="1" s="1"/>
  <c r="EE81" i="1"/>
  <c r="EF81" i="1" s="1"/>
  <c r="EG81" i="1" s="1"/>
  <c r="DZ81" i="1"/>
  <c r="EA81" i="1" s="1"/>
  <c r="EB81" i="1" s="1"/>
  <c r="DU81" i="1"/>
  <c r="DV81" i="1" s="1"/>
  <c r="DW81" i="1" s="1"/>
  <c r="DP81" i="1"/>
  <c r="DQ81" i="1" s="1"/>
  <c r="DR81" i="1" s="1"/>
  <c r="DK81" i="1"/>
  <c r="DL81" i="1" s="1"/>
  <c r="DM81" i="1" s="1"/>
  <c r="DF81" i="1"/>
  <c r="DG81" i="1" s="1"/>
  <c r="DH81" i="1" s="1"/>
  <c r="DA81" i="1"/>
  <c r="DB81" i="1" s="1"/>
  <c r="DC81" i="1" s="1"/>
  <c r="CV81" i="1"/>
  <c r="CW81" i="1" s="1"/>
  <c r="CX81" i="1" s="1"/>
  <c r="CQ81" i="1"/>
  <c r="CR81" i="1" s="1"/>
  <c r="CS81" i="1" s="1"/>
  <c r="CL81" i="1"/>
  <c r="CM81" i="1" s="1"/>
  <c r="CN81" i="1" s="1"/>
  <c r="CG81" i="1"/>
  <c r="CH81" i="1" s="1"/>
  <c r="CI81" i="1" s="1"/>
  <c r="CA81" i="1"/>
  <c r="CB81" i="1" s="1"/>
  <c r="CC81" i="1" s="1"/>
  <c r="BV81" i="1"/>
  <c r="BW81" i="1" s="1"/>
  <c r="BX81" i="1" s="1"/>
  <c r="BQ81" i="1"/>
  <c r="BR81" i="1" s="1"/>
  <c r="BS81" i="1" s="1"/>
  <c r="BL81" i="1"/>
  <c r="BM81" i="1" s="1"/>
  <c r="BN81" i="1" s="1"/>
  <c r="BG81" i="1"/>
  <c r="BH81" i="1" s="1"/>
  <c r="BI81" i="1" s="1"/>
  <c r="BB81" i="1"/>
  <c r="BC81" i="1" s="1"/>
  <c r="BD81" i="1" s="1"/>
  <c r="AW81" i="1"/>
  <c r="AX81" i="1" s="1"/>
  <c r="AY81" i="1" s="1"/>
  <c r="AR81" i="1"/>
  <c r="AS81" i="1" s="1"/>
  <c r="AT81" i="1" s="1"/>
  <c r="AM81" i="1"/>
  <c r="AN81" i="1" s="1"/>
  <c r="AO81" i="1" s="1"/>
  <c r="AH81" i="1"/>
  <c r="AI81" i="1" s="1"/>
  <c r="AJ81" i="1" s="1"/>
  <c r="AC81" i="1"/>
  <c r="AD81" i="1" s="1"/>
  <c r="AE81" i="1" s="1"/>
  <c r="W81" i="1"/>
  <c r="X81" i="1" s="1"/>
  <c r="Y81" i="1" s="1"/>
  <c r="S81" i="1"/>
  <c r="N81" i="1"/>
  <c r="I81" i="1"/>
  <c r="NZ80" i="1"/>
  <c r="NU80" i="1"/>
  <c r="NP80" i="1"/>
  <c r="NK80" i="1"/>
  <c r="NF80" i="1"/>
  <c r="NA80" i="1"/>
  <c r="MV80" i="1"/>
  <c r="MQ80" i="1"/>
  <c r="MM80" i="1"/>
  <c r="MI80" i="1"/>
  <c r="MD80" i="1"/>
  <c r="LY80" i="1"/>
  <c r="LT80" i="1"/>
  <c r="LO80" i="1"/>
  <c r="LJ80" i="1"/>
  <c r="LE80" i="1"/>
  <c r="KZ80" i="1"/>
  <c r="KV80" i="1"/>
  <c r="KQ80" i="1"/>
  <c r="KM80" i="1"/>
  <c r="KI80" i="1"/>
  <c r="KE80" i="1"/>
  <c r="KA80" i="1"/>
  <c r="JV80" i="1"/>
  <c r="JQ80" i="1"/>
  <c r="JM80" i="1"/>
  <c r="JI80" i="1"/>
  <c r="JB80" i="1"/>
  <c r="JC80" i="1" s="1"/>
  <c r="JD80" i="1" s="1"/>
  <c r="IW80" i="1"/>
  <c r="IX80" i="1" s="1"/>
  <c r="IY80" i="1" s="1"/>
  <c r="IR80" i="1"/>
  <c r="IS80" i="1" s="1"/>
  <c r="IT80" i="1" s="1"/>
  <c r="IM80" i="1"/>
  <c r="IN80" i="1" s="1"/>
  <c r="IO80" i="1" s="1"/>
  <c r="IH80" i="1"/>
  <c r="II80" i="1" s="1"/>
  <c r="IJ80" i="1" s="1"/>
  <c r="IC80" i="1"/>
  <c r="ID80" i="1" s="1"/>
  <c r="IE80" i="1" s="1"/>
  <c r="HX80" i="1"/>
  <c r="HY80" i="1" s="1"/>
  <c r="HZ80" i="1" s="1"/>
  <c r="HU80" i="1"/>
  <c r="HP80" i="1"/>
  <c r="HI80" i="1"/>
  <c r="HJ80" i="1" s="1"/>
  <c r="HK80" i="1" s="1"/>
  <c r="HD80" i="1"/>
  <c r="HE80" i="1" s="1"/>
  <c r="HF80" i="1" s="1"/>
  <c r="GY80" i="1"/>
  <c r="GZ80" i="1" s="1"/>
  <c r="HA80" i="1" s="1"/>
  <c r="GT80" i="1"/>
  <c r="GU80" i="1" s="1"/>
  <c r="GV80" i="1" s="1"/>
  <c r="GO80" i="1"/>
  <c r="GP80" i="1" s="1"/>
  <c r="GQ80" i="1" s="1"/>
  <c r="GJ80" i="1"/>
  <c r="GK80" i="1" s="1"/>
  <c r="GL80" i="1" s="1"/>
  <c r="GE80" i="1"/>
  <c r="GF80" i="1" s="1"/>
  <c r="GG80" i="1" s="1"/>
  <c r="FZ80" i="1"/>
  <c r="GA80" i="1" s="1"/>
  <c r="GB80" i="1" s="1"/>
  <c r="FU80" i="1"/>
  <c r="FV80" i="1" s="1"/>
  <c r="FW80" i="1" s="1"/>
  <c r="FP80" i="1"/>
  <c r="FQ80" i="1" s="1"/>
  <c r="FR80" i="1" s="1"/>
  <c r="FK80" i="1"/>
  <c r="FL80" i="1" s="1"/>
  <c r="FM80" i="1" s="1"/>
  <c r="FF80" i="1"/>
  <c r="FG80" i="1" s="1"/>
  <c r="FH80" i="1" s="1"/>
  <c r="FA80" i="1"/>
  <c r="FB80" i="1" s="1"/>
  <c r="FC80" i="1" s="1"/>
  <c r="EV80" i="1"/>
  <c r="EW80" i="1" s="1"/>
  <c r="EX80" i="1" s="1"/>
  <c r="EQ80" i="1"/>
  <c r="ER80" i="1" s="1"/>
  <c r="ES80" i="1" s="1"/>
  <c r="EL80" i="1"/>
  <c r="EM80" i="1" s="1"/>
  <c r="EN80" i="1" s="1"/>
  <c r="EE80" i="1"/>
  <c r="EF80" i="1" s="1"/>
  <c r="EG80" i="1" s="1"/>
  <c r="DZ80" i="1"/>
  <c r="EA80" i="1" s="1"/>
  <c r="EB80" i="1" s="1"/>
  <c r="DU80" i="1"/>
  <c r="DV80" i="1" s="1"/>
  <c r="DW80" i="1" s="1"/>
  <c r="DP80" i="1"/>
  <c r="DQ80" i="1" s="1"/>
  <c r="DR80" i="1" s="1"/>
  <c r="DK80" i="1"/>
  <c r="DL80" i="1" s="1"/>
  <c r="DM80" i="1" s="1"/>
  <c r="DF80" i="1"/>
  <c r="DG80" i="1" s="1"/>
  <c r="DH80" i="1" s="1"/>
  <c r="DA80" i="1"/>
  <c r="DB80" i="1" s="1"/>
  <c r="DC80" i="1" s="1"/>
  <c r="CV80" i="1"/>
  <c r="CW80" i="1" s="1"/>
  <c r="CX80" i="1" s="1"/>
  <c r="CQ80" i="1"/>
  <c r="CR80" i="1" s="1"/>
  <c r="CS80" i="1" s="1"/>
  <c r="CL80" i="1"/>
  <c r="CM80" i="1" s="1"/>
  <c r="CN80" i="1" s="1"/>
  <c r="CG80" i="1"/>
  <c r="CH80" i="1" s="1"/>
  <c r="CI80" i="1" s="1"/>
  <c r="CA80" i="1"/>
  <c r="CB80" i="1" s="1"/>
  <c r="CC80" i="1" s="1"/>
  <c r="BV80" i="1"/>
  <c r="BW80" i="1" s="1"/>
  <c r="BX80" i="1" s="1"/>
  <c r="BQ80" i="1"/>
  <c r="BR80" i="1" s="1"/>
  <c r="BS80" i="1" s="1"/>
  <c r="BL80" i="1"/>
  <c r="BM80" i="1" s="1"/>
  <c r="BN80" i="1" s="1"/>
  <c r="BG80" i="1"/>
  <c r="BH80" i="1" s="1"/>
  <c r="BI80" i="1" s="1"/>
  <c r="BB80" i="1"/>
  <c r="BC80" i="1" s="1"/>
  <c r="BD80" i="1" s="1"/>
  <c r="AW80" i="1"/>
  <c r="AX80" i="1" s="1"/>
  <c r="AY80" i="1" s="1"/>
  <c r="AR80" i="1"/>
  <c r="AS80" i="1" s="1"/>
  <c r="AT80" i="1" s="1"/>
  <c r="AM80" i="1"/>
  <c r="AN80" i="1" s="1"/>
  <c r="AO80" i="1" s="1"/>
  <c r="AH80" i="1"/>
  <c r="AI80" i="1" s="1"/>
  <c r="AJ80" i="1" s="1"/>
  <c r="AC80" i="1"/>
  <c r="AD80" i="1" s="1"/>
  <c r="AE80" i="1" s="1"/>
  <c r="W80" i="1"/>
  <c r="X80" i="1" s="1"/>
  <c r="Y80" i="1" s="1"/>
  <c r="S80" i="1"/>
  <c r="N80" i="1"/>
  <c r="I80" i="1"/>
  <c r="NZ79" i="1"/>
  <c r="NU79" i="1"/>
  <c r="NP79" i="1"/>
  <c r="NK79" i="1"/>
  <c r="NF79" i="1"/>
  <c r="NA79" i="1"/>
  <c r="MV79" i="1"/>
  <c r="MQ79" i="1"/>
  <c r="MM79" i="1"/>
  <c r="MI79" i="1"/>
  <c r="MD79" i="1"/>
  <c r="LY79" i="1"/>
  <c r="LT79" i="1"/>
  <c r="LO79" i="1"/>
  <c r="LJ79" i="1"/>
  <c r="LC79" i="1"/>
  <c r="LD79" i="1" s="1"/>
  <c r="LE79" i="1" s="1"/>
  <c r="KZ79" i="1"/>
  <c r="KV79" i="1"/>
  <c r="KO79" i="1"/>
  <c r="KP79" i="1" s="1"/>
  <c r="KQ79" i="1" s="1"/>
  <c r="KM79" i="1"/>
  <c r="KI79" i="1"/>
  <c r="KE79" i="1"/>
  <c r="KA79" i="1"/>
  <c r="JV79" i="1"/>
  <c r="JQ79" i="1"/>
  <c r="JM79" i="1"/>
  <c r="JI79" i="1"/>
  <c r="JB79" i="1"/>
  <c r="JC79" i="1" s="1"/>
  <c r="JD79" i="1" s="1"/>
  <c r="IW79" i="1"/>
  <c r="IX79" i="1" s="1"/>
  <c r="IY79" i="1" s="1"/>
  <c r="IR79" i="1"/>
  <c r="IS79" i="1" s="1"/>
  <c r="IT79" i="1" s="1"/>
  <c r="IM79" i="1"/>
  <c r="IN79" i="1" s="1"/>
  <c r="IO79" i="1" s="1"/>
  <c r="IH79" i="1"/>
  <c r="II79" i="1" s="1"/>
  <c r="IJ79" i="1" s="1"/>
  <c r="IC79" i="1"/>
  <c r="ID79" i="1" s="1"/>
  <c r="IE79" i="1" s="1"/>
  <c r="HX79" i="1"/>
  <c r="HY79" i="1" s="1"/>
  <c r="HZ79" i="1" s="1"/>
  <c r="HU79" i="1"/>
  <c r="HN79" i="1"/>
  <c r="HO79" i="1" s="1"/>
  <c r="HP79" i="1" s="1"/>
  <c r="HI79" i="1"/>
  <c r="HJ79" i="1" s="1"/>
  <c r="HK79" i="1" s="1"/>
  <c r="HD79" i="1"/>
  <c r="HE79" i="1" s="1"/>
  <c r="HF79" i="1" s="1"/>
  <c r="GY79" i="1"/>
  <c r="GZ79" i="1" s="1"/>
  <c r="HA79" i="1" s="1"/>
  <c r="GT79" i="1"/>
  <c r="GU79" i="1" s="1"/>
  <c r="GV79" i="1" s="1"/>
  <c r="GO79" i="1"/>
  <c r="GP79" i="1" s="1"/>
  <c r="GQ79" i="1" s="1"/>
  <c r="GJ79" i="1"/>
  <c r="GK79" i="1" s="1"/>
  <c r="GL79" i="1" s="1"/>
  <c r="GE79" i="1"/>
  <c r="GF79" i="1" s="1"/>
  <c r="GG79" i="1" s="1"/>
  <c r="FZ79" i="1"/>
  <c r="GA79" i="1" s="1"/>
  <c r="GB79" i="1" s="1"/>
  <c r="FU79" i="1"/>
  <c r="FV79" i="1" s="1"/>
  <c r="FW79" i="1" s="1"/>
  <c r="FP79" i="1"/>
  <c r="FQ79" i="1" s="1"/>
  <c r="FR79" i="1" s="1"/>
  <c r="FK79" i="1"/>
  <c r="FL79" i="1" s="1"/>
  <c r="FM79" i="1" s="1"/>
  <c r="FF79" i="1"/>
  <c r="FG79" i="1" s="1"/>
  <c r="FH79" i="1" s="1"/>
  <c r="FA79" i="1"/>
  <c r="FB79" i="1" s="1"/>
  <c r="FC79" i="1" s="1"/>
  <c r="EV79" i="1"/>
  <c r="EW79" i="1" s="1"/>
  <c r="EX79" i="1" s="1"/>
  <c r="EQ79" i="1"/>
  <c r="ER79" i="1" s="1"/>
  <c r="ES79" i="1" s="1"/>
  <c r="EL79" i="1"/>
  <c r="EM79" i="1" s="1"/>
  <c r="EN79" i="1" s="1"/>
  <c r="EE79" i="1"/>
  <c r="EF79" i="1" s="1"/>
  <c r="EG79" i="1" s="1"/>
  <c r="DZ79" i="1"/>
  <c r="EA79" i="1" s="1"/>
  <c r="EB79" i="1" s="1"/>
  <c r="DU79" i="1"/>
  <c r="DV79" i="1" s="1"/>
  <c r="DW79" i="1" s="1"/>
  <c r="DP79" i="1"/>
  <c r="DQ79" i="1" s="1"/>
  <c r="DR79" i="1" s="1"/>
  <c r="DK79" i="1"/>
  <c r="DL79" i="1" s="1"/>
  <c r="DM79" i="1" s="1"/>
  <c r="DF79" i="1"/>
  <c r="DG79" i="1" s="1"/>
  <c r="DH79" i="1" s="1"/>
  <c r="DA79" i="1"/>
  <c r="DB79" i="1" s="1"/>
  <c r="DC79" i="1" s="1"/>
  <c r="CV79" i="1"/>
  <c r="CW79" i="1" s="1"/>
  <c r="CX79" i="1" s="1"/>
  <c r="CQ79" i="1"/>
  <c r="CR79" i="1" s="1"/>
  <c r="CS79" i="1" s="1"/>
  <c r="CL79" i="1"/>
  <c r="CM79" i="1" s="1"/>
  <c r="CN79" i="1" s="1"/>
  <c r="CG79" i="1"/>
  <c r="CH79" i="1" s="1"/>
  <c r="CI79" i="1" s="1"/>
  <c r="CA79" i="1"/>
  <c r="CB79" i="1" s="1"/>
  <c r="CC79" i="1" s="1"/>
  <c r="BV79" i="1"/>
  <c r="BW79" i="1" s="1"/>
  <c r="BX79" i="1" s="1"/>
  <c r="BQ79" i="1"/>
  <c r="BR79" i="1" s="1"/>
  <c r="BS79" i="1" s="1"/>
  <c r="BL79" i="1"/>
  <c r="BM79" i="1" s="1"/>
  <c r="BN79" i="1" s="1"/>
  <c r="BG79" i="1"/>
  <c r="BH79" i="1" s="1"/>
  <c r="BI79" i="1" s="1"/>
  <c r="BB79" i="1"/>
  <c r="BC79" i="1" s="1"/>
  <c r="BD79" i="1" s="1"/>
  <c r="AW79" i="1"/>
  <c r="AX79" i="1" s="1"/>
  <c r="AY79" i="1" s="1"/>
  <c r="AR79" i="1"/>
  <c r="AS79" i="1" s="1"/>
  <c r="AT79" i="1" s="1"/>
  <c r="AM79" i="1"/>
  <c r="AN79" i="1" s="1"/>
  <c r="AO79" i="1" s="1"/>
  <c r="AH79" i="1"/>
  <c r="AI79" i="1" s="1"/>
  <c r="AJ79" i="1" s="1"/>
  <c r="AC79" i="1"/>
  <c r="AD79" i="1" s="1"/>
  <c r="AE79" i="1" s="1"/>
  <c r="W79" i="1"/>
  <c r="X79" i="1" s="1"/>
  <c r="Y79" i="1" s="1"/>
  <c r="S79" i="1"/>
  <c r="N79" i="1"/>
  <c r="I79" i="1"/>
  <c r="NZ78" i="1"/>
  <c r="NU78" i="1"/>
  <c r="NP78" i="1"/>
  <c r="NK78" i="1"/>
  <c r="NF78" i="1"/>
  <c r="NA78" i="1"/>
  <c r="MV78" i="1"/>
  <c r="MQ78" i="1"/>
  <c r="MM78" i="1"/>
  <c r="MI78" i="1"/>
  <c r="MD78" i="1"/>
  <c r="LY78" i="1"/>
  <c r="LT78" i="1"/>
  <c r="LO78" i="1"/>
  <c r="LJ78" i="1"/>
  <c r="LC78" i="1"/>
  <c r="LD78" i="1" s="1"/>
  <c r="LE78" i="1" s="1"/>
  <c r="KZ78" i="1"/>
  <c r="KV78" i="1"/>
  <c r="KQ78" i="1"/>
  <c r="KM78" i="1"/>
  <c r="KI78" i="1"/>
  <c r="KE78" i="1"/>
  <c r="KA78" i="1"/>
  <c r="JV78" i="1"/>
  <c r="JQ78" i="1"/>
  <c r="JM78" i="1"/>
  <c r="JI78" i="1"/>
  <c r="JD78" i="1"/>
  <c r="IY78" i="1"/>
  <c r="IT78" i="1"/>
  <c r="IO78" i="1"/>
  <c r="IJ78" i="1"/>
  <c r="IE78" i="1"/>
  <c r="HZ78" i="1"/>
  <c r="HU78" i="1"/>
  <c r="HP78" i="1"/>
  <c r="HI78" i="1"/>
  <c r="HJ78" i="1" s="1"/>
  <c r="HK78" i="1" s="1"/>
  <c r="HE78" i="1"/>
  <c r="HF78" i="1" s="1"/>
  <c r="HD78" i="1"/>
  <c r="GY78" i="1"/>
  <c r="GZ78" i="1" s="1"/>
  <c r="HA78" i="1" s="1"/>
  <c r="GT78" i="1"/>
  <c r="GU78" i="1" s="1"/>
  <c r="GV78" i="1" s="1"/>
  <c r="GO78" i="1"/>
  <c r="GP78" i="1" s="1"/>
  <c r="GQ78" i="1" s="1"/>
  <c r="GJ78" i="1"/>
  <c r="GK78" i="1" s="1"/>
  <c r="GL78" i="1" s="1"/>
  <c r="GE78" i="1"/>
  <c r="GF78" i="1" s="1"/>
  <c r="GG78" i="1" s="1"/>
  <c r="FZ78" i="1"/>
  <c r="GA78" i="1" s="1"/>
  <c r="GB78" i="1" s="1"/>
  <c r="FU78" i="1"/>
  <c r="FV78" i="1" s="1"/>
  <c r="FW78" i="1" s="1"/>
  <c r="FP78" i="1"/>
  <c r="FQ78" i="1" s="1"/>
  <c r="FR78" i="1" s="1"/>
  <c r="FK78" i="1"/>
  <c r="FL78" i="1" s="1"/>
  <c r="FM78" i="1" s="1"/>
  <c r="FF78" i="1"/>
  <c r="FG78" i="1" s="1"/>
  <c r="FH78" i="1" s="1"/>
  <c r="FA78" i="1"/>
  <c r="FB78" i="1" s="1"/>
  <c r="FC78" i="1" s="1"/>
  <c r="EV78" i="1"/>
  <c r="EW78" i="1" s="1"/>
  <c r="EX78" i="1" s="1"/>
  <c r="EQ78" i="1"/>
  <c r="ER78" i="1" s="1"/>
  <c r="ES78" i="1" s="1"/>
  <c r="EL78" i="1"/>
  <c r="EM78" i="1" s="1"/>
  <c r="EN78" i="1" s="1"/>
  <c r="EE78" i="1"/>
  <c r="EF78" i="1" s="1"/>
  <c r="EG78" i="1" s="1"/>
  <c r="DZ78" i="1"/>
  <c r="EA78" i="1" s="1"/>
  <c r="EB78" i="1" s="1"/>
  <c r="DU78" i="1"/>
  <c r="DV78" i="1" s="1"/>
  <c r="DW78" i="1" s="1"/>
  <c r="DP78" i="1"/>
  <c r="DQ78" i="1" s="1"/>
  <c r="DR78" i="1" s="1"/>
  <c r="DK78" i="1"/>
  <c r="DL78" i="1" s="1"/>
  <c r="DM78" i="1" s="1"/>
  <c r="DF78" i="1"/>
  <c r="DG78" i="1" s="1"/>
  <c r="DH78" i="1" s="1"/>
  <c r="DA78" i="1"/>
  <c r="DB78" i="1" s="1"/>
  <c r="DC78" i="1" s="1"/>
  <c r="CV78" i="1"/>
  <c r="CW78" i="1" s="1"/>
  <c r="CX78" i="1" s="1"/>
  <c r="CQ78" i="1"/>
  <c r="CR78" i="1" s="1"/>
  <c r="CS78" i="1" s="1"/>
  <c r="CL78" i="1"/>
  <c r="CM78" i="1" s="1"/>
  <c r="CN78" i="1" s="1"/>
  <c r="CG78" i="1"/>
  <c r="CH78" i="1" s="1"/>
  <c r="CI78" i="1" s="1"/>
  <c r="CA78" i="1"/>
  <c r="CB78" i="1" s="1"/>
  <c r="CC78" i="1" s="1"/>
  <c r="BV78" i="1"/>
  <c r="BW78" i="1" s="1"/>
  <c r="BX78" i="1" s="1"/>
  <c r="BQ78" i="1"/>
  <c r="BR78" i="1" s="1"/>
  <c r="BS78" i="1" s="1"/>
  <c r="BL78" i="1"/>
  <c r="BM78" i="1" s="1"/>
  <c r="BN78" i="1" s="1"/>
  <c r="BG78" i="1"/>
  <c r="BH78" i="1" s="1"/>
  <c r="BI78" i="1" s="1"/>
  <c r="BB78" i="1"/>
  <c r="BC78" i="1" s="1"/>
  <c r="BD78" i="1" s="1"/>
  <c r="AW78" i="1"/>
  <c r="AX78" i="1" s="1"/>
  <c r="AY78" i="1" s="1"/>
  <c r="AR78" i="1"/>
  <c r="AS78" i="1" s="1"/>
  <c r="AT78" i="1" s="1"/>
  <c r="AM78" i="1"/>
  <c r="AN78" i="1" s="1"/>
  <c r="AO78" i="1" s="1"/>
  <c r="AH78" i="1"/>
  <c r="AI78" i="1" s="1"/>
  <c r="AJ78" i="1" s="1"/>
  <c r="AC78" i="1"/>
  <c r="AD78" i="1" s="1"/>
  <c r="AE78" i="1" s="1"/>
  <c r="W78" i="1"/>
  <c r="X78" i="1" s="1"/>
  <c r="Y78" i="1" s="1"/>
  <c r="S78" i="1"/>
  <c r="N78" i="1"/>
  <c r="I78" i="1"/>
  <c r="NZ77" i="1"/>
  <c r="NU77" i="1"/>
  <c r="NP77" i="1"/>
  <c r="NK77" i="1"/>
  <c r="NF77" i="1"/>
  <c r="NA77" i="1"/>
  <c r="MV77" i="1"/>
  <c r="MQ77" i="1"/>
  <c r="MM77" i="1"/>
  <c r="MI77" i="1"/>
  <c r="MD77" i="1"/>
  <c r="LY77" i="1"/>
  <c r="LT77" i="1"/>
  <c r="LO77" i="1"/>
  <c r="LJ77" i="1"/>
  <c r="LE77" i="1"/>
  <c r="KZ77" i="1"/>
  <c r="KV77" i="1"/>
  <c r="KO77" i="1"/>
  <c r="KP77" i="1" s="1"/>
  <c r="KQ77" i="1" s="1"/>
  <c r="KM77" i="1"/>
  <c r="KI77" i="1"/>
  <c r="KE77" i="1"/>
  <c r="KA77" i="1"/>
  <c r="JV77" i="1"/>
  <c r="JQ77" i="1"/>
  <c r="JM77" i="1"/>
  <c r="JI77" i="1"/>
  <c r="JB77" i="1"/>
  <c r="JC77" i="1" s="1"/>
  <c r="JD77" i="1" s="1"/>
  <c r="IW77" i="1"/>
  <c r="IX77" i="1" s="1"/>
  <c r="IY77" i="1" s="1"/>
  <c r="IR77" i="1"/>
  <c r="IS77" i="1" s="1"/>
  <c r="IT77" i="1" s="1"/>
  <c r="IM77" i="1"/>
  <c r="IN77" i="1" s="1"/>
  <c r="IO77" i="1" s="1"/>
  <c r="IH77" i="1"/>
  <c r="II77" i="1" s="1"/>
  <c r="IJ77" i="1" s="1"/>
  <c r="IC77" i="1"/>
  <c r="ID77" i="1" s="1"/>
  <c r="IE77" i="1" s="1"/>
  <c r="HX77" i="1"/>
  <c r="HY77" i="1" s="1"/>
  <c r="HZ77" i="1" s="1"/>
  <c r="HU77" i="1"/>
  <c r="HP77" i="1"/>
  <c r="HI77" i="1"/>
  <c r="HJ77" i="1" s="1"/>
  <c r="HK77" i="1" s="1"/>
  <c r="HD77" i="1"/>
  <c r="HE77" i="1" s="1"/>
  <c r="HF77" i="1" s="1"/>
  <c r="GY77" i="1"/>
  <c r="GZ77" i="1" s="1"/>
  <c r="HA77" i="1" s="1"/>
  <c r="GT77" i="1"/>
  <c r="GU77" i="1" s="1"/>
  <c r="GV77" i="1" s="1"/>
  <c r="GO77" i="1"/>
  <c r="GP77" i="1" s="1"/>
  <c r="GQ77" i="1" s="1"/>
  <c r="GJ77" i="1"/>
  <c r="GK77" i="1" s="1"/>
  <c r="GL77" i="1" s="1"/>
  <c r="GE77" i="1"/>
  <c r="GF77" i="1" s="1"/>
  <c r="GG77" i="1" s="1"/>
  <c r="FZ77" i="1"/>
  <c r="GA77" i="1" s="1"/>
  <c r="GB77" i="1" s="1"/>
  <c r="FU77" i="1"/>
  <c r="FV77" i="1" s="1"/>
  <c r="FW77" i="1" s="1"/>
  <c r="FP77" i="1"/>
  <c r="FQ77" i="1" s="1"/>
  <c r="FR77" i="1" s="1"/>
  <c r="FK77" i="1"/>
  <c r="FL77" i="1" s="1"/>
  <c r="FM77" i="1" s="1"/>
  <c r="FF77" i="1"/>
  <c r="FG77" i="1" s="1"/>
  <c r="FH77" i="1" s="1"/>
  <c r="FA77" i="1"/>
  <c r="FB77" i="1" s="1"/>
  <c r="FC77" i="1" s="1"/>
  <c r="EV77" i="1"/>
  <c r="EW77" i="1" s="1"/>
  <c r="EX77" i="1" s="1"/>
  <c r="EQ77" i="1"/>
  <c r="ER77" i="1" s="1"/>
  <c r="ES77" i="1" s="1"/>
  <c r="EL77" i="1"/>
  <c r="EM77" i="1" s="1"/>
  <c r="EN77" i="1" s="1"/>
  <c r="EE77" i="1"/>
  <c r="EF77" i="1" s="1"/>
  <c r="EG77" i="1" s="1"/>
  <c r="DZ77" i="1"/>
  <c r="EA77" i="1" s="1"/>
  <c r="EB77" i="1" s="1"/>
  <c r="DU77" i="1"/>
  <c r="DV77" i="1" s="1"/>
  <c r="DW77" i="1" s="1"/>
  <c r="DP77" i="1"/>
  <c r="DQ77" i="1" s="1"/>
  <c r="DR77" i="1" s="1"/>
  <c r="DK77" i="1"/>
  <c r="DL77" i="1" s="1"/>
  <c r="DM77" i="1" s="1"/>
  <c r="DF77" i="1"/>
  <c r="DG77" i="1" s="1"/>
  <c r="DH77" i="1" s="1"/>
  <c r="DA77" i="1"/>
  <c r="DB77" i="1" s="1"/>
  <c r="DC77" i="1" s="1"/>
  <c r="CV77" i="1"/>
  <c r="CW77" i="1" s="1"/>
  <c r="CX77" i="1" s="1"/>
  <c r="CQ77" i="1"/>
  <c r="CR77" i="1" s="1"/>
  <c r="CS77" i="1" s="1"/>
  <c r="CL77" i="1"/>
  <c r="CM77" i="1" s="1"/>
  <c r="CN77" i="1" s="1"/>
  <c r="CG77" i="1"/>
  <c r="CH77" i="1" s="1"/>
  <c r="CI77" i="1" s="1"/>
  <c r="CA77" i="1"/>
  <c r="CB77" i="1" s="1"/>
  <c r="CC77" i="1" s="1"/>
  <c r="BV77" i="1"/>
  <c r="BW77" i="1" s="1"/>
  <c r="BX77" i="1" s="1"/>
  <c r="BQ77" i="1"/>
  <c r="BR77" i="1" s="1"/>
  <c r="BS77" i="1" s="1"/>
  <c r="BL77" i="1"/>
  <c r="BM77" i="1" s="1"/>
  <c r="BN77" i="1" s="1"/>
  <c r="BG77" i="1"/>
  <c r="BH77" i="1" s="1"/>
  <c r="BI77" i="1" s="1"/>
  <c r="BB77" i="1"/>
  <c r="BC77" i="1" s="1"/>
  <c r="BD77" i="1" s="1"/>
  <c r="AW77" i="1"/>
  <c r="AX77" i="1" s="1"/>
  <c r="AY77" i="1" s="1"/>
  <c r="AR77" i="1"/>
  <c r="AS77" i="1" s="1"/>
  <c r="AT77" i="1" s="1"/>
  <c r="AM77" i="1"/>
  <c r="AN77" i="1" s="1"/>
  <c r="AO77" i="1" s="1"/>
  <c r="AH77" i="1"/>
  <c r="AI77" i="1" s="1"/>
  <c r="AJ77" i="1" s="1"/>
  <c r="AC77" i="1"/>
  <c r="AD77" i="1" s="1"/>
  <c r="AE77" i="1" s="1"/>
  <c r="W77" i="1"/>
  <c r="X77" i="1" s="1"/>
  <c r="Y77" i="1" s="1"/>
  <c r="Q77" i="1"/>
  <c r="R77" i="1" s="1"/>
  <c r="S77" i="1" s="1"/>
  <c r="N77" i="1"/>
  <c r="I77" i="1"/>
  <c r="NZ76" i="1"/>
  <c r="NU76" i="1"/>
  <c r="NP76" i="1"/>
  <c r="NK76" i="1"/>
  <c r="NF76" i="1"/>
  <c r="NA76" i="1"/>
  <c r="MV76" i="1"/>
  <c r="MQ76" i="1"/>
  <c r="MM76" i="1"/>
  <c r="MI76" i="1"/>
  <c r="MD76" i="1"/>
  <c r="LY76" i="1"/>
  <c r="LT76" i="1"/>
  <c r="LO76" i="1"/>
  <c r="LJ76" i="1"/>
  <c r="LE76" i="1"/>
  <c r="KZ76" i="1"/>
  <c r="KV76" i="1"/>
  <c r="KQ76" i="1"/>
  <c r="KM76" i="1"/>
  <c r="KI76" i="1"/>
  <c r="KE76" i="1"/>
  <c r="KA76" i="1"/>
  <c r="JV76" i="1"/>
  <c r="JQ76" i="1"/>
  <c r="JM76" i="1"/>
  <c r="JI76" i="1"/>
  <c r="JB76" i="1"/>
  <c r="JC76" i="1" s="1"/>
  <c r="JD76" i="1" s="1"/>
  <c r="IW76" i="1"/>
  <c r="IX76" i="1" s="1"/>
  <c r="IY76" i="1" s="1"/>
  <c r="IR76" i="1"/>
  <c r="IS76" i="1" s="1"/>
  <c r="IT76" i="1" s="1"/>
  <c r="IM76" i="1"/>
  <c r="IN76" i="1" s="1"/>
  <c r="IO76" i="1" s="1"/>
  <c r="IH76" i="1"/>
  <c r="II76" i="1" s="1"/>
  <c r="IJ76" i="1" s="1"/>
  <c r="IC76" i="1"/>
  <c r="ID76" i="1" s="1"/>
  <c r="IE76" i="1" s="1"/>
  <c r="HX76" i="1"/>
  <c r="HY76" i="1" s="1"/>
  <c r="HZ76" i="1" s="1"/>
  <c r="HS76" i="1"/>
  <c r="HT76" i="1" s="1"/>
  <c r="HU76" i="1" s="1"/>
  <c r="HN76" i="1"/>
  <c r="HO76" i="1" s="1"/>
  <c r="HP76" i="1" s="1"/>
  <c r="HI76" i="1"/>
  <c r="HJ76" i="1" s="1"/>
  <c r="HK76" i="1" s="1"/>
  <c r="HD76" i="1"/>
  <c r="HE76" i="1" s="1"/>
  <c r="HF76" i="1" s="1"/>
  <c r="GY76" i="1"/>
  <c r="GZ76" i="1" s="1"/>
  <c r="HA76" i="1" s="1"/>
  <c r="GT76" i="1"/>
  <c r="GU76" i="1" s="1"/>
  <c r="GV76" i="1" s="1"/>
  <c r="GO76" i="1"/>
  <c r="GP76" i="1" s="1"/>
  <c r="GQ76" i="1" s="1"/>
  <c r="GJ76" i="1"/>
  <c r="GK76" i="1" s="1"/>
  <c r="GL76" i="1" s="1"/>
  <c r="GE76" i="1"/>
  <c r="GF76" i="1" s="1"/>
  <c r="GG76" i="1" s="1"/>
  <c r="FZ76" i="1"/>
  <c r="GA76" i="1" s="1"/>
  <c r="GB76" i="1" s="1"/>
  <c r="FU76" i="1"/>
  <c r="FV76" i="1" s="1"/>
  <c r="FW76" i="1" s="1"/>
  <c r="FP76" i="1"/>
  <c r="FQ76" i="1" s="1"/>
  <c r="FR76" i="1" s="1"/>
  <c r="FK76" i="1"/>
  <c r="FL76" i="1" s="1"/>
  <c r="FM76" i="1" s="1"/>
  <c r="FF76" i="1"/>
  <c r="FG76" i="1" s="1"/>
  <c r="FH76" i="1" s="1"/>
  <c r="FA76" i="1"/>
  <c r="FB76" i="1" s="1"/>
  <c r="FC76" i="1" s="1"/>
  <c r="EV76" i="1"/>
  <c r="EW76" i="1" s="1"/>
  <c r="EX76" i="1" s="1"/>
  <c r="EQ76" i="1"/>
  <c r="ER76" i="1" s="1"/>
  <c r="ES76" i="1" s="1"/>
  <c r="EL76" i="1"/>
  <c r="EM76" i="1" s="1"/>
  <c r="EN76" i="1" s="1"/>
  <c r="EE76" i="1"/>
  <c r="EF76" i="1" s="1"/>
  <c r="EG76" i="1" s="1"/>
  <c r="DZ76" i="1"/>
  <c r="EA76" i="1" s="1"/>
  <c r="EB76" i="1" s="1"/>
  <c r="DU76" i="1"/>
  <c r="DV76" i="1" s="1"/>
  <c r="DW76" i="1" s="1"/>
  <c r="DP76" i="1"/>
  <c r="DQ76" i="1" s="1"/>
  <c r="DR76" i="1" s="1"/>
  <c r="DK76" i="1"/>
  <c r="DL76" i="1" s="1"/>
  <c r="DM76" i="1" s="1"/>
  <c r="DF76" i="1"/>
  <c r="DG76" i="1" s="1"/>
  <c r="DH76" i="1" s="1"/>
  <c r="DA76" i="1"/>
  <c r="DB76" i="1" s="1"/>
  <c r="DC76" i="1" s="1"/>
  <c r="CV76" i="1"/>
  <c r="CW76" i="1" s="1"/>
  <c r="CX76" i="1" s="1"/>
  <c r="CQ76" i="1"/>
  <c r="CR76" i="1" s="1"/>
  <c r="CS76" i="1" s="1"/>
  <c r="CL76" i="1"/>
  <c r="CM76" i="1" s="1"/>
  <c r="CN76" i="1" s="1"/>
  <c r="CG76" i="1"/>
  <c r="CH76" i="1" s="1"/>
  <c r="CI76" i="1" s="1"/>
  <c r="CA76" i="1"/>
  <c r="CB76" i="1" s="1"/>
  <c r="CC76" i="1" s="1"/>
  <c r="BV76" i="1"/>
  <c r="BW76" i="1" s="1"/>
  <c r="BX76" i="1" s="1"/>
  <c r="BQ76" i="1"/>
  <c r="BR76" i="1" s="1"/>
  <c r="BS76" i="1" s="1"/>
  <c r="BL76" i="1"/>
  <c r="BM76" i="1" s="1"/>
  <c r="BN76" i="1" s="1"/>
  <c r="BG76" i="1"/>
  <c r="BH76" i="1" s="1"/>
  <c r="BI76" i="1" s="1"/>
  <c r="BB76" i="1"/>
  <c r="BC76" i="1" s="1"/>
  <c r="BD76" i="1" s="1"/>
  <c r="AW76" i="1"/>
  <c r="AX76" i="1" s="1"/>
  <c r="AY76" i="1" s="1"/>
  <c r="AR76" i="1"/>
  <c r="AS76" i="1" s="1"/>
  <c r="AT76" i="1" s="1"/>
  <c r="AM76" i="1"/>
  <c r="AN76" i="1" s="1"/>
  <c r="AO76" i="1" s="1"/>
  <c r="AH76" i="1"/>
  <c r="AI76" i="1" s="1"/>
  <c r="AJ76" i="1" s="1"/>
  <c r="AC76" i="1"/>
  <c r="AD76" i="1" s="1"/>
  <c r="AE76" i="1" s="1"/>
  <c r="W76" i="1"/>
  <c r="X76" i="1" s="1"/>
  <c r="Y76" i="1" s="1"/>
  <c r="S76" i="1"/>
  <c r="N76" i="1"/>
  <c r="I76" i="1"/>
  <c r="NZ75" i="1"/>
  <c r="NU75" i="1"/>
  <c r="NP75" i="1"/>
  <c r="NK75" i="1"/>
  <c r="NF75" i="1"/>
  <c r="NA75" i="1"/>
  <c r="MV75" i="1"/>
  <c r="MQ75" i="1"/>
  <c r="MM75" i="1"/>
  <c r="MI75" i="1"/>
  <c r="MD75" i="1"/>
  <c r="LY75" i="1"/>
  <c r="LT75" i="1"/>
  <c r="LO75" i="1"/>
  <c r="LJ75" i="1"/>
  <c r="LC75" i="1"/>
  <c r="LD75" i="1" s="1"/>
  <c r="LE75" i="1" s="1"/>
  <c r="KZ75" i="1"/>
  <c r="KT75" i="1"/>
  <c r="KU75" i="1" s="1"/>
  <c r="KV75" i="1" s="1"/>
  <c r="KO75" i="1"/>
  <c r="KP75" i="1" s="1"/>
  <c r="KQ75" i="1" s="1"/>
  <c r="KM75" i="1"/>
  <c r="KI75" i="1"/>
  <c r="KE75" i="1"/>
  <c r="KA75" i="1"/>
  <c r="JV75" i="1"/>
  <c r="JQ75" i="1"/>
  <c r="JM75" i="1"/>
  <c r="JI75" i="1"/>
  <c r="JB75" i="1"/>
  <c r="JC75" i="1" s="1"/>
  <c r="JD75" i="1" s="1"/>
  <c r="IW75" i="1"/>
  <c r="IX75" i="1" s="1"/>
  <c r="IY75" i="1" s="1"/>
  <c r="IR75" i="1"/>
  <c r="IS75" i="1" s="1"/>
  <c r="IT75" i="1" s="1"/>
  <c r="IM75" i="1"/>
  <c r="IN75" i="1" s="1"/>
  <c r="IO75" i="1" s="1"/>
  <c r="IH75" i="1"/>
  <c r="II75" i="1" s="1"/>
  <c r="IJ75" i="1" s="1"/>
  <c r="IC75" i="1"/>
  <c r="ID75" i="1" s="1"/>
  <c r="IE75" i="1" s="1"/>
  <c r="HX75" i="1"/>
  <c r="HY75" i="1" s="1"/>
  <c r="HZ75" i="1" s="1"/>
  <c r="HS75" i="1"/>
  <c r="HT75" i="1" s="1"/>
  <c r="HU75" i="1" s="1"/>
  <c r="HN75" i="1"/>
  <c r="HO75" i="1" s="1"/>
  <c r="HP75" i="1" s="1"/>
  <c r="HI75" i="1"/>
  <c r="HJ75" i="1" s="1"/>
  <c r="HK75" i="1" s="1"/>
  <c r="HD75" i="1"/>
  <c r="HE75" i="1" s="1"/>
  <c r="HF75" i="1" s="1"/>
  <c r="GY75" i="1"/>
  <c r="GZ75" i="1" s="1"/>
  <c r="HA75" i="1" s="1"/>
  <c r="GT75" i="1"/>
  <c r="GU75" i="1" s="1"/>
  <c r="GV75" i="1" s="1"/>
  <c r="GO75" i="1"/>
  <c r="GP75" i="1" s="1"/>
  <c r="GQ75" i="1" s="1"/>
  <c r="GJ75" i="1"/>
  <c r="GK75" i="1" s="1"/>
  <c r="GL75" i="1" s="1"/>
  <c r="GE75" i="1"/>
  <c r="GF75" i="1" s="1"/>
  <c r="GG75" i="1" s="1"/>
  <c r="FZ75" i="1"/>
  <c r="GA75" i="1" s="1"/>
  <c r="GB75" i="1" s="1"/>
  <c r="FU75" i="1"/>
  <c r="FV75" i="1" s="1"/>
  <c r="FW75" i="1" s="1"/>
  <c r="FP75" i="1"/>
  <c r="FQ75" i="1" s="1"/>
  <c r="FR75" i="1" s="1"/>
  <c r="FK75" i="1"/>
  <c r="FL75" i="1" s="1"/>
  <c r="FM75" i="1" s="1"/>
  <c r="FF75" i="1"/>
  <c r="FG75" i="1" s="1"/>
  <c r="FH75" i="1" s="1"/>
  <c r="FA75" i="1"/>
  <c r="FB75" i="1" s="1"/>
  <c r="FC75" i="1" s="1"/>
  <c r="EV75" i="1"/>
  <c r="EW75" i="1" s="1"/>
  <c r="EX75" i="1" s="1"/>
  <c r="EQ75" i="1"/>
  <c r="ER75" i="1" s="1"/>
  <c r="ES75" i="1" s="1"/>
  <c r="EL75" i="1"/>
  <c r="EM75" i="1" s="1"/>
  <c r="EN75" i="1" s="1"/>
  <c r="EE75" i="1"/>
  <c r="EF75" i="1" s="1"/>
  <c r="EG75" i="1" s="1"/>
  <c r="DZ75" i="1"/>
  <c r="EA75" i="1" s="1"/>
  <c r="EB75" i="1" s="1"/>
  <c r="DU75" i="1"/>
  <c r="DV75" i="1" s="1"/>
  <c r="DW75" i="1" s="1"/>
  <c r="DP75" i="1"/>
  <c r="DQ75" i="1" s="1"/>
  <c r="DR75" i="1" s="1"/>
  <c r="DK75" i="1"/>
  <c r="DL75" i="1" s="1"/>
  <c r="DM75" i="1" s="1"/>
  <c r="DF75" i="1"/>
  <c r="DG75" i="1" s="1"/>
  <c r="DH75" i="1" s="1"/>
  <c r="DA75" i="1"/>
  <c r="DB75" i="1" s="1"/>
  <c r="DC75" i="1" s="1"/>
  <c r="CV75" i="1"/>
  <c r="CW75" i="1" s="1"/>
  <c r="CX75" i="1" s="1"/>
  <c r="CQ75" i="1"/>
  <c r="CR75" i="1" s="1"/>
  <c r="CS75" i="1" s="1"/>
  <c r="CL75" i="1"/>
  <c r="CM75" i="1" s="1"/>
  <c r="CN75" i="1" s="1"/>
  <c r="CG75" i="1"/>
  <c r="CH75" i="1" s="1"/>
  <c r="CI75" i="1" s="1"/>
  <c r="CA75" i="1"/>
  <c r="CB75" i="1" s="1"/>
  <c r="CC75" i="1" s="1"/>
  <c r="BV75" i="1"/>
  <c r="BW75" i="1" s="1"/>
  <c r="BX75" i="1" s="1"/>
  <c r="BQ75" i="1"/>
  <c r="BR75" i="1" s="1"/>
  <c r="BS75" i="1" s="1"/>
  <c r="BL75" i="1"/>
  <c r="BM75" i="1" s="1"/>
  <c r="BN75" i="1" s="1"/>
  <c r="BG75" i="1"/>
  <c r="BH75" i="1" s="1"/>
  <c r="BI75" i="1" s="1"/>
  <c r="BB75" i="1"/>
  <c r="BC75" i="1" s="1"/>
  <c r="BD75" i="1" s="1"/>
  <c r="AW75" i="1"/>
  <c r="AX75" i="1" s="1"/>
  <c r="AY75" i="1" s="1"/>
  <c r="AR75" i="1"/>
  <c r="AS75" i="1" s="1"/>
  <c r="AT75" i="1" s="1"/>
  <c r="AM75" i="1"/>
  <c r="AN75" i="1" s="1"/>
  <c r="AO75" i="1" s="1"/>
  <c r="AH75" i="1"/>
  <c r="AI75" i="1" s="1"/>
  <c r="AJ75" i="1" s="1"/>
  <c r="AC75" i="1"/>
  <c r="AD75" i="1" s="1"/>
  <c r="AE75" i="1" s="1"/>
  <c r="W75" i="1"/>
  <c r="X75" i="1" s="1"/>
  <c r="Y75" i="1" s="1"/>
  <c r="S75" i="1"/>
  <c r="N75" i="1"/>
  <c r="I75" i="1"/>
  <c r="NZ74" i="1"/>
  <c r="NU74" i="1"/>
  <c r="NP74" i="1"/>
  <c r="NK74" i="1"/>
  <c r="ND74" i="1"/>
  <c r="NE74" i="1" s="1"/>
  <c r="NF74" i="1" s="1"/>
  <c r="MY74" i="1"/>
  <c r="MZ74" i="1" s="1"/>
  <c r="NA74" i="1" s="1"/>
  <c r="MT74" i="1"/>
  <c r="MU74" i="1" s="1"/>
  <c r="MV74" i="1" s="1"/>
  <c r="MQ74" i="1"/>
  <c r="MM74" i="1"/>
  <c r="MI74" i="1"/>
  <c r="MD74" i="1"/>
  <c r="LW74" i="1"/>
  <c r="LX74" i="1" s="1"/>
  <c r="LY74" i="1" s="1"/>
  <c r="LR74" i="1"/>
  <c r="LS74" i="1" s="1"/>
  <c r="LT74" i="1" s="1"/>
  <c r="LO74" i="1"/>
  <c r="LJ74" i="1"/>
  <c r="LC74" i="1"/>
  <c r="LD74" i="1" s="1"/>
  <c r="LE74" i="1" s="1"/>
  <c r="KX74" i="1"/>
  <c r="KY74" i="1" s="1"/>
  <c r="KZ74" i="1" s="1"/>
  <c r="KT74" i="1"/>
  <c r="KU74" i="1" s="1"/>
  <c r="KV74" i="1" s="1"/>
  <c r="KQ74" i="1"/>
  <c r="KM74" i="1"/>
  <c r="KI74" i="1"/>
  <c r="KE74" i="1"/>
  <c r="KA74" i="1"/>
  <c r="JV74" i="1"/>
  <c r="JQ74" i="1"/>
  <c r="JM74" i="1"/>
  <c r="JI74" i="1"/>
  <c r="JB74" i="1"/>
  <c r="JC74" i="1" s="1"/>
  <c r="JD74" i="1" s="1"/>
  <c r="IW74" i="1"/>
  <c r="IX74" i="1" s="1"/>
  <c r="IY74" i="1" s="1"/>
  <c r="IR74" i="1"/>
  <c r="IS74" i="1" s="1"/>
  <c r="IT74" i="1" s="1"/>
  <c r="IM74" i="1"/>
  <c r="IN74" i="1" s="1"/>
  <c r="IO74" i="1" s="1"/>
  <c r="IH74" i="1"/>
  <c r="II74" i="1" s="1"/>
  <c r="IJ74" i="1" s="1"/>
  <c r="IC74" i="1"/>
  <c r="ID74" i="1" s="1"/>
  <c r="IE74" i="1" s="1"/>
  <c r="HX74" i="1"/>
  <c r="HY74" i="1" s="1"/>
  <c r="HZ74" i="1" s="1"/>
  <c r="HS74" i="1"/>
  <c r="HT74" i="1" s="1"/>
  <c r="HU74" i="1" s="1"/>
  <c r="HN74" i="1"/>
  <c r="HO74" i="1" s="1"/>
  <c r="HP74" i="1" s="1"/>
  <c r="HI74" i="1"/>
  <c r="HJ74" i="1" s="1"/>
  <c r="HK74" i="1" s="1"/>
  <c r="HD74" i="1"/>
  <c r="HE74" i="1" s="1"/>
  <c r="HF74" i="1" s="1"/>
  <c r="GY74" i="1"/>
  <c r="GZ74" i="1" s="1"/>
  <c r="HA74" i="1" s="1"/>
  <c r="GT74" i="1"/>
  <c r="GU74" i="1" s="1"/>
  <c r="GV74" i="1" s="1"/>
  <c r="GO74" i="1"/>
  <c r="GP74" i="1" s="1"/>
  <c r="GQ74" i="1" s="1"/>
  <c r="GJ74" i="1"/>
  <c r="GK74" i="1" s="1"/>
  <c r="GL74" i="1" s="1"/>
  <c r="GE74" i="1"/>
  <c r="GF74" i="1" s="1"/>
  <c r="GG74" i="1" s="1"/>
  <c r="FZ74" i="1"/>
  <c r="GA74" i="1" s="1"/>
  <c r="GB74" i="1" s="1"/>
  <c r="FU74" i="1"/>
  <c r="FV74" i="1" s="1"/>
  <c r="FW74" i="1" s="1"/>
  <c r="FP74" i="1"/>
  <c r="FQ74" i="1" s="1"/>
  <c r="FR74" i="1" s="1"/>
  <c r="FK74" i="1"/>
  <c r="FL74" i="1" s="1"/>
  <c r="FM74" i="1" s="1"/>
  <c r="FF74" i="1"/>
  <c r="FG74" i="1" s="1"/>
  <c r="FH74" i="1" s="1"/>
  <c r="FA74" i="1"/>
  <c r="FB74" i="1" s="1"/>
  <c r="FC74" i="1" s="1"/>
  <c r="EV74" i="1"/>
  <c r="EW74" i="1" s="1"/>
  <c r="EX74" i="1" s="1"/>
  <c r="EQ74" i="1"/>
  <c r="ER74" i="1" s="1"/>
  <c r="ES74" i="1" s="1"/>
  <c r="EL74" i="1"/>
  <c r="EM74" i="1" s="1"/>
  <c r="EN74" i="1" s="1"/>
  <c r="EE74" i="1"/>
  <c r="EF74" i="1" s="1"/>
  <c r="EG74" i="1" s="1"/>
  <c r="DZ74" i="1"/>
  <c r="EA74" i="1" s="1"/>
  <c r="EB74" i="1" s="1"/>
  <c r="DU74" i="1"/>
  <c r="DV74" i="1" s="1"/>
  <c r="DW74" i="1" s="1"/>
  <c r="DP74" i="1"/>
  <c r="DQ74" i="1" s="1"/>
  <c r="DR74" i="1" s="1"/>
  <c r="DK74" i="1"/>
  <c r="DL74" i="1" s="1"/>
  <c r="DM74" i="1" s="1"/>
  <c r="DF74" i="1"/>
  <c r="DG74" i="1" s="1"/>
  <c r="DH74" i="1" s="1"/>
  <c r="DA74" i="1"/>
  <c r="DB74" i="1" s="1"/>
  <c r="DC74" i="1" s="1"/>
  <c r="CV74" i="1"/>
  <c r="CW74" i="1" s="1"/>
  <c r="CX74" i="1" s="1"/>
  <c r="CQ74" i="1"/>
  <c r="CR74" i="1" s="1"/>
  <c r="CS74" i="1" s="1"/>
  <c r="CL74" i="1"/>
  <c r="CM74" i="1" s="1"/>
  <c r="CN74" i="1" s="1"/>
  <c r="CG74" i="1"/>
  <c r="CH74" i="1" s="1"/>
  <c r="CI74" i="1" s="1"/>
  <c r="CA74" i="1"/>
  <c r="CB74" i="1" s="1"/>
  <c r="CC74" i="1" s="1"/>
  <c r="BV74" i="1"/>
  <c r="BW74" i="1" s="1"/>
  <c r="BX74" i="1" s="1"/>
  <c r="BQ74" i="1"/>
  <c r="BR74" i="1" s="1"/>
  <c r="BS74" i="1" s="1"/>
  <c r="BL74" i="1"/>
  <c r="BM74" i="1" s="1"/>
  <c r="BN74" i="1" s="1"/>
  <c r="BG74" i="1"/>
  <c r="BH74" i="1" s="1"/>
  <c r="BI74" i="1" s="1"/>
  <c r="BB74" i="1"/>
  <c r="BC74" i="1" s="1"/>
  <c r="BD74" i="1" s="1"/>
  <c r="AW74" i="1"/>
  <c r="AX74" i="1" s="1"/>
  <c r="AY74" i="1" s="1"/>
  <c r="AR74" i="1"/>
  <c r="AS74" i="1" s="1"/>
  <c r="AT74" i="1" s="1"/>
  <c r="AM74" i="1"/>
  <c r="AN74" i="1" s="1"/>
  <c r="AO74" i="1" s="1"/>
  <c r="AH74" i="1"/>
  <c r="AI74" i="1" s="1"/>
  <c r="AJ74" i="1" s="1"/>
  <c r="AC74" i="1"/>
  <c r="AD74" i="1" s="1"/>
  <c r="AE74" i="1" s="1"/>
  <c r="W74" i="1"/>
  <c r="X74" i="1" s="1"/>
  <c r="Y74" i="1" s="1"/>
  <c r="S74" i="1"/>
  <c r="N74" i="1"/>
  <c r="I74" i="1"/>
  <c r="NZ73" i="1"/>
  <c r="NU73" i="1"/>
  <c r="NP73" i="1"/>
  <c r="NK73" i="1"/>
  <c r="NF73" i="1"/>
  <c r="NA73" i="1"/>
  <c r="MV73" i="1"/>
  <c r="MQ73" i="1"/>
  <c r="MM73" i="1"/>
  <c r="MI73" i="1"/>
  <c r="MD73" i="1"/>
  <c r="LY73" i="1"/>
  <c r="LT73" i="1"/>
  <c r="LO73" i="1"/>
  <c r="LJ73" i="1"/>
  <c r="LE73" i="1"/>
  <c r="KX73" i="1"/>
  <c r="KY73" i="1" s="1"/>
  <c r="KZ73" i="1" s="1"/>
  <c r="KT73" i="1"/>
  <c r="KU73" i="1" s="1"/>
  <c r="KV73" i="1" s="1"/>
  <c r="KO73" i="1"/>
  <c r="KP73" i="1" s="1"/>
  <c r="KQ73" i="1" s="1"/>
  <c r="KM73" i="1"/>
  <c r="KI73" i="1"/>
  <c r="KE73" i="1"/>
  <c r="KA73" i="1"/>
  <c r="JV73" i="1"/>
  <c r="JQ73" i="1"/>
  <c r="JM73" i="1"/>
  <c r="JI73" i="1"/>
  <c r="JB73" i="1"/>
  <c r="JC73" i="1" s="1"/>
  <c r="JD73" i="1" s="1"/>
  <c r="IW73" i="1"/>
  <c r="IX73" i="1" s="1"/>
  <c r="IY73" i="1" s="1"/>
  <c r="IR73" i="1"/>
  <c r="IS73" i="1" s="1"/>
  <c r="IT73" i="1" s="1"/>
  <c r="IM73" i="1"/>
  <c r="IN73" i="1" s="1"/>
  <c r="IO73" i="1" s="1"/>
  <c r="IH73" i="1"/>
  <c r="II73" i="1" s="1"/>
  <c r="IJ73" i="1" s="1"/>
  <c r="IC73" i="1"/>
  <c r="ID73" i="1" s="1"/>
  <c r="IE73" i="1" s="1"/>
  <c r="HX73" i="1"/>
  <c r="HY73" i="1" s="1"/>
  <c r="HZ73" i="1" s="1"/>
  <c r="HU73" i="1"/>
  <c r="HP73" i="1"/>
  <c r="HI73" i="1"/>
  <c r="HJ73" i="1" s="1"/>
  <c r="HK73" i="1" s="1"/>
  <c r="HD73" i="1"/>
  <c r="HE73" i="1" s="1"/>
  <c r="HF73" i="1" s="1"/>
  <c r="GY73" i="1"/>
  <c r="GZ73" i="1" s="1"/>
  <c r="HA73" i="1" s="1"/>
  <c r="GT73" i="1"/>
  <c r="GU73" i="1" s="1"/>
  <c r="GV73" i="1" s="1"/>
  <c r="GO73" i="1"/>
  <c r="GP73" i="1" s="1"/>
  <c r="GQ73" i="1" s="1"/>
  <c r="GJ73" i="1"/>
  <c r="GK73" i="1" s="1"/>
  <c r="GL73" i="1" s="1"/>
  <c r="GE73" i="1"/>
  <c r="GF73" i="1" s="1"/>
  <c r="GG73" i="1" s="1"/>
  <c r="FZ73" i="1"/>
  <c r="GA73" i="1" s="1"/>
  <c r="GB73" i="1" s="1"/>
  <c r="FU73" i="1"/>
  <c r="FV73" i="1" s="1"/>
  <c r="FW73" i="1" s="1"/>
  <c r="FP73" i="1"/>
  <c r="FQ73" i="1" s="1"/>
  <c r="FR73" i="1" s="1"/>
  <c r="FK73" i="1"/>
  <c r="FL73" i="1" s="1"/>
  <c r="FM73" i="1" s="1"/>
  <c r="FF73" i="1"/>
  <c r="FG73" i="1" s="1"/>
  <c r="FH73" i="1" s="1"/>
  <c r="FA73" i="1"/>
  <c r="FB73" i="1" s="1"/>
  <c r="FC73" i="1" s="1"/>
  <c r="EV73" i="1"/>
  <c r="EW73" i="1" s="1"/>
  <c r="EX73" i="1" s="1"/>
  <c r="EQ73" i="1"/>
  <c r="ER73" i="1" s="1"/>
  <c r="ES73" i="1" s="1"/>
  <c r="EL73" i="1"/>
  <c r="EM73" i="1" s="1"/>
  <c r="EN73" i="1" s="1"/>
  <c r="EE73" i="1"/>
  <c r="EF73" i="1" s="1"/>
  <c r="EG73" i="1" s="1"/>
  <c r="DZ73" i="1"/>
  <c r="EA73" i="1" s="1"/>
  <c r="EB73" i="1" s="1"/>
  <c r="DU73" i="1"/>
  <c r="DV73" i="1" s="1"/>
  <c r="DW73" i="1" s="1"/>
  <c r="DP73" i="1"/>
  <c r="DQ73" i="1" s="1"/>
  <c r="DR73" i="1" s="1"/>
  <c r="DK73" i="1"/>
  <c r="DL73" i="1" s="1"/>
  <c r="DM73" i="1" s="1"/>
  <c r="DF73" i="1"/>
  <c r="DG73" i="1" s="1"/>
  <c r="DH73" i="1" s="1"/>
  <c r="DA73" i="1"/>
  <c r="DB73" i="1" s="1"/>
  <c r="DC73" i="1" s="1"/>
  <c r="CV73" i="1"/>
  <c r="CW73" i="1" s="1"/>
  <c r="CX73" i="1" s="1"/>
  <c r="CQ73" i="1"/>
  <c r="CR73" i="1" s="1"/>
  <c r="CS73" i="1" s="1"/>
  <c r="CL73" i="1"/>
  <c r="CM73" i="1" s="1"/>
  <c r="CN73" i="1" s="1"/>
  <c r="CG73" i="1"/>
  <c r="CH73" i="1" s="1"/>
  <c r="CI73" i="1" s="1"/>
  <c r="CA73" i="1"/>
  <c r="CB73" i="1" s="1"/>
  <c r="CC73" i="1" s="1"/>
  <c r="BV73" i="1"/>
  <c r="BW73" i="1" s="1"/>
  <c r="BX73" i="1" s="1"/>
  <c r="BQ73" i="1"/>
  <c r="BR73" i="1" s="1"/>
  <c r="BS73" i="1" s="1"/>
  <c r="BL73" i="1"/>
  <c r="BM73" i="1" s="1"/>
  <c r="BN73" i="1" s="1"/>
  <c r="BG73" i="1"/>
  <c r="BH73" i="1" s="1"/>
  <c r="BI73" i="1" s="1"/>
  <c r="BB73" i="1"/>
  <c r="BC73" i="1" s="1"/>
  <c r="BD73" i="1" s="1"/>
  <c r="AW73" i="1"/>
  <c r="AX73" i="1" s="1"/>
  <c r="AY73" i="1" s="1"/>
  <c r="AR73" i="1"/>
  <c r="AS73" i="1" s="1"/>
  <c r="AT73" i="1" s="1"/>
  <c r="AM73" i="1"/>
  <c r="AN73" i="1" s="1"/>
  <c r="AO73" i="1" s="1"/>
  <c r="AH73" i="1"/>
  <c r="AI73" i="1" s="1"/>
  <c r="AJ73" i="1" s="1"/>
  <c r="AC73" i="1"/>
  <c r="AD73" i="1" s="1"/>
  <c r="AE73" i="1" s="1"/>
  <c r="W73" i="1"/>
  <c r="X73" i="1" s="1"/>
  <c r="Y73" i="1" s="1"/>
  <c r="Q73" i="1"/>
  <c r="R73" i="1" s="1"/>
  <c r="S73" i="1" s="1"/>
  <c r="N73" i="1"/>
  <c r="I73" i="1"/>
  <c r="NZ72" i="1"/>
  <c r="NU72" i="1"/>
  <c r="NP72" i="1"/>
  <c r="NK72" i="1"/>
  <c r="NF72" i="1"/>
  <c r="NA72" i="1"/>
  <c r="MV72" i="1"/>
  <c r="MQ72" i="1"/>
  <c r="MM72" i="1"/>
  <c r="MI72" i="1"/>
  <c r="MD72" i="1"/>
  <c r="LY72" i="1"/>
  <c r="LT72" i="1"/>
  <c r="LO72" i="1"/>
  <c r="LJ72" i="1"/>
  <c r="LE72" i="1"/>
  <c r="KZ72" i="1"/>
  <c r="KV72" i="1"/>
  <c r="KQ72" i="1"/>
  <c r="KM72" i="1"/>
  <c r="KI72" i="1"/>
  <c r="KE72" i="1"/>
  <c r="KA72" i="1"/>
  <c r="JV72" i="1"/>
  <c r="JQ72" i="1"/>
  <c r="JM72" i="1"/>
  <c r="JI72" i="1"/>
  <c r="JD72" i="1"/>
  <c r="IY72" i="1"/>
  <c r="IT72" i="1"/>
  <c r="IO72" i="1"/>
  <c r="IJ72" i="1"/>
  <c r="IE72" i="1"/>
  <c r="HZ72" i="1"/>
  <c r="HU72" i="1"/>
  <c r="HP72" i="1"/>
  <c r="HI72" i="1"/>
  <c r="HJ72" i="1" s="1"/>
  <c r="HK72" i="1" s="1"/>
  <c r="HD72" i="1"/>
  <c r="HE72" i="1" s="1"/>
  <c r="HF72" i="1" s="1"/>
  <c r="GY72" i="1"/>
  <c r="GZ72" i="1" s="1"/>
  <c r="HA72" i="1" s="1"/>
  <c r="GT72" i="1"/>
  <c r="GU72" i="1" s="1"/>
  <c r="GV72" i="1" s="1"/>
  <c r="GO72" i="1"/>
  <c r="GP72" i="1" s="1"/>
  <c r="GQ72" i="1" s="1"/>
  <c r="GJ72" i="1"/>
  <c r="GK72" i="1" s="1"/>
  <c r="GL72" i="1" s="1"/>
  <c r="GE72" i="1"/>
  <c r="GF72" i="1" s="1"/>
  <c r="GG72" i="1" s="1"/>
  <c r="FZ72" i="1"/>
  <c r="GA72" i="1" s="1"/>
  <c r="GB72" i="1" s="1"/>
  <c r="FU72" i="1"/>
  <c r="FV72" i="1" s="1"/>
  <c r="FW72" i="1" s="1"/>
  <c r="FP72" i="1"/>
  <c r="FQ72" i="1" s="1"/>
  <c r="FR72" i="1" s="1"/>
  <c r="FK72" i="1"/>
  <c r="FL72" i="1" s="1"/>
  <c r="FM72" i="1" s="1"/>
  <c r="FF72" i="1"/>
  <c r="FG72" i="1" s="1"/>
  <c r="FH72" i="1" s="1"/>
  <c r="FA72" i="1"/>
  <c r="FB72" i="1" s="1"/>
  <c r="FC72" i="1" s="1"/>
  <c r="EV72" i="1"/>
  <c r="EW72" i="1" s="1"/>
  <c r="EX72" i="1" s="1"/>
  <c r="EQ72" i="1"/>
  <c r="ER72" i="1" s="1"/>
  <c r="ES72" i="1" s="1"/>
  <c r="EL72" i="1"/>
  <c r="EM72" i="1" s="1"/>
  <c r="EN72" i="1" s="1"/>
  <c r="EE72" i="1"/>
  <c r="EF72" i="1" s="1"/>
  <c r="EG72" i="1" s="1"/>
  <c r="DZ72" i="1"/>
  <c r="EA72" i="1" s="1"/>
  <c r="EB72" i="1" s="1"/>
  <c r="DU72" i="1"/>
  <c r="DV72" i="1" s="1"/>
  <c r="DW72" i="1" s="1"/>
  <c r="DP72" i="1"/>
  <c r="DQ72" i="1" s="1"/>
  <c r="DR72" i="1" s="1"/>
  <c r="DK72" i="1"/>
  <c r="DL72" i="1" s="1"/>
  <c r="DM72" i="1" s="1"/>
  <c r="DF72" i="1"/>
  <c r="DG72" i="1" s="1"/>
  <c r="DH72" i="1" s="1"/>
  <c r="DA72" i="1"/>
  <c r="DB72" i="1" s="1"/>
  <c r="DC72" i="1" s="1"/>
  <c r="CV72" i="1"/>
  <c r="CW72" i="1" s="1"/>
  <c r="CX72" i="1" s="1"/>
  <c r="CQ72" i="1"/>
  <c r="CR72" i="1" s="1"/>
  <c r="CS72" i="1" s="1"/>
  <c r="CL72" i="1"/>
  <c r="CM72" i="1" s="1"/>
  <c r="CN72" i="1" s="1"/>
  <c r="CG72" i="1"/>
  <c r="CH72" i="1" s="1"/>
  <c r="CI72" i="1" s="1"/>
  <c r="CA72" i="1"/>
  <c r="CB72" i="1" s="1"/>
  <c r="CC72" i="1" s="1"/>
  <c r="BV72" i="1"/>
  <c r="BW72" i="1" s="1"/>
  <c r="BX72" i="1" s="1"/>
  <c r="BQ72" i="1"/>
  <c r="BR72" i="1" s="1"/>
  <c r="BS72" i="1" s="1"/>
  <c r="BL72" i="1"/>
  <c r="BM72" i="1" s="1"/>
  <c r="BN72" i="1" s="1"/>
  <c r="BG72" i="1"/>
  <c r="BH72" i="1" s="1"/>
  <c r="BI72" i="1" s="1"/>
  <c r="BB72" i="1"/>
  <c r="BC72" i="1" s="1"/>
  <c r="BD72" i="1" s="1"/>
  <c r="AW72" i="1"/>
  <c r="AX72" i="1" s="1"/>
  <c r="AY72" i="1" s="1"/>
  <c r="AR72" i="1"/>
  <c r="AS72" i="1" s="1"/>
  <c r="AT72" i="1" s="1"/>
  <c r="AM72" i="1"/>
  <c r="AN72" i="1" s="1"/>
  <c r="AO72" i="1" s="1"/>
  <c r="AH72" i="1"/>
  <c r="AI72" i="1" s="1"/>
  <c r="AJ72" i="1" s="1"/>
  <c r="AE72" i="1"/>
  <c r="W72" i="1"/>
  <c r="X72" i="1" s="1"/>
  <c r="Y72" i="1" s="1"/>
  <c r="Q72" i="1"/>
  <c r="R72" i="1" s="1"/>
  <c r="S72" i="1" s="1"/>
  <c r="N72" i="1"/>
  <c r="I72" i="1"/>
  <c r="NZ71" i="1"/>
  <c r="NU71" i="1"/>
  <c r="NP71" i="1"/>
  <c r="NK71" i="1"/>
  <c r="NF71" i="1"/>
  <c r="NA71" i="1"/>
  <c r="MV71" i="1"/>
  <c r="MQ71" i="1"/>
  <c r="MM71" i="1"/>
  <c r="MI71" i="1"/>
  <c r="MD71" i="1"/>
  <c r="LW71" i="1"/>
  <c r="LX71" i="1" s="1"/>
  <c r="LY71" i="1" s="1"/>
  <c r="LR71" i="1"/>
  <c r="LS71" i="1" s="1"/>
  <c r="LT71" i="1" s="1"/>
  <c r="LO71" i="1"/>
  <c r="LJ71" i="1"/>
  <c r="LC71" i="1"/>
  <c r="LD71" i="1" s="1"/>
  <c r="LE71" i="1" s="1"/>
  <c r="KZ71" i="1"/>
  <c r="KV71" i="1"/>
  <c r="KQ71" i="1"/>
  <c r="KM71" i="1"/>
  <c r="KI71" i="1"/>
  <c r="KE71" i="1"/>
  <c r="KA71" i="1"/>
  <c r="JV71" i="1"/>
  <c r="JQ71" i="1"/>
  <c r="JM71" i="1"/>
  <c r="JI71" i="1"/>
  <c r="JB71" i="1"/>
  <c r="JC71" i="1" s="1"/>
  <c r="JD71" i="1" s="1"/>
  <c r="IW71" i="1"/>
  <c r="IX71" i="1" s="1"/>
  <c r="IY71" i="1" s="1"/>
  <c r="IR71" i="1"/>
  <c r="IS71" i="1" s="1"/>
  <c r="IT71" i="1" s="1"/>
  <c r="IM71" i="1"/>
  <c r="IN71" i="1" s="1"/>
  <c r="IO71" i="1" s="1"/>
  <c r="IH71" i="1"/>
  <c r="II71" i="1" s="1"/>
  <c r="IJ71" i="1" s="1"/>
  <c r="IC71" i="1"/>
  <c r="ID71" i="1" s="1"/>
  <c r="IE71" i="1" s="1"/>
  <c r="HX71" i="1"/>
  <c r="HY71" i="1" s="1"/>
  <c r="HZ71" i="1" s="1"/>
  <c r="HU71" i="1"/>
  <c r="HN71" i="1"/>
  <c r="HO71" i="1" s="1"/>
  <c r="HP71" i="1" s="1"/>
  <c r="HI71" i="1"/>
  <c r="HJ71" i="1" s="1"/>
  <c r="HK71" i="1" s="1"/>
  <c r="HD71" i="1"/>
  <c r="HE71" i="1" s="1"/>
  <c r="HF71" i="1" s="1"/>
  <c r="GY71" i="1"/>
  <c r="GZ71" i="1" s="1"/>
  <c r="HA71" i="1" s="1"/>
  <c r="GT71" i="1"/>
  <c r="GU71" i="1" s="1"/>
  <c r="GV71" i="1" s="1"/>
  <c r="GO71" i="1"/>
  <c r="GP71" i="1" s="1"/>
  <c r="GQ71" i="1" s="1"/>
  <c r="GJ71" i="1"/>
  <c r="GK71" i="1" s="1"/>
  <c r="GL71" i="1" s="1"/>
  <c r="GE71" i="1"/>
  <c r="GF71" i="1" s="1"/>
  <c r="GG71" i="1" s="1"/>
  <c r="FZ71" i="1"/>
  <c r="GA71" i="1" s="1"/>
  <c r="GB71" i="1" s="1"/>
  <c r="FU71" i="1"/>
  <c r="FV71" i="1" s="1"/>
  <c r="FW71" i="1" s="1"/>
  <c r="FP71" i="1"/>
  <c r="FQ71" i="1" s="1"/>
  <c r="FR71" i="1" s="1"/>
  <c r="FK71" i="1"/>
  <c r="FL71" i="1" s="1"/>
  <c r="FM71" i="1" s="1"/>
  <c r="FF71" i="1"/>
  <c r="FG71" i="1" s="1"/>
  <c r="FH71" i="1" s="1"/>
  <c r="FA71" i="1"/>
  <c r="FB71" i="1" s="1"/>
  <c r="FC71" i="1" s="1"/>
  <c r="EV71" i="1"/>
  <c r="EW71" i="1" s="1"/>
  <c r="EX71" i="1" s="1"/>
  <c r="EQ71" i="1"/>
  <c r="ER71" i="1" s="1"/>
  <c r="ES71" i="1" s="1"/>
  <c r="EL71" i="1"/>
  <c r="EM71" i="1" s="1"/>
  <c r="EN71" i="1" s="1"/>
  <c r="EE71" i="1"/>
  <c r="EF71" i="1" s="1"/>
  <c r="EG71" i="1" s="1"/>
  <c r="DZ71" i="1"/>
  <c r="EA71" i="1" s="1"/>
  <c r="EB71" i="1" s="1"/>
  <c r="DU71" i="1"/>
  <c r="DV71" i="1" s="1"/>
  <c r="DW71" i="1" s="1"/>
  <c r="DP71" i="1"/>
  <c r="DQ71" i="1" s="1"/>
  <c r="DR71" i="1" s="1"/>
  <c r="DK71" i="1"/>
  <c r="DL71" i="1" s="1"/>
  <c r="DM71" i="1" s="1"/>
  <c r="DF71" i="1"/>
  <c r="DG71" i="1" s="1"/>
  <c r="DH71" i="1" s="1"/>
  <c r="DA71" i="1"/>
  <c r="DB71" i="1" s="1"/>
  <c r="DC71" i="1" s="1"/>
  <c r="CV71" i="1"/>
  <c r="CW71" i="1" s="1"/>
  <c r="CX71" i="1" s="1"/>
  <c r="CQ71" i="1"/>
  <c r="CR71" i="1" s="1"/>
  <c r="CS71" i="1" s="1"/>
  <c r="CL71" i="1"/>
  <c r="CM71" i="1" s="1"/>
  <c r="CN71" i="1" s="1"/>
  <c r="CG71" i="1"/>
  <c r="CH71" i="1" s="1"/>
  <c r="CI71" i="1" s="1"/>
  <c r="CA71" i="1"/>
  <c r="CB71" i="1" s="1"/>
  <c r="CC71" i="1" s="1"/>
  <c r="BV71" i="1"/>
  <c r="BW71" i="1" s="1"/>
  <c r="BX71" i="1" s="1"/>
  <c r="BQ71" i="1"/>
  <c r="BR71" i="1" s="1"/>
  <c r="BS71" i="1" s="1"/>
  <c r="BL71" i="1"/>
  <c r="BM71" i="1" s="1"/>
  <c r="BN71" i="1" s="1"/>
  <c r="BG71" i="1"/>
  <c r="BH71" i="1" s="1"/>
  <c r="BI71" i="1" s="1"/>
  <c r="BB71" i="1"/>
  <c r="BC71" i="1" s="1"/>
  <c r="BD71" i="1" s="1"/>
  <c r="AW71" i="1"/>
  <c r="AX71" i="1" s="1"/>
  <c r="AY71" i="1" s="1"/>
  <c r="AR71" i="1"/>
  <c r="AS71" i="1" s="1"/>
  <c r="AT71" i="1" s="1"/>
  <c r="AM71" i="1"/>
  <c r="AN71" i="1" s="1"/>
  <c r="AO71" i="1" s="1"/>
  <c r="AH71" i="1"/>
  <c r="AI71" i="1" s="1"/>
  <c r="AJ71" i="1" s="1"/>
  <c r="AC71" i="1"/>
  <c r="AD71" i="1" s="1"/>
  <c r="AE71" i="1" s="1"/>
  <c r="W71" i="1"/>
  <c r="X71" i="1" s="1"/>
  <c r="Y71" i="1" s="1"/>
  <c r="S71" i="1"/>
  <c r="N71" i="1"/>
  <c r="I71" i="1"/>
  <c r="NZ70" i="1"/>
  <c r="NU70" i="1"/>
  <c r="NP70" i="1"/>
  <c r="NK70" i="1"/>
  <c r="NF70" i="1"/>
  <c r="NA70" i="1"/>
  <c r="MV70" i="1"/>
  <c r="MQ70" i="1"/>
  <c r="MM70" i="1"/>
  <c r="MI70" i="1"/>
  <c r="MD70" i="1"/>
  <c r="LY70" i="1"/>
  <c r="LT70" i="1"/>
  <c r="LO70" i="1"/>
  <c r="LJ70" i="1"/>
  <c r="LE70" i="1"/>
  <c r="KZ70" i="1"/>
  <c r="KV70" i="1"/>
  <c r="KQ70" i="1"/>
  <c r="KM70" i="1"/>
  <c r="KI70" i="1"/>
  <c r="KE70" i="1"/>
  <c r="KA70" i="1"/>
  <c r="JV70" i="1"/>
  <c r="JQ70" i="1"/>
  <c r="JM70" i="1"/>
  <c r="JI70" i="1"/>
  <c r="JD70" i="1"/>
  <c r="IY70" i="1"/>
  <c r="IT70" i="1"/>
  <c r="IO70" i="1"/>
  <c r="IJ70" i="1"/>
  <c r="IE70" i="1"/>
  <c r="HZ70" i="1"/>
  <c r="HU70" i="1"/>
  <c r="HP70" i="1"/>
  <c r="HK70" i="1"/>
  <c r="HD70" i="1"/>
  <c r="HE70" i="1" s="1"/>
  <c r="HF70" i="1" s="1"/>
  <c r="GY70" i="1"/>
  <c r="GZ70" i="1" s="1"/>
  <c r="HA70" i="1" s="1"/>
  <c r="GT70" i="1"/>
  <c r="GU70" i="1" s="1"/>
  <c r="GV70" i="1" s="1"/>
  <c r="GO70" i="1"/>
  <c r="GP70" i="1" s="1"/>
  <c r="GQ70" i="1" s="1"/>
  <c r="GJ70" i="1"/>
  <c r="GK70" i="1" s="1"/>
  <c r="GL70" i="1" s="1"/>
  <c r="GE70" i="1"/>
  <c r="GF70" i="1" s="1"/>
  <c r="GG70" i="1" s="1"/>
  <c r="FZ70" i="1"/>
  <c r="GA70" i="1" s="1"/>
  <c r="GB70" i="1" s="1"/>
  <c r="FU70" i="1"/>
  <c r="FV70" i="1" s="1"/>
  <c r="FW70" i="1" s="1"/>
  <c r="FP70" i="1"/>
  <c r="FQ70" i="1" s="1"/>
  <c r="FR70" i="1" s="1"/>
  <c r="FK70" i="1"/>
  <c r="FL70" i="1" s="1"/>
  <c r="FM70" i="1" s="1"/>
  <c r="FF70" i="1"/>
  <c r="FG70" i="1" s="1"/>
  <c r="FH70" i="1" s="1"/>
  <c r="FA70" i="1"/>
  <c r="FB70" i="1" s="1"/>
  <c r="FC70" i="1" s="1"/>
  <c r="EV70" i="1"/>
  <c r="EW70" i="1" s="1"/>
  <c r="EX70" i="1" s="1"/>
  <c r="EQ70" i="1"/>
  <c r="ER70" i="1" s="1"/>
  <c r="ES70" i="1" s="1"/>
  <c r="EL70" i="1"/>
  <c r="EM70" i="1" s="1"/>
  <c r="EN70" i="1" s="1"/>
  <c r="EE70" i="1"/>
  <c r="EF70" i="1" s="1"/>
  <c r="EG70" i="1" s="1"/>
  <c r="DZ70" i="1"/>
  <c r="EA70" i="1" s="1"/>
  <c r="EB70" i="1" s="1"/>
  <c r="DU70" i="1"/>
  <c r="DV70" i="1" s="1"/>
  <c r="DW70" i="1" s="1"/>
  <c r="DP70" i="1"/>
  <c r="DQ70" i="1" s="1"/>
  <c r="DR70" i="1" s="1"/>
  <c r="DK70" i="1"/>
  <c r="DL70" i="1" s="1"/>
  <c r="DM70" i="1" s="1"/>
  <c r="DF70" i="1"/>
  <c r="DG70" i="1" s="1"/>
  <c r="DH70" i="1" s="1"/>
  <c r="DA70" i="1"/>
  <c r="DB70" i="1" s="1"/>
  <c r="DC70" i="1" s="1"/>
  <c r="CV70" i="1"/>
  <c r="CW70" i="1" s="1"/>
  <c r="CX70" i="1" s="1"/>
  <c r="CQ70" i="1"/>
  <c r="CR70" i="1" s="1"/>
  <c r="CS70" i="1" s="1"/>
  <c r="CL70" i="1"/>
  <c r="CM70" i="1" s="1"/>
  <c r="CN70" i="1" s="1"/>
  <c r="CG70" i="1"/>
  <c r="CH70" i="1" s="1"/>
  <c r="CI70" i="1" s="1"/>
  <c r="CA70" i="1"/>
  <c r="CB70" i="1" s="1"/>
  <c r="CC70" i="1" s="1"/>
  <c r="BV70" i="1"/>
  <c r="BW70" i="1" s="1"/>
  <c r="BX70" i="1" s="1"/>
  <c r="BQ70" i="1"/>
  <c r="BR70" i="1" s="1"/>
  <c r="BS70" i="1" s="1"/>
  <c r="BL70" i="1"/>
  <c r="BM70" i="1" s="1"/>
  <c r="BN70" i="1" s="1"/>
  <c r="BG70" i="1"/>
  <c r="BH70" i="1" s="1"/>
  <c r="BI70" i="1" s="1"/>
  <c r="BB70" i="1"/>
  <c r="BC70" i="1" s="1"/>
  <c r="BD70" i="1" s="1"/>
  <c r="AW70" i="1"/>
  <c r="AX70" i="1" s="1"/>
  <c r="AY70" i="1" s="1"/>
  <c r="AR70" i="1"/>
  <c r="AS70" i="1" s="1"/>
  <c r="AT70" i="1" s="1"/>
  <c r="AM70" i="1"/>
  <c r="AN70" i="1" s="1"/>
  <c r="AO70" i="1" s="1"/>
  <c r="AH70" i="1"/>
  <c r="AI70" i="1" s="1"/>
  <c r="AJ70" i="1" s="1"/>
  <c r="AE70" i="1"/>
  <c r="W70" i="1"/>
  <c r="X70" i="1" s="1"/>
  <c r="Y70" i="1" s="1"/>
  <c r="S70" i="1"/>
  <c r="N70" i="1"/>
  <c r="G70" i="1"/>
  <c r="H70" i="1" s="1"/>
  <c r="I70" i="1" s="1"/>
  <c r="NZ69" i="1"/>
  <c r="NU69" i="1"/>
  <c r="NP69" i="1"/>
  <c r="NK69" i="1"/>
  <c r="NF69" i="1"/>
  <c r="NA69" i="1"/>
  <c r="MV69" i="1"/>
  <c r="MQ69" i="1"/>
  <c r="MM69" i="1"/>
  <c r="MI69" i="1"/>
  <c r="MD69" i="1"/>
  <c r="LY69" i="1"/>
  <c r="LT69" i="1"/>
  <c r="LO69" i="1"/>
  <c r="LJ69" i="1"/>
  <c r="LE69" i="1"/>
  <c r="KZ69" i="1"/>
  <c r="KV69" i="1"/>
  <c r="KQ69" i="1"/>
  <c r="KM69" i="1"/>
  <c r="KI69" i="1"/>
  <c r="KE69" i="1"/>
  <c r="JY69" i="1"/>
  <c r="JZ69" i="1" s="1"/>
  <c r="KA69" i="1" s="1"/>
  <c r="JV69" i="1"/>
  <c r="JQ69" i="1"/>
  <c r="JM69" i="1"/>
  <c r="JI69" i="1"/>
  <c r="JD69" i="1"/>
  <c r="IY69" i="1"/>
  <c r="IT69" i="1"/>
  <c r="IO69" i="1"/>
  <c r="IJ69" i="1"/>
  <c r="IE69" i="1"/>
  <c r="HZ69" i="1"/>
  <c r="HU69" i="1"/>
  <c r="HP69" i="1"/>
  <c r="HK69" i="1"/>
  <c r="HD69" i="1"/>
  <c r="HE69" i="1" s="1"/>
  <c r="HF69" i="1" s="1"/>
  <c r="GY69" i="1"/>
  <c r="GZ69" i="1" s="1"/>
  <c r="HA69" i="1" s="1"/>
  <c r="GT69" i="1"/>
  <c r="GU69" i="1" s="1"/>
  <c r="GV69" i="1" s="1"/>
  <c r="GO69" i="1"/>
  <c r="GP69" i="1" s="1"/>
  <c r="GQ69" i="1" s="1"/>
  <c r="GJ69" i="1"/>
  <c r="GK69" i="1" s="1"/>
  <c r="GL69" i="1" s="1"/>
  <c r="GE69" i="1"/>
  <c r="GF69" i="1" s="1"/>
  <c r="GG69" i="1" s="1"/>
  <c r="FZ69" i="1"/>
  <c r="GA69" i="1" s="1"/>
  <c r="GB69" i="1" s="1"/>
  <c r="FU69" i="1"/>
  <c r="FV69" i="1" s="1"/>
  <c r="FW69" i="1" s="1"/>
  <c r="FP69" i="1"/>
  <c r="FQ69" i="1" s="1"/>
  <c r="FR69" i="1" s="1"/>
  <c r="FK69" i="1"/>
  <c r="FL69" i="1" s="1"/>
  <c r="FM69" i="1" s="1"/>
  <c r="FF69" i="1"/>
  <c r="FG69" i="1" s="1"/>
  <c r="FH69" i="1" s="1"/>
  <c r="FA69" i="1"/>
  <c r="FB69" i="1" s="1"/>
  <c r="FC69" i="1" s="1"/>
  <c r="EV69" i="1"/>
  <c r="EW69" i="1" s="1"/>
  <c r="EX69" i="1" s="1"/>
  <c r="EQ69" i="1"/>
  <c r="ER69" i="1" s="1"/>
  <c r="ES69" i="1" s="1"/>
  <c r="EL69" i="1"/>
  <c r="EM69" i="1" s="1"/>
  <c r="EN69" i="1" s="1"/>
  <c r="EE69" i="1"/>
  <c r="EF69" i="1" s="1"/>
  <c r="EG69" i="1" s="1"/>
  <c r="DZ69" i="1"/>
  <c r="EA69" i="1" s="1"/>
  <c r="EB69" i="1" s="1"/>
  <c r="DU69" i="1"/>
  <c r="DV69" i="1" s="1"/>
  <c r="DW69" i="1" s="1"/>
  <c r="DP69" i="1"/>
  <c r="DQ69" i="1" s="1"/>
  <c r="DR69" i="1" s="1"/>
  <c r="DK69" i="1"/>
  <c r="DL69" i="1" s="1"/>
  <c r="DM69" i="1" s="1"/>
  <c r="DF69" i="1"/>
  <c r="DG69" i="1" s="1"/>
  <c r="DH69" i="1" s="1"/>
  <c r="DA69" i="1"/>
  <c r="DB69" i="1" s="1"/>
  <c r="DC69" i="1" s="1"/>
  <c r="CV69" i="1"/>
  <c r="CW69" i="1" s="1"/>
  <c r="CX69" i="1" s="1"/>
  <c r="CQ69" i="1"/>
  <c r="CR69" i="1" s="1"/>
  <c r="CS69" i="1" s="1"/>
  <c r="CL69" i="1"/>
  <c r="CM69" i="1" s="1"/>
  <c r="CN69" i="1" s="1"/>
  <c r="CG69" i="1"/>
  <c r="CH69" i="1" s="1"/>
  <c r="CI69" i="1" s="1"/>
  <c r="CA69" i="1"/>
  <c r="CB69" i="1" s="1"/>
  <c r="CC69" i="1" s="1"/>
  <c r="BV69" i="1"/>
  <c r="BW69" i="1" s="1"/>
  <c r="BX69" i="1" s="1"/>
  <c r="BQ69" i="1"/>
  <c r="BR69" i="1" s="1"/>
  <c r="BS69" i="1" s="1"/>
  <c r="BL69" i="1"/>
  <c r="BM69" i="1" s="1"/>
  <c r="BN69" i="1" s="1"/>
  <c r="BG69" i="1"/>
  <c r="BH69" i="1" s="1"/>
  <c r="BI69" i="1" s="1"/>
  <c r="BB69" i="1"/>
  <c r="BC69" i="1" s="1"/>
  <c r="BD69" i="1" s="1"/>
  <c r="AW69" i="1"/>
  <c r="AX69" i="1" s="1"/>
  <c r="AY69" i="1" s="1"/>
  <c r="AR69" i="1"/>
  <c r="AS69" i="1" s="1"/>
  <c r="AT69" i="1" s="1"/>
  <c r="AM69" i="1"/>
  <c r="AN69" i="1" s="1"/>
  <c r="AO69" i="1" s="1"/>
  <c r="AH69" i="1"/>
  <c r="AI69" i="1" s="1"/>
  <c r="AJ69" i="1" s="1"/>
  <c r="AE69" i="1"/>
  <c r="W69" i="1"/>
  <c r="X69" i="1" s="1"/>
  <c r="Y69" i="1" s="1"/>
  <c r="S69" i="1"/>
  <c r="N69" i="1"/>
  <c r="G69" i="1"/>
  <c r="H69" i="1" s="1"/>
  <c r="I69" i="1" s="1"/>
  <c r="NZ68" i="1"/>
  <c r="NU68" i="1"/>
  <c r="NP68" i="1"/>
  <c r="NK68" i="1"/>
  <c r="NF68" i="1"/>
  <c r="NA68" i="1"/>
  <c r="MV68" i="1"/>
  <c r="MQ68" i="1"/>
  <c r="MM68" i="1"/>
  <c r="MI68" i="1"/>
  <c r="MD68" i="1"/>
  <c r="LY68" i="1"/>
  <c r="LT68" i="1"/>
  <c r="LO68" i="1"/>
  <c r="LJ68" i="1"/>
  <c r="LC68" i="1"/>
  <c r="LD68" i="1" s="1"/>
  <c r="LE68" i="1" s="1"/>
  <c r="KZ68" i="1"/>
  <c r="KV68" i="1"/>
  <c r="KQ68" i="1"/>
  <c r="KM68" i="1"/>
  <c r="KI68" i="1"/>
  <c r="KE68" i="1"/>
  <c r="KA68" i="1"/>
  <c r="JV68" i="1"/>
  <c r="JQ68" i="1"/>
  <c r="JM68" i="1"/>
  <c r="JI68" i="1"/>
  <c r="JB68" i="1"/>
  <c r="JC68" i="1" s="1"/>
  <c r="JD68" i="1" s="1"/>
  <c r="IW68" i="1"/>
  <c r="IX68" i="1" s="1"/>
  <c r="IY68" i="1" s="1"/>
  <c r="IR68" i="1"/>
  <c r="IS68" i="1" s="1"/>
  <c r="IT68" i="1" s="1"/>
  <c r="IM68" i="1"/>
  <c r="IN68" i="1" s="1"/>
  <c r="IO68" i="1" s="1"/>
  <c r="IH68" i="1"/>
  <c r="II68" i="1" s="1"/>
  <c r="IJ68" i="1" s="1"/>
  <c r="IC68" i="1"/>
  <c r="ID68" i="1" s="1"/>
  <c r="IE68" i="1" s="1"/>
  <c r="HX68" i="1"/>
  <c r="HY68" i="1" s="1"/>
  <c r="HZ68" i="1" s="1"/>
  <c r="HU68" i="1"/>
  <c r="HP68" i="1"/>
  <c r="HI68" i="1"/>
  <c r="HJ68" i="1" s="1"/>
  <c r="HK68" i="1" s="1"/>
  <c r="HD68" i="1"/>
  <c r="HE68" i="1" s="1"/>
  <c r="HF68" i="1" s="1"/>
  <c r="GY68" i="1"/>
  <c r="GZ68" i="1" s="1"/>
  <c r="HA68" i="1" s="1"/>
  <c r="GT68" i="1"/>
  <c r="GU68" i="1" s="1"/>
  <c r="GV68" i="1" s="1"/>
  <c r="GO68" i="1"/>
  <c r="GP68" i="1" s="1"/>
  <c r="GQ68" i="1" s="1"/>
  <c r="GJ68" i="1"/>
  <c r="GK68" i="1" s="1"/>
  <c r="GL68" i="1" s="1"/>
  <c r="GE68" i="1"/>
  <c r="GF68" i="1" s="1"/>
  <c r="GG68" i="1" s="1"/>
  <c r="FZ68" i="1"/>
  <c r="GA68" i="1" s="1"/>
  <c r="GB68" i="1" s="1"/>
  <c r="FU68" i="1"/>
  <c r="FV68" i="1" s="1"/>
  <c r="FW68" i="1" s="1"/>
  <c r="FP68" i="1"/>
  <c r="FQ68" i="1" s="1"/>
  <c r="FR68" i="1" s="1"/>
  <c r="FK68" i="1"/>
  <c r="FL68" i="1" s="1"/>
  <c r="FM68" i="1" s="1"/>
  <c r="FF68" i="1"/>
  <c r="FG68" i="1" s="1"/>
  <c r="FH68" i="1" s="1"/>
  <c r="FA68" i="1"/>
  <c r="FB68" i="1" s="1"/>
  <c r="FC68" i="1" s="1"/>
  <c r="EV68" i="1"/>
  <c r="EW68" i="1" s="1"/>
  <c r="EX68" i="1" s="1"/>
  <c r="EQ68" i="1"/>
  <c r="ER68" i="1" s="1"/>
  <c r="ES68" i="1" s="1"/>
  <c r="EL68" i="1"/>
  <c r="EM68" i="1" s="1"/>
  <c r="EN68" i="1" s="1"/>
  <c r="EE68" i="1"/>
  <c r="EF68" i="1" s="1"/>
  <c r="EG68" i="1" s="1"/>
  <c r="DZ68" i="1"/>
  <c r="EA68" i="1" s="1"/>
  <c r="EB68" i="1" s="1"/>
  <c r="DU68" i="1"/>
  <c r="DV68" i="1" s="1"/>
  <c r="DW68" i="1" s="1"/>
  <c r="DP68" i="1"/>
  <c r="DQ68" i="1" s="1"/>
  <c r="DR68" i="1" s="1"/>
  <c r="DK68" i="1"/>
  <c r="DL68" i="1" s="1"/>
  <c r="DM68" i="1" s="1"/>
  <c r="DF68" i="1"/>
  <c r="DG68" i="1" s="1"/>
  <c r="DH68" i="1" s="1"/>
  <c r="DA68" i="1"/>
  <c r="DB68" i="1" s="1"/>
  <c r="DC68" i="1" s="1"/>
  <c r="CV68" i="1"/>
  <c r="CW68" i="1" s="1"/>
  <c r="CX68" i="1" s="1"/>
  <c r="CQ68" i="1"/>
  <c r="CR68" i="1" s="1"/>
  <c r="CS68" i="1" s="1"/>
  <c r="CL68" i="1"/>
  <c r="CM68" i="1" s="1"/>
  <c r="CN68" i="1" s="1"/>
  <c r="CG68" i="1"/>
  <c r="CH68" i="1" s="1"/>
  <c r="CI68" i="1" s="1"/>
  <c r="CA68" i="1"/>
  <c r="CB68" i="1" s="1"/>
  <c r="CC68" i="1" s="1"/>
  <c r="BV68" i="1"/>
  <c r="BW68" i="1" s="1"/>
  <c r="BX68" i="1" s="1"/>
  <c r="BQ68" i="1"/>
  <c r="BR68" i="1" s="1"/>
  <c r="BS68" i="1" s="1"/>
  <c r="BL68" i="1"/>
  <c r="BM68" i="1" s="1"/>
  <c r="BN68" i="1" s="1"/>
  <c r="BG68" i="1"/>
  <c r="BH68" i="1" s="1"/>
  <c r="BI68" i="1" s="1"/>
  <c r="BB68" i="1"/>
  <c r="BC68" i="1" s="1"/>
  <c r="BD68" i="1" s="1"/>
  <c r="AW68" i="1"/>
  <c r="AX68" i="1" s="1"/>
  <c r="AY68" i="1" s="1"/>
  <c r="AR68" i="1"/>
  <c r="AS68" i="1" s="1"/>
  <c r="AT68" i="1" s="1"/>
  <c r="AM68" i="1"/>
  <c r="AN68" i="1" s="1"/>
  <c r="AO68" i="1" s="1"/>
  <c r="AH68" i="1"/>
  <c r="AI68" i="1" s="1"/>
  <c r="AJ68" i="1" s="1"/>
  <c r="AC68" i="1"/>
  <c r="AD68" i="1" s="1"/>
  <c r="AE68" i="1" s="1"/>
  <c r="W68" i="1"/>
  <c r="X68" i="1" s="1"/>
  <c r="Y68" i="1" s="1"/>
  <c r="S68" i="1"/>
  <c r="N68" i="1"/>
  <c r="I68" i="1"/>
  <c r="NZ67" i="1"/>
  <c r="NU67" i="1"/>
  <c r="NP67" i="1"/>
  <c r="NK67" i="1"/>
  <c r="NF67" i="1"/>
  <c r="NA67" i="1"/>
  <c r="MV67" i="1"/>
  <c r="MQ67" i="1"/>
  <c r="MM67" i="1"/>
  <c r="MI67" i="1"/>
  <c r="MD67" i="1"/>
  <c r="LY67" i="1"/>
  <c r="LT67" i="1"/>
  <c r="LO67" i="1"/>
  <c r="LJ67" i="1"/>
  <c r="LE67" i="1"/>
  <c r="KZ67" i="1"/>
  <c r="KV67" i="1"/>
  <c r="KQ67" i="1"/>
  <c r="KM67" i="1"/>
  <c r="KI67" i="1"/>
  <c r="KE67" i="1"/>
  <c r="JY67" i="1"/>
  <c r="JZ67" i="1" s="1"/>
  <c r="KA67" i="1" s="1"/>
  <c r="JV67" i="1"/>
  <c r="JQ67" i="1"/>
  <c r="JM67" i="1"/>
  <c r="JI67" i="1"/>
  <c r="JD67" i="1"/>
  <c r="IY67" i="1"/>
  <c r="IT67" i="1"/>
  <c r="IO67" i="1"/>
  <c r="IJ67" i="1"/>
  <c r="IE67" i="1"/>
  <c r="HZ67" i="1"/>
  <c r="HU67" i="1"/>
  <c r="HP67" i="1"/>
  <c r="HK67" i="1"/>
  <c r="HD67" i="1"/>
  <c r="HE67" i="1" s="1"/>
  <c r="HF67" i="1" s="1"/>
  <c r="GY67" i="1"/>
  <c r="GZ67" i="1" s="1"/>
  <c r="HA67" i="1" s="1"/>
  <c r="GT67" i="1"/>
  <c r="GU67" i="1" s="1"/>
  <c r="GV67" i="1" s="1"/>
  <c r="GO67" i="1"/>
  <c r="GP67" i="1" s="1"/>
  <c r="GQ67" i="1" s="1"/>
  <c r="GJ67" i="1"/>
  <c r="GK67" i="1" s="1"/>
  <c r="GL67" i="1" s="1"/>
  <c r="GE67" i="1"/>
  <c r="GF67" i="1" s="1"/>
  <c r="GG67" i="1" s="1"/>
  <c r="FZ67" i="1"/>
  <c r="GA67" i="1" s="1"/>
  <c r="GB67" i="1" s="1"/>
  <c r="FU67" i="1"/>
  <c r="FV67" i="1" s="1"/>
  <c r="FW67" i="1" s="1"/>
  <c r="FP67" i="1"/>
  <c r="FQ67" i="1" s="1"/>
  <c r="FR67" i="1" s="1"/>
  <c r="FK67" i="1"/>
  <c r="FL67" i="1" s="1"/>
  <c r="FM67" i="1" s="1"/>
  <c r="FF67" i="1"/>
  <c r="FG67" i="1" s="1"/>
  <c r="FH67" i="1" s="1"/>
  <c r="FA67" i="1"/>
  <c r="FB67" i="1" s="1"/>
  <c r="FC67" i="1" s="1"/>
  <c r="EV67" i="1"/>
  <c r="EW67" i="1" s="1"/>
  <c r="EX67" i="1" s="1"/>
  <c r="EQ67" i="1"/>
  <c r="ER67" i="1" s="1"/>
  <c r="ES67" i="1" s="1"/>
  <c r="EL67" i="1"/>
  <c r="EM67" i="1" s="1"/>
  <c r="EN67" i="1" s="1"/>
  <c r="EE67" i="1"/>
  <c r="EF67" i="1" s="1"/>
  <c r="EG67" i="1" s="1"/>
  <c r="DZ67" i="1"/>
  <c r="EA67" i="1" s="1"/>
  <c r="EB67" i="1" s="1"/>
  <c r="DU67" i="1"/>
  <c r="DV67" i="1" s="1"/>
  <c r="DW67" i="1" s="1"/>
  <c r="DP67" i="1"/>
  <c r="DQ67" i="1" s="1"/>
  <c r="DR67" i="1" s="1"/>
  <c r="DK67" i="1"/>
  <c r="DL67" i="1" s="1"/>
  <c r="DM67" i="1" s="1"/>
  <c r="DF67" i="1"/>
  <c r="DG67" i="1" s="1"/>
  <c r="DH67" i="1" s="1"/>
  <c r="DA67" i="1"/>
  <c r="DB67" i="1" s="1"/>
  <c r="DC67" i="1" s="1"/>
  <c r="CV67" i="1"/>
  <c r="CW67" i="1" s="1"/>
  <c r="CX67" i="1" s="1"/>
  <c r="CQ67" i="1"/>
  <c r="CR67" i="1" s="1"/>
  <c r="CS67" i="1" s="1"/>
  <c r="CL67" i="1"/>
  <c r="CM67" i="1" s="1"/>
  <c r="CN67" i="1" s="1"/>
  <c r="CG67" i="1"/>
  <c r="CH67" i="1" s="1"/>
  <c r="CI67" i="1" s="1"/>
  <c r="CA67" i="1"/>
  <c r="CB67" i="1" s="1"/>
  <c r="CC67" i="1" s="1"/>
  <c r="BV67" i="1"/>
  <c r="BW67" i="1" s="1"/>
  <c r="BX67" i="1" s="1"/>
  <c r="BQ67" i="1"/>
  <c r="BR67" i="1" s="1"/>
  <c r="BS67" i="1" s="1"/>
  <c r="BL67" i="1"/>
  <c r="BM67" i="1" s="1"/>
  <c r="BN67" i="1" s="1"/>
  <c r="BG67" i="1"/>
  <c r="BH67" i="1" s="1"/>
  <c r="BI67" i="1" s="1"/>
  <c r="BB67" i="1"/>
  <c r="BC67" i="1" s="1"/>
  <c r="BD67" i="1" s="1"/>
  <c r="AW67" i="1"/>
  <c r="AX67" i="1" s="1"/>
  <c r="AY67" i="1" s="1"/>
  <c r="AR67" i="1"/>
  <c r="AS67" i="1" s="1"/>
  <c r="AT67" i="1" s="1"/>
  <c r="AM67" i="1"/>
  <c r="AN67" i="1" s="1"/>
  <c r="AO67" i="1" s="1"/>
  <c r="AH67" i="1"/>
  <c r="AI67" i="1" s="1"/>
  <c r="AJ67" i="1" s="1"/>
  <c r="AE67" i="1"/>
  <c r="W67" i="1"/>
  <c r="X67" i="1" s="1"/>
  <c r="Y67" i="1" s="1"/>
  <c r="S67" i="1"/>
  <c r="N67" i="1"/>
  <c r="G67" i="1"/>
  <c r="H67" i="1" s="1"/>
  <c r="I67" i="1" s="1"/>
  <c r="NZ66" i="1"/>
  <c r="NU66" i="1"/>
  <c r="NP66" i="1"/>
  <c r="NK66" i="1"/>
  <c r="NF66" i="1"/>
  <c r="NA66" i="1"/>
  <c r="MV66" i="1"/>
  <c r="MQ66" i="1"/>
  <c r="MM66" i="1"/>
  <c r="MI66" i="1"/>
  <c r="MD66" i="1"/>
  <c r="LY66" i="1"/>
  <c r="LT66" i="1"/>
  <c r="LO66" i="1"/>
  <c r="LJ66" i="1"/>
  <c r="LE66" i="1"/>
  <c r="KZ66" i="1"/>
  <c r="KV66" i="1"/>
  <c r="KQ66" i="1"/>
  <c r="KM66" i="1"/>
  <c r="KI66" i="1"/>
  <c r="KE66" i="1"/>
  <c r="KA66" i="1"/>
  <c r="JV66" i="1"/>
  <c r="JQ66" i="1"/>
  <c r="JM66" i="1"/>
  <c r="JI66" i="1"/>
  <c r="JD66" i="1"/>
  <c r="IY66" i="1"/>
  <c r="IT66" i="1"/>
  <c r="IO66" i="1"/>
  <c r="IJ66" i="1"/>
  <c r="IE66" i="1"/>
  <c r="HZ66" i="1"/>
  <c r="HU66" i="1"/>
  <c r="HP66" i="1"/>
  <c r="HK66" i="1"/>
  <c r="HD66" i="1"/>
  <c r="HE66" i="1" s="1"/>
  <c r="HF66" i="1" s="1"/>
  <c r="GY66" i="1"/>
  <c r="GZ66" i="1" s="1"/>
  <c r="HA66" i="1" s="1"/>
  <c r="GT66" i="1"/>
  <c r="GU66" i="1" s="1"/>
  <c r="GV66" i="1" s="1"/>
  <c r="GO66" i="1"/>
  <c r="GP66" i="1" s="1"/>
  <c r="GQ66" i="1" s="1"/>
  <c r="GJ66" i="1"/>
  <c r="GK66" i="1" s="1"/>
  <c r="GL66" i="1" s="1"/>
  <c r="GE66" i="1"/>
  <c r="GF66" i="1" s="1"/>
  <c r="GG66" i="1" s="1"/>
  <c r="FZ66" i="1"/>
  <c r="GA66" i="1" s="1"/>
  <c r="GB66" i="1" s="1"/>
  <c r="FU66" i="1"/>
  <c r="FV66" i="1" s="1"/>
  <c r="FW66" i="1" s="1"/>
  <c r="FP66" i="1"/>
  <c r="FQ66" i="1" s="1"/>
  <c r="FR66" i="1" s="1"/>
  <c r="FK66" i="1"/>
  <c r="FL66" i="1" s="1"/>
  <c r="FM66" i="1" s="1"/>
  <c r="FF66" i="1"/>
  <c r="FG66" i="1" s="1"/>
  <c r="FH66" i="1" s="1"/>
  <c r="FA66" i="1"/>
  <c r="FB66" i="1" s="1"/>
  <c r="FC66" i="1" s="1"/>
  <c r="EV66" i="1"/>
  <c r="EW66" i="1" s="1"/>
  <c r="EX66" i="1" s="1"/>
  <c r="EQ66" i="1"/>
  <c r="ER66" i="1" s="1"/>
  <c r="ES66" i="1" s="1"/>
  <c r="EL66" i="1"/>
  <c r="EM66" i="1" s="1"/>
  <c r="EN66" i="1" s="1"/>
  <c r="EE66" i="1"/>
  <c r="EF66" i="1" s="1"/>
  <c r="EG66" i="1" s="1"/>
  <c r="DZ66" i="1"/>
  <c r="EA66" i="1" s="1"/>
  <c r="EB66" i="1" s="1"/>
  <c r="DU66" i="1"/>
  <c r="DV66" i="1" s="1"/>
  <c r="DW66" i="1" s="1"/>
  <c r="DP66" i="1"/>
  <c r="DQ66" i="1" s="1"/>
  <c r="DR66" i="1" s="1"/>
  <c r="DK66" i="1"/>
  <c r="DL66" i="1" s="1"/>
  <c r="DM66" i="1" s="1"/>
  <c r="DF66" i="1"/>
  <c r="DG66" i="1" s="1"/>
  <c r="DH66" i="1" s="1"/>
  <c r="DA66" i="1"/>
  <c r="DB66" i="1" s="1"/>
  <c r="DC66" i="1" s="1"/>
  <c r="CV66" i="1"/>
  <c r="CW66" i="1" s="1"/>
  <c r="CX66" i="1" s="1"/>
  <c r="CQ66" i="1"/>
  <c r="CR66" i="1" s="1"/>
  <c r="CS66" i="1" s="1"/>
  <c r="CL66" i="1"/>
  <c r="CM66" i="1" s="1"/>
  <c r="CN66" i="1" s="1"/>
  <c r="CG66" i="1"/>
  <c r="CH66" i="1" s="1"/>
  <c r="CI66" i="1" s="1"/>
  <c r="CA66" i="1"/>
  <c r="CB66" i="1" s="1"/>
  <c r="CC66" i="1" s="1"/>
  <c r="BV66" i="1"/>
  <c r="BW66" i="1" s="1"/>
  <c r="BX66" i="1" s="1"/>
  <c r="BQ66" i="1"/>
  <c r="BR66" i="1" s="1"/>
  <c r="BS66" i="1" s="1"/>
  <c r="BL66" i="1"/>
  <c r="BM66" i="1" s="1"/>
  <c r="BN66" i="1" s="1"/>
  <c r="BG66" i="1"/>
  <c r="BH66" i="1" s="1"/>
  <c r="BI66" i="1" s="1"/>
  <c r="BB66" i="1"/>
  <c r="BC66" i="1" s="1"/>
  <c r="BD66" i="1" s="1"/>
  <c r="AW66" i="1"/>
  <c r="AX66" i="1" s="1"/>
  <c r="AY66" i="1" s="1"/>
  <c r="AR66" i="1"/>
  <c r="AS66" i="1" s="1"/>
  <c r="AT66" i="1" s="1"/>
  <c r="AM66" i="1"/>
  <c r="AN66" i="1" s="1"/>
  <c r="AO66" i="1" s="1"/>
  <c r="AH66" i="1"/>
  <c r="AI66" i="1" s="1"/>
  <c r="AJ66" i="1" s="1"/>
  <c r="AE66" i="1"/>
  <c r="W66" i="1"/>
  <c r="X66" i="1" s="1"/>
  <c r="Y66" i="1" s="1"/>
  <c r="S66" i="1"/>
  <c r="N66" i="1"/>
  <c r="G66" i="1"/>
  <c r="H66" i="1" s="1"/>
  <c r="I66" i="1" s="1"/>
  <c r="NZ65" i="1"/>
  <c r="NU65" i="1"/>
  <c r="NP65" i="1"/>
  <c r="NK65" i="1"/>
  <c r="NF65" i="1"/>
  <c r="NA65" i="1"/>
  <c r="MV65" i="1"/>
  <c r="MQ65" i="1"/>
  <c r="MM65" i="1"/>
  <c r="MI65" i="1"/>
  <c r="MD65" i="1"/>
  <c r="LY65" i="1"/>
  <c r="LT65" i="1"/>
  <c r="LO65" i="1"/>
  <c r="LJ65" i="1"/>
  <c r="LE65" i="1"/>
  <c r="KZ65" i="1"/>
  <c r="KT65" i="1"/>
  <c r="KU65" i="1" s="1"/>
  <c r="KV65" i="1" s="1"/>
  <c r="KQ65" i="1"/>
  <c r="KM65" i="1"/>
  <c r="KI65" i="1"/>
  <c r="KE65" i="1"/>
  <c r="KA65" i="1"/>
  <c r="JV65" i="1"/>
  <c r="JQ65" i="1"/>
  <c r="JM65" i="1"/>
  <c r="JI65" i="1"/>
  <c r="JD65" i="1"/>
  <c r="IY65" i="1"/>
  <c r="IT65" i="1"/>
  <c r="IO65" i="1"/>
  <c r="IJ65" i="1"/>
  <c r="IE65" i="1"/>
  <c r="HZ65" i="1"/>
  <c r="HU65" i="1"/>
  <c r="HP65" i="1"/>
  <c r="HI65" i="1"/>
  <c r="HJ65" i="1" s="1"/>
  <c r="HK65" i="1" s="1"/>
  <c r="HD65" i="1"/>
  <c r="HE65" i="1" s="1"/>
  <c r="HF65" i="1" s="1"/>
  <c r="GY65" i="1"/>
  <c r="GZ65" i="1" s="1"/>
  <c r="HA65" i="1" s="1"/>
  <c r="GT65" i="1"/>
  <c r="GU65" i="1" s="1"/>
  <c r="GV65" i="1" s="1"/>
  <c r="GO65" i="1"/>
  <c r="GP65" i="1" s="1"/>
  <c r="GQ65" i="1" s="1"/>
  <c r="GJ65" i="1"/>
  <c r="GK65" i="1" s="1"/>
  <c r="GL65" i="1" s="1"/>
  <c r="GE65" i="1"/>
  <c r="GF65" i="1" s="1"/>
  <c r="GG65" i="1" s="1"/>
  <c r="FZ65" i="1"/>
  <c r="GA65" i="1" s="1"/>
  <c r="GB65" i="1" s="1"/>
  <c r="FU65" i="1"/>
  <c r="FV65" i="1" s="1"/>
  <c r="FW65" i="1" s="1"/>
  <c r="FP65" i="1"/>
  <c r="FQ65" i="1" s="1"/>
  <c r="FR65" i="1" s="1"/>
  <c r="FK65" i="1"/>
  <c r="FL65" i="1" s="1"/>
  <c r="FM65" i="1" s="1"/>
  <c r="FF65" i="1"/>
  <c r="FG65" i="1" s="1"/>
  <c r="FH65" i="1" s="1"/>
  <c r="FA65" i="1"/>
  <c r="FB65" i="1" s="1"/>
  <c r="FC65" i="1" s="1"/>
  <c r="EV65" i="1"/>
  <c r="EW65" i="1" s="1"/>
  <c r="EX65" i="1" s="1"/>
  <c r="EQ65" i="1"/>
  <c r="ER65" i="1" s="1"/>
  <c r="ES65" i="1" s="1"/>
  <c r="EL65" i="1"/>
  <c r="EM65" i="1" s="1"/>
  <c r="EN65" i="1" s="1"/>
  <c r="EE65" i="1"/>
  <c r="EF65" i="1" s="1"/>
  <c r="EG65" i="1" s="1"/>
  <c r="DZ65" i="1"/>
  <c r="EA65" i="1" s="1"/>
  <c r="EB65" i="1" s="1"/>
  <c r="DU65" i="1"/>
  <c r="DV65" i="1" s="1"/>
  <c r="DW65" i="1" s="1"/>
  <c r="DP65" i="1"/>
  <c r="DQ65" i="1" s="1"/>
  <c r="DR65" i="1" s="1"/>
  <c r="DK65" i="1"/>
  <c r="DL65" i="1" s="1"/>
  <c r="DM65" i="1" s="1"/>
  <c r="DF65" i="1"/>
  <c r="DG65" i="1" s="1"/>
  <c r="DH65" i="1" s="1"/>
  <c r="DA65" i="1"/>
  <c r="DB65" i="1" s="1"/>
  <c r="DC65" i="1" s="1"/>
  <c r="CV65" i="1"/>
  <c r="CW65" i="1" s="1"/>
  <c r="CX65" i="1" s="1"/>
  <c r="CQ65" i="1"/>
  <c r="CR65" i="1" s="1"/>
  <c r="CS65" i="1" s="1"/>
  <c r="CL65" i="1"/>
  <c r="CM65" i="1" s="1"/>
  <c r="CN65" i="1" s="1"/>
  <c r="CG65" i="1"/>
  <c r="CH65" i="1" s="1"/>
  <c r="CI65" i="1" s="1"/>
  <c r="CA65" i="1"/>
  <c r="CB65" i="1" s="1"/>
  <c r="CC65" i="1" s="1"/>
  <c r="BV65" i="1"/>
  <c r="BW65" i="1" s="1"/>
  <c r="BX65" i="1" s="1"/>
  <c r="BQ65" i="1"/>
  <c r="BR65" i="1" s="1"/>
  <c r="BS65" i="1" s="1"/>
  <c r="BL65" i="1"/>
  <c r="BM65" i="1" s="1"/>
  <c r="BN65" i="1" s="1"/>
  <c r="BG65" i="1"/>
  <c r="BH65" i="1" s="1"/>
  <c r="BI65" i="1" s="1"/>
  <c r="BB65" i="1"/>
  <c r="BC65" i="1" s="1"/>
  <c r="BD65" i="1" s="1"/>
  <c r="AW65" i="1"/>
  <c r="AX65" i="1" s="1"/>
  <c r="AY65" i="1" s="1"/>
  <c r="AR65" i="1"/>
  <c r="AS65" i="1" s="1"/>
  <c r="AT65" i="1" s="1"/>
  <c r="AM65" i="1"/>
  <c r="AN65" i="1" s="1"/>
  <c r="AO65" i="1" s="1"/>
  <c r="AH65" i="1"/>
  <c r="AI65" i="1" s="1"/>
  <c r="AJ65" i="1" s="1"/>
  <c r="AC65" i="1"/>
  <c r="AD65" i="1" s="1"/>
  <c r="AE65" i="1" s="1"/>
  <c r="W65" i="1"/>
  <c r="X65" i="1" s="1"/>
  <c r="Y65" i="1" s="1"/>
  <c r="Q65" i="1"/>
  <c r="R65" i="1" s="1"/>
  <c r="S65" i="1" s="1"/>
  <c r="N65" i="1"/>
  <c r="I65" i="1"/>
  <c r="NZ64" i="1"/>
  <c r="NU64" i="1"/>
  <c r="NP64" i="1"/>
  <c r="NK64" i="1"/>
  <c r="NF64" i="1"/>
  <c r="NA64" i="1"/>
  <c r="MV64" i="1"/>
  <c r="MO64" i="1"/>
  <c r="MP64" i="1" s="1"/>
  <c r="MQ64" i="1" s="1"/>
  <c r="MK64" i="1"/>
  <c r="ML64" i="1" s="1"/>
  <c r="MM64" i="1" s="1"/>
  <c r="MI64" i="1"/>
  <c r="MD64" i="1"/>
  <c r="LY64" i="1"/>
  <c r="LT64" i="1"/>
  <c r="LO64" i="1"/>
  <c r="LJ64" i="1"/>
  <c r="LC64" i="1"/>
  <c r="LD64" i="1" s="1"/>
  <c r="LE64" i="1" s="1"/>
  <c r="KX64" i="1"/>
  <c r="KY64" i="1" s="1"/>
  <c r="KZ64" i="1" s="1"/>
  <c r="KV64" i="1"/>
  <c r="KO64" i="1"/>
  <c r="KP64" i="1" s="1"/>
  <c r="KQ64" i="1" s="1"/>
  <c r="KM64" i="1"/>
  <c r="KI64" i="1"/>
  <c r="KE64" i="1"/>
  <c r="KA64" i="1"/>
  <c r="JV64" i="1"/>
  <c r="JQ64" i="1"/>
  <c r="JM64" i="1"/>
  <c r="JI64" i="1"/>
  <c r="JB64" i="1"/>
  <c r="JC64" i="1" s="1"/>
  <c r="JD64" i="1" s="1"/>
  <c r="IW64" i="1"/>
  <c r="IX64" i="1" s="1"/>
  <c r="IY64" i="1" s="1"/>
  <c r="IR64" i="1"/>
  <c r="IS64" i="1" s="1"/>
  <c r="IT64" i="1" s="1"/>
  <c r="IM64" i="1"/>
  <c r="IN64" i="1" s="1"/>
  <c r="IO64" i="1" s="1"/>
  <c r="IH64" i="1"/>
  <c r="II64" i="1" s="1"/>
  <c r="IJ64" i="1" s="1"/>
  <c r="IC64" i="1"/>
  <c r="ID64" i="1" s="1"/>
  <c r="IE64" i="1" s="1"/>
  <c r="HX64" i="1"/>
  <c r="HY64" i="1" s="1"/>
  <c r="HZ64" i="1" s="1"/>
  <c r="HS64" i="1"/>
  <c r="HT64" i="1" s="1"/>
  <c r="HU64" i="1" s="1"/>
  <c r="HN64" i="1"/>
  <c r="HO64" i="1" s="1"/>
  <c r="HP64" i="1" s="1"/>
  <c r="HI64" i="1"/>
  <c r="HJ64" i="1" s="1"/>
  <c r="HK64" i="1" s="1"/>
  <c r="HD64" i="1"/>
  <c r="HE64" i="1" s="1"/>
  <c r="HF64" i="1" s="1"/>
  <c r="GY64" i="1"/>
  <c r="GZ64" i="1" s="1"/>
  <c r="HA64" i="1" s="1"/>
  <c r="GT64" i="1"/>
  <c r="GU64" i="1" s="1"/>
  <c r="GV64" i="1" s="1"/>
  <c r="GO64" i="1"/>
  <c r="GP64" i="1" s="1"/>
  <c r="GQ64" i="1" s="1"/>
  <c r="GJ64" i="1"/>
  <c r="GK64" i="1" s="1"/>
  <c r="GL64" i="1" s="1"/>
  <c r="GE64" i="1"/>
  <c r="GF64" i="1" s="1"/>
  <c r="GG64" i="1" s="1"/>
  <c r="FZ64" i="1"/>
  <c r="GA64" i="1" s="1"/>
  <c r="GB64" i="1" s="1"/>
  <c r="FU64" i="1"/>
  <c r="FV64" i="1" s="1"/>
  <c r="FW64" i="1" s="1"/>
  <c r="FP64" i="1"/>
  <c r="FQ64" i="1" s="1"/>
  <c r="FR64" i="1" s="1"/>
  <c r="FK64" i="1"/>
  <c r="FL64" i="1" s="1"/>
  <c r="FM64" i="1" s="1"/>
  <c r="FF64" i="1"/>
  <c r="FG64" i="1" s="1"/>
  <c r="FH64" i="1" s="1"/>
  <c r="FA64" i="1"/>
  <c r="FB64" i="1" s="1"/>
  <c r="FC64" i="1" s="1"/>
  <c r="EV64" i="1"/>
  <c r="EW64" i="1" s="1"/>
  <c r="EX64" i="1" s="1"/>
  <c r="EQ64" i="1"/>
  <c r="ER64" i="1" s="1"/>
  <c r="ES64" i="1" s="1"/>
  <c r="EL64" i="1"/>
  <c r="EM64" i="1" s="1"/>
  <c r="EN64" i="1" s="1"/>
  <c r="EE64" i="1"/>
  <c r="EF64" i="1" s="1"/>
  <c r="EG64" i="1" s="1"/>
  <c r="DZ64" i="1"/>
  <c r="EA64" i="1" s="1"/>
  <c r="EB64" i="1" s="1"/>
  <c r="DU64" i="1"/>
  <c r="DV64" i="1" s="1"/>
  <c r="DW64" i="1" s="1"/>
  <c r="DP64" i="1"/>
  <c r="DQ64" i="1" s="1"/>
  <c r="DR64" i="1" s="1"/>
  <c r="DK64" i="1"/>
  <c r="DL64" i="1" s="1"/>
  <c r="DM64" i="1" s="1"/>
  <c r="DF64" i="1"/>
  <c r="DG64" i="1" s="1"/>
  <c r="DH64" i="1" s="1"/>
  <c r="DA64" i="1"/>
  <c r="DB64" i="1" s="1"/>
  <c r="DC64" i="1" s="1"/>
  <c r="CV64" i="1"/>
  <c r="CW64" i="1" s="1"/>
  <c r="CX64" i="1" s="1"/>
  <c r="CQ64" i="1"/>
  <c r="CR64" i="1" s="1"/>
  <c r="CS64" i="1" s="1"/>
  <c r="CL64" i="1"/>
  <c r="CM64" i="1" s="1"/>
  <c r="CN64" i="1" s="1"/>
  <c r="CG64" i="1"/>
  <c r="CH64" i="1" s="1"/>
  <c r="CI64" i="1" s="1"/>
  <c r="CA64" i="1"/>
  <c r="CB64" i="1" s="1"/>
  <c r="CC64" i="1" s="1"/>
  <c r="BV64" i="1"/>
  <c r="BW64" i="1" s="1"/>
  <c r="BX64" i="1" s="1"/>
  <c r="BQ64" i="1"/>
  <c r="BR64" i="1" s="1"/>
  <c r="BS64" i="1" s="1"/>
  <c r="BL64" i="1"/>
  <c r="BM64" i="1" s="1"/>
  <c r="BN64" i="1" s="1"/>
  <c r="BG64" i="1"/>
  <c r="BH64" i="1" s="1"/>
  <c r="BI64" i="1" s="1"/>
  <c r="BB64" i="1"/>
  <c r="BC64" i="1" s="1"/>
  <c r="BD64" i="1" s="1"/>
  <c r="AW64" i="1"/>
  <c r="AX64" i="1" s="1"/>
  <c r="AY64" i="1" s="1"/>
  <c r="AR64" i="1"/>
  <c r="AS64" i="1" s="1"/>
  <c r="AT64" i="1" s="1"/>
  <c r="AM64" i="1"/>
  <c r="AN64" i="1" s="1"/>
  <c r="AO64" i="1" s="1"/>
  <c r="AH64" i="1"/>
  <c r="AI64" i="1" s="1"/>
  <c r="AJ64" i="1" s="1"/>
  <c r="AC64" i="1"/>
  <c r="AD64" i="1" s="1"/>
  <c r="AE64" i="1" s="1"/>
  <c r="W64" i="1"/>
  <c r="X64" i="1" s="1"/>
  <c r="Y64" i="1" s="1"/>
  <c r="Q64" i="1"/>
  <c r="R64" i="1" s="1"/>
  <c r="S64" i="1" s="1"/>
  <c r="N64" i="1"/>
  <c r="I64" i="1"/>
  <c r="NZ63" i="1"/>
  <c r="NU63" i="1"/>
  <c r="NP63" i="1"/>
  <c r="NK63" i="1"/>
  <c r="NF63" i="1"/>
  <c r="NA63" i="1"/>
  <c r="MV63" i="1"/>
  <c r="MQ63" i="1"/>
  <c r="MM63" i="1"/>
  <c r="MI63" i="1"/>
  <c r="MD63" i="1"/>
  <c r="LY63" i="1"/>
  <c r="LT63" i="1"/>
  <c r="LO63" i="1"/>
  <c r="LJ63" i="1"/>
  <c r="LE63" i="1"/>
  <c r="KZ63" i="1"/>
  <c r="KT63" i="1"/>
  <c r="KU63" i="1" s="1"/>
  <c r="KV63" i="1" s="1"/>
  <c r="KQ63" i="1"/>
  <c r="KM63" i="1"/>
  <c r="KG63" i="1"/>
  <c r="KH63" i="1" s="1"/>
  <c r="KI63" i="1" s="1"/>
  <c r="KE63" i="1"/>
  <c r="KA63" i="1"/>
  <c r="JV63" i="1"/>
  <c r="JQ63" i="1"/>
  <c r="JM63" i="1"/>
  <c r="JI63" i="1"/>
  <c r="JB63" i="1"/>
  <c r="JC63" i="1" s="1"/>
  <c r="JD63" i="1" s="1"/>
  <c r="IW63" i="1"/>
  <c r="IX63" i="1" s="1"/>
  <c r="IY63" i="1" s="1"/>
  <c r="IR63" i="1"/>
  <c r="IS63" i="1" s="1"/>
  <c r="IT63" i="1" s="1"/>
  <c r="IM63" i="1"/>
  <c r="IN63" i="1" s="1"/>
  <c r="IO63" i="1" s="1"/>
  <c r="IH63" i="1"/>
  <c r="II63" i="1" s="1"/>
  <c r="IJ63" i="1" s="1"/>
  <c r="IC63" i="1"/>
  <c r="ID63" i="1" s="1"/>
  <c r="IE63" i="1" s="1"/>
  <c r="HX63" i="1"/>
  <c r="HY63" i="1" s="1"/>
  <c r="HZ63" i="1" s="1"/>
  <c r="HS63" i="1"/>
  <c r="HT63" i="1" s="1"/>
  <c r="HU63" i="1" s="1"/>
  <c r="HN63" i="1"/>
  <c r="HO63" i="1" s="1"/>
  <c r="HP63" i="1" s="1"/>
  <c r="HI63" i="1"/>
  <c r="HJ63" i="1" s="1"/>
  <c r="HK63" i="1" s="1"/>
  <c r="HD63" i="1"/>
  <c r="HE63" i="1" s="1"/>
  <c r="HF63" i="1" s="1"/>
  <c r="GY63" i="1"/>
  <c r="GZ63" i="1" s="1"/>
  <c r="HA63" i="1" s="1"/>
  <c r="GT63" i="1"/>
  <c r="GU63" i="1" s="1"/>
  <c r="GV63" i="1" s="1"/>
  <c r="GO63" i="1"/>
  <c r="GP63" i="1" s="1"/>
  <c r="GQ63" i="1" s="1"/>
  <c r="GJ63" i="1"/>
  <c r="GK63" i="1" s="1"/>
  <c r="GL63" i="1" s="1"/>
  <c r="GE63" i="1"/>
  <c r="GF63" i="1" s="1"/>
  <c r="GG63" i="1" s="1"/>
  <c r="FZ63" i="1"/>
  <c r="GA63" i="1" s="1"/>
  <c r="GB63" i="1" s="1"/>
  <c r="FU63" i="1"/>
  <c r="FV63" i="1" s="1"/>
  <c r="FW63" i="1" s="1"/>
  <c r="FP63" i="1"/>
  <c r="FQ63" i="1" s="1"/>
  <c r="FR63" i="1" s="1"/>
  <c r="FK63" i="1"/>
  <c r="FL63" i="1" s="1"/>
  <c r="FM63" i="1" s="1"/>
  <c r="FF63" i="1"/>
  <c r="FG63" i="1" s="1"/>
  <c r="FH63" i="1" s="1"/>
  <c r="FA63" i="1"/>
  <c r="FB63" i="1" s="1"/>
  <c r="FC63" i="1" s="1"/>
  <c r="EV63" i="1"/>
  <c r="EW63" i="1" s="1"/>
  <c r="EX63" i="1" s="1"/>
  <c r="EQ63" i="1"/>
  <c r="ER63" i="1" s="1"/>
  <c r="ES63" i="1" s="1"/>
  <c r="EL63" i="1"/>
  <c r="EM63" i="1" s="1"/>
  <c r="EN63" i="1" s="1"/>
  <c r="EE63" i="1"/>
  <c r="EF63" i="1" s="1"/>
  <c r="EG63" i="1" s="1"/>
  <c r="DZ63" i="1"/>
  <c r="EA63" i="1" s="1"/>
  <c r="EB63" i="1" s="1"/>
  <c r="DU63" i="1"/>
  <c r="DV63" i="1" s="1"/>
  <c r="DW63" i="1" s="1"/>
  <c r="DP63" i="1"/>
  <c r="DQ63" i="1" s="1"/>
  <c r="DR63" i="1" s="1"/>
  <c r="DK63" i="1"/>
  <c r="DL63" i="1" s="1"/>
  <c r="DM63" i="1" s="1"/>
  <c r="DF63" i="1"/>
  <c r="DG63" i="1" s="1"/>
  <c r="DH63" i="1" s="1"/>
  <c r="DA63" i="1"/>
  <c r="DB63" i="1" s="1"/>
  <c r="DC63" i="1" s="1"/>
  <c r="CV63" i="1"/>
  <c r="CW63" i="1" s="1"/>
  <c r="CX63" i="1" s="1"/>
  <c r="CQ63" i="1"/>
  <c r="CR63" i="1" s="1"/>
  <c r="CS63" i="1" s="1"/>
  <c r="CL63" i="1"/>
  <c r="CM63" i="1" s="1"/>
  <c r="CN63" i="1" s="1"/>
  <c r="CG63" i="1"/>
  <c r="CH63" i="1" s="1"/>
  <c r="CI63" i="1" s="1"/>
  <c r="CA63" i="1"/>
  <c r="CB63" i="1" s="1"/>
  <c r="CC63" i="1" s="1"/>
  <c r="BV63" i="1"/>
  <c r="BW63" i="1" s="1"/>
  <c r="BX63" i="1" s="1"/>
  <c r="BQ63" i="1"/>
  <c r="BR63" i="1" s="1"/>
  <c r="BS63" i="1" s="1"/>
  <c r="BL63" i="1"/>
  <c r="BM63" i="1" s="1"/>
  <c r="BN63" i="1" s="1"/>
  <c r="BG63" i="1"/>
  <c r="BH63" i="1" s="1"/>
  <c r="BI63" i="1" s="1"/>
  <c r="BB63" i="1"/>
  <c r="BC63" i="1" s="1"/>
  <c r="BD63" i="1" s="1"/>
  <c r="AW63" i="1"/>
  <c r="AX63" i="1" s="1"/>
  <c r="AY63" i="1" s="1"/>
  <c r="AR63" i="1"/>
  <c r="AS63" i="1" s="1"/>
  <c r="AT63" i="1" s="1"/>
  <c r="AM63" i="1"/>
  <c r="AN63" i="1" s="1"/>
  <c r="AO63" i="1" s="1"/>
  <c r="AH63" i="1"/>
  <c r="AI63" i="1" s="1"/>
  <c r="AJ63" i="1" s="1"/>
  <c r="AC63" i="1"/>
  <c r="AD63" i="1" s="1"/>
  <c r="AE63" i="1" s="1"/>
  <c r="W63" i="1"/>
  <c r="X63" i="1" s="1"/>
  <c r="Y63" i="1" s="1"/>
  <c r="S63" i="1"/>
  <c r="N63" i="1"/>
  <c r="I63" i="1"/>
  <c r="NZ62" i="1"/>
  <c r="NU62" i="1"/>
  <c r="NP62" i="1"/>
  <c r="NK62" i="1"/>
  <c r="NF62" i="1"/>
  <c r="NA62" i="1"/>
  <c r="MV62" i="1"/>
  <c r="MQ62" i="1"/>
  <c r="MM62" i="1"/>
  <c r="MI62" i="1"/>
  <c r="MD62" i="1"/>
  <c r="LY62" i="1"/>
  <c r="LT62" i="1"/>
  <c r="LO62" i="1"/>
  <c r="LJ62" i="1"/>
  <c r="LE62" i="1"/>
  <c r="KZ62" i="1"/>
  <c r="KU62" i="1"/>
  <c r="KV62" i="1" s="1"/>
  <c r="KT62" i="1"/>
  <c r="KQ62" i="1"/>
  <c r="KM62" i="1"/>
  <c r="KG62" i="1"/>
  <c r="KH62" i="1" s="1"/>
  <c r="KI62" i="1" s="1"/>
  <c r="KE62" i="1"/>
  <c r="KA62" i="1"/>
  <c r="JV62" i="1"/>
  <c r="JQ62" i="1"/>
  <c r="JM62" i="1"/>
  <c r="JI62" i="1"/>
  <c r="JB62" i="1"/>
  <c r="JC62" i="1" s="1"/>
  <c r="JD62" i="1" s="1"/>
  <c r="IW62" i="1"/>
  <c r="IX62" i="1" s="1"/>
  <c r="IY62" i="1" s="1"/>
  <c r="IR62" i="1"/>
  <c r="IS62" i="1" s="1"/>
  <c r="IT62" i="1" s="1"/>
  <c r="IM62" i="1"/>
  <c r="IN62" i="1" s="1"/>
  <c r="IO62" i="1" s="1"/>
  <c r="IH62" i="1"/>
  <c r="II62" i="1" s="1"/>
  <c r="IJ62" i="1" s="1"/>
  <c r="ID62" i="1"/>
  <c r="IE62" i="1" s="1"/>
  <c r="IC62" i="1"/>
  <c r="HX62" i="1"/>
  <c r="HY62" i="1" s="1"/>
  <c r="HZ62" i="1" s="1"/>
  <c r="HS62" i="1"/>
  <c r="HT62" i="1" s="1"/>
  <c r="HU62" i="1" s="1"/>
  <c r="HN62" i="1"/>
  <c r="HO62" i="1" s="1"/>
  <c r="HP62" i="1" s="1"/>
  <c r="HI62" i="1"/>
  <c r="HJ62" i="1" s="1"/>
  <c r="HK62" i="1" s="1"/>
  <c r="HD62" i="1"/>
  <c r="HE62" i="1" s="1"/>
  <c r="HF62" i="1" s="1"/>
  <c r="GY62" i="1"/>
  <c r="GZ62" i="1" s="1"/>
  <c r="HA62" i="1" s="1"/>
  <c r="GT62" i="1"/>
  <c r="GU62" i="1" s="1"/>
  <c r="GV62" i="1" s="1"/>
  <c r="GO62" i="1"/>
  <c r="GP62" i="1" s="1"/>
  <c r="GQ62" i="1" s="1"/>
  <c r="GJ62" i="1"/>
  <c r="GK62" i="1" s="1"/>
  <c r="GL62" i="1" s="1"/>
  <c r="GE62" i="1"/>
  <c r="GF62" i="1" s="1"/>
  <c r="GG62" i="1" s="1"/>
  <c r="FZ62" i="1"/>
  <c r="GA62" i="1" s="1"/>
  <c r="GB62" i="1" s="1"/>
  <c r="FU62" i="1"/>
  <c r="FV62" i="1" s="1"/>
  <c r="FW62" i="1" s="1"/>
  <c r="FP62" i="1"/>
  <c r="FQ62" i="1" s="1"/>
  <c r="FR62" i="1" s="1"/>
  <c r="FK62" i="1"/>
  <c r="FL62" i="1" s="1"/>
  <c r="FM62" i="1" s="1"/>
  <c r="FF62" i="1"/>
  <c r="FG62" i="1" s="1"/>
  <c r="FH62" i="1" s="1"/>
  <c r="FA62" i="1"/>
  <c r="FB62" i="1" s="1"/>
  <c r="FC62" i="1" s="1"/>
  <c r="EV62" i="1"/>
  <c r="EW62" i="1" s="1"/>
  <c r="EX62" i="1" s="1"/>
  <c r="EQ62" i="1"/>
  <c r="ER62" i="1" s="1"/>
  <c r="ES62" i="1" s="1"/>
  <c r="EL62" i="1"/>
  <c r="EM62" i="1" s="1"/>
  <c r="EN62" i="1" s="1"/>
  <c r="EE62" i="1"/>
  <c r="EF62" i="1" s="1"/>
  <c r="EG62" i="1" s="1"/>
  <c r="DZ62" i="1"/>
  <c r="EA62" i="1" s="1"/>
  <c r="EB62" i="1" s="1"/>
  <c r="DU62" i="1"/>
  <c r="DV62" i="1" s="1"/>
  <c r="DW62" i="1" s="1"/>
  <c r="DP62" i="1"/>
  <c r="DQ62" i="1" s="1"/>
  <c r="DR62" i="1" s="1"/>
  <c r="DK62" i="1"/>
  <c r="DL62" i="1" s="1"/>
  <c r="DM62" i="1" s="1"/>
  <c r="DF62" i="1"/>
  <c r="DG62" i="1" s="1"/>
  <c r="DH62" i="1" s="1"/>
  <c r="DA62" i="1"/>
  <c r="DB62" i="1" s="1"/>
  <c r="DC62" i="1" s="1"/>
  <c r="CV62" i="1"/>
  <c r="CW62" i="1" s="1"/>
  <c r="CX62" i="1" s="1"/>
  <c r="CQ62" i="1"/>
  <c r="CR62" i="1" s="1"/>
  <c r="CS62" i="1" s="1"/>
  <c r="CL62" i="1"/>
  <c r="CM62" i="1" s="1"/>
  <c r="CN62" i="1" s="1"/>
  <c r="CG62" i="1"/>
  <c r="CH62" i="1" s="1"/>
  <c r="CI62" i="1" s="1"/>
  <c r="CA62" i="1"/>
  <c r="CB62" i="1" s="1"/>
  <c r="CC62" i="1" s="1"/>
  <c r="BV62" i="1"/>
  <c r="BW62" i="1" s="1"/>
  <c r="BX62" i="1" s="1"/>
  <c r="BQ62" i="1"/>
  <c r="BR62" i="1" s="1"/>
  <c r="BS62" i="1" s="1"/>
  <c r="BL62" i="1"/>
  <c r="BM62" i="1" s="1"/>
  <c r="BN62" i="1" s="1"/>
  <c r="BG62" i="1"/>
  <c r="BH62" i="1" s="1"/>
  <c r="BI62" i="1" s="1"/>
  <c r="BB62" i="1"/>
  <c r="BC62" i="1" s="1"/>
  <c r="BD62" i="1" s="1"/>
  <c r="AW62" i="1"/>
  <c r="AX62" i="1" s="1"/>
  <c r="AY62" i="1" s="1"/>
  <c r="AR62" i="1"/>
  <c r="AS62" i="1" s="1"/>
  <c r="AT62" i="1" s="1"/>
  <c r="AM62" i="1"/>
  <c r="AN62" i="1" s="1"/>
  <c r="AO62" i="1" s="1"/>
  <c r="AH62" i="1"/>
  <c r="AI62" i="1" s="1"/>
  <c r="AJ62" i="1" s="1"/>
  <c r="AC62" i="1"/>
  <c r="AD62" i="1" s="1"/>
  <c r="AE62" i="1" s="1"/>
  <c r="W62" i="1"/>
  <c r="X62" i="1" s="1"/>
  <c r="Y62" i="1" s="1"/>
  <c r="S62" i="1"/>
  <c r="N62" i="1"/>
  <c r="I62" i="1"/>
  <c r="NZ61" i="1"/>
  <c r="NU61" i="1"/>
  <c r="NP61" i="1"/>
  <c r="NK61" i="1"/>
  <c r="NF61" i="1"/>
  <c r="NA61" i="1"/>
  <c r="MV61" i="1"/>
  <c r="MQ61" i="1"/>
  <c r="MM61" i="1"/>
  <c r="MI61" i="1"/>
  <c r="MD61" i="1"/>
  <c r="LY61" i="1"/>
  <c r="LT61" i="1"/>
  <c r="LO61" i="1"/>
  <c r="LJ61" i="1"/>
  <c r="LE61" i="1"/>
  <c r="KZ61" i="1"/>
  <c r="KV61" i="1"/>
  <c r="KQ61" i="1"/>
  <c r="KK61" i="1"/>
  <c r="KL61" i="1" s="1"/>
  <c r="KM61" i="1" s="1"/>
  <c r="KI61" i="1"/>
  <c r="KE61" i="1"/>
  <c r="KA61" i="1"/>
  <c r="JV61" i="1"/>
  <c r="JQ61" i="1"/>
  <c r="JM61" i="1"/>
  <c r="JI61" i="1"/>
  <c r="JB61" i="1"/>
  <c r="JC61" i="1" s="1"/>
  <c r="JD61" i="1" s="1"/>
  <c r="IW61" i="1"/>
  <c r="IX61" i="1" s="1"/>
  <c r="IY61" i="1" s="1"/>
  <c r="IR61" i="1"/>
  <c r="IS61" i="1" s="1"/>
  <c r="IT61" i="1" s="1"/>
  <c r="IO61" i="1"/>
  <c r="IH61" i="1"/>
  <c r="II61" i="1" s="1"/>
  <c r="IJ61" i="1" s="1"/>
  <c r="IC61" i="1"/>
  <c r="ID61" i="1" s="1"/>
  <c r="IE61" i="1" s="1"/>
  <c r="HZ61" i="1"/>
  <c r="HU61" i="1"/>
  <c r="HP61" i="1"/>
  <c r="HI61" i="1"/>
  <c r="HJ61" i="1" s="1"/>
  <c r="HK61" i="1" s="1"/>
  <c r="HD61" i="1"/>
  <c r="HE61" i="1" s="1"/>
  <c r="HF61" i="1" s="1"/>
  <c r="GY61" i="1"/>
  <c r="GZ61" i="1" s="1"/>
  <c r="HA61" i="1" s="1"/>
  <c r="GT61" i="1"/>
  <c r="GU61" i="1" s="1"/>
  <c r="GV61" i="1" s="1"/>
  <c r="GO61" i="1"/>
  <c r="GP61" i="1" s="1"/>
  <c r="GQ61" i="1" s="1"/>
  <c r="GJ61" i="1"/>
  <c r="GK61" i="1" s="1"/>
  <c r="GL61" i="1" s="1"/>
  <c r="GE61" i="1"/>
  <c r="GF61" i="1" s="1"/>
  <c r="GG61" i="1" s="1"/>
  <c r="FZ61" i="1"/>
  <c r="GA61" i="1" s="1"/>
  <c r="GB61" i="1" s="1"/>
  <c r="FU61" i="1"/>
  <c r="FV61" i="1" s="1"/>
  <c r="FW61" i="1" s="1"/>
  <c r="FP61" i="1"/>
  <c r="FQ61" i="1" s="1"/>
  <c r="FR61" i="1" s="1"/>
  <c r="FK61" i="1"/>
  <c r="FL61" i="1" s="1"/>
  <c r="FM61" i="1" s="1"/>
  <c r="FF61" i="1"/>
  <c r="FG61" i="1" s="1"/>
  <c r="FH61" i="1" s="1"/>
  <c r="FA61" i="1"/>
  <c r="FB61" i="1" s="1"/>
  <c r="FC61" i="1" s="1"/>
  <c r="EV61" i="1"/>
  <c r="EW61" i="1" s="1"/>
  <c r="EX61" i="1" s="1"/>
  <c r="EQ61" i="1"/>
  <c r="ER61" i="1" s="1"/>
  <c r="ES61" i="1" s="1"/>
  <c r="EL61" i="1"/>
  <c r="EM61" i="1" s="1"/>
  <c r="EN61" i="1" s="1"/>
  <c r="EE61" i="1"/>
  <c r="EF61" i="1" s="1"/>
  <c r="EG61" i="1" s="1"/>
  <c r="DZ61" i="1"/>
  <c r="EA61" i="1" s="1"/>
  <c r="EB61" i="1" s="1"/>
  <c r="DU61" i="1"/>
  <c r="DV61" i="1" s="1"/>
  <c r="DW61" i="1" s="1"/>
  <c r="DP61" i="1"/>
  <c r="DQ61" i="1" s="1"/>
  <c r="DR61" i="1" s="1"/>
  <c r="DK61" i="1"/>
  <c r="DL61" i="1" s="1"/>
  <c r="DM61" i="1" s="1"/>
  <c r="DF61" i="1"/>
  <c r="DG61" i="1" s="1"/>
  <c r="DH61" i="1" s="1"/>
  <c r="DA61" i="1"/>
  <c r="DB61" i="1" s="1"/>
  <c r="DC61" i="1" s="1"/>
  <c r="CV61" i="1"/>
  <c r="CW61" i="1" s="1"/>
  <c r="CX61" i="1" s="1"/>
  <c r="CQ61" i="1"/>
  <c r="CR61" i="1" s="1"/>
  <c r="CS61" i="1" s="1"/>
  <c r="CL61" i="1"/>
  <c r="CM61" i="1" s="1"/>
  <c r="CN61" i="1" s="1"/>
  <c r="CG61" i="1"/>
  <c r="CH61" i="1" s="1"/>
  <c r="CI61" i="1" s="1"/>
  <c r="CA61" i="1"/>
  <c r="CB61" i="1" s="1"/>
  <c r="CC61" i="1" s="1"/>
  <c r="BV61" i="1"/>
  <c r="BW61" i="1" s="1"/>
  <c r="BX61" i="1" s="1"/>
  <c r="BQ61" i="1"/>
  <c r="BR61" i="1" s="1"/>
  <c r="BS61" i="1" s="1"/>
  <c r="BL61" i="1"/>
  <c r="BM61" i="1" s="1"/>
  <c r="BN61" i="1" s="1"/>
  <c r="BG61" i="1"/>
  <c r="BH61" i="1" s="1"/>
  <c r="BI61" i="1" s="1"/>
  <c r="BB61" i="1"/>
  <c r="BC61" i="1" s="1"/>
  <c r="BD61" i="1" s="1"/>
  <c r="AW61" i="1"/>
  <c r="AX61" i="1" s="1"/>
  <c r="AY61" i="1" s="1"/>
  <c r="AR61" i="1"/>
  <c r="AS61" i="1" s="1"/>
  <c r="AT61" i="1" s="1"/>
  <c r="AM61" i="1"/>
  <c r="AN61" i="1" s="1"/>
  <c r="AO61" i="1" s="1"/>
  <c r="AH61" i="1"/>
  <c r="AI61" i="1" s="1"/>
  <c r="AJ61" i="1" s="1"/>
  <c r="AC61" i="1"/>
  <c r="AD61" i="1" s="1"/>
  <c r="AE61" i="1" s="1"/>
  <c r="W61" i="1"/>
  <c r="X61" i="1" s="1"/>
  <c r="Y61" i="1" s="1"/>
  <c r="Q61" i="1"/>
  <c r="R61" i="1" s="1"/>
  <c r="S61" i="1" s="1"/>
  <c r="N61" i="1"/>
  <c r="I61" i="1"/>
  <c r="NZ60" i="1"/>
  <c r="NU60" i="1"/>
  <c r="NP60" i="1"/>
  <c r="NK60" i="1"/>
  <c r="NF60" i="1"/>
  <c r="NA60" i="1"/>
  <c r="MV60" i="1"/>
  <c r="MQ60" i="1"/>
  <c r="MM60" i="1"/>
  <c r="MI60" i="1"/>
  <c r="MD60" i="1"/>
  <c r="LY60" i="1"/>
  <c r="LT60" i="1"/>
  <c r="LO60" i="1"/>
  <c r="LJ60" i="1"/>
  <c r="LE60" i="1"/>
  <c r="KZ60" i="1"/>
  <c r="KV60" i="1"/>
  <c r="KQ60" i="1"/>
  <c r="KM60" i="1"/>
  <c r="KI60" i="1"/>
  <c r="KE60" i="1"/>
  <c r="JY60" i="1"/>
  <c r="JZ60" i="1" s="1"/>
  <c r="KA60" i="1" s="1"/>
  <c r="JV60" i="1"/>
  <c r="JQ60" i="1"/>
  <c r="JM60" i="1"/>
  <c r="JI60" i="1"/>
  <c r="JD60" i="1"/>
  <c r="IY60" i="1"/>
  <c r="IT60" i="1"/>
  <c r="IO60" i="1"/>
  <c r="IJ60" i="1"/>
  <c r="IE60" i="1"/>
  <c r="HZ60" i="1"/>
  <c r="HU60" i="1"/>
  <c r="HP60" i="1"/>
  <c r="HK60" i="1"/>
  <c r="HD60" i="1"/>
  <c r="HE60" i="1" s="1"/>
  <c r="HF60" i="1" s="1"/>
  <c r="GY60" i="1"/>
  <c r="GZ60" i="1" s="1"/>
  <c r="HA60" i="1" s="1"/>
  <c r="GT60" i="1"/>
  <c r="GU60" i="1" s="1"/>
  <c r="GV60" i="1" s="1"/>
  <c r="GO60" i="1"/>
  <c r="GP60" i="1" s="1"/>
  <c r="GQ60" i="1" s="1"/>
  <c r="GJ60" i="1"/>
  <c r="GK60" i="1" s="1"/>
  <c r="GL60" i="1" s="1"/>
  <c r="GE60" i="1"/>
  <c r="GF60" i="1" s="1"/>
  <c r="GG60" i="1" s="1"/>
  <c r="FZ60" i="1"/>
  <c r="GA60" i="1" s="1"/>
  <c r="GB60" i="1" s="1"/>
  <c r="FU60" i="1"/>
  <c r="FV60" i="1" s="1"/>
  <c r="FW60" i="1" s="1"/>
  <c r="FP60" i="1"/>
  <c r="FQ60" i="1" s="1"/>
  <c r="FR60" i="1" s="1"/>
  <c r="FK60" i="1"/>
  <c r="FL60" i="1" s="1"/>
  <c r="FM60" i="1" s="1"/>
  <c r="FF60" i="1"/>
  <c r="FG60" i="1" s="1"/>
  <c r="FH60" i="1" s="1"/>
  <c r="FA60" i="1"/>
  <c r="FB60" i="1" s="1"/>
  <c r="FC60" i="1" s="1"/>
  <c r="EV60" i="1"/>
  <c r="EW60" i="1" s="1"/>
  <c r="EX60" i="1" s="1"/>
  <c r="EQ60" i="1"/>
  <c r="ER60" i="1" s="1"/>
  <c r="ES60" i="1" s="1"/>
  <c r="EL60" i="1"/>
  <c r="EM60" i="1" s="1"/>
  <c r="EN60" i="1" s="1"/>
  <c r="EE60" i="1"/>
  <c r="EF60" i="1" s="1"/>
  <c r="EG60" i="1" s="1"/>
  <c r="DZ60" i="1"/>
  <c r="EA60" i="1" s="1"/>
  <c r="EB60" i="1" s="1"/>
  <c r="DU60" i="1"/>
  <c r="DV60" i="1" s="1"/>
  <c r="DW60" i="1" s="1"/>
  <c r="DP60" i="1"/>
  <c r="DQ60" i="1" s="1"/>
  <c r="DR60" i="1" s="1"/>
  <c r="DK60" i="1"/>
  <c r="DL60" i="1" s="1"/>
  <c r="DM60" i="1" s="1"/>
  <c r="DF60" i="1"/>
  <c r="DG60" i="1" s="1"/>
  <c r="DH60" i="1" s="1"/>
  <c r="DA60" i="1"/>
  <c r="DB60" i="1" s="1"/>
  <c r="DC60" i="1" s="1"/>
  <c r="CV60" i="1"/>
  <c r="CW60" i="1" s="1"/>
  <c r="CX60" i="1" s="1"/>
  <c r="CQ60" i="1"/>
  <c r="CR60" i="1" s="1"/>
  <c r="CS60" i="1" s="1"/>
  <c r="CL60" i="1"/>
  <c r="CM60" i="1" s="1"/>
  <c r="CN60" i="1" s="1"/>
  <c r="CG60" i="1"/>
  <c r="CH60" i="1" s="1"/>
  <c r="CI60" i="1" s="1"/>
  <c r="CA60" i="1"/>
  <c r="CB60" i="1" s="1"/>
  <c r="CC60" i="1" s="1"/>
  <c r="BV60" i="1"/>
  <c r="BW60" i="1" s="1"/>
  <c r="BX60" i="1" s="1"/>
  <c r="BQ60" i="1"/>
  <c r="BR60" i="1" s="1"/>
  <c r="BS60" i="1" s="1"/>
  <c r="BL60" i="1"/>
  <c r="BM60" i="1" s="1"/>
  <c r="BN60" i="1" s="1"/>
  <c r="BG60" i="1"/>
  <c r="BH60" i="1" s="1"/>
  <c r="BI60" i="1" s="1"/>
  <c r="BB60" i="1"/>
  <c r="BC60" i="1" s="1"/>
  <c r="BD60" i="1" s="1"/>
  <c r="AW60" i="1"/>
  <c r="AX60" i="1" s="1"/>
  <c r="AY60" i="1" s="1"/>
  <c r="AR60" i="1"/>
  <c r="AS60" i="1" s="1"/>
  <c r="AT60" i="1" s="1"/>
  <c r="AM60" i="1"/>
  <c r="AN60" i="1" s="1"/>
  <c r="AO60" i="1" s="1"/>
  <c r="AH60" i="1"/>
  <c r="AI60" i="1" s="1"/>
  <c r="AJ60" i="1" s="1"/>
  <c r="AE60" i="1"/>
  <c r="W60" i="1"/>
  <c r="X60" i="1" s="1"/>
  <c r="Y60" i="1" s="1"/>
  <c r="S60" i="1"/>
  <c r="N60" i="1"/>
  <c r="G60" i="1"/>
  <c r="H60" i="1" s="1"/>
  <c r="I60" i="1" s="1"/>
  <c r="NZ59" i="1"/>
  <c r="NU59" i="1"/>
  <c r="NP59" i="1"/>
  <c r="NI59" i="1"/>
  <c r="NJ59" i="1" s="1"/>
  <c r="NK59" i="1" s="1"/>
  <c r="ND59" i="1"/>
  <c r="NE59" i="1" s="1"/>
  <c r="NF59" i="1" s="1"/>
  <c r="NA59" i="1"/>
  <c r="MV59" i="1"/>
  <c r="MQ59" i="1"/>
  <c r="MM59" i="1"/>
  <c r="MI59" i="1"/>
  <c r="MB59" i="1"/>
  <c r="MC59" i="1" s="1"/>
  <c r="MD59" i="1" s="1"/>
  <c r="LY59" i="1"/>
  <c r="LT59" i="1"/>
  <c r="LO59" i="1"/>
  <c r="LH59" i="1"/>
  <c r="LI59" i="1" s="1"/>
  <c r="LJ59" i="1" s="1"/>
  <c r="LE59" i="1"/>
  <c r="KX59" i="1"/>
  <c r="KY59" i="1" s="1"/>
  <c r="KZ59" i="1" s="1"/>
  <c r="KT59" i="1"/>
  <c r="KU59" i="1" s="1"/>
  <c r="KV59" i="1" s="1"/>
  <c r="KQ59" i="1"/>
  <c r="KK59" i="1"/>
  <c r="KL59" i="1" s="1"/>
  <c r="KM59" i="1" s="1"/>
  <c r="KG59" i="1"/>
  <c r="KH59" i="1" s="1"/>
  <c r="KI59" i="1" s="1"/>
  <c r="KE59" i="1"/>
  <c r="KA59" i="1"/>
  <c r="JV59" i="1"/>
  <c r="JQ59" i="1"/>
  <c r="JM59" i="1"/>
  <c r="JI59" i="1"/>
  <c r="JD59" i="1"/>
  <c r="IY59" i="1"/>
  <c r="IT59" i="1"/>
  <c r="IO59" i="1"/>
  <c r="IJ59" i="1"/>
  <c r="IE59" i="1"/>
  <c r="HZ59" i="1"/>
  <c r="HU59" i="1"/>
  <c r="HN59" i="1"/>
  <c r="HO59" i="1" s="1"/>
  <c r="HP59" i="1" s="1"/>
  <c r="HI59" i="1"/>
  <c r="HJ59" i="1" s="1"/>
  <c r="HK59" i="1" s="1"/>
  <c r="HD59" i="1"/>
  <c r="HE59" i="1" s="1"/>
  <c r="HF59" i="1" s="1"/>
  <c r="GY59" i="1"/>
  <c r="GZ59" i="1" s="1"/>
  <c r="HA59" i="1" s="1"/>
  <c r="GT59" i="1"/>
  <c r="GU59" i="1" s="1"/>
  <c r="GV59" i="1" s="1"/>
  <c r="GO59" i="1"/>
  <c r="GP59" i="1" s="1"/>
  <c r="GQ59" i="1" s="1"/>
  <c r="GJ59" i="1"/>
  <c r="GK59" i="1" s="1"/>
  <c r="GL59" i="1" s="1"/>
  <c r="GE59" i="1"/>
  <c r="GF59" i="1" s="1"/>
  <c r="GG59" i="1" s="1"/>
  <c r="FZ59" i="1"/>
  <c r="GA59" i="1" s="1"/>
  <c r="GB59" i="1" s="1"/>
  <c r="FU59" i="1"/>
  <c r="FV59" i="1" s="1"/>
  <c r="FW59" i="1" s="1"/>
  <c r="FP59" i="1"/>
  <c r="FQ59" i="1" s="1"/>
  <c r="FR59" i="1" s="1"/>
  <c r="FK59" i="1"/>
  <c r="FL59" i="1" s="1"/>
  <c r="FM59" i="1" s="1"/>
  <c r="FF59" i="1"/>
  <c r="FG59" i="1" s="1"/>
  <c r="FH59" i="1" s="1"/>
  <c r="FA59" i="1"/>
  <c r="FB59" i="1" s="1"/>
  <c r="FC59" i="1" s="1"/>
  <c r="EV59" i="1"/>
  <c r="EW59" i="1" s="1"/>
  <c r="EX59" i="1" s="1"/>
  <c r="EQ59" i="1"/>
  <c r="ER59" i="1" s="1"/>
  <c r="ES59" i="1" s="1"/>
  <c r="EL59" i="1"/>
  <c r="EM59" i="1" s="1"/>
  <c r="EN59" i="1" s="1"/>
  <c r="EE59" i="1"/>
  <c r="EF59" i="1" s="1"/>
  <c r="EG59" i="1" s="1"/>
  <c r="DZ59" i="1"/>
  <c r="EA59" i="1" s="1"/>
  <c r="EB59" i="1" s="1"/>
  <c r="DU59" i="1"/>
  <c r="DV59" i="1" s="1"/>
  <c r="DW59" i="1" s="1"/>
  <c r="DP59" i="1"/>
  <c r="DQ59" i="1" s="1"/>
  <c r="DR59" i="1" s="1"/>
  <c r="DK59" i="1"/>
  <c r="DL59" i="1" s="1"/>
  <c r="DM59" i="1" s="1"/>
  <c r="DF59" i="1"/>
  <c r="DG59" i="1" s="1"/>
  <c r="DH59" i="1" s="1"/>
  <c r="DA59" i="1"/>
  <c r="DB59" i="1" s="1"/>
  <c r="DC59" i="1" s="1"/>
  <c r="CV59" i="1"/>
  <c r="CW59" i="1" s="1"/>
  <c r="CX59" i="1" s="1"/>
  <c r="CQ59" i="1"/>
  <c r="CR59" i="1" s="1"/>
  <c r="CS59" i="1" s="1"/>
  <c r="CL59" i="1"/>
  <c r="CM59" i="1" s="1"/>
  <c r="CN59" i="1" s="1"/>
  <c r="CG59" i="1"/>
  <c r="CH59" i="1" s="1"/>
  <c r="CI59" i="1" s="1"/>
  <c r="CA59" i="1"/>
  <c r="CB59" i="1" s="1"/>
  <c r="CC59" i="1" s="1"/>
  <c r="BV59" i="1"/>
  <c r="BW59" i="1" s="1"/>
  <c r="BX59" i="1" s="1"/>
  <c r="BQ59" i="1"/>
  <c r="BR59" i="1" s="1"/>
  <c r="BS59" i="1" s="1"/>
  <c r="BL59" i="1"/>
  <c r="BM59" i="1" s="1"/>
  <c r="BN59" i="1" s="1"/>
  <c r="BG59" i="1"/>
  <c r="BH59" i="1" s="1"/>
  <c r="BI59" i="1" s="1"/>
  <c r="BB59" i="1"/>
  <c r="BC59" i="1" s="1"/>
  <c r="BD59" i="1" s="1"/>
  <c r="AW59" i="1"/>
  <c r="AX59" i="1" s="1"/>
  <c r="AY59" i="1" s="1"/>
  <c r="AR59" i="1"/>
  <c r="AS59" i="1" s="1"/>
  <c r="AT59" i="1" s="1"/>
  <c r="AM59" i="1"/>
  <c r="AN59" i="1" s="1"/>
  <c r="AO59" i="1" s="1"/>
  <c r="AH59" i="1"/>
  <c r="AI59" i="1" s="1"/>
  <c r="AJ59" i="1" s="1"/>
  <c r="AC59" i="1"/>
  <c r="AD59" i="1" s="1"/>
  <c r="AE59" i="1" s="1"/>
  <c r="W59" i="1"/>
  <c r="X59" i="1" s="1"/>
  <c r="Y59" i="1" s="1"/>
  <c r="S59" i="1"/>
  <c r="N59" i="1"/>
  <c r="I59" i="1"/>
  <c r="NZ58" i="1"/>
  <c r="NU58" i="1"/>
  <c r="NP58" i="1"/>
  <c r="NK58" i="1"/>
  <c r="NF58" i="1"/>
  <c r="NA58" i="1"/>
  <c r="MV58" i="1"/>
  <c r="MO58" i="1"/>
  <c r="MP58" i="1" s="1"/>
  <c r="MQ58" i="1" s="1"/>
  <c r="MK58" i="1"/>
  <c r="ML58" i="1" s="1"/>
  <c r="MM58" i="1" s="1"/>
  <c r="MI58" i="1"/>
  <c r="MD58" i="1"/>
  <c r="LY58" i="1"/>
  <c r="LT58" i="1"/>
  <c r="LO58" i="1"/>
  <c r="LJ58" i="1"/>
  <c r="LE58" i="1"/>
  <c r="KZ58" i="1"/>
  <c r="KV58" i="1"/>
  <c r="KO58" i="1"/>
  <c r="KP58" i="1" s="1"/>
  <c r="KQ58" i="1" s="1"/>
  <c r="KM58" i="1"/>
  <c r="KI58" i="1"/>
  <c r="KE58" i="1"/>
  <c r="KA58" i="1"/>
  <c r="JV58" i="1"/>
  <c r="JQ58" i="1"/>
  <c r="JM58" i="1"/>
  <c r="JI58" i="1"/>
  <c r="JB58" i="1"/>
  <c r="JC58" i="1" s="1"/>
  <c r="JD58" i="1" s="1"/>
  <c r="IW58" i="1"/>
  <c r="IX58" i="1" s="1"/>
  <c r="IY58" i="1" s="1"/>
  <c r="IR58" i="1"/>
  <c r="IS58" i="1" s="1"/>
  <c r="IT58" i="1" s="1"/>
  <c r="IM58" i="1"/>
  <c r="IN58" i="1" s="1"/>
  <c r="IO58" i="1" s="1"/>
  <c r="IH58" i="1"/>
  <c r="II58" i="1" s="1"/>
  <c r="IJ58" i="1" s="1"/>
  <c r="IC58" i="1"/>
  <c r="ID58" i="1" s="1"/>
  <c r="IE58" i="1" s="1"/>
  <c r="HX58" i="1"/>
  <c r="HY58" i="1" s="1"/>
  <c r="HZ58" i="1" s="1"/>
  <c r="HU58" i="1"/>
  <c r="HP58" i="1"/>
  <c r="HI58" i="1"/>
  <c r="HJ58" i="1" s="1"/>
  <c r="HK58" i="1" s="1"/>
  <c r="HD58" i="1"/>
  <c r="HE58" i="1" s="1"/>
  <c r="HF58" i="1" s="1"/>
  <c r="GY58" i="1"/>
  <c r="GZ58" i="1" s="1"/>
  <c r="HA58" i="1" s="1"/>
  <c r="GT58" i="1"/>
  <c r="GU58" i="1" s="1"/>
  <c r="GV58" i="1" s="1"/>
  <c r="GO58" i="1"/>
  <c r="GP58" i="1" s="1"/>
  <c r="GQ58" i="1" s="1"/>
  <c r="GJ58" i="1"/>
  <c r="GK58" i="1" s="1"/>
  <c r="GL58" i="1" s="1"/>
  <c r="GE58" i="1"/>
  <c r="GF58" i="1" s="1"/>
  <c r="GG58" i="1" s="1"/>
  <c r="FZ58" i="1"/>
  <c r="GA58" i="1" s="1"/>
  <c r="GB58" i="1" s="1"/>
  <c r="FU58" i="1"/>
  <c r="FV58" i="1" s="1"/>
  <c r="FW58" i="1" s="1"/>
  <c r="FP58" i="1"/>
  <c r="FQ58" i="1" s="1"/>
  <c r="FR58" i="1" s="1"/>
  <c r="FK58" i="1"/>
  <c r="FL58" i="1" s="1"/>
  <c r="FM58" i="1" s="1"/>
  <c r="FF58" i="1"/>
  <c r="FG58" i="1" s="1"/>
  <c r="FH58" i="1" s="1"/>
  <c r="FA58" i="1"/>
  <c r="FB58" i="1" s="1"/>
  <c r="FC58" i="1" s="1"/>
  <c r="EV58" i="1"/>
  <c r="EW58" i="1" s="1"/>
  <c r="EX58" i="1" s="1"/>
  <c r="EQ58" i="1"/>
  <c r="ER58" i="1" s="1"/>
  <c r="ES58" i="1" s="1"/>
  <c r="EL58" i="1"/>
  <c r="EM58" i="1" s="1"/>
  <c r="EN58" i="1" s="1"/>
  <c r="EE58" i="1"/>
  <c r="EF58" i="1" s="1"/>
  <c r="EG58" i="1" s="1"/>
  <c r="DZ58" i="1"/>
  <c r="EA58" i="1" s="1"/>
  <c r="EB58" i="1" s="1"/>
  <c r="DU58" i="1"/>
  <c r="DV58" i="1" s="1"/>
  <c r="DW58" i="1" s="1"/>
  <c r="DP58" i="1"/>
  <c r="DQ58" i="1" s="1"/>
  <c r="DR58" i="1" s="1"/>
  <c r="DK58" i="1"/>
  <c r="DL58" i="1" s="1"/>
  <c r="DM58" i="1" s="1"/>
  <c r="DF58" i="1"/>
  <c r="DG58" i="1" s="1"/>
  <c r="DH58" i="1" s="1"/>
  <c r="DA58" i="1"/>
  <c r="DB58" i="1" s="1"/>
  <c r="DC58" i="1" s="1"/>
  <c r="CV58" i="1"/>
  <c r="CW58" i="1" s="1"/>
  <c r="CX58" i="1" s="1"/>
  <c r="CQ58" i="1"/>
  <c r="CR58" i="1" s="1"/>
  <c r="CS58" i="1" s="1"/>
  <c r="CL58" i="1"/>
  <c r="CM58" i="1" s="1"/>
  <c r="CN58" i="1" s="1"/>
  <c r="CG58" i="1"/>
  <c r="CH58" i="1" s="1"/>
  <c r="CI58" i="1" s="1"/>
  <c r="CA58" i="1"/>
  <c r="CB58" i="1" s="1"/>
  <c r="CC58" i="1" s="1"/>
  <c r="BV58" i="1"/>
  <c r="BW58" i="1" s="1"/>
  <c r="BX58" i="1" s="1"/>
  <c r="BQ58" i="1"/>
  <c r="BR58" i="1" s="1"/>
  <c r="BS58" i="1" s="1"/>
  <c r="BL58" i="1"/>
  <c r="BM58" i="1" s="1"/>
  <c r="BN58" i="1" s="1"/>
  <c r="BG58" i="1"/>
  <c r="BH58" i="1" s="1"/>
  <c r="BI58" i="1" s="1"/>
  <c r="BB58" i="1"/>
  <c r="BC58" i="1" s="1"/>
  <c r="BD58" i="1" s="1"/>
  <c r="AW58" i="1"/>
  <c r="AX58" i="1" s="1"/>
  <c r="AY58" i="1" s="1"/>
  <c r="AR58" i="1"/>
  <c r="AS58" i="1" s="1"/>
  <c r="AT58" i="1" s="1"/>
  <c r="AM58" i="1"/>
  <c r="AN58" i="1" s="1"/>
  <c r="AO58" i="1" s="1"/>
  <c r="AH58" i="1"/>
  <c r="AI58" i="1" s="1"/>
  <c r="AJ58" i="1" s="1"/>
  <c r="AC58" i="1"/>
  <c r="AD58" i="1" s="1"/>
  <c r="AE58" i="1" s="1"/>
  <c r="W58" i="1"/>
  <c r="X58" i="1" s="1"/>
  <c r="Y58" i="1" s="1"/>
  <c r="S58" i="1"/>
  <c r="N58" i="1"/>
  <c r="I58" i="1"/>
  <c r="NZ57" i="1"/>
  <c r="NU57" i="1"/>
  <c r="NN57" i="1"/>
  <c r="NO57" i="1" s="1"/>
  <c r="NP57" i="1" s="1"/>
  <c r="NK57" i="1"/>
  <c r="NF57" i="1"/>
  <c r="NA57" i="1"/>
  <c r="MV57" i="1"/>
  <c r="MQ57" i="1"/>
  <c r="MM57" i="1"/>
  <c r="MI57" i="1"/>
  <c r="MD57" i="1"/>
  <c r="LW57" i="1"/>
  <c r="LX57" i="1" s="1"/>
  <c r="LY57" i="1" s="1"/>
  <c r="LR57" i="1"/>
  <c r="LS57" i="1" s="1"/>
  <c r="LT57" i="1" s="1"/>
  <c r="LO57" i="1"/>
  <c r="LJ57" i="1"/>
  <c r="LE57" i="1"/>
  <c r="KZ57" i="1"/>
  <c r="KV57" i="1"/>
  <c r="KQ57" i="1"/>
  <c r="KM57" i="1"/>
  <c r="KI57" i="1"/>
  <c r="KC57" i="1"/>
  <c r="KD57" i="1" s="1"/>
  <c r="KE57" i="1" s="1"/>
  <c r="KA57" i="1"/>
  <c r="JV57" i="1"/>
  <c r="JQ57" i="1"/>
  <c r="JM57" i="1"/>
  <c r="JI57" i="1"/>
  <c r="JB57" i="1"/>
  <c r="JC57" i="1" s="1"/>
  <c r="JD57" i="1" s="1"/>
  <c r="IW57" i="1"/>
  <c r="IX57" i="1" s="1"/>
  <c r="IY57" i="1" s="1"/>
  <c r="IR57" i="1"/>
  <c r="IS57" i="1" s="1"/>
  <c r="IT57" i="1" s="1"/>
  <c r="IM57" i="1"/>
  <c r="IN57" i="1" s="1"/>
  <c r="IO57" i="1" s="1"/>
  <c r="IH57" i="1"/>
  <c r="II57" i="1" s="1"/>
  <c r="IJ57" i="1" s="1"/>
  <c r="IC57" i="1"/>
  <c r="ID57" i="1" s="1"/>
  <c r="IE57" i="1" s="1"/>
  <c r="HX57" i="1"/>
  <c r="HY57" i="1" s="1"/>
  <c r="HZ57" i="1" s="1"/>
  <c r="HS57" i="1"/>
  <c r="HT57" i="1" s="1"/>
  <c r="HU57" i="1" s="1"/>
  <c r="HN57" i="1"/>
  <c r="HO57" i="1" s="1"/>
  <c r="HP57" i="1" s="1"/>
  <c r="HI57" i="1"/>
  <c r="HJ57" i="1" s="1"/>
  <c r="HK57" i="1" s="1"/>
  <c r="HD57" i="1"/>
  <c r="HE57" i="1" s="1"/>
  <c r="HF57" i="1" s="1"/>
  <c r="GY57" i="1"/>
  <c r="GZ57" i="1" s="1"/>
  <c r="HA57" i="1" s="1"/>
  <c r="GT57" i="1"/>
  <c r="GU57" i="1" s="1"/>
  <c r="GV57" i="1" s="1"/>
  <c r="GO57" i="1"/>
  <c r="GP57" i="1" s="1"/>
  <c r="GQ57" i="1" s="1"/>
  <c r="GJ57" i="1"/>
  <c r="GK57" i="1" s="1"/>
  <c r="GL57" i="1" s="1"/>
  <c r="GE57" i="1"/>
  <c r="GF57" i="1" s="1"/>
  <c r="GG57" i="1" s="1"/>
  <c r="FZ57" i="1"/>
  <c r="GA57" i="1" s="1"/>
  <c r="GB57" i="1" s="1"/>
  <c r="FU57" i="1"/>
  <c r="FV57" i="1" s="1"/>
  <c r="FW57" i="1" s="1"/>
  <c r="FP57" i="1"/>
  <c r="FQ57" i="1" s="1"/>
  <c r="FR57" i="1" s="1"/>
  <c r="FK57" i="1"/>
  <c r="FL57" i="1" s="1"/>
  <c r="FM57" i="1" s="1"/>
  <c r="FF57" i="1"/>
  <c r="FG57" i="1" s="1"/>
  <c r="FH57" i="1" s="1"/>
  <c r="FA57" i="1"/>
  <c r="FB57" i="1" s="1"/>
  <c r="FC57" i="1" s="1"/>
  <c r="EV57" i="1"/>
  <c r="EW57" i="1" s="1"/>
  <c r="EX57" i="1" s="1"/>
  <c r="EQ57" i="1"/>
  <c r="ER57" i="1" s="1"/>
  <c r="ES57" i="1" s="1"/>
  <c r="EL57" i="1"/>
  <c r="EM57" i="1" s="1"/>
  <c r="EN57" i="1" s="1"/>
  <c r="EE57" i="1"/>
  <c r="EF57" i="1" s="1"/>
  <c r="EG57" i="1" s="1"/>
  <c r="DZ57" i="1"/>
  <c r="EA57" i="1" s="1"/>
  <c r="EB57" i="1" s="1"/>
  <c r="DU57" i="1"/>
  <c r="DV57" i="1" s="1"/>
  <c r="DW57" i="1" s="1"/>
  <c r="DP57" i="1"/>
  <c r="DQ57" i="1" s="1"/>
  <c r="DR57" i="1" s="1"/>
  <c r="DK57" i="1"/>
  <c r="DL57" i="1" s="1"/>
  <c r="DM57" i="1" s="1"/>
  <c r="DF57" i="1"/>
  <c r="DG57" i="1" s="1"/>
  <c r="DH57" i="1" s="1"/>
  <c r="DA57" i="1"/>
  <c r="DB57" i="1" s="1"/>
  <c r="DC57" i="1" s="1"/>
  <c r="CV57" i="1"/>
  <c r="CW57" i="1" s="1"/>
  <c r="CX57" i="1" s="1"/>
  <c r="CQ57" i="1"/>
  <c r="CR57" i="1" s="1"/>
  <c r="CS57" i="1" s="1"/>
  <c r="CL57" i="1"/>
  <c r="CM57" i="1" s="1"/>
  <c r="CN57" i="1" s="1"/>
  <c r="CG57" i="1"/>
  <c r="CH57" i="1" s="1"/>
  <c r="CI57" i="1" s="1"/>
  <c r="CA57" i="1"/>
  <c r="CB57" i="1" s="1"/>
  <c r="CC57" i="1" s="1"/>
  <c r="BV57" i="1"/>
  <c r="BW57" i="1" s="1"/>
  <c r="BX57" i="1" s="1"/>
  <c r="BQ57" i="1"/>
  <c r="BR57" i="1" s="1"/>
  <c r="BS57" i="1" s="1"/>
  <c r="BL57" i="1"/>
  <c r="BM57" i="1" s="1"/>
  <c r="BN57" i="1" s="1"/>
  <c r="BG57" i="1"/>
  <c r="BH57" i="1" s="1"/>
  <c r="BI57" i="1" s="1"/>
  <c r="BB57" i="1"/>
  <c r="BC57" i="1" s="1"/>
  <c r="BD57" i="1" s="1"/>
  <c r="AW57" i="1"/>
  <c r="AX57" i="1" s="1"/>
  <c r="AY57" i="1" s="1"/>
  <c r="AR57" i="1"/>
  <c r="AS57" i="1" s="1"/>
  <c r="AT57" i="1" s="1"/>
  <c r="AM57" i="1"/>
  <c r="AN57" i="1" s="1"/>
  <c r="AO57" i="1" s="1"/>
  <c r="AH57" i="1"/>
  <c r="AI57" i="1" s="1"/>
  <c r="AJ57" i="1" s="1"/>
  <c r="AC57" i="1"/>
  <c r="AD57" i="1" s="1"/>
  <c r="AE57" i="1" s="1"/>
  <c r="W57" i="1"/>
  <c r="X57" i="1" s="1"/>
  <c r="Y57" i="1" s="1"/>
  <c r="S57" i="1"/>
  <c r="N57" i="1"/>
  <c r="I57" i="1"/>
  <c r="NZ56" i="1"/>
  <c r="NU56" i="1"/>
  <c r="NP56" i="1"/>
  <c r="NK56" i="1"/>
  <c r="NF56" i="1"/>
  <c r="NA56" i="1"/>
  <c r="MV56" i="1"/>
  <c r="MQ56" i="1"/>
  <c r="MM56" i="1"/>
  <c r="MI56" i="1"/>
  <c r="MD56" i="1"/>
  <c r="LW56" i="1"/>
  <c r="LX56" i="1" s="1"/>
  <c r="LY56" i="1" s="1"/>
  <c r="LR56" i="1"/>
  <c r="LS56" i="1" s="1"/>
  <c r="LT56" i="1" s="1"/>
  <c r="LO56" i="1"/>
  <c r="LJ56" i="1"/>
  <c r="LC56" i="1"/>
  <c r="LD56" i="1" s="1"/>
  <c r="LE56" i="1" s="1"/>
  <c r="KX56" i="1"/>
  <c r="KY56" i="1" s="1"/>
  <c r="KZ56" i="1" s="1"/>
  <c r="KV56" i="1"/>
  <c r="KO56" i="1"/>
  <c r="KP56" i="1" s="1"/>
  <c r="KQ56" i="1" s="1"/>
  <c r="KM56" i="1"/>
  <c r="KI56" i="1"/>
  <c r="KE56" i="1"/>
  <c r="KA56" i="1"/>
  <c r="JV56" i="1"/>
  <c r="JQ56" i="1"/>
  <c r="JM56" i="1"/>
  <c r="JI56" i="1"/>
  <c r="JB56" i="1"/>
  <c r="JC56" i="1" s="1"/>
  <c r="JD56" i="1" s="1"/>
  <c r="IW56" i="1"/>
  <c r="IX56" i="1" s="1"/>
  <c r="IY56" i="1" s="1"/>
  <c r="IR56" i="1"/>
  <c r="IS56" i="1" s="1"/>
  <c r="IT56" i="1" s="1"/>
  <c r="IM56" i="1"/>
  <c r="IN56" i="1" s="1"/>
  <c r="IO56" i="1" s="1"/>
  <c r="IH56" i="1"/>
  <c r="II56" i="1" s="1"/>
  <c r="IJ56" i="1" s="1"/>
  <c r="IC56" i="1"/>
  <c r="ID56" i="1" s="1"/>
  <c r="IE56" i="1" s="1"/>
  <c r="HX56" i="1"/>
  <c r="HY56" i="1" s="1"/>
  <c r="HZ56" i="1" s="1"/>
  <c r="HS56" i="1"/>
  <c r="HT56" i="1" s="1"/>
  <c r="HU56" i="1" s="1"/>
  <c r="HN56" i="1"/>
  <c r="HO56" i="1" s="1"/>
  <c r="HP56" i="1" s="1"/>
  <c r="HI56" i="1"/>
  <c r="HJ56" i="1" s="1"/>
  <c r="HK56" i="1" s="1"/>
  <c r="HD56" i="1"/>
  <c r="HE56" i="1" s="1"/>
  <c r="HF56" i="1" s="1"/>
  <c r="GY56" i="1"/>
  <c r="GZ56" i="1" s="1"/>
  <c r="HA56" i="1" s="1"/>
  <c r="GT56" i="1"/>
  <c r="GU56" i="1" s="1"/>
  <c r="GV56" i="1" s="1"/>
  <c r="GO56" i="1"/>
  <c r="GP56" i="1" s="1"/>
  <c r="GQ56" i="1" s="1"/>
  <c r="GJ56" i="1"/>
  <c r="GK56" i="1" s="1"/>
  <c r="GL56" i="1" s="1"/>
  <c r="GE56" i="1"/>
  <c r="GF56" i="1" s="1"/>
  <c r="GG56" i="1" s="1"/>
  <c r="FZ56" i="1"/>
  <c r="GA56" i="1" s="1"/>
  <c r="GB56" i="1" s="1"/>
  <c r="FU56" i="1"/>
  <c r="FV56" i="1" s="1"/>
  <c r="FW56" i="1" s="1"/>
  <c r="FP56" i="1"/>
  <c r="FQ56" i="1" s="1"/>
  <c r="FR56" i="1" s="1"/>
  <c r="FK56" i="1"/>
  <c r="FL56" i="1" s="1"/>
  <c r="FM56" i="1" s="1"/>
  <c r="FF56" i="1"/>
  <c r="FG56" i="1" s="1"/>
  <c r="FH56" i="1" s="1"/>
  <c r="FA56" i="1"/>
  <c r="FB56" i="1" s="1"/>
  <c r="FC56" i="1" s="1"/>
  <c r="EV56" i="1"/>
  <c r="EW56" i="1" s="1"/>
  <c r="EX56" i="1" s="1"/>
  <c r="EQ56" i="1"/>
  <c r="ER56" i="1" s="1"/>
  <c r="ES56" i="1" s="1"/>
  <c r="EL56" i="1"/>
  <c r="EM56" i="1" s="1"/>
  <c r="EN56" i="1" s="1"/>
  <c r="EE56" i="1"/>
  <c r="EF56" i="1" s="1"/>
  <c r="EG56" i="1" s="1"/>
  <c r="DZ56" i="1"/>
  <c r="EA56" i="1" s="1"/>
  <c r="EB56" i="1" s="1"/>
  <c r="DU56" i="1"/>
  <c r="DV56" i="1" s="1"/>
  <c r="DW56" i="1" s="1"/>
  <c r="DP56" i="1"/>
  <c r="DQ56" i="1" s="1"/>
  <c r="DR56" i="1" s="1"/>
  <c r="DK56" i="1"/>
  <c r="DL56" i="1" s="1"/>
  <c r="DM56" i="1" s="1"/>
  <c r="DF56" i="1"/>
  <c r="DG56" i="1" s="1"/>
  <c r="DH56" i="1" s="1"/>
  <c r="DA56" i="1"/>
  <c r="DB56" i="1" s="1"/>
  <c r="DC56" i="1" s="1"/>
  <c r="CV56" i="1"/>
  <c r="CW56" i="1" s="1"/>
  <c r="CX56" i="1" s="1"/>
  <c r="CQ56" i="1"/>
  <c r="CR56" i="1" s="1"/>
  <c r="CS56" i="1" s="1"/>
  <c r="CL56" i="1"/>
  <c r="CM56" i="1" s="1"/>
  <c r="CN56" i="1" s="1"/>
  <c r="CG56" i="1"/>
  <c r="CH56" i="1" s="1"/>
  <c r="CI56" i="1" s="1"/>
  <c r="CA56" i="1"/>
  <c r="CB56" i="1" s="1"/>
  <c r="CC56" i="1" s="1"/>
  <c r="BV56" i="1"/>
  <c r="BW56" i="1" s="1"/>
  <c r="BX56" i="1" s="1"/>
  <c r="BQ56" i="1"/>
  <c r="BR56" i="1" s="1"/>
  <c r="BS56" i="1" s="1"/>
  <c r="BL56" i="1"/>
  <c r="BM56" i="1" s="1"/>
  <c r="BN56" i="1" s="1"/>
  <c r="BG56" i="1"/>
  <c r="BH56" i="1" s="1"/>
  <c r="BI56" i="1" s="1"/>
  <c r="BB56" i="1"/>
  <c r="BC56" i="1" s="1"/>
  <c r="BD56" i="1" s="1"/>
  <c r="AW56" i="1"/>
  <c r="AX56" i="1" s="1"/>
  <c r="AY56" i="1" s="1"/>
  <c r="AR56" i="1"/>
  <c r="AS56" i="1" s="1"/>
  <c r="AT56" i="1" s="1"/>
  <c r="AM56" i="1"/>
  <c r="AN56" i="1" s="1"/>
  <c r="AO56" i="1" s="1"/>
  <c r="AH56" i="1"/>
  <c r="AI56" i="1" s="1"/>
  <c r="AJ56" i="1" s="1"/>
  <c r="AC56" i="1"/>
  <c r="AD56" i="1" s="1"/>
  <c r="AE56" i="1" s="1"/>
  <c r="W56" i="1"/>
  <c r="X56" i="1" s="1"/>
  <c r="Y56" i="1" s="1"/>
  <c r="S56" i="1"/>
  <c r="N56" i="1"/>
  <c r="I56" i="1"/>
  <c r="NZ55" i="1"/>
  <c r="NU55" i="1"/>
  <c r="NP55" i="1"/>
  <c r="NK55" i="1"/>
  <c r="NF55" i="1"/>
  <c r="NA55" i="1"/>
  <c r="MV55" i="1"/>
  <c r="MQ55" i="1"/>
  <c r="MM55" i="1"/>
  <c r="MI55" i="1"/>
  <c r="MD55" i="1"/>
  <c r="LY55" i="1"/>
  <c r="LT55" i="1"/>
  <c r="LO55" i="1"/>
  <c r="LJ55" i="1"/>
  <c r="LE55" i="1"/>
  <c r="KZ55" i="1"/>
  <c r="KV55" i="1"/>
  <c r="KQ55" i="1"/>
  <c r="KM55" i="1"/>
  <c r="KI55" i="1"/>
  <c r="KE55" i="1"/>
  <c r="KA55" i="1"/>
  <c r="JV55" i="1"/>
  <c r="JQ55" i="1"/>
  <c r="JM55" i="1"/>
  <c r="JI55" i="1"/>
  <c r="JB55" i="1"/>
  <c r="JC55" i="1" s="1"/>
  <c r="JD55" i="1" s="1"/>
  <c r="IW55" i="1"/>
  <c r="IX55" i="1" s="1"/>
  <c r="IY55" i="1" s="1"/>
  <c r="IR55" i="1"/>
  <c r="IS55" i="1" s="1"/>
  <c r="IT55" i="1" s="1"/>
  <c r="IM55" i="1"/>
  <c r="IN55" i="1" s="1"/>
  <c r="IO55" i="1" s="1"/>
  <c r="IH55" i="1"/>
  <c r="II55" i="1" s="1"/>
  <c r="IJ55" i="1" s="1"/>
  <c r="IC55" i="1"/>
  <c r="ID55" i="1" s="1"/>
  <c r="IE55" i="1" s="1"/>
  <c r="HX55" i="1"/>
  <c r="HY55" i="1" s="1"/>
  <c r="HZ55" i="1" s="1"/>
  <c r="HS55" i="1"/>
  <c r="HT55" i="1" s="1"/>
  <c r="HU55" i="1" s="1"/>
  <c r="HN55" i="1"/>
  <c r="HO55" i="1" s="1"/>
  <c r="HP55" i="1" s="1"/>
  <c r="HI55" i="1"/>
  <c r="HJ55" i="1" s="1"/>
  <c r="HK55" i="1" s="1"/>
  <c r="HD55" i="1"/>
  <c r="HE55" i="1" s="1"/>
  <c r="HF55" i="1" s="1"/>
  <c r="GY55" i="1"/>
  <c r="GZ55" i="1" s="1"/>
  <c r="HA55" i="1" s="1"/>
  <c r="GT55" i="1"/>
  <c r="GU55" i="1" s="1"/>
  <c r="GV55" i="1" s="1"/>
  <c r="GO55" i="1"/>
  <c r="GP55" i="1" s="1"/>
  <c r="GQ55" i="1" s="1"/>
  <c r="GJ55" i="1"/>
  <c r="GK55" i="1" s="1"/>
  <c r="GL55" i="1" s="1"/>
  <c r="GE55" i="1"/>
  <c r="GF55" i="1" s="1"/>
  <c r="GG55" i="1" s="1"/>
  <c r="FZ55" i="1"/>
  <c r="GA55" i="1" s="1"/>
  <c r="GB55" i="1" s="1"/>
  <c r="FU55" i="1"/>
  <c r="FV55" i="1" s="1"/>
  <c r="FW55" i="1" s="1"/>
  <c r="FP55" i="1"/>
  <c r="FQ55" i="1" s="1"/>
  <c r="FR55" i="1" s="1"/>
  <c r="FK55" i="1"/>
  <c r="FL55" i="1" s="1"/>
  <c r="FM55" i="1" s="1"/>
  <c r="FF55" i="1"/>
  <c r="FG55" i="1" s="1"/>
  <c r="FH55" i="1" s="1"/>
  <c r="FA55" i="1"/>
  <c r="FB55" i="1" s="1"/>
  <c r="FC55" i="1" s="1"/>
  <c r="EV55" i="1"/>
  <c r="EW55" i="1" s="1"/>
  <c r="EX55" i="1" s="1"/>
  <c r="EQ55" i="1"/>
  <c r="ER55" i="1" s="1"/>
  <c r="ES55" i="1" s="1"/>
  <c r="EL55" i="1"/>
  <c r="EM55" i="1" s="1"/>
  <c r="EN55" i="1" s="1"/>
  <c r="EE55" i="1"/>
  <c r="EF55" i="1" s="1"/>
  <c r="EG55" i="1" s="1"/>
  <c r="DZ55" i="1"/>
  <c r="EA55" i="1" s="1"/>
  <c r="EB55" i="1" s="1"/>
  <c r="DU55" i="1"/>
  <c r="DV55" i="1" s="1"/>
  <c r="DW55" i="1" s="1"/>
  <c r="DP55" i="1"/>
  <c r="DQ55" i="1" s="1"/>
  <c r="DR55" i="1" s="1"/>
  <c r="DK55" i="1"/>
  <c r="DL55" i="1" s="1"/>
  <c r="DM55" i="1" s="1"/>
  <c r="DF55" i="1"/>
  <c r="DG55" i="1" s="1"/>
  <c r="DH55" i="1" s="1"/>
  <c r="DA55" i="1"/>
  <c r="DB55" i="1" s="1"/>
  <c r="DC55" i="1" s="1"/>
  <c r="CV55" i="1"/>
  <c r="CW55" i="1" s="1"/>
  <c r="CX55" i="1" s="1"/>
  <c r="CQ55" i="1"/>
  <c r="CR55" i="1" s="1"/>
  <c r="CS55" i="1" s="1"/>
  <c r="CL55" i="1"/>
  <c r="CM55" i="1" s="1"/>
  <c r="CN55" i="1" s="1"/>
  <c r="CG55" i="1"/>
  <c r="CH55" i="1" s="1"/>
  <c r="CI55" i="1" s="1"/>
  <c r="CA55" i="1"/>
  <c r="CB55" i="1" s="1"/>
  <c r="CC55" i="1" s="1"/>
  <c r="BV55" i="1"/>
  <c r="BW55" i="1" s="1"/>
  <c r="BX55" i="1" s="1"/>
  <c r="BQ55" i="1"/>
  <c r="BR55" i="1" s="1"/>
  <c r="BS55" i="1" s="1"/>
  <c r="BL55" i="1"/>
  <c r="BM55" i="1" s="1"/>
  <c r="BN55" i="1" s="1"/>
  <c r="BG55" i="1"/>
  <c r="BH55" i="1" s="1"/>
  <c r="BI55" i="1" s="1"/>
  <c r="BB55" i="1"/>
  <c r="BC55" i="1" s="1"/>
  <c r="BD55" i="1" s="1"/>
  <c r="AW55" i="1"/>
  <c r="AX55" i="1" s="1"/>
  <c r="AY55" i="1" s="1"/>
  <c r="AR55" i="1"/>
  <c r="AS55" i="1" s="1"/>
  <c r="AT55" i="1" s="1"/>
  <c r="AM55" i="1"/>
  <c r="AN55" i="1" s="1"/>
  <c r="AO55" i="1" s="1"/>
  <c r="AH55" i="1"/>
  <c r="AI55" i="1" s="1"/>
  <c r="AJ55" i="1" s="1"/>
  <c r="AC55" i="1"/>
  <c r="AD55" i="1" s="1"/>
  <c r="AE55" i="1" s="1"/>
  <c r="W55" i="1"/>
  <c r="X55" i="1" s="1"/>
  <c r="Y55" i="1" s="1"/>
  <c r="Q55" i="1"/>
  <c r="R55" i="1" s="1"/>
  <c r="S55" i="1" s="1"/>
  <c r="N55" i="1"/>
  <c r="I55" i="1"/>
  <c r="NZ54" i="1"/>
  <c r="NU54" i="1"/>
  <c r="NP54" i="1"/>
  <c r="NK54" i="1"/>
  <c r="NF54" i="1"/>
  <c r="NA54" i="1"/>
  <c r="MV54" i="1"/>
  <c r="MQ54" i="1"/>
  <c r="MM54" i="1"/>
  <c r="MI54" i="1"/>
  <c r="MD54" i="1"/>
  <c r="LY54" i="1"/>
  <c r="LT54" i="1"/>
  <c r="LO54" i="1"/>
  <c r="LJ54" i="1"/>
  <c r="LE54" i="1"/>
  <c r="KZ54" i="1"/>
  <c r="KV54" i="1"/>
  <c r="KQ54" i="1"/>
  <c r="KM54" i="1"/>
  <c r="KI54" i="1"/>
  <c r="KE54" i="1"/>
  <c r="KA54" i="1"/>
  <c r="JV54" i="1"/>
  <c r="JQ54" i="1"/>
  <c r="JM54" i="1"/>
  <c r="JI54" i="1"/>
  <c r="JD54" i="1"/>
  <c r="IY54" i="1"/>
  <c r="IT54" i="1"/>
  <c r="IO54" i="1"/>
  <c r="IJ54" i="1"/>
  <c r="IE54" i="1"/>
  <c r="HZ54" i="1"/>
  <c r="HU54" i="1"/>
  <c r="HP54" i="1"/>
  <c r="HK54" i="1"/>
  <c r="HD54" i="1"/>
  <c r="HE54" i="1" s="1"/>
  <c r="HF54" i="1" s="1"/>
  <c r="GY54" i="1"/>
  <c r="GZ54" i="1" s="1"/>
  <c r="HA54" i="1" s="1"/>
  <c r="GT54" i="1"/>
  <c r="GU54" i="1" s="1"/>
  <c r="GV54" i="1" s="1"/>
  <c r="GO54" i="1"/>
  <c r="GP54" i="1" s="1"/>
  <c r="GQ54" i="1" s="1"/>
  <c r="GJ54" i="1"/>
  <c r="GK54" i="1" s="1"/>
  <c r="GL54" i="1" s="1"/>
  <c r="GE54" i="1"/>
  <c r="GF54" i="1" s="1"/>
  <c r="GG54" i="1" s="1"/>
  <c r="FZ54" i="1"/>
  <c r="GA54" i="1" s="1"/>
  <c r="GB54" i="1" s="1"/>
  <c r="FU54" i="1"/>
  <c r="FV54" i="1" s="1"/>
  <c r="FW54" i="1" s="1"/>
  <c r="FP54" i="1"/>
  <c r="FQ54" i="1" s="1"/>
  <c r="FR54" i="1" s="1"/>
  <c r="FK54" i="1"/>
  <c r="FL54" i="1" s="1"/>
  <c r="FM54" i="1" s="1"/>
  <c r="FF54" i="1"/>
  <c r="FG54" i="1" s="1"/>
  <c r="FH54" i="1" s="1"/>
  <c r="FA54" i="1"/>
  <c r="FB54" i="1" s="1"/>
  <c r="FC54" i="1" s="1"/>
  <c r="EV54" i="1"/>
  <c r="EW54" i="1" s="1"/>
  <c r="EX54" i="1" s="1"/>
  <c r="EQ54" i="1"/>
  <c r="ER54" i="1" s="1"/>
  <c r="ES54" i="1" s="1"/>
  <c r="EL54" i="1"/>
  <c r="EM54" i="1" s="1"/>
  <c r="EN54" i="1" s="1"/>
  <c r="EE54" i="1"/>
  <c r="EF54" i="1" s="1"/>
  <c r="EG54" i="1" s="1"/>
  <c r="DZ54" i="1"/>
  <c r="EA54" i="1" s="1"/>
  <c r="EB54" i="1" s="1"/>
  <c r="DU54" i="1"/>
  <c r="DV54" i="1" s="1"/>
  <c r="DW54" i="1" s="1"/>
  <c r="DP54" i="1"/>
  <c r="DQ54" i="1" s="1"/>
  <c r="DR54" i="1" s="1"/>
  <c r="DK54" i="1"/>
  <c r="DL54" i="1" s="1"/>
  <c r="DM54" i="1" s="1"/>
  <c r="DF54" i="1"/>
  <c r="DG54" i="1" s="1"/>
  <c r="DH54" i="1" s="1"/>
  <c r="DA54" i="1"/>
  <c r="DB54" i="1" s="1"/>
  <c r="DC54" i="1" s="1"/>
  <c r="CV54" i="1"/>
  <c r="CW54" i="1" s="1"/>
  <c r="CX54" i="1" s="1"/>
  <c r="CQ54" i="1"/>
  <c r="CR54" i="1" s="1"/>
  <c r="CS54" i="1" s="1"/>
  <c r="CL54" i="1"/>
  <c r="CM54" i="1" s="1"/>
  <c r="CN54" i="1" s="1"/>
  <c r="CG54" i="1"/>
  <c r="CH54" i="1" s="1"/>
  <c r="CI54" i="1" s="1"/>
  <c r="CA54" i="1"/>
  <c r="CB54" i="1" s="1"/>
  <c r="CC54" i="1" s="1"/>
  <c r="BV54" i="1"/>
  <c r="BW54" i="1" s="1"/>
  <c r="BX54" i="1" s="1"/>
  <c r="BQ54" i="1"/>
  <c r="BR54" i="1" s="1"/>
  <c r="BS54" i="1" s="1"/>
  <c r="BL54" i="1"/>
  <c r="BM54" i="1" s="1"/>
  <c r="BN54" i="1" s="1"/>
  <c r="BG54" i="1"/>
  <c r="BH54" i="1" s="1"/>
  <c r="BI54" i="1" s="1"/>
  <c r="BB54" i="1"/>
  <c r="BC54" i="1" s="1"/>
  <c r="BD54" i="1" s="1"/>
  <c r="AW54" i="1"/>
  <c r="AX54" i="1" s="1"/>
  <c r="AY54" i="1" s="1"/>
  <c r="AR54" i="1"/>
  <c r="AS54" i="1" s="1"/>
  <c r="AT54" i="1" s="1"/>
  <c r="AM54" i="1"/>
  <c r="AN54" i="1" s="1"/>
  <c r="AO54" i="1" s="1"/>
  <c r="AH54" i="1"/>
  <c r="AI54" i="1" s="1"/>
  <c r="AJ54" i="1" s="1"/>
  <c r="AE54" i="1"/>
  <c r="W54" i="1"/>
  <c r="X54" i="1" s="1"/>
  <c r="Y54" i="1" s="1"/>
  <c r="S54" i="1"/>
  <c r="N54" i="1"/>
  <c r="G54" i="1"/>
  <c r="H54" i="1" s="1"/>
  <c r="I54" i="1" s="1"/>
  <c r="NZ53" i="1"/>
  <c r="NU53" i="1"/>
  <c r="NP53" i="1"/>
  <c r="NK53" i="1"/>
  <c r="NF53" i="1"/>
  <c r="NA53" i="1"/>
  <c r="MV53" i="1"/>
  <c r="MQ53" i="1"/>
  <c r="MM53" i="1"/>
  <c r="MI53" i="1"/>
  <c r="MB53" i="1"/>
  <c r="MC53" i="1" s="1"/>
  <c r="MD53" i="1" s="1"/>
  <c r="LY53" i="1"/>
  <c r="LT53" i="1"/>
  <c r="LO53" i="1"/>
  <c r="LJ53" i="1"/>
  <c r="LE53" i="1"/>
  <c r="KZ53" i="1"/>
  <c r="KV53" i="1"/>
  <c r="KQ53" i="1"/>
  <c r="KK53" i="1"/>
  <c r="KL53" i="1" s="1"/>
  <c r="KM53" i="1" s="1"/>
  <c r="KI53" i="1"/>
  <c r="KE53" i="1"/>
  <c r="KA53" i="1"/>
  <c r="JV53" i="1"/>
  <c r="JQ53" i="1"/>
  <c r="JM53" i="1"/>
  <c r="JI53" i="1"/>
  <c r="JB53" i="1"/>
  <c r="JC53" i="1" s="1"/>
  <c r="JD53" i="1" s="1"/>
  <c r="IW53" i="1"/>
  <c r="IX53" i="1" s="1"/>
  <c r="IY53" i="1" s="1"/>
  <c r="IR53" i="1"/>
  <c r="IS53" i="1" s="1"/>
  <c r="IT53" i="1" s="1"/>
  <c r="IM53" i="1"/>
  <c r="IN53" i="1" s="1"/>
  <c r="IO53" i="1" s="1"/>
  <c r="IH53" i="1"/>
  <c r="II53" i="1" s="1"/>
  <c r="IJ53" i="1" s="1"/>
  <c r="IC53" i="1"/>
  <c r="ID53" i="1" s="1"/>
  <c r="IE53" i="1" s="1"/>
  <c r="HX53" i="1"/>
  <c r="HY53" i="1" s="1"/>
  <c r="HZ53" i="1" s="1"/>
  <c r="HU53" i="1"/>
  <c r="HP53" i="1"/>
  <c r="HI53" i="1"/>
  <c r="HJ53" i="1" s="1"/>
  <c r="HK53" i="1" s="1"/>
  <c r="HD53" i="1"/>
  <c r="HE53" i="1" s="1"/>
  <c r="HF53" i="1" s="1"/>
  <c r="GY53" i="1"/>
  <c r="GZ53" i="1" s="1"/>
  <c r="HA53" i="1" s="1"/>
  <c r="GT53" i="1"/>
  <c r="GU53" i="1" s="1"/>
  <c r="GV53" i="1" s="1"/>
  <c r="GO53" i="1"/>
  <c r="GP53" i="1" s="1"/>
  <c r="GQ53" i="1" s="1"/>
  <c r="GJ53" i="1"/>
  <c r="GK53" i="1" s="1"/>
  <c r="GL53" i="1" s="1"/>
  <c r="GE53" i="1"/>
  <c r="GF53" i="1" s="1"/>
  <c r="GG53" i="1" s="1"/>
  <c r="FZ53" i="1"/>
  <c r="GA53" i="1" s="1"/>
  <c r="GB53" i="1" s="1"/>
  <c r="FU53" i="1"/>
  <c r="FV53" i="1" s="1"/>
  <c r="FW53" i="1" s="1"/>
  <c r="FP53" i="1"/>
  <c r="FQ53" i="1" s="1"/>
  <c r="FR53" i="1" s="1"/>
  <c r="FK53" i="1"/>
  <c r="FL53" i="1" s="1"/>
  <c r="FM53" i="1" s="1"/>
  <c r="FF53" i="1"/>
  <c r="FG53" i="1" s="1"/>
  <c r="FH53" i="1" s="1"/>
  <c r="FA53" i="1"/>
  <c r="FB53" i="1" s="1"/>
  <c r="FC53" i="1" s="1"/>
  <c r="EV53" i="1"/>
  <c r="EW53" i="1" s="1"/>
  <c r="EX53" i="1" s="1"/>
  <c r="EQ53" i="1"/>
  <c r="ER53" i="1" s="1"/>
  <c r="ES53" i="1" s="1"/>
  <c r="EL53" i="1"/>
  <c r="EM53" i="1" s="1"/>
  <c r="EN53" i="1" s="1"/>
  <c r="EE53" i="1"/>
  <c r="EF53" i="1" s="1"/>
  <c r="EG53" i="1" s="1"/>
  <c r="DZ53" i="1"/>
  <c r="EA53" i="1" s="1"/>
  <c r="EB53" i="1" s="1"/>
  <c r="DU53" i="1"/>
  <c r="DV53" i="1" s="1"/>
  <c r="DW53" i="1" s="1"/>
  <c r="DP53" i="1"/>
  <c r="DQ53" i="1" s="1"/>
  <c r="DR53" i="1" s="1"/>
  <c r="DK53" i="1"/>
  <c r="DL53" i="1" s="1"/>
  <c r="DM53" i="1" s="1"/>
  <c r="DF53" i="1"/>
  <c r="DG53" i="1" s="1"/>
  <c r="DH53" i="1" s="1"/>
  <c r="DA53" i="1"/>
  <c r="DB53" i="1" s="1"/>
  <c r="DC53" i="1" s="1"/>
  <c r="CV53" i="1"/>
  <c r="CW53" i="1" s="1"/>
  <c r="CX53" i="1" s="1"/>
  <c r="CQ53" i="1"/>
  <c r="CR53" i="1" s="1"/>
  <c r="CS53" i="1" s="1"/>
  <c r="CL53" i="1"/>
  <c r="CM53" i="1" s="1"/>
  <c r="CN53" i="1" s="1"/>
  <c r="CG53" i="1"/>
  <c r="CH53" i="1" s="1"/>
  <c r="CI53" i="1" s="1"/>
  <c r="CA53" i="1"/>
  <c r="CB53" i="1" s="1"/>
  <c r="CC53" i="1" s="1"/>
  <c r="BV53" i="1"/>
  <c r="BW53" i="1" s="1"/>
  <c r="BX53" i="1" s="1"/>
  <c r="BQ53" i="1"/>
  <c r="BR53" i="1" s="1"/>
  <c r="BS53" i="1" s="1"/>
  <c r="BL53" i="1"/>
  <c r="BM53" i="1" s="1"/>
  <c r="BN53" i="1" s="1"/>
  <c r="BG53" i="1"/>
  <c r="BH53" i="1" s="1"/>
  <c r="BI53" i="1" s="1"/>
  <c r="BB53" i="1"/>
  <c r="BC53" i="1" s="1"/>
  <c r="BD53" i="1" s="1"/>
  <c r="AW53" i="1"/>
  <c r="AX53" i="1" s="1"/>
  <c r="AY53" i="1" s="1"/>
  <c r="AR53" i="1"/>
  <c r="AS53" i="1" s="1"/>
  <c r="AT53" i="1" s="1"/>
  <c r="AM53" i="1"/>
  <c r="AN53" i="1" s="1"/>
  <c r="AO53" i="1" s="1"/>
  <c r="AH53" i="1"/>
  <c r="AI53" i="1" s="1"/>
  <c r="AJ53" i="1" s="1"/>
  <c r="AC53" i="1"/>
  <c r="AD53" i="1" s="1"/>
  <c r="AE53" i="1" s="1"/>
  <c r="W53" i="1"/>
  <c r="X53" i="1" s="1"/>
  <c r="Y53" i="1" s="1"/>
  <c r="S53" i="1"/>
  <c r="N53" i="1"/>
  <c r="I53" i="1"/>
  <c r="NZ52" i="1"/>
  <c r="NU52" i="1"/>
  <c r="NP52" i="1"/>
  <c r="NK52" i="1"/>
  <c r="NF52" i="1"/>
  <c r="NA52" i="1"/>
  <c r="MV52" i="1"/>
  <c r="MQ52" i="1"/>
  <c r="MM52" i="1"/>
  <c r="MI52" i="1"/>
  <c r="MD52" i="1"/>
  <c r="LY52" i="1"/>
  <c r="LT52" i="1"/>
  <c r="LO52" i="1"/>
  <c r="LJ52" i="1"/>
  <c r="LE52" i="1"/>
  <c r="KZ52" i="1"/>
  <c r="KV52" i="1"/>
  <c r="KQ52" i="1"/>
  <c r="KM52" i="1"/>
  <c r="KI52" i="1"/>
  <c r="KE52" i="1"/>
  <c r="JY52" i="1"/>
  <c r="JZ52" i="1" s="1"/>
  <c r="KA52" i="1" s="1"/>
  <c r="JV52" i="1"/>
  <c r="JQ52" i="1"/>
  <c r="JM52" i="1"/>
  <c r="JI52" i="1"/>
  <c r="JD52" i="1"/>
  <c r="IY52" i="1"/>
  <c r="IT52" i="1"/>
  <c r="IO52" i="1"/>
  <c r="IJ52" i="1"/>
  <c r="IE52" i="1"/>
  <c r="HZ52" i="1"/>
  <c r="HU52" i="1"/>
  <c r="HP52" i="1"/>
  <c r="HK52" i="1"/>
  <c r="HD52" i="1"/>
  <c r="HE52" i="1" s="1"/>
  <c r="HF52" i="1" s="1"/>
  <c r="GY52" i="1"/>
  <c r="GZ52" i="1" s="1"/>
  <c r="HA52" i="1" s="1"/>
  <c r="GT52" i="1"/>
  <c r="GU52" i="1" s="1"/>
  <c r="GV52" i="1" s="1"/>
  <c r="GO52" i="1"/>
  <c r="GP52" i="1" s="1"/>
  <c r="GQ52" i="1" s="1"/>
  <c r="GJ52" i="1"/>
  <c r="GK52" i="1" s="1"/>
  <c r="GL52" i="1" s="1"/>
  <c r="GE52" i="1"/>
  <c r="GF52" i="1" s="1"/>
  <c r="GG52" i="1" s="1"/>
  <c r="FZ52" i="1"/>
  <c r="GA52" i="1" s="1"/>
  <c r="GB52" i="1" s="1"/>
  <c r="FU52" i="1"/>
  <c r="FV52" i="1" s="1"/>
  <c r="FW52" i="1" s="1"/>
  <c r="FP52" i="1"/>
  <c r="FQ52" i="1" s="1"/>
  <c r="FR52" i="1" s="1"/>
  <c r="FK52" i="1"/>
  <c r="FL52" i="1" s="1"/>
  <c r="FM52" i="1" s="1"/>
  <c r="FF52" i="1"/>
  <c r="FG52" i="1" s="1"/>
  <c r="FH52" i="1" s="1"/>
  <c r="FA52" i="1"/>
  <c r="FB52" i="1" s="1"/>
  <c r="FC52" i="1" s="1"/>
  <c r="EV52" i="1"/>
  <c r="EW52" i="1" s="1"/>
  <c r="EX52" i="1" s="1"/>
  <c r="EQ52" i="1"/>
  <c r="ER52" i="1" s="1"/>
  <c r="ES52" i="1" s="1"/>
  <c r="EL52" i="1"/>
  <c r="EM52" i="1" s="1"/>
  <c r="EN52" i="1" s="1"/>
  <c r="EE52" i="1"/>
  <c r="EF52" i="1" s="1"/>
  <c r="EG52" i="1" s="1"/>
  <c r="DZ52" i="1"/>
  <c r="EA52" i="1" s="1"/>
  <c r="EB52" i="1" s="1"/>
  <c r="DU52" i="1"/>
  <c r="DV52" i="1" s="1"/>
  <c r="DW52" i="1" s="1"/>
  <c r="DP52" i="1"/>
  <c r="DQ52" i="1" s="1"/>
  <c r="DR52" i="1" s="1"/>
  <c r="DK52" i="1"/>
  <c r="DL52" i="1" s="1"/>
  <c r="DM52" i="1" s="1"/>
  <c r="DF52" i="1"/>
  <c r="DG52" i="1" s="1"/>
  <c r="DH52" i="1" s="1"/>
  <c r="DA52" i="1"/>
  <c r="DB52" i="1" s="1"/>
  <c r="DC52" i="1" s="1"/>
  <c r="CV52" i="1"/>
  <c r="CW52" i="1" s="1"/>
  <c r="CX52" i="1" s="1"/>
  <c r="CQ52" i="1"/>
  <c r="CR52" i="1" s="1"/>
  <c r="CS52" i="1" s="1"/>
  <c r="CL52" i="1"/>
  <c r="CM52" i="1" s="1"/>
  <c r="CN52" i="1" s="1"/>
  <c r="CG52" i="1"/>
  <c r="CH52" i="1" s="1"/>
  <c r="CI52" i="1" s="1"/>
  <c r="CA52" i="1"/>
  <c r="CB52" i="1" s="1"/>
  <c r="CC52" i="1" s="1"/>
  <c r="BV52" i="1"/>
  <c r="BW52" i="1" s="1"/>
  <c r="BX52" i="1" s="1"/>
  <c r="BQ52" i="1"/>
  <c r="BR52" i="1" s="1"/>
  <c r="BS52" i="1" s="1"/>
  <c r="BL52" i="1"/>
  <c r="BM52" i="1" s="1"/>
  <c r="BN52" i="1" s="1"/>
  <c r="BG52" i="1"/>
  <c r="BH52" i="1" s="1"/>
  <c r="BI52" i="1" s="1"/>
  <c r="BB52" i="1"/>
  <c r="BC52" i="1" s="1"/>
  <c r="BD52" i="1" s="1"/>
  <c r="AW52" i="1"/>
  <c r="AX52" i="1" s="1"/>
  <c r="AY52" i="1" s="1"/>
  <c r="AR52" i="1"/>
  <c r="AS52" i="1" s="1"/>
  <c r="AT52" i="1" s="1"/>
  <c r="AM52" i="1"/>
  <c r="AN52" i="1" s="1"/>
  <c r="AO52" i="1" s="1"/>
  <c r="AH52" i="1"/>
  <c r="AI52" i="1" s="1"/>
  <c r="AJ52" i="1" s="1"/>
  <c r="AE52" i="1"/>
  <c r="W52" i="1"/>
  <c r="X52" i="1" s="1"/>
  <c r="Y52" i="1" s="1"/>
  <c r="S52" i="1"/>
  <c r="N52" i="1"/>
  <c r="G52" i="1"/>
  <c r="H52" i="1" s="1"/>
  <c r="I52" i="1" s="1"/>
  <c r="NZ51" i="1"/>
  <c r="NU51" i="1"/>
  <c r="NP51" i="1"/>
  <c r="NK51" i="1"/>
  <c r="NF51" i="1"/>
  <c r="NA51" i="1"/>
  <c r="MV51" i="1"/>
  <c r="MQ51" i="1"/>
  <c r="MM51" i="1"/>
  <c r="MI51" i="1"/>
  <c r="MD51" i="1"/>
  <c r="LY51" i="1"/>
  <c r="LT51" i="1"/>
  <c r="LO51" i="1"/>
  <c r="LJ51" i="1"/>
  <c r="LE51" i="1"/>
  <c r="KZ51" i="1"/>
  <c r="KV51" i="1"/>
  <c r="KQ51" i="1"/>
  <c r="KM51" i="1"/>
  <c r="KI51" i="1"/>
  <c r="KE51" i="1"/>
  <c r="KA51" i="1"/>
  <c r="JV51" i="1"/>
  <c r="JQ51" i="1"/>
  <c r="JM51" i="1"/>
  <c r="JI51" i="1"/>
  <c r="JD51" i="1"/>
  <c r="IY51" i="1"/>
  <c r="IT51" i="1"/>
  <c r="IO51" i="1"/>
  <c r="IJ51" i="1"/>
  <c r="IE51" i="1"/>
  <c r="HZ51" i="1"/>
  <c r="HU51" i="1"/>
  <c r="HP51" i="1"/>
  <c r="HK51" i="1"/>
  <c r="HD51" i="1"/>
  <c r="HE51" i="1" s="1"/>
  <c r="HF51" i="1" s="1"/>
  <c r="GY51" i="1"/>
  <c r="GZ51" i="1" s="1"/>
  <c r="HA51" i="1" s="1"/>
  <c r="GT51" i="1"/>
  <c r="GU51" i="1" s="1"/>
  <c r="GV51" i="1" s="1"/>
  <c r="GO51" i="1"/>
  <c r="GP51" i="1" s="1"/>
  <c r="GQ51" i="1" s="1"/>
  <c r="GJ51" i="1"/>
  <c r="GK51" i="1" s="1"/>
  <c r="GL51" i="1" s="1"/>
  <c r="GE51" i="1"/>
  <c r="GF51" i="1" s="1"/>
  <c r="GG51" i="1" s="1"/>
  <c r="FZ51" i="1"/>
  <c r="GA51" i="1" s="1"/>
  <c r="GB51" i="1" s="1"/>
  <c r="FU51" i="1"/>
  <c r="FV51" i="1" s="1"/>
  <c r="FW51" i="1" s="1"/>
  <c r="FP51" i="1"/>
  <c r="FQ51" i="1" s="1"/>
  <c r="FR51" i="1" s="1"/>
  <c r="FK51" i="1"/>
  <c r="FL51" i="1" s="1"/>
  <c r="FM51" i="1" s="1"/>
  <c r="FF51" i="1"/>
  <c r="FG51" i="1" s="1"/>
  <c r="FH51" i="1" s="1"/>
  <c r="FA51" i="1"/>
  <c r="FB51" i="1" s="1"/>
  <c r="FC51" i="1" s="1"/>
  <c r="EV51" i="1"/>
  <c r="EW51" i="1" s="1"/>
  <c r="EX51" i="1" s="1"/>
  <c r="EQ51" i="1"/>
  <c r="ER51" i="1" s="1"/>
  <c r="ES51" i="1" s="1"/>
  <c r="EL51" i="1"/>
  <c r="EM51" i="1" s="1"/>
  <c r="EN51" i="1" s="1"/>
  <c r="EE51" i="1"/>
  <c r="EF51" i="1" s="1"/>
  <c r="EG51" i="1" s="1"/>
  <c r="DZ51" i="1"/>
  <c r="EA51" i="1" s="1"/>
  <c r="EB51" i="1" s="1"/>
  <c r="DU51" i="1"/>
  <c r="DV51" i="1" s="1"/>
  <c r="DW51" i="1" s="1"/>
  <c r="DP51" i="1"/>
  <c r="DQ51" i="1" s="1"/>
  <c r="DR51" i="1" s="1"/>
  <c r="DK51" i="1"/>
  <c r="DL51" i="1" s="1"/>
  <c r="DM51" i="1" s="1"/>
  <c r="DF51" i="1"/>
  <c r="DG51" i="1" s="1"/>
  <c r="DH51" i="1" s="1"/>
  <c r="DA51" i="1"/>
  <c r="DB51" i="1" s="1"/>
  <c r="DC51" i="1" s="1"/>
  <c r="CV51" i="1"/>
  <c r="CW51" i="1" s="1"/>
  <c r="CX51" i="1" s="1"/>
  <c r="CQ51" i="1"/>
  <c r="CR51" i="1" s="1"/>
  <c r="CS51" i="1" s="1"/>
  <c r="CL51" i="1"/>
  <c r="CM51" i="1" s="1"/>
  <c r="CN51" i="1" s="1"/>
  <c r="CG51" i="1"/>
  <c r="CH51" i="1" s="1"/>
  <c r="CI51" i="1" s="1"/>
  <c r="CA51" i="1"/>
  <c r="CB51" i="1" s="1"/>
  <c r="CC51" i="1" s="1"/>
  <c r="BV51" i="1"/>
  <c r="BW51" i="1" s="1"/>
  <c r="BX51" i="1" s="1"/>
  <c r="BQ51" i="1"/>
  <c r="BR51" i="1" s="1"/>
  <c r="BS51" i="1" s="1"/>
  <c r="BL51" i="1"/>
  <c r="BM51" i="1" s="1"/>
  <c r="BN51" i="1" s="1"/>
  <c r="BG51" i="1"/>
  <c r="BH51" i="1" s="1"/>
  <c r="BI51" i="1" s="1"/>
  <c r="BB51" i="1"/>
  <c r="BC51" i="1" s="1"/>
  <c r="BD51" i="1" s="1"/>
  <c r="AW51" i="1"/>
  <c r="AX51" i="1" s="1"/>
  <c r="AY51" i="1" s="1"/>
  <c r="AR51" i="1"/>
  <c r="AS51" i="1" s="1"/>
  <c r="AT51" i="1" s="1"/>
  <c r="AM51" i="1"/>
  <c r="AN51" i="1" s="1"/>
  <c r="AO51" i="1" s="1"/>
  <c r="AH51" i="1"/>
  <c r="AI51" i="1" s="1"/>
  <c r="AJ51" i="1" s="1"/>
  <c r="AE51" i="1"/>
  <c r="W51" i="1"/>
  <c r="X51" i="1" s="1"/>
  <c r="Y51" i="1" s="1"/>
  <c r="S51" i="1"/>
  <c r="N51" i="1"/>
  <c r="G51" i="1"/>
  <c r="H51" i="1" s="1"/>
  <c r="I51" i="1" s="1"/>
  <c r="NX50" i="1"/>
  <c r="NY50" i="1" s="1"/>
  <c r="NZ50" i="1" s="1"/>
  <c r="NS50" i="1"/>
  <c r="NT50" i="1" s="1"/>
  <c r="NU50" i="1" s="1"/>
  <c r="NP50" i="1"/>
  <c r="NK50" i="1"/>
  <c r="NF50" i="1"/>
  <c r="NA50" i="1"/>
  <c r="MV50" i="1"/>
  <c r="MQ50" i="1"/>
  <c r="MM50" i="1"/>
  <c r="MI50" i="1"/>
  <c r="MD50" i="1"/>
  <c r="LY50" i="1"/>
  <c r="LT50" i="1"/>
  <c r="LO50" i="1"/>
  <c r="LJ50" i="1"/>
  <c r="LE50" i="1"/>
  <c r="KX50" i="1"/>
  <c r="KY50" i="1" s="1"/>
  <c r="KZ50" i="1" s="1"/>
  <c r="KT50" i="1"/>
  <c r="KU50" i="1" s="1"/>
  <c r="KV50" i="1" s="1"/>
  <c r="KQ50" i="1"/>
  <c r="KM50" i="1"/>
  <c r="KI50" i="1"/>
  <c r="KE50" i="1"/>
  <c r="KA50" i="1"/>
  <c r="JV50" i="1"/>
  <c r="JQ50" i="1"/>
  <c r="JM50" i="1"/>
  <c r="JI50" i="1"/>
  <c r="JD50" i="1"/>
  <c r="IY50" i="1"/>
  <c r="IT50" i="1"/>
  <c r="IO50" i="1"/>
  <c r="IJ50" i="1"/>
  <c r="IE50" i="1"/>
  <c r="HZ50" i="1"/>
  <c r="HU50" i="1"/>
  <c r="HN50" i="1"/>
  <c r="HO50" i="1" s="1"/>
  <c r="HP50" i="1" s="1"/>
  <c r="HI50" i="1"/>
  <c r="HJ50" i="1" s="1"/>
  <c r="HK50" i="1" s="1"/>
  <c r="HD50" i="1"/>
  <c r="HE50" i="1" s="1"/>
  <c r="HF50" i="1" s="1"/>
  <c r="GY50" i="1"/>
  <c r="GZ50" i="1" s="1"/>
  <c r="HA50" i="1" s="1"/>
  <c r="GT50" i="1"/>
  <c r="GU50" i="1" s="1"/>
  <c r="GV50" i="1" s="1"/>
  <c r="GO50" i="1"/>
  <c r="GP50" i="1" s="1"/>
  <c r="GQ50" i="1" s="1"/>
  <c r="GJ50" i="1"/>
  <c r="GK50" i="1" s="1"/>
  <c r="GL50" i="1" s="1"/>
  <c r="GE50" i="1"/>
  <c r="GF50" i="1" s="1"/>
  <c r="GG50" i="1" s="1"/>
  <c r="FZ50" i="1"/>
  <c r="GA50" i="1" s="1"/>
  <c r="GB50" i="1" s="1"/>
  <c r="FU50" i="1"/>
  <c r="FV50" i="1" s="1"/>
  <c r="FW50" i="1" s="1"/>
  <c r="FP50" i="1"/>
  <c r="FQ50" i="1" s="1"/>
  <c r="FR50" i="1" s="1"/>
  <c r="FK50" i="1"/>
  <c r="FL50" i="1" s="1"/>
  <c r="FM50" i="1" s="1"/>
  <c r="FF50" i="1"/>
  <c r="FG50" i="1" s="1"/>
  <c r="FH50" i="1" s="1"/>
  <c r="FA50" i="1"/>
  <c r="FB50" i="1" s="1"/>
  <c r="FC50" i="1" s="1"/>
  <c r="EV50" i="1"/>
  <c r="EW50" i="1" s="1"/>
  <c r="EX50" i="1" s="1"/>
  <c r="EQ50" i="1"/>
  <c r="ER50" i="1" s="1"/>
  <c r="ES50" i="1" s="1"/>
  <c r="EL50" i="1"/>
  <c r="EM50" i="1" s="1"/>
  <c r="EN50" i="1" s="1"/>
  <c r="EE50" i="1"/>
  <c r="EF50" i="1" s="1"/>
  <c r="EG50" i="1" s="1"/>
  <c r="DZ50" i="1"/>
  <c r="EA50" i="1" s="1"/>
  <c r="EB50" i="1" s="1"/>
  <c r="DU50" i="1"/>
  <c r="DV50" i="1" s="1"/>
  <c r="DW50" i="1" s="1"/>
  <c r="DP50" i="1"/>
  <c r="DQ50" i="1" s="1"/>
  <c r="DR50" i="1" s="1"/>
  <c r="DK50" i="1"/>
  <c r="DL50" i="1" s="1"/>
  <c r="DM50" i="1" s="1"/>
  <c r="DF50" i="1"/>
  <c r="DG50" i="1" s="1"/>
  <c r="DH50" i="1" s="1"/>
  <c r="DA50" i="1"/>
  <c r="DB50" i="1" s="1"/>
  <c r="DC50" i="1" s="1"/>
  <c r="CV50" i="1"/>
  <c r="CW50" i="1" s="1"/>
  <c r="CX50" i="1" s="1"/>
  <c r="CQ50" i="1"/>
  <c r="CR50" i="1" s="1"/>
  <c r="CS50" i="1" s="1"/>
  <c r="CL50" i="1"/>
  <c r="CM50" i="1" s="1"/>
  <c r="CN50" i="1" s="1"/>
  <c r="CG50" i="1"/>
  <c r="CH50" i="1" s="1"/>
  <c r="CI50" i="1" s="1"/>
  <c r="CA50" i="1"/>
  <c r="CB50" i="1" s="1"/>
  <c r="CC50" i="1" s="1"/>
  <c r="BV50" i="1"/>
  <c r="BW50" i="1" s="1"/>
  <c r="BX50" i="1" s="1"/>
  <c r="BQ50" i="1"/>
  <c r="BR50" i="1" s="1"/>
  <c r="BS50" i="1" s="1"/>
  <c r="BL50" i="1"/>
  <c r="BM50" i="1" s="1"/>
  <c r="BN50" i="1" s="1"/>
  <c r="BG50" i="1"/>
  <c r="BH50" i="1" s="1"/>
  <c r="BI50" i="1" s="1"/>
  <c r="BB50" i="1"/>
  <c r="BC50" i="1" s="1"/>
  <c r="BD50" i="1" s="1"/>
  <c r="AW50" i="1"/>
  <c r="AX50" i="1" s="1"/>
  <c r="AY50" i="1" s="1"/>
  <c r="AR50" i="1"/>
  <c r="AS50" i="1" s="1"/>
  <c r="AT50" i="1" s="1"/>
  <c r="AM50" i="1"/>
  <c r="AN50" i="1" s="1"/>
  <c r="AO50" i="1" s="1"/>
  <c r="AH50" i="1"/>
  <c r="AI50" i="1" s="1"/>
  <c r="AJ50" i="1" s="1"/>
  <c r="AC50" i="1"/>
  <c r="AD50" i="1" s="1"/>
  <c r="AE50" i="1" s="1"/>
  <c r="W50" i="1"/>
  <c r="X50" i="1" s="1"/>
  <c r="Y50" i="1" s="1"/>
  <c r="Q50" i="1"/>
  <c r="R50" i="1" s="1"/>
  <c r="S50" i="1" s="1"/>
  <c r="N50" i="1"/>
  <c r="I50" i="1"/>
  <c r="NZ49" i="1"/>
  <c r="NU49" i="1"/>
  <c r="NP49" i="1"/>
  <c r="NK49" i="1"/>
  <c r="NF49" i="1"/>
  <c r="NA49" i="1"/>
  <c r="MV49" i="1"/>
  <c r="MQ49" i="1"/>
  <c r="MM49" i="1"/>
  <c r="MI49" i="1"/>
  <c r="MD49" i="1"/>
  <c r="LY49" i="1"/>
  <c r="LT49" i="1"/>
  <c r="LO49" i="1"/>
  <c r="LJ49" i="1"/>
  <c r="LE49" i="1"/>
  <c r="KZ49" i="1"/>
  <c r="KT49" i="1"/>
  <c r="KU49" i="1" s="1"/>
  <c r="KV49" i="1" s="1"/>
  <c r="KQ49" i="1"/>
  <c r="KM49" i="1"/>
  <c r="KI49" i="1"/>
  <c r="KE49" i="1"/>
  <c r="JY49" i="1"/>
  <c r="JZ49" i="1" s="1"/>
  <c r="KA49" i="1" s="1"/>
  <c r="JV49" i="1"/>
  <c r="JQ49" i="1"/>
  <c r="JM49" i="1"/>
  <c r="JI49" i="1"/>
  <c r="JB49" i="1"/>
  <c r="JC49" i="1" s="1"/>
  <c r="JD49" i="1" s="1"/>
  <c r="IW49" i="1"/>
  <c r="IX49" i="1" s="1"/>
  <c r="IY49" i="1" s="1"/>
  <c r="IR49" i="1"/>
  <c r="IS49" i="1" s="1"/>
  <c r="IT49" i="1" s="1"/>
  <c r="IM49" i="1"/>
  <c r="IN49" i="1" s="1"/>
  <c r="IO49" i="1" s="1"/>
  <c r="IH49" i="1"/>
  <c r="II49" i="1" s="1"/>
  <c r="IJ49" i="1" s="1"/>
  <c r="IC49" i="1"/>
  <c r="ID49" i="1" s="1"/>
  <c r="IE49" i="1" s="1"/>
  <c r="HX49" i="1"/>
  <c r="HY49" i="1" s="1"/>
  <c r="HZ49" i="1" s="1"/>
  <c r="HU49" i="1"/>
  <c r="HP49" i="1"/>
  <c r="HI49" i="1"/>
  <c r="HJ49" i="1" s="1"/>
  <c r="HK49" i="1" s="1"/>
  <c r="HD49" i="1"/>
  <c r="HE49" i="1" s="1"/>
  <c r="HF49" i="1" s="1"/>
  <c r="GY49" i="1"/>
  <c r="GZ49" i="1" s="1"/>
  <c r="HA49" i="1" s="1"/>
  <c r="GT49" i="1"/>
  <c r="GU49" i="1" s="1"/>
  <c r="GV49" i="1" s="1"/>
  <c r="GO49" i="1"/>
  <c r="GP49" i="1" s="1"/>
  <c r="GQ49" i="1" s="1"/>
  <c r="GJ49" i="1"/>
  <c r="GK49" i="1" s="1"/>
  <c r="GL49" i="1" s="1"/>
  <c r="GE49" i="1"/>
  <c r="GF49" i="1" s="1"/>
  <c r="GG49" i="1" s="1"/>
  <c r="FZ49" i="1"/>
  <c r="GA49" i="1" s="1"/>
  <c r="GB49" i="1" s="1"/>
  <c r="FU49" i="1"/>
  <c r="FV49" i="1" s="1"/>
  <c r="FW49" i="1" s="1"/>
  <c r="FP49" i="1"/>
  <c r="FQ49" i="1" s="1"/>
  <c r="FR49" i="1" s="1"/>
  <c r="FK49" i="1"/>
  <c r="FL49" i="1" s="1"/>
  <c r="FM49" i="1" s="1"/>
  <c r="FF49" i="1"/>
  <c r="FG49" i="1" s="1"/>
  <c r="FH49" i="1" s="1"/>
  <c r="FA49" i="1"/>
  <c r="FB49" i="1" s="1"/>
  <c r="FC49" i="1" s="1"/>
  <c r="EV49" i="1"/>
  <c r="EW49" i="1" s="1"/>
  <c r="EX49" i="1" s="1"/>
  <c r="EQ49" i="1"/>
  <c r="ER49" i="1" s="1"/>
  <c r="ES49" i="1" s="1"/>
  <c r="EL49" i="1"/>
  <c r="EM49" i="1" s="1"/>
  <c r="EN49" i="1" s="1"/>
  <c r="EE49" i="1"/>
  <c r="EF49" i="1" s="1"/>
  <c r="EG49" i="1" s="1"/>
  <c r="DZ49" i="1"/>
  <c r="EA49" i="1" s="1"/>
  <c r="EB49" i="1" s="1"/>
  <c r="DU49" i="1"/>
  <c r="DV49" i="1" s="1"/>
  <c r="DW49" i="1" s="1"/>
  <c r="DP49" i="1"/>
  <c r="DQ49" i="1" s="1"/>
  <c r="DR49" i="1" s="1"/>
  <c r="DK49" i="1"/>
  <c r="DL49" i="1" s="1"/>
  <c r="DM49" i="1" s="1"/>
  <c r="DF49" i="1"/>
  <c r="DG49" i="1" s="1"/>
  <c r="DH49" i="1" s="1"/>
  <c r="DA49" i="1"/>
  <c r="DB49" i="1" s="1"/>
  <c r="DC49" i="1" s="1"/>
  <c r="CV49" i="1"/>
  <c r="CW49" i="1" s="1"/>
  <c r="CX49" i="1" s="1"/>
  <c r="CQ49" i="1"/>
  <c r="CR49" i="1" s="1"/>
  <c r="CS49" i="1" s="1"/>
  <c r="CL49" i="1"/>
  <c r="CM49" i="1" s="1"/>
  <c r="CN49" i="1" s="1"/>
  <c r="CG49" i="1"/>
  <c r="CH49" i="1" s="1"/>
  <c r="CI49" i="1" s="1"/>
  <c r="CA49" i="1"/>
  <c r="CB49" i="1" s="1"/>
  <c r="CC49" i="1" s="1"/>
  <c r="BV49" i="1"/>
  <c r="BW49" i="1" s="1"/>
  <c r="BX49" i="1" s="1"/>
  <c r="BQ49" i="1"/>
  <c r="BR49" i="1" s="1"/>
  <c r="BS49" i="1" s="1"/>
  <c r="BL49" i="1"/>
  <c r="BM49" i="1" s="1"/>
  <c r="BN49" i="1" s="1"/>
  <c r="BG49" i="1"/>
  <c r="BH49" i="1" s="1"/>
  <c r="BI49" i="1" s="1"/>
  <c r="BB49" i="1"/>
  <c r="BC49" i="1" s="1"/>
  <c r="BD49" i="1" s="1"/>
  <c r="AW49" i="1"/>
  <c r="AX49" i="1" s="1"/>
  <c r="AY49" i="1" s="1"/>
  <c r="AR49" i="1"/>
  <c r="AS49" i="1" s="1"/>
  <c r="AT49" i="1" s="1"/>
  <c r="AM49" i="1"/>
  <c r="AN49" i="1" s="1"/>
  <c r="AO49" i="1" s="1"/>
  <c r="AH49" i="1"/>
  <c r="AI49" i="1" s="1"/>
  <c r="AJ49" i="1" s="1"/>
  <c r="AC49" i="1"/>
  <c r="AD49" i="1" s="1"/>
  <c r="AE49" i="1" s="1"/>
  <c r="W49" i="1"/>
  <c r="X49" i="1" s="1"/>
  <c r="Y49" i="1" s="1"/>
  <c r="S49" i="1"/>
  <c r="N49" i="1"/>
  <c r="I49" i="1"/>
  <c r="NZ48" i="1"/>
  <c r="NU48" i="1"/>
  <c r="NP48" i="1"/>
  <c r="NK48" i="1"/>
  <c r="NF48" i="1"/>
  <c r="NA48" i="1"/>
  <c r="MV48" i="1"/>
  <c r="MQ48" i="1"/>
  <c r="MM48" i="1"/>
  <c r="MI48" i="1"/>
  <c r="MD48" i="1"/>
  <c r="LY48" i="1"/>
  <c r="LT48" i="1"/>
  <c r="LO48" i="1"/>
  <c r="LJ48" i="1"/>
  <c r="LC48" i="1"/>
  <c r="LD48" i="1" s="1"/>
  <c r="LE48" i="1" s="1"/>
  <c r="KZ48" i="1"/>
  <c r="KV48" i="1"/>
  <c r="KQ48" i="1"/>
  <c r="KM48" i="1"/>
  <c r="KI48" i="1"/>
  <c r="KE48" i="1"/>
  <c r="KA48" i="1"/>
  <c r="JV48" i="1"/>
  <c r="JQ48" i="1"/>
  <c r="JM48" i="1"/>
  <c r="JI48" i="1"/>
  <c r="JB48" i="1"/>
  <c r="JC48" i="1" s="1"/>
  <c r="JD48" i="1" s="1"/>
  <c r="IW48" i="1"/>
  <c r="IX48" i="1" s="1"/>
  <c r="IY48" i="1" s="1"/>
  <c r="IR48" i="1"/>
  <c r="IS48" i="1" s="1"/>
  <c r="IT48" i="1" s="1"/>
  <c r="IO48" i="1"/>
  <c r="IJ48" i="1"/>
  <c r="IE48" i="1"/>
  <c r="HZ48" i="1"/>
  <c r="HU48" i="1"/>
  <c r="HN48" i="1"/>
  <c r="HO48" i="1" s="1"/>
  <c r="HP48" i="1" s="1"/>
  <c r="HI48" i="1"/>
  <c r="HJ48" i="1" s="1"/>
  <c r="HK48" i="1" s="1"/>
  <c r="HD48" i="1"/>
  <c r="HE48" i="1" s="1"/>
  <c r="HF48" i="1" s="1"/>
  <c r="GY48" i="1"/>
  <c r="GZ48" i="1" s="1"/>
  <c r="HA48" i="1" s="1"/>
  <c r="GT48" i="1"/>
  <c r="GU48" i="1" s="1"/>
  <c r="GV48" i="1" s="1"/>
  <c r="GO48" i="1"/>
  <c r="GP48" i="1" s="1"/>
  <c r="GQ48" i="1" s="1"/>
  <c r="GJ48" i="1"/>
  <c r="GK48" i="1" s="1"/>
  <c r="GL48" i="1" s="1"/>
  <c r="GE48" i="1"/>
  <c r="GF48" i="1" s="1"/>
  <c r="GG48" i="1" s="1"/>
  <c r="FZ48" i="1"/>
  <c r="GA48" i="1" s="1"/>
  <c r="GB48" i="1" s="1"/>
  <c r="FU48" i="1"/>
  <c r="FV48" i="1" s="1"/>
  <c r="FW48" i="1" s="1"/>
  <c r="FP48" i="1"/>
  <c r="FQ48" i="1" s="1"/>
  <c r="FR48" i="1" s="1"/>
  <c r="FK48" i="1"/>
  <c r="FL48" i="1" s="1"/>
  <c r="FM48" i="1" s="1"/>
  <c r="FF48" i="1"/>
  <c r="FG48" i="1" s="1"/>
  <c r="FH48" i="1" s="1"/>
  <c r="FA48" i="1"/>
  <c r="FB48" i="1" s="1"/>
  <c r="FC48" i="1" s="1"/>
  <c r="EV48" i="1"/>
  <c r="EW48" i="1" s="1"/>
  <c r="EX48" i="1" s="1"/>
  <c r="EQ48" i="1"/>
  <c r="ER48" i="1" s="1"/>
  <c r="ES48" i="1" s="1"/>
  <c r="EL48" i="1"/>
  <c r="EM48" i="1" s="1"/>
  <c r="EN48" i="1" s="1"/>
  <c r="EE48" i="1"/>
  <c r="EF48" i="1" s="1"/>
  <c r="EG48" i="1" s="1"/>
  <c r="DZ48" i="1"/>
  <c r="EA48" i="1" s="1"/>
  <c r="EB48" i="1" s="1"/>
  <c r="DU48" i="1"/>
  <c r="DV48" i="1" s="1"/>
  <c r="DW48" i="1" s="1"/>
  <c r="DP48" i="1"/>
  <c r="DQ48" i="1" s="1"/>
  <c r="DR48" i="1" s="1"/>
  <c r="DK48" i="1"/>
  <c r="DL48" i="1" s="1"/>
  <c r="DM48" i="1" s="1"/>
  <c r="DF48" i="1"/>
  <c r="DG48" i="1" s="1"/>
  <c r="DH48" i="1" s="1"/>
  <c r="DA48" i="1"/>
  <c r="DB48" i="1" s="1"/>
  <c r="DC48" i="1" s="1"/>
  <c r="CV48" i="1"/>
  <c r="CW48" i="1" s="1"/>
  <c r="CX48" i="1" s="1"/>
  <c r="CQ48" i="1"/>
  <c r="CR48" i="1" s="1"/>
  <c r="CS48" i="1" s="1"/>
  <c r="CL48" i="1"/>
  <c r="CM48" i="1" s="1"/>
  <c r="CN48" i="1" s="1"/>
  <c r="CG48" i="1"/>
  <c r="CH48" i="1" s="1"/>
  <c r="CI48" i="1" s="1"/>
  <c r="CA48" i="1"/>
  <c r="CB48" i="1" s="1"/>
  <c r="CC48" i="1" s="1"/>
  <c r="BV48" i="1"/>
  <c r="BW48" i="1" s="1"/>
  <c r="BX48" i="1" s="1"/>
  <c r="BQ48" i="1"/>
  <c r="BR48" i="1" s="1"/>
  <c r="BS48" i="1" s="1"/>
  <c r="BL48" i="1"/>
  <c r="BM48" i="1" s="1"/>
  <c r="BN48" i="1" s="1"/>
  <c r="BG48" i="1"/>
  <c r="BH48" i="1" s="1"/>
  <c r="BI48" i="1" s="1"/>
  <c r="BB48" i="1"/>
  <c r="BC48" i="1" s="1"/>
  <c r="BD48" i="1" s="1"/>
  <c r="AW48" i="1"/>
  <c r="AX48" i="1" s="1"/>
  <c r="AY48" i="1" s="1"/>
  <c r="AR48" i="1"/>
  <c r="AS48" i="1" s="1"/>
  <c r="AT48" i="1" s="1"/>
  <c r="AM48" i="1"/>
  <c r="AN48" i="1" s="1"/>
  <c r="AO48" i="1" s="1"/>
  <c r="AH48" i="1"/>
  <c r="AI48" i="1" s="1"/>
  <c r="AJ48" i="1" s="1"/>
  <c r="AC48" i="1"/>
  <c r="AD48" i="1" s="1"/>
  <c r="AE48" i="1" s="1"/>
  <c r="W48" i="1"/>
  <c r="X48" i="1" s="1"/>
  <c r="Y48" i="1" s="1"/>
  <c r="S48" i="1"/>
  <c r="N48" i="1"/>
  <c r="I48" i="1"/>
  <c r="NZ47" i="1"/>
  <c r="NU47" i="1"/>
  <c r="NN47" i="1"/>
  <c r="NO47" i="1" s="1"/>
  <c r="NP47" i="1" s="1"/>
  <c r="NK47" i="1"/>
  <c r="NF47" i="1"/>
  <c r="NA47" i="1"/>
  <c r="MV47" i="1"/>
  <c r="MQ47" i="1"/>
  <c r="MM47" i="1"/>
  <c r="MI47" i="1"/>
  <c r="MD47" i="1"/>
  <c r="LY47" i="1"/>
  <c r="LT47" i="1"/>
  <c r="LO47" i="1"/>
  <c r="LJ47" i="1"/>
  <c r="LE47" i="1"/>
  <c r="KX47" i="1"/>
  <c r="KY47" i="1" s="1"/>
  <c r="KZ47" i="1" s="1"/>
  <c r="KT47" i="1"/>
  <c r="KU47" i="1" s="1"/>
  <c r="KV47" i="1" s="1"/>
  <c r="KQ47" i="1"/>
  <c r="KM47" i="1"/>
  <c r="KG47" i="1"/>
  <c r="KH47" i="1" s="1"/>
  <c r="KI47" i="1" s="1"/>
  <c r="KE47" i="1"/>
  <c r="KA47" i="1"/>
  <c r="JV47" i="1"/>
  <c r="JQ47" i="1"/>
  <c r="JM47" i="1"/>
  <c r="JI47" i="1"/>
  <c r="JB47" i="1"/>
  <c r="JC47" i="1" s="1"/>
  <c r="JD47" i="1" s="1"/>
  <c r="IW47" i="1"/>
  <c r="IX47" i="1" s="1"/>
  <c r="IY47" i="1" s="1"/>
  <c r="IR47" i="1"/>
  <c r="IS47" i="1" s="1"/>
  <c r="IT47" i="1" s="1"/>
  <c r="IM47" i="1"/>
  <c r="IN47" i="1" s="1"/>
  <c r="IO47" i="1" s="1"/>
  <c r="IH47" i="1"/>
  <c r="II47" i="1" s="1"/>
  <c r="IJ47" i="1" s="1"/>
  <c r="IC47" i="1"/>
  <c r="ID47" i="1" s="1"/>
  <c r="IE47" i="1" s="1"/>
  <c r="HX47" i="1"/>
  <c r="HY47" i="1" s="1"/>
  <c r="HZ47" i="1" s="1"/>
  <c r="HU47" i="1"/>
  <c r="HP47" i="1"/>
  <c r="HI47" i="1"/>
  <c r="HJ47" i="1" s="1"/>
  <c r="HK47" i="1" s="1"/>
  <c r="HD47" i="1"/>
  <c r="HE47" i="1" s="1"/>
  <c r="HF47" i="1" s="1"/>
  <c r="GY47" i="1"/>
  <c r="GZ47" i="1" s="1"/>
  <c r="HA47" i="1" s="1"/>
  <c r="GT47" i="1"/>
  <c r="GU47" i="1" s="1"/>
  <c r="GV47" i="1" s="1"/>
  <c r="GO47" i="1"/>
  <c r="GP47" i="1" s="1"/>
  <c r="GQ47" i="1" s="1"/>
  <c r="GJ47" i="1"/>
  <c r="GK47" i="1" s="1"/>
  <c r="GL47" i="1" s="1"/>
  <c r="GE47" i="1"/>
  <c r="GF47" i="1" s="1"/>
  <c r="GG47" i="1" s="1"/>
  <c r="FZ47" i="1"/>
  <c r="GA47" i="1" s="1"/>
  <c r="GB47" i="1" s="1"/>
  <c r="FU47" i="1"/>
  <c r="FV47" i="1" s="1"/>
  <c r="FW47" i="1" s="1"/>
  <c r="FP47" i="1"/>
  <c r="FQ47" i="1" s="1"/>
  <c r="FR47" i="1" s="1"/>
  <c r="FK47" i="1"/>
  <c r="FL47" i="1" s="1"/>
  <c r="FM47" i="1" s="1"/>
  <c r="FF47" i="1"/>
  <c r="FG47" i="1" s="1"/>
  <c r="FH47" i="1" s="1"/>
  <c r="FA47" i="1"/>
  <c r="FB47" i="1" s="1"/>
  <c r="FC47" i="1" s="1"/>
  <c r="EV47" i="1"/>
  <c r="EW47" i="1" s="1"/>
  <c r="EX47" i="1" s="1"/>
  <c r="EQ47" i="1"/>
  <c r="ER47" i="1" s="1"/>
  <c r="ES47" i="1" s="1"/>
  <c r="EL47" i="1"/>
  <c r="EM47" i="1" s="1"/>
  <c r="EN47" i="1" s="1"/>
  <c r="EE47" i="1"/>
  <c r="EF47" i="1" s="1"/>
  <c r="EG47" i="1" s="1"/>
  <c r="DZ47" i="1"/>
  <c r="EA47" i="1" s="1"/>
  <c r="EB47" i="1" s="1"/>
  <c r="DU47" i="1"/>
  <c r="DV47" i="1" s="1"/>
  <c r="DW47" i="1" s="1"/>
  <c r="DP47" i="1"/>
  <c r="DQ47" i="1" s="1"/>
  <c r="DR47" i="1" s="1"/>
  <c r="DK47" i="1"/>
  <c r="DL47" i="1" s="1"/>
  <c r="DM47" i="1" s="1"/>
  <c r="DF47" i="1"/>
  <c r="DG47" i="1" s="1"/>
  <c r="DH47" i="1" s="1"/>
  <c r="DA47" i="1"/>
  <c r="DB47" i="1" s="1"/>
  <c r="DC47" i="1" s="1"/>
  <c r="CV47" i="1"/>
  <c r="CW47" i="1" s="1"/>
  <c r="CX47" i="1" s="1"/>
  <c r="CQ47" i="1"/>
  <c r="CR47" i="1" s="1"/>
  <c r="CS47" i="1" s="1"/>
  <c r="CL47" i="1"/>
  <c r="CM47" i="1" s="1"/>
  <c r="CN47" i="1" s="1"/>
  <c r="CG47" i="1"/>
  <c r="CH47" i="1" s="1"/>
  <c r="CI47" i="1" s="1"/>
  <c r="CA47" i="1"/>
  <c r="CB47" i="1" s="1"/>
  <c r="CC47" i="1" s="1"/>
  <c r="BV47" i="1"/>
  <c r="BW47" i="1" s="1"/>
  <c r="BX47" i="1" s="1"/>
  <c r="BQ47" i="1"/>
  <c r="BR47" i="1" s="1"/>
  <c r="BS47" i="1" s="1"/>
  <c r="BL47" i="1"/>
  <c r="BM47" i="1" s="1"/>
  <c r="BN47" i="1" s="1"/>
  <c r="BG47" i="1"/>
  <c r="BH47" i="1" s="1"/>
  <c r="BI47" i="1" s="1"/>
  <c r="BB47" i="1"/>
  <c r="BC47" i="1" s="1"/>
  <c r="BD47" i="1" s="1"/>
  <c r="AW47" i="1"/>
  <c r="AX47" i="1" s="1"/>
  <c r="AY47" i="1" s="1"/>
  <c r="AR47" i="1"/>
  <c r="AS47" i="1" s="1"/>
  <c r="AT47" i="1" s="1"/>
  <c r="AM47" i="1"/>
  <c r="AN47" i="1" s="1"/>
  <c r="AO47" i="1" s="1"/>
  <c r="AH47" i="1"/>
  <c r="AI47" i="1" s="1"/>
  <c r="AJ47" i="1" s="1"/>
  <c r="AC47" i="1"/>
  <c r="AD47" i="1" s="1"/>
  <c r="AE47" i="1" s="1"/>
  <c r="W47" i="1"/>
  <c r="X47" i="1" s="1"/>
  <c r="Y47" i="1" s="1"/>
  <c r="S47" i="1"/>
  <c r="N47" i="1"/>
  <c r="I47" i="1"/>
  <c r="NZ46" i="1"/>
  <c r="NU46" i="1"/>
  <c r="NP46" i="1"/>
  <c r="NK46" i="1"/>
  <c r="NF46" i="1"/>
  <c r="NA46" i="1"/>
  <c r="MV46" i="1"/>
  <c r="MQ46" i="1"/>
  <c r="MM46" i="1"/>
  <c r="MI46" i="1"/>
  <c r="MD46" i="1"/>
  <c r="LY46" i="1"/>
  <c r="LT46" i="1"/>
  <c r="LO46" i="1"/>
  <c r="LJ46" i="1"/>
  <c r="LE46" i="1"/>
  <c r="KZ46" i="1"/>
  <c r="KV46" i="1"/>
  <c r="KQ46" i="1"/>
  <c r="KM46" i="1"/>
  <c r="KI46" i="1"/>
  <c r="KE46" i="1"/>
  <c r="KA46" i="1"/>
  <c r="JV46" i="1"/>
  <c r="JQ46" i="1"/>
  <c r="JM46" i="1"/>
  <c r="JI46" i="1"/>
  <c r="JD46" i="1"/>
  <c r="IY46" i="1"/>
  <c r="IT46" i="1"/>
  <c r="IO46" i="1"/>
  <c r="IJ46" i="1"/>
  <c r="IE46" i="1"/>
  <c r="HZ46" i="1"/>
  <c r="HU46" i="1"/>
  <c r="HP46" i="1"/>
  <c r="HK46" i="1"/>
  <c r="HD46" i="1"/>
  <c r="HE46" i="1" s="1"/>
  <c r="HF46" i="1" s="1"/>
  <c r="GY46" i="1"/>
  <c r="GZ46" i="1" s="1"/>
  <c r="HA46" i="1" s="1"/>
  <c r="GT46" i="1"/>
  <c r="GU46" i="1" s="1"/>
  <c r="GV46" i="1" s="1"/>
  <c r="GO46" i="1"/>
  <c r="GP46" i="1" s="1"/>
  <c r="GQ46" i="1" s="1"/>
  <c r="GJ46" i="1"/>
  <c r="GK46" i="1" s="1"/>
  <c r="GL46" i="1" s="1"/>
  <c r="GE46" i="1"/>
  <c r="GF46" i="1" s="1"/>
  <c r="GG46" i="1" s="1"/>
  <c r="FZ46" i="1"/>
  <c r="GA46" i="1" s="1"/>
  <c r="GB46" i="1" s="1"/>
  <c r="FU46" i="1"/>
  <c r="FV46" i="1" s="1"/>
  <c r="FW46" i="1" s="1"/>
  <c r="FP46" i="1"/>
  <c r="FQ46" i="1" s="1"/>
  <c r="FR46" i="1" s="1"/>
  <c r="FK46" i="1"/>
  <c r="FL46" i="1" s="1"/>
  <c r="FM46" i="1" s="1"/>
  <c r="FF46" i="1"/>
  <c r="FG46" i="1" s="1"/>
  <c r="FH46" i="1" s="1"/>
  <c r="FA46" i="1"/>
  <c r="FB46" i="1" s="1"/>
  <c r="FC46" i="1" s="1"/>
  <c r="EV46" i="1"/>
  <c r="EW46" i="1" s="1"/>
  <c r="EX46" i="1" s="1"/>
  <c r="EQ46" i="1"/>
  <c r="ER46" i="1" s="1"/>
  <c r="ES46" i="1" s="1"/>
  <c r="EL46" i="1"/>
  <c r="EM46" i="1" s="1"/>
  <c r="EN46" i="1" s="1"/>
  <c r="EE46" i="1"/>
  <c r="EF46" i="1" s="1"/>
  <c r="EG46" i="1" s="1"/>
  <c r="DZ46" i="1"/>
  <c r="EA46" i="1" s="1"/>
  <c r="EB46" i="1" s="1"/>
  <c r="DU46" i="1"/>
  <c r="DV46" i="1" s="1"/>
  <c r="DW46" i="1" s="1"/>
  <c r="DP46" i="1"/>
  <c r="DQ46" i="1" s="1"/>
  <c r="DR46" i="1" s="1"/>
  <c r="DK46" i="1"/>
  <c r="DL46" i="1" s="1"/>
  <c r="DM46" i="1" s="1"/>
  <c r="DF46" i="1"/>
  <c r="DG46" i="1" s="1"/>
  <c r="DH46" i="1" s="1"/>
  <c r="DA46" i="1"/>
  <c r="DB46" i="1" s="1"/>
  <c r="DC46" i="1" s="1"/>
  <c r="CV46" i="1"/>
  <c r="CW46" i="1" s="1"/>
  <c r="CX46" i="1" s="1"/>
  <c r="CQ46" i="1"/>
  <c r="CR46" i="1" s="1"/>
  <c r="CS46" i="1" s="1"/>
  <c r="CL46" i="1"/>
  <c r="CM46" i="1" s="1"/>
  <c r="CN46" i="1" s="1"/>
  <c r="CG46" i="1"/>
  <c r="CH46" i="1" s="1"/>
  <c r="CI46" i="1" s="1"/>
  <c r="CA46" i="1"/>
  <c r="CB46" i="1" s="1"/>
  <c r="CC46" i="1" s="1"/>
  <c r="BV46" i="1"/>
  <c r="BW46" i="1" s="1"/>
  <c r="BX46" i="1" s="1"/>
  <c r="BQ46" i="1"/>
  <c r="BR46" i="1" s="1"/>
  <c r="BS46" i="1" s="1"/>
  <c r="BL46" i="1"/>
  <c r="BM46" i="1" s="1"/>
  <c r="BN46" i="1" s="1"/>
  <c r="BG46" i="1"/>
  <c r="BH46" i="1" s="1"/>
  <c r="BI46" i="1" s="1"/>
  <c r="BB46" i="1"/>
  <c r="BC46" i="1" s="1"/>
  <c r="BD46" i="1" s="1"/>
  <c r="AW46" i="1"/>
  <c r="AX46" i="1" s="1"/>
  <c r="AY46" i="1" s="1"/>
  <c r="AR46" i="1"/>
  <c r="AS46" i="1" s="1"/>
  <c r="AT46" i="1" s="1"/>
  <c r="AM46" i="1"/>
  <c r="AN46" i="1" s="1"/>
  <c r="AO46" i="1" s="1"/>
  <c r="AH46" i="1"/>
  <c r="AI46" i="1" s="1"/>
  <c r="AJ46" i="1" s="1"/>
  <c r="AE46" i="1"/>
  <c r="W46" i="1"/>
  <c r="X46" i="1" s="1"/>
  <c r="Y46" i="1" s="1"/>
  <c r="S46" i="1"/>
  <c r="N46" i="1"/>
  <c r="G46" i="1"/>
  <c r="H46" i="1" s="1"/>
  <c r="I46" i="1" s="1"/>
  <c r="NZ45" i="1"/>
  <c r="NU45" i="1"/>
  <c r="NP45" i="1"/>
  <c r="NK45" i="1"/>
  <c r="NF45" i="1"/>
  <c r="NA45" i="1"/>
  <c r="MV45" i="1"/>
  <c r="MQ45" i="1"/>
  <c r="MM45" i="1"/>
  <c r="MI45" i="1"/>
  <c r="MD45" i="1"/>
  <c r="LY45" i="1"/>
  <c r="LT45" i="1"/>
  <c r="LO45" i="1"/>
  <c r="LH45" i="1"/>
  <c r="LI45" i="1" s="1"/>
  <c r="LJ45" i="1" s="1"/>
  <c r="LC45" i="1"/>
  <c r="LD45" i="1" s="1"/>
  <c r="LE45" i="1" s="1"/>
  <c r="KZ45" i="1"/>
  <c r="KT45" i="1"/>
  <c r="KU45" i="1" s="1"/>
  <c r="KV45" i="1" s="1"/>
  <c r="KQ45" i="1"/>
  <c r="KM45" i="1"/>
  <c r="KI45" i="1"/>
  <c r="KE45" i="1"/>
  <c r="KA45" i="1"/>
  <c r="JT45" i="1"/>
  <c r="JU45" i="1" s="1"/>
  <c r="JV45" i="1" s="1"/>
  <c r="JO45" i="1"/>
  <c r="JP45" i="1" s="1"/>
  <c r="JQ45" i="1" s="1"/>
  <c r="JK45" i="1"/>
  <c r="JL45" i="1" s="1"/>
  <c r="JM45" i="1" s="1"/>
  <c r="JG45" i="1"/>
  <c r="JH45" i="1" s="1"/>
  <c r="JI45" i="1" s="1"/>
  <c r="JB45" i="1"/>
  <c r="JC45" i="1" s="1"/>
  <c r="JD45" i="1" s="1"/>
  <c r="IW45" i="1"/>
  <c r="IX45" i="1" s="1"/>
  <c r="IY45" i="1" s="1"/>
  <c r="IR45" i="1"/>
  <c r="IS45" i="1" s="1"/>
  <c r="IT45" i="1" s="1"/>
  <c r="IM45" i="1"/>
  <c r="IN45" i="1" s="1"/>
  <c r="IO45" i="1" s="1"/>
  <c r="IH45" i="1"/>
  <c r="II45" i="1" s="1"/>
  <c r="IJ45" i="1" s="1"/>
  <c r="IC45" i="1"/>
  <c r="ID45" i="1" s="1"/>
  <c r="IE45" i="1" s="1"/>
  <c r="HX45" i="1"/>
  <c r="HY45" i="1" s="1"/>
  <c r="HZ45" i="1" s="1"/>
  <c r="HS45" i="1"/>
  <c r="HT45" i="1" s="1"/>
  <c r="HU45" i="1" s="1"/>
  <c r="HN45" i="1"/>
  <c r="HO45" i="1" s="1"/>
  <c r="HP45" i="1" s="1"/>
  <c r="HI45" i="1"/>
  <c r="HJ45" i="1" s="1"/>
  <c r="HK45" i="1" s="1"/>
  <c r="HD45" i="1"/>
  <c r="HE45" i="1" s="1"/>
  <c r="HF45" i="1" s="1"/>
  <c r="GY45" i="1"/>
  <c r="GZ45" i="1" s="1"/>
  <c r="HA45" i="1" s="1"/>
  <c r="GT45" i="1"/>
  <c r="GU45" i="1" s="1"/>
  <c r="GV45" i="1" s="1"/>
  <c r="GO45" i="1"/>
  <c r="GP45" i="1" s="1"/>
  <c r="GQ45" i="1" s="1"/>
  <c r="GJ45" i="1"/>
  <c r="GK45" i="1" s="1"/>
  <c r="GL45" i="1" s="1"/>
  <c r="GE45" i="1"/>
  <c r="GF45" i="1" s="1"/>
  <c r="GG45" i="1" s="1"/>
  <c r="FZ45" i="1"/>
  <c r="GA45" i="1" s="1"/>
  <c r="GB45" i="1" s="1"/>
  <c r="FU45" i="1"/>
  <c r="FV45" i="1" s="1"/>
  <c r="FW45" i="1" s="1"/>
  <c r="FP45" i="1"/>
  <c r="FQ45" i="1" s="1"/>
  <c r="FR45" i="1" s="1"/>
  <c r="FK45" i="1"/>
  <c r="FL45" i="1" s="1"/>
  <c r="FM45" i="1" s="1"/>
  <c r="FF45" i="1"/>
  <c r="FG45" i="1" s="1"/>
  <c r="FH45" i="1" s="1"/>
  <c r="FA45" i="1"/>
  <c r="FB45" i="1" s="1"/>
  <c r="FC45" i="1" s="1"/>
  <c r="EV45" i="1"/>
  <c r="EW45" i="1" s="1"/>
  <c r="EX45" i="1" s="1"/>
  <c r="EQ45" i="1"/>
  <c r="ER45" i="1" s="1"/>
  <c r="ES45" i="1" s="1"/>
  <c r="EL45" i="1"/>
  <c r="EM45" i="1" s="1"/>
  <c r="EN45" i="1" s="1"/>
  <c r="EE45" i="1"/>
  <c r="EF45" i="1" s="1"/>
  <c r="EG45" i="1" s="1"/>
  <c r="DZ45" i="1"/>
  <c r="EA45" i="1" s="1"/>
  <c r="EB45" i="1" s="1"/>
  <c r="DU45" i="1"/>
  <c r="DV45" i="1" s="1"/>
  <c r="DW45" i="1" s="1"/>
  <c r="DP45" i="1"/>
  <c r="DQ45" i="1" s="1"/>
  <c r="DR45" i="1" s="1"/>
  <c r="DK45" i="1"/>
  <c r="DL45" i="1" s="1"/>
  <c r="DM45" i="1" s="1"/>
  <c r="DF45" i="1"/>
  <c r="DG45" i="1" s="1"/>
  <c r="DH45" i="1" s="1"/>
  <c r="DA45" i="1"/>
  <c r="DB45" i="1" s="1"/>
  <c r="DC45" i="1" s="1"/>
  <c r="CV45" i="1"/>
  <c r="CW45" i="1" s="1"/>
  <c r="CX45" i="1" s="1"/>
  <c r="CQ45" i="1"/>
  <c r="CR45" i="1" s="1"/>
  <c r="CS45" i="1" s="1"/>
  <c r="CL45" i="1"/>
  <c r="CM45" i="1" s="1"/>
  <c r="CN45" i="1" s="1"/>
  <c r="CG45" i="1"/>
  <c r="CH45" i="1" s="1"/>
  <c r="CI45" i="1" s="1"/>
  <c r="CA45" i="1"/>
  <c r="CB45" i="1" s="1"/>
  <c r="CC45" i="1" s="1"/>
  <c r="BV45" i="1"/>
  <c r="BW45" i="1" s="1"/>
  <c r="BX45" i="1" s="1"/>
  <c r="BQ45" i="1"/>
  <c r="BR45" i="1" s="1"/>
  <c r="BS45" i="1" s="1"/>
  <c r="BL45" i="1"/>
  <c r="BM45" i="1" s="1"/>
  <c r="BN45" i="1" s="1"/>
  <c r="BG45" i="1"/>
  <c r="BH45" i="1" s="1"/>
  <c r="BI45" i="1" s="1"/>
  <c r="BB45" i="1"/>
  <c r="BC45" i="1" s="1"/>
  <c r="BD45" i="1" s="1"/>
  <c r="AW45" i="1"/>
  <c r="AX45" i="1" s="1"/>
  <c r="AY45" i="1" s="1"/>
  <c r="AR45" i="1"/>
  <c r="AS45" i="1" s="1"/>
  <c r="AT45" i="1" s="1"/>
  <c r="AM45" i="1"/>
  <c r="AN45" i="1" s="1"/>
  <c r="AO45" i="1" s="1"/>
  <c r="AH45" i="1"/>
  <c r="AI45" i="1" s="1"/>
  <c r="AJ45" i="1" s="1"/>
  <c r="AC45" i="1"/>
  <c r="AD45" i="1" s="1"/>
  <c r="AE45" i="1" s="1"/>
  <c r="W45" i="1"/>
  <c r="X45" i="1" s="1"/>
  <c r="Y45" i="1" s="1"/>
  <c r="S45" i="1"/>
  <c r="N45" i="1"/>
  <c r="I45" i="1"/>
  <c r="NZ44" i="1"/>
  <c r="NU44" i="1"/>
  <c r="NP44" i="1"/>
  <c r="NK44" i="1"/>
  <c r="NF44" i="1"/>
  <c r="NA44" i="1"/>
  <c r="MV44" i="1"/>
  <c r="MQ44" i="1"/>
  <c r="MM44" i="1"/>
  <c r="MI44" i="1"/>
  <c r="MD44" i="1"/>
  <c r="LY44" i="1"/>
  <c r="LT44" i="1"/>
  <c r="LO44" i="1"/>
  <c r="LJ44" i="1"/>
  <c r="LC44" i="1"/>
  <c r="LD44" i="1" s="1"/>
  <c r="LE44" i="1" s="1"/>
  <c r="KZ44" i="1"/>
  <c r="KV44" i="1"/>
  <c r="KO44" i="1"/>
  <c r="KP44" i="1" s="1"/>
  <c r="KQ44" i="1" s="1"/>
  <c r="KM44" i="1"/>
  <c r="KG44" i="1"/>
  <c r="KH44" i="1" s="1"/>
  <c r="KI44" i="1" s="1"/>
  <c r="KE44" i="1"/>
  <c r="KA44" i="1"/>
  <c r="JV44" i="1"/>
  <c r="JQ44" i="1"/>
  <c r="JM44" i="1"/>
  <c r="JI44" i="1"/>
  <c r="JD44" i="1"/>
  <c r="IY44" i="1"/>
  <c r="IT44" i="1"/>
  <c r="IO44" i="1"/>
  <c r="IJ44" i="1"/>
  <c r="IE44" i="1"/>
  <c r="HZ44" i="1"/>
  <c r="HU44" i="1"/>
  <c r="HP44" i="1"/>
  <c r="HI44" i="1"/>
  <c r="HJ44" i="1" s="1"/>
  <c r="HK44" i="1" s="1"/>
  <c r="HD44" i="1"/>
  <c r="HE44" i="1" s="1"/>
  <c r="HF44" i="1" s="1"/>
  <c r="GY44" i="1"/>
  <c r="GZ44" i="1" s="1"/>
  <c r="HA44" i="1" s="1"/>
  <c r="GT44" i="1"/>
  <c r="GU44" i="1" s="1"/>
  <c r="GV44" i="1" s="1"/>
  <c r="GO44" i="1"/>
  <c r="GP44" i="1" s="1"/>
  <c r="GQ44" i="1" s="1"/>
  <c r="GJ44" i="1"/>
  <c r="GK44" i="1" s="1"/>
  <c r="GL44" i="1" s="1"/>
  <c r="GE44" i="1"/>
  <c r="GF44" i="1" s="1"/>
  <c r="GG44" i="1" s="1"/>
  <c r="FZ44" i="1"/>
  <c r="GA44" i="1" s="1"/>
  <c r="GB44" i="1" s="1"/>
  <c r="FU44" i="1"/>
  <c r="FV44" i="1" s="1"/>
  <c r="FW44" i="1" s="1"/>
  <c r="FP44" i="1"/>
  <c r="FQ44" i="1" s="1"/>
  <c r="FR44" i="1" s="1"/>
  <c r="FK44" i="1"/>
  <c r="FL44" i="1" s="1"/>
  <c r="FM44" i="1" s="1"/>
  <c r="FF44" i="1"/>
  <c r="FG44" i="1" s="1"/>
  <c r="FH44" i="1" s="1"/>
  <c r="FA44" i="1"/>
  <c r="FB44" i="1" s="1"/>
  <c r="FC44" i="1" s="1"/>
  <c r="EV44" i="1"/>
  <c r="EW44" i="1" s="1"/>
  <c r="EX44" i="1" s="1"/>
  <c r="EQ44" i="1"/>
  <c r="ER44" i="1" s="1"/>
  <c r="ES44" i="1" s="1"/>
  <c r="EL44" i="1"/>
  <c r="EM44" i="1" s="1"/>
  <c r="EN44" i="1" s="1"/>
  <c r="EE44" i="1"/>
  <c r="EF44" i="1" s="1"/>
  <c r="EG44" i="1" s="1"/>
  <c r="DZ44" i="1"/>
  <c r="EA44" i="1" s="1"/>
  <c r="EB44" i="1" s="1"/>
  <c r="DU44" i="1"/>
  <c r="DV44" i="1" s="1"/>
  <c r="DW44" i="1" s="1"/>
  <c r="DP44" i="1"/>
  <c r="DQ44" i="1" s="1"/>
  <c r="DR44" i="1" s="1"/>
  <c r="DK44" i="1"/>
  <c r="DL44" i="1" s="1"/>
  <c r="DM44" i="1" s="1"/>
  <c r="DF44" i="1"/>
  <c r="DG44" i="1" s="1"/>
  <c r="DH44" i="1" s="1"/>
  <c r="DA44" i="1"/>
  <c r="DB44" i="1" s="1"/>
  <c r="DC44" i="1" s="1"/>
  <c r="CV44" i="1"/>
  <c r="CW44" i="1" s="1"/>
  <c r="CX44" i="1" s="1"/>
  <c r="CQ44" i="1"/>
  <c r="CR44" i="1" s="1"/>
  <c r="CS44" i="1" s="1"/>
  <c r="CL44" i="1"/>
  <c r="CM44" i="1" s="1"/>
  <c r="CN44" i="1" s="1"/>
  <c r="CG44" i="1"/>
  <c r="CH44" i="1" s="1"/>
  <c r="CI44" i="1" s="1"/>
  <c r="CA44" i="1"/>
  <c r="CB44" i="1" s="1"/>
  <c r="CC44" i="1" s="1"/>
  <c r="BV44" i="1"/>
  <c r="BW44" i="1" s="1"/>
  <c r="BX44" i="1" s="1"/>
  <c r="BQ44" i="1"/>
  <c r="BR44" i="1" s="1"/>
  <c r="BS44" i="1" s="1"/>
  <c r="BL44" i="1"/>
  <c r="BM44" i="1" s="1"/>
  <c r="BN44" i="1" s="1"/>
  <c r="BG44" i="1"/>
  <c r="BH44" i="1" s="1"/>
  <c r="BI44" i="1" s="1"/>
  <c r="BB44" i="1"/>
  <c r="BC44" i="1" s="1"/>
  <c r="BD44" i="1" s="1"/>
  <c r="AW44" i="1"/>
  <c r="AX44" i="1" s="1"/>
  <c r="AY44" i="1" s="1"/>
  <c r="AR44" i="1"/>
  <c r="AS44" i="1" s="1"/>
  <c r="AT44" i="1" s="1"/>
  <c r="AM44" i="1"/>
  <c r="AN44" i="1" s="1"/>
  <c r="AO44" i="1" s="1"/>
  <c r="AH44" i="1"/>
  <c r="AI44" i="1" s="1"/>
  <c r="AJ44" i="1" s="1"/>
  <c r="AC44" i="1"/>
  <c r="AD44" i="1" s="1"/>
  <c r="AE44" i="1" s="1"/>
  <c r="W44" i="1"/>
  <c r="X44" i="1" s="1"/>
  <c r="Y44" i="1" s="1"/>
  <c r="S44" i="1"/>
  <c r="N44" i="1"/>
  <c r="I44" i="1"/>
  <c r="NZ43" i="1"/>
  <c r="NU43" i="1"/>
  <c r="NP43" i="1"/>
  <c r="NK43" i="1"/>
  <c r="NF43" i="1"/>
  <c r="NA43" i="1"/>
  <c r="MV43" i="1"/>
  <c r="MQ43" i="1"/>
  <c r="MM43" i="1"/>
  <c r="MI43" i="1"/>
  <c r="MD43" i="1"/>
  <c r="LY43" i="1"/>
  <c r="LT43" i="1"/>
  <c r="LO43" i="1"/>
  <c r="LJ43" i="1"/>
  <c r="LE43" i="1"/>
  <c r="KZ43" i="1"/>
  <c r="KV43" i="1"/>
  <c r="KQ43" i="1"/>
  <c r="KM43" i="1"/>
  <c r="KI43" i="1"/>
  <c r="KE43" i="1"/>
  <c r="KA43" i="1"/>
  <c r="JV43" i="1"/>
  <c r="JQ43" i="1"/>
  <c r="JM43" i="1"/>
  <c r="JI43" i="1"/>
  <c r="JD43" i="1"/>
  <c r="IY43" i="1"/>
  <c r="IT43" i="1"/>
  <c r="IO43" i="1"/>
  <c r="IJ43" i="1"/>
  <c r="IE43" i="1"/>
  <c r="HZ43" i="1"/>
  <c r="HU43" i="1"/>
  <c r="HP43" i="1"/>
  <c r="HK43" i="1"/>
  <c r="HD43" i="1"/>
  <c r="HE43" i="1" s="1"/>
  <c r="HF43" i="1" s="1"/>
  <c r="GY43" i="1"/>
  <c r="GZ43" i="1" s="1"/>
  <c r="HA43" i="1" s="1"/>
  <c r="GT43" i="1"/>
  <c r="GU43" i="1" s="1"/>
  <c r="GV43" i="1" s="1"/>
  <c r="GO43" i="1"/>
  <c r="GP43" i="1" s="1"/>
  <c r="GQ43" i="1" s="1"/>
  <c r="GJ43" i="1"/>
  <c r="GK43" i="1" s="1"/>
  <c r="GL43" i="1" s="1"/>
  <c r="GE43" i="1"/>
  <c r="GF43" i="1" s="1"/>
  <c r="GG43" i="1" s="1"/>
  <c r="FZ43" i="1"/>
  <c r="GA43" i="1" s="1"/>
  <c r="GB43" i="1" s="1"/>
  <c r="FU43" i="1"/>
  <c r="FV43" i="1" s="1"/>
  <c r="FW43" i="1" s="1"/>
  <c r="FP43" i="1"/>
  <c r="FQ43" i="1" s="1"/>
  <c r="FR43" i="1" s="1"/>
  <c r="FK43" i="1"/>
  <c r="FL43" i="1" s="1"/>
  <c r="FM43" i="1" s="1"/>
  <c r="FF43" i="1"/>
  <c r="FG43" i="1" s="1"/>
  <c r="FH43" i="1" s="1"/>
  <c r="FA43" i="1"/>
  <c r="FB43" i="1" s="1"/>
  <c r="FC43" i="1" s="1"/>
  <c r="EV43" i="1"/>
  <c r="EW43" i="1" s="1"/>
  <c r="EX43" i="1" s="1"/>
  <c r="EQ43" i="1"/>
  <c r="ER43" i="1" s="1"/>
  <c r="ES43" i="1" s="1"/>
  <c r="EL43" i="1"/>
  <c r="EM43" i="1" s="1"/>
  <c r="EN43" i="1" s="1"/>
  <c r="EE43" i="1"/>
  <c r="EF43" i="1" s="1"/>
  <c r="EG43" i="1" s="1"/>
  <c r="DZ43" i="1"/>
  <c r="EA43" i="1" s="1"/>
  <c r="EB43" i="1" s="1"/>
  <c r="DU43" i="1"/>
  <c r="DV43" i="1" s="1"/>
  <c r="DW43" i="1" s="1"/>
  <c r="DP43" i="1"/>
  <c r="DQ43" i="1" s="1"/>
  <c r="DR43" i="1" s="1"/>
  <c r="DK43" i="1"/>
  <c r="DL43" i="1" s="1"/>
  <c r="DM43" i="1" s="1"/>
  <c r="DF43" i="1"/>
  <c r="DG43" i="1" s="1"/>
  <c r="DH43" i="1" s="1"/>
  <c r="DA43" i="1"/>
  <c r="DB43" i="1" s="1"/>
  <c r="DC43" i="1" s="1"/>
  <c r="CV43" i="1"/>
  <c r="CW43" i="1" s="1"/>
  <c r="CX43" i="1" s="1"/>
  <c r="CQ43" i="1"/>
  <c r="CR43" i="1" s="1"/>
  <c r="CS43" i="1" s="1"/>
  <c r="CL43" i="1"/>
  <c r="CM43" i="1" s="1"/>
  <c r="CN43" i="1" s="1"/>
  <c r="CG43" i="1"/>
  <c r="CH43" i="1" s="1"/>
  <c r="CI43" i="1" s="1"/>
  <c r="CA43" i="1"/>
  <c r="CB43" i="1" s="1"/>
  <c r="CC43" i="1" s="1"/>
  <c r="BV43" i="1"/>
  <c r="BW43" i="1" s="1"/>
  <c r="BX43" i="1" s="1"/>
  <c r="BQ43" i="1"/>
  <c r="BR43" i="1" s="1"/>
  <c r="BS43" i="1" s="1"/>
  <c r="BL43" i="1"/>
  <c r="BM43" i="1" s="1"/>
  <c r="BN43" i="1" s="1"/>
  <c r="BG43" i="1"/>
  <c r="BH43" i="1" s="1"/>
  <c r="BI43" i="1" s="1"/>
  <c r="BB43" i="1"/>
  <c r="BC43" i="1" s="1"/>
  <c r="BD43" i="1" s="1"/>
  <c r="AW43" i="1"/>
  <c r="AX43" i="1" s="1"/>
  <c r="AY43" i="1" s="1"/>
  <c r="AR43" i="1"/>
  <c r="AS43" i="1" s="1"/>
  <c r="AT43" i="1" s="1"/>
  <c r="AM43" i="1"/>
  <c r="AN43" i="1" s="1"/>
  <c r="AO43" i="1" s="1"/>
  <c r="AH43" i="1"/>
  <c r="AI43" i="1" s="1"/>
  <c r="AJ43" i="1" s="1"/>
  <c r="AE43" i="1"/>
  <c r="W43" i="1"/>
  <c r="X43" i="1" s="1"/>
  <c r="Y43" i="1" s="1"/>
  <c r="S43" i="1"/>
  <c r="N43" i="1"/>
  <c r="G43" i="1"/>
  <c r="H43" i="1" s="1"/>
  <c r="I43" i="1" s="1"/>
  <c r="NZ42" i="1"/>
  <c r="NU42" i="1"/>
  <c r="NP42" i="1"/>
  <c r="NK42" i="1"/>
  <c r="NF42" i="1"/>
  <c r="NA42" i="1"/>
  <c r="MV42" i="1"/>
  <c r="MQ42" i="1"/>
  <c r="MM42" i="1"/>
  <c r="MI42" i="1"/>
  <c r="MB42" i="1"/>
  <c r="MC42" i="1" s="1"/>
  <c r="MD42" i="1" s="1"/>
  <c r="LW42" i="1"/>
  <c r="LX42" i="1" s="1"/>
  <c r="LY42" i="1" s="1"/>
  <c r="LR42" i="1"/>
  <c r="LS42" i="1" s="1"/>
  <c r="LT42" i="1" s="1"/>
  <c r="LM42" i="1"/>
  <c r="LN42" i="1" s="1"/>
  <c r="LO42" i="1" s="1"/>
  <c r="LH42" i="1"/>
  <c r="LI42" i="1" s="1"/>
  <c r="LJ42" i="1" s="1"/>
  <c r="LC42" i="1"/>
  <c r="LD42" i="1" s="1"/>
  <c r="LE42" i="1" s="1"/>
  <c r="KX42" i="1"/>
  <c r="KY42" i="1" s="1"/>
  <c r="KZ42" i="1" s="1"/>
  <c r="KT42" i="1"/>
  <c r="KU42" i="1" s="1"/>
  <c r="KV42" i="1" s="1"/>
  <c r="KQ42" i="1"/>
  <c r="KK42" i="1"/>
  <c r="KL42" i="1" s="1"/>
  <c r="KM42" i="1" s="1"/>
  <c r="KI42" i="1"/>
  <c r="KE42" i="1"/>
  <c r="KA42" i="1"/>
  <c r="JV42" i="1"/>
  <c r="JQ42" i="1"/>
  <c r="JM42" i="1"/>
  <c r="JI42" i="1"/>
  <c r="JB42" i="1"/>
  <c r="JC42" i="1" s="1"/>
  <c r="JD42" i="1" s="1"/>
  <c r="IW42" i="1"/>
  <c r="IX42" i="1" s="1"/>
  <c r="IY42" i="1" s="1"/>
  <c r="IR42" i="1"/>
  <c r="IS42" i="1" s="1"/>
  <c r="IT42" i="1" s="1"/>
  <c r="IM42" i="1"/>
  <c r="IN42" i="1" s="1"/>
  <c r="IO42" i="1" s="1"/>
  <c r="IH42" i="1"/>
  <c r="II42" i="1" s="1"/>
  <c r="IJ42" i="1" s="1"/>
  <c r="IC42" i="1"/>
  <c r="ID42" i="1" s="1"/>
  <c r="IE42" i="1" s="1"/>
  <c r="HX42" i="1"/>
  <c r="HY42" i="1" s="1"/>
  <c r="HZ42" i="1" s="1"/>
  <c r="HU42" i="1"/>
  <c r="HN42" i="1"/>
  <c r="HO42" i="1" s="1"/>
  <c r="HP42" i="1" s="1"/>
  <c r="HI42" i="1"/>
  <c r="HJ42" i="1" s="1"/>
  <c r="HK42" i="1" s="1"/>
  <c r="HD42" i="1"/>
  <c r="HE42" i="1" s="1"/>
  <c r="HF42" i="1" s="1"/>
  <c r="GY42" i="1"/>
  <c r="GZ42" i="1" s="1"/>
  <c r="HA42" i="1" s="1"/>
  <c r="GT42" i="1"/>
  <c r="GU42" i="1" s="1"/>
  <c r="GV42" i="1" s="1"/>
  <c r="GO42" i="1"/>
  <c r="GP42" i="1" s="1"/>
  <c r="GQ42" i="1" s="1"/>
  <c r="GJ42" i="1"/>
  <c r="GK42" i="1" s="1"/>
  <c r="GL42" i="1" s="1"/>
  <c r="GE42" i="1"/>
  <c r="GF42" i="1" s="1"/>
  <c r="GG42" i="1" s="1"/>
  <c r="FZ42" i="1"/>
  <c r="GA42" i="1" s="1"/>
  <c r="GB42" i="1" s="1"/>
  <c r="FU42" i="1"/>
  <c r="FV42" i="1" s="1"/>
  <c r="FW42" i="1" s="1"/>
  <c r="FP42" i="1"/>
  <c r="FQ42" i="1" s="1"/>
  <c r="FR42" i="1" s="1"/>
  <c r="FK42" i="1"/>
  <c r="FL42" i="1" s="1"/>
  <c r="FM42" i="1" s="1"/>
  <c r="FF42" i="1"/>
  <c r="FG42" i="1" s="1"/>
  <c r="FH42" i="1" s="1"/>
  <c r="FA42" i="1"/>
  <c r="FB42" i="1" s="1"/>
  <c r="FC42" i="1" s="1"/>
  <c r="EV42" i="1"/>
  <c r="EW42" i="1" s="1"/>
  <c r="EX42" i="1" s="1"/>
  <c r="EQ42" i="1"/>
  <c r="ER42" i="1" s="1"/>
  <c r="ES42" i="1" s="1"/>
  <c r="EL42" i="1"/>
  <c r="EM42" i="1" s="1"/>
  <c r="EN42" i="1" s="1"/>
  <c r="EE42" i="1"/>
  <c r="EF42" i="1" s="1"/>
  <c r="EG42" i="1" s="1"/>
  <c r="DZ42" i="1"/>
  <c r="EA42" i="1" s="1"/>
  <c r="EB42" i="1" s="1"/>
  <c r="DU42" i="1"/>
  <c r="DV42" i="1" s="1"/>
  <c r="DW42" i="1" s="1"/>
  <c r="DP42" i="1"/>
  <c r="DQ42" i="1" s="1"/>
  <c r="DR42" i="1" s="1"/>
  <c r="DK42" i="1"/>
  <c r="DL42" i="1" s="1"/>
  <c r="DM42" i="1" s="1"/>
  <c r="DF42" i="1"/>
  <c r="DG42" i="1" s="1"/>
  <c r="DH42" i="1" s="1"/>
  <c r="DA42" i="1"/>
  <c r="DB42" i="1" s="1"/>
  <c r="DC42" i="1" s="1"/>
  <c r="CV42" i="1"/>
  <c r="CW42" i="1" s="1"/>
  <c r="CX42" i="1" s="1"/>
  <c r="CQ42" i="1"/>
  <c r="CR42" i="1" s="1"/>
  <c r="CS42" i="1" s="1"/>
  <c r="CL42" i="1"/>
  <c r="CM42" i="1" s="1"/>
  <c r="CN42" i="1" s="1"/>
  <c r="CG42" i="1"/>
  <c r="CH42" i="1" s="1"/>
  <c r="CI42" i="1" s="1"/>
  <c r="CA42" i="1"/>
  <c r="CB42" i="1" s="1"/>
  <c r="CC42" i="1" s="1"/>
  <c r="BV42" i="1"/>
  <c r="BW42" i="1" s="1"/>
  <c r="BX42" i="1" s="1"/>
  <c r="BQ42" i="1"/>
  <c r="BR42" i="1" s="1"/>
  <c r="BS42" i="1" s="1"/>
  <c r="BL42" i="1"/>
  <c r="BM42" i="1" s="1"/>
  <c r="BN42" i="1" s="1"/>
  <c r="BG42" i="1"/>
  <c r="BH42" i="1" s="1"/>
  <c r="BI42" i="1" s="1"/>
  <c r="BB42" i="1"/>
  <c r="BC42" i="1" s="1"/>
  <c r="BD42" i="1" s="1"/>
  <c r="AW42" i="1"/>
  <c r="AX42" i="1" s="1"/>
  <c r="AY42" i="1" s="1"/>
  <c r="AR42" i="1"/>
  <c r="AS42" i="1" s="1"/>
  <c r="AT42" i="1" s="1"/>
  <c r="AM42" i="1"/>
  <c r="AN42" i="1" s="1"/>
  <c r="AO42" i="1" s="1"/>
  <c r="AH42" i="1"/>
  <c r="AI42" i="1" s="1"/>
  <c r="AJ42" i="1" s="1"/>
  <c r="AC42" i="1"/>
  <c r="AD42" i="1" s="1"/>
  <c r="AE42" i="1" s="1"/>
  <c r="W42" i="1"/>
  <c r="X42" i="1" s="1"/>
  <c r="Y42" i="1" s="1"/>
  <c r="S42" i="1"/>
  <c r="N42" i="1"/>
  <c r="I42" i="1"/>
  <c r="NZ41" i="1"/>
  <c r="NU41" i="1"/>
  <c r="NP41" i="1"/>
  <c r="NK41" i="1"/>
  <c r="NF41" i="1"/>
  <c r="NA41" i="1"/>
  <c r="MV41" i="1"/>
  <c r="MQ41" i="1"/>
  <c r="MM41" i="1"/>
  <c r="MI41" i="1"/>
  <c r="MD41" i="1"/>
  <c r="LY41" i="1"/>
  <c r="LT41" i="1"/>
  <c r="LO41" i="1"/>
  <c r="LJ41" i="1"/>
  <c r="LC41" i="1"/>
  <c r="LD41" i="1" s="1"/>
  <c r="LE41" i="1" s="1"/>
  <c r="KX41" i="1"/>
  <c r="KY41" i="1" s="1"/>
  <c r="KZ41" i="1" s="1"/>
  <c r="KV41" i="1"/>
  <c r="KQ41" i="1"/>
  <c r="KM41" i="1"/>
  <c r="KI41" i="1"/>
  <c r="KE41" i="1"/>
  <c r="KA41" i="1"/>
  <c r="JV41" i="1"/>
  <c r="JQ41" i="1"/>
  <c r="JM41" i="1"/>
  <c r="JI41" i="1"/>
  <c r="JB41" i="1"/>
  <c r="JC41" i="1" s="1"/>
  <c r="JD41" i="1" s="1"/>
  <c r="IW41" i="1"/>
  <c r="IX41" i="1" s="1"/>
  <c r="IY41" i="1" s="1"/>
  <c r="IR41" i="1"/>
  <c r="IS41" i="1" s="1"/>
  <c r="IT41" i="1" s="1"/>
  <c r="IM41" i="1"/>
  <c r="IN41" i="1" s="1"/>
  <c r="IO41" i="1" s="1"/>
  <c r="IH41" i="1"/>
  <c r="II41" i="1" s="1"/>
  <c r="IJ41" i="1" s="1"/>
  <c r="IC41" i="1"/>
  <c r="ID41" i="1" s="1"/>
  <c r="IE41" i="1" s="1"/>
  <c r="HX41" i="1"/>
  <c r="HY41" i="1" s="1"/>
  <c r="HZ41" i="1" s="1"/>
  <c r="HS41" i="1"/>
  <c r="HT41" i="1" s="1"/>
  <c r="HU41" i="1" s="1"/>
  <c r="HN41" i="1"/>
  <c r="HO41" i="1" s="1"/>
  <c r="HP41" i="1" s="1"/>
  <c r="HI41" i="1"/>
  <c r="HJ41" i="1" s="1"/>
  <c r="HK41" i="1" s="1"/>
  <c r="HD41" i="1"/>
  <c r="HE41" i="1" s="1"/>
  <c r="HF41" i="1" s="1"/>
  <c r="GY41" i="1"/>
  <c r="GZ41" i="1" s="1"/>
  <c r="HA41" i="1" s="1"/>
  <c r="GT41" i="1"/>
  <c r="GU41" i="1" s="1"/>
  <c r="GV41" i="1" s="1"/>
  <c r="GO41" i="1"/>
  <c r="GP41" i="1" s="1"/>
  <c r="GQ41" i="1" s="1"/>
  <c r="GJ41" i="1"/>
  <c r="GK41" i="1" s="1"/>
  <c r="GL41" i="1" s="1"/>
  <c r="GE41" i="1"/>
  <c r="GF41" i="1" s="1"/>
  <c r="GG41" i="1" s="1"/>
  <c r="FZ41" i="1"/>
  <c r="GA41" i="1" s="1"/>
  <c r="GB41" i="1" s="1"/>
  <c r="FU41" i="1"/>
  <c r="FV41" i="1" s="1"/>
  <c r="FW41" i="1" s="1"/>
  <c r="FP41" i="1"/>
  <c r="FQ41" i="1" s="1"/>
  <c r="FR41" i="1" s="1"/>
  <c r="FK41" i="1"/>
  <c r="FL41" i="1" s="1"/>
  <c r="FM41" i="1" s="1"/>
  <c r="FF41" i="1"/>
  <c r="FG41" i="1" s="1"/>
  <c r="FH41" i="1" s="1"/>
  <c r="FA41" i="1"/>
  <c r="FB41" i="1" s="1"/>
  <c r="FC41" i="1" s="1"/>
  <c r="EV41" i="1"/>
  <c r="EW41" i="1" s="1"/>
  <c r="EX41" i="1" s="1"/>
  <c r="EQ41" i="1"/>
  <c r="ER41" i="1" s="1"/>
  <c r="ES41" i="1" s="1"/>
  <c r="EL41" i="1"/>
  <c r="EM41" i="1" s="1"/>
  <c r="EN41" i="1" s="1"/>
  <c r="EE41" i="1"/>
  <c r="EF41" i="1" s="1"/>
  <c r="EG41" i="1" s="1"/>
  <c r="DZ41" i="1"/>
  <c r="EA41" i="1" s="1"/>
  <c r="EB41" i="1" s="1"/>
  <c r="DU41" i="1"/>
  <c r="DV41" i="1" s="1"/>
  <c r="DW41" i="1" s="1"/>
  <c r="DP41" i="1"/>
  <c r="DQ41" i="1" s="1"/>
  <c r="DR41" i="1" s="1"/>
  <c r="DK41" i="1"/>
  <c r="DL41" i="1" s="1"/>
  <c r="DM41" i="1" s="1"/>
  <c r="DF41" i="1"/>
  <c r="DG41" i="1" s="1"/>
  <c r="DH41" i="1" s="1"/>
  <c r="DA41" i="1"/>
  <c r="DB41" i="1" s="1"/>
  <c r="DC41" i="1" s="1"/>
  <c r="CV41" i="1"/>
  <c r="CW41" i="1" s="1"/>
  <c r="CX41" i="1" s="1"/>
  <c r="CQ41" i="1"/>
  <c r="CR41" i="1" s="1"/>
  <c r="CS41" i="1" s="1"/>
  <c r="CL41" i="1"/>
  <c r="CM41" i="1" s="1"/>
  <c r="CN41" i="1" s="1"/>
  <c r="CG41" i="1"/>
  <c r="CH41" i="1" s="1"/>
  <c r="CI41" i="1" s="1"/>
  <c r="CA41" i="1"/>
  <c r="CB41" i="1" s="1"/>
  <c r="CC41" i="1" s="1"/>
  <c r="BV41" i="1"/>
  <c r="BW41" i="1" s="1"/>
  <c r="BX41" i="1" s="1"/>
  <c r="BQ41" i="1"/>
  <c r="BR41" i="1" s="1"/>
  <c r="BS41" i="1" s="1"/>
  <c r="BL41" i="1"/>
  <c r="BM41" i="1" s="1"/>
  <c r="BN41" i="1" s="1"/>
  <c r="BG41" i="1"/>
  <c r="BH41" i="1" s="1"/>
  <c r="BI41" i="1" s="1"/>
  <c r="BB41" i="1"/>
  <c r="BC41" i="1" s="1"/>
  <c r="BD41" i="1" s="1"/>
  <c r="AW41" i="1"/>
  <c r="AX41" i="1" s="1"/>
  <c r="AY41" i="1" s="1"/>
  <c r="AR41" i="1"/>
  <c r="AS41" i="1" s="1"/>
  <c r="AT41" i="1" s="1"/>
  <c r="AM41" i="1"/>
  <c r="AN41" i="1" s="1"/>
  <c r="AO41" i="1" s="1"/>
  <c r="AH41" i="1"/>
  <c r="AI41" i="1" s="1"/>
  <c r="AJ41" i="1" s="1"/>
  <c r="AC41" i="1"/>
  <c r="AD41" i="1" s="1"/>
  <c r="AE41" i="1" s="1"/>
  <c r="W41" i="1"/>
  <c r="X41" i="1" s="1"/>
  <c r="Y41" i="1" s="1"/>
  <c r="S41" i="1"/>
  <c r="N41" i="1"/>
  <c r="I41" i="1"/>
  <c r="NZ40" i="1"/>
  <c r="NU40" i="1"/>
  <c r="NP40" i="1"/>
  <c r="NK40" i="1"/>
  <c r="NF40" i="1"/>
  <c r="NA40" i="1"/>
  <c r="MV40" i="1"/>
  <c r="MQ40" i="1"/>
  <c r="MM40" i="1"/>
  <c r="MI40" i="1"/>
  <c r="MD40" i="1"/>
  <c r="LW40" i="1"/>
  <c r="LX40" i="1" s="1"/>
  <c r="LY40" i="1" s="1"/>
  <c r="LR40" i="1"/>
  <c r="LS40" i="1" s="1"/>
  <c r="LT40" i="1" s="1"/>
  <c r="LO40" i="1"/>
  <c r="LJ40" i="1"/>
  <c r="LC40" i="1"/>
  <c r="LD40" i="1" s="1"/>
  <c r="LE40" i="1" s="1"/>
  <c r="KZ40" i="1"/>
  <c r="KT40" i="1"/>
  <c r="KU40" i="1" s="1"/>
  <c r="KV40" i="1" s="1"/>
  <c r="KQ40" i="1"/>
  <c r="KM40" i="1"/>
  <c r="KI40" i="1"/>
  <c r="KE40" i="1"/>
  <c r="KA40" i="1"/>
  <c r="JV40" i="1"/>
  <c r="JQ40" i="1"/>
  <c r="JM40" i="1"/>
  <c r="JI40" i="1"/>
  <c r="JB40" i="1"/>
  <c r="JC40" i="1" s="1"/>
  <c r="JD40" i="1" s="1"/>
  <c r="IW40" i="1"/>
  <c r="IX40" i="1" s="1"/>
  <c r="IY40" i="1" s="1"/>
  <c r="IR40" i="1"/>
  <c r="IS40" i="1" s="1"/>
  <c r="IT40" i="1" s="1"/>
  <c r="IM40" i="1"/>
  <c r="IN40" i="1" s="1"/>
  <c r="IO40" i="1" s="1"/>
  <c r="IH40" i="1"/>
  <c r="II40" i="1" s="1"/>
  <c r="IJ40" i="1" s="1"/>
  <c r="IC40" i="1"/>
  <c r="ID40" i="1" s="1"/>
  <c r="IE40" i="1" s="1"/>
  <c r="HX40" i="1"/>
  <c r="HY40" i="1" s="1"/>
  <c r="HZ40" i="1" s="1"/>
  <c r="HU40" i="1"/>
  <c r="HN40" i="1"/>
  <c r="HO40" i="1" s="1"/>
  <c r="HP40" i="1" s="1"/>
  <c r="HI40" i="1"/>
  <c r="HJ40" i="1" s="1"/>
  <c r="HK40" i="1" s="1"/>
  <c r="HD40" i="1"/>
  <c r="HE40" i="1" s="1"/>
  <c r="HF40" i="1" s="1"/>
  <c r="GY40" i="1"/>
  <c r="GZ40" i="1" s="1"/>
  <c r="HA40" i="1" s="1"/>
  <c r="GT40" i="1"/>
  <c r="GU40" i="1" s="1"/>
  <c r="GV40" i="1" s="1"/>
  <c r="GO40" i="1"/>
  <c r="GP40" i="1" s="1"/>
  <c r="GQ40" i="1" s="1"/>
  <c r="GJ40" i="1"/>
  <c r="GK40" i="1" s="1"/>
  <c r="GL40" i="1" s="1"/>
  <c r="GE40" i="1"/>
  <c r="GF40" i="1" s="1"/>
  <c r="GG40" i="1" s="1"/>
  <c r="FZ40" i="1"/>
  <c r="GA40" i="1" s="1"/>
  <c r="GB40" i="1" s="1"/>
  <c r="FU40" i="1"/>
  <c r="FV40" i="1" s="1"/>
  <c r="FW40" i="1" s="1"/>
  <c r="FP40" i="1"/>
  <c r="FQ40" i="1" s="1"/>
  <c r="FR40" i="1" s="1"/>
  <c r="FK40" i="1"/>
  <c r="FL40" i="1" s="1"/>
  <c r="FM40" i="1" s="1"/>
  <c r="FF40" i="1"/>
  <c r="FG40" i="1" s="1"/>
  <c r="FH40" i="1" s="1"/>
  <c r="FA40" i="1"/>
  <c r="FB40" i="1" s="1"/>
  <c r="FC40" i="1" s="1"/>
  <c r="EV40" i="1"/>
  <c r="EW40" i="1" s="1"/>
  <c r="EX40" i="1" s="1"/>
  <c r="EQ40" i="1"/>
  <c r="ER40" i="1" s="1"/>
  <c r="ES40" i="1" s="1"/>
  <c r="EL40" i="1"/>
  <c r="EM40" i="1" s="1"/>
  <c r="EN40" i="1" s="1"/>
  <c r="EE40" i="1"/>
  <c r="EF40" i="1" s="1"/>
  <c r="EG40" i="1" s="1"/>
  <c r="DZ40" i="1"/>
  <c r="EA40" i="1" s="1"/>
  <c r="EB40" i="1" s="1"/>
  <c r="DU40" i="1"/>
  <c r="DV40" i="1" s="1"/>
  <c r="DW40" i="1" s="1"/>
  <c r="DP40" i="1"/>
  <c r="DQ40" i="1" s="1"/>
  <c r="DR40" i="1" s="1"/>
  <c r="DK40" i="1"/>
  <c r="DL40" i="1" s="1"/>
  <c r="DM40" i="1" s="1"/>
  <c r="DF40" i="1"/>
  <c r="DG40" i="1" s="1"/>
  <c r="DH40" i="1" s="1"/>
  <c r="DA40" i="1"/>
  <c r="DB40" i="1" s="1"/>
  <c r="DC40" i="1" s="1"/>
  <c r="CV40" i="1"/>
  <c r="CW40" i="1" s="1"/>
  <c r="CX40" i="1" s="1"/>
  <c r="CQ40" i="1"/>
  <c r="CR40" i="1" s="1"/>
  <c r="CS40" i="1" s="1"/>
  <c r="CL40" i="1"/>
  <c r="CM40" i="1" s="1"/>
  <c r="CN40" i="1" s="1"/>
  <c r="CG40" i="1"/>
  <c r="CH40" i="1" s="1"/>
  <c r="CI40" i="1" s="1"/>
  <c r="CA40" i="1"/>
  <c r="CB40" i="1" s="1"/>
  <c r="CC40" i="1" s="1"/>
  <c r="BV40" i="1"/>
  <c r="BW40" i="1" s="1"/>
  <c r="BX40" i="1" s="1"/>
  <c r="BQ40" i="1"/>
  <c r="BR40" i="1" s="1"/>
  <c r="BS40" i="1" s="1"/>
  <c r="BL40" i="1"/>
  <c r="BM40" i="1" s="1"/>
  <c r="BN40" i="1" s="1"/>
  <c r="BG40" i="1"/>
  <c r="BH40" i="1" s="1"/>
  <c r="BI40" i="1" s="1"/>
  <c r="BB40" i="1"/>
  <c r="BC40" i="1" s="1"/>
  <c r="BD40" i="1" s="1"/>
  <c r="AW40" i="1"/>
  <c r="AX40" i="1" s="1"/>
  <c r="AY40" i="1" s="1"/>
  <c r="AR40" i="1"/>
  <c r="AS40" i="1" s="1"/>
  <c r="AT40" i="1" s="1"/>
  <c r="AM40" i="1"/>
  <c r="AN40" i="1" s="1"/>
  <c r="AO40" i="1" s="1"/>
  <c r="AH40" i="1"/>
  <c r="AI40" i="1" s="1"/>
  <c r="AJ40" i="1" s="1"/>
  <c r="AC40" i="1"/>
  <c r="AD40" i="1" s="1"/>
  <c r="AE40" i="1" s="1"/>
  <c r="W40" i="1"/>
  <c r="X40" i="1" s="1"/>
  <c r="Y40" i="1" s="1"/>
  <c r="S40" i="1"/>
  <c r="N40" i="1"/>
  <c r="I40" i="1"/>
  <c r="NZ39" i="1"/>
  <c r="NU39" i="1"/>
  <c r="NP39" i="1"/>
  <c r="NK39" i="1"/>
  <c r="NF39" i="1"/>
  <c r="NA39" i="1"/>
  <c r="MV39" i="1"/>
  <c r="MQ39" i="1"/>
  <c r="MM39" i="1"/>
  <c r="MI39" i="1"/>
  <c r="MD39" i="1"/>
  <c r="LY39" i="1"/>
  <c r="LT39" i="1"/>
  <c r="LO39" i="1"/>
  <c r="LJ39" i="1"/>
  <c r="LC39" i="1"/>
  <c r="LD39" i="1" s="1"/>
  <c r="LE39" i="1" s="1"/>
  <c r="KX39" i="1"/>
  <c r="KY39" i="1" s="1"/>
  <c r="KZ39" i="1" s="1"/>
  <c r="KT39" i="1"/>
  <c r="KU39" i="1" s="1"/>
  <c r="KV39" i="1" s="1"/>
  <c r="KQ39" i="1"/>
  <c r="KM39" i="1"/>
  <c r="KI39" i="1"/>
  <c r="KE39" i="1"/>
  <c r="JY39" i="1"/>
  <c r="JZ39" i="1" s="1"/>
  <c r="KA39" i="1" s="1"/>
  <c r="JV39" i="1"/>
  <c r="JQ39" i="1"/>
  <c r="JM39" i="1"/>
  <c r="JI39" i="1"/>
  <c r="JB39" i="1"/>
  <c r="JC39" i="1" s="1"/>
  <c r="JD39" i="1" s="1"/>
  <c r="IW39" i="1"/>
  <c r="IX39" i="1" s="1"/>
  <c r="IY39" i="1" s="1"/>
  <c r="IR39" i="1"/>
  <c r="IS39" i="1" s="1"/>
  <c r="IT39" i="1" s="1"/>
  <c r="IM39" i="1"/>
  <c r="IN39" i="1" s="1"/>
  <c r="IO39" i="1" s="1"/>
  <c r="IH39" i="1"/>
  <c r="II39" i="1" s="1"/>
  <c r="IJ39" i="1" s="1"/>
  <c r="IC39" i="1"/>
  <c r="ID39" i="1" s="1"/>
  <c r="IE39" i="1" s="1"/>
  <c r="HX39" i="1"/>
  <c r="HY39" i="1" s="1"/>
  <c r="HZ39" i="1" s="1"/>
  <c r="HS39" i="1"/>
  <c r="HT39" i="1" s="1"/>
  <c r="HU39" i="1" s="1"/>
  <c r="HN39" i="1"/>
  <c r="HO39" i="1" s="1"/>
  <c r="HP39" i="1" s="1"/>
  <c r="HI39" i="1"/>
  <c r="HJ39" i="1" s="1"/>
  <c r="HK39" i="1" s="1"/>
  <c r="HD39" i="1"/>
  <c r="HE39" i="1" s="1"/>
  <c r="HF39" i="1" s="1"/>
  <c r="GY39" i="1"/>
  <c r="GZ39" i="1" s="1"/>
  <c r="HA39" i="1" s="1"/>
  <c r="GT39" i="1"/>
  <c r="GU39" i="1" s="1"/>
  <c r="GV39" i="1" s="1"/>
  <c r="GO39" i="1"/>
  <c r="GP39" i="1" s="1"/>
  <c r="GQ39" i="1" s="1"/>
  <c r="GJ39" i="1"/>
  <c r="GK39" i="1" s="1"/>
  <c r="GL39" i="1" s="1"/>
  <c r="GE39" i="1"/>
  <c r="GF39" i="1" s="1"/>
  <c r="GG39" i="1" s="1"/>
  <c r="FZ39" i="1"/>
  <c r="GA39" i="1" s="1"/>
  <c r="GB39" i="1" s="1"/>
  <c r="FU39" i="1"/>
  <c r="FV39" i="1" s="1"/>
  <c r="FW39" i="1" s="1"/>
  <c r="FP39" i="1"/>
  <c r="FQ39" i="1" s="1"/>
  <c r="FR39" i="1" s="1"/>
  <c r="FK39" i="1"/>
  <c r="FL39" i="1" s="1"/>
  <c r="FM39" i="1" s="1"/>
  <c r="FF39" i="1"/>
  <c r="FG39" i="1" s="1"/>
  <c r="FH39" i="1" s="1"/>
  <c r="FA39" i="1"/>
  <c r="FB39" i="1" s="1"/>
  <c r="FC39" i="1" s="1"/>
  <c r="EV39" i="1"/>
  <c r="EW39" i="1" s="1"/>
  <c r="EX39" i="1" s="1"/>
  <c r="EQ39" i="1"/>
  <c r="ER39" i="1" s="1"/>
  <c r="ES39" i="1" s="1"/>
  <c r="EL39" i="1"/>
  <c r="EM39" i="1" s="1"/>
  <c r="EN39" i="1" s="1"/>
  <c r="EE39" i="1"/>
  <c r="EF39" i="1" s="1"/>
  <c r="EG39" i="1" s="1"/>
  <c r="DZ39" i="1"/>
  <c r="EA39" i="1" s="1"/>
  <c r="EB39" i="1" s="1"/>
  <c r="DU39" i="1"/>
  <c r="DV39" i="1" s="1"/>
  <c r="DW39" i="1" s="1"/>
  <c r="DP39" i="1"/>
  <c r="DQ39" i="1" s="1"/>
  <c r="DR39" i="1" s="1"/>
  <c r="DK39" i="1"/>
  <c r="DL39" i="1" s="1"/>
  <c r="DM39" i="1" s="1"/>
  <c r="DF39" i="1"/>
  <c r="DG39" i="1" s="1"/>
  <c r="DH39" i="1" s="1"/>
  <c r="DA39" i="1"/>
  <c r="DB39" i="1" s="1"/>
  <c r="DC39" i="1" s="1"/>
  <c r="CV39" i="1"/>
  <c r="CW39" i="1" s="1"/>
  <c r="CX39" i="1" s="1"/>
  <c r="CQ39" i="1"/>
  <c r="CR39" i="1" s="1"/>
  <c r="CS39" i="1" s="1"/>
  <c r="CL39" i="1"/>
  <c r="CM39" i="1" s="1"/>
  <c r="CN39" i="1" s="1"/>
  <c r="CG39" i="1"/>
  <c r="CH39" i="1" s="1"/>
  <c r="CI39" i="1" s="1"/>
  <c r="CA39" i="1"/>
  <c r="CB39" i="1" s="1"/>
  <c r="CC39" i="1" s="1"/>
  <c r="BV39" i="1"/>
  <c r="BW39" i="1" s="1"/>
  <c r="BX39" i="1" s="1"/>
  <c r="BQ39" i="1"/>
  <c r="BR39" i="1" s="1"/>
  <c r="BS39" i="1" s="1"/>
  <c r="BL39" i="1"/>
  <c r="BM39" i="1" s="1"/>
  <c r="BN39" i="1" s="1"/>
  <c r="BG39" i="1"/>
  <c r="BH39" i="1" s="1"/>
  <c r="BI39" i="1" s="1"/>
  <c r="BB39" i="1"/>
  <c r="BC39" i="1" s="1"/>
  <c r="BD39" i="1" s="1"/>
  <c r="AW39" i="1"/>
  <c r="AX39" i="1" s="1"/>
  <c r="AY39" i="1" s="1"/>
  <c r="AR39" i="1"/>
  <c r="AS39" i="1" s="1"/>
  <c r="AT39" i="1" s="1"/>
  <c r="AM39" i="1"/>
  <c r="AN39" i="1" s="1"/>
  <c r="AO39" i="1" s="1"/>
  <c r="AH39" i="1"/>
  <c r="AI39" i="1" s="1"/>
  <c r="AJ39" i="1" s="1"/>
  <c r="AC39" i="1"/>
  <c r="AD39" i="1" s="1"/>
  <c r="AE39" i="1" s="1"/>
  <c r="W39" i="1"/>
  <c r="X39" i="1" s="1"/>
  <c r="Y39" i="1" s="1"/>
  <c r="S39" i="1"/>
  <c r="N39" i="1"/>
  <c r="I39" i="1"/>
  <c r="NZ38" i="1"/>
  <c r="NU38" i="1"/>
  <c r="NP38" i="1"/>
  <c r="NK38" i="1"/>
  <c r="NF38" i="1"/>
  <c r="NA38" i="1"/>
  <c r="MV38" i="1"/>
  <c r="MQ38" i="1"/>
  <c r="MM38" i="1"/>
  <c r="MI38" i="1"/>
  <c r="MD38" i="1"/>
  <c r="LY38" i="1"/>
  <c r="LT38" i="1"/>
  <c r="LO38" i="1"/>
  <c r="LJ38" i="1"/>
  <c r="LE38" i="1"/>
  <c r="KZ38" i="1"/>
  <c r="KV38" i="1"/>
  <c r="KQ38" i="1"/>
  <c r="KM38" i="1"/>
  <c r="KG38" i="1"/>
  <c r="KH38" i="1" s="1"/>
  <c r="KI38" i="1" s="1"/>
  <c r="KE38" i="1"/>
  <c r="KA38" i="1"/>
  <c r="JV38" i="1"/>
  <c r="JQ38" i="1"/>
  <c r="JM38" i="1"/>
  <c r="JI38" i="1"/>
  <c r="JB38" i="1"/>
  <c r="JC38" i="1" s="1"/>
  <c r="JD38" i="1" s="1"/>
  <c r="IW38" i="1"/>
  <c r="IX38" i="1" s="1"/>
  <c r="IY38" i="1" s="1"/>
  <c r="IR38" i="1"/>
  <c r="IS38" i="1" s="1"/>
  <c r="IT38" i="1" s="1"/>
  <c r="IM38" i="1"/>
  <c r="IN38" i="1" s="1"/>
  <c r="IO38" i="1" s="1"/>
  <c r="IH38" i="1"/>
  <c r="II38" i="1" s="1"/>
  <c r="IJ38" i="1" s="1"/>
  <c r="IC38" i="1"/>
  <c r="ID38" i="1" s="1"/>
  <c r="IE38" i="1" s="1"/>
  <c r="HX38" i="1"/>
  <c r="HY38" i="1" s="1"/>
  <c r="HZ38" i="1" s="1"/>
  <c r="HU38" i="1"/>
  <c r="HP38" i="1"/>
  <c r="HI38" i="1"/>
  <c r="HJ38" i="1" s="1"/>
  <c r="HK38" i="1" s="1"/>
  <c r="HD38" i="1"/>
  <c r="HE38" i="1" s="1"/>
  <c r="HF38" i="1" s="1"/>
  <c r="GY38" i="1"/>
  <c r="GZ38" i="1" s="1"/>
  <c r="HA38" i="1" s="1"/>
  <c r="GT38" i="1"/>
  <c r="GU38" i="1" s="1"/>
  <c r="GV38" i="1" s="1"/>
  <c r="GO38" i="1"/>
  <c r="GP38" i="1" s="1"/>
  <c r="GQ38" i="1" s="1"/>
  <c r="GJ38" i="1"/>
  <c r="GK38" i="1" s="1"/>
  <c r="GL38" i="1" s="1"/>
  <c r="GE38" i="1"/>
  <c r="GF38" i="1" s="1"/>
  <c r="GG38" i="1" s="1"/>
  <c r="FZ38" i="1"/>
  <c r="GA38" i="1" s="1"/>
  <c r="GB38" i="1" s="1"/>
  <c r="FU38" i="1"/>
  <c r="FV38" i="1" s="1"/>
  <c r="FW38" i="1" s="1"/>
  <c r="FP38" i="1"/>
  <c r="FQ38" i="1" s="1"/>
  <c r="FR38" i="1" s="1"/>
  <c r="FK38" i="1"/>
  <c r="FL38" i="1" s="1"/>
  <c r="FM38" i="1" s="1"/>
  <c r="FF38" i="1"/>
  <c r="FG38" i="1" s="1"/>
  <c r="FH38" i="1" s="1"/>
  <c r="FA38" i="1"/>
  <c r="FB38" i="1" s="1"/>
  <c r="FC38" i="1" s="1"/>
  <c r="EV38" i="1"/>
  <c r="EW38" i="1" s="1"/>
  <c r="EX38" i="1" s="1"/>
  <c r="EQ38" i="1"/>
  <c r="ER38" i="1" s="1"/>
  <c r="ES38" i="1" s="1"/>
  <c r="EL38" i="1"/>
  <c r="EM38" i="1" s="1"/>
  <c r="EN38" i="1" s="1"/>
  <c r="EE38" i="1"/>
  <c r="EF38" i="1" s="1"/>
  <c r="EG38" i="1" s="1"/>
  <c r="DZ38" i="1"/>
  <c r="EA38" i="1" s="1"/>
  <c r="EB38" i="1" s="1"/>
  <c r="DU38" i="1"/>
  <c r="DV38" i="1" s="1"/>
  <c r="DW38" i="1" s="1"/>
  <c r="DP38" i="1"/>
  <c r="DQ38" i="1" s="1"/>
  <c r="DR38" i="1" s="1"/>
  <c r="DK38" i="1"/>
  <c r="DL38" i="1" s="1"/>
  <c r="DM38" i="1" s="1"/>
  <c r="DF38" i="1"/>
  <c r="DG38" i="1" s="1"/>
  <c r="DH38" i="1" s="1"/>
  <c r="DA38" i="1"/>
  <c r="DB38" i="1" s="1"/>
  <c r="DC38" i="1" s="1"/>
  <c r="CV38" i="1"/>
  <c r="CW38" i="1" s="1"/>
  <c r="CX38" i="1" s="1"/>
  <c r="CQ38" i="1"/>
  <c r="CR38" i="1" s="1"/>
  <c r="CS38" i="1" s="1"/>
  <c r="CL38" i="1"/>
  <c r="CM38" i="1" s="1"/>
  <c r="CN38" i="1" s="1"/>
  <c r="CG38" i="1"/>
  <c r="CH38" i="1" s="1"/>
  <c r="CI38" i="1" s="1"/>
  <c r="CA38" i="1"/>
  <c r="CB38" i="1" s="1"/>
  <c r="CC38" i="1" s="1"/>
  <c r="BV38" i="1"/>
  <c r="BW38" i="1" s="1"/>
  <c r="BX38" i="1" s="1"/>
  <c r="BQ38" i="1"/>
  <c r="BR38" i="1" s="1"/>
  <c r="BS38" i="1" s="1"/>
  <c r="BL38" i="1"/>
  <c r="BM38" i="1" s="1"/>
  <c r="BN38" i="1" s="1"/>
  <c r="BG38" i="1"/>
  <c r="BH38" i="1" s="1"/>
  <c r="BI38" i="1" s="1"/>
  <c r="BB38" i="1"/>
  <c r="BC38" i="1" s="1"/>
  <c r="BD38" i="1" s="1"/>
  <c r="AW38" i="1"/>
  <c r="AX38" i="1" s="1"/>
  <c r="AY38" i="1" s="1"/>
  <c r="AR38" i="1"/>
  <c r="AS38" i="1" s="1"/>
  <c r="AT38" i="1" s="1"/>
  <c r="AM38" i="1"/>
  <c r="AN38" i="1" s="1"/>
  <c r="AO38" i="1" s="1"/>
  <c r="AH38" i="1"/>
  <c r="AI38" i="1" s="1"/>
  <c r="AJ38" i="1" s="1"/>
  <c r="AC38" i="1"/>
  <c r="AD38" i="1" s="1"/>
  <c r="AE38" i="1" s="1"/>
  <c r="W38" i="1"/>
  <c r="X38" i="1" s="1"/>
  <c r="Y38" i="1" s="1"/>
  <c r="Q38" i="1"/>
  <c r="R38" i="1" s="1"/>
  <c r="S38" i="1" s="1"/>
  <c r="N38" i="1"/>
  <c r="I38" i="1"/>
  <c r="NZ37" i="1"/>
  <c r="NU37" i="1"/>
  <c r="NP37" i="1"/>
  <c r="NK37" i="1"/>
  <c r="NF37" i="1"/>
  <c r="NA37" i="1"/>
  <c r="MV37" i="1"/>
  <c r="MQ37" i="1"/>
  <c r="MM37" i="1"/>
  <c r="MI37" i="1"/>
  <c r="MD37" i="1"/>
  <c r="LY37" i="1"/>
  <c r="LT37" i="1"/>
  <c r="LO37" i="1"/>
  <c r="LJ37" i="1"/>
  <c r="LC37" i="1"/>
  <c r="LD37" i="1" s="1"/>
  <c r="LE37" i="1" s="1"/>
  <c r="KZ37" i="1"/>
  <c r="KV37" i="1"/>
  <c r="KQ37" i="1"/>
  <c r="KM37" i="1"/>
  <c r="KI37" i="1"/>
  <c r="KE37" i="1"/>
  <c r="KA37" i="1"/>
  <c r="JV37" i="1"/>
  <c r="JQ37" i="1"/>
  <c r="JM37" i="1"/>
  <c r="JI37" i="1"/>
  <c r="JD37" i="1"/>
  <c r="IY37" i="1"/>
  <c r="IT37" i="1"/>
  <c r="IO37" i="1"/>
  <c r="IJ37" i="1"/>
  <c r="IE37" i="1"/>
  <c r="HZ37" i="1"/>
  <c r="HU37" i="1"/>
  <c r="HP37" i="1"/>
  <c r="HI37" i="1"/>
  <c r="HJ37" i="1" s="1"/>
  <c r="HK37" i="1" s="1"/>
  <c r="HD37" i="1"/>
  <c r="HE37" i="1" s="1"/>
  <c r="HF37" i="1" s="1"/>
  <c r="GY37" i="1"/>
  <c r="GZ37" i="1" s="1"/>
  <c r="HA37" i="1" s="1"/>
  <c r="GT37" i="1"/>
  <c r="GU37" i="1" s="1"/>
  <c r="GV37" i="1" s="1"/>
  <c r="GO37" i="1"/>
  <c r="GP37" i="1" s="1"/>
  <c r="GQ37" i="1" s="1"/>
  <c r="GJ37" i="1"/>
  <c r="GK37" i="1" s="1"/>
  <c r="GL37" i="1" s="1"/>
  <c r="GE37" i="1"/>
  <c r="GF37" i="1" s="1"/>
  <c r="GG37" i="1" s="1"/>
  <c r="FZ37" i="1"/>
  <c r="GA37" i="1" s="1"/>
  <c r="GB37" i="1" s="1"/>
  <c r="FU37" i="1"/>
  <c r="FV37" i="1" s="1"/>
  <c r="FW37" i="1" s="1"/>
  <c r="FP37" i="1"/>
  <c r="FQ37" i="1" s="1"/>
  <c r="FR37" i="1" s="1"/>
  <c r="FK37" i="1"/>
  <c r="FL37" i="1" s="1"/>
  <c r="FM37" i="1" s="1"/>
  <c r="FF37" i="1"/>
  <c r="FG37" i="1" s="1"/>
  <c r="FH37" i="1" s="1"/>
  <c r="FA37" i="1"/>
  <c r="FB37" i="1" s="1"/>
  <c r="FC37" i="1" s="1"/>
  <c r="EV37" i="1"/>
  <c r="EW37" i="1" s="1"/>
  <c r="EX37" i="1" s="1"/>
  <c r="EQ37" i="1"/>
  <c r="ER37" i="1" s="1"/>
  <c r="ES37" i="1" s="1"/>
  <c r="EL37" i="1"/>
  <c r="EM37" i="1" s="1"/>
  <c r="EN37" i="1" s="1"/>
  <c r="EE37" i="1"/>
  <c r="EF37" i="1" s="1"/>
  <c r="EG37" i="1" s="1"/>
  <c r="DZ37" i="1"/>
  <c r="EA37" i="1" s="1"/>
  <c r="EB37" i="1" s="1"/>
  <c r="DU37" i="1"/>
  <c r="DV37" i="1" s="1"/>
  <c r="DW37" i="1" s="1"/>
  <c r="DP37" i="1"/>
  <c r="DQ37" i="1" s="1"/>
  <c r="DR37" i="1" s="1"/>
  <c r="DK37" i="1"/>
  <c r="DL37" i="1" s="1"/>
  <c r="DM37" i="1" s="1"/>
  <c r="DF37" i="1"/>
  <c r="DG37" i="1" s="1"/>
  <c r="DH37" i="1" s="1"/>
  <c r="DA37" i="1"/>
  <c r="DB37" i="1" s="1"/>
  <c r="DC37" i="1" s="1"/>
  <c r="CV37" i="1"/>
  <c r="CW37" i="1" s="1"/>
  <c r="CX37" i="1" s="1"/>
  <c r="CQ37" i="1"/>
  <c r="CR37" i="1" s="1"/>
  <c r="CS37" i="1" s="1"/>
  <c r="CL37" i="1"/>
  <c r="CM37" i="1" s="1"/>
  <c r="CN37" i="1" s="1"/>
  <c r="CG37" i="1"/>
  <c r="CH37" i="1" s="1"/>
  <c r="CI37" i="1" s="1"/>
  <c r="CA37" i="1"/>
  <c r="CB37" i="1" s="1"/>
  <c r="CC37" i="1" s="1"/>
  <c r="BV37" i="1"/>
  <c r="BW37" i="1" s="1"/>
  <c r="BX37" i="1" s="1"/>
  <c r="BQ37" i="1"/>
  <c r="BR37" i="1" s="1"/>
  <c r="BS37" i="1" s="1"/>
  <c r="BL37" i="1"/>
  <c r="BM37" i="1" s="1"/>
  <c r="BN37" i="1" s="1"/>
  <c r="BG37" i="1"/>
  <c r="BH37" i="1" s="1"/>
  <c r="BI37" i="1" s="1"/>
  <c r="BB37" i="1"/>
  <c r="BC37" i="1" s="1"/>
  <c r="BD37" i="1" s="1"/>
  <c r="AW37" i="1"/>
  <c r="AX37" i="1" s="1"/>
  <c r="AY37" i="1" s="1"/>
  <c r="AR37" i="1"/>
  <c r="AS37" i="1" s="1"/>
  <c r="AT37" i="1" s="1"/>
  <c r="AM37" i="1"/>
  <c r="AN37" i="1" s="1"/>
  <c r="AO37" i="1" s="1"/>
  <c r="AH37" i="1"/>
  <c r="AI37" i="1" s="1"/>
  <c r="AJ37" i="1" s="1"/>
  <c r="AC37" i="1"/>
  <c r="AD37" i="1" s="1"/>
  <c r="AE37" i="1" s="1"/>
  <c r="W37" i="1"/>
  <c r="X37" i="1" s="1"/>
  <c r="Y37" i="1" s="1"/>
  <c r="Q37" i="1"/>
  <c r="R37" i="1" s="1"/>
  <c r="S37" i="1" s="1"/>
  <c r="L37" i="1"/>
  <c r="M37" i="1" s="1"/>
  <c r="N37" i="1" s="1"/>
  <c r="I37" i="1"/>
  <c r="NZ36" i="1"/>
  <c r="NU36" i="1"/>
  <c r="NP36" i="1"/>
  <c r="NK36" i="1"/>
  <c r="NF36" i="1"/>
  <c r="NA36" i="1"/>
  <c r="MV36" i="1"/>
  <c r="MQ36" i="1"/>
  <c r="MM36" i="1"/>
  <c r="MI36" i="1"/>
  <c r="MB36" i="1"/>
  <c r="MC36" i="1" s="1"/>
  <c r="MD36" i="1" s="1"/>
  <c r="LY36" i="1"/>
  <c r="LT36" i="1"/>
  <c r="LO36" i="1"/>
  <c r="LJ36" i="1"/>
  <c r="LE36" i="1"/>
  <c r="KX36" i="1"/>
  <c r="KY36" i="1" s="1"/>
  <c r="KZ36" i="1" s="1"/>
  <c r="KT36" i="1"/>
  <c r="KU36" i="1" s="1"/>
  <c r="KV36" i="1" s="1"/>
  <c r="KQ36" i="1"/>
  <c r="KM36" i="1"/>
  <c r="KI36" i="1"/>
  <c r="KE36" i="1"/>
  <c r="KA36" i="1"/>
  <c r="JV36" i="1"/>
  <c r="JQ36" i="1"/>
  <c r="JM36" i="1"/>
  <c r="JI36" i="1"/>
  <c r="JD36" i="1"/>
  <c r="IY36" i="1"/>
  <c r="IT36" i="1"/>
  <c r="IO36" i="1"/>
  <c r="IJ36" i="1"/>
  <c r="IE36" i="1"/>
  <c r="HZ36" i="1"/>
  <c r="HU36" i="1"/>
  <c r="HP36" i="1"/>
  <c r="HI36" i="1"/>
  <c r="HJ36" i="1" s="1"/>
  <c r="HK36" i="1" s="1"/>
  <c r="HD36" i="1"/>
  <c r="HE36" i="1" s="1"/>
  <c r="HF36" i="1" s="1"/>
  <c r="GY36" i="1"/>
  <c r="GZ36" i="1" s="1"/>
  <c r="HA36" i="1" s="1"/>
  <c r="GT36" i="1"/>
  <c r="GU36" i="1" s="1"/>
  <c r="GV36" i="1" s="1"/>
  <c r="GO36" i="1"/>
  <c r="GP36" i="1" s="1"/>
  <c r="GQ36" i="1" s="1"/>
  <c r="GJ36" i="1"/>
  <c r="GK36" i="1" s="1"/>
  <c r="GL36" i="1" s="1"/>
  <c r="GE36" i="1"/>
  <c r="GF36" i="1" s="1"/>
  <c r="GG36" i="1" s="1"/>
  <c r="FZ36" i="1"/>
  <c r="GA36" i="1" s="1"/>
  <c r="GB36" i="1" s="1"/>
  <c r="FU36" i="1"/>
  <c r="FV36" i="1" s="1"/>
  <c r="FW36" i="1" s="1"/>
  <c r="FP36" i="1"/>
  <c r="FQ36" i="1" s="1"/>
  <c r="FR36" i="1" s="1"/>
  <c r="FK36" i="1"/>
  <c r="FL36" i="1" s="1"/>
  <c r="FM36" i="1" s="1"/>
  <c r="FF36" i="1"/>
  <c r="FG36" i="1" s="1"/>
  <c r="FH36" i="1" s="1"/>
  <c r="FA36" i="1"/>
  <c r="FB36" i="1" s="1"/>
  <c r="FC36" i="1" s="1"/>
  <c r="EV36" i="1"/>
  <c r="EW36" i="1" s="1"/>
  <c r="EX36" i="1" s="1"/>
  <c r="EQ36" i="1"/>
  <c r="ER36" i="1" s="1"/>
  <c r="ES36" i="1" s="1"/>
  <c r="EL36" i="1"/>
  <c r="EM36" i="1" s="1"/>
  <c r="EN36" i="1" s="1"/>
  <c r="EE36" i="1"/>
  <c r="EF36" i="1" s="1"/>
  <c r="EG36" i="1" s="1"/>
  <c r="DZ36" i="1"/>
  <c r="EA36" i="1" s="1"/>
  <c r="EB36" i="1" s="1"/>
  <c r="DU36" i="1"/>
  <c r="DV36" i="1" s="1"/>
  <c r="DW36" i="1" s="1"/>
  <c r="DP36" i="1"/>
  <c r="DQ36" i="1" s="1"/>
  <c r="DR36" i="1" s="1"/>
  <c r="DK36" i="1"/>
  <c r="DL36" i="1" s="1"/>
  <c r="DM36" i="1" s="1"/>
  <c r="DF36" i="1"/>
  <c r="DG36" i="1" s="1"/>
  <c r="DH36" i="1" s="1"/>
  <c r="DA36" i="1"/>
  <c r="DB36" i="1" s="1"/>
  <c r="DC36" i="1" s="1"/>
  <c r="CV36" i="1"/>
  <c r="CW36" i="1" s="1"/>
  <c r="CX36" i="1" s="1"/>
  <c r="CQ36" i="1"/>
  <c r="CR36" i="1" s="1"/>
  <c r="CS36" i="1" s="1"/>
  <c r="CL36" i="1"/>
  <c r="CM36" i="1" s="1"/>
  <c r="CN36" i="1" s="1"/>
  <c r="CG36" i="1"/>
  <c r="CH36" i="1" s="1"/>
  <c r="CI36" i="1" s="1"/>
  <c r="CA36" i="1"/>
  <c r="CB36" i="1" s="1"/>
  <c r="CC36" i="1" s="1"/>
  <c r="BV36" i="1"/>
  <c r="BW36" i="1" s="1"/>
  <c r="BX36" i="1" s="1"/>
  <c r="BQ36" i="1"/>
  <c r="BR36" i="1" s="1"/>
  <c r="BS36" i="1" s="1"/>
  <c r="BL36" i="1"/>
  <c r="BM36" i="1" s="1"/>
  <c r="BN36" i="1" s="1"/>
  <c r="BG36" i="1"/>
  <c r="BH36" i="1" s="1"/>
  <c r="BI36" i="1" s="1"/>
  <c r="BB36" i="1"/>
  <c r="BC36" i="1" s="1"/>
  <c r="BD36" i="1" s="1"/>
  <c r="AW36" i="1"/>
  <c r="AX36" i="1" s="1"/>
  <c r="AY36" i="1" s="1"/>
  <c r="AR36" i="1"/>
  <c r="AS36" i="1" s="1"/>
  <c r="AT36" i="1" s="1"/>
  <c r="AM36" i="1"/>
  <c r="AN36" i="1" s="1"/>
  <c r="AO36" i="1" s="1"/>
  <c r="AH36" i="1"/>
  <c r="AI36" i="1" s="1"/>
  <c r="AJ36" i="1" s="1"/>
  <c r="AC36" i="1"/>
  <c r="AD36" i="1" s="1"/>
  <c r="AE36" i="1" s="1"/>
  <c r="W36" i="1"/>
  <c r="X36" i="1" s="1"/>
  <c r="Y36" i="1" s="1"/>
  <c r="Q36" i="1"/>
  <c r="R36" i="1" s="1"/>
  <c r="S36" i="1" s="1"/>
  <c r="N36" i="1"/>
  <c r="I36" i="1"/>
  <c r="NZ35" i="1"/>
  <c r="NU35" i="1"/>
  <c r="NP35" i="1"/>
  <c r="NK35" i="1"/>
  <c r="NF35" i="1"/>
  <c r="NA35" i="1"/>
  <c r="MV35" i="1"/>
  <c r="MQ35" i="1"/>
  <c r="MM35" i="1"/>
  <c r="MI35" i="1"/>
  <c r="MD35" i="1"/>
  <c r="LY35" i="1"/>
  <c r="LT35" i="1"/>
  <c r="LO35" i="1"/>
  <c r="LJ35" i="1"/>
  <c r="LE35" i="1"/>
  <c r="KZ35" i="1"/>
  <c r="KV35" i="1"/>
  <c r="KQ35" i="1"/>
  <c r="KM35" i="1"/>
  <c r="KI35" i="1"/>
  <c r="KE35" i="1"/>
  <c r="JY35" i="1"/>
  <c r="JZ35" i="1" s="1"/>
  <c r="KA35" i="1" s="1"/>
  <c r="JV35" i="1"/>
  <c r="JQ35" i="1"/>
  <c r="JM35" i="1"/>
  <c r="JI35" i="1"/>
  <c r="JD35" i="1"/>
  <c r="IY35" i="1"/>
  <c r="IT35" i="1"/>
  <c r="IO35" i="1"/>
  <c r="IJ35" i="1"/>
  <c r="IE35" i="1"/>
  <c r="HZ35" i="1"/>
  <c r="HU35" i="1"/>
  <c r="HP35" i="1"/>
  <c r="HK35" i="1"/>
  <c r="HD35" i="1"/>
  <c r="HE35" i="1" s="1"/>
  <c r="HF35" i="1" s="1"/>
  <c r="GY35" i="1"/>
  <c r="GZ35" i="1" s="1"/>
  <c r="HA35" i="1" s="1"/>
  <c r="GT35" i="1"/>
  <c r="GU35" i="1" s="1"/>
  <c r="GV35" i="1" s="1"/>
  <c r="GO35" i="1"/>
  <c r="GP35" i="1" s="1"/>
  <c r="GQ35" i="1" s="1"/>
  <c r="GJ35" i="1"/>
  <c r="GK35" i="1" s="1"/>
  <c r="GL35" i="1" s="1"/>
  <c r="GE35" i="1"/>
  <c r="GF35" i="1" s="1"/>
  <c r="GG35" i="1" s="1"/>
  <c r="FZ35" i="1"/>
  <c r="GA35" i="1" s="1"/>
  <c r="GB35" i="1" s="1"/>
  <c r="FU35" i="1"/>
  <c r="FV35" i="1" s="1"/>
  <c r="FW35" i="1" s="1"/>
  <c r="FP35" i="1"/>
  <c r="FQ35" i="1" s="1"/>
  <c r="FR35" i="1" s="1"/>
  <c r="FK35" i="1"/>
  <c r="FL35" i="1" s="1"/>
  <c r="FM35" i="1" s="1"/>
  <c r="FF35" i="1"/>
  <c r="FG35" i="1" s="1"/>
  <c r="FH35" i="1" s="1"/>
  <c r="FA35" i="1"/>
  <c r="FB35" i="1" s="1"/>
  <c r="FC35" i="1" s="1"/>
  <c r="EV35" i="1"/>
  <c r="EW35" i="1" s="1"/>
  <c r="EX35" i="1" s="1"/>
  <c r="EQ35" i="1"/>
  <c r="ER35" i="1" s="1"/>
  <c r="ES35" i="1" s="1"/>
  <c r="EL35" i="1"/>
  <c r="EM35" i="1" s="1"/>
  <c r="EN35" i="1" s="1"/>
  <c r="EE35" i="1"/>
  <c r="EF35" i="1" s="1"/>
  <c r="EG35" i="1" s="1"/>
  <c r="DZ35" i="1"/>
  <c r="EA35" i="1" s="1"/>
  <c r="EB35" i="1" s="1"/>
  <c r="DU35" i="1"/>
  <c r="DV35" i="1" s="1"/>
  <c r="DW35" i="1" s="1"/>
  <c r="DP35" i="1"/>
  <c r="DQ35" i="1" s="1"/>
  <c r="DR35" i="1" s="1"/>
  <c r="DL35" i="1"/>
  <c r="DM35" i="1" s="1"/>
  <c r="DK35" i="1"/>
  <c r="DF35" i="1"/>
  <c r="DG35" i="1" s="1"/>
  <c r="DH35" i="1" s="1"/>
  <c r="DA35" i="1"/>
  <c r="DB35" i="1" s="1"/>
  <c r="DC35" i="1" s="1"/>
  <c r="CV35" i="1"/>
  <c r="CW35" i="1" s="1"/>
  <c r="CX35" i="1" s="1"/>
  <c r="CQ35" i="1"/>
  <c r="CR35" i="1" s="1"/>
  <c r="CS35" i="1" s="1"/>
  <c r="CL35" i="1"/>
  <c r="CM35" i="1" s="1"/>
  <c r="CN35" i="1" s="1"/>
  <c r="CG35" i="1"/>
  <c r="CH35" i="1" s="1"/>
  <c r="CI35" i="1" s="1"/>
  <c r="CA35" i="1"/>
  <c r="CB35" i="1" s="1"/>
  <c r="CC35" i="1" s="1"/>
  <c r="BV35" i="1"/>
  <c r="BW35" i="1" s="1"/>
  <c r="BX35" i="1" s="1"/>
  <c r="BQ35" i="1"/>
  <c r="BR35" i="1" s="1"/>
  <c r="BS35" i="1" s="1"/>
  <c r="BL35" i="1"/>
  <c r="BM35" i="1" s="1"/>
  <c r="BN35" i="1" s="1"/>
  <c r="BG35" i="1"/>
  <c r="BH35" i="1" s="1"/>
  <c r="BI35" i="1" s="1"/>
  <c r="BB35" i="1"/>
  <c r="BC35" i="1" s="1"/>
  <c r="BD35" i="1" s="1"/>
  <c r="AW35" i="1"/>
  <c r="AX35" i="1" s="1"/>
  <c r="AY35" i="1" s="1"/>
  <c r="AR35" i="1"/>
  <c r="AS35" i="1" s="1"/>
  <c r="AT35" i="1" s="1"/>
  <c r="AM35" i="1"/>
  <c r="AN35" i="1" s="1"/>
  <c r="AO35" i="1" s="1"/>
  <c r="AH35" i="1"/>
  <c r="AI35" i="1" s="1"/>
  <c r="AJ35" i="1" s="1"/>
  <c r="AE35" i="1"/>
  <c r="W35" i="1"/>
  <c r="X35" i="1" s="1"/>
  <c r="Y35" i="1" s="1"/>
  <c r="S35" i="1"/>
  <c r="N35" i="1"/>
  <c r="I35" i="1"/>
  <c r="NZ34" i="1"/>
  <c r="NS34" i="1"/>
  <c r="NT34" i="1" s="1"/>
  <c r="NU34" i="1" s="1"/>
  <c r="NP34" i="1"/>
  <c r="NK34" i="1"/>
  <c r="NF34" i="1"/>
  <c r="NA34" i="1"/>
  <c r="MV34" i="1"/>
  <c r="MQ34" i="1"/>
  <c r="MM34" i="1"/>
  <c r="MI34" i="1"/>
  <c r="MD34" i="1"/>
  <c r="LY34" i="1"/>
  <c r="LT34" i="1"/>
  <c r="LO34" i="1"/>
  <c r="LJ34" i="1"/>
  <c r="LE34" i="1"/>
  <c r="KZ34" i="1"/>
  <c r="KV34" i="1"/>
  <c r="KQ34" i="1"/>
  <c r="KM34" i="1"/>
  <c r="KI34" i="1"/>
  <c r="KE34" i="1"/>
  <c r="KA34" i="1"/>
  <c r="JV34" i="1"/>
  <c r="JQ34" i="1"/>
  <c r="JM34" i="1"/>
  <c r="JI34" i="1"/>
  <c r="JD34" i="1"/>
  <c r="IY34" i="1"/>
  <c r="IT34" i="1"/>
  <c r="IO34" i="1"/>
  <c r="IJ34" i="1"/>
  <c r="IE34" i="1"/>
  <c r="HZ34" i="1"/>
  <c r="HU34" i="1"/>
  <c r="HP34" i="1"/>
  <c r="HI34" i="1"/>
  <c r="HJ34" i="1" s="1"/>
  <c r="HK34" i="1" s="1"/>
  <c r="HD34" i="1"/>
  <c r="HE34" i="1" s="1"/>
  <c r="HF34" i="1" s="1"/>
  <c r="GY34" i="1"/>
  <c r="GZ34" i="1" s="1"/>
  <c r="HA34" i="1" s="1"/>
  <c r="GT34" i="1"/>
  <c r="GU34" i="1" s="1"/>
  <c r="GV34" i="1" s="1"/>
  <c r="GO34" i="1"/>
  <c r="GP34" i="1" s="1"/>
  <c r="GQ34" i="1" s="1"/>
  <c r="GJ34" i="1"/>
  <c r="GK34" i="1" s="1"/>
  <c r="GL34" i="1" s="1"/>
  <c r="GE34" i="1"/>
  <c r="GF34" i="1" s="1"/>
  <c r="GG34" i="1" s="1"/>
  <c r="FZ34" i="1"/>
  <c r="GA34" i="1" s="1"/>
  <c r="GB34" i="1" s="1"/>
  <c r="FU34" i="1"/>
  <c r="FV34" i="1" s="1"/>
  <c r="FW34" i="1" s="1"/>
  <c r="FP34" i="1"/>
  <c r="FQ34" i="1" s="1"/>
  <c r="FR34" i="1" s="1"/>
  <c r="FK34" i="1"/>
  <c r="FL34" i="1" s="1"/>
  <c r="FM34" i="1" s="1"/>
  <c r="FF34" i="1"/>
  <c r="FG34" i="1" s="1"/>
  <c r="FH34" i="1" s="1"/>
  <c r="FA34" i="1"/>
  <c r="FB34" i="1" s="1"/>
  <c r="FC34" i="1" s="1"/>
  <c r="EV34" i="1"/>
  <c r="EW34" i="1" s="1"/>
  <c r="EX34" i="1" s="1"/>
  <c r="EQ34" i="1"/>
  <c r="ER34" i="1" s="1"/>
  <c r="ES34" i="1" s="1"/>
  <c r="EL34" i="1"/>
  <c r="EM34" i="1" s="1"/>
  <c r="EN34" i="1" s="1"/>
  <c r="EE34" i="1"/>
  <c r="EF34" i="1" s="1"/>
  <c r="EG34" i="1" s="1"/>
  <c r="DZ34" i="1"/>
  <c r="EA34" i="1" s="1"/>
  <c r="EB34" i="1" s="1"/>
  <c r="DU34" i="1"/>
  <c r="DV34" i="1" s="1"/>
  <c r="DW34" i="1" s="1"/>
  <c r="DP34" i="1"/>
  <c r="DQ34" i="1" s="1"/>
  <c r="DR34" i="1" s="1"/>
  <c r="DK34" i="1"/>
  <c r="DL34" i="1" s="1"/>
  <c r="DM34" i="1" s="1"/>
  <c r="DF34" i="1"/>
  <c r="DG34" i="1" s="1"/>
  <c r="DH34" i="1" s="1"/>
  <c r="DA34" i="1"/>
  <c r="DB34" i="1" s="1"/>
  <c r="DC34" i="1" s="1"/>
  <c r="CV34" i="1"/>
  <c r="CW34" i="1" s="1"/>
  <c r="CX34" i="1" s="1"/>
  <c r="CQ34" i="1"/>
  <c r="CR34" i="1" s="1"/>
  <c r="CS34" i="1" s="1"/>
  <c r="CL34" i="1"/>
  <c r="CM34" i="1" s="1"/>
  <c r="CN34" i="1" s="1"/>
  <c r="CG34" i="1"/>
  <c r="CH34" i="1" s="1"/>
  <c r="CI34" i="1" s="1"/>
  <c r="CA34" i="1"/>
  <c r="CB34" i="1" s="1"/>
  <c r="CC34" i="1" s="1"/>
  <c r="BV34" i="1"/>
  <c r="BW34" i="1" s="1"/>
  <c r="BX34" i="1" s="1"/>
  <c r="BQ34" i="1"/>
  <c r="BR34" i="1" s="1"/>
  <c r="BS34" i="1" s="1"/>
  <c r="BL34" i="1"/>
  <c r="BM34" i="1" s="1"/>
  <c r="BN34" i="1" s="1"/>
  <c r="BG34" i="1"/>
  <c r="BH34" i="1" s="1"/>
  <c r="BI34" i="1" s="1"/>
  <c r="BB34" i="1"/>
  <c r="BC34" i="1" s="1"/>
  <c r="BD34" i="1" s="1"/>
  <c r="AW34" i="1"/>
  <c r="AX34" i="1" s="1"/>
  <c r="AY34" i="1" s="1"/>
  <c r="AR34" i="1"/>
  <c r="AS34" i="1" s="1"/>
  <c r="AT34" i="1" s="1"/>
  <c r="AM34" i="1"/>
  <c r="AN34" i="1" s="1"/>
  <c r="AO34" i="1" s="1"/>
  <c r="AH34" i="1"/>
  <c r="AI34" i="1" s="1"/>
  <c r="AJ34" i="1" s="1"/>
  <c r="AC34" i="1"/>
  <c r="AD34" i="1" s="1"/>
  <c r="AE34" i="1" s="1"/>
  <c r="W34" i="1"/>
  <c r="X34" i="1" s="1"/>
  <c r="Y34" i="1" s="1"/>
  <c r="Q34" i="1"/>
  <c r="R34" i="1" s="1"/>
  <c r="S34" i="1" s="1"/>
  <c r="N34" i="1"/>
  <c r="I34" i="1"/>
  <c r="NZ33" i="1"/>
  <c r="NU33" i="1"/>
  <c r="NP33" i="1"/>
  <c r="NK33" i="1"/>
  <c r="NF33" i="1"/>
  <c r="NA33" i="1"/>
  <c r="MV33" i="1"/>
  <c r="MQ33" i="1"/>
  <c r="MM33" i="1"/>
  <c r="MI33" i="1"/>
  <c r="MD33" i="1"/>
  <c r="LY33" i="1"/>
  <c r="LT33" i="1"/>
  <c r="LO33" i="1"/>
  <c r="LJ33" i="1"/>
  <c r="LC33" i="1"/>
  <c r="LD33" i="1" s="1"/>
  <c r="LE33" i="1" s="1"/>
  <c r="KX33" i="1"/>
  <c r="KY33" i="1" s="1"/>
  <c r="KZ33" i="1" s="1"/>
  <c r="KV33" i="1"/>
  <c r="KQ33" i="1"/>
  <c r="KM33" i="1"/>
  <c r="KI33" i="1"/>
  <c r="KE33" i="1"/>
  <c r="KA33" i="1"/>
  <c r="JV33" i="1"/>
  <c r="JQ33" i="1"/>
  <c r="JM33" i="1"/>
  <c r="JI33" i="1"/>
  <c r="JB33" i="1"/>
  <c r="JC33" i="1" s="1"/>
  <c r="JD33" i="1" s="1"/>
  <c r="IW33" i="1"/>
  <c r="IX33" i="1" s="1"/>
  <c r="IY33" i="1" s="1"/>
  <c r="IR33" i="1"/>
  <c r="IS33" i="1" s="1"/>
  <c r="IT33" i="1" s="1"/>
  <c r="IM33" i="1"/>
  <c r="IN33" i="1" s="1"/>
  <c r="IO33" i="1" s="1"/>
  <c r="IH33" i="1"/>
  <c r="II33" i="1" s="1"/>
  <c r="IJ33" i="1" s="1"/>
  <c r="IC33" i="1"/>
  <c r="ID33" i="1" s="1"/>
  <c r="IE33" i="1" s="1"/>
  <c r="HX33" i="1"/>
  <c r="HY33" i="1" s="1"/>
  <c r="HZ33" i="1" s="1"/>
  <c r="HU33" i="1"/>
  <c r="HN33" i="1"/>
  <c r="HO33" i="1" s="1"/>
  <c r="HP33" i="1" s="1"/>
  <c r="HI33" i="1"/>
  <c r="HJ33" i="1" s="1"/>
  <c r="HK33" i="1" s="1"/>
  <c r="HD33" i="1"/>
  <c r="HE33" i="1" s="1"/>
  <c r="HF33" i="1" s="1"/>
  <c r="GY33" i="1"/>
  <c r="GZ33" i="1" s="1"/>
  <c r="HA33" i="1" s="1"/>
  <c r="GT33" i="1"/>
  <c r="GU33" i="1" s="1"/>
  <c r="GV33" i="1" s="1"/>
  <c r="GO33" i="1"/>
  <c r="GP33" i="1" s="1"/>
  <c r="GQ33" i="1" s="1"/>
  <c r="GJ33" i="1"/>
  <c r="GK33" i="1" s="1"/>
  <c r="GL33" i="1" s="1"/>
  <c r="GE33" i="1"/>
  <c r="GF33" i="1" s="1"/>
  <c r="GG33" i="1" s="1"/>
  <c r="FZ33" i="1"/>
  <c r="GA33" i="1" s="1"/>
  <c r="GB33" i="1" s="1"/>
  <c r="FU33" i="1"/>
  <c r="FV33" i="1" s="1"/>
  <c r="FW33" i="1" s="1"/>
  <c r="FP33" i="1"/>
  <c r="FQ33" i="1" s="1"/>
  <c r="FR33" i="1" s="1"/>
  <c r="FK33" i="1"/>
  <c r="FL33" i="1" s="1"/>
  <c r="FM33" i="1" s="1"/>
  <c r="FF33" i="1"/>
  <c r="FG33" i="1" s="1"/>
  <c r="FH33" i="1" s="1"/>
  <c r="FA33" i="1"/>
  <c r="FB33" i="1" s="1"/>
  <c r="FC33" i="1" s="1"/>
  <c r="EV33" i="1"/>
  <c r="EW33" i="1" s="1"/>
  <c r="EX33" i="1" s="1"/>
  <c r="EQ33" i="1"/>
  <c r="ER33" i="1" s="1"/>
  <c r="ES33" i="1" s="1"/>
  <c r="EL33" i="1"/>
  <c r="EM33" i="1" s="1"/>
  <c r="EN33" i="1" s="1"/>
  <c r="EE33" i="1"/>
  <c r="EF33" i="1" s="1"/>
  <c r="EG33" i="1" s="1"/>
  <c r="DZ33" i="1"/>
  <c r="EA33" i="1" s="1"/>
  <c r="EB33" i="1" s="1"/>
  <c r="DU33" i="1"/>
  <c r="DV33" i="1" s="1"/>
  <c r="DW33" i="1" s="1"/>
  <c r="DP33" i="1"/>
  <c r="DQ33" i="1" s="1"/>
  <c r="DR33" i="1" s="1"/>
  <c r="DK33" i="1"/>
  <c r="DL33" i="1" s="1"/>
  <c r="DM33" i="1" s="1"/>
  <c r="DF33" i="1"/>
  <c r="DG33" i="1" s="1"/>
  <c r="DH33" i="1" s="1"/>
  <c r="DA33" i="1"/>
  <c r="DB33" i="1" s="1"/>
  <c r="DC33" i="1" s="1"/>
  <c r="CV33" i="1"/>
  <c r="CW33" i="1" s="1"/>
  <c r="CX33" i="1" s="1"/>
  <c r="CQ33" i="1"/>
  <c r="CR33" i="1" s="1"/>
  <c r="CS33" i="1" s="1"/>
  <c r="CL33" i="1"/>
  <c r="CM33" i="1" s="1"/>
  <c r="CN33" i="1" s="1"/>
  <c r="CG33" i="1"/>
  <c r="CH33" i="1" s="1"/>
  <c r="CI33" i="1" s="1"/>
  <c r="CA33" i="1"/>
  <c r="CB33" i="1" s="1"/>
  <c r="CC33" i="1" s="1"/>
  <c r="BV33" i="1"/>
  <c r="BW33" i="1" s="1"/>
  <c r="BX33" i="1" s="1"/>
  <c r="BQ33" i="1"/>
  <c r="BR33" i="1" s="1"/>
  <c r="BS33" i="1" s="1"/>
  <c r="BL33" i="1"/>
  <c r="BM33" i="1" s="1"/>
  <c r="BN33" i="1" s="1"/>
  <c r="BG33" i="1"/>
  <c r="BH33" i="1" s="1"/>
  <c r="BI33" i="1" s="1"/>
  <c r="BB33" i="1"/>
  <c r="BC33" i="1" s="1"/>
  <c r="BD33" i="1" s="1"/>
  <c r="AW33" i="1"/>
  <c r="AX33" i="1" s="1"/>
  <c r="AY33" i="1" s="1"/>
  <c r="AR33" i="1"/>
  <c r="AS33" i="1" s="1"/>
  <c r="AT33" i="1" s="1"/>
  <c r="AM33" i="1"/>
  <c r="AN33" i="1" s="1"/>
  <c r="AO33" i="1" s="1"/>
  <c r="AH33" i="1"/>
  <c r="AI33" i="1" s="1"/>
  <c r="AJ33" i="1" s="1"/>
  <c r="AC33" i="1"/>
  <c r="AD33" i="1" s="1"/>
  <c r="AE33" i="1" s="1"/>
  <c r="W33" i="1"/>
  <c r="X33" i="1" s="1"/>
  <c r="Y33" i="1" s="1"/>
  <c r="S33" i="1"/>
  <c r="N33" i="1"/>
  <c r="I33" i="1"/>
  <c r="NZ32" i="1"/>
  <c r="NU32" i="1"/>
  <c r="NP32" i="1"/>
  <c r="NK32" i="1"/>
  <c r="NF32" i="1"/>
  <c r="NA32" i="1"/>
  <c r="MV32" i="1"/>
  <c r="MQ32" i="1"/>
  <c r="MM32" i="1"/>
  <c r="MI32" i="1"/>
  <c r="MD32" i="1"/>
  <c r="LY32" i="1"/>
  <c r="LT32" i="1"/>
  <c r="LO32" i="1"/>
  <c r="LJ32" i="1"/>
  <c r="LC32" i="1"/>
  <c r="LD32" i="1" s="1"/>
  <c r="LE32" i="1" s="1"/>
  <c r="KX32" i="1"/>
  <c r="KY32" i="1" s="1"/>
  <c r="KZ32" i="1" s="1"/>
  <c r="KV32" i="1"/>
  <c r="KQ32" i="1"/>
  <c r="KM32" i="1"/>
  <c r="KI32" i="1"/>
  <c r="KE32" i="1"/>
  <c r="KA32" i="1"/>
  <c r="JV32" i="1"/>
  <c r="JQ32" i="1"/>
  <c r="JM32" i="1"/>
  <c r="JI32" i="1"/>
  <c r="JB32" i="1"/>
  <c r="JC32" i="1" s="1"/>
  <c r="JD32" i="1" s="1"/>
  <c r="IW32" i="1"/>
  <c r="IX32" i="1" s="1"/>
  <c r="IY32" i="1" s="1"/>
  <c r="IR32" i="1"/>
  <c r="IS32" i="1" s="1"/>
  <c r="IT32" i="1" s="1"/>
  <c r="IM32" i="1"/>
  <c r="IN32" i="1" s="1"/>
  <c r="IO32" i="1" s="1"/>
  <c r="IH32" i="1"/>
  <c r="II32" i="1" s="1"/>
  <c r="IJ32" i="1" s="1"/>
  <c r="IC32" i="1"/>
  <c r="ID32" i="1" s="1"/>
  <c r="IE32" i="1" s="1"/>
  <c r="HX32" i="1"/>
  <c r="HY32" i="1" s="1"/>
  <c r="HZ32" i="1" s="1"/>
  <c r="HU32" i="1"/>
  <c r="HP32" i="1"/>
  <c r="HI32" i="1"/>
  <c r="HJ32" i="1" s="1"/>
  <c r="HK32" i="1" s="1"/>
  <c r="HD32" i="1"/>
  <c r="HE32" i="1" s="1"/>
  <c r="HF32" i="1" s="1"/>
  <c r="GY32" i="1"/>
  <c r="GZ32" i="1" s="1"/>
  <c r="HA32" i="1" s="1"/>
  <c r="GT32" i="1"/>
  <c r="GU32" i="1" s="1"/>
  <c r="GV32" i="1" s="1"/>
  <c r="GO32" i="1"/>
  <c r="GP32" i="1" s="1"/>
  <c r="GQ32" i="1" s="1"/>
  <c r="GJ32" i="1"/>
  <c r="GK32" i="1" s="1"/>
  <c r="GL32" i="1" s="1"/>
  <c r="GE32" i="1"/>
  <c r="GF32" i="1" s="1"/>
  <c r="GG32" i="1" s="1"/>
  <c r="FZ32" i="1"/>
  <c r="GA32" i="1" s="1"/>
  <c r="GB32" i="1" s="1"/>
  <c r="FU32" i="1"/>
  <c r="FV32" i="1" s="1"/>
  <c r="FW32" i="1" s="1"/>
  <c r="FP32" i="1"/>
  <c r="FQ32" i="1" s="1"/>
  <c r="FR32" i="1" s="1"/>
  <c r="FK32" i="1"/>
  <c r="FL32" i="1" s="1"/>
  <c r="FM32" i="1" s="1"/>
  <c r="FF32" i="1"/>
  <c r="FG32" i="1" s="1"/>
  <c r="FH32" i="1" s="1"/>
  <c r="FA32" i="1"/>
  <c r="FB32" i="1" s="1"/>
  <c r="FC32" i="1" s="1"/>
  <c r="EV32" i="1"/>
  <c r="EW32" i="1" s="1"/>
  <c r="EX32" i="1" s="1"/>
  <c r="EQ32" i="1"/>
  <c r="ER32" i="1" s="1"/>
  <c r="ES32" i="1" s="1"/>
  <c r="EL32" i="1"/>
  <c r="EM32" i="1" s="1"/>
  <c r="EN32" i="1" s="1"/>
  <c r="EE32" i="1"/>
  <c r="EF32" i="1" s="1"/>
  <c r="EG32" i="1" s="1"/>
  <c r="DZ32" i="1"/>
  <c r="EA32" i="1" s="1"/>
  <c r="EB32" i="1" s="1"/>
  <c r="DU32" i="1"/>
  <c r="DV32" i="1" s="1"/>
  <c r="DW32" i="1" s="1"/>
  <c r="DP32" i="1"/>
  <c r="DQ32" i="1" s="1"/>
  <c r="DR32" i="1" s="1"/>
  <c r="DK32" i="1"/>
  <c r="DL32" i="1" s="1"/>
  <c r="DM32" i="1" s="1"/>
  <c r="DF32" i="1"/>
  <c r="DG32" i="1" s="1"/>
  <c r="DH32" i="1" s="1"/>
  <c r="DA32" i="1"/>
  <c r="DB32" i="1" s="1"/>
  <c r="DC32" i="1" s="1"/>
  <c r="CV32" i="1"/>
  <c r="CW32" i="1" s="1"/>
  <c r="CX32" i="1" s="1"/>
  <c r="CQ32" i="1"/>
  <c r="CR32" i="1" s="1"/>
  <c r="CS32" i="1" s="1"/>
  <c r="CL32" i="1"/>
  <c r="CM32" i="1" s="1"/>
  <c r="CN32" i="1" s="1"/>
  <c r="CG32" i="1"/>
  <c r="CH32" i="1" s="1"/>
  <c r="CI32" i="1" s="1"/>
  <c r="CA32" i="1"/>
  <c r="CB32" i="1" s="1"/>
  <c r="CC32" i="1" s="1"/>
  <c r="BV32" i="1"/>
  <c r="BW32" i="1" s="1"/>
  <c r="BX32" i="1" s="1"/>
  <c r="BQ32" i="1"/>
  <c r="BR32" i="1" s="1"/>
  <c r="BS32" i="1" s="1"/>
  <c r="BL32" i="1"/>
  <c r="BM32" i="1" s="1"/>
  <c r="BN32" i="1" s="1"/>
  <c r="BG32" i="1"/>
  <c r="BH32" i="1" s="1"/>
  <c r="BI32" i="1" s="1"/>
  <c r="BB32" i="1"/>
  <c r="BC32" i="1" s="1"/>
  <c r="BD32" i="1" s="1"/>
  <c r="AW32" i="1"/>
  <c r="AX32" i="1" s="1"/>
  <c r="AY32" i="1" s="1"/>
  <c r="AR32" i="1"/>
  <c r="AS32" i="1" s="1"/>
  <c r="AT32" i="1" s="1"/>
  <c r="AM32" i="1"/>
  <c r="AN32" i="1" s="1"/>
  <c r="AO32" i="1" s="1"/>
  <c r="AH32" i="1"/>
  <c r="AI32" i="1" s="1"/>
  <c r="AJ32" i="1" s="1"/>
  <c r="AC32" i="1"/>
  <c r="AD32" i="1" s="1"/>
  <c r="AE32" i="1" s="1"/>
  <c r="W32" i="1"/>
  <c r="X32" i="1" s="1"/>
  <c r="Y32" i="1" s="1"/>
  <c r="S32" i="1"/>
  <c r="N32" i="1"/>
  <c r="I32" i="1"/>
  <c r="NZ31" i="1"/>
  <c r="NU31" i="1"/>
  <c r="NP31" i="1"/>
  <c r="NK31" i="1"/>
  <c r="NF31" i="1"/>
  <c r="NA31" i="1"/>
  <c r="MV31" i="1"/>
  <c r="MQ31" i="1"/>
  <c r="MM31" i="1"/>
  <c r="MI31" i="1"/>
  <c r="MD31" i="1"/>
  <c r="LY31" i="1"/>
  <c r="LT31" i="1"/>
  <c r="LO31" i="1"/>
  <c r="LJ31" i="1"/>
  <c r="LC31" i="1"/>
  <c r="LD31" i="1" s="1"/>
  <c r="LE31" i="1" s="1"/>
  <c r="KZ31" i="1"/>
  <c r="KV31" i="1"/>
  <c r="KQ31" i="1"/>
  <c r="KM31" i="1"/>
  <c r="KI31" i="1"/>
  <c r="KE31" i="1"/>
  <c r="KA31" i="1"/>
  <c r="JV31" i="1"/>
  <c r="JQ31" i="1"/>
  <c r="JM31" i="1"/>
  <c r="JI31" i="1"/>
  <c r="JD31" i="1"/>
  <c r="IY31" i="1"/>
  <c r="IT31" i="1"/>
  <c r="IO31" i="1"/>
  <c r="IJ31" i="1"/>
  <c r="IE31" i="1"/>
  <c r="HZ31" i="1"/>
  <c r="HU31" i="1"/>
  <c r="HP31" i="1"/>
  <c r="HI31" i="1"/>
  <c r="HJ31" i="1" s="1"/>
  <c r="HK31" i="1" s="1"/>
  <c r="HD31" i="1"/>
  <c r="HE31" i="1" s="1"/>
  <c r="HF31" i="1" s="1"/>
  <c r="GY31" i="1"/>
  <c r="GZ31" i="1" s="1"/>
  <c r="HA31" i="1" s="1"/>
  <c r="GT31" i="1"/>
  <c r="GU31" i="1" s="1"/>
  <c r="GV31" i="1" s="1"/>
  <c r="GO31" i="1"/>
  <c r="GP31" i="1" s="1"/>
  <c r="GQ31" i="1" s="1"/>
  <c r="GJ31" i="1"/>
  <c r="GK31" i="1" s="1"/>
  <c r="GL31" i="1" s="1"/>
  <c r="GE31" i="1"/>
  <c r="GF31" i="1" s="1"/>
  <c r="GG31" i="1" s="1"/>
  <c r="FZ31" i="1"/>
  <c r="GA31" i="1" s="1"/>
  <c r="GB31" i="1" s="1"/>
  <c r="FU31" i="1"/>
  <c r="FV31" i="1" s="1"/>
  <c r="FW31" i="1" s="1"/>
  <c r="FP31" i="1"/>
  <c r="FQ31" i="1" s="1"/>
  <c r="FR31" i="1" s="1"/>
  <c r="FK31" i="1"/>
  <c r="FL31" i="1" s="1"/>
  <c r="FM31" i="1" s="1"/>
  <c r="FF31" i="1"/>
  <c r="FG31" i="1" s="1"/>
  <c r="FH31" i="1" s="1"/>
  <c r="FA31" i="1"/>
  <c r="FB31" i="1" s="1"/>
  <c r="FC31" i="1" s="1"/>
  <c r="EV31" i="1"/>
  <c r="EW31" i="1" s="1"/>
  <c r="EX31" i="1" s="1"/>
  <c r="EQ31" i="1"/>
  <c r="ER31" i="1" s="1"/>
  <c r="ES31" i="1" s="1"/>
  <c r="EL31" i="1"/>
  <c r="EM31" i="1" s="1"/>
  <c r="EN31" i="1" s="1"/>
  <c r="EE31" i="1"/>
  <c r="EF31" i="1" s="1"/>
  <c r="EG31" i="1" s="1"/>
  <c r="DZ31" i="1"/>
  <c r="EA31" i="1" s="1"/>
  <c r="EB31" i="1" s="1"/>
  <c r="DU31" i="1"/>
  <c r="DV31" i="1" s="1"/>
  <c r="DW31" i="1" s="1"/>
  <c r="DP31" i="1"/>
  <c r="DQ31" i="1" s="1"/>
  <c r="DR31" i="1" s="1"/>
  <c r="DK31" i="1"/>
  <c r="DL31" i="1" s="1"/>
  <c r="DM31" i="1" s="1"/>
  <c r="DF31" i="1"/>
  <c r="DG31" i="1" s="1"/>
  <c r="DH31" i="1" s="1"/>
  <c r="DA31" i="1"/>
  <c r="DB31" i="1" s="1"/>
  <c r="DC31" i="1" s="1"/>
  <c r="CV31" i="1"/>
  <c r="CW31" i="1" s="1"/>
  <c r="CX31" i="1" s="1"/>
  <c r="CQ31" i="1"/>
  <c r="CR31" i="1" s="1"/>
  <c r="CS31" i="1" s="1"/>
  <c r="CL31" i="1"/>
  <c r="CM31" i="1" s="1"/>
  <c r="CN31" i="1" s="1"/>
  <c r="CG31" i="1"/>
  <c r="CH31" i="1" s="1"/>
  <c r="CI31" i="1" s="1"/>
  <c r="CA31" i="1"/>
  <c r="CB31" i="1" s="1"/>
  <c r="CC31" i="1" s="1"/>
  <c r="BV31" i="1"/>
  <c r="BW31" i="1" s="1"/>
  <c r="BX31" i="1" s="1"/>
  <c r="BQ31" i="1"/>
  <c r="BR31" i="1" s="1"/>
  <c r="BS31" i="1" s="1"/>
  <c r="BL31" i="1"/>
  <c r="BM31" i="1" s="1"/>
  <c r="BN31" i="1" s="1"/>
  <c r="BG31" i="1"/>
  <c r="BH31" i="1" s="1"/>
  <c r="BI31" i="1" s="1"/>
  <c r="BB31" i="1"/>
  <c r="BC31" i="1" s="1"/>
  <c r="BD31" i="1" s="1"/>
  <c r="AW31" i="1"/>
  <c r="AX31" i="1" s="1"/>
  <c r="AY31" i="1" s="1"/>
  <c r="AR31" i="1"/>
  <c r="AS31" i="1" s="1"/>
  <c r="AT31" i="1" s="1"/>
  <c r="AM31" i="1"/>
  <c r="AN31" i="1" s="1"/>
  <c r="AO31" i="1" s="1"/>
  <c r="AH31" i="1"/>
  <c r="AI31" i="1" s="1"/>
  <c r="AJ31" i="1" s="1"/>
  <c r="AC31" i="1"/>
  <c r="AD31" i="1" s="1"/>
  <c r="AE31" i="1" s="1"/>
  <c r="W31" i="1"/>
  <c r="X31" i="1" s="1"/>
  <c r="Y31" i="1" s="1"/>
  <c r="Q31" i="1"/>
  <c r="R31" i="1" s="1"/>
  <c r="S31" i="1" s="1"/>
  <c r="L31" i="1"/>
  <c r="M31" i="1" s="1"/>
  <c r="N31" i="1" s="1"/>
  <c r="I31" i="1"/>
  <c r="NZ30" i="1"/>
  <c r="NU30" i="1"/>
  <c r="NN30" i="1"/>
  <c r="NO30" i="1" s="1"/>
  <c r="NP30" i="1" s="1"/>
  <c r="NI30" i="1"/>
  <c r="NJ30" i="1" s="1"/>
  <c r="NK30" i="1" s="1"/>
  <c r="NF30" i="1"/>
  <c r="MY30" i="1"/>
  <c r="MZ30" i="1" s="1"/>
  <c r="NA30" i="1" s="1"/>
  <c r="MT30" i="1"/>
  <c r="MU30" i="1" s="1"/>
  <c r="MV30" i="1" s="1"/>
  <c r="MQ30" i="1"/>
  <c r="MM30" i="1"/>
  <c r="MI30" i="1"/>
  <c r="MD30" i="1"/>
  <c r="LY30" i="1"/>
  <c r="LT30" i="1"/>
  <c r="LO30" i="1"/>
  <c r="LJ30" i="1"/>
  <c r="LE30" i="1"/>
  <c r="KZ30" i="1"/>
  <c r="KV30" i="1"/>
  <c r="KQ30" i="1"/>
  <c r="KM30" i="1"/>
  <c r="KI30" i="1"/>
  <c r="KE30" i="1"/>
  <c r="KA30" i="1"/>
  <c r="JV30" i="1"/>
  <c r="JQ30" i="1"/>
  <c r="JM30" i="1"/>
  <c r="JI30" i="1"/>
  <c r="JD30" i="1"/>
  <c r="IY30" i="1"/>
  <c r="IT30" i="1"/>
  <c r="IO30" i="1"/>
  <c r="IJ30" i="1"/>
  <c r="IE30" i="1"/>
  <c r="HZ30" i="1"/>
  <c r="HU30" i="1"/>
  <c r="HN30" i="1"/>
  <c r="HO30" i="1" s="1"/>
  <c r="HP30" i="1" s="1"/>
  <c r="HI30" i="1"/>
  <c r="HJ30" i="1" s="1"/>
  <c r="HK30" i="1" s="1"/>
  <c r="HD30" i="1"/>
  <c r="HE30" i="1" s="1"/>
  <c r="HF30" i="1" s="1"/>
  <c r="GY30" i="1"/>
  <c r="GZ30" i="1" s="1"/>
  <c r="HA30" i="1" s="1"/>
  <c r="GT30" i="1"/>
  <c r="GU30" i="1" s="1"/>
  <c r="GV30" i="1" s="1"/>
  <c r="GO30" i="1"/>
  <c r="GP30" i="1" s="1"/>
  <c r="GQ30" i="1" s="1"/>
  <c r="GJ30" i="1"/>
  <c r="GK30" i="1" s="1"/>
  <c r="GL30" i="1" s="1"/>
  <c r="GE30" i="1"/>
  <c r="GF30" i="1" s="1"/>
  <c r="GG30" i="1" s="1"/>
  <c r="FZ30" i="1"/>
  <c r="GA30" i="1" s="1"/>
  <c r="GB30" i="1" s="1"/>
  <c r="FU30" i="1"/>
  <c r="FV30" i="1" s="1"/>
  <c r="FW30" i="1" s="1"/>
  <c r="FP30" i="1"/>
  <c r="FQ30" i="1" s="1"/>
  <c r="FR30" i="1" s="1"/>
  <c r="FK30" i="1"/>
  <c r="FL30" i="1" s="1"/>
  <c r="FM30" i="1" s="1"/>
  <c r="FF30" i="1"/>
  <c r="FG30" i="1" s="1"/>
  <c r="FH30" i="1" s="1"/>
  <c r="FA30" i="1"/>
  <c r="FB30" i="1" s="1"/>
  <c r="FC30" i="1" s="1"/>
  <c r="EV30" i="1"/>
  <c r="EW30" i="1" s="1"/>
  <c r="EX30" i="1" s="1"/>
  <c r="EQ30" i="1"/>
  <c r="ER30" i="1" s="1"/>
  <c r="ES30" i="1" s="1"/>
  <c r="EL30" i="1"/>
  <c r="EM30" i="1" s="1"/>
  <c r="EN30" i="1" s="1"/>
  <c r="EE30" i="1"/>
  <c r="EF30" i="1" s="1"/>
  <c r="EG30" i="1" s="1"/>
  <c r="DZ30" i="1"/>
  <c r="EA30" i="1" s="1"/>
  <c r="EB30" i="1" s="1"/>
  <c r="DU30" i="1"/>
  <c r="DV30" i="1" s="1"/>
  <c r="DW30" i="1" s="1"/>
  <c r="DP30" i="1"/>
  <c r="DQ30" i="1" s="1"/>
  <c r="DR30" i="1" s="1"/>
  <c r="DK30" i="1"/>
  <c r="DL30" i="1" s="1"/>
  <c r="DM30" i="1" s="1"/>
  <c r="DF30" i="1"/>
  <c r="DG30" i="1" s="1"/>
  <c r="DH30" i="1" s="1"/>
  <c r="DA30" i="1"/>
  <c r="DB30" i="1" s="1"/>
  <c r="DC30" i="1" s="1"/>
  <c r="CV30" i="1"/>
  <c r="CW30" i="1" s="1"/>
  <c r="CX30" i="1" s="1"/>
  <c r="CQ30" i="1"/>
  <c r="CR30" i="1" s="1"/>
  <c r="CS30" i="1" s="1"/>
  <c r="CL30" i="1"/>
  <c r="CM30" i="1" s="1"/>
  <c r="CN30" i="1" s="1"/>
  <c r="CG30" i="1"/>
  <c r="CH30" i="1" s="1"/>
  <c r="CI30" i="1" s="1"/>
  <c r="CA30" i="1"/>
  <c r="CB30" i="1" s="1"/>
  <c r="CC30" i="1" s="1"/>
  <c r="BV30" i="1"/>
  <c r="BW30" i="1" s="1"/>
  <c r="BX30" i="1" s="1"/>
  <c r="BQ30" i="1"/>
  <c r="BR30" i="1" s="1"/>
  <c r="BS30" i="1" s="1"/>
  <c r="BL30" i="1"/>
  <c r="BM30" i="1" s="1"/>
  <c r="BN30" i="1" s="1"/>
  <c r="BG30" i="1"/>
  <c r="BH30" i="1" s="1"/>
  <c r="BI30" i="1" s="1"/>
  <c r="BB30" i="1"/>
  <c r="BC30" i="1" s="1"/>
  <c r="BD30" i="1" s="1"/>
  <c r="AW30" i="1"/>
  <c r="AX30" i="1" s="1"/>
  <c r="AY30" i="1" s="1"/>
  <c r="AR30" i="1"/>
  <c r="AS30" i="1" s="1"/>
  <c r="AT30" i="1" s="1"/>
  <c r="AM30" i="1"/>
  <c r="AN30" i="1" s="1"/>
  <c r="AO30" i="1" s="1"/>
  <c r="AH30" i="1"/>
  <c r="AI30" i="1" s="1"/>
  <c r="AJ30" i="1" s="1"/>
  <c r="AC30" i="1"/>
  <c r="AD30" i="1" s="1"/>
  <c r="AE30" i="1" s="1"/>
  <c r="W30" i="1"/>
  <c r="X30" i="1" s="1"/>
  <c r="Y30" i="1" s="1"/>
  <c r="S30" i="1"/>
  <c r="N30" i="1"/>
  <c r="I30" i="1"/>
  <c r="NZ29" i="1"/>
  <c r="NU29" i="1"/>
  <c r="NP29" i="1"/>
  <c r="NI29" i="1"/>
  <c r="NJ29" i="1" s="1"/>
  <c r="NK29" i="1" s="1"/>
  <c r="NF29" i="1"/>
  <c r="MY29" i="1"/>
  <c r="MZ29" i="1" s="1"/>
  <c r="NA29" i="1" s="1"/>
  <c r="MT29" i="1"/>
  <c r="MU29" i="1" s="1"/>
  <c r="MV29" i="1" s="1"/>
  <c r="MQ29" i="1"/>
  <c r="MM29" i="1"/>
  <c r="MI29" i="1"/>
  <c r="MD29" i="1"/>
  <c r="LW29" i="1"/>
  <c r="LX29" i="1" s="1"/>
  <c r="LY29" i="1" s="1"/>
  <c r="LR29" i="1"/>
  <c r="LS29" i="1" s="1"/>
  <c r="LT29" i="1" s="1"/>
  <c r="LO29" i="1"/>
  <c r="LJ29" i="1"/>
  <c r="LE29" i="1"/>
  <c r="KX29" i="1"/>
  <c r="KY29" i="1" s="1"/>
  <c r="KZ29" i="1" s="1"/>
  <c r="KV29" i="1"/>
  <c r="KO29" i="1"/>
  <c r="KP29" i="1" s="1"/>
  <c r="KQ29" i="1" s="1"/>
  <c r="KK29" i="1"/>
  <c r="KL29" i="1" s="1"/>
  <c r="KM29" i="1" s="1"/>
  <c r="KI29" i="1"/>
  <c r="KC29" i="1"/>
  <c r="KD29" i="1" s="1"/>
  <c r="KE29" i="1" s="1"/>
  <c r="KA29" i="1"/>
  <c r="JV29" i="1"/>
  <c r="JQ29" i="1"/>
  <c r="JM29" i="1"/>
  <c r="JI29" i="1"/>
  <c r="JB29" i="1"/>
  <c r="JC29" i="1" s="1"/>
  <c r="JD29" i="1" s="1"/>
  <c r="IW29" i="1"/>
  <c r="IX29" i="1" s="1"/>
  <c r="IY29" i="1" s="1"/>
  <c r="IR29" i="1"/>
  <c r="IS29" i="1" s="1"/>
  <c r="IT29" i="1" s="1"/>
  <c r="IM29" i="1"/>
  <c r="IN29" i="1" s="1"/>
  <c r="IO29" i="1" s="1"/>
  <c r="IH29" i="1"/>
  <c r="II29" i="1" s="1"/>
  <c r="IJ29" i="1" s="1"/>
  <c r="IC29" i="1"/>
  <c r="ID29" i="1" s="1"/>
  <c r="IE29" i="1" s="1"/>
  <c r="HX29" i="1"/>
  <c r="HY29" i="1" s="1"/>
  <c r="HZ29" i="1" s="1"/>
  <c r="HU29" i="1"/>
  <c r="HN29" i="1"/>
  <c r="HO29" i="1" s="1"/>
  <c r="HP29" i="1" s="1"/>
  <c r="HI29" i="1"/>
  <c r="HJ29" i="1" s="1"/>
  <c r="HK29" i="1" s="1"/>
  <c r="HD29" i="1"/>
  <c r="HE29" i="1" s="1"/>
  <c r="HF29" i="1" s="1"/>
  <c r="GY29" i="1"/>
  <c r="GZ29" i="1" s="1"/>
  <c r="HA29" i="1" s="1"/>
  <c r="GT29" i="1"/>
  <c r="GU29" i="1" s="1"/>
  <c r="GV29" i="1" s="1"/>
  <c r="GO29" i="1"/>
  <c r="GP29" i="1" s="1"/>
  <c r="GQ29" i="1" s="1"/>
  <c r="GJ29" i="1"/>
  <c r="GK29" i="1" s="1"/>
  <c r="GL29" i="1" s="1"/>
  <c r="GE29" i="1"/>
  <c r="GF29" i="1" s="1"/>
  <c r="GG29" i="1" s="1"/>
  <c r="FZ29" i="1"/>
  <c r="GA29" i="1" s="1"/>
  <c r="GB29" i="1" s="1"/>
  <c r="FU29" i="1"/>
  <c r="FV29" i="1" s="1"/>
  <c r="FW29" i="1" s="1"/>
  <c r="FP29" i="1"/>
  <c r="FQ29" i="1" s="1"/>
  <c r="FR29" i="1" s="1"/>
  <c r="FK29" i="1"/>
  <c r="FL29" i="1" s="1"/>
  <c r="FM29" i="1" s="1"/>
  <c r="FF29" i="1"/>
  <c r="FG29" i="1" s="1"/>
  <c r="FH29" i="1" s="1"/>
  <c r="FA29" i="1"/>
  <c r="FB29" i="1" s="1"/>
  <c r="FC29" i="1" s="1"/>
  <c r="EV29" i="1"/>
  <c r="EW29" i="1" s="1"/>
  <c r="EX29" i="1" s="1"/>
  <c r="EQ29" i="1"/>
  <c r="ER29" i="1" s="1"/>
  <c r="ES29" i="1" s="1"/>
  <c r="EL29" i="1"/>
  <c r="EM29" i="1" s="1"/>
  <c r="EN29" i="1" s="1"/>
  <c r="EE29" i="1"/>
  <c r="EF29" i="1" s="1"/>
  <c r="EG29" i="1" s="1"/>
  <c r="DZ29" i="1"/>
  <c r="EA29" i="1" s="1"/>
  <c r="EB29" i="1" s="1"/>
  <c r="DU29" i="1"/>
  <c r="DV29" i="1" s="1"/>
  <c r="DW29" i="1" s="1"/>
  <c r="DP29" i="1"/>
  <c r="DQ29" i="1" s="1"/>
  <c r="DR29" i="1" s="1"/>
  <c r="DK29" i="1"/>
  <c r="DL29" i="1" s="1"/>
  <c r="DM29" i="1" s="1"/>
  <c r="DG29" i="1"/>
  <c r="DH29" i="1" s="1"/>
  <c r="DF29" i="1"/>
  <c r="DA29" i="1"/>
  <c r="DB29" i="1" s="1"/>
  <c r="DC29" i="1" s="1"/>
  <c r="CV29" i="1"/>
  <c r="CW29" i="1" s="1"/>
  <c r="CX29" i="1" s="1"/>
  <c r="CQ29" i="1"/>
  <c r="CR29" i="1" s="1"/>
  <c r="CS29" i="1" s="1"/>
  <c r="CL29" i="1"/>
  <c r="CM29" i="1" s="1"/>
  <c r="CN29" i="1" s="1"/>
  <c r="CG29" i="1"/>
  <c r="CH29" i="1" s="1"/>
  <c r="CI29" i="1" s="1"/>
  <c r="CA29" i="1"/>
  <c r="CB29" i="1" s="1"/>
  <c r="CC29" i="1" s="1"/>
  <c r="BV29" i="1"/>
  <c r="BW29" i="1" s="1"/>
  <c r="BX29" i="1" s="1"/>
  <c r="BQ29" i="1"/>
  <c r="BR29" i="1" s="1"/>
  <c r="BS29" i="1" s="1"/>
  <c r="BL29" i="1"/>
  <c r="BM29" i="1" s="1"/>
  <c r="BN29" i="1" s="1"/>
  <c r="BG29" i="1"/>
  <c r="BH29" i="1" s="1"/>
  <c r="BI29" i="1" s="1"/>
  <c r="BB29" i="1"/>
  <c r="BC29" i="1" s="1"/>
  <c r="BD29" i="1" s="1"/>
  <c r="AW29" i="1"/>
  <c r="AX29" i="1" s="1"/>
  <c r="AY29" i="1" s="1"/>
  <c r="AR29" i="1"/>
  <c r="AS29" i="1" s="1"/>
  <c r="AT29" i="1" s="1"/>
  <c r="AM29" i="1"/>
  <c r="AN29" i="1" s="1"/>
  <c r="AO29" i="1" s="1"/>
  <c r="AH29" i="1"/>
  <c r="AI29" i="1" s="1"/>
  <c r="AJ29" i="1" s="1"/>
  <c r="AC29" i="1"/>
  <c r="AD29" i="1" s="1"/>
  <c r="AE29" i="1" s="1"/>
  <c r="W29" i="1"/>
  <c r="X29" i="1" s="1"/>
  <c r="Y29" i="1" s="1"/>
  <c r="Q29" i="1"/>
  <c r="R29" i="1" s="1"/>
  <c r="S29" i="1" s="1"/>
  <c r="N29" i="1"/>
  <c r="I29" i="1"/>
  <c r="NZ28" i="1"/>
  <c r="NU28" i="1"/>
  <c r="NP28" i="1"/>
  <c r="NK28" i="1"/>
  <c r="NF28" i="1"/>
  <c r="NA28" i="1"/>
  <c r="MV28" i="1"/>
  <c r="MQ28" i="1"/>
  <c r="MM28" i="1"/>
  <c r="MI28" i="1"/>
  <c r="MD28" i="1"/>
  <c r="LY28" i="1"/>
  <c r="LT28" i="1"/>
  <c r="LO28" i="1"/>
  <c r="LJ28" i="1"/>
  <c r="LE28" i="1"/>
  <c r="KZ28" i="1"/>
  <c r="KV28" i="1"/>
  <c r="KQ28" i="1"/>
  <c r="KM28" i="1"/>
  <c r="KI28" i="1"/>
  <c r="KE28" i="1"/>
  <c r="KA28" i="1"/>
  <c r="JV28" i="1"/>
  <c r="JQ28" i="1"/>
  <c r="JM28" i="1"/>
  <c r="JI28" i="1"/>
  <c r="JD28" i="1"/>
  <c r="IY28" i="1"/>
  <c r="IT28" i="1"/>
  <c r="IO28" i="1"/>
  <c r="IJ28" i="1"/>
  <c r="IE28" i="1"/>
  <c r="HZ28" i="1"/>
  <c r="HU28" i="1"/>
  <c r="HP28" i="1"/>
  <c r="HK28" i="1"/>
  <c r="HD28" i="1"/>
  <c r="HE28" i="1" s="1"/>
  <c r="HF28" i="1" s="1"/>
  <c r="GY28" i="1"/>
  <c r="GZ28" i="1" s="1"/>
  <c r="HA28" i="1" s="1"/>
  <c r="GT28" i="1"/>
  <c r="GU28" i="1" s="1"/>
  <c r="GV28" i="1" s="1"/>
  <c r="GO28" i="1"/>
  <c r="GP28" i="1" s="1"/>
  <c r="GQ28" i="1" s="1"/>
  <c r="GJ28" i="1"/>
  <c r="GK28" i="1" s="1"/>
  <c r="GL28" i="1" s="1"/>
  <c r="GE28" i="1"/>
  <c r="GF28" i="1" s="1"/>
  <c r="GG28" i="1" s="1"/>
  <c r="FZ28" i="1"/>
  <c r="GA28" i="1" s="1"/>
  <c r="GB28" i="1" s="1"/>
  <c r="FU28" i="1"/>
  <c r="FV28" i="1" s="1"/>
  <c r="FW28" i="1" s="1"/>
  <c r="FP28" i="1"/>
  <c r="FQ28" i="1" s="1"/>
  <c r="FR28" i="1" s="1"/>
  <c r="FK28" i="1"/>
  <c r="FL28" i="1" s="1"/>
  <c r="FM28" i="1" s="1"/>
  <c r="FF28" i="1"/>
  <c r="FG28" i="1" s="1"/>
  <c r="FH28" i="1" s="1"/>
  <c r="FA28" i="1"/>
  <c r="FB28" i="1" s="1"/>
  <c r="FC28" i="1" s="1"/>
  <c r="EV28" i="1"/>
  <c r="EW28" i="1" s="1"/>
  <c r="EX28" i="1" s="1"/>
  <c r="EQ28" i="1"/>
  <c r="ER28" i="1" s="1"/>
  <c r="ES28" i="1" s="1"/>
  <c r="EL28" i="1"/>
  <c r="EM28" i="1" s="1"/>
  <c r="EN28" i="1" s="1"/>
  <c r="EE28" i="1"/>
  <c r="EF28" i="1" s="1"/>
  <c r="EG28" i="1" s="1"/>
  <c r="DZ28" i="1"/>
  <c r="EA28" i="1" s="1"/>
  <c r="EB28" i="1" s="1"/>
  <c r="DU28" i="1"/>
  <c r="DV28" i="1" s="1"/>
  <c r="DW28" i="1" s="1"/>
  <c r="DP28" i="1"/>
  <c r="DQ28" i="1" s="1"/>
  <c r="DR28" i="1" s="1"/>
  <c r="DK28" i="1"/>
  <c r="DL28" i="1" s="1"/>
  <c r="DM28" i="1" s="1"/>
  <c r="DF28" i="1"/>
  <c r="DG28" i="1" s="1"/>
  <c r="DH28" i="1" s="1"/>
  <c r="DA28" i="1"/>
  <c r="DB28" i="1" s="1"/>
  <c r="DC28" i="1" s="1"/>
  <c r="CV28" i="1"/>
  <c r="CW28" i="1" s="1"/>
  <c r="CX28" i="1" s="1"/>
  <c r="CQ28" i="1"/>
  <c r="CR28" i="1" s="1"/>
  <c r="CS28" i="1" s="1"/>
  <c r="CL28" i="1"/>
  <c r="CM28" i="1" s="1"/>
  <c r="CN28" i="1" s="1"/>
  <c r="CG28" i="1"/>
  <c r="CH28" i="1" s="1"/>
  <c r="CI28" i="1" s="1"/>
  <c r="CA28" i="1"/>
  <c r="CB28" i="1" s="1"/>
  <c r="CC28" i="1" s="1"/>
  <c r="BV28" i="1"/>
  <c r="BW28" i="1" s="1"/>
  <c r="BX28" i="1" s="1"/>
  <c r="BQ28" i="1"/>
  <c r="BR28" i="1" s="1"/>
  <c r="BS28" i="1" s="1"/>
  <c r="BL28" i="1"/>
  <c r="BM28" i="1" s="1"/>
  <c r="BN28" i="1" s="1"/>
  <c r="BG28" i="1"/>
  <c r="BH28" i="1" s="1"/>
  <c r="BI28" i="1" s="1"/>
  <c r="BB28" i="1"/>
  <c r="BC28" i="1" s="1"/>
  <c r="BD28" i="1" s="1"/>
  <c r="AW28" i="1"/>
  <c r="AX28" i="1" s="1"/>
  <c r="AY28" i="1" s="1"/>
  <c r="AR28" i="1"/>
  <c r="AS28" i="1" s="1"/>
  <c r="AT28" i="1" s="1"/>
  <c r="AM28" i="1"/>
  <c r="AN28" i="1" s="1"/>
  <c r="AO28" i="1" s="1"/>
  <c r="AH28" i="1"/>
  <c r="AI28" i="1" s="1"/>
  <c r="AJ28" i="1" s="1"/>
  <c r="AE28" i="1"/>
  <c r="W28" i="1"/>
  <c r="X28" i="1" s="1"/>
  <c r="Y28" i="1" s="1"/>
  <c r="S28" i="1"/>
  <c r="N28" i="1"/>
  <c r="G28" i="1"/>
  <c r="H28" i="1" s="1"/>
  <c r="I28" i="1" s="1"/>
  <c r="NZ27" i="1"/>
  <c r="NU27" i="1"/>
  <c r="NP27" i="1"/>
  <c r="NK27" i="1"/>
  <c r="NF27" i="1"/>
  <c r="NA27" i="1"/>
  <c r="MV27" i="1"/>
  <c r="MQ27" i="1"/>
  <c r="MM27" i="1"/>
  <c r="MI27" i="1"/>
  <c r="MD27" i="1"/>
  <c r="LY27" i="1"/>
  <c r="LT27" i="1"/>
  <c r="LO27" i="1"/>
  <c r="LJ27" i="1"/>
  <c r="LE27" i="1"/>
  <c r="KZ27" i="1"/>
  <c r="KV27" i="1"/>
  <c r="KQ27" i="1"/>
  <c r="KM27" i="1"/>
  <c r="KI27" i="1"/>
  <c r="KE27" i="1"/>
  <c r="KA27" i="1"/>
  <c r="JV27" i="1"/>
  <c r="JQ27" i="1"/>
  <c r="JM27" i="1"/>
  <c r="JI27" i="1"/>
  <c r="JD27" i="1"/>
  <c r="IY27" i="1"/>
  <c r="IT27" i="1"/>
  <c r="IO27" i="1"/>
  <c r="IJ27" i="1"/>
  <c r="IE27" i="1"/>
  <c r="HZ27" i="1"/>
  <c r="HU27" i="1"/>
  <c r="HP27" i="1"/>
  <c r="HK27" i="1"/>
  <c r="HD27" i="1"/>
  <c r="HE27" i="1" s="1"/>
  <c r="HF27" i="1" s="1"/>
  <c r="GY27" i="1"/>
  <c r="GZ27" i="1" s="1"/>
  <c r="HA27" i="1" s="1"/>
  <c r="GT27" i="1"/>
  <c r="GU27" i="1" s="1"/>
  <c r="GV27" i="1" s="1"/>
  <c r="GO27" i="1"/>
  <c r="GP27" i="1" s="1"/>
  <c r="GQ27" i="1" s="1"/>
  <c r="GJ27" i="1"/>
  <c r="GK27" i="1" s="1"/>
  <c r="GL27" i="1" s="1"/>
  <c r="GE27" i="1"/>
  <c r="GF27" i="1" s="1"/>
  <c r="GG27" i="1" s="1"/>
  <c r="FZ27" i="1"/>
  <c r="GA27" i="1" s="1"/>
  <c r="GB27" i="1" s="1"/>
  <c r="FU27" i="1"/>
  <c r="FV27" i="1" s="1"/>
  <c r="FW27" i="1" s="1"/>
  <c r="FP27" i="1"/>
  <c r="FQ27" i="1" s="1"/>
  <c r="FR27" i="1" s="1"/>
  <c r="FK27" i="1"/>
  <c r="FL27" i="1" s="1"/>
  <c r="FM27" i="1" s="1"/>
  <c r="FF27" i="1"/>
  <c r="FG27" i="1" s="1"/>
  <c r="FH27" i="1" s="1"/>
  <c r="FA27" i="1"/>
  <c r="FB27" i="1" s="1"/>
  <c r="FC27" i="1" s="1"/>
  <c r="EV27" i="1"/>
  <c r="EW27" i="1" s="1"/>
  <c r="EX27" i="1" s="1"/>
  <c r="EQ27" i="1"/>
  <c r="ER27" i="1" s="1"/>
  <c r="ES27" i="1" s="1"/>
  <c r="EL27" i="1"/>
  <c r="EM27" i="1" s="1"/>
  <c r="EN27" i="1" s="1"/>
  <c r="EE27" i="1"/>
  <c r="EF27" i="1" s="1"/>
  <c r="EG27" i="1" s="1"/>
  <c r="DZ27" i="1"/>
  <c r="EA27" i="1" s="1"/>
  <c r="EB27" i="1" s="1"/>
  <c r="DU27" i="1"/>
  <c r="DV27" i="1" s="1"/>
  <c r="DW27" i="1" s="1"/>
  <c r="DP27" i="1"/>
  <c r="DQ27" i="1" s="1"/>
  <c r="DR27" i="1" s="1"/>
  <c r="DK27" i="1"/>
  <c r="DL27" i="1" s="1"/>
  <c r="DM27" i="1" s="1"/>
  <c r="DF27" i="1"/>
  <c r="DG27" i="1" s="1"/>
  <c r="DH27" i="1" s="1"/>
  <c r="DA27" i="1"/>
  <c r="DB27" i="1" s="1"/>
  <c r="DC27" i="1" s="1"/>
  <c r="CV27" i="1"/>
  <c r="CW27" i="1" s="1"/>
  <c r="CX27" i="1" s="1"/>
  <c r="CQ27" i="1"/>
  <c r="CR27" i="1" s="1"/>
  <c r="CS27" i="1" s="1"/>
  <c r="CL27" i="1"/>
  <c r="CM27" i="1" s="1"/>
  <c r="CN27" i="1" s="1"/>
  <c r="CG27" i="1"/>
  <c r="CH27" i="1" s="1"/>
  <c r="CI27" i="1" s="1"/>
  <c r="CA27" i="1"/>
  <c r="CB27" i="1" s="1"/>
  <c r="CC27" i="1" s="1"/>
  <c r="BV27" i="1"/>
  <c r="BW27" i="1" s="1"/>
  <c r="BX27" i="1" s="1"/>
  <c r="BQ27" i="1"/>
  <c r="BR27" i="1" s="1"/>
  <c r="BS27" i="1" s="1"/>
  <c r="BL27" i="1"/>
  <c r="BM27" i="1" s="1"/>
  <c r="BN27" i="1" s="1"/>
  <c r="BG27" i="1"/>
  <c r="BH27" i="1" s="1"/>
  <c r="BI27" i="1" s="1"/>
  <c r="BB27" i="1"/>
  <c r="BC27" i="1" s="1"/>
  <c r="BD27" i="1" s="1"/>
  <c r="AW27" i="1"/>
  <c r="AX27" i="1" s="1"/>
  <c r="AY27" i="1" s="1"/>
  <c r="AR27" i="1"/>
  <c r="AS27" i="1" s="1"/>
  <c r="AT27" i="1" s="1"/>
  <c r="AM27" i="1"/>
  <c r="AN27" i="1" s="1"/>
  <c r="AO27" i="1" s="1"/>
  <c r="AH27" i="1"/>
  <c r="AI27" i="1" s="1"/>
  <c r="AJ27" i="1" s="1"/>
  <c r="AE27" i="1"/>
  <c r="W27" i="1"/>
  <c r="X27" i="1" s="1"/>
  <c r="Y27" i="1" s="1"/>
  <c r="S27" i="1"/>
  <c r="N27" i="1"/>
  <c r="G27" i="1"/>
  <c r="H27" i="1" s="1"/>
  <c r="I27" i="1" s="1"/>
  <c r="NZ26" i="1"/>
  <c r="NU26" i="1"/>
  <c r="NP26" i="1"/>
  <c r="NK26" i="1"/>
  <c r="NF26" i="1"/>
  <c r="NA26" i="1"/>
  <c r="MV26" i="1"/>
  <c r="MQ26" i="1"/>
  <c r="MM26" i="1"/>
  <c r="MI26" i="1"/>
  <c r="MD26" i="1"/>
  <c r="LY26" i="1"/>
  <c r="LT26" i="1"/>
  <c r="LO26" i="1"/>
  <c r="LJ26" i="1"/>
  <c r="LE26" i="1"/>
  <c r="KZ26" i="1"/>
  <c r="KV26" i="1"/>
  <c r="KQ26" i="1"/>
  <c r="KM26" i="1"/>
  <c r="KI26" i="1"/>
  <c r="KE26" i="1"/>
  <c r="JY26" i="1"/>
  <c r="JZ26" i="1" s="1"/>
  <c r="KA26" i="1" s="1"/>
  <c r="JV26" i="1"/>
  <c r="JQ26" i="1"/>
  <c r="JM26" i="1"/>
  <c r="JI26" i="1"/>
  <c r="JB26" i="1"/>
  <c r="JC26" i="1" s="1"/>
  <c r="JD26" i="1" s="1"/>
  <c r="IW26" i="1"/>
  <c r="IX26" i="1" s="1"/>
  <c r="IY26" i="1" s="1"/>
  <c r="IR26" i="1"/>
  <c r="IS26" i="1" s="1"/>
  <c r="IT26" i="1" s="1"/>
  <c r="IM26" i="1"/>
  <c r="IN26" i="1" s="1"/>
  <c r="IO26" i="1" s="1"/>
  <c r="IH26" i="1"/>
  <c r="II26" i="1" s="1"/>
  <c r="IJ26" i="1" s="1"/>
  <c r="IC26" i="1"/>
  <c r="ID26" i="1" s="1"/>
  <c r="IE26" i="1" s="1"/>
  <c r="HX26" i="1"/>
  <c r="HY26" i="1" s="1"/>
  <c r="HZ26" i="1" s="1"/>
  <c r="HU26" i="1"/>
  <c r="HP26" i="1"/>
  <c r="HI26" i="1"/>
  <c r="HJ26" i="1" s="1"/>
  <c r="HK26" i="1" s="1"/>
  <c r="HD26" i="1"/>
  <c r="HE26" i="1" s="1"/>
  <c r="HF26" i="1" s="1"/>
  <c r="GY26" i="1"/>
  <c r="GZ26" i="1" s="1"/>
  <c r="HA26" i="1" s="1"/>
  <c r="GT26" i="1"/>
  <c r="GU26" i="1" s="1"/>
  <c r="GV26" i="1" s="1"/>
  <c r="GO26" i="1"/>
  <c r="GP26" i="1" s="1"/>
  <c r="GQ26" i="1" s="1"/>
  <c r="GJ26" i="1"/>
  <c r="GK26" i="1" s="1"/>
  <c r="GL26" i="1" s="1"/>
  <c r="GE26" i="1"/>
  <c r="GF26" i="1" s="1"/>
  <c r="GG26" i="1" s="1"/>
  <c r="FZ26" i="1"/>
  <c r="GA26" i="1" s="1"/>
  <c r="GB26" i="1" s="1"/>
  <c r="FU26" i="1"/>
  <c r="FV26" i="1" s="1"/>
  <c r="FW26" i="1" s="1"/>
  <c r="FP26" i="1"/>
  <c r="FQ26" i="1" s="1"/>
  <c r="FR26" i="1" s="1"/>
  <c r="FK26" i="1"/>
  <c r="FL26" i="1" s="1"/>
  <c r="FM26" i="1" s="1"/>
  <c r="FF26" i="1"/>
  <c r="FG26" i="1" s="1"/>
  <c r="FH26" i="1" s="1"/>
  <c r="FA26" i="1"/>
  <c r="FB26" i="1" s="1"/>
  <c r="FC26" i="1" s="1"/>
  <c r="EV26" i="1"/>
  <c r="EW26" i="1" s="1"/>
  <c r="EX26" i="1" s="1"/>
  <c r="EQ26" i="1"/>
  <c r="ER26" i="1" s="1"/>
  <c r="ES26" i="1" s="1"/>
  <c r="EL26" i="1"/>
  <c r="EM26" i="1" s="1"/>
  <c r="EN26" i="1" s="1"/>
  <c r="EE26" i="1"/>
  <c r="EF26" i="1" s="1"/>
  <c r="EG26" i="1" s="1"/>
  <c r="DZ26" i="1"/>
  <c r="EA26" i="1" s="1"/>
  <c r="EB26" i="1" s="1"/>
  <c r="DU26" i="1"/>
  <c r="DV26" i="1" s="1"/>
  <c r="DW26" i="1" s="1"/>
  <c r="DP26" i="1"/>
  <c r="DQ26" i="1" s="1"/>
  <c r="DR26" i="1" s="1"/>
  <c r="DK26" i="1"/>
  <c r="DL26" i="1" s="1"/>
  <c r="DM26" i="1" s="1"/>
  <c r="DF26" i="1"/>
  <c r="DG26" i="1" s="1"/>
  <c r="DH26" i="1" s="1"/>
  <c r="DA26" i="1"/>
  <c r="DB26" i="1" s="1"/>
  <c r="DC26" i="1" s="1"/>
  <c r="CV26" i="1"/>
  <c r="CW26" i="1" s="1"/>
  <c r="CX26" i="1" s="1"/>
  <c r="CQ26" i="1"/>
  <c r="CR26" i="1" s="1"/>
  <c r="CS26" i="1" s="1"/>
  <c r="CL26" i="1"/>
  <c r="CM26" i="1" s="1"/>
  <c r="CN26" i="1" s="1"/>
  <c r="CG26" i="1"/>
  <c r="CH26" i="1" s="1"/>
  <c r="CI26" i="1" s="1"/>
  <c r="CA26" i="1"/>
  <c r="CB26" i="1" s="1"/>
  <c r="CC26" i="1" s="1"/>
  <c r="BV26" i="1"/>
  <c r="BW26" i="1" s="1"/>
  <c r="BX26" i="1" s="1"/>
  <c r="BQ26" i="1"/>
  <c r="BR26" i="1" s="1"/>
  <c r="BS26" i="1" s="1"/>
  <c r="BL26" i="1"/>
  <c r="BM26" i="1" s="1"/>
  <c r="BN26" i="1" s="1"/>
  <c r="BG26" i="1"/>
  <c r="BH26" i="1" s="1"/>
  <c r="BI26" i="1" s="1"/>
  <c r="BB26" i="1"/>
  <c r="BC26" i="1" s="1"/>
  <c r="BD26" i="1" s="1"/>
  <c r="AW26" i="1"/>
  <c r="AX26" i="1" s="1"/>
  <c r="AY26" i="1" s="1"/>
  <c r="AR26" i="1"/>
  <c r="AS26" i="1" s="1"/>
  <c r="AT26" i="1" s="1"/>
  <c r="AM26" i="1"/>
  <c r="AN26" i="1" s="1"/>
  <c r="AO26" i="1" s="1"/>
  <c r="AH26" i="1"/>
  <c r="AI26" i="1" s="1"/>
  <c r="AJ26" i="1" s="1"/>
  <c r="AC26" i="1"/>
  <c r="AD26" i="1" s="1"/>
  <c r="AE26" i="1" s="1"/>
  <c r="W26" i="1"/>
  <c r="X26" i="1" s="1"/>
  <c r="Y26" i="1" s="1"/>
  <c r="S26" i="1"/>
  <c r="N26" i="1"/>
  <c r="I26" i="1"/>
  <c r="NZ25" i="1"/>
  <c r="NU25" i="1"/>
  <c r="NP25" i="1"/>
  <c r="NK25" i="1"/>
  <c r="NF25" i="1"/>
  <c r="NA25" i="1"/>
  <c r="MV25" i="1"/>
  <c r="MQ25" i="1"/>
  <c r="MM25" i="1"/>
  <c r="MI25" i="1"/>
  <c r="MD25" i="1"/>
  <c r="LY25" i="1"/>
  <c r="LT25" i="1"/>
  <c r="LO25" i="1"/>
  <c r="LJ25" i="1"/>
  <c r="LE25" i="1"/>
  <c r="KZ25" i="1"/>
  <c r="KV25" i="1"/>
  <c r="KQ25" i="1"/>
  <c r="KM25" i="1"/>
  <c r="KI25" i="1"/>
  <c r="KE25" i="1"/>
  <c r="JY25" i="1"/>
  <c r="JZ25" i="1" s="1"/>
  <c r="KA25" i="1" s="1"/>
  <c r="JV25" i="1"/>
  <c r="JQ25" i="1"/>
  <c r="JM25" i="1"/>
  <c r="JI25" i="1"/>
  <c r="JD25" i="1"/>
  <c r="IY25" i="1"/>
  <c r="IT25" i="1"/>
  <c r="IO25" i="1"/>
  <c r="IJ25" i="1"/>
  <c r="IE25" i="1"/>
  <c r="HZ25" i="1"/>
  <c r="HU25" i="1"/>
  <c r="HP25" i="1"/>
  <c r="HK25" i="1"/>
  <c r="HD25" i="1"/>
  <c r="HE25" i="1" s="1"/>
  <c r="HF25" i="1" s="1"/>
  <c r="GY25" i="1"/>
  <c r="GZ25" i="1" s="1"/>
  <c r="HA25" i="1" s="1"/>
  <c r="GT25" i="1"/>
  <c r="GU25" i="1" s="1"/>
  <c r="GV25" i="1" s="1"/>
  <c r="GO25" i="1"/>
  <c r="GP25" i="1" s="1"/>
  <c r="GQ25" i="1" s="1"/>
  <c r="GJ25" i="1"/>
  <c r="GK25" i="1" s="1"/>
  <c r="GL25" i="1" s="1"/>
  <c r="GE25" i="1"/>
  <c r="GF25" i="1" s="1"/>
  <c r="GG25" i="1" s="1"/>
  <c r="FZ25" i="1"/>
  <c r="GA25" i="1" s="1"/>
  <c r="GB25" i="1" s="1"/>
  <c r="FU25" i="1"/>
  <c r="FV25" i="1" s="1"/>
  <c r="FW25" i="1" s="1"/>
  <c r="FP25" i="1"/>
  <c r="FQ25" i="1" s="1"/>
  <c r="FR25" i="1" s="1"/>
  <c r="FK25" i="1"/>
  <c r="FL25" i="1" s="1"/>
  <c r="FM25" i="1" s="1"/>
  <c r="FF25" i="1"/>
  <c r="FG25" i="1" s="1"/>
  <c r="FH25" i="1" s="1"/>
  <c r="FA25" i="1"/>
  <c r="FB25" i="1" s="1"/>
  <c r="FC25" i="1" s="1"/>
  <c r="EV25" i="1"/>
  <c r="EW25" i="1" s="1"/>
  <c r="EX25" i="1" s="1"/>
  <c r="EQ25" i="1"/>
  <c r="ER25" i="1" s="1"/>
  <c r="ES25" i="1" s="1"/>
  <c r="EL25" i="1"/>
  <c r="EM25" i="1" s="1"/>
  <c r="EN25" i="1" s="1"/>
  <c r="EE25" i="1"/>
  <c r="EF25" i="1" s="1"/>
  <c r="EG25" i="1" s="1"/>
  <c r="DZ25" i="1"/>
  <c r="EA25" i="1" s="1"/>
  <c r="EB25" i="1" s="1"/>
  <c r="DU25" i="1"/>
  <c r="DV25" i="1" s="1"/>
  <c r="DW25" i="1" s="1"/>
  <c r="DP25" i="1"/>
  <c r="DQ25" i="1" s="1"/>
  <c r="DR25" i="1" s="1"/>
  <c r="DK25" i="1"/>
  <c r="DL25" i="1" s="1"/>
  <c r="DM25" i="1" s="1"/>
  <c r="DF25" i="1"/>
  <c r="DG25" i="1" s="1"/>
  <c r="DH25" i="1" s="1"/>
  <c r="DA25" i="1"/>
  <c r="DB25" i="1" s="1"/>
  <c r="DC25" i="1" s="1"/>
  <c r="CV25" i="1"/>
  <c r="CW25" i="1" s="1"/>
  <c r="CX25" i="1" s="1"/>
  <c r="CQ25" i="1"/>
  <c r="CR25" i="1" s="1"/>
  <c r="CS25" i="1" s="1"/>
  <c r="CL25" i="1"/>
  <c r="CM25" i="1" s="1"/>
  <c r="CN25" i="1" s="1"/>
  <c r="CG25" i="1"/>
  <c r="CH25" i="1" s="1"/>
  <c r="CI25" i="1" s="1"/>
  <c r="CA25" i="1"/>
  <c r="CB25" i="1" s="1"/>
  <c r="CC25" i="1" s="1"/>
  <c r="BV25" i="1"/>
  <c r="BW25" i="1" s="1"/>
  <c r="BX25" i="1" s="1"/>
  <c r="BQ25" i="1"/>
  <c r="BR25" i="1" s="1"/>
  <c r="BS25" i="1" s="1"/>
  <c r="BL25" i="1"/>
  <c r="BM25" i="1" s="1"/>
  <c r="BN25" i="1" s="1"/>
  <c r="BG25" i="1"/>
  <c r="BH25" i="1" s="1"/>
  <c r="BI25" i="1" s="1"/>
  <c r="BB25" i="1"/>
  <c r="BC25" i="1" s="1"/>
  <c r="BD25" i="1" s="1"/>
  <c r="AW25" i="1"/>
  <c r="AX25" i="1" s="1"/>
  <c r="AY25" i="1" s="1"/>
  <c r="AR25" i="1"/>
  <c r="AS25" i="1" s="1"/>
  <c r="AT25" i="1" s="1"/>
  <c r="AM25" i="1"/>
  <c r="AN25" i="1" s="1"/>
  <c r="AO25" i="1" s="1"/>
  <c r="AH25" i="1"/>
  <c r="AI25" i="1" s="1"/>
  <c r="AJ25" i="1" s="1"/>
  <c r="AE25" i="1"/>
  <c r="W25" i="1"/>
  <c r="X25" i="1" s="1"/>
  <c r="Y25" i="1" s="1"/>
  <c r="S25" i="1"/>
  <c r="N25" i="1"/>
  <c r="G25" i="1"/>
  <c r="H25" i="1" s="1"/>
  <c r="I25" i="1" s="1"/>
  <c r="NZ24" i="1"/>
  <c r="NU24" i="1"/>
  <c r="NP24" i="1"/>
  <c r="NK24" i="1"/>
  <c r="NF24" i="1"/>
  <c r="NA24" i="1"/>
  <c r="MV24" i="1"/>
  <c r="MO24" i="1"/>
  <c r="MP24" i="1" s="1"/>
  <c r="MQ24" i="1" s="1"/>
  <c r="MK24" i="1"/>
  <c r="ML24" i="1" s="1"/>
  <c r="MM24" i="1" s="1"/>
  <c r="MI24" i="1"/>
  <c r="MD24" i="1"/>
  <c r="LY24" i="1"/>
  <c r="LT24" i="1"/>
  <c r="LO24" i="1"/>
  <c r="LJ24" i="1"/>
  <c r="LE24" i="1"/>
  <c r="KZ24" i="1"/>
  <c r="KV24" i="1"/>
  <c r="KQ24" i="1"/>
  <c r="KM24" i="1"/>
  <c r="KI24" i="1"/>
  <c r="KE24" i="1"/>
  <c r="KA24" i="1"/>
  <c r="JV24" i="1"/>
  <c r="JQ24" i="1"/>
  <c r="JM24" i="1"/>
  <c r="JI24" i="1"/>
  <c r="JB24" i="1"/>
  <c r="JC24" i="1" s="1"/>
  <c r="JD24" i="1" s="1"/>
  <c r="IW24" i="1"/>
  <c r="IX24" i="1" s="1"/>
  <c r="IY24" i="1" s="1"/>
  <c r="IR24" i="1"/>
  <c r="IS24" i="1" s="1"/>
  <c r="IT24" i="1" s="1"/>
  <c r="IO24" i="1"/>
  <c r="IH24" i="1"/>
  <c r="II24" i="1" s="1"/>
  <c r="IJ24" i="1" s="1"/>
  <c r="IE24" i="1"/>
  <c r="HZ24" i="1"/>
  <c r="HU24" i="1"/>
  <c r="HP24" i="1"/>
  <c r="HI24" i="1"/>
  <c r="HJ24" i="1" s="1"/>
  <c r="HK24" i="1" s="1"/>
  <c r="HD24" i="1"/>
  <c r="HE24" i="1" s="1"/>
  <c r="HF24" i="1" s="1"/>
  <c r="GY24" i="1"/>
  <c r="GZ24" i="1" s="1"/>
  <c r="HA24" i="1" s="1"/>
  <c r="GT24" i="1"/>
  <c r="GU24" i="1" s="1"/>
  <c r="GV24" i="1" s="1"/>
  <c r="GO24" i="1"/>
  <c r="GP24" i="1" s="1"/>
  <c r="GQ24" i="1" s="1"/>
  <c r="GJ24" i="1"/>
  <c r="GK24" i="1" s="1"/>
  <c r="GL24" i="1" s="1"/>
  <c r="GE24" i="1"/>
  <c r="GF24" i="1" s="1"/>
  <c r="GG24" i="1" s="1"/>
  <c r="FZ24" i="1"/>
  <c r="GA24" i="1" s="1"/>
  <c r="GB24" i="1" s="1"/>
  <c r="FU24" i="1"/>
  <c r="FV24" i="1" s="1"/>
  <c r="FW24" i="1" s="1"/>
  <c r="FP24" i="1"/>
  <c r="FQ24" i="1" s="1"/>
  <c r="FR24" i="1" s="1"/>
  <c r="FK24" i="1"/>
  <c r="FL24" i="1" s="1"/>
  <c r="FM24" i="1" s="1"/>
  <c r="FF24" i="1"/>
  <c r="FG24" i="1" s="1"/>
  <c r="FH24" i="1" s="1"/>
  <c r="FA24" i="1"/>
  <c r="FB24" i="1" s="1"/>
  <c r="FC24" i="1" s="1"/>
  <c r="EV24" i="1"/>
  <c r="EW24" i="1" s="1"/>
  <c r="EX24" i="1" s="1"/>
  <c r="EQ24" i="1"/>
  <c r="ER24" i="1" s="1"/>
  <c r="ES24" i="1" s="1"/>
  <c r="EL24" i="1"/>
  <c r="EM24" i="1" s="1"/>
  <c r="EN24" i="1" s="1"/>
  <c r="EE24" i="1"/>
  <c r="EF24" i="1" s="1"/>
  <c r="EG24" i="1" s="1"/>
  <c r="DZ24" i="1"/>
  <c r="EA24" i="1" s="1"/>
  <c r="EB24" i="1" s="1"/>
  <c r="DU24" i="1"/>
  <c r="DV24" i="1" s="1"/>
  <c r="DW24" i="1" s="1"/>
  <c r="DP24" i="1"/>
  <c r="DQ24" i="1" s="1"/>
  <c r="DR24" i="1" s="1"/>
  <c r="DK24" i="1"/>
  <c r="DL24" i="1" s="1"/>
  <c r="DM24" i="1" s="1"/>
  <c r="DF24" i="1"/>
  <c r="DG24" i="1" s="1"/>
  <c r="DH24" i="1" s="1"/>
  <c r="DA24" i="1"/>
  <c r="DB24" i="1" s="1"/>
  <c r="DC24" i="1" s="1"/>
  <c r="CV24" i="1"/>
  <c r="CW24" i="1" s="1"/>
  <c r="CX24" i="1" s="1"/>
  <c r="CQ24" i="1"/>
  <c r="CR24" i="1" s="1"/>
  <c r="CS24" i="1" s="1"/>
  <c r="CL24" i="1"/>
  <c r="CM24" i="1" s="1"/>
  <c r="CN24" i="1" s="1"/>
  <c r="CG24" i="1"/>
  <c r="CH24" i="1" s="1"/>
  <c r="CI24" i="1" s="1"/>
  <c r="CA24" i="1"/>
  <c r="CB24" i="1" s="1"/>
  <c r="CC24" i="1" s="1"/>
  <c r="BV24" i="1"/>
  <c r="BW24" i="1" s="1"/>
  <c r="BX24" i="1" s="1"/>
  <c r="BQ24" i="1"/>
  <c r="BR24" i="1" s="1"/>
  <c r="BS24" i="1" s="1"/>
  <c r="BL24" i="1"/>
  <c r="BM24" i="1" s="1"/>
  <c r="BN24" i="1" s="1"/>
  <c r="BG24" i="1"/>
  <c r="BH24" i="1" s="1"/>
  <c r="BI24" i="1" s="1"/>
  <c r="BB24" i="1"/>
  <c r="BC24" i="1" s="1"/>
  <c r="BD24" i="1" s="1"/>
  <c r="AW24" i="1"/>
  <c r="AX24" i="1" s="1"/>
  <c r="AY24" i="1" s="1"/>
  <c r="AR24" i="1"/>
  <c r="AS24" i="1" s="1"/>
  <c r="AT24" i="1" s="1"/>
  <c r="AM24" i="1"/>
  <c r="AN24" i="1" s="1"/>
  <c r="AO24" i="1" s="1"/>
  <c r="AH24" i="1"/>
  <c r="AI24" i="1" s="1"/>
  <c r="AJ24" i="1" s="1"/>
  <c r="AC24" i="1"/>
  <c r="AD24" i="1" s="1"/>
  <c r="AE24" i="1" s="1"/>
  <c r="W24" i="1"/>
  <c r="X24" i="1" s="1"/>
  <c r="Y24" i="1" s="1"/>
  <c r="S24" i="1"/>
  <c r="N24" i="1"/>
  <c r="I24" i="1"/>
  <c r="NZ23" i="1"/>
  <c r="NU23" i="1"/>
  <c r="NP23" i="1"/>
  <c r="NK23" i="1"/>
  <c r="NF23" i="1"/>
  <c r="NA23" i="1"/>
  <c r="MV23" i="1"/>
  <c r="MQ23" i="1"/>
  <c r="MM23" i="1"/>
  <c r="MI23" i="1"/>
  <c r="MD23" i="1"/>
  <c r="LY23" i="1"/>
  <c r="LT23" i="1"/>
  <c r="LO23" i="1"/>
  <c r="LH23" i="1"/>
  <c r="LI23" i="1" s="1"/>
  <c r="LJ23" i="1" s="1"/>
  <c r="LE23" i="1"/>
  <c r="KX23" i="1"/>
  <c r="KY23" i="1" s="1"/>
  <c r="KZ23" i="1" s="1"/>
  <c r="KT23" i="1"/>
  <c r="KU23" i="1" s="1"/>
  <c r="KV23" i="1" s="1"/>
  <c r="KQ23" i="1"/>
  <c r="KM23" i="1"/>
  <c r="KI23" i="1"/>
  <c r="KE23" i="1"/>
  <c r="KA23" i="1"/>
  <c r="JV23" i="1"/>
  <c r="JQ23" i="1"/>
  <c r="JM23" i="1"/>
  <c r="JI23" i="1"/>
  <c r="JB23" i="1"/>
  <c r="JC23" i="1" s="1"/>
  <c r="JD23" i="1" s="1"/>
  <c r="IW23" i="1"/>
  <c r="IX23" i="1" s="1"/>
  <c r="IY23" i="1" s="1"/>
  <c r="IR23" i="1"/>
  <c r="IS23" i="1" s="1"/>
  <c r="IT23" i="1" s="1"/>
  <c r="IM23" i="1"/>
  <c r="IN23" i="1" s="1"/>
  <c r="IO23" i="1" s="1"/>
  <c r="IH23" i="1"/>
  <c r="II23" i="1" s="1"/>
  <c r="IJ23" i="1" s="1"/>
  <c r="IC23" i="1"/>
  <c r="ID23" i="1" s="1"/>
  <c r="IE23" i="1" s="1"/>
  <c r="HX23" i="1"/>
  <c r="HY23" i="1" s="1"/>
  <c r="HZ23" i="1" s="1"/>
  <c r="HU23" i="1"/>
  <c r="HN23" i="1"/>
  <c r="HO23" i="1" s="1"/>
  <c r="HP23" i="1" s="1"/>
  <c r="HI23" i="1"/>
  <c r="HJ23" i="1" s="1"/>
  <c r="HK23" i="1" s="1"/>
  <c r="HD23" i="1"/>
  <c r="HE23" i="1" s="1"/>
  <c r="HF23" i="1" s="1"/>
  <c r="GY23" i="1"/>
  <c r="GZ23" i="1" s="1"/>
  <c r="HA23" i="1" s="1"/>
  <c r="GT23" i="1"/>
  <c r="GU23" i="1" s="1"/>
  <c r="GV23" i="1" s="1"/>
  <c r="GO23" i="1"/>
  <c r="GP23" i="1" s="1"/>
  <c r="GQ23" i="1" s="1"/>
  <c r="GJ23" i="1"/>
  <c r="GK23" i="1" s="1"/>
  <c r="GL23" i="1" s="1"/>
  <c r="GE23" i="1"/>
  <c r="GF23" i="1" s="1"/>
  <c r="GG23" i="1" s="1"/>
  <c r="FZ23" i="1"/>
  <c r="GA23" i="1" s="1"/>
  <c r="GB23" i="1" s="1"/>
  <c r="FU23" i="1"/>
  <c r="FV23" i="1" s="1"/>
  <c r="FW23" i="1" s="1"/>
  <c r="FP23" i="1"/>
  <c r="FQ23" i="1" s="1"/>
  <c r="FR23" i="1" s="1"/>
  <c r="FK23" i="1"/>
  <c r="FL23" i="1" s="1"/>
  <c r="FM23" i="1" s="1"/>
  <c r="FF23" i="1"/>
  <c r="FG23" i="1" s="1"/>
  <c r="FH23" i="1" s="1"/>
  <c r="FA23" i="1"/>
  <c r="FB23" i="1" s="1"/>
  <c r="FC23" i="1" s="1"/>
  <c r="EV23" i="1"/>
  <c r="EW23" i="1" s="1"/>
  <c r="EX23" i="1" s="1"/>
  <c r="EQ23" i="1"/>
  <c r="ER23" i="1" s="1"/>
  <c r="ES23" i="1" s="1"/>
  <c r="EL23" i="1"/>
  <c r="EM23" i="1" s="1"/>
  <c r="EN23" i="1" s="1"/>
  <c r="EE23" i="1"/>
  <c r="EF23" i="1" s="1"/>
  <c r="EG23" i="1" s="1"/>
  <c r="DZ23" i="1"/>
  <c r="EA23" i="1" s="1"/>
  <c r="EB23" i="1" s="1"/>
  <c r="DU23" i="1"/>
  <c r="DV23" i="1" s="1"/>
  <c r="DW23" i="1" s="1"/>
  <c r="DP23" i="1"/>
  <c r="DQ23" i="1" s="1"/>
  <c r="DR23" i="1" s="1"/>
  <c r="DK23" i="1"/>
  <c r="DL23" i="1" s="1"/>
  <c r="DM23" i="1" s="1"/>
  <c r="DF23" i="1"/>
  <c r="DG23" i="1" s="1"/>
  <c r="DH23" i="1" s="1"/>
  <c r="DA23" i="1"/>
  <c r="DB23" i="1" s="1"/>
  <c r="DC23" i="1" s="1"/>
  <c r="CV23" i="1"/>
  <c r="CW23" i="1" s="1"/>
  <c r="CX23" i="1" s="1"/>
  <c r="CQ23" i="1"/>
  <c r="CR23" i="1" s="1"/>
  <c r="CS23" i="1" s="1"/>
  <c r="CL23" i="1"/>
  <c r="CM23" i="1" s="1"/>
  <c r="CN23" i="1" s="1"/>
  <c r="CG23" i="1"/>
  <c r="CH23" i="1" s="1"/>
  <c r="CI23" i="1" s="1"/>
  <c r="CA23" i="1"/>
  <c r="CB23" i="1" s="1"/>
  <c r="CC23" i="1" s="1"/>
  <c r="BV23" i="1"/>
  <c r="BW23" i="1" s="1"/>
  <c r="BX23" i="1" s="1"/>
  <c r="BQ23" i="1"/>
  <c r="BR23" i="1" s="1"/>
  <c r="BS23" i="1" s="1"/>
  <c r="BL23" i="1"/>
  <c r="BM23" i="1" s="1"/>
  <c r="BN23" i="1" s="1"/>
  <c r="BG23" i="1"/>
  <c r="BH23" i="1" s="1"/>
  <c r="BI23" i="1" s="1"/>
  <c r="BB23" i="1"/>
  <c r="BC23" i="1" s="1"/>
  <c r="BD23" i="1" s="1"/>
  <c r="AW23" i="1"/>
  <c r="AX23" i="1" s="1"/>
  <c r="AY23" i="1" s="1"/>
  <c r="AR23" i="1"/>
  <c r="AS23" i="1" s="1"/>
  <c r="AT23" i="1" s="1"/>
  <c r="AM23" i="1"/>
  <c r="AN23" i="1" s="1"/>
  <c r="AO23" i="1" s="1"/>
  <c r="AH23" i="1"/>
  <c r="AI23" i="1" s="1"/>
  <c r="AJ23" i="1" s="1"/>
  <c r="AC23" i="1"/>
  <c r="AD23" i="1" s="1"/>
  <c r="AE23" i="1" s="1"/>
  <c r="W23" i="1"/>
  <c r="X23" i="1" s="1"/>
  <c r="Y23" i="1" s="1"/>
  <c r="Q23" i="1"/>
  <c r="R23" i="1" s="1"/>
  <c r="S23" i="1" s="1"/>
  <c r="N23" i="1"/>
  <c r="I23" i="1"/>
  <c r="NZ22" i="1"/>
  <c r="NU22" i="1"/>
  <c r="NP22" i="1"/>
  <c r="NK22" i="1"/>
  <c r="NF22" i="1"/>
  <c r="NA22" i="1"/>
  <c r="MV22" i="1"/>
  <c r="MQ22" i="1"/>
  <c r="MM22" i="1"/>
  <c r="MI22" i="1"/>
  <c r="MD22" i="1"/>
  <c r="LY22" i="1"/>
  <c r="LT22" i="1"/>
  <c r="LO22" i="1"/>
  <c r="LJ22" i="1"/>
  <c r="LE22" i="1"/>
  <c r="KX22" i="1"/>
  <c r="KY22" i="1" s="1"/>
  <c r="KZ22" i="1" s="1"/>
  <c r="KT22" i="1"/>
  <c r="KU22" i="1" s="1"/>
  <c r="KV22" i="1" s="1"/>
  <c r="KQ22" i="1"/>
  <c r="KM22" i="1"/>
  <c r="KI22" i="1"/>
  <c r="KE22" i="1"/>
  <c r="KA22" i="1"/>
  <c r="JV22" i="1"/>
  <c r="JQ22" i="1"/>
  <c r="JM22" i="1"/>
  <c r="JI22" i="1"/>
  <c r="JD22" i="1"/>
  <c r="IY22" i="1"/>
  <c r="IT22" i="1"/>
  <c r="IO22" i="1"/>
  <c r="IJ22" i="1"/>
  <c r="IE22" i="1"/>
  <c r="HZ22" i="1"/>
  <c r="HU22" i="1"/>
  <c r="HP22" i="1"/>
  <c r="HI22" i="1"/>
  <c r="HJ22" i="1" s="1"/>
  <c r="HK22" i="1" s="1"/>
  <c r="HD22" i="1"/>
  <c r="HE22" i="1" s="1"/>
  <c r="HF22" i="1" s="1"/>
  <c r="GY22" i="1"/>
  <c r="GZ22" i="1" s="1"/>
  <c r="HA22" i="1" s="1"/>
  <c r="GT22" i="1"/>
  <c r="GU22" i="1" s="1"/>
  <c r="GV22" i="1" s="1"/>
  <c r="GO22" i="1"/>
  <c r="GP22" i="1" s="1"/>
  <c r="GQ22" i="1" s="1"/>
  <c r="GJ22" i="1"/>
  <c r="GK22" i="1" s="1"/>
  <c r="GL22" i="1" s="1"/>
  <c r="GE22" i="1"/>
  <c r="GF22" i="1" s="1"/>
  <c r="GG22" i="1" s="1"/>
  <c r="FZ22" i="1"/>
  <c r="GA22" i="1" s="1"/>
  <c r="GB22" i="1" s="1"/>
  <c r="FU22" i="1"/>
  <c r="FV22" i="1" s="1"/>
  <c r="FW22" i="1" s="1"/>
  <c r="FP22" i="1"/>
  <c r="FQ22" i="1" s="1"/>
  <c r="FR22" i="1" s="1"/>
  <c r="FK22" i="1"/>
  <c r="FL22" i="1" s="1"/>
  <c r="FM22" i="1" s="1"/>
  <c r="FF22" i="1"/>
  <c r="FG22" i="1" s="1"/>
  <c r="FH22" i="1" s="1"/>
  <c r="FA22" i="1"/>
  <c r="FB22" i="1" s="1"/>
  <c r="FC22" i="1" s="1"/>
  <c r="EV22" i="1"/>
  <c r="EW22" i="1" s="1"/>
  <c r="EX22" i="1" s="1"/>
  <c r="EQ22" i="1"/>
  <c r="ER22" i="1" s="1"/>
  <c r="ES22" i="1" s="1"/>
  <c r="EL22" i="1"/>
  <c r="EM22" i="1" s="1"/>
  <c r="EN22" i="1" s="1"/>
  <c r="EE22" i="1"/>
  <c r="EF22" i="1" s="1"/>
  <c r="EG22" i="1" s="1"/>
  <c r="DZ22" i="1"/>
  <c r="EA22" i="1" s="1"/>
  <c r="EB22" i="1" s="1"/>
  <c r="DU22" i="1"/>
  <c r="DV22" i="1" s="1"/>
  <c r="DW22" i="1" s="1"/>
  <c r="DP22" i="1"/>
  <c r="DQ22" i="1" s="1"/>
  <c r="DR22" i="1" s="1"/>
  <c r="DK22" i="1"/>
  <c r="DL22" i="1" s="1"/>
  <c r="DM22" i="1" s="1"/>
  <c r="DF22" i="1"/>
  <c r="DG22" i="1" s="1"/>
  <c r="DH22" i="1" s="1"/>
  <c r="DA22" i="1"/>
  <c r="DB22" i="1" s="1"/>
  <c r="DC22" i="1" s="1"/>
  <c r="CV22" i="1"/>
  <c r="CW22" i="1" s="1"/>
  <c r="CX22" i="1" s="1"/>
  <c r="CQ22" i="1"/>
  <c r="CR22" i="1" s="1"/>
  <c r="CS22" i="1" s="1"/>
  <c r="CL22" i="1"/>
  <c r="CM22" i="1" s="1"/>
  <c r="CN22" i="1" s="1"/>
  <c r="CG22" i="1"/>
  <c r="CH22" i="1" s="1"/>
  <c r="CI22" i="1" s="1"/>
  <c r="CA22" i="1"/>
  <c r="CB22" i="1" s="1"/>
  <c r="CC22" i="1" s="1"/>
  <c r="BV22" i="1"/>
  <c r="BW22" i="1" s="1"/>
  <c r="BX22" i="1" s="1"/>
  <c r="BQ22" i="1"/>
  <c r="BR22" i="1" s="1"/>
  <c r="BS22" i="1" s="1"/>
  <c r="BL22" i="1"/>
  <c r="BM22" i="1" s="1"/>
  <c r="BN22" i="1" s="1"/>
  <c r="BG22" i="1"/>
  <c r="BH22" i="1" s="1"/>
  <c r="BI22" i="1" s="1"/>
  <c r="BB22" i="1"/>
  <c r="BC22" i="1" s="1"/>
  <c r="BD22" i="1" s="1"/>
  <c r="AW22" i="1"/>
  <c r="AX22" i="1" s="1"/>
  <c r="AY22" i="1" s="1"/>
  <c r="AR22" i="1"/>
  <c r="AS22" i="1" s="1"/>
  <c r="AT22" i="1" s="1"/>
  <c r="AM22" i="1"/>
  <c r="AN22" i="1" s="1"/>
  <c r="AO22" i="1" s="1"/>
  <c r="AH22" i="1"/>
  <c r="AI22" i="1" s="1"/>
  <c r="AJ22" i="1" s="1"/>
  <c r="AC22" i="1"/>
  <c r="AD22" i="1" s="1"/>
  <c r="AE22" i="1" s="1"/>
  <c r="W22" i="1"/>
  <c r="X22" i="1" s="1"/>
  <c r="Y22" i="1" s="1"/>
  <c r="Q22" i="1"/>
  <c r="R22" i="1" s="1"/>
  <c r="S22" i="1" s="1"/>
  <c r="N22" i="1"/>
  <c r="I22" i="1"/>
  <c r="NZ21" i="1"/>
  <c r="NU21" i="1"/>
  <c r="NP21" i="1"/>
  <c r="NK21" i="1"/>
  <c r="NF21" i="1"/>
  <c r="NA21" i="1"/>
  <c r="MV21" i="1"/>
  <c r="MQ21" i="1"/>
  <c r="MM21" i="1"/>
  <c r="MI21" i="1"/>
  <c r="MD21" i="1"/>
  <c r="LY21" i="1"/>
  <c r="LT21" i="1"/>
  <c r="LO21" i="1"/>
  <c r="LJ21" i="1"/>
  <c r="LC21" i="1"/>
  <c r="LD21" i="1" s="1"/>
  <c r="LE21" i="1" s="1"/>
  <c r="KZ21" i="1"/>
  <c r="KT21" i="1"/>
  <c r="KU21" i="1" s="1"/>
  <c r="KV21" i="1" s="1"/>
  <c r="KQ21" i="1"/>
  <c r="KM21" i="1"/>
  <c r="KI21" i="1"/>
  <c r="KE21" i="1"/>
  <c r="JY21" i="1"/>
  <c r="JZ21" i="1" s="1"/>
  <c r="KA21" i="1" s="1"/>
  <c r="JV21" i="1"/>
  <c r="JQ21" i="1"/>
  <c r="JM21" i="1"/>
  <c r="JI21" i="1"/>
  <c r="JB21" i="1"/>
  <c r="JC21" i="1" s="1"/>
  <c r="JD21" i="1" s="1"/>
  <c r="IW21" i="1"/>
  <c r="IX21" i="1" s="1"/>
  <c r="IY21" i="1" s="1"/>
  <c r="IR21" i="1"/>
  <c r="IS21" i="1" s="1"/>
  <c r="IT21" i="1" s="1"/>
  <c r="IM21" i="1"/>
  <c r="IN21" i="1" s="1"/>
  <c r="IO21" i="1" s="1"/>
  <c r="IH21" i="1"/>
  <c r="II21" i="1" s="1"/>
  <c r="IJ21" i="1" s="1"/>
  <c r="IC21" i="1"/>
  <c r="ID21" i="1" s="1"/>
  <c r="IE21" i="1" s="1"/>
  <c r="HX21" i="1"/>
  <c r="HY21" i="1" s="1"/>
  <c r="HZ21" i="1" s="1"/>
  <c r="HS21" i="1"/>
  <c r="HT21" i="1" s="1"/>
  <c r="HU21" i="1" s="1"/>
  <c r="HN21" i="1"/>
  <c r="HO21" i="1" s="1"/>
  <c r="HP21" i="1" s="1"/>
  <c r="HI21" i="1"/>
  <c r="HJ21" i="1" s="1"/>
  <c r="HK21" i="1" s="1"/>
  <c r="HD21" i="1"/>
  <c r="HE21" i="1" s="1"/>
  <c r="HF21" i="1" s="1"/>
  <c r="GY21" i="1"/>
  <c r="GZ21" i="1" s="1"/>
  <c r="HA21" i="1" s="1"/>
  <c r="GT21" i="1"/>
  <c r="GU21" i="1" s="1"/>
  <c r="GV21" i="1" s="1"/>
  <c r="GO21" i="1"/>
  <c r="GP21" i="1" s="1"/>
  <c r="GQ21" i="1" s="1"/>
  <c r="GJ21" i="1"/>
  <c r="GK21" i="1" s="1"/>
  <c r="GL21" i="1" s="1"/>
  <c r="GE21" i="1"/>
  <c r="GF21" i="1" s="1"/>
  <c r="GG21" i="1" s="1"/>
  <c r="FZ21" i="1"/>
  <c r="GA21" i="1" s="1"/>
  <c r="GB21" i="1" s="1"/>
  <c r="FU21" i="1"/>
  <c r="FV21" i="1" s="1"/>
  <c r="FW21" i="1" s="1"/>
  <c r="FP21" i="1"/>
  <c r="FQ21" i="1" s="1"/>
  <c r="FR21" i="1" s="1"/>
  <c r="FK21" i="1"/>
  <c r="FL21" i="1" s="1"/>
  <c r="FM21" i="1" s="1"/>
  <c r="FF21" i="1"/>
  <c r="FG21" i="1" s="1"/>
  <c r="FH21" i="1" s="1"/>
  <c r="FA21" i="1"/>
  <c r="FB21" i="1" s="1"/>
  <c r="FC21" i="1" s="1"/>
  <c r="EV21" i="1"/>
  <c r="EW21" i="1" s="1"/>
  <c r="EX21" i="1" s="1"/>
  <c r="EQ21" i="1"/>
  <c r="ER21" i="1" s="1"/>
  <c r="ES21" i="1" s="1"/>
  <c r="EL21" i="1"/>
  <c r="EM21" i="1" s="1"/>
  <c r="EN21" i="1" s="1"/>
  <c r="EE21" i="1"/>
  <c r="EF21" i="1" s="1"/>
  <c r="EG21" i="1" s="1"/>
  <c r="DZ21" i="1"/>
  <c r="EA21" i="1" s="1"/>
  <c r="EB21" i="1" s="1"/>
  <c r="DU21" i="1"/>
  <c r="DV21" i="1" s="1"/>
  <c r="DW21" i="1" s="1"/>
  <c r="DP21" i="1"/>
  <c r="DQ21" i="1" s="1"/>
  <c r="DR21" i="1" s="1"/>
  <c r="DK21" i="1"/>
  <c r="DL21" i="1" s="1"/>
  <c r="DM21" i="1" s="1"/>
  <c r="DF21" i="1"/>
  <c r="DG21" i="1" s="1"/>
  <c r="DH21" i="1" s="1"/>
  <c r="DA21" i="1"/>
  <c r="DB21" i="1" s="1"/>
  <c r="DC21" i="1" s="1"/>
  <c r="CV21" i="1"/>
  <c r="CW21" i="1" s="1"/>
  <c r="CX21" i="1" s="1"/>
  <c r="CQ21" i="1"/>
  <c r="CR21" i="1" s="1"/>
  <c r="CS21" i="1" s="1"/>
  <c r="CL21" i="1"/>
  <c r="CM21" i="1" s="1"/>
  <c r="CN21" i="1" s="1"/>
  <c r="CG21" i="1"/>
  <c r="CH21" i="1" s="1"/>
  <c r="CI21" i="1" s="1"/>
  <c r="CA21" i="1"/>
  <c r="CB21" i="1" s="1"/>
  <c r="CC21" i="1" s="1"/>
  <c r="BV21" i="1"/>
  <c r="BW21" i="1" s="1"/>
  <c r="BX21" i="1" s="1"/>
  <c r="BQ21" i="1"/>
  <c r="BR21" i="1" s="1"/>
  <c r="BS21" i="1" s="1"/>
  <c r="BL21" i="1"/>
  <c r="BM21" i="1" s="1"/>
  <c r="BN21" i="1" s="1"/>
  <c r="BG21" i="1"/>
  <c r="BH21" i="1" s="1"/>
  <c r="BI21" i="1" s="1"/>
  <c r="BB21" i="1"/>
  <c r="BC21" i="1" s="1"/>
  <c r="BD21" i="1" s="1"/>
  <c r="AW21" i="1"/>
  <c r="AX21" i="1" s="1"/>
  <c r="AY21" i="1" s="1"/>
  <c r="AR21" i="1"/>
  <c r="AS21" i="1" s="1"/>
  <c r="AT21" i="1" s="1"/>
  <c r="AM21" i="1"/>
  <c r="AN21" i="1" s="1"/>
  <c r="AO21" i="1" s="1"/>
  <c r="AH21" i="1"/>
  <c r="AI21" i="1" s="1"/>
  <c r="AJ21" i="1" s="1"/>
  <c r="AC21" i="1"/>
  <c r="AD21" i="1" s="1"/>
  <c r="AE21" i="1" s="1"/>
  <c r="W21" i="1"/>
  <c r="X21" i="1" s="1"/>
  <c r="Y21" i="1" s="1"/>
  <c r="S21" i="1"/>
  <c r="N21" i="1"/>
  <c r="I21" i="1"/>
  <c r="NZ20" i="1"/>
  <c r="NU20" i="1"/>
  <c r="NP20" i="1"/>
  <c r="NK20" i="1"/>
  <c r="NF20" i="1"/>
  <c r="NA20" i="1"/>
  <c r="MV20" i="1"/>
  <c r="MQ20" i="1"/>
  <c r="MM20" i="1"/>
  <c r="MI20" i="1"/>
  <c r="MD20" i="1"/>
  <c r="LY20" i="1"/>
  <c r="LT20" i="1"/>
  <c r="LO20" i="1"/>
  <c r="LJ20" i="1"/>
  <c r="LE20" i="1"/>
  <c r="KZ20" i="1"/>
  <c r="KV20" i="1"/>
  <c r="KQ20" i="1"/>
  <c r="KM20" i="1"/>
  <c r="KI20" i="1"/>
  <c r="KE20" i="1"/>
  <c r="KA20" i="1"/>
  <c r="JV20" i="1"/>
  <c r="JQ20" i="1"/>
  <c r="JM20" i="1"/>
  <c r="JI20" i="1"/>
  <c r="JD20" i="1"/>
  <c r="IY20" i="1"/>
  <c r="IT20" i="1"/>
  <c r="IO20" i="1"/>
  <c r="IJ20" i="1"/>
  <c r="IE20" i="1"/>
  <c r="HZ20" i="1"/>
  <c r="HU20" i="1"/>
  <c r="HP20" i="1"/>
  <c r="HK20" i="1"/>
  <c r="HD20" i="1"/>
  <c r="HE20" i="1" s="1"/>
  <c r="HF20" i="1" s="1"/>
  <c r="GY20" i="1"/>
  <c r="GZ20" i="1" s="1"/>
  <c r="HA20" i="1" s="1"/>
  <c r="GT20" i="1"/>
  <c r="GU20" i="1" s="1"/>
  <c r="GV20" i="1" s="1"/>
  <c r="GO20" i="1"/>
  <c r="GP20" i="1" s="1"/>
  <c r="GQ20" i="1" s="1"/>
  <c r="GJ20" i="1"/>
  <c r="GK20" i="1" s="1"/>
  <c r="GL20" i="1" s="1"/>
  <c r="GE20" i="1"/>
  <c r="GF20" i="1" s="1"/>
  <c r="GG20" i="1" s="1"/>
  <c r="FZ20" i="1"/>
  <c r="GA20" i="1" s="1"/>
  <c r="GB20" i="1" s="1"/>
  <c r="FU20" i="1"/>
  <c r="FV20" i="1" s="1"/>
  <c r="FW20" i="1" s="1"/>
  <c r="FP20" i="1"/>
  <c r="FQ20" i="1" s="1"/>
  <c r="FR20" i="1" s="1"/>
  <c r="FK20" i="1"/>
  <c r="FL20" i="1" s="1"/>
  <c r="FM20" i="1" s="1"/>
  <c r="FF20" i="1"/>
  <c r="FG20" i="1" s="1"/>
  <c r="FH20" i="1" s="1"/>
  <c r="FA20" i="1"/>
  <c r="FB20" i="1" s="1"/>
  <c r="FC20" i="1" s="1"/>
  <c r="EV20" i="1"/>
  <c r="EW20" i="1" s="1"/>
  <c r="EX20" i="1" s="1"/>
  <c r="EQ20" i="1"/>
  <c r="ER20" i="1" s="1"/>
  <c r="ES20" i="1" s="1"/>
  <c r="EL20" i="1"/>
  <c r="EM20" i="1" s="1"/>
  <c r="EN20" i="1" s="1"/>
  <c r="EE20" i="1"/>
  <c r="EF20" i="1" s="1"/>
  <c r="EG20" i="1" s="1"/>
  <c r="DZ20" i="1"/>
  <c r="EA20" i="1" s="1"/>
  <c r="EB20" i="1" s="1"/>
  <c r="DU20" i="1"/>
  <c r="DV20" i="1" s="1"/>
  <c r="DW20" i="1" s="1"/>
  <c r="DP20" i="1"/>
  <c r="DQ20" i="1" s="1"/>
  <c r="DR20" i="1" s="1"/>
  <c r="DK20" i="1"/>
  <c r="DL20" i="1" s="1"/>
  <c r="DM20" i="1" s="1"/>
  <c r="DF20" i="1"/>
  <c r="DG20" i="1" s="1"/>
  <c r="DH20" i="1" s="1"/>
  <c r="DA20" i="1"/>
  <c r="DB20" i="1" s="1"/>
  <c r="DC20" i="1" s="1"/>
  <c r="CV20" i="1"/>
  <c r="CW20" i="1" s="1"/>
  <c r="CX20" i="1" s="1"/>
  <c r="CQ20" i="1"/>
  <c r="CR20" i="1" s="1"/>
  <c r="CS20" i="1" s="1"/>
  <c r="CL20" i="1"/>
  <c r="CM20" i="1" s="1"/>
  <c r="CN20" i="1" s="1"/>
  <c r="CG20" i="1"/>
  <c r="CH20" i="1" s="1"/>
  <c r="CI20" i="1" s="1"/>
  <c r="CA20" i="1"/>
  <c r="CB20" i="1" s="1"/>
  <c r="CC20" i="1" s="1"/>
  <c r="BV20" i="1"/>
  <c r="BW20" i="1" s="1"/>
  <c r="BX20" i="1" s="1"/>
  <c r="BQ20" i="1"/>
  <c r="BR20" i="1" s="1"/>
  <c r="BS20" i="1" s="1"/>
  <c r="BL20" i="1"/>
  <c r="BM20" i="1" s="1"/>
  <c r="BN20" i="1" s="1"/>
  <c r="BG20" i="1"/>
  <c r="BH20" i="1" s="1"/>
  <c r="BI20" i="1" s="1"/>
  <c r="BB20" i="1"/>
  <c r="BC20" i="1" s="1"/>
  <c r="BD20" i="1" s="1"/>
  <c r="AW20" i="1"/>
  <c r="AX20" i="1" s="1"/>
  <c r="AY20" i="1" s="1"/>
  <c r="AR20" i="1"/>
  <c r="AS20" i="1" s="1"/>
  <c r="AT20" i="1" s="1"/>
  <c r="AM20" i="1"/>
  <c r="AN20" i="1" s="1"/>
  <c r="AO20" i="1" s="1"/>
  <c r="AH20" i="1"/>
  <c r="AI20" i="1" s="1"/>
  <c r="AJ20" i="1" s="1"/>
  <c r="AE20" i="1"/>
  <c r="W20" i="1"/>
  <c r="X20" i="1" s="1"/>
  <c r="Y20" i="1" s="1"/>
  <c r="S20" i="1"/>
  <c r="N20" i="1"/>
  <c r="G20" i="1"/>
  <c r="H20" i="1" s="1"/>
  <c r="I20" i="1" s="1"/>
  <c r="NZ19" i="1"/>
  <c r="NU19" i="1"/>
  <c r="NP19" i="1"/>
  <c r="NK19" i="1"/>
  <c r="NF19" i="1"/>
  <c r="NA19" i="1"/>
  <c r="MV19" i="1"/>
  <c r="MQ19" i="1"/>
  <c r="MM19" i="1"/>
  <c r="MI19" i="1"/>
  <c r="MD19" i="1"/>
  <c r="LW19" i="1"/>
  <c r="LX19" i="1" s="1"/>
  <c r="LY19" i="1" s="1"/>
  <c r="LR19" i="1"/>
  <c r="LS19" i="1" s="1"/>
  <c r="LT19" i="1" s="1"/>
  <c r="LO19" i="1"/>
  <c r="LJ19" i="1"/>
  <c r="LC19" i="1"/>
  <c r="LD19" i="1" s="1"/>
  <c r="LE19" i="1" s="1"/>
  <c r="KX19" i="1"/>
  <c r="KY19" i="1" s="1"/>
  <c r="KZ19" i="1" s="1"/>
  <c r="KV19" i="1"/>
  <c r="KQ19" i="1"/>
  <c r="KM19" i="1"/>
  <c r="KI19" i="1"/>
  <c r="KE19" i="1"/>
  <c r="KA19" i="1"/>
  <c r="JV19" i="1"/>
  <c r="JQ19" i="1"/>
  <c r="JM19" i="1"/>
  <c r="JI19" i="1"/>
  <c r="JB19" i="1"/>
  <c r="JC19" i="1" s="1"/>
  <c r="JD19" i="1" s="1"/>
  <c r="IW19" i="1"/>
  <c r="IX19" i="1" s="1"/>
  <c r="IY19" i="1" s="1"/>
  <c r="IR19" i="1"/>
  <c r="IS19" i="1" s="1"/>
  <c r="IT19" i="1" s="1"/>
  <c r="IM19" i="1"/>
  <c r="IN19" i="1" s="1"/>
  <c r="IO19" i="1" s="1"/>
  <c r="IH19" i="1"/>
  <c r="II19" i="1" s="1"/>
  <c r="IJ19" i="1" s="1"/>
  <c r="IC19" i="1"/>
  <c r="ID19" i="1" s="1"/>
  <c r="IE19" i="1" s="1"/>
  <c r="HX19" i="1"/>
  <c r="HY19" i="1" s="1"/>
  <c r="HZ19" i="1" s="1"/>
  <c r="HS19" i="1"/>
  <c r="HT19" i="1" s="1"/>
  <c r="HU19" i="1" s="1"/>
  <c r="HN19" i="1"/>
  <c r="HO19" i="1" s="1"/>
  <c r="HP19" i="1" s="1"/>
  <c r="HI19" i="1"/>
  <c r="HJ19" i="1" s="1"/>
  <c r="HK19" i="1" s="1"/>
  <c r="HD19" i="1"/>
  <c r="HE19" i="1" s="1"/>
  <c r="HF19" i="1" s="1"/>
  <c r="GY19" i="1"/>
  <c r="GZ19" i="1" s="1"/>
  <c r="HA19" i="1" s="1"/>
  <c r="GT19" i="1"/>
  <c r="GU19" i="1" s="1"/>
  <c r="GV19" i="1" s="1"/>
  <c r="GO19" i="1"/>
  <c r="GP19" i="1" s="1"/>
  <c r="GQ19" i="1" s="1"/>
  <c r="GJ19" i="1"/>
  <c r="GK19" i="1" s="1"/>
  <c r="GL19" i="1" s="1"/>
  <c r="GE19" i="1"/>
  <c r="GF19" i="1" s="1"/>
  <c r="GG19" i="1" s="1"/>
  <c r="FZ19" i="1"/>
  <c r="GA19" i="1" s="1"/>
  <c r="GB19" i="1" s="1"/>
  <c r="FU19" i="1"/>
  <c r="FV19" i="1" s="1"/>
  <c r="FW19" i="1" s="1"/>
  <c r="FP19" i="1"/>
  <c r="FQ19" i="1" s="1"/>
  <c r="FR19" i="1" s="1"/>
  <c r="FK19" i="1"/>
  <c r="FL19" i="1" s="1"/>
  <c r="FM19" i="1" s="1"/>
  <c r="FF19" i="1"/>
  <c r="FG19" i="1" s="1"/>
  <c r="FH19" i="1" s="1"/>
  <c r="FA19" i="1"/>
  <c r="FB19" i="1" s="1"/>
  <c r="FC19" i="1" s="1"/>
  <c r="EV19" i="1"/>
  <c r="EW19" i="1" s="1"/>
  <c r="EX19" i="1" s="1"/>
  <c r="EQ19" i="1"/>
  <c r="ER19" i="1" s="1"/>
  <c r="ES19" i="1" s="1"/>
  <c r="EL19" i="1"/>
  <c r="EM19" i="1" s="1"/>
  <c r="EN19" i="1" s="1"/>
  <c r="EE19" i="1"/>
  <c r="EF19" i="1" s="1"/>
  <c r="EG19" i="1" s="1"/>
  <c r="DZ19" i="1"/>
  <c r="EA19" i="1" s="1"/>
  <c r="EB19" i="1" s="1"/>
  <c r="DU19" i="1"/>
  <c r="DV19" i="1" s="1"/>
  <c r="DW19" i="1" s="1"/>
  <c r="DP19" i="1"/>
  <c r="DQ19" i="1" s="1"/>
  <c r="DR19" i="1" s="1"/>
  <c r="DK19" i="1"/>
  <c r="DL19" i="1" s="1"/>
  <c r="DM19" i="1" s="1"/>
  <c r="DF19" i="1"/>
  <c r="DG19" i="1" s="1"/>
  <c r="DH19" i="1" s="1"/>
  <c r="DA19" i="1"/>
  <c r="DB19" i="1" s="1"/>
  <c r="DC19" i="1" s="1"/>
  <c r="CV19" i="1"/>
  <c r="CW19" i="1" s="1"/>
  <c r="CX19" i="1" s="1"/>
  <c r="CQ19" i="1"/>
  <c r="CR19" i="1" s="1"/>
  <c r="CS19" i="1" s="1"/>
  <c r="CL19" i="1"/>
  <c r="CM19" i="1" s="1"/>
  <c r="CN19" i="1" s="1"/>
  <c r="CG19" i="1"/>
  <c r="CH19" i="1" s="1"/>
  <c r="CI19" i="1" s="1"/>
  <c r="CA19" i="1"/>
  <c r="CB19" i="1" s="1"/>
  <c r="CC19" i="1" s="1"/>
  <c r="BV19" i="1"/>
  <c r="BW19" i="1" s="1"/>
  <c r="BX19" i="1" s="1"/>
  <c r="BQ19" i="1"/>
  <c r="BR19" i="1" s="1"/>
  <c r="BS19" i="1" s="1"/>
  <c r="BL19" i="1"/>
  <c r="BM19" i="1" s="1"/>
  <c r="BN19" i="1" s="1"/>
  <c r="BG19" i="1"/>
  <c r="BH19" i="1" s="1"/>
  <c r="BI19" i="1" s="1"/>
  <c r="BB19" i="1"/>
  <c r="BC19" i="1" s="1"/>
  <c r="BD19" i="1" s="1"/>
  <c r="AW19" i="1"/>
  <c r="AX19" i="1" s="1"/>
  <c r="AY19" i="1" s="1"/>
  <c r="AR19" i="1"/>
  <c r="AS19" i="1" s="1"/>
  <c r="AT19" i="1" s="1"/>
  <c r="AM19" i="1"/>
  <c r="AN19" i="1" s="1"/>
  <c r="AO19" i="1" s="1"/>
  <c r="AH19" i="1"/>
  <c r="AI19" i="1" s="1"/>
  <c r="AJ19" i="1" s="1"/>
  <c r="AC19" i="1"/>
  <c r="AD19" i="1" s="1"/>
  <c r="AE19" i="1" s="1"/>
  <c r="W19" i="1"/>
  <c r="X19" i="1" s="1"/>
  <c r="Y19" i="1" s="1"/>
  <c r="S19" i="1"/>
  <c r="N19" i="1"/>
  <c r="I19" i="1"/>
  <c r="NZ18" i="1"/>
  <c r="NU18" i="1"/>
  <c r="NP18" i="1"/>
  <c r="NK18" i="1"/>
  <c r="NF18" i="1"/>
  <c r="NA18" i="1"/>
  <c r="MV18" i="1"/>
  <c r="MQ18" i="1"/>
  <c r="MM18" i="1"/>
  <c r="MI18" i="1"/>
  <c r="MD18" i="1"/>
  <c r="LY18" i="1"/>
  <c r="LT18" i="1"/>
  <c r="LO18" i="1"/>
  <c r="LJ18" i="1"/>
  <c r="LE18" i="1"/>
  <c r="KZ18" i="1"/>
  <c r="KV18" i="1"/>
  <c r="KQ18" i="1"/>
  <c r="KM18" i="1"/>
  <c r="KI18" i="1"/>
  <c r="KE18" i="1"/>
  <c r="JY18" i="1"/>
  <c r="JZ18" i="1" s="1"/>
  <c r="KA18" i="1" s="1"/>
  <c r="JV18" i="1"/>
  <c r="JQ18" i="1"/>
  <c r="JM18" i="1"/>
  <c r="JI18" i="1"/>
  <c r="JD18" i="1"/>
  <c r="IY18" i="1"/>
  <c r="IT18" i="1"/>
  <c r="IO18" i="1"/>
  <c r="IJ18" i="1"/>
  <c r="IE18" i="1"/>
  <c r="HZ18" i="1"/>
  <c r="HU18" i="1"/>
  <c r="HP18" i="1"/>
  <c r="HI18" i="1"/>
  <c r="HJ18" i="1" s="1"/>
  <c r="HK18" i="1" s="1"/>
  <c r="HD18" i="1"/>
  <c r="HE18" i="1" s="1"/>
  <c r="HF18" i="1" s="1"/>
  <c r="GY18" i="1"/>
  <c r="GZ18" i="1" s="1"/>
  <c r="HA18" i="1" s="1"/>
  <c r="GT18" i="1"/>
  <c r="GU18" i="1" s="1"/>
  <c r="GV18" i="1" s="1"/>
  <c r="GO18" i="1"/>
  <c r="GP18" i="1" s="1"/>
  <c r="GQ18" i="1" s="1"/>
  <c r="GJ18" i="1"/>
  <c r="GK18" i="1" s="1"/>
  <c r="GL18" i="1" s="1"/>
  <c r="GE18" i="1"/>
  <c r="GF18" i="1" s="1"/>
  <c r="GG18" i="1" s="1"/>
  <c r="FZ18" i="1"/>
  <c r="GA18" i="1" s="1"/>
  <c r="GB18" i="1" s="1"/>
  <c r="FU18" i="1"/>
  <c r="FV18" i="1" s="1"/>
  <c r="FW18" i="1" s="1"/>
  <c r="FP18" i="1"/>
  <c r="FQ18" i="1" s="1"/>
  <c r="FR18" i="1" s="1"/>
  <c r="FK18" i="1"/>
  <c r="FL18" i="1" s="1"/>
  <c r="FM18" i="1" s="1"/>
  <c r="FF18" i="1"/>
  <c r="FG18" i="1" s="1"/>
  <c r="FH18" i="1" s="1"/>
  <c r="FA18" i="1"/>
  <c r="FB18" i="1" s="1"/>
  <c r="FC18" i="1" s="1"/>
  <c r="EV18" i="1"/>
  <c r="EW18" i="1" s="1"/>
  <c r="EX18" i="1" s="1"/>
  <c r="EQ18" i="1"/>
  <c r="ER18" i="1" s="1"/>
  <c r="ES18" i="1" s="1"/>
  <c r="EL18" i="1"/>
  <c r="EM18" i="1" s="1"/>
  <c r="EN18" i="1" s="1"/>
  <c r="EE18" i="1"/>
  <c r="EF18" i="1" s="1"/>
  <c r="EG18" i="1" s="1"/>
  <c r="DZ18" i="1"/>
  <c r="EA18" i="1" s="1"/>
  <c r="EB18" i="1" s="1"/>
  <c r="DU18" i="1"/>
  <c r="DV18" i="1" s="1"/>
  <c r="DW18" i="1" s="1"/>
  <c r="DP18" i="1"/>
  <c r="DQ18" i="1" s="1"/>
  <c r="DR18" i="1" s="1"/>
  <c r="DK18" i="1"/>
  <c r="DL18" i="1" s="1"/>
  <c r="DM18" i="1" s="1"/>
  <c r="DF18" i="1"/>
  <c r="DG18" i="1" s="1"/>
  <c r="DH18" i="1" s="1"/>
  <c r="DA18" i="1"/>
  <c r="DB18" i="1" s="1"/>
  <c r="DC18" i="1" s="1"/>
  <c r="CV18" i="1"/>
  <c r="CW18" i="1" s="1"/>
  <c r="CX18" i="1" s="1"/>
  <c r="CQ18" i="1"/>
  <c r="CR18" i="1" s="1"/>
  <c r="CS18" i="1" s="1"/>
  <c r="CL18" i="1"/>
  <c r="CM18" i="1" s="1"/>
  <c r="CN18" i="1" s="1"/>
  <c r="CG18" i="1"/>
  <c r="CH18" i="1" s="1"/>
  <c r="CI18" i="1" s="1"/>
  <c r="CA18" i="1"/>
  <c r="CB18" i="1" s="1"/>
  <c r="CC18" i="1" s="1"/>
  <c r="BV18" i="1"/>
  <c r="BW18" i="1" s="1"/>
  <c r="BX18" i="1" s="1"/>
  <c r="BQ18" i="1"/>
  <c r="BR18" i="1" s="1"/>
  <c r="BS18" i="1" s="1"/>
  <c r="BL18" i="1"/>
  <c r="BM18" i="1" s="1"/>
  <c r="BN18" i="1" s="1"/>
  <c r="BG18" i="1"/>
  <c r="BH18" i="1" s="1"/>
  <c r="BI18" i="1" s="1"/>
  <c r="BB18" i="1"/>
  <c r="BC18" i="1" s="1"/>
  <c r="BD18" i="1" s="1"/>
  <c r="AW18" i="1"/>
  <c r="AX18" i="1" s="1"/>
  <c r="AY18" i="1" s="1"/>
  <c r="AR18" i="1"/>
  <c r="AS18" i="1" s="1"/>
  <c r="AT18" i="1" s="1"/>
  <c r="AM18" i="1"/>
  <c r="AN18" i="1" s="1"/>
  <c r="AO18" i="1" s="1"/>
  <c r="AH18" i="1"/>
  <c r="AI18" i="1" s="1"/>
  <c r="AJ18" i="1" s="1"/>
  <c r="AC18" i="1"/>
  <c r="AD18" i="1" s="1"/>
  <c r="AE18" i="1" s="1"/>
  <c r="W18" i="1"/>
  <c r="X18" i="1" s="1"/>
  <c r="Y18" i="1" s="1"/>
  <c r="S18" i="1"/>
  <c r="N18" i="1"/>
  <c r="I18" i="1"/>
  <c r="NZ17" i="1"/>
  <c r="NU17" i="1"/>
  <c r="NP17" i="1"/>
  <c r="NK17" i="1"/>
  <c r="NF17" i="1"/>
  <c r="NA17" i="1"/>
  <c r="MV17" i="1"/>
  <c r="MQ17" i="1"/>
  <c r="MM17" i="1"/>
  <c r="MI17" i="1"/>
  <c r="MD17" i="1"/>
  <c r="LY17" i="1"/>
  <c r="LT17" i="1"/>
  <c r="LO17" i="1"/>
  <c r="LJ17" i="1"/>
  <c r="LE17" i="1"/>
  <c r="KZ17" i="1"/>
  <c r="KV17" i="1"/>
  <c r="KQ17" i="1"/>
  <c r="KM17" i="1"/>
  <c r="KI17" i="1"/>
  <c r="KE17" i="1"/>
  <c r="KA17" i="1"/>
  <c r="JV17" i="1"/>
  <c r="JQ17" i="1"/>
  <c r="JM17" i="1"/>
  <c r="JI17" i="1"/>
  <c r="JD17" i="1"/>
  <c r="IY17" i="1"/>
  <c r="IT17" i="1"/>
  <c r="IO17" i="1"/>
  <c r="IJ17" i="1"/>
  <c r="IE17" i="1"/>
  <c r="HZ17" i="1"/>
  <c r="HU17" i="1"/>
  <c r="HP17" i="1"/>
  <c r="HK17" i="1"/>
  <c r="HD17" i="1"/>
  <c r="HE17" i="1" s="1"/>
  <c r="HF17" i="1" s="1"/>
  <c r="GY17" i="1"/>
  <c r="GZ17" i="1" s="1"/>
  <c r="HA17" i="1" s="1"/>
  <c r="GT17" i="1"/>
  <c r="GU17" i="1" s="1"/>
  <c r="GV17" i="1" s="1"/>
  <c r="GO17" i="1"/>
  <c r="GP17" i="1" s="1"/>
  <c r="GQ17" i="1" s="1"/>
  <c r="GJ17" i="1"/>
  <c r="GK17" i="1" s="1"/>
  <c r="GL17" i="1" s="1"/>
  <c r="GE17" i="1"/>
  <c r="GF17" i="1" s="1"/>
  <c r="GG17" i="1" s="1"/>
  <c r="FZ17" i="1"/>
  <c r="GA17" i="1" s="1"/>
  <c r="GB17" i="1" s="1"/>
  <c r="FU17" i="1"/>
  <c r="FV17" i="1" s="1"/>
  <c r="FW17" i="1" s="1"/>
  <c r="FP17" i="1"/>
  <c r="FQ17" i="1" s="1"/>
  <c r="FR17" i="1" s="1"/>
  <c r="FK17" i="1"/>
  <c r="FL17" i="1" s="1"/>
  <c r="FM17" i="1" s="1"/>
  <c r="FF17" i="1"/>
  <c r="FG17" i="1" s="1"/>
  <c r="FH17" i="1" s="1"/>
  <c r="FA17" i="1"/>
  <c r="FB17" i="1" s="1"/>
  <c r="FC17" i="1" s="1"/>
  <c r="EV17" i="1"/>
  <c r="EW17" i="1" s="1"/>
  <c r="EX17" i="1" s="1"/>
  <c r="EQ17" i="1"/>
  <c r="ER17" i="1" s="1"/>
  <c r="ES17" i="1" s="1"/>
  <c r="EL17" i="1"/>
  <c r="EM17" i="1" s="1"/>
  <c r="EN17" i="1" s="1"/>
  <c r="EE17" i="1"/>
  <c r="EF17" i="1" s="1"/>
  <c r="EG17" i="1" s="1"/>
  <c r="DZ17" i="1"/>
  <c r="EA17" i="1" s="1"/>
  <c r="EB17" i="1" s="1"/>
  <c r="DU17" i="1"/>
  <c r="DV17" i="1" s="1"/>
  <c r="DW17" i="1" s="1"/>
  <c r="DP17" i="1"/>
  <c r="DQ17" i="1" s="1"/>
  <c r="DR17" i="1" s="1"/>
  <c r="DK17" i="1"/>
  <c r="DL17" i="1" s="1"/>
  <c r="DM17" i="1" s="1"/>
  <c r="DF17" i="1"/>
  <c r="DG17" i="1" s="1"/>
  <c r="DH17" i="1" s="1"/>
  <c r="DA17" i="1"/>
  <c r="DB17" i="1" s="1"/>
  <c r="DC17" i="1" s="1"/>
  <c r="CV17" i="1"/>
  <c r="CW17" i="1" s="1"/>
  <c r="CX17" i="1" s="1"/>
  <c r="CQ17" i="1"/>
  <c r="CR17" i="1" s="1"/>
  <c r="CS17" i="1" s="1"/>
  <c r="CL17" i="1"/>
  <c r="CM17" i="1" s="1"/>
  <c r="CN17" i="1" s="1"/>
  <c r="CG17" i="1"/>
  <c r="CH17" i="1" s="1"/>
  <c r="CI17" i="1" s="1"/>
  <c r="CA17" i="1"/>
  <c r="CB17" i="1" s="1"/>
  <c r="CC17" i="1" s="1"/>
  <c r="BV17" i="1"/>
  <c r="BW17" i="1" s="1"/>
  <c r="BX17" i="1" s="1"/>
  <c r="BQ17" i="1"/>
  <c r="BR17" i="1" s="1"/>
  <c r="BS17" i="1" s="1"/>
  <c r="BL17" i="1"/>
  <c r="BM17" i="1" s="1"/>
  <c r="BN17" i="1" s="1"/>
  <c r="BG17" i="1"/>
  <c r="BH17" i="1" s="1"/>
  <c r="BI17" i="1" s="1"/>
  <c r="BB17" i="1"/>
  <c r="BC17" i="1" s="1"/>
  <c r="BD17" i="1" s="1"/>
  <c r="AW17" i="1"/>
  <c r="AX17" i="1" s="1"/>
  <c r="AY17" i="1" s="1"/>
  <c r="AR17" i="1"/>
  <c r="AS17" i="1" s="1"/>
  <c r="AT17" i="1" s="1"/>
  <c r="AM17" i="1"/>
  <c r="AN17" i="1" s="1"/>
  <c r="AO17" i="1" s="1"/>
  <c r="AH17" i="1"/>
  <c r="AI17" i="1" s="1"/>
  <c r="AJ17" i="1" s="1"/>
  <c r="AE17" i="1"/>
  <c r="W17" i="1"/>
  <c r="X17" i="1" s="1"/>
  <c r="Y17" i="1" s="1"/>
  <c r="S17" i="1"/>
  <c r="N17" i="1"/>
  <c r="I17" i="1"/>
  <c r="NZ16" i="1"/>
  <c r="NU16" i="1"/>
  <c r="NP16" i="1"/>
  <c r="NK16" i="1"/>
  <c r="NF16" i="1"/>
  <c r="NA16" i="1"/>
  <c r="MV16" i="1"/>
  <c r="MO16" i="1"/>
  <c r="MP16" i="1" s="1"/>
  <c r="MQ16" i="1" s="1"/>
  <c r="MK16" i="1"/>
  <c r="ML16" i="1" s="1"/>
  <c r="MM16" i="1" s="1"/>
  <c r="MI16" i="1"/>
  <c r="MB16" i="1"/>
  <c r="MC16" i="1" s="1"/>
  <c r="MD16" i="1" s="1"/>
  <c r="LW16" i="1"/>
  <c r="LX16" i="1" s="1"/>
  <c r="LY16" i="1" s="1"/>
  <c r="LR16" i="1"/>
  <c r="LS16" i="1" s="1"/>
  <c r="LT16" i="1" s="1"/>
  <c r="LO16" i="1"/>
  <c r="LJ16" i="1"/>
  <c r="LE16" i="1"/>
  <c r="KX16" i="1"/>
  <c r="KY16" i="1" s="1"/>
  <c r="KZ16" i="1" s="1"/>
  <c r="KV16" i="1"/>
  <c r="KQ16" i="1"/>
  <c r="KM16" i="1"/>
  <c r="KI16" i="1"/>
  <c r="KE16" i="1"/>
  <c r="KA16" i="1"/>
  <c r="JV16" i="1"/>
  <c r="JQ16" i="1"/>
  <c r="JM16" i="1"/>
  <c r="JI16" i="1"/>
  <c r="JB16" i="1"/>
  <c r="JC16" i="1" s="1"/>
  <c r="JD16" i="1" s="1"/>
  <c r="IW16" i="1"/>
  <c r="IX16" i="1" s="1"/>
  <c r="IY16" i="1" s="1"/>
  <c r="IR16" i="1"/>
  <c r="IS16" i="1" s="1"/>
  <c r="IT16" i="1" s="1"/>
  <c r="IM16" i="1"/>
  <c r="IN16" i="1" s="1"/>
  <c r="IO16" i="1" s="1"/>
  <c r="IH16" i="1"/>
  <c r="II16" i="1" s="1"/>
  <c r="IJ16" i="1" s="1"/>
  <c r="IC16" i="1"/>
  <c r="ID16" i="1" s="1"/>
  <c r="IE16" i="1" s="1"/>
  <c r="HX16" i="1"/>
  <c r="HY16" i="1" s="1"/>
  <c r="HZ16" i="1" s="1"/>
  <c r="HU16" i="1"/>
  <c r="HP16" i="1"/>
  <c r="HI16" i="1"/>
  <c r="HJ16" i="1" s="1"/>
  <c r="HK16" i="1" s="1"/>
  <c r="HD16" i="1"/>
  <c r="HE16" i="1" s="1"/>
  <c r="HF16" i="1" s="1"/>
  <c r="GY16" i="1"/>
  <c r="GZ16" i="1" s="1"/>
  <c r="HA16" i="1" s="1"/>
  <c r="GT16" i="1"/>
  <c r="GU16" i="1" s="1"/>
  <c r="GV16" i="1" s="1"/>
  <c r="GO16" i="1"/>
  <c r="GP16" i="1" s="1"/>
  <c r="GQ16" i="1" s="1"/>
  <c r="GJ16" i="1"/>
  <c r="GK16" i="1" s="1"/>
  <c r="GL16" i="1" s="1"/>
  <c r="GE16" i="1"/>
  <c r="GF16" i="1" s="1"/>
  <c r="GG16" i="1" s="1"/>
  <c r="FZ16" i="1"/>
  <c r="GA16" i="1" s="1"/>
  <c r="GB16" i="1" s="1"/>
  <c r="FU16" i="1"/>
  <c r="FV16" i="1" s="1"/>
  <c r="FW16" i="1" s="1"/>
  <c r="FP16" i="1"/>
  <c r="FQ16" i="1" s="1"/>
  <c r="FR16" i="1" s="1"/>
  <c r="FK16" i="1"/>
  <c r="FL16" i="1" s="1"/>
  <c r="FM16" i="1" s="1"/>
  <c r="FF16" i="1"/>
  <c r="FG16" i="1" s="1"/>
  <c r="FH16" i="1" s="1"/>
  <c r="FA16" i="1"/>
  <c r="FB16" i="1" s="1"/>
  <c r="FC16" i="1" s="1"/>
  <c r="EV16" i="1"/>
  <c r="EW16" i="1" s="1"/>
  <c r="EX16" i="1" s="1"/>
  <c r="EQ16" i="1"/>
  <c r="ER16" i="1" s="1"/>
  <c r="ES16" i="1" s="1"/>
  <c r="EL16" i="1"/>
  <c r="EM16" i="1" s="1"/>
  <c r="EN16" i="1" s="1"/>
  <c r="EE16" i="1"/>
  <c r="EF16" i="1" s="1"/>
  <c r="EG16" i="1" s="1"/>
  <c r="DZ16" i="1"/>
  <c r="EA16" i="1" s="1"/>
  <c r="EB16" i="1" s="1"/>
  <c r="DU16" i="1"/>
  <c r="DV16" i="1" s="1"/>
  <c r="DW16" i="1" s="1"/>
  <c r="DP16" i="1"/>
  <c r="DQ16" i="1" s="1"/>
  <c r="DR16" i="1" s="1"/>
  <c r="DK16" i="1"/>
  <c r="DL16" i="1" s="1"/>
  <c r="DM16" i="1" s="1"/>
  <c r="DF16" i="1"/>
  <c r="DG16" i="1" s="1"/>
  <c r="DH16" i="1" s="1"/>
  <c r="DA16" i="1"/>
  <c r="DB16" i="1" s="1"/>
  <c r="DC16" i="1" s="1"/>
  <c r="CV16" i="1"/>
  <c r="CW16" i="1" s="1"/>
  <c r="CX16" i="1" s="1"/>
  <c r="CQ16" i="1"/>
  <c r="CR16" i="1" s="1"/>
  <c r="CS16" i="1" s="1"/>
  <c r="CL16" i="1"/>
  <c r="CM16" i="1" s="1"/>
  <c r="CN16" i="1" s="1"/>
  <c r="CG16" i="1"/>
  <c r="CH16" i="1" s="1"/>
  <c r="CI16" i="1" s="1"/>
  <c r="CA16" i="1"/>
  <c r="CB16" i="1" s="1"/>
  <c r="CC16" i="1" s="1"/>
  <c r="BV16" i="1"/>
  <c r="BW16" i="1" s="1"/>
  <c r="BX16" i="1" s="1"/>
  <c r="BQ16" i="1"/>
  <c r="BR16" i="1" s="1"/>
  <c r="BS16" i="1" s="1"/>
  <c r="BL16" i="1"/>
  <c r="BM16" i="1" s="1"/>
  <c r="BN16" i="1" s="1"/>
  <c r="BG16" i="1"/>
  <c r="BH16" i="1" s="1"/>
  <c r="BI16" i="1" s="1"/>
  <c r="BB16" i="1"/>
  <c r="BC16" i="1" s="1"/>
  <c r="BD16" i="1" s="1"/>
  <c r="AW16" i="1"/>
  <c r="AX16" i="1" s="1"/>
  <c r="AY16" i="1" s="1"/>
  <c r="AR16" i="1"/>
  <c r="AS16" i="1" s="1"/>
  <c r="AT16" i="1" s="1"/>
  <c r="AM16" i="1"/>
  <c r="AN16" i="1" s="1"/>
  <c r="AO16" i="1" s="1"/>
  <c r="AH16" i="1"/>
  <c r="AI16" i="1" s="1"/>
  <c r="AJ16" i="1" s="1"/>
  <c r="AC16" i="1"/>
  <c r="AD16" i="1" s="1"/>
  <c r="AE16" i="1" s="1"/>
  <c r="W16" i="1"/>
  <c r="X16" i="1" s="1"/>
  <c r="Y16" i="1" s="1"/>
  <c r="Q16" i="1"/>
  <c r="R16" i="1" s="1"/>
  <c r="S16" i="1" s="1"/>
  <c r="N16" i="1"/>
  <c r="I16" i="1"/>
  <c r="NZ15" i="1"/>
  <c r="NU15" i="1"/>
  <c r="NP15" i="1"/>
  <c r="NK15" i="1"/>
  <c r="NF15" i="1"/>
  <c r="MY15" i="1"/>
  <c r="MZ15" i="1" s="1"/>
  <c r="NA15" i="1" s="1"/>
  <c r="MT15" i="1"/>
  <c r="MU15" i="1" s="1"/>
  <c r="MV15" i="1" s="1"/>
  <c r="MQ15" i="1"/>
  <c r="MM15" i="1"/>
  <c r="MI15" i="1"/>
  <c r="MB15" i="1"/>
  <c r="MC15" i="1" s="1"/>
  <c r="MD15" i="1" s="1"/>
  <c r="LW15" i="1"/>
  <c r="LX15" i="1" s="1"/>
  <c r="LY15" i="1" s="1"/>
  <c r="LR15" i="1"/>
  <c r="LS15" i="1" s="1"/>
  <c r="LT15" i="1" s="1"/>
  <c r="LO15" i="1"/>
  <c r="LH15" i="1"/>
  <c r="LI15" i="1" s="1"/>
  <c r="LJ15" i="1" s="1"/>
  <c r="LC15" i="1"/>
  <c r="LD15" i="1" s="1"/>
  <c r="LE15" i="1" s="1"/>
  <c r="KX15" i="1"/>
  <c r="KY15" i="1" s="1"/>
  <c r="KZ15" i="1" s="1"/>
  <c r="KT15" i="1"/>
  <c r="KU15" i="1" s="1"/>
  <c r="KV15" i="1" s="1"/>
  <c r="KQ15" i="1"/>
  <c r="KK15" i="1"/>
  <c r="KL15" i="1" s="1"/>
  <c r="KM15" i="1" s="1"/>
  <c r="KI15" i="1"/>
  <c r="KE15" i="1"/>
  <c r="KA15" i="1"/>
  <c r="JV15" i="1"/>
  <c r="JQ15" i="1"/>
  <c r="JM15" i="1"/>
  <c r="JI15" i="1"/>
  <c r="JB15" i="1"/>
  <c r="JC15" i="1" s="1"/>
  <c r="JD15" i="1" s="1"/>
  <c r="IW15" i="1"/>
  <c r="IX15" i="1" s="1"/>
  <c r="IY15" i="1" s="1"/>
  <c r="IR15" i="1"/>
  <c r="IS15" i="1" s="1"/>
  <c r="IT15" i="1" s="1"/>
  <c r="IM15" i="1"/>
  <c r="IN15" i="1" s="1"/>
  <c r="IO15" i="1" s="1"/>
  <c r="IH15" i="1"/>
  <c r="II15" i="1" s="1"/>
  <c r="IJ15" i="1" s="1"/>
  <c r="IC15" i="1"/>
  <c r="ID15" i="1" s="1"/>
  <c r="IE15" i="1" s="1"/>
  <c r="HX15" i="1"/>
  <c r="HY15" i="1" s="1"/>
  <c r="HZ15" i="1" s="1"/>
  <c r="HU15" i="1"/>
  <c r="HN15" i="1"/>
  <c r="HO15" i="1" s="1"/>
  <c r="HP15" i="1" s="1"/>
  <c r="HI15" i="1"/>
  <c r="HJ15" i="1" s="1"/>
  <c r="HK15" i="1" s="1"/>
  <c r="HD15" i="1"/>
  <c r="HE15" i="1" s="1"/>
  <c r="HF15" i="1" s="1"/>
  <c r="GY15" i="1"/>
  <c r="GZ15" i="1" s="1"/>
  <c r="HA15" i="1" s="1"/>
  <c r="GT15" i="1"/>
  <c r="GU15" i="1" s="1"/>
  <c r="GV15" i="1" s="1"/>
  <c r="GO15" i="1"/>
  <c r="GP15" i="1" s="1"/>
  <c r="GQ15" i="1" s="1"/>
  <c r="GJ15" i="1"/>
  <c r="GK15" i="1" s="1"/>
  <c r="GL15" i="1" s="1"/>
  <c r="GE15" i="1"/>
  <c r="GF15" i="1" s="1"/>
  <c r="GG15" i="1" s="1"/>
  <c r="FZ15" i="1"/>
  <c r="GA15" i="1" s="1"/>
  <c r="GB15" i="1" s="1"/>
  <c r="FU15" i="1"/>
  <c r="FV15" i="1" s="1"/>
  <c r="FW15" i="1" s="1"/>
  <c r="FP15" i="1"/>
  <c r="FQ15" i="1" s="1"/>
  <c r="FR15" i="1" s="1"/>
  <c r="FK15" i="1"/>
  <c r="FL15" i="1" s="1"/>
  <c r="FM15" i="1" s="1"/>
  <c r="FF15" i="1"/>
  <c r="FG15" i="1" s="1"/>
  <c r="FH15" i="1" s="1"/>
  <c r="FA15" i="1"/>
  <c r="FB15" i="1" s="1"/>
  <c r="FC15" i="1" s="1"/>
  <c r="EV15" i="1"/>
  <c r="EW15" i="1" s="1"/>
  <c r="EX15" i="1" s="1"/>
  <c r="EQ15" i="1"/>
  <c r="ER15" i="1" s="1"/>
  <c r="ES15" i="1" s="1"/>
  <c r="EL15" i="1"/>
  <c r="EM15" i="1" s="1"/>
  <c r="EN15" i="1" s="1"/>
  <c r="EE15" i="1"/>
  <c r="EF15" i="1" s="1"/>
  <c r="EG15" i="1" s="1"/>
  <c r="DZ15" i="1"/>
  <c r="EA15" i="1" s="1"/>
  <c r="EB15" i="1" s="1"/>
  <c r="DU15" i="1"/>
  <c r="DV15" i="1" s="1"/>
  <c r="DW15" i="1" s="1"/>
  <c r="DP15" i="1"/>
  <c r="DQ15" i="1" s="1"/>
  <c r="DR15" i="1" s="1"/>
  <c r="DK15" i="1"/>
  <c r="DL15" i="1" s="1"/>
  <c r="DM15" i="1" s="1"/>
  <c r="DF15" i="1"/>
  <c r="DG15" i="1" s="1"/>
  <c r="DH15" i="1" s="1"/>
  <c r="DA15" i="1"/>
  <c r="DB15" i="1" s="1"/>
  <c r="DC15" i="1" s="1"/>
  <c r="CV15" i="1"/>
  <c r="CW15" i="1" s="1"/>
  <c r="CX15" i="1" s="1"/>
  <c r="CQ15" i="1"/>
  <c r="CR15" i="1" s="1"/>
  <c r="CS15" i="1" s="1"/>
  <c r="CL15" i="1"/>
  <c r="CM15" i="1" s="1"/>
  <c r="CN15" i="1" s="1"/>
  <c r="CG15" i="1"/>
  <c r="CH15" i="1" s="1"/>
  <c r="CI15" i="1" s="1"/>
  <c r="CA15" i="1"/>
  <c r="CB15" i="1" s="1"/>
  <c r="CC15" i="1" s="1"/>
  <c r="BV15" i="1"/>
  <c r="BW15" i="1" s="1"/>
  <c r="BX15" i="1" s="1"/>
  <c r="BQ15" i="1"/>
  <c r="BR15" i="1" s="1"/>
  <c r="BS15" i="1" s="1"/>
  <c r="BL15" i="1"/>
  <c r="BM15" i="1" s="1"/>
  <c r="BN15" i="1" s="1"/>
  <c r="BG15" i="1"/>
  <c r="BH15" i="1" s="1"/>
  <c r="BI15" i="1" s="1"/>
  <c r="BB15" i="1"/>
  <c r="BC15" i="1" s="1"/>
  <c r="BD15" i="1" s="1"/>
  <c r="AW15" i="1"/>
  <c r="AX15" i="1" s="1"/>
  <c r="AY15" i="1" s="1"/>
  <c r="AR15" i="1"/>
  <c r="AS15" i="1" s="1"/>
  <c r="AT15" i="1" s="1"/>
  <c r="AM15" i="1"/>
  <c r="AN15" i="1" s="1"/>
  <c r="AO15" i="1" s="1"/>
  <c r="AH15" i="1"/>
  <c r="AI15" i="1" s="1"/>
  <c r="AJ15" i="1" s="1"/>
  <c r="AC15" i="1"/>
  <c r="AD15" i="1" s="1"/>
  <c r="AE15" i="1" s="1"/>
  <c r="W15" i="1"/>
  <c r="X15" i="1" s="1"/>
  <c r="Y15" i="1" s="1"/>
  <c r="S15" i="1"/>
  <c r="N15" i="1"/>
  <c r="I15" i="1"/>
  <c r="NZ14" i="1"/>
  <c r="NU14" i="1"/>
  <c r="NP14" i="1"/>
  <c r="NK14" i="1"/>
  <c r="NF14" i="1"/>
  <c r="NA14" i="1"/>
  <c r="MV14" i="1"/>
  <c r="MQ14" i="1"/>
  <c r="MM14" i="1"/>
  <c r="MI14" i="1"/>
  <c r="MD14" i="1"/>
  <c r="LY14" i="1"/>
  <c r="LT14" i="1"/>
  <c r="LO14" i="1"/>
  <c r="LJ14" i="1"/>
  <c r="LE14" i="1"/>
  <c r="KZ14" i="1"/>
  <c r="KT14" i="1"/>
  <c r="KU14" i="1" s="1"/>
  <c r="KV14" i="1" s="1"/>
  <c r="KQ14" i="1"/>
  <c r="KM14" i="1"/>
  <c r="KG14" i="1"/>
  <c r="KH14" i="1" s="1"/>
  <c r="KI14" i="1" s="1"/>
  <c r="KE14" i="1"/>
  <c r="KA14" i="1"/>
  <c r="JV14" i="1"/>
  <c r="JQ14" i="1"/>
  <c r="JM14" i="1"/>
  <c r="JI14" i="1"/>
  <c r="JD14" i="1"/>
  <c r="IY14" i="1"/>
  <c r="IT14" i="1"/>
  <c r="IO14" i="1"/>
  <c r="IJ14" i="1"/>
  <c r="IE14" i="1"/>
  <c r="HZ14" i="1"/>
  <c r="HU14" i="1"/>
  <c r="HP14" i="1"/>
  <c r="HI14" i="1"/>
  <c r="HJ14" i="1" s="1"/>
  <c r="HK14" i="1" s="1"/>
  <c r="HD14" i="1"/>
  <c r="HE14" i="1" s="1"/>
  <c r="HF14" i="1" s="1"/>
  <c r="GY14" i="1"/>
  <c r="GZ14" i="1" s="1"/>
  <c r="HA14" i="1" s="1"/>
  <c r="GT14" i="1"/>
  <c r="GU14" i="1" s="1"/>
  <c r="GV14" i="1" s="1"/>
  <c r="GO14" i="1"/>
  <c r="GP14" i="1" s="1"/>
  <c r="GQ14" i="1" s="1"/>
  <c r="GJ14" i="1"/>
  <c r="GK14" i="1" s="1"/>
  <c r="GL14" i="1" s="1"/>
  <c r="GE14" i="1"/>
  <c r="GF14" i="1" s="1"/>
  <c r="GG14" i="1" s="1"/>
  <c r="FZ14" i="1"/>
  <c r="GA14" i="1" s="1"/>
  <c r="GB14" i="1" s="1"/>
  <c r="FU14" i="1"/>
  <c r="FV14" i="1" s="1"/>
  <c r="FW14" i="1" s="1"/>
  <c r="FP14" i="1"/>
  <c r="FQ14" i="1" s="1"/>
  <c r="FR14" i="1" s="1"/>
  <c r="FK14" i="1"/>
  <c r="FL14" i="1" s="1"/>
  <c r="FM14" i="1" s="1"/>
  <c r="FF14" i="1"/>
  <c r="FG14" i="1" s="1"/>
  <c r="FH14" i="1" s="1"/>
  <c r="FA14" i="1"/>
  <c r="FB14" i="1" s="1"/>
  <c r="FC14" i="1" s="1"/>
  <c r="EV14" i="1"/>
  <c r="EW14" i="1" s="1"/>
  <c r="EX14" i="1" s="1"/>
  <c r="EQ14" i="1"/>
  <c r="ER14" i="1" s="1"/>
  <c r="ES14" i="1" s="1"/>
  <c r="EL14" i="1"/>
  <c r="EM14" i="1" s="1"/>
  <c r="EN14" i="1" s="1"/>
  <c r="EE14" i="1"/>
  <c r="EF14" i="1" s="1"/>
  <c r="EG14" i="1" s="1"/>
  <c r="DZ14" i="1"/>
  <c r="EA14" i="1" s="1"/>
  <c r="EB14" i="1" s="1"/>
  <c r="DU14" i="1"/>
  <c r="DV14" i="1" s="1"/>
  <c r="DW14" i="1" s="1"/>
  <c r="DP14" i="1"/>
  <c r="DQ14" i="1" s="1"/>
  <c r="DR14" i="1" s="1"/>
  <c r="DK14" i="1"/>
  <c r="DL14" i="1" s="1"/>
  <c r="DM14" i="1" s="1"/>
  <c r="DF14" i="1"/>
  <c r="DG14" i="1" s="1"/>
  <c r="DH14" i="1" s="1"/>
  <c r="DA14" i="1"/>
  <c r="DB14" i="1" s="1"/>
  <c r="DC14" i="1" s="1"/>
  <c r="CV14" i="1"/>
  <c r="CW14" i="1" s="1"/>
  <c r="CX14" i="1" s="1"/>
  <c r="CQ14" i="1"/>
  <c r="CR14" i="1" s="1"/>
  <c r="CS14" i="1" s="1"/>
  <c r="CL14" i="1"/>
  <c r="CM14" i="1" s="1"/>
  <c r="CN14" i="1" s="1"/>
  <c r="CG14" i="1"/>
  <c r="CH14" i="1" s="1"/>
  <c r="CI14" i="1" s="1"/>
  <c r="CA14" i="1"/>
  <c r="CB14" i="1" s="1"/>
  <c r="CC14" i="1" s="1"/>
  <c r="BV14" i="1"/>
  <c r="BW14" i="1" s="1"/>
  <c r="BX14" i="1" s="1"/>
  <c r="BQ14" i="1"/>
  <c r="BR14" i="1" s="1"/>
  <c r="BS14" i="1" s="1"/>
  <c r="BL14" i="1"/>
  <c r="BM14" i="1" s="1"/>
  <c r="BN14" i="1" s="1"/>
  <c r="BG14" i="1"/>
  <c r="BH14" i="1" s="1"/>
  <c r="BI14" i="1" s="1"/>
  <c r="BB14" i="1"/>
  <c r="BC14" i="1" s="1"/>
  <c r="BD14" i="1" s="1"/>
  <c r="AW14" i="1"/>
  <c r="AX14" i="1" s="1"/>
  <c r="AY14" i="1" s="1"/>
  <c r="AR14" i="1"/>
  <c r="AS14" i="1" s="1"/>
  <c r="AT14" i="1" s="1"/>
  <c r="AM14" i="1"/>
  <c r="AN14" i="1" s="1"/>
  <c r="AO14" i="1" s="1"/>
  <c r="AH14" i="1"/>
  <c r="AI14" i="1" s="1"/>
  <c r="AJ14" i="1" s="1"/>
  <c r="AC14" i="1"/>
  <c r="AD14" i="1" s="1"/>
  <c r="AE14" i="1" s="1"/>
  <c r="W14" i="1"/>
  <c r="X14" i="1" s="1"/>
  <c r="Y14" i="1" s="1"/>
  <c r="Q14" i="1"/>
  <c r="R14" i="1" s="1"/>
  <c r="S14" i="1" s="1"/>
  <c r="N14" i="1"/>
  <c r="I14" i="1"/>
  <c r="NZ13" i="1"/>
  <c r="NU13" i="1"/>
  <c r="NP13" i="1"/>
  <c r="NK13" i="1"/>
  <c r="NF13" i="1"/>
  <c r="NA13" i="1"/>
  <c r="MV13" i="1"/>
  <c r="MO13" i="1"/>
  <c r="MP13" i="1" s="1"/>
  <c r="MQ13" i="1" s="1"/>
  <c r="MK13" i="1"/>
  <c r="ML13" i="1" s="1"/>
  <c r="MM13" i="1" s="1"/>
  <c r="MI13" i="1"/>
  <c r="MB13" i="1"/>
  <c r="MC13" i="1" s="1"/>
  <c r="MD13" i="1" s="1"/>
  <c r="LW13" i="1"/>
  <c r="LX13" i="1" s="1"/>
  <c r="LY13" i="1" s="1"/>
  <c r="LR13" i="1"/>
  <c r="LS13" i="1" s="1"/>
  <c r="LT13" i="1" s="1"/>
  <c r="LM13" i="1"/>
  <c r="LN13" i="1" s="1"/>
  <c r="LO13" i="1" s="1"/>
  <c r="LH13" i="1"/>
  <c r="LI13" i="1" s="1"/>
  <c r="LJ13" i="1" s="1"/>
  <c r="LE13" i="1"/>
  <c r="KZ13" i="1"/>
  <c r="KT13" i="1"/>
  <c r="KU13" i="1" s="1"/>
  <c r="KV13" i="1" s="1"/>
  <c r="KO13" i="1"/>
  <c r="KP13" i="1" s="1"/>
  <c r="KQ13" i="1" s="1"/>
  <c r="KK13" i="1"/>
  <c r="KL13" i="1" s="1"/>
  <c r="KM13" i="1" s="1"/>
  <c r="KI13" i="1"/>
  <c r="KE13" i="1"/>
  <c r="KA13" i="1"/>
  <c r="JV13" i="1"/>
  <c r="JQ13" i="1"/>
  <c r="JM13" i="1"/>
  <c r="JI13" i="1"/>
  <c r="JB13" i="1"/>
  <c r="JC13" i="1" s="1"/>
  <c r="JD13" i="1" s="1"/>
  <c r="IW13" i="1"/>
  <c r="IX13" i="1" s="1"/>
  <c r="IY13" i="1" s="1"/>
  <c r="IR13" i="1"/>
  <c r="IS13" i="1" s="1"/>
  <c r="IT13" i="1" s="1"/>
  <c r="IM13" i="1"/>
  <c r="IN13" i="1" s="1"/>
  <c r="IO13" i="1" s="1"/>
  <c r="IH13" i="1"/>
  <c r="II13" i="1" s="1"/>
  <c r="IJ13" i="1" s="1"/>
  <c r="IC13" i="1"/>
  <c r="ID13" i="1" s="1"/>
  <c r="IE13" i="1" s="1"/>
  <c r="HX13" i="1"/>
  <c r="HY13" i="1" s="1"/>
  <c r="HZ13" i="1" s="1"/>
  <c r="HU13" i="1"/>
  <c r="HP13" i="1"/>
  <c r="HI13" i="1"/>
  <c r="HJ13" i="1" s="1"/>
  <c r="HK13" i="1" s="1"/>
  <c r="HD13" i="1"/>
  <c r="HE13" i="1" s="1"/>
  <c r="HF13" i="1" s="1"/>
  <c r="GY13" i="1"/>
  <c r="GZ13" i="1" s="1"/>
  <c r="HA13" i="1" s="1"/>
  <c r="GV13" i="1"/>
  <c r="GT13" i="1"/>
  <c r="GO13" i="1"/>
  <c r="GP13" i="1" s="1"/>
  <c r="GQ13" i="1" s="1"/>
  <c r="GJ13" i="1"/>
  <c r="GK13" i="1" s="1"/>
  <c r="GL13" i="1" s="1"/>
  <c r="GE13" i="1"/>
  <c r="GF13" i="1" s="1"/>
  <c r="GG13" i="1" s="1"/>
  <c r="FZ13" i="1"/>
  <c r="GA13" i="1" s="1"/>
  <c r="GB13" i="1" s="1"/>
  <c r="FU13" i="1"/>
  <c r="FV13" i="1" s="1"/>
  <c r="FW13" i="1" s="1"/>
  <c r="FP13" i="1"/>
  <c r="FQ13" i="1" s="1"/>
  <c r="FR13" i="1" s="1"/>
  <c r="FK13" i="1"/>
  <c r="FL13" i="1" s="1"/>
  <c r="FM13" i="1" s="1"/>
  <c r="FF13" i="1"/>
  <c r="FG13" i="1" s="1"/>
  <c r="FH13" i="1" s="1"/>
  <c r="FA13" i="1"/>
  <c r="FB13" i="1" s="1"/>
  <c r="FC13" i="1" s="1"/>
  <c r="EV13" i="1"/>
  <c r="EW13" i="1" s="1"/>
  <c r="EX13" i="1" s="1"/>
  <c r="EQ13" i="1"/>
  <c r="ER13" i="1" s="1"/>
  <c r="ES13" i="1" s="1"/>
  <c r="EL13" i="1"/>
  <c r="EM13" i="1" s="1"/>
  <c r="EN13" i="1" s="1"/>
  <c r="EE13" i="1"/>
  <c r="EF13" i="1" s="1"/>
  <c r="EG13" i="1" s="1"/>
  <c r="DZ13" i="1"/>
  <c r="EA13" i="1" s="1"/>
  <c r="EB13" i="1" s="1"/>
  <c r="DU13" i="1"/>
  <c r="DV13" i="1" s="1"/>
  <c r="DW13" i="1" s="1"/>
  <c r="DP13" i="1"/>
  <c r="DQ13" i="1" s="1"/>
  <c r="DR13" i="1" s="1"/>
  <c r="DK13" i="1"/>
  <c r="DL13" i="1" s="1"/>
  <c r="DM13" i="1" s="1"/>
  <c r="DF13" i="1"/>
  <c r="DG13" i="1" s="1"/>
  <c r="DH13" i="1" s="1"/>
  <c r="DA13" i="1"/>
  <c r="DB13" i="1" s="1"/>
  <c r="DC13" i="1" s="1"/>
  <c r="CV13" i="1"/>
  <c r="CW13" i="1" s="1"/>
  <c r="CX13" i="1" s="1"/>
  <c r="CQ13" i="1"/>
  <c r="CR13" i="1" s="1"/>
  <c r="CS13" i="1" s="1"/>
  <c r="CL13" i="1"/>
  <c r="CM13" i="1" s="1"/>
  <c r="CN13" i="1" s="1"/>
  <c r="CG13" i="1"/>
  <c r="CH13" i="1" s="1"/>
  <c r="CI13" i="1" s="1"/>
  <c r="CA13" i="1"/>
  <c r="CB13" i="1" s="1"/>
  <c r="CC13" i="1" s="1"/>
  <c r="BV13" i="1"/>
  <c r="BW13" i="1" s="1"/>
  <c r="BX13" i="1" s="1"/>
  <c r="BQ13" i="1"/>
  <c r="BR13" i="1" s="1"/>
  <c r="BS13" i="1" s="1"/>
  <c r="BL13" i="1"/>
  <c r="BM13" i="1" s="1"/>
  <c r="BN13" i="1" s="1"/>
  <c r="BG13" i="1"/>
  <c r="BH13" i="1" s="1"/>
  <c r="BI13" i="1" s="1"/>
  <c r="BB13" i="1"/>
  <c r="BC13" i="1" s="1"/>
  <c r="BD13" i="1" s="1"/>
  <c r="AW13" i="1"/>
  <c r="AX13" i="1" s="1"/>
  <c r="AY13" i="1" s="1"/>
  <c r="AR13" i="1"/>
  <c r="AS13" i="1" s="1"/>
  <c r="AT13" i="1" s="1"/>
  <c r="AM13" i="1"/>
  <c r="AN13" i="1" s="1"/>
  <c r="AO13" i="1" s="1"/>
  <c r="AH13" i="1"/>
  <c r="AI13" i="1" s="1"/>
  <c r="AJ13" i="1" s="1"/>
  <c r="AC13" i="1"/>
  <c r="AD13" i="1" s="1"/>
  <c r="AE13" i="1" s="1"/>
  <c r="W13" i="1"/>
  <c r="X13" i="1" s="1"/>
  <c r="Y13" i="1" s="1"/>
  <c r="Q13" i="1"/>
  <c r="R13" i="1" s="1"/>
  <c r="S13" i="1" s="1"/>
  <c r="N13" i="1"/>
  <c r="I13" i="1"/>
  <c r="NZ12" i="1"/>
  <c r="NU12" i="1"/>
  <c r="NP12" i="1"/>
  <c r="NK12" i="1"/>
  <c r="NF12" i="1"/>
  <c r="NA12" i="1"/>
  <c r="MV12" i="1"/>
  <c r="MQ12" i="1"/>
  <c r="MM12" i="1"/>
  <c r="MI12" i="1"/>
  <c r="MD12" i="1"/>
  <c r="LY12" i="1"/>
  <c r="LT12" i="1"/>
  <c r="LO12" i="1"/>
  <c r="LJ12" i="1"/>
  <c r="LE12" i="1"/>
  <c r="KZ12" i="1"/>
  <c r="KV12" i="1"/>
  <c r="KQ12" i="1"/>
  <c r="KM12" i="1"/>
  <c r="KI12" i="1"/>
  <c r="KE12" i="1"/>
  <c r="KA12" i="1"/>
  <c r="JV12" i="1"/>
  <c r="JQ12" i="1"/>
  <c r="JM12" i="1"/>
  <c r="JI12" i="1"/>
  <c r="JB12" i="1"/>
  <c r="JC12" i="1" s="1"/>
  <c r="JD12" i="1" s="1"/>
  <c r="IW12" i="1"/>
  <c r="IX12" i="1" s="1"/>
  <c r="IY12" i="1" s="1"/>
  <c r="IR12" i="1"/>
  <c r="IS12" i="1" s="1"/>
  <c r="IT12" i="1" s="1"/>
  <c r="IM12" i="1"/>
  <c r="IN12" i="1" s="1"/>
  <c r="IO12" i="1" s="1"/>
  <c r="IH12" i="1"/>
  <c r="II12" i="1" s="1"/>
  <c r="IJ12" i="1" s="1"/>
  <c r="IC12" i="1"/>
  <c r="ID12" i="1" s="1"/>
  <c r="IE12" i="1" s="1"/>
  <c r="HX12" i="1"/>
  <c r="HY12" i="1" s="1"/>
  <c r="HZ12" i="1" s="1"/>
  <c r="HU12" i="1"/>
  <c r="HP12" i="1"/>
  <c r="HI12" i="1"/>
  <c r="HJ12" i="1" s="1"/>
  <c r="HK12" i="1" s="1"/>
  <c r="HD12" i="1"/>
  <c r="HE12" i="1" s="1"/>
  <c r="HF12" i="1" s="1"/>
  <c r="GY12" i="1"/>
  <c r="GZ12" i="1" s="1"/>
  <c r="HA12" i="1" s="1"/>
  <c r="GT12" i="1"/>
  <c r="GU12" i="1" s="1"/>
  <c r="GV12" i="1" s="1"/>
  <c r="GO12" i="1"/>
  <c r="GP12" i="1" s="1"/>
  <c r="GQ12" i="1" s="1"/>
  <c r="GJ12" i="1"/>
  <c r="GK12" i="1" s="1"/>
  <c r="GL12" i="1" s="1"/>
  <c r="GE12" i="1"/>
  <c r="GF12" i="1" s="1"/>
  <c r="GG12" i="1" s="1"/>
  <c r="FZ12" i="1"/>
  <c r="GA12" i="1" s="1"/>
  <c r="GB12" i="1" s="1"/>
  <c r="FU12" i="1"/>
  <c r="FV12" i="1" s="1"/>
  <c r="FW12" i="1" s="1"/>
  <c r="FP12" i="1"/>
  <c r="FQ12" i="1" s="1"/>
  <c r="FR12" i="1" s="1"/>
  <c r="FK12" i="1"/>
  <c r="FL12" i="1" s="1"/>
  <c r="FM12" i="1" s="1"/>
  <c r="FF12" i="1"/>
  <c r="FG12" i="1" s="1"/>
  <c r="FH12" i="1" s="1"/>
  <c r="FA12" i="1"/>
  <c r="FB12" i="1" s="1"/>
  <c r="FC12" i="1" s="1"/>
  <c r="EV12" i="1"/>
  <c r="EW12" i="1" s="1"/>
  <c r="EX12" i="1" s="1"/>
  <c r="EQ12" i="1"/>
  <c r="ER12" i="1" s="1"/>
  <c r="ES12" i="1" s="1"/>
  <c r="EL12" i="1"/>
  <c r="EM12" i="1" s="1"/>
  <c r="EN12" i="1" s="1"/>
  <c r="EE12" i="1"/>
  <c r="EF12" i="1" s="1"/>
  <c r="EG12" i="1" s="1"/>
  <c r="DZ12" i="1"/>
  <c r="EA12" i="1" s="1"/>
  <c r="EB12" i="1" s="1"/>
  <c r="DU12" i="1"/>
  <c r="DV12" i="1" s="1"/>
  <c r="DW12" i="1" s="1"/>
  <c r="DP12" i="1"/>
  <c r="DQ12" i="1" s="1"/>
  <c r="DR12" i="1" s="1"/>
  <c r="DK12" i="1"/>
  <c r="DL12" i="1" s="1"/>
  <c r="DM12" i="1" s="1"/>
  <c r="DF12" i="1"/>
  <c r="DG12" i="1" s="1"/>
  <c r="DH12" i="1" s="1"/>
  <c r="DA12" i="1"/>
  <c r="DB12" i="1" s="1"/>
  <c r="DC12" i="1" s="1"/>
  <c r="CV12" i="1"/>
  <c r="CW12" i="1" s="1"/>
  <c r="CX12" i="1" s="1"/>
  <c r="CQ12" i="1"/>
  <c r="CR12" i="1" s="1"/>
  <c r="CS12" i="1" s="1"/>
  <c r="CL12" i="1"/>
  <c r="CM12" i="1" s="1"/>
  <c r="CN12" i="1" s="1"/>
  <c r="CG12" i="1"/>
  <c r="CH12" i="1" s="1"/>
  <c r="CI12" i="1" s="1"/>
  <c r="CA12" i="1"/>
  <c r="CB12" i="1" s="1"/>
  <c r="CC12" i="1" s="1"/>
  <c r="BV12" i="1"/>
  <c r="BW12" i="1" s="1"/>
  <c r="BX12" i="1" s="1"/>
  <c r="BQ12" i="1"/>
  <c r="BR12" i="1" s="1"/>
  <c r="BS12" i="1" s="1"/>
  <c r="BL12" i="1"/>
  <c r="BM12" i="1" s="1"/>
  <c r="BN12" i="1" s="1"/>
  <c r="BG12" i="1"/>
  <c r="BH12" i="1" s="1"/>
  <c r="BI12" i="1" s="1"/>
  <c r="BB12" i="1"/>
  <c r="BC12" i="1" s="1"/>
  <c r="BD12" i="1" s="1"/>
  <c r="AW12" i="1"/>
  <c r="AX12" i="1" s="1"/>
  <c r="AY12" i="1" s="1"/>
  <c r="AR12" i="1"/>
  <c r="AS12" i="1" s="1"/>
  <c r="AT12" i="1" s="1"/>
  <c r="AM12" i="1"/>
  <c r="AN12" i="1" s="1"/>
  <c r="AO12" i="1" s="1"/>
  <c r="AH12" i="1"/>
  <c r="AI12" i="1" s="1"/>
  <c r="AJ12" i="1" s="1"/>
  <c r="AC12" i="1"/>
  <c r="AD12" i="1" s="1"/>
  <c r="AE12" i="1" s="1"/>
  <c r="W12" i="1"/>
  <c r="X12" i="1" s="1"/>
  <c r="Y12" i="1" s="1"/>
  <c r="S12" i="1"/>
  <c r="N12" i="1"/>
  <c r="I12" i="1"/>
  <c r="NZ11" i="1"/>
  <c r="NU11" i="1"/>
  <c r="NP11" i="1"/>
  <c r="NK11" i="1"/>
  <c r="NF11" i="1"/>
  <c r="NA11" i="1"/>
  <c r="MV11" i="1"/>
  <c r="MQ11" i="1"/>
  <c r="MM11" i="1"/>
  <c r="MI11" i="1"/>
  <c r="MD11" i="1"/>
  <c r="LY11" i="1"/>
  <c r="LT11" i="1"/>
  <c r="LO11" i="1"/>
  <c r="LJ11" i="1"/>
  <c r="LC11" i="1"/>
  <c r="LD11" i="1" s="1"/>
  <c r="LE11" i="1" s="1"/>
  <c r="KZ11" i="1"/>
  <c r="KT11" i="1"/>
  <c r="KU11" i="1" s="1"/>
  <c r="KV11" i="1" s="1"/>
  <c r="KQ11" i="1"/>
  <c r="KM11" i="1"/>
  <c r="KI11" i="1"/>
  <c r="KE11" i="1"/>
  <c r="KA11" i="1"/>
  <c r="JV11" i="1"/>
  <c r="JQ11" i="1"/>
  <c r="JM11" i="1"/>
  <c r="JI11" i="1"/>
  <c r="JB11" i="1"/>
  <c r="JC11" i="1" s="1"/>
  <c r="JD11" i="1" s="1"/>
  <c r="IW11" i="1"/>
  <c r="IX11" i="1" s="1"/>
  <c r="IY11" i="1" s="1"/>
  <c r="IR11" i="1"/>
  <c r="IS11" i="1" s="1"/>
  <c r="IT11" i="1" s="1"/>
  <c r="IM11" i="1"/>
  <c r="IN11" i="1" s="1"/>
  <c r="IO11" i="1" s="1"/>
  <c r="IH11" i="1"/>
  <c r="II11" i="1" s="1"/>
  <c r="IJ11" i="1" s="1"/>
  <c r="IC11" i="1"/>
  <c r="ID11" i="1" s="1"/>
  <c r="IE11" i="1" s="1"/>
  <c r="HX11" i="1"/>
  <c r="HY11" i="1" s="1"/>
  <c r="HZ11" i="1" s="1"/>
  <c r="HS11" i="1"/>
  <c r="HT11" i="1" s="1"/>
  <c r="HU11" i="1" s="1"/>
  <c r="HN11" i="1"/>
  <c r="HO11" i="1" s="1"/>
  <c r="HP11" i="1" s="1"/>
  <c r="HI11" i="1"/>
  <c r="HJ11" i="1" s="1"/>
  <c r="HK11" i="1" s="1"/>
  <c r="HD11" i="1"/>
  <c r="HE11" i="1" s="1"/>
  <c r="HF11" i="1" s="1"/>
  <c r="GY11" i="1"/>
  <c r="GZ11" i="1" s="1"/>
  <c r="HA11" i="1" s="1"/>
  <c r="GT11" i="1"/>
  <c r="GU11" i="1" s="1"/>
  <c r="GV11" i="1" s="1"/>
  <c r="GO11" i="1"/>
  <c r="GP11" i="1" s="1"/>
  <c r="GQ11" i="1" s="1"/>
  <c r="GJ11" i="1"/>
  <c r="GK11" i="1" s="1"/>
  <c r="GL11" i="1" s="1"/>
  <c r="GE11" i="1"/>
  <c r="GF11" i="1" s="1"/>
  <c r="GG11" i="1" s="1"/>
  <c r="FZ11" i="1"/>
  <c r="GA11" i="1" s="1"/>
  <c r="GB11" i="1" s="1"/>
  <c r="FU11" i="1"/>
  <c r="FV11" i="1" s="1"/>
  <c r="FW11" i="1" s="1"/>
  <c r="FP11" i="1"/>
  <c r="FQ11" i="1" s="1"/>
  <c r="FR11" i="1" s="1"/>
  <c r="FK11" i="1"/>
  <c r="FL11" i="1" s="1"/>
  <c r="FM11" i="1" s="1"/>
  <c r="FF11" i="1"/>
  <c r="FG11" i="1" s="1"/>
  <c r="FH11" i="1" s="1"/>
  <c r="FA11" i="1"/>
  <c r="FB11" i="1" s="1"/>
  <c r="FC11" i="1" s="1"/>
  <c r="EV11" i="1"/>
  <c r="EW11" i="1" s="1"/>
  <c r="EX11" i="1" s="1"/>
  <c r="EQ11" i="1"/>
  <c r="ER11" i="1" s="1"/>
  <c r="ES11" i="1" s="1"/>
  <c r="EL11" i="1"/>
  <c r="EM11" i="1" s="1"/>
  <c r="EN11" i="1" s="1"/>
  <c r="EE11" i="1"/>
  <c r="EF11" i="1" s="1"/>
  <c r="EG11" i="1" s="1"/>
  <c r="DZ11" i="1"/>
  <c r="EA11" i="1" s="1"/>
  <c r="EB11" i="1" s="1"/>
  <c r="DU11" i="1"/>
  <c r="DV11" i="1" s="1"/>
  <c r="DW11" i="1" s="1"/>
  <c r="DP11" i="1"/>
  <c r="DQ11" i="1" s="1"/>
  <c r="DR11" i="1" s="1"/>
  <c r="DK11" i="1"/>
  <c r="DL11" i="1" s="1"/>
  <c r="DM11" i="1" s="1"/>
  <c r="DF11" i="1"/>
  <c r="DG11" i="1" s="1"/>
  <c r="DH11" i="1" s="1"/>
  <c r="DA11" i="1"/>
  <c r="DB11" i="1" s="1"/>
  <c r="DC11" i="1" s="1"/>
  <c r="CV11" i="1"/>
  <c r="CW11" i="1" s="1"/>
  <c r="CX11" i="1" s="1"/>
  <c r="CQ11" i="1"/>
  <c r="CR11" i="1" s="1"/>
  <c r="CS11" i="1" s="1"/>
  <c r="CL11" i="1"/>
  <c r="CM11" i="1" s="1"/>
  <c r="CN11" i="1" s="1"/>
  <c r="CG11" i="1"/>
  <c r="CH11" i="1" s="1"/>
  <c r="CI11" i="1" s="1"/>
  <c r="CA11" i="1"/>
  <c r="CB11" i="1" s="1"/>
  <c r="CC11" i="1" s="1"/>
  <c r="BV11" i="1"/>
  <c r="BW11" i="1" s="1"/>
  <c r="BX11" i="1" s="1"/>
  <c r="BQ11" i="1"/>
  <c r="BR11" i="1" s="1"/>
  <c r="BS11" i="1" s="1"/>
  <c r="BL11" i="1"/>
  <c r="BM11" i="1" s="1"/>
  <c r="BN11" i="1" s="1"/>
  <c r="BG11" i="1"/>
  <c r="BH11" i="1" s="1"/>
  <c r="BI11" i="1" s="1"/>
  <c r="BB11" i="1"/>
  <c r="BC11" i="1" s="1"/>
  <c r="BD11" i="1" s="1"/>
  <c r="AW11" i="1"/>
  <c r="AX11" i="1" s="1"/>
  <c r="AY11" i="1" s="1"/>
  <c r="AR11" i="1"/>
  <c r="AS11" i="1" s="1"/>
  <c r="AT11" i="1" s="1"/>
  <c r="AM11" i="1"/>
  <c r="AN11" i="1" s="1"/>
  <c r="AO11" i="1" s="1"/>
  <c r="AH11" i="1"/>
  <c r="AI11" i="1" s="1"/>
  <c r="AJ11" i="1" s="1"/>
  <c r="AC11" i="1"/>
  <c r="AD11" i="1" s="1"/>
  <c r="AE11" i="1" s="1"/>
  <c r="W11" i="1"/>
  <c r="X11" i="1" s="1"/>
  <c r="Y11" i="1" s="1"/>
  <c r="S11" i="1"/>
  <c r="N11" i="1"/>
  <c r="I11" i="1"/>
  <c r="NZ10" i="1"/>
  <c r="NU10" i="1"/>
  <c r="NP10" i="1"/>
  <c r="NK10" i="1"/>
  <c r="NF10" i="1"/>
  <c r="NA10" i="1"/>
  <c r="MV10" i="1"/>
  <c r="MQ10" i="1"/>
  <c r="MM10" i="1"/>
  <c r="MI10" i="1"/>
  <c r="MD10" i="1"/>
  <c r="LY10" i="1"/>
  <c r="LT10" i="1"/>
  <c r="LO10" i="1"/>
  <c r="LJ10" i="1"/>
  <c r="LE10" i="1"/>
  <c r="KZ10" i="1"/>
  <c r="KV10" i="1"/>
  <c r="KQ10" i="1"/>
  <c r="KK10" i="1"/>
  <c r="KL10" i="1" s="1"/>
  <c r="KM10" i="1" s="1"/>
  <c r="KI10" i="1"/>
  <c r="KE10" i="1"/>
  <c r="KA10" i="1"/>
  <c r="JV10" i="1"/>
  <c r="JQ10" i="1"/>
  <c r="JM10" i="1"/>
  <c r="JI10" i="1"/>
  <c r="JD10" i="1"/>
  <c r="IY10" i="1"/>
  <c r="IT10" i="1"/>
  <c r="IO10" i="1"/>
  <c r="IJ10" i="1"/>
  <c r="IE10" i="1"/>
  <c r="HZ10" i="1"/>
  <c r="HU10" i="1"/>
  <c r="HP10" i="1"/>
  <c r="HI10" i="1"/>
  <c r="HJ10" i="1" s="1"/>
  <c r="HK10" i="1" s="1"/>
  <c r="HD10" i="1"/>
  <c r="HE10" i="1" s="1"/>
  <c r="HF10" i="1" s="1"/>
  <c r="GY10" i="1"/>
  <c r="GZ10" i="1" s="1"/>
  <c r="HA10" i="1" s="1"/>
  <c r="GT10" i="1"/>
  <c r="GU10" i="1" s="1"/>
  <c r="GV10" i="1" s="1"/>
  <c r="GO10" i="1"/>
  <c r="GP10" i="1" s="1"/>
  <c r="GQ10" i="1" s="1"/>
  <c r="GJ10" i="1"/>
  <c r="GK10" i="1" s="1"/>
  <c r="GL10" i="1" s="1"/>
  <c r="GE10" i="1"/>
  <c r="GF10" i="1" s="1"/>
  <c r="GG10" i="1" s="1"/>
  <c r="FZ10" i="1"/>
  <c r="GA10" i="1" s="1"/>
  <c r="GB10" i="1" s="1"/>
  <c r="FU10" i="1"/>
  <c r="FV10" i="1" s="1"/>
  <c r="FW10" i="1" s="1"/>
  <c r="FP10" i="1"/>
  <c r="FQ10" i="1" s="1"/>
  <c r="FR10" i="1" s="1"/>
  <c r="FK10" i="1"/>
  <c r="FL10" i="1" s="1"/>
  <c r="FM10" i="1" s="1"/>
  <c r="FG10" i="1"/>
  <c r="FH10" i="1" s="1"/>
  <c r="FF10" i="1"/>
  <c r="FA10" i="1"/>
  <c r="FB10" i="1" s="1"/>
  <c r="FC10" i="1" s="1"/>
  <c r="EV10" i="1"/>
  <c r="EW10" i="1" s="1"/>
  <c r="EX10" i="1" s="1"/>
  <c r="EQ10" i="1"/>
  <c r="ER10" i="1" s="1"/>
  <c r="ES10" i="1" s="1"/>
  <c r="EL10" i="1"/>
  <c r="EM10" i="1" s="1"/>
  <c r="EN10" i="1" s="1"/>
  <c r="EE10" i="1"/>
  <c r="EF10" i="1" s="1"/>
  <c r="EG10" i="1" s="1"/>
  <c r="DZ10" i="1"/>
  <c r="EA10" i="1" s="1"/>
  <c r="EB10" i="1" s="1"/>
  <c r="DU10" i="1"/>
  <c r="DV10" i="1" s="1"/>
  <c r="DW10" i="1" s="1"/>
  <c r="DP10" i="1"/>
  <c r="DQ10" i="1" s="1"/>
  <c r="DR10" i="1" s="1"/>
  <c r="DK10" i="1"/>
  <c r="DL10" i="1" s="1"/>
  <c r="DM10" i="1" s="1"/>
  <c r="DF10" i="1"/>
  <c r="DG10" i="1" s="1"/>
  <c r="DH10" i="1" s="1"/>
  <c r="DA10" i="1"/>
  <c r="DB10" i="1" s="1"/>
  <c r="DC10" i="1" s="1"/>
  <c r="CV10" i="1"/>
  <c r="CW10" i="1" s="1"/>
  <c r="CX10" i="1" s="1"/>
  <c r="CQ10" i="1"/>
  <c r="CR10" i="1" s="1"/>
  <c r="CS10" i="1" s="1"/>
  <c r="CL10" i="1"/>
  <c r="CM10" i="1" s="1"/>
  <c r="CN10" i="1" s="1"/>
  <c r="CG10" i="1"/>
  <c r="CH10" i="1" s="1"/>
  <c r="CI10" i="1" s="1"/>
  <c r="CA10" i="1"/>
  <c r="CB10" i="1" s="1"/>
  <c r="CC10" i="1" s="1"/>
  <c r="BV10" i="1"/>
  <c r="BW10" i="1" s="1"/>
  <c r="BX10" i="1" s="1"/>
  <c r="BQ10" i="1"/>
  <c r="BR10" i="1" s="1"/>
  <c r="BS10" i="1" s="1"/>
  <c r="BL10" i="1"/>
  <c r="BM10" i="1" s="1"/>
  <c r="BN10" i="1" s="1"/>
  <c r="BG10" i="1"/>
  <c r="BH10" i="1" s="1"/>
  <c r="BI10" i="1" s="1"/>
  <c r="BB10" i="1"/>
  <c r="BC10" i="1" s="1"/>
  <c r="BD10" i="1" s="1"/>
  <c r="AW10" i="1"/>
  <c r="AX10" i="1" s="1"/>
  <c r="AY10" i="1" s="1"/>
  <c r="AR10" i="1"/>
  <c r="AS10" i="1" s="1"/>
  <c r="AT10" i="1" s="1"/>
  <c r="AM10" i="1"/>
  <c r="AN10" i="1" s="1"/>
  <c r="AO10" i="1" s="1"/>
  <c r="AH10" i="1"/>
  <c r="AI10" i="1" s="1"/>
  <c r="AJ10" i="1" s="1"/>
  <c r="AC10" i="1"/>
  <c r="AD10" i="1" s="1"/>
  <c r="AE10" i="1" s="1"/>
  <c r="W10" i="1"/>
  <c r="X10" i="1" s="1"/>
  <c r="Y10" i="1" s="1"/>
  <c r="Q10" i="1"/>
  <c r="R10" i="1" s="1"/>
  <c r="S10" i="1" s="1"/>
  <c r="N10" i="1"/>
  <c r="I10" i="1"/>
  <c r="NZ9" i="1"/>
  <c r="NU9" i="1"/>
  <c r="NP9" i="1"/>
  <c r="NK9" i="1"/>
  <c r="NF9" i="1"/>
  <c r="NA9" i="1"/>
  <c r="MV9" i="1"/>
  <c r="MQ9" i="1"/>
  <c r="MM9" i="1"/>
  <c r="MI9" i="1"/>
  <c r="MD9" i="1"/>
  <c r="LY9" i="1"/>
  <c r="LT9" i="1"/>
  <c r="LO9" i="1"/>
  <c r="LJ9" i="1"/>
  <c r="LC9" i="1"/>
  <c r="LD9" i="1" s="1"/>
  <c r="LE9" i="1" s="1"/>
  <c r="KZ9" i="1"/>
  <c r="KV9" i="1"/>
  <c r="KQ9" i="1"/>
  <c r="KM9" i="1"/>
  <c r="KI9" i="1"/>
  <c r="KE9" i="1"/>
  <c r="KA9" i="1"/>
  <c r="JV9" i="1"/>
  <c r="JQ9" i="1"/>
  <c r="JM9" i="1"/>
  <c r="JI9" i="1"/>
  <c r="JB9" i="1"/>
  <c r="JC9" i="1" s="1"/>
  <c r="JD9" i="1" s="1"/>
  <c r="IW9" i="1"/>
  <c r="IX9" i="1" s="1"/>
  <c r="IY9" i="1" s="1"/>
  <c r="IR9" i="1"/>
  <c r="IS9" i="1" s="1"/>
  <c r="IT9" i="1" s="1"/>
  <c r="IO9" i="1"/>
  <c r="IJ9" i="1"/>
  <c r="IC9" i="1"/>
  <c r="ID9" i="1" s="1"/>
  <c r="IE9" i="1" s="1"/>
  <c r="HZ9" i="1"/>
  <c r="HU9" i="1"/>
  <c r="HP9" i="1"/>
  <c r="HI9" i="1"/>
  <c r="HJ9" i="1" s="1"/>
  <c r="HK9" i="1" s="1"/>
  <c r="HD9" i="1"/>
  <c r="HE9" i="1" s="1"/>
  <c r="HF9" i="1" s="1"/>
  <c r="GY9" i="1"/>
  <c r="GZ9" i="1" s="1"/>
  <c r="HA9" i="1" s="1"/>
  <c r="GT9" i="1"/>
  <c r="GU9" i="1" s="1"/>
  <c r="GV9" i="1" s="1"/>
  <c r="GO9" i="1"/>
  <c r="GP9" i="1" s="1"/>
  <c r="GQ9" i="1" s="1"/>
  <c r="GJ9" i="1"/>
  <c r="GK9" i="1" s="1"/>
  <c r="GL9" i="1" s="1"/>
  <c r="GE9" i="1"/>
  <c r="GF9" i="1" s="1"/>
  <c r="GG9" i="1" s="1"/>
  <c r="FZ9" i="1"/>
  <c r="GA9" i="1" s="1"/>
  <c r="GB9" i="1" s="1"/>
  <c r="FU9" i="1"/>
  <c r="FV9" i="1" s="1"/>
  <c r="FW9" i="1" s="1"/>
  <c r="FP9" i="1"/>
  <c r="FQ9" i="1" s="1"/>
  <c r="FR9" i="1" s="1"/>
  <c r="FK9" i="1"/>
  <c r="FL9" i="1" s="1"/>
  <c r="FM9" i="1" s="1"/>
  <c r="FF9" i="1"/>
  <c r="FG9" i="1" s="1"/>
  <c r="FH9" i="1" s="1"/>
  <c r="FA9" i="1"/>
  <c r="FB9" i="1" s="1"/>
  <c r="FC9" i="1" s="1"/>
  <c r="EV9" i="1"/>
  <c r="EW9" i="1" s="1"/>
  <c r="EX9" i="1" s="1"/>
  <c r="EQ9" i="1"/>
  <c r="ER9" i="1" s="1"/>
  <c r="ES9" i="1" s="1"/>
  <c r="EL9" i="1"/>
  <c r="EM9" i="1" s="1"/>
  <c r="EN9" i="1" s="1"/>
  <c r="EE9" i="1"/>
  <c r="EF9" i="1" s="1"/>
  <c r="EG9" i="1" s="1"/>
  <c r="DZ9" i="1"/>
  <c r="EA9" i="1" s="1"/>
  <c r="EB9" i="1" s="1"/>
  <c r="DU9" i="1"/>
  <c r="DV9" i="1" s="1"/>
  <c r="DW9" i="1" s="1"/>
  <c r="DP9" i="1"/>
  <c r="DQ9" i="1" s="1"/>
  <c r="DR9" i="1" s="1"/>
  <c r="DK9" i="1"/>
  <c r="DL9" i="1" s="1"/>
  <c r="DM9" i="1" s="1"/>
  <c r="DF9" i="1"/>
  <c r="DG9" i="1" s="1"/>
  <c r="DH9" i="1" s="1"/>
  <c r="DA9" i="1"/>
  <c r="DB9" i="1" s="1"/>
  <c r="DC9" i="1" s="1"/>
  <c r="CV9" i="1"/>
  <c r="CW9" i="1" s="1"/>
  <c r="CX9" i="1" s="1"/>
  <c r="CQ9" i="1"/>
  <c r="CR9" i="1" s="1"/>
  <c r="CS9" i="1" s="1"/>
  <c r="CL9" i="1"/>
  <c r="CM9" i="1" s="1"/>
  <c r="CN9" i="1" s="1"/>
  <c r="CG9" i="1"/>
  <c r="CH9" i="1" s="1"/>
  <c r="CI9" i="1" s="1"/>
  <c r="CA9" i="1"/>
  <c r="CB9" i="1" s="1"/>
  <c r="CC9" i="1" s="1"/>
  <c r="BV9" i="1"/>
  <c r="BW9" i="1" s="1"/>
  <c r="BX9" i="1" s="1"/>
  <c r="BQ9" i="1"/>
  <c r="BR9" i="1" s="1"/>
  <c r="BS9" i="1" s="1"/>
  <c r="BL9" i="1"/>
  <c r="BM9" i="1" s="1"/>
  <c r="BN9" i="1" s="1"/>
  <c r="BG9" i="1"/>
  <c r="BH9" i="1" s="1"/>
  <c r="BI9" i="1" s="1"/>
  <c r="BB9" i="1"/>
  <c r="BC9" i="1" s="1"/>
  <c r="BD9" i="1" s="1"/>
  <c r="AW9" i="1"/>
  <c r="AX9" i="1" s="1"/>
  <c r="AY9" i="1" s="1"/>
  <c r="AR9" i="1"/>
  <c r="AS9" i="1" s="1"/>
  <c r="AT9" i="1" s="1"/>
  <c r="AM9" i="1"/>
  <c r="AN9" i="1" s="1"/>
  <c r="AO9" i="1" s="1"/>
  <c r="AH9" i="1"/>
  <c r="AI9" i="1" s="1"/>
  <c r="AJ9" i="1" s="1"/>
  <c r="AC9" i="1"/>
  <c r="AD9" i="1" s="1"/>
  <c r="AE9" i="1" s="1"/>
  <c r="W9" i="1"/>
  <c r="X9" i="1" s="1"/>
  <c r="Y9" i="1" s="1"/>
  <c r="S9" i="1"/>
  <c r="N9" i="1"/>
  <c r="I9" i="1"/>
  <c r="NZ8" i="1"/>
  <c r="NU8" i="1"/>
  <c r="NP8" i="1"/>
  <c r="NK8" i="1"/>
  <c r="NF8" i="1"/>
  <c r="NA8" i="1"/>
  <c r="MV8" i="1"/>
  <c r="MQ8" i="1"/>
  <c r="MM8" i="1"/>
  <c r="MI8" i="1"/>
  <c r="MD8" i="1"/>
  <c r="LY8" i="1"/>
  <c r="LT8" i="1"/>
  <c r="LO8" i="1"/>
  <c r="LJ8" i="1"/>
  <c r="LE8" i="1"/>
  <c r="KZ8" i="1"/>
  <c r="KV8" i="1"/>
  <c r="KQ8" i="1"/>
  <c r="KM8" i="1"/>
  <c r="KI8" i="1"/>
  <c r="KE8" i="1"/>
  <c r="KA8" i="1"/>
  <c r="JV8" i="1"/>
  <c r="JQ8" i="1"/>
  <c r="JM8" i="1"/>
  <c r="JI8" i="1"/>
  <c r="JD8" i="1"/>
  <c r="IY8" i="1"/>
  <c r="IT8" i="1"/>
  <c r="IO8" i="1"/>
  <c r="IJ8" i="1"/>
  <c r="IE8" i="1"/>
  <c r="HZ8" i="1"/>
  <c r="HU8" i="1"/>
  <c r="HP8" i="1"/>
  <c r="HI8" i="1"/>
  <c r="HJ8" i="1" s="1"/>
  <c r="HK8" i="1" s="1"/>
  <c r="HD8" i="1"/>
  <c r="HE8" i="1" s="1"/>
  <c r="HF8" i="1" s="1"/>
  <c r="GY8" i="1"/>
  <c r="GZ8" i="1" s="1"/>
  <c r="HA8" i="1" s="1"/>
  <c r="GT8" i="1"/>
  <c r="GU8" i="1" s="1"/>
  <c r="GV8" i="1" s="1"/>
  <c r="GO8" i="1"/>
  <c r="GP8" i="1" s="1"/>
  <c r="GQ8" i="1" s="1"/>
  <c r="GJ8" i="1"/>
  <c r="GK8" i="1" s="1"/>
  <c r="GL8" i="1" s="1"/>
  <c r="GE8" i="1"/>
  <c r="GF8" i="1" s="1"/>
  <c r="GG8" i="1" s="1"/>
  <c r="FZ8" i="1"/>
  <c r="GA8" i="1" s="1"/>
  <c r="GB8" i="1" s="1"/>
  <c r="FU8" i="1"/>
  <c r="FV8" i="1" s="1"/>
  <c r="FW8" i="1" s="1"/>
  <c r="FP8" i="1"/>
  <c r="FQ8" i="1" s="1"/>
  <c r="FR8" i="1" s="1"/>
  <c r="FK8" i="1"/>
  <c r="FL8" i="1" s="1"/>
  <c r="FM8" i="1" s="1"/>
  <c r="FF8" i="1"/>
  <c r="FG8" i="1" s="1"/>
  <c r="FH8" i="1" s="1"/>
  <c r="FA8" i="1"/>
  <c r="FB8" i="1" s="1"/>
  <c r="FC8" i="1" s="1"/>
  <c r="EV8" i="1"/>
  <c r="EW8" i="1" s="1"/>
  <c r="EX8" i="1" s="1"/>
  <c r="EQ8" i="1"/>
  <c r="ER8" i="1" s="1"/>
  <c r="ES8" i="1" s="1"/>
  <c r="EL8" i="1"/>
  <c r="EM8" i="1" s="1"/>
  <c r="EN8" i="1" s="1"/>
  <c r="EE8" i="1"/>
  <c r="EF8" i="1" s="1"/>
  <c r="EG8" i="1" s="1"/>
  <c r="DZ8" i="1"/>
  <c r="EA8" i="1" s="1"/>
  <c r="EB8" i="1" s="1"/>
  <c r="DU8" i="1"/>
  <c r="DV8" i="1" s="1"/>
  <c r="DW8" i="1" s="1"/>
  <c r="DP8" i="1"/>
  <c r="DQ8" i="1" s="1"/>
  <c r="DR8" i="1" s="1"/>
  <c r="DK8" i="1"/>
  <c r="DL8" i="1" s="1"/>
  <c r="DM8" i="1" s="1"/>
  <c r="DF8" i="1"/>
  <c r="DG8" i="1" s="1"/>
  <c r="DH8" i="1" s="1"/>
  <c r="DA8" i="1"/>
  <c r="DB8" i="1" s="1"/>
  <c r="DC8" i="1" s="1"/>
  <c r="CV8" i="1"/>
  <c r="CW8" i="1" s="1"/>
  <c r="CX8" i="1" s="1"/>
  <c r="CQ8" i="1"/>
  <c r="CR8" i="1" s="1"/>
  <c r="CS8" i="1" s="1"/>
  <c r="CL8" i="1"/>
  <c r="CM8" i="1" s="1"/>
  <c r="CN8" i="1" s="1"/>
  <c r="CG8" i="1"/>
  <c r="CH8" i="1" s="1"/>
  <c r="CI8" i="1" s="1"/>
  <c r="CA8" i="1"/>
  <c r="CB8" i="1" s="1"/>
  <c r="CC8" i="1" s="1"/>
  <c r="BV8" i="1"/>
  <c r="BW8" i="1" s="1"/>
  <c r="BX8" i="1" s="1"/>
  <c r="BQ8" i="1"/>
  <c r="BR8" i="1" s="1"/>
  <c r="BS8" i="1" s="1"/>
  <c r="BL8" i="1"/>
  <c r="BM8" i="1" s="1"/>
  <c r="BN8" i="1" s="1"/>
  <c r="BG8" i="1"/>
  <c r="BH8" i="1" s="1"/>
  <c r="BI8" i="1" s="1"/>
  <c r="BB8" i="1"/>
  <c r="BC8" i="1" s="1"/>
  <c r="BD8" i="1" s="1"/>
  <c r="AW8" i="1"/>
  <c r="AX8" i="1" s="1"/>
  <c r="AY8" i="1" s="1"/>
  <c r="AR8" i="1"/>
  <c r="AS8" i="1" s="1"/>
  <c r="AT8" i="1" s="1"/>
  <c r="AM8" i="1"/>
  <c r="AN8" i="1" s="1"/>
  <c r="AO8" i="1" s="1"/>
  <c r="AH8" i="1"/>
  <c r="AI8" i="1" s="1"/>
  <c r="AJ8" i="1" s="1"/>
  <c r="AC8" i="1"/>
  <c r="AD8" i="1" s="1"/>
  <c r="AE8" i="1" s="1"/>
  <c r="W8" i="1"/>
  <c r="X8" i="1" s="1"/>
  <c r="Y8" i="1" s="1"/>
  <c r="Q8" i="1"/>
  <c r="R8" i="1" s="1"/>
  <c r="S8" i="1" s="1"/>
  <c r="N8" i="1"/>
  <c r="I8" i="1"/>
  <c r="NZ7" i="1"/>
  <c r="NU7" i="1"/>
  <c r="NP7" i="1"/>
  <c r="NK7" i="1"/>
  <c r="NF7" i="1"/>
  <c r="NA7" i="1"/>
  <c r="MV7" i="1"/>
  <c r="MQ7" i="1"/>
  <c r="MM7" i="1"/>
  <c r="MI7" i="1"/>
  <c r="MB7" i="1"/>
  <c r="MC7" i="1" s="1"/>
  <c r="MD7" i="1" s="1"/>
  <c r="LY7" i="1"/>
  <c r="LT7" i="1"/>
  <c r="LO7" i="1"/>
  <c r="LJ7" i="1"/>
  <c r="LE7" i="1"/>
  <c r="KX7" i="1"/>
  <c r="KY7" i="1" s="1"/>
  <c r="KZ7" i="1" s="1"/>
  <c r="KT7" i="1"/>
  <c r="KU7" i="1" s="1"/>
  <c r="KV7" i="1" s="1"/>
  <c r="KO7" i="1"/>
  <c r="KP7" i="1" s="1"/>
  <c r="KQ7" i="1" s="1"/>
  <c r="KM7" i="1"/>
  <c r="KI7" i="1"/>
  <c r="KE7" i="1"/>
  <c r="KA7" i="1"/>
  <c r="JV7" i="1"/>
  <c r="JQ7" i="1"/>
  <c r="JM7" i="1"/>
  <c r="JI7" i="1"/>
  <c r="JB7" i="1"/>
  <c r="JC7" i="1" s="1"/>
  <c r="JD7" i="1" s="1"/>
  <c r="IW7" i="1"/>
  <c r="IX7" i="1" s="1"/>
  <c r="IY7" i="1" s="1"/>
  <c r="IR7" i="1"/>
  <c r="IS7" i="1" s="1"/>
  <c r="IT7" i="1" s="1"/>
  <c r="IM7" i="1"/>
  <c r="IN7" i="1" s="1"/>
  <c r="IO7" i="1" s="1"/>
  <c r="IH7" i="1"/>
  <c r="II7" i="1" s="1"/>
  <c r="IJ7" i="1" s="1"/>
  <c r="IC7" i="1"/>
  <c r="ID7" i="1" s="1"/>
  <c r="IE7" i="1" s="1"/>
  <c r="HX7" i="1"/>
  <c r="HY7" i="1" s="1"/>
  <c r="HZ7" i="1" s="1"/>
  <c r="HU7" i="1"/>
  <c r="HP7" i="1"/>
  <c r="HI7" i="1"/>
  <c r="HJ7" i="1" s="1"/>
  <c r="HK7" i="1" s="1"/>
  <c r="HD7" i="1"/>
  <c r="HE7" i="1" s="1"/>
  <c r="HF7" i="1" s="1"/>
  <c r="GY7" i="1"/>
  <c r="GZ7" i="1" s="1"/>
  <c r="HA7" i="1" s="1"/>
  <c r="GT7" i="1"/>
  <c r="GU7" i="1" s="1"/>
  <c r="GV7" i="1" s="1"/>
  <c r="GO7" i="1"/>
  <c r="GP7" i="1" s="1"/>
  <c r="GQ7" i="1" s="1"/>
  <c r="GJ7" i="1"/>
  <c r="GK7" i="1" s="1"/>
  <c r="GL7" i="1" s="1"/>
  <c r="GE7" i="1"/>
  <c r="GF7" i="1" s="1"/>
  <c r="GG7" i="1" s="1"/>
  <c r="FZ7" i="1"/>
  <c r="GA7" i="1" s="1"/>
  <c r="GB7" i="1" s="1"/>
  <c r="FU7" i="1"/>
  <c r="FV7" i="1" s="1"/>
  <c r="FW7" i="1" s="1"/>
  <c r="FP7" i="1"/>
  <c r="FQ7" i="1" s="1"/>
  <c r="FR7" i="1" s="1"/>
  <c r="FK7" i="1"/>
  <c r="FL7" i="1" s="1"/>
  <c r="FM7" i="1" s="1"/>
  <c r="FF7" i="1"/>
  <c r="FG7" i="1" s="1"/>
  <c r="FH7" i="1" s="1"/>
  <c r="FA7" i="1"/>
  <c r="FB7" i="1" s="1"/>
  <c r="FC7" i="1" s="1"/>
  <c r="EV7" i="1"/>
  <c r="EW7" i="1" s="1"/>
  <c r="EX7" i="1" s="1"/>
  <c r="EQ7" i="1"/>
  <c r="ER7" i="1" s="1"/>
  <c r="ES7" i="1" s="1"/>
  <c r="EL7" i="1"/>
  <c r="EM7" i="1" s="1"/>
  <c r="EN7" i="1" s="1"/>
  <c r="EE7" i="1"/>
  <c r="EF7" i="1" s="1"/>
  <c r="EG7" i="1" s="1"/>
  <c r="DZ7" i="1"/>
  <c r="EA7" i="1" s="1"/>
  <c r="EB7" i="1" s="1"/>
  <c r="DU7" i="1"/>
  <c r="DV7" i="1" s="1"/>
  <c r="DW7" i="1" s="1"/>
  <c r="DP7" i="1"/>
  <c r="DQ7" i="1" s="1"/>
  <c r="DR7" i="1" s="1"/>
  <c r="DK7" i="1"/>
  <c r="DL7" i="1" s="1"/>
  <c r="DM7" i="1" s="1"/>
  <c r="DF7" i="1"/>
  <c r="DG7" i="1" s="1"/>
  <c r="DH7" i="1" s="1"/>
  <c r="DA7" i="1"/>
  <c r="DB7" i="1" s="1"/>
  <c r="DC7" i="1" s="1"/>
  <c r="CV7" i="1"/>
  <c r="CW7" i="1" s="1"/>
  <c r="CX7" i="1" s="1"/>
  <c r="CQ7" i="1"/>
  <c r="CR7" i="1" s="1"/>
  <c r="CS7" i="1" s="1"/>
  <c r="CL7" i="1"/>
  <c r="CM7" i="1" s="1"/>
  <c r="CN7" i="1" s="1"/>
  <c r="CG7" i="1"/>
  <c r="CH7" i="1" s="1"/>
  <c r="CI7" i="1" s="1"/>
  <c r="CA7" i="1"/>
  <c r="CB7" i="1" s="1"/>
  <c r="CC7" i="1" s="1"/>
  <c r="BV7" i="1"/>
  <c r="BW7" i="1" s="1"/>
  <c r="BX7" i="1" s="1"/>
  <c r="BQ7" i="1"/>
  <c r="BR7" i="1" s="1"/>
  <c r="BS7" i="1" s="1"/>
  <c r="BL7" i="1"/>
  <c r="BM7" i="1" s="1"/>
  <c r="BN7" i="1" s="1"/>
  <c r="BG7" i="1"/>
  <c r="BH7" i="1" s="1"/>
  <c r="BI7" i="1" s="1"/>
  <c r="BB7" i="1"/>
  <c r="BC7" i="1" s="1"/>
  <c r="BD7" i="1" s="1"/>
  <c r="AW7" i="1"/>
  <c r="AX7" i="1" s="1"/>
  <c r="AY7" i="1" s="1"/>
  <c r="AR7" i="1"/>
  <c r="AS7" i="1" s="1"/>
  <c r="AT7" i="1" s="1"/>
  <c r="AM7" i="1"/>
  <c r="AN7" i="1" s="1"/>
  <c r="AO7" i="1" s="1"/>
  <c r="AH7" i="1"/>
  <c r="AI7" i="1" s="1"/>
  <c r="AJ7" i="1" s="1"/>
  <c r="AC7" i="1"/>
  <c r="AD7" i="1" s="1"/>
  <c r="AE7" i="1" s="1"/>
  <c r="W7" i="1"/>
  <c r="X7" i="1" s="1"/>
  <c r="Y7" i="1" s="1"/>
  <c r="Q7" i="1"/>
  <c r="R7" i="1" s="1"/>
  <c r="S7" i="1" s="1"/>
  <c r="N7" i="1"/>
  <c r="I7" i="1"/>
  <c r="NZ6" i="1"/>
  <c r="NU6" i="1"/>
  <c r="NP6" i="1"/>
  <c r="NK6" i="1"/>
  <c r="NF6" i="1"/>
  <c r="NA6" i="1"/>
  <c r="MV6" i="1"/>
  <c r="MQ6" i="1"/>
  <c r="MM6" i="1"/>
  <c r="MI6" i="1"/>
  <c r="MD6" i="1"/>
  <c r="LY6" i="1"/>
  <c r="LT6" i="1"/>
  <c r="LM6" i="1"/>
  <c r="LN6" i="1" s="1"/>
  <c r="LO6" i="1" s="1"/>
  <c r="LJ6" i="1"/>
  <c r="LE6" i="1"/>
  <c r="KX6" i="1"/>
  <c r="KY6" i="1" s="1"/>
  <c r="KZ6" i="1" s="1"/>
  <c r="KV6" i="1"/>
  <c r="KQ6" i="1"/>
  <c r="KK6" i="1"/>
  <c r="KL6" i="1" s="1"/>
  <c r="KM6" i="1" s="1"/>
  <c r="KI6" i="1"/>
  <c r="KE6" i="1"/>
  <c r="JY6" i="1"/>
  <c r="JZ6" i="1" s="1"/>
  <c r="KA6" i="1" s="1"/>
  <c r="JV6" i="1"/>
  <c r="JQ6" i="1"/>
  <c r="JM6" i="1"/>
  <c r="JI6" i="1"/>
  <c r="JB6" i="1"/>
  <c r="JC6" i="1" s="1"/>
  <c r="JD6" i="1" s="1"/>
  <c r="IW6" i="1"/>
  <c r="IX6" i="1" s="1"/>
  <c r="IY6" i="1" s="1"/>
  <c r="IR6" i="1"/>
  <c r="IS6" i="1" s="1"/>
  <c r="IT6" i="1" s="1"/>
  <c r="IM6" i="1"/>
  <c r="IN6" i="1" s="1"/>
  <c r="IO6" i="1" s="1"/>
  <c r="IH6" i="1"/>
  <c r="II6" i="1" s="1"/>
  <c r="IJ6" i="1" s="1"/>
  <c r="IC6" i="1"/>
  <c r="ID6" i="1" s="1"/>
  <c r="IE6" i="1" s="1"/>
  <c r="HX6" i="1"/>
  <c r="HY6" i="1" s="1"/>
  <c r="HZ6" i="1" s="1"/>
  <c r="HU6" i="1"/>
  <c r="HN6" i="1"/>
  <c r="HO6" i="1" s="1"/>
  <c r="HP6" i="1" s="1"/>
  <c r="HI6" i="1"/>
  <c r="HJ6" i="1" s="1"/>
  <c r="HK6" i="1" s="1"/>
  <c r="HD6" i="1"/>
  <c r="HE6" i="1" s="1"/>
  <c r="HF6" i="1" s="1"/>
  <c r="GY6" i="1"/>
  <c r="GZ6" i="1" s="1"/>
  <c r="HA6" i="1" s="1"/>
  <c r="GT6" i="1"/>
  <c r="GU6" i="1" s="1"/>
  <c r="GV6" i="1" s="1"/>
  <c r="GO6" i="1"/>
  <c r="GP6" i="1" s="1"/>
  <c r="GQ6" i="1" s="1"/>
  <c r="GJ6" i="1"/>
  <c r="GK6" i="1" s="1"/>
  <c r="GL6" i="1" s="1"/>
  <c r="GE6" i="1"/>
  <c r="GF6" i="1" s="1"/>
  <c r="GG6" i="1" s="1"/>
  <c r="FZ6" i="1"/>
  <c r="GA6" i="1" s="1"/>
  <c r="GB6" i="1" s="1"/>
  <c r="FU6" i="1"/>
  <c r="FV6" i="1" s="1"/>
  <c r="FW6" i="1" s="1"/>
  <c r="FP6" i="1"/>
  <c r="FQ6" i="1" s="1"/>
  <c r="FR6" i="1" s="1"/>
  <c r="FK6" i="1"/>
  <c r="FL6" i="1" s="1"/>
  <c r="FM6" i="1" s="1"/>
  <c r="FF6" i="1"/>
  <c r="FG6" i="1" s="1"/>
  <c r="FH6" i="1" s="1"/>
  <c r="FA6" i="1"/>
  <c r="FB6" i="1" s="1"/>
  <c r="FC6" i="1" s="1"/>
  <c r="EV6" i="1"/>
  <c r="EW6" i="1" s="1"/>
  <c r="EX6" i="1" s="1"/>
  <c r="EQ6" i="1"/>
  <c r="ER6" i="1" s="1"/>
  <c r="ES6" i="1" s="1"/>
  <c r="EL6" i="1"/>
  <c r="EM6" i="1" s="1"/>
  <c r="EN6" i="1" s="1"/>
  <c r="EE6" i="1"/>
  <c r="EF6" i="1" s="1"/>
  <c r="EG6" i="1" s="1"/>
  <c r="DZ6" i="1"/>
  <c r="EA6" i="1" s="1"/>
  <c r="EB6" i="1" s="1"/>
  <c r="DU6" i="1"/>
  <c r="DV6" i="1" s="1"/>
  <c r="DW6" i="1" s="1"/>
  <c r="DP6" i="1"/>
  <c r="DQ6" i="1" s="1"/>
  <c r="DR6" i="1" s="1"/>
  <c r="DK6" i="1"/>
  <c r="DL6" i="1" s="1"/>
  <c r="DM6" i="1" s="1"/>
  <c r="DF6" i="1"/>
  <c r="DG6" i="1" s="1"/>
  <c r="DH6" i="1" s="1"/>
  <c r="DA6" i="1"/>
  <c r="DB6" i="1" s="1"/>
  <c r="DC6" i="1" s="1"/>
  <c r="CV6" i="1"/>
  <c r="CW6" i="1" s="1"/>
  <c r="CX6" i="1" s="1"/>
  <c r="CQ6" i="1"/>
  <c r="CR6" i="1" s="1"/>
  <c r="CS6" i="1" s="1"/>
  <c r="CL6" i="1"/>
  <c r="CM6" i="1" s="1"/>
  <c r="CN6" i="1" s="1"/>
  <c r="CG6" i="1"/>
  <c r="CH6" i="1" s="1"/>
  <c r="CI6" i="1" s="1"/>
  <c r="CA6" i="1"/>
  <c r="CB6" i="1" s="1"/>
  <c r="CC6" i="1" s="1"/>
  <c r="BV6" i="1"/>
  <c r="BW6" i="1" s="1"/>
  <c r="BX6" i="1" s="1"/>
  <c r="BQ6" i="1"/>
  <c r="BR6" i="1" s="1"/>
  <c r="BS6" i="1" s="1"/>
  <c r="BL6" i="1"/>
  <c r="BM6" i="1" s="1"/>
  <c r="BN6" i="1" s="1"/>
  <c r="BG6" i="1"/>
  <c r="BH6" i="1" s="1"/>
  <c r="BI6" i="1" s="1"/>
  <c r="BB6" i="1"/>
  <c r="BC6" i="1" s="1"/>
  <c r="BD6" i="1" s="1"/>
  <c r="AW6" i="1"/>
  <c r="AX6" i="1" s="1"/>
  <c r="AY6" i="1" s="1"/>
  <c r="AR6" i="1"/>
  <c r="AS6" i="1" s="1"/>
  <c r="AT6" i="1" s="1"/>
  <c r="AM6" i="1"/>
  <c r="AN6" i="1" s="1"/>
  <c r="AO6" i="1" s="1"/>
  <c r="AH6" i="1"/>
  <c r="AI6" i="1" s="1"/>
  <c r="AJ6" i="1" s="1"/>
  <c r="AC6" i="1"/>
  <c r="AD6" i="1" s="1"/>
  <c r="AE6" i="1" s="1"/>
  <c r="W6" i="1"/>
  <c r="X6" i="1" s="1"/>
  <c r="Y6" i="1" s="1"/>
  <c r="Q6" i="1"/>
  <c r="R6" i="1" s="1"/>
  <c r="S6" i="1" s="1"/>
  <c r="N6" i="1"/>
  <c r="I6" i="1"/>
  <c r="NZ5" i="1"/>
  <c r="NU5" i="1"/>
  <c r="NP5" i="1"/>
  <c r="NK5" i="1"/>
  <c r="NF5" i="1"/>
  <c r="NA5" i="1"/>
  <c r="MV5" i="1"/>
  <c r="MQ5" i="1"/>
  <c r="MM5" i="1"/>
  <c r="MI5" i="1"/>
  <c r="MD5" i="1"/>
  <c r="LY5" i="1"/>
  <c r="LT5" i="1"/>
  <c r="LO5" i="1"/>
  <c r="LJ5" i="1"/>
  <c r="LC5" i="1"/>
  <c r="LD5" i="1" s="1"/>
  <c r="LE5" i="1" s="1"/>
  <c r="KX5" i="1"/>
  <c r="KY5" i="1" s="1"/>
  <c r="KZ5" i="1" s="1"/>
  <c r="KV5" i="1"/>
  <c r="KQ5" i="1"/>
  <c r="KM5" i="1"/>
  <c r="KI5" i="1"/>
  <c r="KE5" i="1"/>
  <c r="KA5" i="1"/>
  <c r="JV5" i="1"/>
  <c r="JQ5" i="1"/>
  <c r="JM5" i="1"/>
  <c r="JI5" i="1"/>
  <c r="JB5" i="1"/>
  <c r="JC5" i="1" s="1"/>
  <c r="JD5" i="1" s="1"/>
  <c r="IW5" i="1"/>
  <c r="IX5" i="1" s="1"/>
  <c r="IY5" i="1" s="1"/>
  <c r="IR5" i="1"/>
  <c r="IS5" i="1" s="1"/>
  <c r="IT5" i="1" s="1"/>
  <c r="IM5" i="1"/>
  <c r="IN5" i="1" s="1"/>
  <c r="IO5" i="1" s="1"/>
  <c r="IH5" i="1"/>
  <c r="II5" i="1" s="1"/>
  <c r="IJ5" i="1" s="1"/>
  <c r="IC5" i="1"/>
  <c r="ID5" i="1" s="1"/>
  <c r="IE5" i="1" s="1"/>
  <c r="HX5" i="1"/>
  <c r="HY5" i="1" s="1"/>
  <c r="HZ5" i="1" s="1"/>
  <c r="HU5" i="1"/>
  <c r="HN5" i="1"/>
  <c r="HO5" i="1" s="1"/>
  <c r="HP5" i="1" s="1"/>
  <c r="HI5" i="1"/>
  <c r="HJ5" i="1" s="1"/>
  <c r="HK5" i="1" s="1"/>
  <c r="HD5" i="1"/>
  <c r="HE5" i="1" s="1"/>
  <c r="HF5" i="1" s="1"/>
  <c r="GY5" i="1"/>
  <c r="GZ5" i="1" s="1"/>
  <c r="HA5" i="1" s="1"/>
  <c r="GT5" i="1"/>
  <c r="GU5" i="1" s="1"/>
  <c r="GV5" i="1" s="1"/>
  <c r="GO5" i="1"/>
  <c r="GP5" i="1" s="1"/>
  <c r="GQ5" i="1" s="1"/>
  <c r="GJ5" i="1"/>
  <c r="GK5" i="1" s="1"/>
  <c r="GL5" i="1" s="1"/>
  <c r="GE5" i="1"/>
  <c r="GF5" i="1" s="1"/>
  <c r="GG5" i="1" s="1"/>
  <c r="FZ5" i="1"/>
  <c r="GA5" i="1" s="1"/>
  <c r="GB5" i="1" s="1"/>
  <c r="FU5" i="1"/>
  <c r="FV5" i="1" s="1"/>
  <c r="FW5" i="1" s="1"/>
  <c r="FP5" i="1"/>
  <c r="FQ5" i="1" s="1"/>
  <c r="FR5" i="1" s="1"/>
  <c r="FK5" i="1"/>
  <c r="FL5" i="1" s="1"/>
  <c r="FM5" i="1" s="1"/>
  <c r="FF5" i="1"/>
  <c r="FG5" i="1" s="1"/>
  <c r="FH5" i="1" s="1"/>
  <c r="FA5" i="1"/>
  <c r="FB5" i="1" s="1"/>
  <c r="FC5" i="1" s="1"/>
  <c r="EV5" i="1"/>
  <c r="EW5" i="1" s="1"/>
  <c r="EX5" i="1" s="1"/>
  <c r="EQ5" i="1"/>
  <c r="ER5" i="1" s="1"/>
  <c r="ES5" i="1" s="1"/>
  <c r="EL5" i="1"/>
  <c r="EM5" i="1" s="1"/>
  <c r="EN5" i="1" s="1"/>
  <c r="EE5" i="1"/>
  <c r="EF5" i="1" s="1"/>
  <c r="EG5" i="1" s="1"/>
  <c r="DZ5" i="1"/>
  <c r="EA5" i="1" s="1"/>
  <c r="EB5" i="1" s="1"/>
  <c r="DU5" i="1"/>
  <c r="DV5" i="1" s="1"/>
  <c r="DW5" i="1" s="1"/>
  <c r="DP5" i="1"/>
  <c r="DQ5" i="1" s="1"/>
  <c r="DR5" i="1" s="1"/>
  <c r="DK5" i="1"/>
  <c r="DL5" i="1" s="1"/>
  <c r="DM5" i="1" s="1"/>
  <c r="DF5" i="1"/>
  <c r="DG5" i="1" s="1"/>
  <c r="DH5" i="1" s="1"/>
  <c r="DA5" i="1"/>
  <c r="DB5" i="1" s="1"/>
  <c r="DC5" i="1" s="1"/>
  <c r="CV5" i="1"/>
  <c r="CW5" i="1" s="1"/>
  <c r="CX5" i="1" s="1"/>
  <c r="CQ5" i="1"/>
  <c r="CR5" i="1" s="1"/>
  <c r="CS5" i="1" s="1"/>
  <c r="CL5" i="1"/>
  <c r="CM5" i="1" s="1"/>
  <c r="CN5" i="1" s="1"/>
  <c r="CG5" i="1"/>
  <c r="CH5" i="1" s="1"/>
  <c r="CI5" i="1" s="1"/>
  <c r="CA5" i="1"/>
  <c r="CB5" i="1" s="1"/>
  <c r="CC5" i="1" s="1"/>
  <c r="BV5" i="1"/>
  <c r="BW5" i="1" s="1"/>
  <c r="BX5" i="1" s="1"/>
  <c r="BQ5" i="1"/>
  <c r="BR5" i="1" s="1"/>
  <c r="BS5" i="1" s="1"/>
  <c r="BL5" i="1"/>
  <c r="BM5" i="1" s="1"/>
  <c r="BN5" i="1" s="1"/>
  <c r="BG5" i="1"/>
  <c r="BH5" i="1" s="1"/>
  <c r="BI5" i="1" s="1"/>
  <c r="BB5" i="1"/>
  <c r="BC5" i="1" s="1"/>
  <c r="BD5" i="1" s="1"/>
  <c r="AW5" i="1"/>
  <c r="AX5" i="1" s="1"/>
  <c r="AY5" i="1" s="1"/>
  <c r="AR5" i="1"/>
  <c r="AS5" i="1" s="1"/>
  <c r="AT5" i="1" s="1"/>
  <c r="AM5" i="1"/>
  <c r="AN5" i="1" s="1"/>
  <c r="AO5" i="1" s="1"/>
  <c r="AH5" i="1"/>
  <c r="AI5" i="1" s="1"/>
  <c r="AJ5" i="1" s="1"/>
  <c r="AC5" i="1"/>
  <c r="AD5" i="1" s="1"/>
  <c r="AE5" i="1" s="1"/>
  <c r="W5" i="1"/>
  <c r="X5" i="1" s="1"/>
  <c r="Y5" i="1" s="1"/>
  <c r="S5" i="1"/>
  <c r="N5" i="1"/>
  <c r="I5" i="1"/>
  <c r="NZ4" i="1"/>
  <c r="NU4" i="1"/>
  <c r="NP4" i="1"/>
  <c r="NK4" i="1"/>
  <c r="NF4" i="1"/>
  <c r="NA4" i="1"/>
  <c r="MV4" i="1"/>
  <c r="MQ4" i="1"/>
  <c r="MM4" i="1"/>
  <c r="MI4" i="1"/>
  <c r="MB4" i="1"/>
  <c r="MC4" i="1" s="1"/>
  <c r="MD4" i="1" s="1"/>
  <c r="LY4" i="1"/>
  <c r="LT4" i="1"/>
  <c r="LO4" i="1"/>
  <c r="LH4" i="1"/>
  <c r="LI4" i="1" s="1"/>
  <c r="LJ4" i="1" s="1"/>
  <c r="LC4" i="1"/>
  <c r="LD4" i="1" s="1"/>
  <c r="LE4" i="1" s="1"/>
  <c r="KZ4" i="1"/>
  <c r="KT4" i="1"/>
  <c r="KU4" i="1" s="1"/>
  <c r="KV4" i="1" s="1"/>
  <c r="KQ4" i="1"/>
  <c r="KK4" i="1"/>
  <c r="KL4" i="1" s="1"/>
  <c r="KM4" i="1" s="1"/>
  <c r="KI4" i="1"/>
  <c r="KE4" i="1"/>
  <c r="JY4" i="1"/>
  <c r="JZ4" i="1" s="1"/>
  <c r="KA4" i="1" s="1"/>
  <c r="JV4" i="1"/>
  <c r="JQ4" i="1"/>
  <c r="JM4" i="1"/>
  <c r="JI4" i="1"/>
  <c r="JB4" i="1"/>
  <c r="JC4" i="1" s="1"/>
  <c r="JD4" i="1" s="1"/>
  <c r="IW4" i="1"/>
  <c r="IX4" i="1" s="1"/>
  <c r="IY4" i="1" s="1"/>
  <c r="IR4" i="1"/>
  <c r="IS4" i="1" s="1"/>
  <c r="IT4" i="1" s="1"/>
  <c r="IM4" i="1"/>
  <c r="IN4" i="1" s="1"/>
  <c r="IO4" i="1" s="1"/>
  <c r="IH4" i="1"/>
  <c r="II4" i="1" s="1"/>
  <c r="IJ4" i="1" s="1"/>
  <c r="IC4" i="1"/>
  <c r="ID4" i="1" s="1"/>
  <c r="IE4" i="1" s="1"/>
  <c r="HX4" i="1"/>
  <c r="HY4" i="1" s="1"/>
  <c r="HZ4" i="1" s="1"/>
  <c r="HU4" i="1"/>
  <c r="HN4" i="1"/>
  <c r="HO4" i="1" s="1"/>
  <c r="HP4" i="1" s="1"/>
  <c r="HI4" i="1"/>
  <c r="HJ4" i="1" s="1"/>
  <c r="HK4" i="1" s="1"/>
  <c r="HD4" i="1"/>
  <c r="HE4" i="1" s="1"/>
  <c r="HF4" i="1" s="1"/>
  <c r="GY4" i="1"/>
  <c r="GZ4" i="1" s="1"/>
  <c r="HA4" i="1" s="1"/>
  <c r="GT4" i="1"/>
  <c r="GU4" i="1" s="1"/>
  <c r="GV4" i="1" s="1"/>
  <c r="GO4" i="1"/>
  <c r="GP4" i="1" s="1"/>
  <c r="GQ4" i="1" s="1"/>
  <c r="GJ4" i="1"/>
  <c r="GK4" i="1" s="1"/>
  <c r="GL4" i="1" s="1"/>
  <c r="GE4" i="1"/>
  <c r="GF4" i="1" s="1"/>
  <c r="GG4" i="1" s="1"/>
  <c r="FZ4" i="1"/>
  <c r="GA4" i="1" s="1"/>
  <c r="GB4" i="1" s="1"/>
  <c r="FU4" i="1"/>
  <c r="FV4" i="1" s="1"/>
  <c r="FW4" i="1" s="1"/>
  <c r="FP4" i="1"/>
  <c r="FQ4" i="1" s="1"/>
  <c r="FR4" i="1" s="1"/>
  <c r="FK4" i="1"/>
  <c r="FL4" i="1" s="1"/>
  <c r="FM4" i="1" s="1"/>
  <c r="FF4" i="1"/>
  <c r="FG4" i="1" s="1"/>
  <c r="FH4" i="1" s="1"/>
  <c r="FA4" i="1"/>
  <c r="FB4" i="1" s="1"/>
  <c r="FC4" i="1" s="1"/>
  <c r="EV4" i="1"/>
  <c r="EW4" i="1" s="1"/>
  <c r="EX4" i="1" s="1"/>
  <c r="EQ4" i="1"/>
  <c r="ER4" i="1" s="1"/>
  <c r="ES4" i="1" s="1"/>
  <c r="EL4" i="1"/>
  <c r="EM4" i="1" s="1"/>
  <c r="EN4" i="1" s="1"/>
  <c r="EE4" i="1"/>
  <c r="EF4" i="1" s="1"/>
  <c r="EG4" i="1" s="1"/>
  <c r="DZ4" i="1"/>
  <c r="EA4" i="1" s="1"/>
  <c r="EB4" i="1" s="1"/>
  <c r="DU4" i="1"/>
  <c r="DV4" i="1" s="1"/>
  <c r="DW4" i="1" s="1"/>
  <c r="DP4" i="1"/>
  <c r="DQ4" i="1" s="1"/>
  <c r="DR4" i="1" s="1"/>
  <c r="DK4" i="1"/>
  <c r="DL4" i="1" s="1"/>
  <c r="DM4" i="1" s="1"/>
  <c r="DF4" i="1"/>
  <c r="DG4" i="1" s="1"/>
  <c r="DH4" i="1" s="1"/>
  <c r="DA4" i="1"/>
  <c r="DB4" i="1" s="1"/>
  <c r="DC4" i="1" s="1"/>
  <c r="CV4" i="1"/>
  <c r="CW4" i="1" s="1"/>
  <c r="CX4" i="1" s="1"/>
  <c r="CQ4" i="1"/>
  <c r="CR4" i="1" s="1"/>
  <c r="CS4" i="1" s="1"/>
  <c r="CL4" i="1"/>
  <c r="CM4" i="1" s="1"/>
  <c r="CN4" i="1" s="1"/>
  <c r="CG4" i="1"/>
  <c r="CH4" i="1" s="1"/>
  <c r="CI4" i="1" s="1"/>
  <c r="CA4" i="1"/>
  <c r="CB4" i="1" s="1"/>
  <c r="CC4" i="1" s="1"/>
  <c r="BV4" i="1"/>
  <c r="BW4" i="1" s="1"/>
  <c r="BX4" i="1" s="1"/>
  <c r="BQ4" i="1"/>
  <c r="BR4" i="1" s="1"/>
  <c r="BS4" i="1" s="1"/>
  <c r="BL4" i="1"/>
  <c r="BM4" i="1" s="1"/>
  <c r="BN4" i="1" s="1"/>
  <c r="BG4" i="1"/>
  <c r="BH4" i="1" s="1"/>
  <c r="BI4" i="1" s="1"/>
  <c r="BB4" i="1"/>
  <c r="BC4" i="1" s="1"/>
  <c r="BD4" i="1" s="1"/>
  <c r="AW4" i="1"/>
  <c r="AX4" i="1" s="1"/>
  <c r="AY4" i="1" s="1"/>
  <c r="AR4" i="1"/>
  <c r="AS4" i="1" s="1"/>
  <c r="AT4" i="1" s="1"/>
  <c r="AM4" i="1"/>
  <c r="AN4" i="1" s="1"/>
  <c r="AO4" i="1" s="1"/>
  <c r="AH4" i="1"/>
  <c r="AI4" i="1" s="1"/>
  <c r="AJ4" i="1" s="1"/>
  <c r="AC4" i="1"/>
  <c r="AD4" i="1" s="1"/>
  <c r="AE4" i="1" s="1"/>
  <c r="W4" i="1"/>
  <c r="X4" i="1" s="1"/>
  <c r="Y4" i="1" s="1"/>
  <c r="S4" i="1"/>
  <c r="N4" i="1"/>
  <c r="I4" i="1"/>
  <c r="NZ3" i="1"/>
  <c r="NU3" i="1"/>
  <c r="NP3" i="1"/>
  <c r="NK3" i="1"/>
  <c r="NF3" i="1"/>
  <c r="NA3" i="1"/>
  <c r="MV3" i="1"/>
  <c r="MQ3" i="1"/>
  <c r="MM3" i="1"/>
  <c r="MI3" i="1"/>
  <c r="MD3" i="1"/>
  <c r="LW3" i="1"/>
  <c r="LX3" i="1" s="1"/>
  <c r="LY3" i="1" s="1"/>
  <c r="LR3" i="1"/>
  <c r="LS3" i="1" s="1"/>
  <c r="LT3" i="1" s="1"/>
  <c r="LM3" i="1"/>
  <c r="LN3" i="1" s="1"/>
  <c r="LO3" i="1" s="1"/>
  <c r="LH3" i="1"/>
  <c r="LI3" i="1" s="1"/>
  <c r="LJ3" i="1" s="1"/>
  <c r="LE3" i="1"/>
  <c r="KX3" i="1"/>
  <c r="KY3" i="1" s="1"/>
  <c r="KZ3" i="1" s="1"/>
  <c r="KT3" i="1"/>
  <c r="KU3" i="1" s="1"/>
  <c r="KV3" i="1" s="1"/>
  <c r="KO3" i="1"/>
  <c r="KP3" i="1" s="1"/>
  <c r="KQ3" i="1" s="1"/>
  <c r="KM3" i="1"/>
  <c r="KG3" i="1"/>
  <c r="KH3" i="1" s="1"/>
  <c r="KI3" i="1" s="1"/>
  <c r="KE3" i="1"/>
  <c r="KA3" i="1"/>
  <c r="JV3" i="1"/>
  <c r="JQ3" i="1"/>
  <c r="JM3" i="1"/>
  <c r="JI3" i="1"/>
  <c r="JD3" i="1"/>
  <c r="IY3" i="1"/>
  <c r="IT3" i="1"/>
  <c r="IO3" i="1"/>
  <c r="IJ3" i="1"/>
  <c r="IE3" i="1"/>
  <c r="HZ3" i="1"/>
  <c r="HU3" i="1"/>
  <c r="HP3" i="1"/>
  <c r="HI3" i="1"/>
  <c r="HJ3" i="1" s="1"/>
  <c r="HK3" i="1" s="1"/>
  <c r="HD3" i="1"/>
  <c r="HE3" i="1" s="1"/>
  <c r="HF3" i="1" s="1"/>
  <c r="GY3" i="1"/>
  <c r="GZ3" i="1" s="1"/>
  <c r="HA3" i="1" s="1"/>
  <c r="GT3" i="1"/>
  <c r="GU3" i="1" s="1"/>
  <c r="GV3" i="1" s="1"/>
  <c r="GO3" i="1"/>
  <c r="GP3" i="1" s="1"/>
  <c r="GQ3" i="1" s="1"/>
  <c r="GJ3" i="1"/>
  <c r="GK3" i="1" s="1"/>
  <c r="GL3" i="1" s="1"/>
  <c r="GE3" i="1"/>
  <c r="GF3" i="1" s="1"/>
  <c r="GG3" i="1" s="1"/>
  <c r="FZ3" i="1"/>
  <c r="GA3" i="1" s="1"/>
  <c r="GB3" i="1" s="1"/>
  <c r="FU3" i="1"/>
  <c r="FV3" i="1" s="1"/>
  <c r="FW3" i="1" s="1"/>
  <c r="FP3" i="1"/>
  <c r="FQ3" i="1" s="1"/>
  <c r="FR3" i="1" s="1"/>
  <c r="FK3" i="1"/>
  <c r="FL3" i="1" s="1"/>
  <c r="FM3" i="1" s="1"/>
  <c r="FF3" i="1"/>
  <c r="FG3" i="1" s="1"/>
  <c r="FH3" i="1" s="1"/>
  <c r="FA3" i="1"/>
  <c r="FB3" i="1" s="1"/>
  <c r="FC3" i="1" s="1"/>
  <c r="EV3" i="1"/>
  <c r="EW3" i="1" s="1"/>
  <c r="EX3" i="1" s="1"/>
  <c r="EQ3" i="1"/>
  <c r="ER3" i="1" s="1"/>
  <c r="ES3" i="1" s="1"/>
  <c r="EL3" i="1"/>
  <c r="EM3" i="1" s="1"/>
  <c r="EN3" i="1" s="1"/>
  <c r="EE3" i="1"/>
  <c r="EF3" i="1" s="1"/>
  <c r="EG3" i="1" s="1"/>
  <c r="DZ3" i="1"/>
  <c r="EA3" i="1" s="1"/>
  <c r="EB3" i="1" s="1"/>
  <c r="DU3" i="1"/>
  <c r="DV3" i="1" s="1"/>
  <c r="DW3" i="1" s="1"/>
  <c r="DP3" i="1"/>
  <c r="DQ3" i="1" s="1"/>
  <c r="DR3" i="1" s="1"/>
  <c r="DK3" i="1"/>
  <c r="DL3" i="1" s="1"/>
  <c r="DM3" i="1" s="1"/>
  <c r="DF3" i="1"/>
  <c r="DG3" i="1" s="1"/>
  <c r="DH3" i="1" s="1"/>
  <c r="DA3" i="1"/>
  <c r="DB3" i="1" s="1"/>
  <c r="DC3" i="1" s="1"/>
  <c r="CV3" i="1"/>
  <c r="CW3" i="1" s="1"/>
  <c r="CX3" i="1" s="1"/>
  <c r="CQ3" i="1"/>
  <c r="CR3" i="1" s="1"/>
  <c r="CS3" i="1" s="1"/>
  <c r="CL3" i="1"/>
  <c r="CM3" i="1" s="1"/>
  <c r="CN3" i="1" s="1"/>
  <c r="CG3" i="1"/>
  <c r="CH3" i="1" s="1"/>
  <c r="CI3" i="1" s="1"/>
  <c r="CA3" i="1"/>
  <c r="CB3" i="1" s="1"/>
  <c r="CC3" i="1" s="1"/>
  <c r="BV3" i="1"/>
  <c r="BW3" i="1" s="1"/>
  <c r="BX3" i="1" s="1"/>
  <c r="BQ3" i="1"/>
  <c r="BR3" i="1" s="1"/>
  <c r="BS3" i="1" s="1"/>
  <c r="BL3" i="1"/>
  <c r="BM3" i="1" s="1"/>
  <c r="BN3" i="1" s="1"/>
  <c r="BG3" i="1"/>
  <c r="BH3" i="1" s="1"/>
  <c r="BI3" i="1" s="1"/>
  <c r="BB3" i="1"/>
  <c r="BC3" i="1" s="1"/>
  <c r="BD3" i="1" s="1"/>
  <c r="AW3" i="1"/>
  <c r="AX3" i="1" s="1"/>
  <c r="AY3" i="1" s="1"/>
  <c r="AR3" i="1"/>
  <c r="AS3" i="1" s="1"/>
  <c r="AT3" i="1" s="1"/>
  <c r="AM3" i="1"/>
  <c r="AN3" i="1" s="1"/>
  <c r="AO3" i="1" s="1"/>
  <c r="AH3" i="1"/>
  <c r="AI3" i="1" s="1"/>
  <c r="AJ3" i="1" s="1"/>
  <c r="AC3" i="1"/>
  <c r="AD3" i="1" s="1"/>
  <c r="AE3" i="1" s="1"/>
  <c r="W3" i="1"/>
  <c r="X3" i="1" s="1"/>
  <c r="Y3" i="1" s="1"/>
  <c r="Q3" i="1"/>
  <c r="R3" i="1" s="1"/>
  <c r="S3" i="1" s="1"/>
  <c r="N3" i="1"/>
  <c r="I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Christian Sánchez</author>
    <author>Candelaria Yesenia Balcazar Hernandez</author>
  </authors>
  <commentList>
    <comment ref="AP3" authorId="0" shapeId="0" xr:uid="{E13AFBEC-C4B9-423B-963A-BDC16DD9EFF3}">
      <text>
        <r>
          <rPr>
            <b/>
            <sz val="9"/>
            <color indexed="81"/>
            <rFont val="Tahoma"/>
            <family val="2"/>
          </rPr>
          <t>11/03/2022</t>
        </r>
      </text>
    </comment>
    <comment ref="AZ3" authorId="0" shapeId="0" xr:uid="{4B31C4FB-40BF-40AD-B1E5-BF27F917E70E}">
      <text>
        <r>
          <rPr>
            <b/>
            <sz val="9"/>
            <color indexed="81"/>
            <rFont val="Tahoma"/>
            <family val="2"/>
          </rPr>
          <t>24/01/2022</t>
        </r>
      </text>
    </comment>
    <comment ref="BJ3" authorId="0" shapeId="0" xr:uid="{3EDBACA2-1425-4F15-8C8E-EF457CA53E72}">
      <text>
        <r>
          <rPr>
            <b/>
            <sz val="9"/>
            <color indexed="81"/>
            <rFont val="Tahoma"/>
            <family val="2"/>
          </rPr>
          <t>13/06/2022</t>
        </r>
      </text>
    </comment>
    <comment ref="BY3" authorId="0" shapeId="0" xr:uid="{692DAC33-363B-46D6-8C70-4008628B303A}">
      <text>
        <r>
          <rPr>
            <b/>
            <sz val="9"/>
            <color indexed="81"/>
            <rFont val="Tahoma"/>
            <family val="2"/>
          </rPr>
          <t>08/01/2022</t>
        </r>
      </text>
    </comment>
    <comment ref="CO3" authorId="0" shapeId="0" xr:uid="{8F8B974F-F503-4483-8D06-2BB5603F4C1A}">
      <text>
        <r>
          <rPr>
            <b/>
            <sz val="9"/>
            <color indexed="81"/>
            <rFont val="Tahoma"/>
            <family val="2"/>
          </rPr>
          <t>27/01/2022</t>
        </r>
      </text>
    </comment>
    <comment ref="CY3" authorId="0" shapeId="0" xr:uid="{FC6259FE-7CFF-4B25-AF7F-7C6393D648BB}">
      <text>
        <r>
          <rPr>
            <b/>
            <sz val="9"/>
            <color indexed="81"/>
            <rFont val="Tahoma"/>
            <family val="2"/>
          </rPr>
          <t>04/08/2022</t>
        </r>
      </text>
    </comment>
    <comment ref="EH3" authorId="0" shapeId="0" xr:uid="{2C2DD388-B4A7-4533-BD45-2E99C321E57F}">
      <text>
        <r>
          <rPr>
            <b/>
            <sz val="9"/>
            <color indexed="81"/>
            <rFont val="Tahoma"/>
            <family val="2"/>
          </rPr>
          <t>21/01/2022</t>
        </r>
      </text>
    </comment>
    <comment ref="EY3" authorId="0" shapeId="0" xr:uid="{D27F3EF2-2042-4FDB-8EB6-DEAD4BD32EBF}">
      <text>
        <r>
          <rPr>
            <b/>
            <sz val="9"/>
            <color indexed="81"/>
            <rFont val="Tahoma"/>
            <family val="2"/>
          </rPr>
          <t>13/01/2022</t>
        </r>
      </text>
    </comment>
    <comment ref="FI3" authorId="0" shapeId="0" xr:uid="{FD76A40F-33AE-4825-8291-EE21EF0AC4A1}">
      <text>
        <r>
          <rPr>
            <b/>
            <sz val="9"/>
            <color indexed="81"/>
            <rFont val="Tahoma"/>
            <family val="2"/>
          </rPr>
          <t>22/01/2022</t>
        </r>
      </text>
    </comment>
    <comment ref="AK4" authorId="0" shapeId="0" xr:uid="{A19891B3-0886-4C92-9FEA-0776CBBE0D37}">
      <text>
        <r>
          <rPr>
            <b/>
            <sz val="9"/>
            <color indexed="81"/>
            <rFont val="Tahoma"/>
            <family val="2"/>
          </rPr>
          <t>10/02/2022</t>
        </r>
      </text>
    </comment>
    <comment ref="AP4" authorId="0" shapeId="0" xr:uid="{8E814681-4D17-429A-9C87-7584951F29B5}">
      <text>
        <r>
          <rPr>
            <b/>
            <sz val="9"/>
            <color indexed="81"/>
            <rFont val="Tahoma"/>
            <family val="2"/>
          </rPr>
          <t>14/03/2022</t>
        </r>
      </text>
    </comment>
    <comment ref="BJ4" authorId="0" shapeId="0" xr:uid="{A8346043-988D-465D-AEB9-4A29064F3323}">
      <text>
        <r>
          <rPr>
            <b/>
            <sz val="9"/>
            <color indexed="81"/>
            <rFont val="Tahoma"/>
            <family val="2"/>
          </rPr>
          <t>13/06/2022</t>
        </r>
      </text>
    </comment>
    <comment ref="GM4" authorId="0" shapeId="0" xr:uid="{2AACB93A-6BCA-4049-AFB6-2054F57AB56D}">
      <text>
        <r>
          <rPr>
            <b/>
            <sz val="9"/>
            <color indexed="81"/>
            <rFont val="Tahoma"/>
            <family val="2"/>
          </rPr>
          <t>08/01/2022</t>
        </r>
      </text>
    </comment>
    <comment ref="AK5" authorId="0" shapeId="0" xr:uid="{B40BEDFC-422C-4CE0-9AE0-D78414C2F5FF}">
      <text>
        <r>
          <rPr>
            <b/>
            <sz val="9"/>
            <color indexed="81"/>
            <rFont val="Tahoma"/>
            <family val="2"/>
          </rPr>
          <t>07/03/2022</t>
        </r>
      </text>
    </comment>
    <comment ref="AZ5" authorId="0" shapeId="0" xr:uid="{07D779ED-D4C9-461A-9FE7-CCC9882F07E7}">
      <text>
        <r>
          <rPr>
            <b/>
            <sz val="9"/>
            <color indexed="81"/>
            <rFont val="Tahoma"/>
            <family val="2"/>
          </rPr>
          <t>20/06/2022</t>
        </r>
      </text>
    </comment>
    <comment ref="BJ5" authorId="0" shapeId="0" xr:uid="{A314BFFD-E5F8-4C4A-AF66-600F11B3F2C5}">
      <text>
        <r>
          <rPr>
            <b/>
            <sz val="9"/>
            <color indexed="81"/>
            <rFont val="Tahoma"/>
            <family val="2"/>
          </rPr>
          <t>10/06/2022</t>
        </r>
      </text>
    </comment>
    <comment ref="CJ5" authorId="0" shapeId="0" xr:uid="{8803317F-E90E-4787-9AE6-AA0E1174B78D}">
      <text>
        <r>
          <rPr>
            <b/>
            <sz val="9"/>
            <color indexed="81"/>
            <rFont val="Tahoma"/>
            <family val="2"/>
          </rPr>
          <t>16/05/2022</t>
        </r>
      </text>
    </comment>
    <comment ref="CY5" authorId="1" shapeId="0" xr:uid="{A8B6C9B1-4A30-4867-985E-455212177245}">
      <text>
        <r>
          <rPr>
            <b/>
            <sz val="9"/>
            <color indexed="81"/>
            <rFont val="Tahoma"/>
            <family val="2"/>
          </rPr>
          <t>Candelaria Yesenia Balcazar Hernandez:</t>
        </r>
        <r>
          <rPr>
            <sz val="9"/>
            <color indexed="81"/>
            <rFont val="Tahoma"/>
            <family val="2"/>
          </rPr>
          <t xml:space="preserve">
14/05/2022</t>
        </r>
      </text>
    </comment>
    <comment ref="DI5" authorId="0" shapeId="0" xr:uid="{DEB7B589-D0D2-4E9B-931E-6F1EA4304957}">
      <text>
        <r>
          <rPr>
            <b/>
            <sz val="9"/>
            <color indexed="81"/>
            <rFont val="Tahoma"/>
            <family val="2"/>
          </rPr>
          <t>14/05/2022</t>
        </r>
      </text>
    </comment>
    <comment ref="DX5" authorId="0" shapeId="0" xr:uid="{F0782F8B-18ED-453B-922A-6249020BD552}">
      <text>
        <r>
          <rPr>
            <b/>
            <sz val="9"/>
            <color indexed="81"/>
            <rFont val="Tahoma"/>
            <family val="2"/>
          </rPr>
          <t>28/02/2022</t>
        </r>
      </text>
    </comment>
    <comment ref="EO5" authorId="0" shapeId="0" xr:uid="{D2A63F37-D05A-4D2A-9B57-5C4C146112EB}">
      <text>
        <r>
          <rPr>
            <b/>
            <sz val="9"/>
            <color indexed="81"/>
            <rFont val="Tahoma"/>
            <family val="2"/>
          </rPr>
          <t>08/02/2022</t>
        </r>
      </text>
    </comment>
    <comment ref="EY5" authorId="0" shapeId="0" xr:uid="{A1B0B5E3-CFA9-40DA-8ACB-1B44F75E1ECD}">
      <text>
        <r>
          <rPr>
            <b/>
            <sz val="9"/>
            <color indexed="81"/>
            <rFont val="Tahoma"/>
            <family val="2"/>
          </rPr>
          <t>10/03/2022</t>
        </r>
      </text>
    </comment>
    <comment ref="FD5" authorId="0" shapeId="0" xr:uid="{DF196FA6-5E8D-4AC4-B16F-922FB1D6C0B9}">
      <text>
        <r>
          <rPr>
            <b/>
            <sz val="9"/>
            <color indexed="81"/>
            <rFont val="Tahoma"/>
            <family val="2"/>
          </rPr>
          <t>09/03/2022</t>
        </r>
      </text>
    </comment>
    <comment ref="FI5" authorId="0" shapeId="0" xr:uid="{5C7391F2-CCAE-4EB9-AF8E-81FB9A83D3A4}">
      <text>
        <r>
          <rPr>
            <b/>
            <sz val="9"/>
            <color indexed="81"/>
            <rFont val="Tahoma"/>
            <family val="2"/>
          </rPr>
          <t>11/03/2022</t>
        </r>
      </text>
    </comment>
    <comment ref="FS5" authorId="1" shapeId="0" xr:uid="{D30ED3EE-1F3C-421A-B43D-524E03AFE74C}">
      <text>
        <r>
          <rPr>
            <b/>
            <sz val="9"/>
            <color indexed="81"/>
            <rFont val="Tahoma"/>
            <family val="2"/>
          </rPr>
          <t>Candelaria Yesenia Balcazar Hernandez:</t>
        </r>
        <r>
          <rPr>
            <sz val="9"/>
            <color indexed="81"/>
            <rFont val="Tahoma"/>
            <family val="2"/>
          </rPr>
          <t xml:space="preserve">
21/06/2021</t>
        </r>
      </text>
    </comment>
    <comment ref="GM5" authorId="0" shapeId="0" xr:uid="{E29F1337-E339-48DA-A6BA-43111CB6ECFD}">
      <text>
        <r>
          <rPr>
            <b/>
            <sz val="9"/>
            <color indexed="81"/>
            <rFont val="Tahoma"/>
            <family val="2"/>
          </rPr>
          <t>07/01/2022</t>
        </r>
      </text>
    </comment>
    <comment ref="AK6" authorId="0" shapeId="0" xr:uid="{845F98EF-E18F-47FE-8173-BAA52D2A7FE8}">
      <text>
        <r>
          <rPr>
            <b/>
            <sz val="9"/>
            <color indexed="81"/>
            <rFont val="Tahoma"/>
            <family val="2"/>
          </rPr>
          <t>14/02/2022</t>
        </r>
      </text>
    </comment>
    <comment ref="AP6" authorId="1" shapeId="0" xr:uid="{BA8B312C-A4CC-452E-9AFA-DBED06043773}">
      <text>
        <r>
          <rPr>
            <b/>
            <sz val="9"/>
            <color indexed="81"/>
            <rFont val="Tahoma"/>
            <family val="2"/>
          </rPr>
          <t>Candelaria Yesenia Balcazar Hernandez:</t>
        </r>
        <r>
          <rPr>
            <sz val="9"/>
            <color indexed="81"/>
            <rFont val="Tahoma"/>
            <family val="2"/>
          </rPr>
          <t xml:space="preserve">
11/11/2021</t>
        </r>
      </text>
    </comment>
    <comment ref="AZ6" authorId="0" shapeId="0" xr:uid="{FDFD7C76-5AFD-4ADC-83D6-BBA28860F99E}">
      <text>
        <r>
          <rPr>
            <b/>
            <sz val="9"/>
            <color indexed="81"/>
            <rFont val="Tahoma"/>
            <family val="2"/>
          </rPr>
          <t>12/11/2021</t>
        </r>
      </text>
    </comment>
    <comment ref="BE6" authorId="0" shapeId="0" xr:uid="{1B9C2418-C1AD-48C2-B51A-0E9B77434DD9}">
      <text>
        <r>
          <rPr>
            <b/>
            <sz val="9"/>
            <color indexed="81"/>
            <rFont val="Tahoma"/>
            <family val="2"/>
          </rPr>
          <t>07/05/2022</t>
        </r>
      </text>
    </comment>
    <comment ref="BJ6" authorId="0" shapeId="0" xr:uid="{16E737E6-744D-4370-9D33-F883E20D6B31}">
      <text>
        <r>
          <rPr>
            <b/>
            <sz val="9"/>
            <color indexed="81"/>
            <rFont val="Tahoma"/>
            <family val="2"/>
          </rPr>
          <t>13/06/2022</t>
        </r>
      </text>
    </comment>
    <comment ref="CJ6" authorId="1" shapeId="0" xr:uid="{F2D62C8F-CAF2-4E27-A969-D7B84E82E9F9}">
      <text>
        <r>
          <rPr>
            <b/>
            <sz val="9"/>
            <color indexed="81"/>
            <rFont val="Tahoma"/>
            <family val="2"/>
          </rPr>
          <t>Candelaria Yesenia Balcazar Hernandez:</t>
        </r>
        <r>
          <rPr>
            <sz val="9"/>
            <color indexed="81"/>
            <rFont val="Tahoma"/>
            <family val="2"/>
          </rPr>
          <t xml:space="preserve">
12/11/2021</t>
        </r>
      </text>
    </comment>
    <comment ref="CO6" authorId="0" shapeId="0" xr:uid="{3A4C482D-1629-48EF-A852-3D48857CE456}">
      <text>
        <r>
          <rPr>
            <b/>
            <sz val="9"/>
            <color indexed="81"/>
            <rFont val="Tahoma"/>
            <family val="2"/>
          </rPr>
          <t>17/11/2021</t>
        </r>
      </text>
    </comment>
    <comment ref="CY6" authorId="1" shapeId="0" xr:uid="{B58AD8E8-E1FC-4EEC-92F7-BE73E6B4C86C}">
      <text>
        <r>
          <rPr>
            <b/>
            <sz val="9"/>
            <color indexed="81"/>
            <rFont val="Tahoma"/>
            <family val="2"/>
          </rPr>
          <t>Candelaria Yesenia Balcazar Hernandez:</t>
        </r>
        <r>
          <rPr>
            <sz val="9"/>
            <color indexed="81"/>
            <rFont val="Tahoma"/>
            <family val="2"/>
          </rPr>
          <t xml:space="preserve">
16/10/2021</t>
        </r>
      </text>
    </comment>
    <comment ref="DN6" authorId="0" shapeId="0" xr:uid="{739241F3-A753-4440-93C9-691BBFD94D14}">
      <text>
        <r>
          <rPr>
            <b/>
            <sz val="9"/>
            <color indexed="81"/>
            <rFont val="Tahoma"/>
            <family val="2"/>
          </rPr>
          <t>16/05/2022</t>
        </r>
      </text>
    </comment>
    <comment ref="DS6" authorId="0" shapeId="0" xr:uid="{D7F5A163-16D2-4EF7-8799-580F7B81757F}">
      <text>
        <r>
          <rPr>
            <b/>
            <sz val="9"/>
            <color indexed="81"/>
            <rFont val="Tahoma"/>
            <family val="2"/>
          </rPr>
          <t>10/11/2021</t>
        </r>
      </text>
    </comment>
    <comment ref="DX6" authorId="0" shapeId="0" xr:uid="{73055397-21F2-40E6-91E3-B27452BB1D93}">
      <text>
        <r>
          <rPr>
            <b/>
            <sz val="9"/>
            <color indexed="81"/>
            <rFont val="Tahoma"/>
            <family val="2"/>
          </rPr>
          <t>16/10/2021</t>
        </r>
      </text>
    </comment>
    <comment ref="EH6" authorId="1" shapeId="0" xr:uid="{FF8E3D8A-38A0-4669-BA3B-75060D2AEDB6}">
      <text>
        <r>
          <rPr>
            <b/>
            <sz val="9"/>
            <color indexed="81"/>
            <rFont val="Tahoma"/>
            <family val="2"/>
          </rPr>
          <t>Candelaria Yesenia Balcazar Hernandez:</t>
        </r>
        <r>
          <rPr>
            <sz val="9"/>
            <color indexed="81"/>
            <rFont val="Tahoma"/>
            <family val="2"/>
          </rPr>
          <t xml:space="preserve">
11/11/2021</t>
        </r>
      </text>
    </comment>
    <comment ref="EY6" authorId="0" shapeId="0" xr:uid="{37B72FAC-7519-49CF-8A0A-6BCDCF8C1897}">
      <text>
        <r>
          <rPr>
            <b/>
            <sz val="9"/>
            <color indexed="81"/>
            <rFont val="Tahoma"/>
            <family val="2"/>
          </rPr>
          <t>10/03/2022</t>
        </r>
      </text>
    </comment>
    <comment ref="FI6" authorId="0" shapeId="0" xr:uid="{856A8389-848B-464F-ADD7-7EE09E5E79CA}">
      <text>
        <r>
          <rPr>
            <b/>
            <sz val="9"/>
            <color indexed="81"/>
            <rFont val="Tahoma"/>
            <family val="2"/>
          </rPr>
          <t>11/03/2022</t>
        </r>
      </text>
    </comment>
    <comment ref="FN6" authorId="1" shapeId="0" xr:uid="{CECE3E9F-3DB4-4A44-97EC-1E538D80DEA5}">
      <text>
        <r>
          <rPr>
            <b/>
            <sz val="9"/>
            <color indexed="81"/>
            <rFont val="Tahoma"/>
            <family val="2"/>
          </rPr>
          <t>Candelaria Yesenia Balcazar Hernandez:</t>
        </r>
        <r>
          <rPr>
            <sz val="9"/>
            <color indexed="81"/>
            <rFont val="Tahoma"/>
            <family val="2"/>
          </rPr>
          <t xml:space="preserve">
09/10/2021</t>
        </r>
      </text>
    </comment>
    <comment ref="GH6" authorId="1" shapeId="0" xr:uid="{D71FB1C3-4F23-485D-802C-4DDA49CB3659}">
      <text>
        <r>
          <rPr>
            <b/>
            <sz val="9"/>
            <color indexed="81"/>
            <rFont val="Tahoma"/>
            <family val="2"/>
          </rPr>
          <t>Candelaria Yesenia Balcazar Hernandez:</t>
        </r>
        <r>
          <rPr>
            <sz val="9"/>
            <color indexed="81"/>
            <rFont val="Tahoma"/>
            <family val="2"/>
          </rPr>
          <t xml:space="preserve">
20/10/2021</t>
        </r>
      </text>
    </comment>
    <comment ref="GM6" authorId="0" shapeId="0" xr:uid="{9CE01A38-C5DA-459D-A81A-E3170A89ADAD}">
      <text>
        <r>
          <rPr>
            <b/>
            <sz val="9"/>
            <color indexed="81"/>
            <rFont val="Tahoma"/>
            <family val="2"/>
          </rPr>
          <t>10/01/2022</t>
        </r>
      </text>
    </comment>
    <comment ref="U7" authorId="0" shapeId="0" xr:uid="{D39021F8-7F93-4560-B4D3-D8BE3510C644}">
      <text>
        <r>
          <rPr>
            <b/>
            <sz val="9"/>
            <color indexed="81"/>
            <rFont val="Tahoma"/>
            <family val="2"/>
          </rPr>
          <t>09/04/2021</t>
        </r>
      </text>
    </comment>
    <comment ref="AP7" authorId="0" shapeId="0" xr:uid="{56E4C464-9AA4-40A1-90FA-279045C21E45}">
      <text>
        <r>
          <rPr>
            <b/>
            <sz val="9"/>
            <color indexed="81"/>
            <rFont val="Tahoma"/>
            <family val="2"/>
          </rPr>
          <t>29/04/2022</t>
        </r>
      </text>
    </comment>
    <comment ref="DI7" authorId="0" shapeId="0" xr:uid="{3F5FED46-3A9D-4961-8F07-B5D44B5EB38D}">
      <text>
        <r>
          <rPr>
            <b/>
            <sz val="9"/>
            <color indexed="81"/>
            <rFont val="Tahoma"/>
            <family val="2"/>
          </rPr>
          <t>30/04/2022</t>
        </r>
      </text>
    </comment>
    <comment ref="EY7" authorId="0" shapeId="0" xr:uid="{4D8B579E-5278-408C-B0EB-FEC44AD0EA63}">
      <text>
        <r>
          <rPr>
            <b/>
            <sz val="9"/>
            <color indexed="81"/>
            <rFont val="Tahoma"/>
            <family val="2"/>
          </rPr>
          <t>16/02/2022</t>
        </r>
      </text>
    </comment>
    <comment ref="FI7" authorId="0" shapeId="0" xr:uid="{68F09859-929F-4519-9FAA-EE557F39DE8B}">
      <text>
        <r>
          <rPr>
            <b/>
            <sz val="9"/>
            <color indexed="81"/>
            <rFont val="Tahoma"/>
            <family val="2"/>
          </rPr>
          <t>17/02/2022</t>
        </r>
      </text>
    </comment>
    <comment ref="EH9" authorId="1" shapeId="0" xr:uid="{4148F6CB-1FF5-44A7-B3DA-8E5E744156B1}">
      <text>
        <r>
          <rPr>
            <b/>
            <sz val="9"/>
            <color indexed="81"/>
            <rFont val="Tahoma"/>
            <family val="2"/>
          </rPr>
          <t>Candelaria Yesenia Balcazar Hernandez:</t>
        </r>
        <r>
          <rPr>
            <sz val="9"/>
            <color indexed="81"/>
            <rFont val="Tahoma"/>
            <family val="2"/>
          </rPr>
          <t xml:space="preserve">
30/06/2023</t>
        </r>
      </text>
    </comment>
    <comment ref="AP10" authorId="0" shapeId="0" xr:uid="{04692176-8B92-4DB2-B18E-25C05A38F185}">
      <text>
        <r>
          <rPr>
            <b/>
            <sz val="9"/>
            <color indexed="81"/>
            <rFont val="Tahoma"/>
            <family val="2"/>
          </rPr>
          <t>07/01/2022</t>
        </r>
      </text>
    </comment>
    <comment ref="AK11" authorId="0" shapeId="0" xr:uid="{C2B23A79-8C8A-42A0-BFCA-9D9A844F5FAC}">
      <text>
        <r>
          <rPr>
            <b/>
            <sz val="9"/>
            <color indexed="81"/>
            <rFont val="Tahoma"/>
            <family val="2"/>
          </rPr>
          <t>02/02/2022</t>
        </r>
      </text>
    </comment>
    <comment ref="AP11" authorId="0" shapeId="0" xr:uid="{CC80EB7B-853A-4ACC-89C2-0825DDB7CA34}">
      <text>
        <r>
          <rPr>
            <b/>
            <sz val="9"/>
            <color indexed="81"/>
            <rFont val="Tahoma"/>
            <family val="2"/>
          </rPr>
          <t>15/03/2022</t>
        </r>
      </text>
    </comment>
    <comment ref="AU11" authorId="0" shapeId="0" xr:uid="{2E32DC9B-4831-4BA4-8860-BADD255EFD5A}">
      <text>
        <r>
          <rPr>
            <b/>
            <sz val="9"/>
            <color indexed="81"/>
            <rFont val="Tahoma"/>
            <family val="2"/>
          </rPr>
          <t>14/04/2022</t>
        </r>
      </text>
    </comment>
    <comment ref="AZ11" authorId="0" shapeId="0" xr:uid="{24EA208D-6916-4F84-95D0-79088721D860}">
      <text>
        <r>
          <rPr>
            <b/>
            <sz val="9"/>
            <color indexed="81"/>
            <rFont val="Tahoma"/>
            <family val="2"/>
          </rPr>
          <t>20/06/2022</t>
        </r>
      </text>
    </comment>
    <comment ref="DN11" authorId="0" shapeId="0" xr:uid="{2496CE30-2B61-439A-811A-3E2B26FB8A0F}">
      <text>
        <r>
          <rPr>
            <b/>
            <sz val="9"/>
            <color indexed="81"/>
            <rFont val="Tahoma"/>
            <family val="2"/>
          </rPr>
          <t>16/05/2022</t>
        </r>
      </text>
    </comment>
    <comment ref="FD11" authorId="0" shapeId="0" xr:uid="{A0ED4706-CB13-43EE-9945-20945E37F997}">
      <text>
        <r>
          <rPr>
            <b/>
            <sz val="9"/>
            <color indexed="81"/>
            <rFont val="Tahoma"/>
            <family val="2"/>
          </rPr>
          <t>03/02/2022</t>
        </r>
      </text>
    </comment>
    <comment ref="FI11" authorId="0" shapeId="0" xr:uid="{AE6FC324-F0D9-4393-A6D1-2D0157521AF3}">
      <text>
        <r>
          <rPr>
            <b/>
            <sz val="9"/>
            <color indexed="81"/>
            <rFont val="Tahoma"/>
            <family val="2"/>
          </rPr>
          <t>04/02/2022</t>
        </r>
      </text>
    </comment>
    <comment ref="GM11" authorId="0" shapeId="0" xr:uid="{9D5CD4E3-540F-47FA-95D9-09809B48744C}">
      <text>
        <r>
          <rPr>
            <b/>
            <sz val="9"/>
            <color indexed="81"/>
            <rFont val="Tahoma"/>
            <family val="2"/>
          </rPr>
          <t>10/01/2022</t>
        </r>
      </text>
    </comment>
    <comment ref="LA11" authorId="0" shapeId="0" xr:uid="{5838F2B2-757A-497E-B641-5DB196F8EFC2}">
      <text>
        <r>
          <rPr>
            <b/>
            <sz val="9"/>
            <color indexed="81"/>
            <rFont val="Tahoma"/>
            <family val="2"/>
          </rPr>
          <t>20/10/2021</t>
        </r>
      </text>
    </comment>
    <comment ref="AK12" authorId="0" shapeId="0" xr:uid="{FA21223F-D17C-4419-AED3-204C11C25101}">
      <text>
        <r>
          <rPr>
            <b/>
            <sz val="9"/>
            <color indexed="81"/>
            <rFont val="Tahoma"/>
            <family val="2"/>
          </rPr>
          <t>08/09/2022</t>
        </r>
      </text>
    </comment>
    <comment ref="AP12" authorId="0" shapeId="0" xr:uid="{82071B42-D3F1-4889-AF31-EE1A19737168}">
      <text>
        <r>
          <rPr>
            <b/>
            <sz val="9"/>
            <color indexed="81"/>
            <rFont val="Tahoma"/>
            <family val="2"/>
          </rPr>
          <t>03/09/2022</t>
        </r>
      </text>
    </comment>
    <comment ref="AZ12" authorId="0" shapeId="0" xr:uid="{BD8F16A7-1A6C-4DE8-8918-910B16ADF546}">
      <text>
        <r>
          <rPr>
            <b/>
            <sz val="9"/>
            <color indexed="81"/>
            <rFont val="Tahoma"/>
            <family val="2"/>
          </rPr>
          <t>13/08/2022</t>
        </r>
      </text>
    </comment>
    <comment ref="CO12" authorId="0" shapeId="0" xr:uid="{8C54A4B1-21A6-4081-851D-AED40E7878D1}">
      <text>
        <r>
          <rPr>
            <b/>
            <sz val="9"/>
            <color indexed="81"/>
            <rFont val="Tahoma"/>
            <family val="2"/>
          </rPr>
          <t>09/09/2022</t>
        </r>
      </text>
    </comment>
    <comment ref="CT12" authorId="0" shapeId="0" xr:uid="{2B622864-1B30-484C-9851-1F5A84C4701E}">
      <text>
        <r>
          <rPr>
            <b/>
            <sz val="9"/>
            <color indexed="81"/>
            <rFont val="Tahoma"/>
            <family val="2"/>
          </rPr>
          <t>01/08/2022</t>
        </r>
      </text>
    </comment>
    <comment ref="CY12" authorId="1" shapeId="0" xr:uid="{F2257CBB-8626-48DB-8E19-B770EA5D34BA}">
      <text>
        <r>
          <rPr>
            <b/>
            <sz val="9"/>
            <color indexed="81"/>
            <rFont val="Tahoma"/>
            <family val="2"/>
          </rPr>
          <t>Candelaria Yesenia Balcazar Hernandez:</t>
        </r>
        <r>
          <rPr>
            <sz val="9"/>
            <color indexed="81"/>
            <rFont val="Tahoma"/>
            <family val="2"/>
          </rPr>
          <t xml:space="preserve">
02/08/2022</t>
        </r>
      </text>
    </comment>
    <comment ref="DX12" authorId="0" shapeId="0" xr:uid="{43A01DEE-AAD9-4EBA-B83C-88B51141069B}">
      <text>
        <r>
          <rPr>
            <b/>
            <sz val="9"/>
            <color indexed="81"/>
            <rFont val="Tahoma"/>
            <family val="2"/>
          </rPr>
          <t>03/08/2022</t>
        </r>
      </text>
    </comment>
    <comment ref="EC12" authorId="0" shapeId="0" xr:uid="{417DAE99-6F93-474C-B901-DAAFB02F1BB9}">
      <text>
        <r>
          <rPr>
            <b/>
            <sz val="9"/>
            <color indexed="81"/>
            <rFont val="Tahoma"/>
            <family val="2"/>
          </rPr>
          <t>03/08/2022</t>
        </r>
      </text>
    </comment>
    <comment ref="EY12" authorId="0" shapeId="0" xr:uid="{F79AA128-6650-49A1-B5BC-89D1E8AAADA9}">
      <text>
        <r>
          <rPr>
            <b/>
            <sz val="9"/>
            <color indexed="81"/>
            <rFont val="Tahoma"/>
            <family val="2"/>
          </rPr>
          <t>05/08/2022</t>
        </r>
      </text>
    </comment>
    <comment ref="FN12" authorId="0" shapeId="0" xr:uid="{02B2B9F2-56B2-4D54-BD03-FB67FBC23D51}">
      <text>
        <r>
          <rPr>
            <b/>
            <sz val="9"/>
            <color indexed="81"/>
            <rFont val="Tahoma"/>
            <family val="2"/>
          </rPr>
          <t>28/07/2022</t>
        </r>
      </text>
    </comment>
    <comment ref="GC12" authorId="0" shapeId="0" xr:uid="{5CAB9B72-1D87-4E4E-8082-EFFEA70E3F21}">
      <text>
        <r>
          <rPr>
            <b/>
            <sz val="9"/>
            <color indexed="81"/>
            <rFont val="Tahoma"/>
            <family val="2"/>
          </rPr>
          <t>28/07/2022</t>
        </r>
      </text>
    </comment>
    <comment ref="AZ13" authorId="0" shapeId="0" xr:uid="{93AD3C1B-0D01-4AA5-B492-E03F5D3CAD6A}">
      <text>
        <r>
          <rPr>
            <b/>
            <sz val="9"/>
            <color indexed="81"/>
            <rFont val="Tahoma"/>
            <family val="2"/>
          </rPr>
          <t>24/01/2022</t>
        </r>
      </text>
    </comment>
    <comment ref="BE13" authorId="0" shapeId="0" xr:uid="{5E4A5BEE-78EA-4D14-A73F-5C01F3EAE65F}">
      <text>
        <r>
          <rPr>
            <b/>
            <sz val="9"/>
            <color indexed="81"/>
            <rFont val="Tahoma"/>
            <family val="2"/>
          </rPr>
          <t>24/01/2022</t>
        </r>
      </text>
    </comment>
    <comment ref="BJ13" authorId="0" shapeId="0" xr:uid="{12436FE1-C3FD-4810-8A59-2F70243F64C8}">
      <text>
        <r>
          <rPr>
            <b/>
            <sz val="9"/>
            <color indexed="81"/>
            <rFont val="Tahoma"/>
            <family val="2"/>
          </rPr>
          <t>15/06/2022</t>
        </r>
      </text>
    </comment>
    <comment ref="CO13" authorId="0" shapeId="0" xr:uid="{4F09D86F-8DF8-47F8-87D0-957280133A82}">
      <text>
        <r>
          <rPr>
            <b/>
            <sz val="9"/>
            <color indexed="81"/>
            <rFont val="Tahoma"/>
            <family val="2"/>
          </rPr>
          <t>27/01/2022</t>
        </r>
      </text>
    </comment>
    <comment ref="DD13" authorId="0" shapeId="0" xr:uid="{54301DA3-E01A-43D9-A679-A5236A57CC17}">
      <text>
        <r>
          <rPr>
            <b/>
            <sz val="9"/>
            <color indexed="81"/>
            <rFont val="Tahoma"/>
            <family val="2"/>
          </rPr>
          <t>19/01/2022</t>
        </r>
      </text>
    </comment>
    <comment ref="DI13" authorId="0" shapeId="0" xr:uid="{50926DAD-98CF-435A-9566-6474C775C45A}">
      <text>
        <r>
          <rPr>
            <b/>
            <sz val="9"/>
            <color indexed="81"/>
            <rFont val="Tahoma"/>
            <family val="2"/>
          </rPr>
          <t>20/01/2022</t>
        </r>
      </text>
    </comment>
    <comment ref="DS13" authorId="0" shapeId="0" xr:uid="{FEE9E635-D644-41C7-9625-820078C6B44B}">
      <text>
        <r>
          <rPr>
            <b/>
            <sz val="9"/>
            <color indexed="81"/>
            <rFont val="Tahoma"/>
            <family val="2"/>
          </rPr>
          <t>20/01/2022</t>
        </r>
      </text>
    </comment>
    <comment ref="DX13" authorId="0" shapeId="0" xr:uid="{ABD868A8-D04A-4678-943D-547A2480521E}">
      <text>
        <r>
          <rPr>
            <b/>
            <sz val="9"/>
            <color indexed="81"/>
            <rFont val="Tahoma"/>
            <family val="2"/>
          </rPr>
          <t>11/01/2022</t>
        </r>
      </text>
    </comment>
    <comment ref="EC13" authorId="0" shapeId="0" xr:uid="{3FA3A1AE-50C8-45AD-91EB-46B823B55E9C}">
      <text>
        <r>
          <rPr>
            <b/>
            <sz val="9"/>
            <color indexed="81"/>
            <rFont val="Tahoma"/>
            <family val="2"/>
          </rPr>
          <t>11/01/2022</t>
        </r>
      </text>
    </comment>
    <comment ref="EY13" authorId="0" shapeId="0" xr:uid="{9F10F578-AC47-4EEA-B17D-CD9FFCE1C318}">
      <text>
        <r>
          <rPr>
            <b/>
            <sz val="9"/>
            <color indexed="81"/>
            <rFont val="Tahoma"/>
            <family val="2"/>
          </rPr>
          <t>24/03/2022</t>
        </r>
      </text>
    </comment>
    <comment ref="FN13" authorId="0" shapeId="0" xr:uid="{C4FC4DC0-58A8-46B7-ACB0-8087A0F03ADB}">
      <text>
        <r>
          <rPr>
            <b/>
            <sz val="9"/>
            <color indexed="81"/>
            <rFont val="Tahoma"/>
            <family val="2"/>
          </rPr>
          <t>06/01/2022</t>
        </r>
      </text>
    </comment>
    <comment ref="FS13" authorId="0" shapeId="0" xr:uid="{5DFB61C2-5D7B-4781-B88B-A7A633C1E1A8}">
      <text>
        <r>
          <rPr>
            <b/>
            <sz val="9"/>
            <color indexed="81"/>
            <rFont val="Tahoma"/>
            <family val="2"/>
          </rPr>
          <t>18/01/2022</t>
        </r>
      </text>
    </comment>
    <comment ref="FX13" authorId="0" shapeId="0" xr:uid="{87645B49-8512-4729-8FFB-81873A8E6641}">
      <text>
        <r>
          <rPr>
            <b/>
            <sz val="9"/>
            <color indexed="81"/>
            <rFont val="Tahoma"/>
            <family val="2"/>
          </rPr>
          <t>25/03/2022</t>
        </r>
      </text>
    </comment>
    <comment ref="GM14" authorId="0" shapeId="0" xr:uid="{1256FE71-8630-44AB-8DAA-0BA103FB9107}">
      <text>
        <r>
          <rPr>
            <b/>
            <sz val="9"/>
            <color indexed="81"/>
            <rFont val="Tahoma"/>
            <family val="2"/>
          </rPr>
          <t>17/11/2023</t>
        </r>
      </text>
    </comment>
    <comment ref="AK15" authorId="0" shapeId="0" xr:uid="{E7428C2A-8E0C-4CA9-9725-FFBB1E98557E}">
      <text>
        <r>
          <rPr>
            <b/>
            <sz val="9"/>
            <color indexed="81"/>
            <rFont val="Tahoma"/>
            <family val="2"/>
          </rPr>
          <t>07/03/2022</t>
        </r>
      </text>
    </comment>
    <comment ref="BJ15" authorId="0" shapeId="0" xr:uid="{6F65131E-0685-4956-9497-3780AD0FB43A}">
      <text>
        <r>
          <rPr>
            <b/>
            <sz val="9"/>
            <color indexed="81"/>
            <rFont val="Tahoma"/>
            <family val="2"/>
          </rPr>
          <t>13/06/2022</t>
        </r>
      </text>
    </comment>
    <comment ref="BY15" authorId="0" shapeId="0" xr:uid="{ACC5E84A-6DBC-4743-A7F9-697C9D4FF2E8}">
      <text>
        <r>
          <rPr>
            <b/>
            <sz val="9"/>
            <color indexed="81"/>
            <rFont val="Tahoma"/>
            <family val="2"/>
          </rPr>
          <t>09/03/2022</t>
        </r>
      </text>
    </comment>
    <comment ref="CZ15" authorId="0" shapeId="0" xr:uid="{A1998F7C-777B-400E-B25F-3B616A66223F}">
      <text>
        <r>
          <rPr>
            <b/>
            <sz val="9"/>
            <color indexed="81"/>
            <rFont val="Tahoma"/>
            <family val="2"/>
          </rPr>
          <t>Christian Sánchez:</t>
        </r>
        <r>
          <rPr>
            <sz val="9"/>
            <color indexed="81"/>
            <rFont val="Tahoma"/>
            <family val="2"/>
          </rPr>
          <t xml:space="preserve">
A HALLIBURTON SE LE ENVIO CON FECHA DE 13/03/2023 PERO SE SUSTITUYE POR 11/05/2023 POR QUE SE CRUZA CON UN CURSO EXTERNO VOLANT</t>
        </r>
      </text>
    </comment>
    <comment ref="DN15" authorId="0" shapeId="0" xr:uid="{32695CC0-2E59-450E-9E66-2CAB9E3FE5DE}">
      <text>
        <r>
          <rPr>
            <b/>
            <sz val="9"/>
            <color indexed="81"/>
            <rFont val="Tahoma"/>
            <family val="2"/>
          </rPr>
          <t>16/05/2022</t>
        </r>
      </text>
    </comment>
    <comment ref="EY15" authorId="0" shapeId="0" xr:uid="{0F5C94A8-96D9-4B97-9EE4-824DB38CAF30}">
      <text>
        <r>
          <rPr>
            <b/>
            <sz val="9"/>
            <color indexed="81"/>
            <rFont val="Tahoma"/>
            <family val="2"/>
          </rPr>
          <t>10/03/2022</t>
        </r>
      </text>
    </comment>
    <comment ref="FS15" authorId="1" shapeId="0" xr:uid="{83938EB8-FB47-40FA-A617-34A867B7DBE6}">
      <text>
        <r>
          <rPr>
            <b/>
            <sz val="9"/>
            <color indexed="81"/>
            <rFont val="Tahoma"/>
            <family val="2"/>
          </rPr>
          <t>Candelaria Yesenia Balcazar Hernandez:</t>
        </r>
        <r>
          <rPr>
            <sz val="9"/>
            <color indexed="81"/>
            <rFont val="Tahoma"/>
            <family val="2"/>
          </rPr>
          <t xml:space="preserve">
21/06/2021</t>
        </r>
      </text>
    </comment>
    <comment ref="GH15" authorId="0" shapeId="0" xr:uid="{7C5E156F-132F-4FD9-BA8E-88218543616F}">
      <text>
        <r>
          <rPr>
            <b/>
            <sz val="9"/>
            <color indexed="81"/>
            <rFont val="Tahoma"/>
            <family val="2"/>
          </rPr>
          <t>21/07/2022</t>
        </r>
      </text>
    </comment>
    <comment ref="AP16" authorId="0" shapeId="0" xr:uid="{AC57FC97-CF38-4D01-95B9-CF5EC2B525C2}">
      <text>
        <r>
          <rPr>
            <b/>
            <sz val="9"/>
            <color indexed="81"/>
            <rFont val="Tahoma"/>
            <family val="2"/>
          </rPr>
          <t>12/03/2022</t>
        </r>
      </text>
    </comment>
    <comment ref="BJ16" authorId="0" shapeId="0" xr:uid="{815C429E-5C2F-48BC-9DB1-35BF0A54CFC7}">
      <text>
        <r>
          <rPr>
            <b/>
            <sz val="9"/>
            <color indexed="81"/>
            <rFont val="Tahoma"/>
            <family val="2"/>
          </rPr>
          <t>14/06/2022</t>
        </r>
      </text>
    </comment>
    <comment ref="CY16" authorId="0" shapeId="0" xr:uid="{829D0B09-A240-4538-A042-DD07AA480C93}">
      <text>
        <r>
          <rPr>
            <b/>
            <sz val="9"/>
            <color indexed="81"/>
            <rFont val="Tahoma"/>
            <family val="2"/>
          </rPr>
          <t>06/08/2022</t>
        </r>
      </text>
    </comment>
    <comment ref="EY16" authorId="0" shapeId="0" xr:uid="{81AD8C49-0841-42B4-B08C-A60F7A201455}">
      <text>
        <r>
          <rPr>
            <b/>
            <sz val="9"/>
            <color indexed="81"/>
            <rFont val="Tahoma"/>
            <family val="2"/>
          </rPr>
          <t>03/02/2022</t>
        </r>
      </text>
    </comment>
    <comment ref="DS17" authorId="1" shapeId="0" xr:uid="{01E39EE2-1FD8-49D1-B1F9-C0A00C520343}">
      <text>
        <r>
          <rPr>
            <b/>
            <sz val="9"/>
            <color indexed="81"/>
            <rFont val="Tahoma"/>
            <family val="2"/>
          </rPr>
          <t>Candelaria Yesenia Balcazar Hernandez:</t>
        </r>
        <r>
          <rPr>
            <sz val="9"/>
            <color indexed="81"/>
            <rFont val="Tahoma"/>
            <family val="2"/>
          </rPr>
          <t xml:space="preserve">
24/07/2023</t>
        </r>
      </text>
    </comment>
    <comment ref="AK19" authorId="0" shapeId="0" xr:uid="{24AA7C81-6271-46A1-8178-6DF0C27941A4}">
      <text>
        <r>
          <rPr>
            <b/>
            <sz val="9"/>
            <color indexed="81"/>
            <rFont val="Tahoma"/>
            <family val="2"/>
          </rPr>
          <t>14/03/2022</t>
        </r>
      </text>
    </comment>
    <comment ref="AP19" authorId="0" shapeId="0" xr:uid="{588E8F41-D46E-4387-8A75-FD2F7E9D00B7}">
      <text>
        <r>
          <rPr>
            <b/>
            <sz val="9"/>
            <color indexed="81"/>
            <rFont val="Tahoma"/>
            <family val="2"/>
          </rPr>
          <t>07/01/2022</t>
        </r>
      </text>
    </comment>
    <comment ref="AZ19" authorId="0" shapeId="0" xr:uid="{DB35FD72-BF4D-4F76-9E63-68334D02DEB1}">
      <text>
        <r>
          <rPr>
            <b/>
            <sz val="9"/>
            <color indexed="81"/>
            <rFont val="Tahoma"/>
            <family val="2"/>
          </rPr>
          <t>24/01/2022</t>
        </r>
      </text>
    </comment>
    <comment ref="BE19" authorId="0" shapeId="0" xr:uid="{1D414EC5-D06F-4206-B6C5-DB3D006F8D72}">
      <text>
        <r>
          <rPr>
            <b/>
            <sz val="9"/>
            <color indexed="81"/>
            <rFont val="Tahoma"/>
            <family val="2"/>
          </rPr>
          <t>02/05/2022</t>
        </r>
      </text>
    </comment>
    <comment ref="CO19" authorId="0" shapeId="0" xr:uid="{E1100B49-3815-4608-BD56-0D9752EE1B3F}">
      <text>
        <r>
          <rPr>
            <b/>
            <sz val="9"/>
            <color indexed="81"/>
            <rFont val="Tahoma"/>
            <family val="2"/>
          </rPr>
          <t>27/01/2022</t>
        </r>
      </text>
    </comment>
    <comment ref="CY19" authorId="1" shapeId="0" xr:uid="{C3E211BF-7963-46A7-AE49-D072B465A131}">
      <text>
        <r>
          <rPr>
            <b/>
            <sz val="9"/>
            <color indexed="81"/>
            <rFont val="Tahoma"/>
            <family val="2"/>
          </rPr>
          <t>Candelaria Yesenia Balcazar Hernandez:</t>
        </r>
        <r>
          <rPr>
            <sz val="9"/>
            <color indexed="81"/>
            <rFont val="Tahoma"/>
            <family val="2"/>
          </rPr>
          <t xml:space="preserve">
26/07/2022</t>
        </r>
      </text>
    </comment>
    <comment ref="DD19" authorId="1" shapeId="0" xr:uid="{D3DAB266-A1B8-4B92-B45D-B847E36D60D5}">
      <text>
        <r>
          <rPr>
            <b/>
            <sz val="9"/>
            <color indexed="81"/>
            <rFont val="Tahoma"/>
            <family val="2"/>
          </rPr>
          <t>Candelaria Yesenia Balcazar Hernandez:</t>
        </r>
        <r>
          <rPr>
            <sz val="9"/>
            <color indexed="81"/>
            <rFont val="Tahoma"/>
            <family val="2"/>
          </rPr>
          <t xml:space="preserve">
19/01/2022</t>
        </r>
      </text>
    </comment>
    <comment ref="DI19" authorId="0" shapeId="0" xr:uid="{4BC970F0-78CD-49D2-9F2C-4B516461BF74}">
      <text>
        <r>
          <rPr>
            <b/>
            <sz val="9"/>
            <color indexed="81"/>
            <rFont val="Tahoma"/>
            <family val="2"/>
          </rPr>
          <t>20/01/2022</t>
        </r>
      </text>
    </comment>
    <comment ref="DS19" authorId="0" shapeId="0" xr:uid="{3D88FAAB-E8F8-44A7-A6C6-81C82F433390}">
      <text>
        <r>
          <rPr>
            <b/>
            <sz val="9"/>
            <color indexed="81"/>
            <rFont val="Tahoma"/>
            <family val="2"/>
          </rPr>
          <t>20/01/2022</t>
        </r>
      </text>
    </comment>
    <comment ref="DX19" authorId="0" shapeId="0" xr:uid="{F2D16EE2-91D0-43D2-92C1-8F853B67E78C}">
      <text>
        <r>
          <rPr>
            <b/>
            <sz val="9"/>
            <color indexed="81"/>
            <rFont val="Tahoma"/>
            <family val="2"/>
          </rPr>
          <t>11/01/2022</t>
        </r>
      </text>
    </comment>
    <comment ref="EO19" authorId="1" shapeId="0" xr:uid="{159093F7-2FE4-474E-98E4-545013030CFC}">
      <text>
        <r>
          <rPr>
            <b/>
            <sz val="9"/>
            <color indexed="81"/>
            <rFont val="Tahoma"/>
            <family val="2"/>
          </rPr>
          <t>Candelaria Yesenia Balcazar Hernandez:</t>
        </r>
        <r>
          <rPr>
            <sz val="9"/>
            <color indexed="81"/>
            <rFont val="Tahoma"/>
            <family val="2"/>
          </rPr>
          <t xml:space="preserve">
02/07/2021</t>
        </r>
      </text>
    </comment>
    <comment ref="FI19" authorId="0" shapeId="0" xr:uid="{F4BDB06D-A235-4350-A0C3-A59E76B728A1}">
      <text>
        <r>
          <rPr>
            <b/>
            <sz val="9"/>
            <color indexed="81"/>
            <rFont val="Tahoma"/>
            <family val="2"/>
          </rPr>
          <t>17/03/2022</t>
        </r>
      </text>
    </comment>
    <comment ref="FS19" authorId="0" shapeId="0" xr:uid="{2A6C9D78-7957-4517-B6AF-293FF6F4D58A}">
      <text>
        <r>
          <rPr>
            <b/>
            <sz val="9"/>
            <color indexed="81"/>
            <rFont val="Tahoma"/>
            <family val="2"/>
          </rPr>
          <t>18/01/2022</t>
        </r>
      </text>
    </comment>
    <comment ref="GH19" authorId="0" shapeId="0" xr:uid="{05628D72-0F46-4004-B15E-588BCE2E5B07}">
      <text>
        <r>
          <rPr>
            <b/>
            <sz val="9"/>
            <color indexed="81"/>
            <rFont val="Tahoma"/>
            <family val="2"/>
          </rPr>
          <t>22/03/2022</t>
        </r>
      </text>
    </comment>
    <comment ref="E20" authorId="0" shapeId="0" xr:uid="{4A8E8F07-A234-492A-94BB-4E9CC35E60E1}">
      <text>
        <r>
          <rPr>
            <b/>
            <sz val="9"/>
            <color indexed="81"/>
            <rFont val="Tahoma"/>
            <family val="2"/>
          </rPr>
          <t>08/02/2024 y 09/02/2024</t>
        </r>
      </text>
    </comment>
    <comment ref="U21" authorId="1" shapeId="0" xr:uid="{AD6F30F5-6A93-4D1D-B6E6-C109E5F61132}">
      <text>
        <r>
          <rPr>
            <b/>
            <sz val="9"/>
            <color indexed="81"/>
            <rFont val="Tahoma"/>
            <family val="2"/>
          </rPr>
          <t>Candelaria Yesenia Balcazar Hernandez:</t>
        </r>
        <r>
          <rPr>
            <sz val="9"/>
            <color indexed="81"/>
            <rFont val="Tahoma"/>
            <family val="2"/>
          </rPr>
          <t xml:space="preserve">
07/05/2019-08/05/2019</t>
        </r>
      </text>
    </comment>
    <comment ref="AK21" authorId="0" shapeId="0" xr:uid="{6B76DD93-4800-4D18-9AD9-9157EDC73A02}">
      <text>
        <r>
          <rPr>
            <b/>
            <sz val="9"/>
            <color indexed="81"/>
            <rFont val="Tahoma"/>
            <family val="2"/>
          </rPr>
          <t>21/02/2022</t>
        </r>
      </text>
    </comment>
    <comment ref="AP21" authorId="0" shapeId="0" xr:uid="{F59281E5-9E89-4EF7-A477-2E1AF46ED3C5}">
      <text>
        <r>
          <rPr>
            <b/>
            <sz val="9"/>
            <color indexed="81"/>
            <rFont val="Tahoma"/>
            <family val="2"/>
          </rPr>
          <t>09/03/2022</t>
        </r>
      </text>
    </comment>
    <comment ref="AU21" authorId="0" shapeId="0" xr:uid="{47E3ADF7-56B9-4C94-B88D-C6A01BF5A4DA}">
      <text>
        <r>
          <rPr>
            <b/>
            <sz val="9"/>
            <color indexed="81"/>
            <rFont val="Tahoma"/>
            <family val="2"/>
          </rPr>
          <t>11/04/2022</t>
        </r>
      </text>
    </comment>
    <comment ref="BE21" authorId="0" shapeId="0" xr:uid="{2C10941F-539A-4A89-B706-D2072C9CEB01}">
      <text>
        <r>
          <rPr>
            <b/>
            <sz val="9"/>
            <color indexed="81"/>
            <rFont val="Tahoma"/>
            <family val="2"/>
          </rPr>
          <t>07/05/2022</t>
        </r>
      </text>
    </comment>
    <comment ref="BJ21" authorId="0" shapeId="0" xr:uid="{AB43D482-F201-4F59-8655-479C43BF6E16}">
      <text>
        <r>
          <rPr>
            <b/>
            <sz val="9"/>
            <color indexed="81"/>
            <rFont val="Tahoma"/>
            <family val="2"/>
          </rPr>
          <t>08/06/2022</t>
        </r>
      </text>
    </comment>
    <comment ref="EH21" authorId="1" shapeId="0" xr:uid="{FA150024-6145-4118-9C78-FC0618973EBB}">
      <text>
        <r>
          <rPr>
            <b/>
            <sz val="9"/>
            <color indexed="81"/>
            <rFont val="Tahoma"/>
            <family val="2"/>
          </rPr>
          <t>Candelaria Yesenia Balcazar Hernandez:</t>
        </r>
        <r>
          <rPr>
            <sz val="9"/>
            <color indexed="81"/>
            <rFont val="Tahoma"/>
            <family val="2"/>
          </rPr>
          <t xml:space="preserve">
27/03/2023</t>
        </r>
      </text>
    </comment>
    <comment ref="EY21" authorId="0" shapeId="0" xr:uid="{C32B00DD-6ED6-45EE-988B-EC18911F48F1}">
      <text>
        <r>
          <rPr>
            <b/>
            <sz val="9"/>
            <color indexed="81"/>
            <rFont val="Tahoma"/>
            <family val="2"/>
          </rPr>
          <t>23/02/2023</t>
        </r>
      </text>
    </comment>
    <comment ref="FI21" authorId="0" shapeId="0" xr:uid="{98763167-2743-4F1C-AC82-ABD215DEEC51}">
      <text>
        <r>
          <rPr>
            <b/>
            <sz val="9"/>
            <color indexed="81"/>
            <rFont val="Tahoma"/>
            <family val="2"/>
          </rPr>
          <t>04/02/2022</t>
        </r>
      </text>
    </comment>
    <comment ref="FS21" authorId="0" shapeId="0" xr:uid="{88DFD5AB-383A-498F-A805-D1841392EE39}">
      <text>
        <r>
          <rPr>
            <b/>
            <sz val="9"/>
            <color indexed="81"/>
            <rFont val="Tahoma"/>
            <family val="2"/>
          </rPr>
          <t>18/02/2022</t>
        </r>
      </text>
    </comment>
    <comment ref="AF22" authorId="0" shapeId="0" xr:uid="{F85ADFD6-729F-4678-8868-6E55F02AA44C}">
      <text>
        <r>
          <rPr>
            <b/>
            <sz val="9"/>
            <color indexed="81"/>
            <rFont val="Tahoma"/>
            <family val="2"/>
          </rPr>
          <t>08/03/2022</t>
        </r>
      </text>
    </comment>
    <comment ref="AP22" authorId="0" shapeId="0" xr:uid="{BA6773C9-A22A-41A8-8061-B1964ACF112F}">
      <text>
        <r>
          <rPr>
            <b/>
            <sz val="9"/>
            <color indexed="81"/>
            <rFont val="Tahoma"/>
            <family val="2"/>
          </rPr>
          <t>29/04/2022</t>
        </r>
      </text>
    </comment>
    <comment ref="DI22" authorId="0" shapeId="0" xr:uid="{426DFA92-B48C-41E1-9794-8A013AAF0E8E}">
      <text>
        <r>
          <rPr>
            <b/>
            <sz val="9"/>
            <color indexed="81"/>
            <rFont val="Tahoma"/>
            <family val="2"/>
          </rPr>
          <t>30/04/2022</t>
        </r>
      </text>
    </comment>
    <comment ref="DN22" authorId="0" shapeId="0" xr:uid="{2CB1AA85-5BC2-4AA6-BB6F-47F1A1FD986A}">
      <text>
        <r>
          <rPr>
            <b/>
            <sz val="9"/>
            <color indexed="81"/>
            <rFont val="Tahoma"/>
            <family val="2"/>
          </rPr>
          <t>27/04/2022</t>
        </r>
      </text>
    </comment>
    <comment ref="EY22" authorId="0" shapeId="0" xr:uid="{22A729F1-C4DD-4E5C-A6AA-E98D6A819AC8}">
      <text>
        <r>
          <rPr>
            <b/>
            <sz val="9"/>
            <color indexed="81"/>
            <rFont val="Tahoma"/>
            <family val="2"/>
          </rPr>
          <t>10/03/2022</t>
        </r>
      </text>
    </comment>
    <comment ref="FI22" authorId="0" shapeId="0" xr:uid="{D4D34B89-EC9B-44BF-A312-55363233B2AC}">
      <text>
        <r>
          <rPr>
            <b/>
            <sz val="9"/>
            <color indexed="81"/>
            <rFont val="Tahoma"/>
            <family val="2"/>
          </rPr>
          <t>11/03/2022</t>
        </r>
      </text>
    </comment>
    <comment ref="AZ23" authorId="0" shapeId="0" xr:uid="{544C4262-05CD-4910-A48F-BA2B7BF783D3}">
      <text>
        <r>
          <rPr>
            <b/>
            <sz val="9"/>
            <color indexed="81"/>
            <rFont val="Tahoma"/>
            <family val="2"/>
          </rPr>
          <t>24/01/2022</t>
        </r>
      </text>
    </comment>
    <comment ref="BJ23" authorId="0" shapeId="0" xr:uid="{D1AF7A20-5306-435A-AB2B-7FE9675949CE}">
      <text>
        <r>
          <rPr>
            <b/>
            <sz val="9"/>
            <color indexed="81"/>
            <rFont val="Tahoma"/>
            <family val="2"/>
          </rPr>
          <t>13/06/2022</t>
        </r>
      </text>
    </comment>
    <comment ref="BY23" authorId="0" shapeId="0" xr:uid="{10DB9E26-BFE8-4CE9-89FC-6BB08DF4A172}">
      <text>
        <r>
          <rPr>
            <b/>
            <sz val="9"/>
            <color indexed="81"/>
            <rFont val="Tahoma"/>
            <family val="2"/>
          </rPr>
          <t>21/02/2022</t>
        </r>
      </text>
    </comment>
    <comment ref="CO23" authorId="0" shapeId="0" xr:uid="{3E76E208-F9A4-4FE1-B729-FB3593095750}">
      <text>
        <r>
          <rPr>
            <b/>
            <sz val="9"/>
            <color indexed="81"/>
            <rFont val="Tahoma"/>
            <family val="2"/>
          </rPr>
          <t>27/01/2022</t>
        </r>
      </text>
    </comment>
    <comment ref="DD23" authorId="0" shapeId="0" xr:uid="{01C0A5DA-FAEF-4B15-A5F4-73E29A2B67F6}">
      <text>
        <r>
          <rPr>
            <b/>
            <sz val="9"/>
            <color indexed="81"/>
            <rFont val="Tahoma"/>
            <family val="2"/>
          </rPr>
          <t>19/01/2022</t>
        </r>
      </text>
    </comment>
    <comment ref="DI23" authorId="0" shapeId="0" xr:uid="{66362A1A-AE3F-4DD0-9D05-D1A13FDBE1DE}">
      <text>
        <r>
          <rPr>
            <b/>
            <sz val="9"/>
            <color indexed="81"/>
            <rFont val="Tahoma"/>
            <family val="2"/>
          </rPr>
          <t>20/01/2022</t>
        </r>
      </text>
    </comment>
    <comment ref="DS23" authorId="0" shapeId="0" xr:uid="{7A8C090D-5B40-4301-93C3-D8E3BA1DCCDB}">
      <text>
        <r>
          <rPr>
            <b/>
            <sz val="9"/>
            <color indexed="81"/>
            <rFont val="Tahoma"/>
            <family val="2"/>
          </rPr>
          <t>20/01/2022</t>
        </r>
      </text>
    </comment>
    <comment ref="EH23" authorId="0" shapeId="0" xr:uid="{61079572-7B78-4B13-92F8-056378F2DE4B}">
      <text>
        <r>
          <rPr>
            <b/>
            <sz val="9"/>
            <color indexed="81"/>
            <rFont val="Tahoma"/>
            <family val="2"/>
          </rPr>
          <t>21/01/2022</t>
        </r>
      </text>
    </comment>
    <comment ref="FS23" authorId="0" shapeId="0" xr:uid="{2B759477-EE30-4AF9-A64B-4D3191FAD965}">
      <text>
        <r>
          <rPr>
            <b/>
            <sz val="9"/>
            <color indexed="81"/>
            <rFont val="Tahoma"/>
            <family val="2"/>
          </rPr>
          <t>18/01/2022</t>
        </r>
      </text>
    </comment>
    <comment ref="GM23" authorId="0" shapeId="0" xr:uid="{7240D544-6BB0-46D9-A2FC-81DC2A88F6DD}">
      <text>
        <r>
          <rPr>
            <b/>
            <sz val="9"/>
            <color indexed="81"/>
            <rFont val="Tahoma"/>
            <family val="2"/>
          </rPr>
          <t>10/01/2022</t>
        </r>
      </text>
    </comment>
    <comment ref="E25" authorId="0" shapeId="0" xr:uid="{4AC21B02-9894-4B06-B393-6FEB2ADB6D09}">
      <text>
        <r>
          <rPr>
            <b/>
            <sz val="9"/>
            <color indexed="81"/>
            <rFont val="Tahoma"/>
            <family val="2"/>
          </rPr>
          <t>08/02/2024 y 09/02/2024</t>
        </r>
      </text>
    </comment>
    <comment ref="AP25" authorId="0" shapeId="0" xr:uid="{95ADCD98-1A9D-4E15-81CE-9F7EF85251D0}">
      <text>
        <r>
          <rPr>
            <b/>
            <sz val="9"/>
            <color indexed="81"/>
            <rFont val="Tahoma"/>
            <family val="2"/>
          </rPr>
          <t>10/03/2022</t>
        </r>
      </text>
    </comment>
    <comment ref="BE25" authorId="0" shapeId="0" xr:uid="{21C4A685-5900-4FBA-A5DA-B06FAE6FC161}">
      <text>
        <r>
          <rPr>
            <b/>
            <sz val="9"/>
            <color indexed="81"/>
            <rFont val="Tahoma"/>
            <family val="2"/>
          </rPr>
          <t>06/05/2022</t>
        </r>
      </text>
    </comment>
    <comment ref="GM25" authorId="0" shapeId="0" xr:uid="{738EDCF8-16BA-424C-B51E-62BA66D0083C}">
      <text>
        <r>
          <rPr>
            <b/>
            <sz val="9"/>
            <color indexed="81"/>
            <rFont val="Tahoma"/>
            <family val="2"/>
          </rPr>
          <t>08/01/2022</t>
        </r>
      </text>
    </comment>
    <comment ref="EH26" authorId="1" shapeId="0" xr:uid="{90E6EEB5-C52D-497F-841F-5F99C6C74607}">
      <text>
        <r>
          <rPr>
            <b/>
            <sz val="9"/>
            <color indexed="81"/>
            <rFont val="Tahoma"/>
            <family val="2"/>
          </rPr>
          <t>Candelaria Yesenia Balcazar Hernandez:</t>
        </r>
        <r>
          <rPr>
            <sz val="9"/>
            <color indexed="81"/>
            <rFont val="Tahoma"/>
            <family val="2"/>
          </rPr>
          <t xml:space="preserve">
03/01/2023</t>
        </r>
      </text>
    </comment>
    <comment ref="E27" authorId="0" shapeId="0" xr:uid="{E76042FF-70F8-4F86-BAB8-91760D8CFC5C}">
      <text>
        <r>
          <rPr>
            <b/>
            <sz val="9"/>
            <color indexed="81"/>
            <rFont val="Tahoma"/>
            <family val="2"/>
          </rPr>
          <t>08/02/2024 y 09/02/2024</t>
        </r>
      </text>
    </comment>
    <comment ref="U27" authorId="0" shapeId="0" xr:uid="{7848D267-42F8-492F-B645-B147332E5ECB}">
      <text>
        <r>
          <rPr>
            <b/>
            <sz val="9"/>
            <color indexed="81"/>
            <rFont val="Tahoma"/>
            <family val="2"/>
          </rPr>
          <t>14/05/2021</t>
        </r>
      </text>
    </comment>
    <comment ref="DI27" authorId="0" shapeId="0" xr:uid="{9C44B856-3011-45D3-AE13-989005718A40}">
      <text>
        <r>
          <rPr>
            <b/>
            <sz val="9"/>
            <color indexed="81"/>
            <rFont val="Tahoma"/>
            <family val="2"/>
          </rPr>
          <t>02/04/2022</t>
        </r>
      </text>
    </comment>
    <comment ref="EY27" authorId="0" shapeId="0" xr:uid="{3670EB2A-2582-43E9-A581-50873E91AB75}">
      <text>
        <r>
          <rPr>
            <b/>
            <sz val="9"/>
            <color indexed="81"/>
            <rFont val="Tahoma"/>
            <family val="2"/>
          </rPr>
          <t>03/03/2022</t>
        </r>
      </text>
    </comment>
    <comment ref="FI27" authorId="0" shapeId="0" xr:uid="{219D9F57-DCFA-4EE7-96A6-0BFE533EBBDD}">
      <text>
        <r>
          <rPr>
            <b/>
            <sz val="9"/>
            <color indexed="81"/>
            <rFont val="Tahoma"/>
            <family val="2"/>
          </rPr>
          <t>04/03/2022</t>
        </r>
      </text>
    </comment>
    <comment ref="E28" authorId="0" shapeId="0" xr:uid="{472F3A9A-BED6-4A8E-9542-DC132E6D906F}">
      <text>
        <r>
          <rPr>
            <b/>
            <sz val="9"/>
            <color indexed="81"/>
            <rFont val="Tahoma"/>
            <family val="2"/>
          </rPr>
          <t>06/02/2024 y 07/02/2024</t>
        </r>
      </text>
    </comment>
    <comment ref="AK29" authorId="0" shapeId="0" xr:uid="{3E2F7658-5E1C-4AEB-AC6A-DAA0CD2C3C2A}">
      <text>
        <r>
          <rPr>
            <b/>
            <sz val="9"/>
            <color indexed="81"/>
            <rFont val="Tahoma"/>
            <family val="2"/>
          </rPr>
          <t>02/02/2022</t>
        </r>
      </text>
    </comment>
    <comment ref="AP29" authorId="0" shapeId="0" xr:uid="{62BB02FF-DA11-40F6-9C59-A6F98C2CFBD0}">
      <text>
        <r>
          <rPr>
            <b/>
            <sz val="9"/>
            <color indexed="81"/>
            <rFont val="Tahoma"/>
            <family val="2"/>
          </rPr>
          <t>13/05/2022</t>
        </r>
      </text>
    </comment>
    <comment ref="AU29" authorId="0" shapeId="0" xr:uid="{2A65FF5D-FF78-44B8-A355-C2B8DECDF91A}">
      <text>
        <r>
          <rPr>
            <b/>
            <sz val="9"/>
            <color indexed="81"/>
            <rFont val="Tahoma"/>
            <family val="2"/>
          </rPr>
          <t>13/05/2022</t>
        </r>
      </text>
    </comment>
    <comment ref="AZ29" authorId="0" shapeId="0" xr:uid="{52DC79E1-2A1F-4EBA-BDD4-F7D91AC1A540}">
      <text>
        <r>
          <rPr>
            <b/>
            <sz val="9"/>
            <color indexed="81"/>
            <rFont val="Tahoma"/>
            <family val="2"/>
          </rPr>
          <t>20/06/2022</t>
        </r>
      </text>
    </comment>
    <comment ref="BE29" authorId="0" shapeId="0" xr:uid="{B9DE5A31-2182-46E6-9B5E-22EC8408B8D5}">
      <text>
        <r>
          <rPr>
            <b/>
            <sz val="9"/>
            <color indexed="81"/>
            <rFont val="Tahoma"/>
            <family val="2"/>
          </rPr>
          <t>22/06/2022</t>
        </r>
      </text>
    </comment>
    <comment ref="BJ29" authorId="0" shapeId="0" xr:uid="{BD31636A-322F-4272-BA4F-3E2EB0C305EC}">
      <text>
        <r>
          <rPr>
            <b/>
            <sz val="9"/>
            <color indexed="81"/>
            <rFont val="Tahoma"/>
            <family val="2"/>
          </rPr>
          <t>09/03/2022</t>
        </r>
      </text>
    </comment>
    <comment ref="BO29" authorId="0" shapeId="0" xr:uid="{E6C7301C-60EF-4C1C-9348-498C26915975}">
      <text>
        <r>
          <rPr>
            <b/>
            <sz val="9"/>
            <color indexed="81"/>
            <rFont val="Tahoma"/>
            <family val="2"/>
          </rPr>
          <t>09/03/2022</t>
        </r>
      </text>
    </comment>
    <comment ref="CO29" authorId="0" shapeId="0" xr:uid="{395022CD-A3B4-4E55-8940-FAB3E0C7A799}">
      <text>
        <r>
          <rPr>
            <b/>
            <sz val="9"/>
            <color indexed="81"/>
            <rFont val="Tahoma"/>
            <family val="2"/>
          </rPr>
          <t>01/03/2023</t>
        </r>
      </text>
    </comment>
    <comment ref="DI29" authorId="0" shapeId="0" xr:uid="{D7A71357-5850-438A-80C2-D0C46AB5BF89}">
      <text>
        <r>
          <rPr>
            <b/>
            <sz val="9"/>
            <color indexed="81"/>
            <rFont val="Tahoma"/>
            <family val="2"/>
          </rPr>
          <t xml:space="preserve">14/05/2022
</t>
        </r>
      </text>
    </comment>
    <comment ref="DN29" authorId="0" shapeId="0" xr:uid="{B51452D2-DBFB-4F9C-90C3-A0306B3EAEE6}">
      <text>
        <r>
          <rPr>
            <b/>
            <sz val="9"/>
            <color indexed="81"/>
            <rFont val="Tahoma"/>
            <family val="2"/>
          </rPr>
          <t>10/05/2022</t>
        </r>
      </text>
    </comment>
    <comment ref="DX29" authorId="0" shapeId="0" xr:uid="{69AAD284-91AF-48EB-BC85-5CABEEB6FBE0}">
      <text>
        <r>
          <rPr>
            <b/>
            <sz val="9"/>
            <color indexed="81"/>
            <rFont val="Tahoma"/>
            <family val="2"/>
          </rPr>
          <t>10/03/2022</t>
        </r>
      </text>
    </comment>
    <comment ref="EC29" authorId="0" shapeId="0" xr:uid="{EB331D82-BD44-4A24-9BC3-E39C6C997A20}">
      <text>
        <r>
          <rPr>
            <b/>
            <sz val="9"/>
            <color indexed="81"/>
            <rFont val="Tahoma"/>
            <family val="2"/>
          </rPr>
          <t>10/03/2022</t>
        </r>
      </text>
    </comment>
    <comment ref="FI29" authorId="0" shapeId="0" xr:uid="{9AF269DD-D901-49BB-BFB7-5598514A99E3}">
      <text>
        <r>
          <rPr>
            <b/>
            <sz val="9"/>
            <color indexed="81"/>
            <rFont val="Tahoma"/>
            <family val="2"/>
          </rPr>
          <t>04/02/2022</t>
        </r>
      </text>
    </comment>
    <comment ref="GC29" authorId="0" shapeId="0" xr:uid="{BDB66374-54FD-4D67-91C1-A557F6ABC9B7}">
      <text>
        <r>
          <rPr>
            <b/>
            <sz val="9"/>
            <color indexed="81"/>
            <rFont val="Tahoma"/>
            <family val="2"/>
          </rPr>
          <t>23/06/2022</t>
        </r>
      </text>
    </comment>
    <comment ref="AF30" authorId="0" shapeId="0" xr:uid="{E0C6B8EB-6EEB-4BBC-8FFB-534509522C98}">
      <text>
        <r>
          <rPr>
            <b/>
            <sz val="9"/>
            <color indexed="81"/>
            <rFont val="Tahoma"/>
            <family val="2"/>
          </rPr>
          <t>15/03/2022</t>
        </r>
      </text>
    </comment>
    <comment ref="AP30" authorId="0" shapeId="0" xr:uid="{1E1F145B-2EE0-47AB-9431-6C93A3AE4C86}">
      <text>
        <r>
          <rPr>
            <b/>
            <sz val="9"/>
            <color indexed="81"/>
            <rFont val="Tahoma"/>
            <family val="2"/>
          </rPr>
          <t>21/01/2022</t>
        </r>
      </text>
    </comment>
    <comment ref="CO30" authorId="0" shapeId="0" xr:uid="{D8E8C386-C542-4C95-9D4F-DE3BD7A22761}">
      <text>
        <r>
          <rPr>
            <b/>
            <sz val="9"/>
            <color indexed="81"/>
            <rFont val="Tahoma"/>
            <family val="2"/>
          </rPr>
          <t>27/01/2022</t>
        </r>
      </text>
    </comment>
    <comment ref="DI30" authorId="0" shapeId="0" xr:uid="{9C3BBD80-846A-4652-9BF6-714F293A2A88}">
      <text>
        <r>
          <rPr>
            <b/>
            <sz val="9"/>
            <color indexed="81"/>
            <rFont val="Tahoma"/>
            <family val="2"/>
          </rPr>
          <t>20/01/2022</t>
        </r>
      </text>
    </comment>
    <comment ref="DS30" authorId="0" shapeId="0" xr:uid="{0011909D-FAB7-4C4B-AD96-3AE3A9F9F1F0}">
      <text>
        <r>
          <rPr>
            <b/>
            <sz val="9"/>
            <color indexed="81"/>
            <rFont val="Tahoma"/>
            <family val="2"/>
          </rPr>
          <t>20/01/2022</t>
        </r>
      </text>
    </comment>
    <comment ref="EH30" authorId="0" shapeId="0" xr:uid="{0AF862C2-3507-4C2A-B0C7-B1E9160D3683}">
      <text>
        <r>
          <rPr>
            <b/>
            <sz val="9"/>
            <color indexed="81"/>
            <rFont val="Tahoma"/>
            <family val="2"/>
          </rPr>
          <t>21/01/2022</t>
        </r>
      </text>
    </comment>
    <comment ref="FN30" authorId="0" shapeId="0" xr:uid="{F0E7941F-D4C6-4EA7-A9ED-EACEE87BBC88}">
      <text>
        <r>
          <rPr>
            <b/>
            <sz val="9"/>
            <color indexed="81"/>
            <rFont val="Tahoma"/>
            <family val="2"/>
          </rPr>
          <t>06/01/2022</t>
        </r>
      </text>
    </comment>
    <comment ref="J31" authorId="0" shapeId="0" xr:uid="{C506A827-DB0F-43DC-B6CB-6B001D3F03D0}">
      <text>
        <r>
          <rPr>
            <sz val="9"/>
            <color indexed="81"/>
            <rFont val="Tahoma"/>
            <family val="2"/>
          </rPr>
          <t>1ra - 24/01/2023
2da - 09/03/2023
3ra - 09/09/2023
4ta - 09/03/2024
5ta - 09/09/2024
6ta - 09/03/2025
7ta - 09/09/2025
8va - 09/03/2026</t>
        </r>
      </text>
    </comment>
    <comment ref="AF31" authorId="0" shapeId="0" xr:uid="{FB41378A-EE45-4FF0-8F34-61F1F7387CEC}">
      <text>
        <r>
          <rPr>
            <b/>
            <sz val="9"/>
            <color indexed="81"/>
            <rFont val="Tahoma"/>
            <family val="2"/>
          </rPr>
          <t>26/07/2022</t>
        </r>
      </text>
    </comment>
    <comment ref="AZ31" authorId="0" shapeId="0" xr:uid="{76A1AD56-449B-4E3F-9611-E507237D6F68}">
      <text>
        <r>
          <rPr>
            <b/>
            <sz val="9"/>
            <color indexed="81"/>
            <rFont val="Tahoma"/>
            <family val="2"/>
          </rPr>
          <t>29/08/2022</t>
        </r>
      </text>
    </comment>
    <comment ref="BE31" authorId="0" shapeId="0" xr:uid="{DBBFFF24-B78D-4637-9A82-3CB5AF757921}">
      <text>
        <r>
          <rPr>
            <b/>
            <sz val="9"/>
            <color indexed="81"/>
            <rFont val="Tahoma"/>
            <family val="2"/>
          </rPr>
          <t>19/08/2022</t>
        </r>
      </text>
    </comment>
    <comment ref="CT31" authorId="0" shapeId="0" xr:uid="{BE8E94CD-0D94-40FE-AFAC-B8DF7C731C08}">
      <text>
        <r>
          <rPr>
            <b/>
            <sz val="9"/>
            <color indexed="81"/>
            <rFont val="Tahoma"/>
            <family val="2"/>
          </rPr>
          <t>26/08/2022</t>
        </r>
      </text>
    </comment>
    <comment ref="CY31" authorId="0" shapeId="0" xr:uid="{B9D76E24-FA98-4A25-9456-3BFD489FE7FB}">
      <text>
        <r>
          <rPr>
            <b/>
            <sz val="9"/>
            <color indexed="81"/>
            <rFont val="Tahoma"/>
            <family val="2"/>
          </rPr>
          <t>25/08/2022</t>
        </r>
      </text>
    </comment>
    <comment ref="DX31" authorId="0" shapeId="0" xr:uid="{452F772D-FD8D-4FF6-A85C-FE736E1DF5E1}">
      <text>
        <r>
          <rPr>
            <b/>
            <sz val="9"/>
            <color indexed="81"/>
            <rFont val="Tahoma"/>
            <family val="2"/>
          </rPr>
          <t>25/08/2022</t>
        </r>
      </text>
    </comment>
    <comment ref="EC31" authorId="0" shapeId="0" xr:uid="{12429F77-D787-47C5-9931-6B2EE83276A5}">
      <text>
        <r>
          <rPr>
            <b/>
            <sz val="9"/>
            <color indexed="81"/>
            <rFont val="Tahoma"/>
            <family val="2"/>
          </rPr>
          <t>22/08/2022</t>
        </r>
      </text>
    </comment>
    <comment ref="GH31" authorId="0" shapeId="0" xr:uid="{EFE2847F-3B43-4B58-9C16-48D7D5EE77C9}">
      <text>
        <r>
          <rPr>
            <b/>
            <sz val="9"/>
            <color indexed="81"/>
            <rFont val="Tahoma"/>
            <family val="2"/>
          </rPr>
          <t>21/07/2022</t>
        </r>
      </text>
    </comment>
    <comment ref="U32" authorId="0" shapeId="0" xr:uid="{254CC56E-3ECF-4BA1-A9C5-199E722ED338}">
      <text>
        <r>
          <rPr>
            <b/>
            <sz val="9"/>
            <color indexed="81"/>
            <rFont val="Tahoma"/>
            <family val="2"/>
          </rPr>
          <t>Christian Sánchez:</t>
        </r>
        <r>
          <rPr>
            <sz val="9"/>
            <color indexed="81"/>
            <rFont val="Tahoma"/>
            <family val="2"/>
          </rPr>
          <t xml:space="preserve">
ANTERIOR 26 OCT 2018</t>
        </r>
      </text>
    </comment>
    <comment ref="AK32" authorId="0" shapeId="0" xr:uid="{4270E075-4D02-4908-8250-8C77C935BD31}">
      <text>
        <r>
          <rPr>
            <b/>
            <sz val="9"/>
            <color indexed="81"/>
            <rFont val="Tahoma"/>
            <family val="2"/>
          </rPr>
          <t>23/03/2022</t>
        </r>
      </text>
    </comment>
    <comment ref="AP32" authorId="1" shapeId="0" xr:uid="{1074D59C-227A-4090-A8A2-AAB73E896113}">
      <text>
        <r>
          <rPr>
            <b/>
            <sz val="9"/>
            <color indexed="81"/>
            <rFont val="Tahoma"/>
            <family val="2"/>
          </rPr>
          <t>Candelaria Yesenia Balcazar Hernandez:</t>
        </r>
        <r>
          <rPr>
            <sz val="9"/>
            <color indexed="81"/>
            <rFont val="Tahoma"/>
            <family val="2"/>
          </rPr>
          <t xml:space="preserve">
23/06/2021</t>
        </r>
      </text>
    </comment>
    <comment ref="AZ32" authorId="1" shapeId="0" xr:uid="{334BD6F5-E110-47FB-A9A3-3AABA3C21750}">
      <text>
        <r>
          <rPr>
            <b/>
            <sz val="9"/>
            <color indexed="81"/>
            <rFont val="Tahoma"/>
            <family val="2"/>
          </rPr>
          <t>Candelaria Yesenia Balcazar Hernandez:</t>
        </r>
        <r>
          <rPr>
            <sz val="9"/>
            <color indexed="81"/>
            <rFont val="Tahoma"/>
            <family val="2"/>
          </rPr>
          <t xml:space="preserve">
06/07/2021
</t>
        </r>
      </text>
    </comment>
    <comment ref="BE32" authorId="0" shapeId="0" xr:uid="{5C7CB593-6415-45D4-A506-963BB7CD6493}">
      <text>
        <r>
          <rPr>
            <b/>
            <sz val="9"/>
            <color indexed="81"/>
            <rFont val="Tahoma"/>
            <family val="2"/>
          </rPr>
          <t>03/05/2022</t>
        </r>
      </text>
    </comment>
    <comment ref="BT32" authorId="1" shapeId="0" xr:uid="{3C066240-70DC-43C4-A7DA-B85096084FC7}">
      <text>
        <r>
          <rPr>
            <b/>
            <sz val="9"/>
            <color indexed="81"/>
            <rFont val="Tahoma"/>
            <family val="2"/>
          </rPr>
          <t>Candelaria Yesenia Balcazar Hernandez:</t>
        </r>
        <r>
          <rPr>
            <sz val="9"/>
            <color indexed="81"/>
            <rFont val="Tahoma"/>
            <family val="2"/>
          </rPr>
          <t xml:space="preserve">
01/07/2021
</t>
        </r>
      </text>
    </comment>
    <comment ref="BY32" authorId="0" shapeId="0" xr:uid="{37C43478-F2B5-4E21-8168-2B2C22F99709}">
      <text>
        <r>
          <rPr>
            <b/>
            <sz val="9"/>
            <color indexed="81"/>
            <rFont val="Tahoma"/>
            <family val="2"/>
          </rPr>
          <t>23/03/2022</t>
        </r>
      </text>
    </comment>
    <comment ref="CO32" authorId="1" shapeId="0" xr:uid="{F8929A8A-8B3D-4AD9-97DC-70DF65C31FB5}">
      <text>
        <r>
          <rPr>
            <b/>
            <sz val="9"/>
            <color indexed="81"/>
            <rFont val="Tahoma"/>
            <family val="2"/>
          </rPr>
          <t>Candelaria Yesenia Balcazar Hernandez:</t>
        </r>
        <r>
          <rPr>
            <sz val="9"/>
            <color indexed="81"/>
            <rFont val="Tahoma"/>
            <family val="2"/>
          </rPr>
          <t xml:space="preserve">
18/06/2021
</t>
        </r>
      </text>
    </comment>
    <comment ref="DD32" authorId="1" shapeId="0" xr:uid="{CB7199D6-FB2E-44FC-A5CF-C637DE798444}">
      <text>
        <r>
          <rPr>
            <b/>
            <sz val="9"/>
            <color indexed="81"/>
            <rFont val="Tahoma"/>
            <family val="2"/>
          </rPr>
          <t>Candelaria Yesenia Balcazar Hernandez:</t>
        </r>
        <r>
          <rPr>
            <sz val="9"/>
            <color indexed="81"/>
            <rFont val="Tahoma"/>
            <family val="2"/>
          </rPr>
          <t xml:space="preserve">
22/06/2021</t>
        </r>
      </text>
    </comment>
    <comment ref="DI32" authorId="1" shapeId="0" xr:uid="{E8186DAC-BD6E-45AC-A436-7D62722EC4D0}">
      <text>
        <r>
          <rPr>
            <b/>
            <sz val="9"/>
            <color indexed="81"/>
            <rFont val="Tahoma"/>
            <family val="2"/>
          </rPr>
          <t>Candelaria Yesenia Balcazar Hernandez:</t>
        </r>
        <r>
          <rPr>
            <sz val="9"/>
            <color indexed="81"/>
            <rFont val="Tahoma"/>
            <family val="2"/>
          </rPr>
          <t xml:space="preserve">
22/06/2021</t>
        </r>
      </text>
    </comment>
    <comment ref="DN32" authorId="0" shapeId="0" xr:uid="{8E279DDE-6870-4634-9434-61DEC94C6364}">
      <text>
        <r>
          <rPr>
            <b/>
            <sz val="9"/>
            <color indexed="81"/>
            <rFont val="Tahoma"/>
            <family val="2"/>
          </rPr>
          <t>21/02/2022</t>
        </r>
      </text>
    </comment>
    <comment ref="DS32" authorId="1" shapeId="0" xr:uid="{D956430A-FF86-4A93-BCF6-E17F8AB15651}">
      <text>
        <r>
          <rPr>
            <b/>
            <sz val="9"/>
            <color indexed="81"/>
            <rFont val="Tahoma"/>
            <family val="2"/>
          </rPr>
          <t>Candelaria Yesenia Balcazar Hernandez:</t>
        </r>
        <r>
          <rPr>
            <sz val="9"/>
            <color indexed="81"/>
            <rFont val="Tahoma"/>
            <family val="2"/>
          </rPr>
          <t xml:space="preserve">
23/06/2021
</t>
        </r>
      </text>
    </comment>
    <comment ref="EC32" authorId="1" shapeId="0" xr:uid="{73190CDE-98AD-4074-B186-AD6C0D31E7A3}">
      <text>
        <r>
          <rPr>
            <b/>
            <sz val="9"/>
            <color indexed="81"/>
            <rFont val="Tahoma"/>
            <family val="2"/>
          </rPr>
          <t>Candelaria Yesenia Balcazar Hernandez:</t>
        </r>
        <r>
          <rPr>
            <sz val="9"/>
            <color indexed="81"/>
            <rFont val="Tahoma"/>
            <family val="2"/>
          </rPr>
          <t xml:space="preserve">
10/07/2021</t>
        </r>
      </text>
    </comment>
    <comment ref="EO32" authorId="1" shapeId="0" xr:uid="{651A8EC4-F42B-401B-A774-494EE7E3C049}">
      <text>
        <r>
          <rPr>
            <b/>
            <sz val="9"/>
            <color indexed="81"/>
            <rFont val="Tahoma"/>
            <family val="2"/>
          </rPr>
          <t>Candelaria Yesenia Balcazar Hernandez:</t>
        </r>
        <r>
          <rPr>
            <sz val="9"/>
            <color indexed="81"/>
            <rFont val="Tahoma"/>
            <family val="2"/>
          </rPr>
          <t xml:space="preserve">
10/07/2021
</t>
        </r>
      </text>
    </comment>
    <comment ref="ET32" authorId="1" shapeId="0" xr:uid="{5CD00949-33CA-45AC-90CA-6FC7F38B0DE4}">
      <text>
        <r>
          <rPr>
            <b/>
            <sz val="9"/>
            <color indexed="81"/>
            <rFont val="Tahoma"/>
            <family val="2"/>
          </rPr>
          <t>Candelaria Yesenia Balcazar Hernandez:</t>
        </r>
        <r>
          <rPr>
            <sz val="9"/>
            <color indexed="81"/>
            <rFont val="Tahoma"/>
            <family val="2"/>
          </rPr>
          <t xml:space="preserve">
02/07/2021</t>
        </r>
      </text>
    </comment>
    <comment ref="EY32" authorId="0" shapeId="0" xr:uid="{4A665746-11E3-42A5-8A50-264E605057C3}">
      <text>
        <r>
          <rPr>
            <b/>
            <sz val="9"/>
            <color indexed="81"/>
            <rFont val="Tahoma"/>
            <family val="2"/>
          </rPr>
          <t>24/03/2022</t>
        </r>
      </text>
    </comment>
    <comment ref="FI32" authorId="0" shapeId="0" xr:uid="{31D92A94-1D56-4ADD-A585-10F92E19D7CC}">
      <text>
        <r>
          <rPr>
            <b/>
            <sz val="9"/>
            <color indexed="81"/>
            <rFont val="Tahoma"/>
            <family val="2"/>
          </rPr>
          <t>25/03/2022</t>
        </r>
      </text>
    </comment>
    <comment ref="FN32" authorId="1" shapeId="0" xr:uid="{0083AFE0-9B43-4103-99D7-DDAE3DCC4CA6}">
      <text>
        <r>
          <rPr>
            <b/>
            <sz val="9"/>
            <color indexed="81"/>
            <rFont val="Tahoma"/>
            <family val="2"/>
          </rPr>
          <t>Candelaria Yesenia Balcazar Hernandez:</t>
        </r>
        <r>
          <rPr>
            <sz val="9"/>
            <color indexed="81"/>
            <rFont val="Tahoma"/>
            <family val="2"/>
          </rPr>
          <t xml:space="preserve">
28/06/2021
</t>
        </r>
      </text>
    </comment>
    <comment ref="GH32" authorId="1" shapeId="0" xr:uid="{DA3BF55E-E666-4C9C-9AF0-0AF983EA9FAD}">
      <text>
        <r>
          <rPr>
            <b/>
            <sz val="9"/>
            <color indexed="81"/>
            <rFont val="Tahoma"/>
            <family val="2"/>
          </rPr>
          <t>Candelaria Yesenia Balcazar Hernandez:</t>
        </r>
        <r>
          <rPr>
            <sz val="9"/>
            <color indexed="81"/>
            <rFont val="Tahoma"/>
            <family val="2"/>
          </rPr>
          <t xml:space="preserve">
27/06/2021</t>
        </r>
      </text>
    </comment>
    <comment ref="GM32" authorId="0" shapeId="0" xr:uid="{FCF15228-04D2-41CC-A65D-4CAE7EFE2646}">
      <text>
        <r>
          <rPr>
            <b/>
            <sz val="9"/>
            <color indexed="81"/>
            <rFont val="Tahoma"/>
            <family val="2"/>
          </rPr>
          <t>04/01/2022</t>
        </r>
      </text>
    </comment>
    <comment ref="AK33" authorId="0" shapeId="0" xr:uid="{978E7099-B2B2-47B6-9B6F-FABBD83B9D75}">
      <text>
        <r>
          <rPr>
            <b/>
            <sz val="9"/>
            <color indexed="81"/>
            <rFont val="Tahoma"/>
            <family val="2"/>
          </rPr>
          <t>02/02/2022</t>
        </r>
      </text>
    </comment>
    <comment ref="AP33" authorId="0" shapeId="0" xr:uid="{C18017D1-87F5-4078-81E2-C648D4E7E2EC}">
      <text>
        <r>
          <rPr>
            <b/>
            <sz val="9"/>
            <color indexed="81"/>
            <rFont val="Tahoma"/>
            <family val="2"/>
          </rPr>
          <t>21/01/2022</t>
        </r>
      </text>
    </comment>
    <comment ref="AU33" authorId="0" shapeId="0" xr:uid="{0CC95CE4-61DB-4434-874F-913441578768}">
      <text>
        <r>
          <rPr>
            <b/>
            <sz val="9"/>
            <color indexed="81"/>
            <rFont val="Tahoma"/>
            <family val="2"/>
          </rPr>
          <t>17/01/2022</t>
        </r>
      </text>
    </comment>
    <comment ref="AZ33" authorId="0" shapeId="0" xr:uid="{93E15A80-FD7C-4892-AEBB-7B3125E73109}">
      <text>
        <r>
          <rPr>
            <b/>
            <sz val="9"/>
            <color indexed="81"/>
            <rFont val="Tahoma"/>
            <family val="2"/>
          </rPr>
          <t>24/01/2022</t>
        </r>
      </text>
    </comment>
    <comment ref="CJ33" authorId="0" shapeId="0" xr:uid="{7FC0DAAF-62D1-4E3F-8504-D049317FB58C}">
      <text>
        <r>
          <rPr>
            <b/>
            <sz val="9"/>
            <color indexed="81"/>
            <rFont val="Tahoma"/>
            <family val="2"/>
          </rPr>
          <t>27/01/2022</t>
        </r>
      </text>
    </comment>
    <comment ref="CO33" authorId="0" shapeId="0" xr:uid="{A04DB0EC-E010-49D9-B58E-37EA6D0DE105}">
      <text>
        <r>
          <rPr>
            <b/>
            <sz val="9"/>
            <color indexed="81"/>
            <rFont val="Tahoma"/>
            <family val="2"/>
          </rPr>
          <t>27/01/2022</t>
        </r>
      </text>
    </comment>
    <comment ref="DI33" authorId="0" shapeId="0" xr:uid="{F7C7D059-287B-4215-A174-F83BB7C4AEAB}">
      <text>
        <r>
          <rPr>
            <b/>
            <sz val="9"/>
            <color indexed="81"/>
            <rFont val="Tahoma"/>
            <family val="2"/>
          </rPr>
          <t>20/01/2022</t>
        </r>
      </text>
    </comment>
    <comment ref="DN33" authorId="0" shapeId="0" xr:uid="{D3D0C0E3-7069-4043-A3ED-5A87916D9AFB}">
      <text>
        <r>
          <rPr>
            <b/>
            <sz val="9"/>
            <color indexed="81"/>
            <rFont val="Tahoma"/>
            <family val="2"/>
          </rPr>
          <t>16/05/2022</t>
        </r>
      </text>
    </comment>
    <comment ref="DS33" authorId="0" shapeId="0" xr:uid="{1A6386B9-7AF1-4026-8563-CAF41524655A}">
      <text>
        <r>
          <rPr>
            <b/>
            <sz val="9"/>
            <color indexed="81"/>
            <rFont val="Tahoma"/>
            <family val="2"/>
          </rPr>
          <t>20/01/2022</t>
        </r>
      </text>
    </comment>
    <comment ref="DX33" authorId="0" shapeId="0" xr:uid="{DA3C0375-6916-480A-AD37-06B7D2649E96}">
      <text>
        <r>
          <rPr>
            <b/>
            <sz val="9"/>
            <color indexed="81"/>
            <rFont val="Tahoma"/>
            <family val="2"/>
          </rPr>
          <t>11/01/2022</t>
        </r>
      </text>
    </comment>
    <comment ref="EC33" authorId="0" shapeId="0" xr:uid="{2B413168-EEF9-40EC-9F7F-C89F5672D38C}">
      <text>
        <r>
          <rPr>
            <b/>
            <sz val="9"/>
            <color indexed="81"/>
            <rFont val="Tahoma"/>
            <family val="2"/>
          </rPr>
          <t>11/01/2022</t>
        </r>
      </text>
    </comment>
    <comment ref="FD33" authorId="0" shapeId="0" xr:uid="{A262203C-4FB8-438C-B63F-5223228080A3}">
      <text>
        <r>
          <rPr>
            <b/>
            <sz val="9"/>
            <color indexed="81"/>
            <rFont val="Tahoma"/>
            <family val="2"/>
          </rPr>
          <t>03/02/2022</t>
        </r>
      </text>
    </comment>
    <comment ref="FI33" authorId="0" shapeId="0" xr:uid="{7BBC072B-16E7-44D2-A2AC-425466D326C1}">
      <text>
        <r>
          <rPr>
            <b/>
            <sz val="9"/>
            <color indexed="81"/>
            <rFont val="Tahoma"/>
            <family val="2"/>
          </rPr>
          <t>04/02/2022</t>
        </r>
      </text>
    </comment>
    <comment ref="FS33" authorId="0" shapeId="0" xr:uid="{2E5237D6-9CF4-4148-AADE-2EB3ABD2AE56}">
      <text>
        <r>
          <rPr>
            <b/>
            <sz val="9"/>
            <color indexed="81"/>
            <rFont val="Tahoma"/>
            <family val="2"/>
          </rPr>
          <t>18/01/2022</t>
        </r>
      </text>
    </comment>
    <comment ref="GC33" authorId="0" shapeId="0" xr:uid="{004BC30E-D967-4F6A-9D24-BE2826E10561}">
      <text>
        <r>
          <rPr>
            <b/>
            <sz val="9"/>
            <color indexed="81"/>
            <rFont val="Tahoma"/>
            <family val="2"/>
          </rPr>
          <t>05/01/2022</t>
        </r>
      </text>
    </comment>
    <comment ref="GH33" authorId="0" shapeId="0" xr:uid="{D00A5613-533E-4B80-9F63-5E9530169741}">
      <text>
        <r>
          <rPr>
            <b/>
            <sz val="9"/>
            <color indexed="81"/>
            <rFont val="Tahoma"/>
            <family val="2"/>
          </rPr>
          <t>14/01/2022</t>
        </r>
      </text>
    </comment>
    <comment ref="GM33" authorId="0" shapeId="0" xr:uid="{7528CCC1-83CD-425A-A29C-1662C0C37391}">
      <text>
        <r>
          <rPr>
            <b/>
            <sz val="9"/>
            <color indexed="81"/>
            <rFont val="Tahoma"/>
            <family val="2"/>
          </rPr>
          <t>19/01/2022</t>
        </r>
      </text>
    </comment>
    <comment ref="EC34" authorId="0" shapeId="0" xr:uid="{615F62C9-66AE-4CCB-BFD8-6ACD1F0BD67E}">
      <text>
        <r>
          <rPr>
            <b/>
            <sz val="9"/>
            <color indexed="81"/>
            <rFont val="Tahoma"/>
            <family val="2"/>
          </rPr>
          <t xml:space="preserve">19/02/2024
</t>
        </r>
      </text>
    </comment>
    <comment ref="AK36" authorId="0" shapeId="0" xr:uid="{9F8382B5-9E18-486E-A51E-DC611000FA72}">
      <text>
        <r>
          <rPr>
            <b/>
            <sz val="9"/>
            <color indexed="81"/>
            <rFont val="Tahoma"/>
            <family val="2"/>
          </rPr>
          <t>20/09/2022</t>
        </r>
      </text>
    </comment>
    <comment ref="J37" authorId="0" shapeId="0" xr:uid="{15B2ABE3-1DAF-49F2-92E8-85F42D46C673}">
      <text>
        <r>
          <rPr>
            <sz val="9"/>
            <color indexed="81"/>
            <rFont val="Tahoma"/>
            <family val="2"/>
          </rPr>
          <t xml:space="preserve">1era - 26/07/2022 
2da - 15/03/2023
3ra - 15/09/2023
4ta - 15/03/2024
5ta - 15/09/2024
6ta - 15/03/2025
7ta - 15/09/2025
8va - 15/03/2026
</t>
        </r>
      </text>
    </comment>
    <comment ref="AU37" authorId="0" shapeId="0" xr:uid="{BD41C8BA-6F51-48AF-BA9D-375232348601}">
      <text>
        <r>
          <rPr>
            <b/>
            <sz val="9"/>
            <color indexed="81"/>
            <rFont val="Tahoma"/>
            <family val="2"/>
          </rPr>
          <t>20/04/2022</t>
        </r>
      </text>
    </comment>
    <comment ref="AZ37" authorId="0" shapeId="0" xr:uid="{AACA7FDF-4011-4417-AB06-2DDD29E03087}">
      <text>
        <r>
          <rPr>
            <b/>
            <sz val="9"/>
            <color indexed="81"/>
            <rFont val="Tahoma"/>
            <family val="2"/>
          </rPr>
          <t>16/08/2022</t>
        </r>
      </text>
    </comment>
    <comment ref="BE37" authorId="0" shapeId="0" xr:uid="{1A62D733-A41C-4753-9BE6-EAC547B84359}">
      <text>
        <r>
          <rPr>
            <b/>
            <sz val="9"/>
            <color indexed="81"/>
            <rFont val="Tahoma"/>
            <family val="2"/>
          </rPr>
          <t>16/08/2022</t>
        </r>
      </text>
    </comment>
    <comment ref="DI37" authorId="0" shapeId="0" xr:uid="{3F8802DD-9E30-432B-A5BC-2263615D8EB1}">
      <text>
        <r>
          <rPr>
            <b/>
            <sz val="9"/>
            <color indexed="81"/>
            <rFont val="Tahoma"/>
            <family val="2"/>
          </rPr>
          <t>22/03/2022</t>
        </r>
      </text>
    </comment>
    <comment ref="DN37" authorId="0" shapeId="0" xr:uid="{59E9CAFB-B834-4C73-BF59-2AF65CE0D3DF}">
      <text>
        <r>
          <rPr>
            <b/>
            <sz val="9"/>
            <color indexed="81"/>
            <rFont val="Tahoma"/>
            <family val="2"/>
          </rPr>
          <t>16/05/2022</t>
        </r>
      </text>
    </comment>
    <comment ref="DX37" authorId="0" shapeId="0" xr:uid="{5266B3F6-028F-46C3-9259-F1C7A567626F}">
      <text>
        <r>
          <rPr>
            <b/>
            <sz val="9"/>
            <color indexed="81"/>
            <rFont val="Tahoma"/>
            <family val="2"/>
          </rPr>
          <t>19/08/2022</t>
        </r>
      </text>
    </comment>
    <comment ref="EC37" authorId="0" shapeId="0" xr:uid="{32927296-2C41-4A74-BF56-184DDC7BBBAB}">
      <text>
        <r>
          <rPr>
            <b/>
            <sz val="9"/>
            <color indexed="81"/>
            <rFont val="Tahoma"/>
            <family val="2"/>
          </rPr>
          <t>07/07/2022</t>
        </r>
      </text>
    </comment>
    <comment ref="EY37" authorId="0" shapeId="0" xr:uid="{C0F30899-A069-4484-AA07-1B573BAF979E}">
      <text>
        <r>
          <rPr>
            <b/>
            <sz val="9"/>
            <color indexed="81"/>
            <rFont val="Tahoma"/>
            <family val="2"/>
          </rPr>
          <t>03/03/2022</t>
        </r>
      </text>
    </comment>
    <comment ref="FI37" authorId="0" shapeId="0" xr:uid="{1F2C6406-3C45-44F1-A667-709E3CA93B7C}">
      <text>
        <r>
          <rPr>
            <b/>
            <sz val="9"/>
            <color indexed="81"/>
            <rFont val="Tahoma"/>
            <family val="2"/>
          </rPr>
          <t>04/03/2022</t>
        </r>
      </text>
    </comment>
    <comment ref="AF39" authorId="0" shapeId="0" xr:uid="{63B46F4E-22DD-42BA-9D79-2B3F5B36B53E}">
      <text>
        <r>
          <rPr>
            <b/>
            <sz val="9"/>
            <color indexed="81"/>
            <rFont val="Tahoma"/>
            <family val="2"/>
          </rPr>
          <t>22/02/2022</t>
        </r>
      </text>
    </comment>
    <comment ref="AK39" authorId="0" shapeId="0" xr:uid="{CF4F9026-F495-41B8-B666-55218735378B}">
      <text>
        <r>
          <rPr>
            <b/>
            <sz val="9"/>
            <color indexed="81"/>
            <rFont val="Tahoma"/>
            <family val="2"/>
          </rPr>
          <t>21/02/2022</t>
        </r>
      </text>
    </comment>
    <comment ref="AP39" authorId="0" shapeId="0" xr:uid="{BEEF6567-7354-411F-9277-172E2D4137D1}">
      <text>
        <r>
          <rPr>
            <b/>
            <sz val="9"/>
            <color indexed="81"/>
            <rFont val="Tahoma"/>
            <family val="2"/>
          </rPr>
          <t>12/03/2022</t>
        </r>
      </text>
    </comment>
    <comment ref="AU39" authorId="0" shapeId="0" xr:uid="{7583A3B1-5181-4D94-8A19-10662AC40183}">
      <text>
        <r>
          <rPr>
            <b/>
            <sz val="9"/>
            <color indexed="81"/>
            <rFont val="Tahoma"/>
            <family val="2"/>
          </rPr>
          <t>08/04/2022</t>
        </r>
      </text>
    </comment>
    <comment ref="AZ39" authorId="0" shapeId="0" xr:uid="{EF2B4341-CD55-48F1-947D-426088C4D518}">
      <text>
        <r>
          <rPr>
            <b/>
            <sz val="9"/>
            <color indexed="81"/>
            <rFont val="Tahoma"/>
            <family val="2"/>
          </rPr>
          <t>20/06/2022</t>
        </r>
      </text>
    </comment>
    <comment ref="CY39" authorId="0" shapeId="0" xr:uid="{DA7C01A1-6035-401F-9DCC-5B7CB01BA290}">
      <text>
        <r>
          <rPr>
            <b/>
            <sz val="9"/>
            <color indexed="81"/>
            <rFont val="Tahoma"/>
            <family val="2"/>
          </rPr>
          <t>01/08/2022</t>
        </r>
      </text>
    </comment>
    <comment ref="FD39" authorId="0" shapeId="0" xr:uid="{F25EE28B-A5DA-4152-AD2B-3EC709C4FF30}">
      <text>
        <r>
          <rPr>
            <b/>
            <sz val="9"/>
            <color indexed="81"/>
            <rFont val="Tahoma"/>
            <family val="2"/>
          </rPr>
          <t>23/02/2022</t>
        </r>
      </text>
    </comment>
    <comment ref="FI39" authorId="0" shapeId="0" xr:uid="{26868EE2-834D-4A22-95AC-3EC54DB2426C}">
      <text>
        <r>
          <rPr>
            <b/>
            <sz val="9"/>
            <color indexed="81"/>
            <rFont val="Tahoma"/>
            <family val="2"/>
          </rPr>
          <t>24/02/2022
22/12/2023</t>
        </r>
      </text>
    </comment>
    <comment ref="FX39" authorId="0" shapeId="0" xr:uid="{B1240077-4292-45DC-8197-7F23393BBA68}">
      <text>
        <r>
          <rPr>
            <b/>
            <sz val="9"/>
            <color indexed="81"/>
            <rFont val="Tahoma"/>
            <family val="2"/>
          </rPr>
          <t>24/02/2022</t>
        </r>
      </text>
    </comment>
    <comment ref="GC39" authorId="0" shapeId="0" xr:uid="{D8064CFE-39C5-4690-9BF9-B8A0403EED44}">
      <text>
        <r>
          <rPr>
            <b/>
            <sz val="9"/>
            <color indexed="81"/>
            <rFont val="Tahoma"/>
            <family val="2"/>
          </rPr>
          <t>23/06/2022</t>
        </r>
      </text>
    </comment>
    <comment ref="U40" authorId="0" shapeId="0" xr:uid="{05CC7B84-F223-4A90-9BF5-2B410E070D13}">
      <text>
        <r>
          <rPr>
            <b/>
            <sz val="9"/>
            <color indexed="81"/>
            <rFont val="Tahoma"/>
            <family val="2"/>
          </rPr>
          <t>Christian Sánchez:</t>
        </r>
        <r>
          <rPr>
            <sz val="9"/>
            <color indexed="81"/>
            <rFont val="Tahoma"/>
            <family val="2"/>
          </rPr>
          <t xml:space="preserve">
ANTERIOR 26 OCT 2018</t>
        </r>
      </text>
    </comment>
    <comment ref="AK40" authorId="0" shapeId="0" xr:uid="{4E859772-A5A9-47B6-B35A-E80128BFC022}">
      <text>
        <r>
          <rPr>
            <b/>
            <sz val="9"/>
            <color indexed="81"/>
            <rFont val="Tahoma"/>
            <family val="2"/>
          </rPr>
          <t>07/03/2022</t>
        </r>
      </text>
    </comment>
    <comment ref="AP40" authorId="0" shapeId="0" xr:uid="{08381FFB-FC04-467A-A3D5-B23EC1852183}">
      <text>
        <r>
          <rPr>
            <b/>
            <sz val="9"/>
            <color indexed="81"/>
            <rFont val="Tahoma"/>
            <family val="2"/>
          </rPr>
          <t>08/03/2022</t>
        </r>
      </text>
    </comment>
    <comment ref="AZ40" authorId="0" shapeId="0" xr:uid="{5E0EECCE-F13B-4F71-8BB6-B03DB0B2D387}">
      <text>
        <r>
          <rPr>
            <b/>
            <sz val="9"/>
            <color indexed="81"/>
            <rFont val="Tahoma"/>
            <family val="2"/>
          </rPr>
          <t>20/06/2022</t>
        </r>
      </text>
    </comment>
    <comment ref="CJ40" authorId="0" shapeId="0" xr:uid="{31F8D6FC-2D14-4B5F-9DE4-7D15EFF170E1}">
      <text>
        <r>
          <rPr>
            <b/>
            <sz val="9"/>
            <color indexed="81"/>
            <rFont val="Tahoma"/>
            <family val="2"/>
          </rPr>
          <t>03/01/2022</t>
        </r>
      </text>
    </comment>
    <comment ref="DI40" authorId="0" shapeId="0" xr:uid="{FD06BFAB-3F83-4BA7-896F-1F817152CDB1}">
      <text>
        <r>
          <rPr>
            <b/>
            <sz val="9"/>
            <color indexed="81"/>
            <rFont val="Tahoma"/>
            <family val="2"/>
          </rPr>
          <t>18/05/2022</t>
        </r>
      </text>
    </comment>
    <comment ref="DN40" authorId="0" shapeId="0" xr:uid="{33DAED10-1E60-410B-9564-F888CB6BED66}">
      <text>
        <r>
          <rPr>
            <b/>
            <sz val="9"/>
            <color indexed="81"/>
            <rFont val="Tahoma"/>
            <family val="2"/>
          </rPr>
          <t>16/05/2022</t>
        </r>
      </text>
    </comment>
    <comment ref="DX40" authorId="0" shapeId="0" xr:uid="{CEA5F983-93C6-49D0-A2A5-51CE648348D8}">
      <text>
        <r>
          <rPr>
            <b/>
            <sz val="9"/>
            <color indexed="81"/>
            <rFont val="Tahoma"/>
            <family val="2"/>
          </rPr>
          <t>02/03/2022</t>
        </r>
      </text>
    </comment>
    <comment ref="EC40" authorId="0" shapeId="0" xr:uid="{F5966868-2C7B-423F-9AB0-081C08E1DAE8}">
      <text>
        <r>
          <rPr>
            <b/>
            <sz val="9"/>
            <color indexed="81"/>
            <rFont val="Tahoma"/>
            <family val="2"/>
          </rPr>
          <t>02/03/2022</t>
        </r>
      </text>
    </comment>
    <comment ref="ET40" authorId="0" shapeId="0" xr:uid="{C5FA7C42-E774-4B86-807B-E316ECA394D6}">
      <text>
        <r>
          <rPr>
            <b/>
            <sz val="9"/>
            <color indexed="81"/>
            <rFont val="Tahoma"/>
            <family val="2"/>
          </rPr>
          <t>20/06/2022</t>
        </r>
      </text>
    </comment>
    <comment ref="EY40" authorId="0" shapeId="0" xr:uid="{CAC53DE1-07C5-40ED-BB81-2C036387ECDB}">
      <text>
        <r>
          <rPr>
            <b/>
            <sz val="9"/>
            <color indexed="81"/>
            <rFont val="Tahoma"/>
            <family val="2"/>
          </rPr>
          <t>10/03/2022</t>
        </r>
      </text>
    </comment>
    <comment ref="FI40" authorId="0" shapeId="0" xr:uid="{D3ED0A55-FD23-4C8C-AB4F-7B3FA76C9782}">
      <text>
        <r>
          <rPr>
            <b/>
            <sz val="9"/>
            <color indexed="81"/>
            <rFont val="Tahoma"/>
            <family val="2"/>
          </rPr>
          <t>12/03/2022</t>
        </r>
      </text>
    </comment>
    <comment ref="FN40" authorId="0" shapeId="0" xr:uid="{C28B6D10-FF8B-4F6B-A930-8A512027304D}">
      <text>
        <r>
          <rPr>
            <b/>
            <sz val="9"/>
            <color indexed="81"/>
            <rFont val="Tahoma"/>
            <family val="2"/>
          </rPr>
          <t>28/01/2022</t>
        </r>
      </text>
    </comment>
    <comment ref="FS40" authorId="0" shapeId="0" xr:uid="{60E41060-09FB-47C2-8975-0D916284AF07}">
      <text>
        <r>
          <rPr>
            <b/>
            <sz val="9"/>
            <color indexed="81"/>
            <rFont val="Tahoma"/>
            <family val="2"/>
          </rPr>
          <t>27/03/2022</t>
        </r>
      </text>
    </comment>
    <comment ref="GC40" authorId="0" shapeId="0" xr:uid="{D763F171-5D09-4B66-8D49-CA2907C2D2F3}">
      <text>
        <r>
          <rPr>
            <b/>
            <sz val="9"/>
            <color indexed="81"/>
            <rFont val="Tahoma"/>
            <family val="2"/>
          </rPr>
          <t>23/06/2022</t>
        </r>
      </text>
    </comment>
    <comment ref="AK41" authorId="0" shapeId="0" xr:uid="{F53F4710-B8C8-4887-81BA-6E85511B15F9}">
      <text>
        <r>
          <rPr>
            <b/>
            <sz val="9"/>
            <color indexed="81"/>
            <rFont val="Tahoma"/>
            <family val="2"/>
          </rPr>
          <t>02/02/2022</t>
        </r>
      </text>
    </comment>
    <comment ref="AP41" authorId="0" shapeId="0" xr:uid="{A4F0BD9B-C76B-47CC-B40E-F698AC5FE11B}">
      <text>
        <r>
          <rPr>
            <b/>
            <sz val="9"/>
            <color indexed="81"/>
            <rFont val="Tahoma"/>
            <family val="2"/>
          </rPr>
          <t>08/03/2022</t>
        </r>
      </text>
    </comment>
    <comment ref="AZ41" authorId="1" shapeId="0" xr:uid="{63AB46BF-A734-4C93-B83A-0430501476A4}">
      <text>
        <r>
          <rPr>
            <b/>
            <sz val="9"/>
            <color indexed="81"/>
            <rFont val="Tahoma"/>
            <family val="2"/>
          </rPr>
          <t>Candelaria Yesenia Balcazar Hernandez:</t>
        </r>
        <r>
          <rPr>
            <sz val="9"/>
            <color indexed="81"/>
            <rFont val="Tahoma"/>
            <family val="2"/>
          </rPr>
          <t xml:space="preserve">
08/07/2021
</t>
        </r>
      </text>
    </comment>
    <comment ref="BE41" authorId="0" shapeId="0" xr:uid="{74956304-E165-414A-84AA-4E1FB994A0B1}">
      <text>
        <r>
          <rPr>
            <b/>
            <sz val="9"/>
            <color indexed="81"/>
            <rFont val="Tahoma"/>
            <family val="2"/>
          </rPr>
          <t>03/05/2022</t>
        </r>
      </text>
    </comment>
    <comment ref="BT41" authorId="1" shapeId="0" xr:uid="{9023F6C6-AADF-4710-8307-A60AEF384FEA}">
      <text>
        <r>
          <rPr>
            <b/>
            <sz val="9"/>
            <color indexed="81"/>
            <rFont val="Tahoma"/>
            <family val="2"/>
          </rPr>
          <t>Candelaria Yesenia Balcazar Hernandez:</t>
        </r>
        <r>
          <rPr>
            <sz val="9"/>
            <color indexed="81"/>
            <rFont val="Tahoma"/>
            <family val="2"/>
          </rPr>
          <t xml:space="preserve">
01/07/2021</t>
        </r>
      </text>
    </comment>
    <comment ref="CJ41" authorId="1" shapeId="0" xr:uid="{55F44D06-6C6D-4144-A9E5-1B4B2723E9F2}">
      <text>
        <r>
          <rPr>
            <b/>
            <sz val="9"/>
            <color indexed="81"/>
            <rFont val="Tahoma"/>
            <family val="2"/>
          </rPr>
          <t>Candelaria Yesenia Balcazar Hernandez:</t>
        </r>
        <r>
          <rPr>
            <sz val="9"/>
            <color indexed="81"/>
            <rFont val="Tahoma"/>
            <family val="2"/>
          </rPr>
          <t xml:space="preserve">
15/07/2021</t>
        </r>
      </text>
    </comment>
    <comment ref="CY41" authorId="1" shapeId="0" xr:uid="{2A6A1690-52AD-4F32-BEE3-9774F30C6100}">
      <text>
        <r>
          <rPr>
            <b/>
            <sz val="9"/>
            <color indexed="81"/>
            <rFont val="Tahoma"/>
            <family val="2"/>
          </rPr>
          <t>Candelaria Yesenia Balcazar Hernandez:</t>
        </r>
        <r>
          <rPr>
            <sz val="9"/>
            <color indexed="81"/>
            <rFont val="Tahoma"/>
            <family val="2"/>
          </rPr>
          <t xml:space="preserve">
02/08/2022
</t>
        </r>
      </text>
    </comment>
    <comment ref="DN41" authorId="0" shapeId="0" xr:uid="{F02EC947-2E54-46A1-846D-F01C2B2B5AFF}">
      <text>
        <r>
          <rPr>
            <b/>
            <sz val="9"/>
            <color indexed="81"/>
            <rFont val="Tahoma"/>
            <family val="2"/>
          </rPr>
          <t>16/05/2022</t>
        </r>
      </text>
    </comment>
    <comment ref="EO41" authorId="1" shapeId="0" xr:uid="{65CEFE0F-23B6-484B-B8BA-86F7C9C81479}">
      <text>
        <r>
          <rPr>
            <b/>
            <sz val="9"/>
            <color indexed="81"/>
            <rFont val="Tahoma"/>
            <family val="2"/>
          </rPr>
          <t>Candelaria Yesenia Balcazar Hernandez:</t>
        </r>
        <r>
          <rPr>
            <sz val="9"/>
            <color indexed="81"/>
            <rFont val="Tahoma"/>
            <family val="2"/>
          </rPr>
          <t xml:space="preserve">
10/07/2021</t>
        </r>
      </text>
    </comment>
    <comment ref="ET41" authorId="1" shapeId="0" xr:uid="{56C8D36D-66AA-4816-9FFF-8BFEABB4BF48}">
      <text>
        <r>
          <rPr>
            <b/>
            <sz val="9"/>
            <color indexed="81"/>
            <rFont val="Tahoma"/>
            <family val="2"/>
          </rPr>
          <t>Candelaria Yesenia Balcazar Hernandez:</t>
        </r>
        <r>
          <rPr>
            <sz val="9"/>
            <color indexed="81"/>
            <rFont val="Tahoma"/>
            <family val="2"/>
          </rPr>
          <t xml:space="preserve">
02/07/2021</t>
        </r>
      </text>
    </comment>
    <comment ref="EY41" authorId="0" shapeId="0" xr:uid="{7A6FC3B5-E9B0-4AFA-81CA-AF3702081B54}">
      <text>
        <r>
          <rPr>
            <b/>
            <sz val="9"/>
            <color indexed="81"/>
            <rFont val="Tahoma"/>
            <family val="2"/>
          </rPr>
          <t>03/02/2022</t>
        </r>
      </text>
    </comment>
    <comment ref="FI41" authorId="0" shapeId="0" xr:uid="{582C2224-231D-4B33-9CC6-C77B49960FA4}">
      <text>
        <r>
          <rPr>
            <b/>
            <sz val="9"/>
            <color indexed="81"/>
            <rFont val="Tahoma"/>
            <family val="2"/>
          </rPr>
          <t>04/02/2022</t>
        </r>
      </text>
    </comment>
    <comment ref="FN41" authorId="1" shapeId="0" xr:uid="{03E16EDB-AB87-49F1-827E-6BDD5E5A1EE7}">
      <text>
        <r>
          <rPr>
            <b/>
            <sz val="9"/>
            <color indexed="81"/>
            <rFont val="Tahoma"/>
            <family val="2"/>
          </rPr>
          <t>Candelaria Yesenia Balcazar Hernandez:</t>
        </r>
        <r>
          <rPr>
            <sz val="9"/>
            <color indexed="81"/>
            <rFont val="Tahoma"/>
            <family val="2"/>
          </rPr>
          <t xml:space="preserve">
28/06/2021
</t>
        </r>
      </text>
    </comment>
    <comment ref="FS41" authorId="1" shapeId="0" xr:uid="{8A8CFD82-9F98-4A05-B1AD-EDD703AD4C8A}">
      <text>
        <r>
          <rPr>
            <b/>
            <sz val="9"/>
            <color indexed="81"/>
            <rFont val="Tahoma"/>
            <family val="2"/>
          </rPr>
          <t>Candelaria Yesenia Balcazar Hernandez:</t>
        </r>
        <r>
          <rPr>
            <sz val="9"/>
            <color indexed="81"/>
            <rFont val="Tahoma"/>
            <family val="2"/>
          </rPr>
          <t xml:space="preserve">
21/06/2021</t>
        </r>
      </text>
    </comment>
    <comment ref="GM41" authorId="0" shapeId="0" xr:uid="{B7C10C97-3A84-482B-A603-E9E0E5AD70D8}">
      <text>
        <r>
          <rPr>
            <b/>
            <sz val="9"/>
            <color indexed="81"/>
            <rFont val="Tahoma"/>
            <family val="2"/>
          </rPr>
          <t>04/01/2022</t>
        </r>
      </text>
    </comment>
    <comment ref="AK42" authorId="0" shapeId="0" xr:uid="{54DB4140-3254-4DCA-8797-77B18D8B47F1}">
      <text>
        <r>
          <rPr>
            <b/>
            <sz val="9"/>
            <color indexed="81"/>
            <rFont val="Tahoma"/>
            <family val="2"/>
          </rPr>
          <t>07/03/2022</t>
        </r>
      </text>
    </comment>
    <comment ref="BJ42" authorId="0" shapeId="0" xr:uid="{3F08D527-EDC6-43D9-81C4-62E9C9DB23C8}">
      <text>
        <r>
          <rPr>
            <b/>
            <sz val="9"/>
            <color indexed="81"/>
            <rFont val="Tahoma"/>
            <family val="2"/>
          </rPr>
          <t>10/06/2022</t>
        </r>
      </text>
    </comment>
    <comment ref="BY42" authorId="0" shapeId="0" xr:uid="{37A5EEFF-31A2-4A09-AFD9-22BE1B508903}">
      <text>
        <r>
          <rPr>
            <b/>
            <sz val="9"/>
            <color indexed="81"/>
            <rFont val="Tahoma"/>
            <family val="2"/>
          </rPr>
          <t>09/03/2022</t>
        </r>
      </text>
    </comment>
    <comment ref="CY42" authorId="1" shapeId="0" xr:uid="{F2405E33-2561-4366-8CC1-4222188D5249}">
      <text>
        <r>
          <rPr>
            <b/>
            <sz val="9"/>
            <color indexed="81"/>
            <rFont val="Tahoma"/>
            <family val="2"/>
          </rPr>
          <t>Candelaria Yesenia Balcazar Hernandez:</t>
        </r>
        <r>
          <rPr>
            <sz val="9"/>
            <color indexed="81"/>
            <rFont val="Tahoma"/>
            <family val="2"/>
          </rPr>
          <t xml:space="preserve">
03/07/2021</t>
        </r>
      </text>
    </comment>
    <comment ref="EY42" authorId="0" shapeId="0" xr:uid="{B79F04C0-0AD8-465A-9C31-80BEF2AAB7B7}">
      <text>
        <r>
          <rPr>
            <b/>
            <sz val="9"/>
            <color indexed="81"/>
            <rFont val="Tahoma"/>
            <family val="2"/>
          </rPr>
          <t>10/03/2022</t>
        </r>
      </text>
    </comment>
    <comment ref="FI42" authorId="0" shapeId="0" xr:uid="{96A92E9A-FDB7-457A-9CE6-B3556D544DD9}">
      <text>
        <r>
          <rPr>
            <b/>
            <sz val="9"/>
            <color indexed="81"/>
            <rFont val="Tahoma"/>
            <family val="2"/>
          </rPr>
          <t>11/03/2022</t>
        </r>
      </text>
    </comment>
    <comment ref="GM42" authorId="0" shapeId="0" xr:uid="{59D2FE3B-9645-454B-A104-B7F8622AFE2E}">
      <text>
        <r>
          <rPr>
            <b/>
            <sz val="9"/>
            <color indexed="81"/>
            <rFont val="Tahoma"/>
            <family val="2"/>
          </rPr>
          <t>08/01/2022</t>
        </r>
      </text>
    </comment>
    <comment ref="E43" authorId="0" shapeId="0" xr:uid="{B04D28A0-560C-4E47-8847-4E9B0E57E743}">
      <text>
        <r>
          <rPr>
            <b/>
            <sz val="9"/>
            <color indexed="81"/>
            <rFont val="Tahoma"/>
            <family val="2"/>
          </rPr>
          <t>08/02/2024 y 09/02/2024</t>
        </r>
      </text>
    </comment>
    <comment ref="AF43" authorId="0" shapeId="0" xr:uid="{ED23F472-A7A8-4D14-B806-F81945043978}">
      <text>
        <r>
          <rPr>
            <b/>
            <sz val="9"/>
            <color indexed="81"/>
            <rFont val="Tahoma"/>
            <family val="2"/>
          </rPr>
          <t>15/02/2022</t>
        </r>
      </text>
    </comment>
    <comment ref="AK43" authorId="0" shapeId="0" xr:uid="{C643C0FD-E66C-4BEC-8B07-84E6B96AAC63}">
      <text>
        <r>
          <rPr>
            <b/>
            <sz val="9"/>
            <color indexed="81"/>
            <rFont val="Tahoma"/>
            <family val="2"/>
          </rPr>
          <t>14/02/2022</t>
        </r>
      </text>
    </comment>
    <comment ref="AZ43" authorId="0" shapeId="0" xr:uid="{C45427F8-B888-4677-8BAE-7670F9224286}">
      <text>
        <r>
          <rPr>
            <b/>
            <sz val="9"/>
            <color indexed="81"/>
            <rFont val="Tahoma"/>
            <family val="2"/>
          </rPr>
          <t>01/06/2022</t>
        </r>
      </text>
    </comment>
    <comment ref="BJ43" authorId="0" shapeId="0" xr:uid="{33CFCFA4-74B7-4088-8811-0CF3DC84CA8A}">
      <text>
        <r>
          <rPr>
            <b/>
            <sz val="9"/>
            <color indexed="81"/>
            <rFont val="Tahoma"/>
            <family val="2"/>
          </rPr>
          <t>15/06/2022</t>
        </r>
      </text>
    </comment>
    <comment ref="BT43" authorId="0" shapeId="0" xr:uid="{5F90E96A-628F-4978-A1E2-08A5D7A8817C}">
      <text>
        <r>
          <rPr>
            <b/>
            <sz val="9"/>
            <color indexed="81"/>
            <rFont val="Tahoma"/>
            <family val="2"/>
          </rPr>
          <t>04/03/2022</t>
        </r>
      </text>
    </comment>
    <comment ref="DI43" authorId="0" shapeId="0" xr:uid="{CB6E9F2A-A6C8-4066-8EA7-6EBD17C4D53F}">
      <text>
        <r>
          <rPr>
            <b/>
            <sz val="9"/>
            <color indexed="81"/>
            <rFont val="Tahoma"/>
            <family val="2"/>
          </rPr>
          <t>02/04/2022</t>
        </r>
      </text>
    </comment>
    <comment ref="DN43" authorId="0" shapeId="0" xr:uid="{5D494945-3C28-4F85-9780-C1B8CF7FEFA3}">
      <text>
        <r>
          <rPr>
            <b/>
            <sz val="9"/>
            <color indexed="81"/>
            <rFont val="Tahoma"/>
            <family val="2"/>
          </rPr>
          <t>30/03/2022</t>
        </r>
      </text>
    </comment>
    <comment ref="DS43" authorId="0" shapeId="0" xr:uid="{1BCB37B8-2F93-4D6B-9A9E-7711FD018962}">
      <text>
        <r>
          <rPr>
            <b/>
            <sz val="9"/>
            <color indexed="81"/>
            <rFont val="Tahoma"/>
            <family val="2"/>
          </rPr>
          <t>02/06/2022</t>
        </r>
      </text>
    </comment>
    <comment ref="ET43" authorId="0" shapeId="0" xr:uid="{0AFE15CF-3208-4EF9-9713-878F460B29FD}">
      <text>
        <r>
          <rPr>
            <b/>
            <sz val="9"/>
            <color indexed="81"/>
            <rFont val="Tahoma"/>
            <family val="2"/>
          </rPr>
          <t>01/06/2022</t>
        </r>
      </text>
    </comment>
    <comment ref="EY43" authorId="0" shapeId="0" xr:uid="{B8BD0F4C-6401-457F-A8CE-290309657BC5}">
      <text>
        <r>
          <rPr>
            <b/>
            <sz val="9"/>
            <color indexed="81"/>
            <rFont val="Tahoma"/>
            <family val="2"/>
          </rPr>
          <t>16/02/2022</t>
        </r>
      </text>
    </comment>
    <comment ref="GC43" authorId="0" shapeId="0" xr:uid="{824F8481-9A8B-45DD-A1B8-7A09C1A72FC3}">
      <text>
        <r>
          <rPr>
            <b/>
            <sz val="9"/>
            <color indexed="81"/>
            <rFont val="Tahoma"/>
            <family val="2"/>
          </rPr>
          <t>03/02/2022</t>
        </r>
      </text>
    </comment>
    <comment ref="AK45" authorId="1" shapeId="0" xr:uid="{76E87FFD-E58F-4866-BBEE-2E8A7BD493D2}">
      <text>
        <r>
          <rPr>
            <b/>
            <sz val="9"/>
            <color indexed="81"/>
            <rFont val="Tahoma"/>
            <family val="2"/>
          </rPr>
          <t>Candelaria Yesenia Balcazar Hernandez:</t>
        </r>
        <r>
          <rPr>
            <sz val="9"/>
            <color indexed="81"/>
            <rFont val="Tahoma"/>
            <family val="2"/>
          </rPr>
          <t xml:space="preserve">
21/02/2022</t>
        </r>
      </text>
    </comment>
    <comment ref="AP45" authorId="0" shapeId="0" xr:uid="{1B392C47-6798-4826-87F2-B82F4C1832BF}">
      <text>
        <r>
          <rPr>
            <b/>
            <sz val="9"/>
            <color indexed="81"/>
            <rFont val="Tahoma"/>
            <family val="2"/>
          </rPr>
          <t>14/03/2022</t>
        </r>
      </text>
    </comment>
    <comment ref="AU45" authorId="0" shapeId="0" xr:uid="{7B16DF2E-31CD-49DD-998A-9CD59E6F9441}">
      <text>
        <r>
          <rPr>
            <b/>
            <sz val="9"/>
            <color indexed="81"/>
            <rFont val="Tahoma"/>
            <family val="2"/>
          </rPr>
          <t>11/04/2022</t>
        </r>
      </text>
    </comment>
    <comment ref="AZ45" authorId="0" shapeId="0" xr:uid="{B58016CA-67C1-4572-8247-40286CEDAD78}">
      <text>
        <r>
          <rPr>
            <b/>
            <sz val="9"/>
            <color indexed="81"/>
            <rFont val="Tahoma"/>
            <family val="2"/>
          </rPr>
          <t>20/06/2022</t>
        </r>
      </text>
    </comment>
    <comment ref="BE45" authorId="0" shapeId="0" xr:uid="{E0F48513-FD9F-4B19-9AB1-04696966196A}">
      <text>
        <r>
          <rPr>
            <b/>
            <sz val="9"/>
            <color indexed="81"/>
            <rFont val="Tahoma"/>
            <family val="2"/>
          </rPr>
          <t>22/06/2022</t>
        </r>
      </text>
    </comment>
    <comment ref="BT45" authorId="0" shapeId="0" xr:uid="{8C8149D3-6CA2-4833-8DE5-E5A22A8FB503}">
      <text>
        <r>
          <rPr>
            <b/>
            <sz val="9"/>
            <color indexed="81"/>
            <rFont val="Tahoma"/>
            <family val="2"/>
          </rPr>
          <t>21/06/2022</t>
        </r>
      </text>
    </comment>
    <comment ref="BY45" authorId="0" shapeId="0" xr:uid="{8CB957D8-D6B5-45ED-905A-F0F2F0F2240C}">
      <text>
        <r>
          <rPr>
            <b/>
            <sz val="9"/>
            <color indexed="81"/>
            <rFont val="Tahoma"/>
            <family val="2"/>
          </rPr>
          <t>21/02/2022</t>
        </r>
      </text>
    </comment>
    <comment ref="DN45" authorId="0" shapeId="0" xr:uid="{7AFCC49E-E212-4B30-929C-8162397D6F26}">
      <text>
        <r>
          <rPr>
            <b/>
            <sz val="9"/>
            <color indexed="81"/>
            <rFont val="Tahoma"/>
            <family val="2"/>
          </rPr>
          <t>21/02/2022</t>
        </r>
      </text>
    </comment>
    <comment ref="DX45" authorId="1" shapeId="0" xr:uid="{567732D7-FFA1-4D95-8AC3-8ADF39698FB8}">
      <text>
        <r>
          <rPr>
            <b/>
            <sz val="9"/>
            <color indexed="81"/>
            <rFont val="Tahoma"/>
            <family val="2"/>
          </rPr>
          <t>Candelaria Yesenia Balcazar Hernandez:</t>
        </r>
        <r>
          <rPr>
            <sz val="9"/>
            <color indexed="81"/>
            <rFont val="Tahoma"/>
            <family val="2"/>
          </rPr>
          <t xml:space="preserve">
09/07/2021</t>
        </r>
      </text>
    </comment>
    <comment ref="EH45" authorId="1" shapeId="0" xr:uid="{50079619-5938-465A-B9A8-CF0F185787F8}">
      <text>
        <r>
          <rPr>
            <b/>
            <sz val="9"/>
            <color indexed="81"/>
            <rFont val="Tahoma"/>
            <family val="2"/>
          </rPr>
          <t>Candelaria Yesenia Balcazar Hernandez:</t>
        </r>
        <r>
          <rPr>
            <sz val="9"/>
            <color indexed="81"/>
            <rFont val="Tahoma"/>
            <family val="2"/>
          </rPr>
          <t xml:space="preserve">
11/05/2023</t>
        </r>
      </text>
    </comment>
    <comment ref="ET45" authorId="0" shapeId="0" xr:uid="{BDE8AFAC-1302-4773-9053-83A756769392}">
      <text>
        <r>
          <rPr>
            <b/>
            <sz val="9"/>
            <color indexed="81"/>
            <rFont val="Tahoma"/>
            <family val="2"/>
          </rPr>
          <t>20/06/2022</t>
        </r>
      </text>
    </comment>
    <comment ref="EY45" authorId="0" shapeId="0" xr:uid="{A498BB38-EB45-4BFF-A811-BFE0D9EB462A}">
      <text>
        <r>
          <rPr>
            <b/>
            <sz val="9"/>
            <color indexed="81"/>
            <rFont val="Tahoma"/>
            <family val="2"/>
          </rPr>
          <t>23/02/2022</t>
        </r>
      </text>
    </comment>
    <comment ref="FI45" authorId="0" shapeId="0" xr:uid="{B1DF4543-D55B-409C-9BB3-152BA58914FB}">
      <text>
        <r>
          <rPr>
            <b/>
            <sz val="9"/>
            <color indexed="81"/>
            <rFont val="Tahoma"/>
            <family val="2"/>
          </rPr>
          <t>24/02/2022
22/12/2023</t>
        </r>
      </text>
    </comment>
    <comment ref="FS45" authorId="1" shapeId="0" xr:uid="{87E0070C-4518-4554-8B0E-84CF83E5125A}">
      <text>
        <r>
          <rPr>
            <b/>
            <sz val="9"/>
            <color indexed="81"/>
            <rFont val="Tahoma"/>
            <family val="2"/>
          </rPr>
          <t>Candelaria Yesenia Balcazar Hernandez:</t>
        </r>
        <r>
          <rPr>
            <sz val="9"/>
            <color indexed="81"/>
            <rFont val="Tahoma"/>
            <family val="2"/>
          </rPr>
          <t xml:space="preserve">
17/08/2022</t>
        </r>
      </text>
    </comment>
    <comment ref="GC45" authorId="0" shapeId="0" xr:uid="{9F7B357B-E6E2-4D87-BF9E-514740855E6C}">
      <text>
        <r>
          <rPr>
            <b/>
            <sz val="9"/>
            <color indexed="81"/>
            <rFont val="Tahoma"/>
            <family val="2"/>
          </rPr>
          <t>23/06/2022</t>
        </r>
      </text>
    </comment>
    <comment ref="GM45" authorId="0" shapeId="0" xr:uid="{F69A241E-6056-49AC-A5AA-14883F56C010}">
      <text>
        <r>
          <rPr>
            <b/>
            <sz val="9"/>
            <color indexed="81"/>
            <rFont val="Tahoma"/>
            <family val="2"/>
          </rPr>
          <t>06/01/2022</t>
        </r>
      </text>
    </comment>
    <comment ref="LA45" authorId="0" shapeId="0" xr:uid="{58D6B22B-B81A-4C8D-B766-6EB41B338D2B}">
      <text>
        <r>
          <rPr>
            <b/>
            <sz val="9"/>
            <color indexed="81"/>
            <rFont val="Tahoma"/>
            <family val="2"/>
          </rPr>
          <t>25/10/2021</t>
        </r>
      </text>
    </comment>
    <comment ref="E46" authorId="0" shapeId="0" xr:uid="{AF6F010F-B952-42D3-B327-0805F5CD02DF}">
      <text>
        <r>
          <rPr>
            <b/>
            <sz val="9"/>
            <color indexed="81"/>
            <rFont val="Tahoma"/>
            <family val="2"/>
          </rPr>
          <t>08/02/2024 y 09/02/2024</t>
        </r>
      </text>
    </comment>
    <comment ref="AK47" authorId="0" shapeId="0" xr:uid="{E2A76DD5-7701-4E6E-AF0E-F81B7583B191}">
      <text>
        <r>
          <rPr>
            <b/>
            <sz val="9"/>
            <color indexed="81"/>
            <rFont val="Tahoma"/>
            <family val="2"/>
          </rPr>
          <t>14/03/2022
16/10/2023</t>
        </r>
      </text>
    </comment>
    <comment ref="AP47" authorId="0" shapeId="0" xr:uid="{755608CE-5D79-4A4E-8D72-E4BCB124BD4F}">
      <text>
        <r>
          <rPr>
            <b/>
            <sz val="9"/>
            <color indexed="81"/>
            <rFont val="Tahoma"/>
            <family val="2"/>
          </rPr>
          <t>13/05/2022</t>
        </r>
      </text>
    </comment>
    <comment ref="AU47" authorId="0" shapeId="0" xr:uid="{3992D23C-413C-4876-8F12-4C364BCC9320}">
      <text>
        <r>
          <rPr>
            <b/>
            <sz val="9"/>
            <color indexed="81"/>
            <rFont val="Tahoma"/>
            <family val="2"/>
          </rPr>
          <t>13/05/2022</t>
        </r>
      </text>
    </comment>
    <comment ref="AZ47" authorId="1" shapeId="0" xr:uid="{3723D675-D82E-4AE5-AC15-787F225EADA3}">
      <text>
        <r>
          <rPr>
            <b/>
            <sz val="9"/>
            <color indexed="81"/>
            <rFont val="Tahoma"/>
            <family val="2"/>
          </rPr>
          <t>Candelaria Yesenia Balcazar Hernandez:</t>
        </r>
        <r>
          <rPr>
            <sz val="9"/>
            <color indexed="81"/>
            <rFont val="Tahoma"/>
            <family val="2"/>
          </rPr>
          <t xml:space="preserve">
06/07/2021</t>
        </r>
      </text>
    </comment>
    <comment ref="BE47" authorId="0" shapeId="0" xr:uid="{6B9F6420-F0B5-4F3B-989F-E307187A314A}">
      <text>
        <r>
          <rPr>
            <b/>
            <sz val="9"/>
            <color indexed="81"/>
            <rFont val="Tahoma"/>
            <family val="2"/>
          </rPr>
          <t>02/05/2022</t>
        </r>
      </text>
    </comment>
    <comment ref="BJ47" authorId="0" shapeId="0" xr:uid="{8E50E9E6-B997-4012-82E1-4BAF7949262A}">
      <text>
        <r>
          <rPr>
            <b/>
            <sz val="9"/>
            <color indexed="81"/>
            <rFont val="Tahoma"/>
            <family val="2"/>
          </rPr>
          <t>06/06/2022</t>
        </r>
      </text>
    </comment>
    <comment ref="BT47" authorId="1" shapeId="0" xr:uid="{000EC16A-90D9-45D2-8978-908FE6F0D64B}">
      <text>
        <r>
          <rPr>
            <b/>
            <sz val="9"/>
            <color indexed="81"/>
            <rFont val="Tahoma"/>
            <family val="2"/>
          </rPr>
          <t>Candelaria Yesenia Balcazar Hernandez:</t>
        </r>
        <r>
          <rPr>
            <sz val="9"/>
            <color indexed="81"/>
            <rFont val="Tahoma"/>
            <family val="2"/>
          </rPr>
          <t xml:space="preserve">
01/07/2021
</t>
        </r>
      </text>
    </comment>
    <comment ref="CJ47" authorId="1" shapeId="0" xr:uid="{C4B3517F-755B-4924-88F7-36EA423920ED}">
      <text>
        <r>
          <rPr>
            <b/>
            <sz val="9"/>
            <color indexed="81"/>
            <rFont val="Tahoma"/>
            <family val="2"/>
          </rPr>
          <t>Candelaria Yesenia Balcazar Hernandez:</t>
        </r>
        <r>
          <rPr>
            <sz val="9"/>
            <color indexed="81"/>
            <rFont val="Tahoma"/>
            <family val="2"/>
          </rPr>
          <t xml:space="preserve">
15/07/2021</t>
        </r>
      </text>
    </comment>
    <comment ref="DI47" authorId="0" shapeId="0" xr:uid="{16553939-3C29-4A90-8CCC-8E4B95AE84F1}">
      <text>
        <r>
          <rPr>
            <b/>
            <sz val="9"/>
            <color indexed="81"/>
            <rFont val="Tahoma"/>
            <family val="2"/>
          </rPr>
          <t>14/05/2022</t>
        </r>
      </text>
    </comment>
    <comment ref="DN47" authorId="1" shapeId="0" xr:uid="{D5D75638-4454-4DFA-BB46-72AF465B9C84}">
      <text>
        <r>
          <rPr>
            <b/>
            <sz val="9"/>
            <color indexed="81"/>
            <rFont val="Tahoma"/>
            <family val="2"/>
          </rPr>
          <t>Candelaria Yesenia Balcazar Hernandez:</t>
        </r>
        <r>
          <rPr>
            <sz val="9"/>
            <color indexed="81"/>
            <rFont val="Tahoma"/>
            <family val="2"/>
          </rPr>
          <t xml:space="preserve">
10/05/2022</t>
        </r>
      </text>
    </comment>
    <comment ref="DS47" authorId="1" shapeId="0" xr:uid="{FB9373F3-CCE7-4FD1-8195-62891AD4EC5B}">
      <text>
        <r>
          <rPr>
            <b/>
            <sz val="9"/>
            <color indexed="81"/>
            <rFont val="Tahoma"/>
            <family val="2"/>
          </rPr>
          <t>Candelaria Yesenia Balcazar Hernandez:</t>
        </r>
        <r>
          <rPr>
            <sz val="9"/>
            <color indexed="81"/>
            <rFont val="Tahoma"/>
            <family val="2"/>
          </rPr>
          <t xml:space="preserve">
23/06/2021</t>
        </r>
      </text>
    </comment>
    <comment ref="EO47" authorId="1" shapeId="0" xr:uid="{21170BBA-C9B8-433C-B695-B70B5D118B9E}">
      <text>
        <r>
          <rPr>
            <b/>
            <sz val="9"/>
            <color indexed="81"/>
            <rFont val="Tahoma"/>
            <family val="2"/>
          </rPr>
          <t>Candelaria Yesenia Balcazar Hernandez:</t>
        </r>
        <r>
          <rPr>
            <sz val="9"/>
            <color indexed="81"/>
            <rFont val="Tahoma"/>
            <family val="2"/>
          </rPr>
          <t xml:space="preserve">
10/07/2021
</t>
        </r>
      </text>
    </comment>
    <comment ref="FD47" authorId="0" shapeId="0" xr:uid="{0C465E5C-511D-4629-A59D-EFC868D40BE6}">
      <text>
        <r>
          <rPr>
            <b/>
            <sz val="9"/>
            <color indexed="81"/>
            <rFont val="Tahoma"/>
            <family val="2"/>
          </rPr>
          <t>16/03/2022</t>
        </r>
      </text>
    </comment>
    <comment ref="FI47" authorId="0" shapeId="0" xr:uid="{B760ADA1-CA96-41A3-B222-E8116C05EEAD}">
      <text>
        <r>
          <rPr>
            <b/>
            <sz val="9"/>
            <color indexed="81"/>
            <rFont val="Tahoma"/>
            <family val="2"/>
          </rPr>
          <t>17/03/2022</t>
        </r>
      </text>
    </comment>
    <comment ref="FN47" authorId="1" shapeId="0" xr:uid="{9F80FB6F-FF0A-475E-BEC2-458B73779E9E}">
      <text>
        <r>
          <rPr>
            <b/>
            <sz val="9"/>
            <color indexed="81"/>
            <rFont val="Tahoma"/>
            <family val="2"/>
          </rPr>
          <t>Candelaria Yesenia Balcazar Hernandez:</t>
        </r>
        <r>
          <rPr>
            <sz val="9"/>
            <color indexed="81"/>
            <rFont val="Tahoma"/>
            <family val="2"/>
          </rPr>
          <t xml:space="preserve">
28/06/2021
</t>
        </r>
      </text>
    </comment>
    <comment ref="FS47" authorId="1" shapeId="0" xr:uid="{F7354048-9F9F-4C95-9EB6-6457494302FF}">
      <text>
        <r>
          <rPr>
            <b/>
            <sz val="9"/>
            <color indexed="81"/>
            <rFont val="Tahoma"/>
            <family val="2"/>
          </rPr>
          <t>Candelaria Yesenia Balcazar Hernandez:</t>
        </r>
        <r>
          <rPr>
            <sz val="9"/>
            <color indexed="81"/>
            <rFont val="Tahoma"/>
            <family val="2"/>
          </rPr>
          <t xml:space="preserve">
21/06/2021</t>
        </r>
      </text>
    </comment>
    <comment ref="GM47" authorId="0" shapeId="0" xr:uid="{DF01C2B5-8DCE-4552-A448-8D98DF71DC7A}">
      <text>
        <r>
          <rPr>
            <b/>
            <sz val="9"/>
            <color indexed="81"/>
            <rFont val="Tahoma"/>
            <family val="2"/>
          </rPr>
          <t>03/01/2022</t>
        </r>
      </text>
    </comment>
    <comment ref="AP49" authorId="0" shapeId="0" xr:uid="{F75EE9B2-1C7A-495C-8353-1E483F1FA28E}">
      <text>
        <r>
          <rPr>
            <b/>
            <sz val="9"/>
            <color indexed="81"/>
            <rFont val="Tahoma"/>
            <family val="2"/>
          </rPr>
          <t>13/05/2022</t>
        </r>
      </text>
    </comment>
    <comment ref="CY49" authorId="0" shapeId="0" xr:uid="{7E308745-1F51-48F8-96F1-2D2E429D1BDE}">
      <text>
        <r>
          <rPr>
            <b/>
            <sz val="9"/>
            <color indexed="81"/>
            <rFont val="Tahoma"/>
            <family val="2"/>
          </rPr>
          <t>14/05/2022</t>
        </r>
      </text>
    </comment>
    <comment ref="DI49" authorId="0" shapeId="0" xr:uid="{5CAE6F3A-55C9-4AC2-8C69-DDCFB13A518D}">
      <text>
        <r>
          <rPr>
            <b/>
            <sz val="9"/>
            <color indexed="81"/>
            <rFont val="Tahoma"/>
            <family val="2"/>
          </rPr>
          <t>14/05/2022</t>
        </r>
      </text>
    </comment>
    <comment ref="DN49" authorId="0" shapeId="0" xr:uid="{1B131DF2-24F1-4BF5-B37F-0381CDF107EB}">
      <text>
        <r>
          <rPr>
            <b/>
            <sz val="9"/>
            <color indexed="81"/>
            <rFont val="Tahoma"/>
            <family val="2"/>
          </rPr>
          <t>10/05/2022</t>
        </r>
      </text>
    </comment>
    <comment ref="EH49" authorId="1" shapeId="0" xr:uid="{E5DAE170-6AC3-4AA9-8A4D-18141F35A9CA}">
      <text>
        <r>
          <rPr>
            <b/>
            <sz val="9"/>
            <color indexed="81"/>
            <rFont val="Tahoma"/>
            <family val="2"/>
          </rPr>
          <t>Candelaria Yesenia Balcazar Hernandez:</t>
        </r>
        <r>
          <rPr>
            <sz val="9"/>
            <color indexed="81"/>
            <rFont val="Tahoma"/>
            <family val="2"/>
          </rPr>
          <t xml:space="preserve">
15/03/2023</t>
        </r>
      </text>
    </comment>
    <comment ref="AF50" authorId="0" shapeId="0" xr:uid="{DB06BD7F-A83C-4889-AD9B-C403CC69D251}">
      <text>
        <r>
          <rPr>
            <b/>
            <sz val="9"/>
            <color indexed="81"/>
            <rFont val="Tahoma"/>
            <family val="2"/>
          </rPr>
          <t>01/02/2022</t>
        </r>
      </text>
    </comment>
    <comment ref="AZ50" authorId="0" shapeId="0" xr:uid="{0C639FB8-13B3-4689-B1BB-176561C137DF}">
      <text>
        <r>
          <rPr>
            <b/>
            <sz val="9"/>
            <color indexed="81"/>
            <rFont val="Tahoma"/>
            <family val="2"/>
          </rPr>
          <t>01/06/2022</t>
        </r>
      </text>
    </comment>
    <comment ref="BE50" authorId="0" shapeId="0" xr:uid="{D390A22F-F7DE-48D6-8876-99D4418061F9}">
      <text>
        <r>
          <rPr>
            <b/>
            <sz val="9"/>
            <color indexed="81"/>
            <rFont val="Tahoma"/>
            <family val="2"/>
          </rPr>
          <t>02/06/2022</t>
        </r>
      </text>
    </comment>
    <comment ref="BJ50" authorId="0" shapeId="0" xr:uid="{FC7EF410-C56C-44F5-A5BE-A480560E92B6}">
      <text>
        <r>
          <rPr>
            <b/>
            <sz val="9"/>
            <color indexed="81"/>
            <rFont val="Tahoma"/>
            <family val="2"/>
          </rPr>
          <t>13/06/2022</t>
        </r>
      </text>
    </comment>
    <comment ref="DI50" authorId="0" shapeId="0" xr:uid="{93AF9817-A33E-44FD-8BF1-507EFDC952C9}">
      <text>
        <r>
          <rPr>
            <b/>
            <sz val="9"/>
            <color indexed="81"/>
            <rFont val="Tahoma"/>
            <family val="2"/>
          </rPr>
          <t>02/04/2022</t>
        </r>
      </text>
    </comment>
    <comment ref="DN50" authorId="0" shapeId="0" xr:uid="{D8530652-86A7-482A-907C-3FFD8F86A42E}">
      <text>
        <r>
          <rPr>
            <b/>
            <sz val="9"/>
            <color indexed="81"/>
            <rFont val="Tahoma"/>
            <family val="2"/>
          </rPr>
          <t>30/03/2022</t>
        </r>
      </text>
    </comment>
    <comment ref="EY50" authorId="0" shapeId="0" xr:uid="{93F46D29-2FC5-4E24-8C78-E0AEC3EF4276}">
      <text>
        <r>
          <rPr>
            <b/>
            <sz val="9"/>
            <color indexed="81"/>
            <rFont val="Tahoma"/>
            <family val="2"/>
          </rPr>
          <t>03/02/2022</t>
        </r>
      </text>
    </comment>
    <comment ref="FI50" authorId="0" shapeId="0" xr:uid="{DA41EDA1-C231-4B9A-93C8-F451CBF79BCC}">
      <text>
        <r>
          <rPr>
            <b/>
            <sz val="9"/>
            <color indexed="81"/>
            <rFont val="Tahoma"/>
            <family val="2"/>
          </rPr>
          <t>04/02/2022</t>
        </r>
      </text>
    </comment>
    <comment ref="FX50" authorId="0" shapeId="0" xr:uid="{C1242F37-E739-404B-8280-4B34C3DAD662}">
      <text>
        <r>
          <rPr>
            <b/>
            <sz val="9"/>
            <color indexed="81"/>
            <rFont val="Tahoma"/>
            <family val="2"/>
          </rPr>
          <t>04/02/2022</t>
        </r>
      </text>
    </comment>
    <comment ref="GM50" authorId="0" shapeId="0" xr:uid="{57CF8CE2-B148-427A-9849-D7CF4CECD866}">
      <text>
        <r>
          <rPr>
            <b/>
            <sz val="9"/>
            <color indexed="81"/>
            <rFont val="Tahoma"/>
            <family val="2"/>
          </rPr>
          <t>08/01/2022</t>
        </r>
      </text>
    </comment>
    <comment ref="E51" authorId="0" shapeId="0" xr:uid="{5823038B-BDDA-4E93-B07F-3594958C8B1F}">
      <text>
        <r>
          <rPr>
            <b/>
            <sz val="9"/>
            <color indexed="81"/>
            <rFont val="Tahoma"/>
          </rPr>
          <t>04/04/2024 - 05/04/2024</t>
        </r>
      </text>
    </comment>
    <comment ref="E52" authorId="0" shapeId="0" xr:uid="{ACD27D2F-FCAD-4B26-94AE-EC5F0BF7C9DF}">
      <text>
        <r>
          <rPr>
            <b/>
            <sz val="9"/>
            <color indexed="81"/>
            <rFont val="Tahoma"/>
            <family val="2"/>
          </rPr>
          <t>08/02/2024 y 09/02/2024</t>
        </r>
      </text>
    </comment>
    <comment ref="AU52" authorId="0" shapeId="0" xr:uid="{E86C7B51-0CDF-4CA8-AB13-AB76BCFD15B0}">
      <text>
        <r>
          <rPr>
            <b/>
            <sz val="9"/>
            <color indexed="81"/>
            <rFont val="Tahoma"/>
            <family val="2"/>
          </rPr>
          <t>24/09/2022</t>
        </r>
      </text>
    </comment>
    <comment ref="CT52" authorId="0" shapeId="0" xr:uid="{9A841073-1C6C-4ADB-9AB3-A00D26690192}">
      <text>
        <r>
          <rPr>
            <b/>
            <sz val="9"/>
            <color indexed="81"/>
            <rFont val="Tahoma"/>
            <family val="2"/>
          </rPr>
          <t>28/04/2022</t>
        </r>
      </text>
    </comment>
    <comment ref="DI52" authorId="0" shapeId="0" xr:uid="{2E97DF66-C990-490C-9D11-4B6F029C0A60}">
      <text>
        <r>
          <rPr>
            <b/>
            <sz val="9"/>
            <color indexed="81"/>
            <rFont val="Tahoma"/>
            <family val="2"/>
          </rPr>
          <t>30/04/2022</t>
        </r>
      </text>
    </comment>
    <comment ref="DN52" authorId="0" shapeId="0" xr:uid="{B75FE873-3D89-4B81-8C32-79EE707B8473}">
      <text>
        <r>
          <rPr>
            <b/>
            <sz val="9"/>
            <color indexed="81"/>
            <rFont val="Tahoma"/>
            <family val="2"/>
          </rPr>
          <t>27/04/2022</t>
        </r>
      </text>
    </comment>
    <comment ref="EY52" authorId="0" shapeId="0" xr:uid="{7E93FD2F-CD19-4960-901A-D33E5FB4DB0B}">
      <text>
        <r>
          <rPr>
            <b/>
            <sz val="9"/>
            <color indexed="81"/>
            <rFont val="Tahoma"/>
            <family val="2"/>
          </rPr>
          <t>03/03/2022</t>
        </r>
      </text>
    </comment>
    <comment ref="AK53" authorId="0" shapeId="0" xr:uid="{3376D03C-612F-4B42-BB5D-2B4EA9966983}">
      <text>
        <r>
          <rPr>
            <b/>
            <sz val="9"/>
            <color indexed="81"/>
            <rFont val="Tahoma"/>
            <family val="2"/>
          </rPr>
          <t>07/03/2022</t>
        </r>
      </text>
    </comment>
    <comment ref="AP53" authorId="0" shapeId="0" xr:uid="{72F09569-8661-4949-9953-3A4437FF899B}">
      <text>
        <r>
          <rPr>
            <b/>
            <sz val="9"/>
            <color indexed="81"/>
            <rFont val="Tahoma"/>
            <family val="2"/>
          </rPr>
          <t>10/01/2022</t>
        </r>
      </text>
    </comment>
    <comment ref="AZ53" authorId="0" shapeId="0" xr:uid="{1363AF89-DF1B-46C0-A45D-6B7591F590CB}">
      <text>
        <r>
          <rPr>
            <b/>
            <sz val="9"/>
            <color indexed="81"/>
            <rFont val="Tahoma"/>
            <family val="2"/>
          </rPr>
          <t>20/06/2022</t>
        </r>
      </text>
    </comment>
    <comment ref="BJ53" authorId="0" shapeId="0" xr:uid="{09C758B2-244B-4B70-8506-3E535AC196AE}">
      <text>
        <r>
          <rPr>
            <b/>
            <sz val="9"/>
            <color indexed="81"/>
            <rFont val="Tahoma"/>
            <family val="2"/>
          </rPr>
          <t>06/06/2022</t>
        </r>
      </text>
    </comment>
    <comment ref="BO53" authorId="0" shapeId="0" xr:uid="{248BB83C-AB74-48FD-B937-2E954A949043}">
      <text>
        <r>
          <rPr>
            <b/>
            <sz val="9"/>
            <color indexed="81"/>
            <rFont val="Tahoma"/>
            <family val="2"/>
          </rPr>
          <t>28/02/2022</t>
        </r>
      </text>
    </comment>
    <comment ref="BY53" authorId="0" shapeId="0" xr:uid="{884926C3-ECB2-4BC7-97B9-90954B398A02}">
      <text>
        <r>
          <rPr>
            <b/>
            <sz val="9"/>
            <color indexed="81"/>
            <rFont val="Tahoma"/>
            <family val="2"/>
          </rPr>
          <t>09/03/2022</t>
        </r>
        <r>
          <rPr>
            <sz val="9"/>
            <color indexed="81"/>
            <rFont val="Tahoma"/>
            <family val="2"/>
          </rPr>
          <t xml:space="preserve">
</t>
        </r>
      </text>
    </comment>
    <comment ref="CJ53" authorId="0" shapeId="0" xr:uid="{7B358C31-F501-4016-907F-D71241672EC3}">
      <text>
        <r>
          <rPr>
            <b/>
            <sz val="9"/>
            <color indexed="81"/>
            <rFont val="Tahoma"/>
            <family val="2"/>
          </rPr>
          <t>12/01/2022</t>
        </r>
      </text>
    </comment>
    <comment ref="CO53" authorId="0" shapeId="0" xr:uid="{799BF4EB-0F3D-4CBC-AD01-BCF757973B3C}">
      <text>
        <r>
          <rPr>
            <b/>
            <sz val="9"/>
            <color indexed="81"/>
            <rFont val="Tahoma"/>
            <family val="2"/>
          </rPr>
          <t>18/01/2022</t>
        </r>
      </text>
    </comment>
    <comment ref="DI53" authorId="0" shapeId="0" xr:uid="{7E368126-7E5C-47D5-A26E-2978163F1BE3}">
      <text>
        <r>
          <rPr>
            <b/>
            <sz val="9"/>
            <color indexed="81"/>
            <rFont val="Tahoma"/>
            <family val="2"/>
          </rPr>
          <t>24/02/2022</t>
        </r>
      </text>
    </comment>
    <comment ref="DN53" authorId="1" shapeId="0" xr:uid="{33075251-B01E-4E6A-BF59-9716E46E77FF}">
      <text>
        <r>
          <rPr>
            <b/>
            <sz val="9"/>
            <color indexed="81"/>
            <rFont val="Tahoma"/>
            <family val="2"/>
          </rPr>
          <t>Candelaria Yesenia Balcazar Hernandez:</t>
        </r>
        <r>
          <rPr>
            <sz val="9"/>
            <color indexed="81"/>
            <rFont val="Tahoma"/>
            <family val="2"/>
          </rPr>
          <t xml:space="preserve">
19/08/2022</t>
        </r>
      </text>
    </comment>
    <comment ref="DX53" authorId="0" shapeId="0" xr:uid="{B9FEFA5E-2A5C-4E35-8A42-BB0F5CFBD148}">
      <text>
        <r>
          <rPr>
            <b/>
            <sz val="9"/>
            <color indexed="81"/>
            <rFont val="Tahoma"/>
            <family val="2"/>
          </rPr>
          <t>30/03/2024</t>
        </r>
      </text>
    </comment>
    <comment ref="ET53" authorId="0" shapeId="0" xr:uid="{D39FAF50-1462-467D-A9B6-E11C2F085F06}">
      <text>
        <r>
          <rPr>
            <b/>
            <sz val="9"/>
            <color indexed="81"/>
            <rFont val="Tahoma"/>
            <family val="2"/>
          </rPr>
          <t>20/06/2022</t>
        </r>
      </text>
    </comment>
    <comment ref="EY53" authorId="0" shapeId="0" xr:uid="{8179F075-96EC-4A52-B361-96FE251E5634}">
      <text>
        <r>
          <rPr>
            <b/>
            <sz val="9"/>
            <color indexed="81"/>
            <rFont val="Tahoma"/>
            <family val="2"/>
          </rPr>
          <t>10/03/2022</t>
        </r>
      </text>
    </comment>
    <comment ref="FI53" authorId="0" shapeId="0" xr:uid="{48E61058-A844-4E4D-A250-6E8F10D5D3E3}">
      <text>
        <r>
          <rPr>
            <b/>
            <sz val="9"/>
            <color indexed="81"/>
            <rFont val="Tahoma"/>
            <family val="2"/>
          </rPr>
          <t>11/03/2022</t>
        </r>
      </text>
    </comment>
    <comment ref="FS53" authorId="0" shapeId="0" xr:uid="{86B36F8A-845B-49F6-8521-1D38EBA5715F}">
      <text>
        <r>
          <rPr>
            <b/>
            <sz val="9"/>
            <color indexed="81"/>
            <rFont val="Tahoma"/>
            <family val="2"/>
          </rPr>
          <t>18/02/2022</t>
        </r>
      </text>
    </comment>
    <comment ref="GC53" authorId="0" shapeId="0" xr:uid="{E3FEE53D-DB33-4D9F-AA2C-71B716A893DF}">
      <text>
        <r>
          <rPr>
            <b/>
            <sz val="9"/>
            <color indexed="81"/>
            <rFont val="Tahoma"/>
            <family val="2"/>
          </rPr>
          <t>23/06/2022</t>
        </r>
      </text>
    </comment>
    <comment ref="GH53" authorId="0" shapeId="0" xr:uid="{DD3E4238-95FA-4391-88BB-AF9D6609B9EB}">
      <text>
        <r>
          <rPr>
            <b/>
            <sz val="9"/>
            <color indexed="81"/>
            <rFont val="Tahoma"/>
            <family val="2"/>
          </rPr>
          <t>22/02/2022</t>
        </r>
      </text>
    </comment>
    <comment ref="E54" authorId="0" shapeId="0" xr:uid="{05F35352-236F-49D4-8DAB-85673C7A8919}">
      <text>
        <r>
          <rPr>
            <b/>
            <sz val="9"/>
            <color indexed="81"/>
            <rFont val="Tahoma"/>
          </rPr>
          <t>04/04/2024 - 05/04/2024</t>
        </r>
      </text>
    </comment>
    <comment ref="AP55" authorId="0" shapeId="0" xr:uid="{8BBDBC53-CF04-4146-91AE-46901B49CBAA}">
      <text>
        <r>
          <rPr>
            <b/>
            <sz val="9"/>
            <color indexed="81"/>
            <rFont val="Tahoma"/>
            <family val="2"/>
          </rPr>
          <t>06/07/2022</t>
        </r>
      </text>
    </comment>
    <comment ref="BE55" authorId="0" shapeId="0" xr:uid="{CBE49C7F-5010-48FB-85F9-CD4BAD102503}">
      <text>
        <r>
          <rPr>
            <b/>
            <sz val="9"/>
            <color indexed="81"/>
            <rFont val="Tahoma"/>
            <family val="2"/>
          </rPr>
          <t>02/06/2022</t>
        </r>
      </text>
    </comment>
    <comment ref="CO55" authorId="0" shapeId="0" xr:uid="{F5A7E1BC-FB05-49F6-B900-CA2EF79B5CDE}">
      <text>
        <r>
          <rPr>
            <b/>
            <sz val="9"/>
            <color indexed="81"/>
            <rFont val="Tahoma"/>
            <family val="2"/>
          </rPr>
          <t>15/07/2022</t>
        </r>
      </text>
    </comment>
    <comment ref="DI55" authorId="0" shapeId="0" xr:uid="{94EEDA1A-C51E-4770-9A17-47FBAE2E510E}">
      <text>
        <r>
          <rPr>
            <b/>
            <sz val="9"/>
            <color indexed="81"/>
            <rFont val="Tahoma"/>
            <family val="2"/>
          </rPr>
          <t>06/07/2022</t>
        </r>
      </text>
    </comment>
    <comment ref="DX55" authorId="0" shapeId="0" xr:uid="{6F26BB71-A8AC-4B64-8C87-3CD4AC86CA2E}">
      <text>
        <r>
          <rPr>
            <b/>
            <sz val="9"/>
            <color indexed="81"/>
            <rFont val="Tahoma"/>
            <family val="2"/>
          </rPr>
          <t>27/06/2022</t>
        </r>
      </text>
    </comment>
    <comment ref="EC55" authorId="0" shapeId="0" xr:uid="{0E5099AA-8747-4B64-8037-886EC2D9D30D}">
      <text>
        <r>
          <rPr>
            <b/>
            <sz val="9"/>
            <color indexed="81"/>
            <rFont val="Tahoma"/>
            <family val="2"/>
          </rPr>
          <t>28/06/2022</t>
        </r>
      </text>
    </comment>
    <comment ref="EY55" authorId="0" shapeId="0" xr:uid="{36B8C31C-B94E-4A7D-A6C9-1E04BD18737D}">
      <text>
        <r>
          <rPr>
            <b/>
            <sz val="9"/>
            <color indexed="81"/>
            <rFont val="Tahoma"/>
            <family val="2"/>
          </rPr>
          <t>29/06/2022</t>
        </r>
      </text>
    </comment>
    <comment ref="GC55" authorId="0" shapeId="0" xr:uid="{9C3B6059-57A9-4645-B179-E5921C96BA7E}">
      <text>
        <r>
          <rPr>
            <b/>
            <sz val="9"/>
            <color indexed="81"/>
            <rFont val="Tahoma"/>
            <family val="2"/>
          </rPr>
          <t>23/06/2022</t>
        </r>
      </text>
    </comment>
    <comment ref="GH55" authorId="0" shapeId="0" xr:uid="{852A65C3-5760-4270-80B1-4EFA826CB846}">
      <text>
        <r>
          <rPr>
            <b/>
            <sz val="9"/>
            <color indexed="81"/>
            <rFont val="Tahoma"/>
            <family val="2"/>
          </rPr>
          <t>30/06/2022</t>
        </r>
      </text>
    </comment>
    <comment ref="GM55" authorId="0" shapeId="0" xr:uid="{5966CD03-E67D-428E-9F56-2D878C646F97}">
      <text>
        <r>
          <rPr>
            <b/>
            <sz val="9"/>
            <color indexed="81"/>
            <rFont val="Tahoma"/>
            <family val="2"/>
          </rPr>
          <t>05/07/2022</t>
        </r>
      </text>
    </comment>
    <comment ref="AK56" authorId="0" shapeId="0" xr:uid="{1ED47191-EAB8-4D79-AD39-08A9056FBA3F}">
      <text>
        <r>
          <rPr>
            <b/>
            <sz val="9"/>
            <color indexed="81"/>
            <rFont val="Tahoma"/>
            <family val="2"/>
          </rPr>
          <t>02/02/2022</t>
        </r>
      </text>
    </comment>
    <comment ref="AP56" authorId="0" shapeId="0" xr:uid="{1D1BEED0-BAA9-47D8-8696-240CA2EB6C43}">
      <text>
        <r>
          <rPr>
            <b/>
            <sz val="9"/>
            <color indexed="81"/>
            <rFont val="Tahoma"/>
            <family val="2"/>
          </rPr>
          <t>13/05/2022</t>
        </r>
      </text>
    </comment>
    <comment ref="AZ56" authorId="0" shapeId="0" xr:uid="{A6A70CCE-F92B-476F-A72D-F4AB847A51F9}">
      <text>
        <r>
          <rPr>
            <b/>
            <sz val="9"/>
            <color indexed="81"/>
            <rFont val="Tahoma"/>
            <family val="2"/>
          </rPr>
          <t>20/06/2022</t>
        </r>
      </text>
    </comment>
    <comment ref="BJ56" authorId="0" shapeId="0" xr:uid="{22A18DCD-3128-41E2-960B-7899FE12C9EF}">
      <text>
        <r>
          <rPr>
            <b/>
            <sz val="9"/>
            <color indexed="81"/>
            <rFont val="Tahoma"/>
            <family val="2"/>
          </rPr>
          <t>13/06/2022</t>
        </r>
      </text>
    </comment>
    <comment ref="BT56" authorId="0" shapeId="0" xr:uid="{A50E0EBF-A84C-4D7F-938F-EEDE0D2A1F72}">
      <text>
        <r>
          <rPr>
            <b/>
            <sz val="9"/>
            <color indexed="81"/>
            <rFont val="Tahoma"/>
            <family val="2"/>
          </rPr>
          <t>21/06/2022</t>
        </r>
      </text>
    </comment>
    <comment ref="BY56" authorId="0" shapeId="0" xr:uid="{41281BEC-2F9B-4693-8F5F-CC15E7073EED}">
      <text>
        <r>
          <rPr>
            <b/>
            <sz val="9"/>
            <color indexed="81"/>
            <rFont val="Tahoma"/>
            <family val="2"/>
          </rPr>
          <t>02/02/2022</t>
        </r>
      </text>
    </comment>
    <comment ref="CJ56" authorId="0" shapeId="0" xr:uid="{ECB2CD09-EB7F-4566-B24F-ABE2EDD9D121}">
      <text>
        <r>
          <rPr>
            <b/>
            <sz val="9"/>
            <color indexed="81"/>
            <rFont val="Tahoma"/>
            <family val="2"/>
          </rPr>
          <t>03/06/2022</t>
        </r>
      </text>
    </comment>
    <comment ref="CY56" authorId="0" shapeId="0" xr:uid="{8BA89676-DFB6-4163-96B5-1006C439F7AD}">
      <text>
        <r>
          <rPr>
            <b/>
            <sz val="9"/>
            <color indexed="81"/>
            <rFont val="Tahoma"/>
            <family val="2"/>
          </rPr>
          <t>14/05/2022</t>
        </r>
      </text>
    </comment>
    <comment ref="DI56" authorId="0" shapeId="0" xr:uid="{D2AD77DA-AE9F-448C-B484-DC014BF572B6}">
      <text>
        <r>
          <rPr>
            <b/>
            <sz val="9"/>
            <color indexed="81"/>
            <rFont val="Tahoma"/>
            <family val="2"/>
          </rPr>
          <t>14/05/2022</t>
        </r>
      </text>
    </comment>
    <comment ref="DN56" authorId="0" shapeId="0" xr:uid="{23443BA2-E5B7-40A3-866F-5360D45F4173}">
      <text>
        <r>
          <rPr>
            <b/>
            <sz val="9"/>
            <color indexed="81"/>
            <rFont val="Tahoma"/>
            <family val="2"/>
          </rPr>
          <t>10/05/2022</t>
        </r>
      </text>
    </comment>
    <comment ref="DX56" authorId="0" shapeId="0" xr:uid="{FDD33C7A-2505-4760-B7BA-0A20A8BE1A08}">
      <text>
        <r>
          <rPr>
            <b/>
            <sz val="9"/>
            <color indexed="81"/>
            <rFont val="Tahoma"/>
            <family val="2"/>
          </rPr>
          <t>06/06/2022</t>
        </r>
      </text>
    </comment>
    <comment ref="EH56" authorId="1" shapeId="0" xr:uid="{1C27C0CA-F6B6-42D8-B913-6C817A2B9977}">
      <text>
        <r>
          <rPr>
            <b/>
            <sz val="9"/>
            <color indexed="81"/>
            <rFont val="Tahoma"/>
            <family val="2"/>
          </rPr>
          <t>Candelaria Yesenia Balcazar Hernandez:</t>
        </r>
        <r>
          <rPr>
            <sz val="9"/>
            <color indexed="81"/>
            <rFont val="Tahoma"/>
            <family val="2"/>
          </rPr>
          <t xml:space="preserve">
08/06/2022
</t>
        </r>
      </text>
    </comment>
    <comment ref="FD56" authorId="0" shapeId="0" xr:uid="{F30C03C9-25C3-4037-B532-B72903A3A5CC}">
      <text>
        <r>
          <rPr>
            <b/>
            <sz val="9"/>
            <color indexed="81"/>
            <rFont val="Tahoma"/>
            <family val="2"/>
          </rPr>
          <t>03/02/2022</t>
        </r>
      </text>
    </comment>
    <comment ref="FI56" authorId="0" shapeId="0" xr:uid="{DA91C819-5218-4F1E-AEED-DE50E09E46CE}">
      <text>
        <r>
          <rPr>
            <b/>
            <sz val="9"/>
            <color indexed="81"/>
            <rFont val="Tahoma"/>
            <family val="2"/>
          </rPr>
          <t>04/02/2022</t>
        </r>
      </text>
    </comment>
    <comment ref="FX56" authorId="0" shapeId="0" xr:uid="{42CD3EC0-3005-4AC5-A63B-82E4DF618B90}">
      <text>
        <r>
          <rPr>
            <b/>
            <sz val="9"/>
            <color indexed="81"/>
            <rFont val="Tahoma"/>
            <family val="2"/>
          </rPr>
          <t>04/02/2022</t>
        </r>
      </text>
    </comment>
    <comment ref="GC56" authorId="0" shapeId="0" xr:uid="{BF31F792-CC25-4865-A88A-E9E2E12729EF}">
      <text>
        <r>
          <rPr>
            <b/>
            <sz val="9"/>
            <color indexed="81"/>
            <rFont val="Tahoma"/>
            <family val="2"/>
          </rPr>
          <t>23/06/2022</t>
        </r>
      </text>
    </comment>
    <comment ref="U57" authorId="0" shapeId="0" xr:uid="{BFCB424A-BDDE-4693-B917-58C4349A743F}">
      <text>
        <r>
          <rPr>
            <b/>
            <sz val="9"/>
            <color indexed="81"/>
            <rFont val="Tahoma"/>
            <family val="2"/>
          </rPr>
          <t>24/11/2020</t>
        </r>
      </text>
    </comment>
    <comment ref="AK57" authorId="1" shapeId="0" xr:uid="{EC0601BC-8199-4E4F-ABD0-8E6810DAAE06}">
      <text>
        <r>
          <rPr>
            <b/>
            <sz val="9"/>
            <color indexed="81"/>
            <rFont val="Tahoma"/>
            <family val="2"/>
          </rPr>
          <t>Candelaria Yesenia Balcazar Hernandez:</t>
        </r>
        <r>
          <rPr>
            <sz val="9"/>
            <color indexed="81"/>
            <rFont val="Tahoma"/>
            <family val="2"/>
          </rPr>
          <t xml:space="preserve">
06/04/2021</t>
        </r>
      </text>
    </comment>
    <comment ref="AZ57" authorId="1" shapeId="0" xr:uid="{ACBFD5DF-E90F-4327-9906-AFA00F150ED3}">
      <text>
        <r>
          <rPr>
            <b/>
            <sz val="9"/>
            <color indexed="81"/>
            <rFont val="Tahoma"/>
            <family val="2"/>
          </rPr>
          <t>Candelaria Yesenia Balcazar Hernandez:</t>
        </r>
        <r>
          <rPr>
            <sz val="9"/>
            <color indexed="81"/>
            <rFont val="Tahoma"/>
            <family val="2"/>
          </rPr>
          <t xml:space="preserve">
06/07/2021</t>
        </r>
      </text>
    </comment>
    <comment ref="BJ57" authorId="0" shapeId="0" xr:uid="{B82D9F07-AB60-42F3-B600-1AFE290ABC0D}">
      <text>
        <r>
          <rPr>
            <b/>
            <sz val="9"/>
            <color indexed="81"/>
            <rFont val="Tahoma"/>
            <family val="2"/>
          </rPr>
          <t>08/06/2022</t>
        </r>
      </text>
    </comment>
    <comment ref="BT57" authorId="1" shapeId="0" xr:uid="{AE2E1318-CF76-41FF-8A9B-19D90D84AE93}">
      <text>
        <r>
          <rPr>
            <b/>
            <sz val="9"/>
            <color indexed="81"/>
            <rFont val="Tahoma"/>
            <family val="2"/>
          </rPr>
          <t>Candelaria Yesenia Balcazar Hernandez:</t>
        </r>
        <r>
          <rPr>
            <sz val="9"/>
            <color indexed="81"/>
            <rFont val="Tahoma"/>
            <family val="2"/>
          </rPr>
          <t xml:space="preserve">
01/07/2021</t>
        </r>
      </text>
    </comment>
    <comment ref="CO57" authorId="1" shapeId="0" xr:uid="{C362C302-34E3-4D3F-A095-08D19449CC5A}">
      <text>
        <r>
          <rPr>
            <b/>
            <sz val="9"/>
            <color indexed="81"/>
            <rFont val="Tahoma"/>
            <family val="2"/>
          </rPr>
          <t>Candelaria Yesenia Balcazar Hernandez:</t>
        </r>
        <r>
          <rPr>
            <sz val="9"/>
            <color indexed="81"/>
            <rFont val="Tahoma"/>
            <family val="2"/>
          </rPr>
          <t xml:space="preserve">
18/06/2021</t>
        </r>
      </text>
    </comment>
    <comment ref="CY57" authorId="1" shapeId="0" xr:uid="{72D27DDD-5728-41B9-95FD-9D7FEC40F6AD}">
      <text>
        <r>
          <rPr>
            <b/>
            <sz val="9"/>
            <color indexed="81"/>
            <rFont val="Tahoma"/>
            <family val="2"/>
          </rPr>
          <t>Candelaria Yesenia Balcazar Hernandez:</t>
        </r>
        <r>
          <rPr>
            <sz val="9"/>
            <color indexed="81"/>
            <rFont val="Tahoma"/>
            <family val="2"/>
          </rPr>
          <t xml:space="preserve">
03/07/2021</t>
        </r>
      </text>
    </comment>
    <comment ref="DN57" authorId="0" shapeId="0" xr:uid="{1B47B0B1-0E2F-4C9E-A163-BF9AF9C07A25}">
      <text>
        <r>
          <rPr>
            <b/>
            <sz val="9"/>
            <color indexed="81"/>
            <rFont val="Tahoma"/>
            <family val="2"/>
          </rPr>
          <t>21/02/2022</t>
        </r>
      </text>
    </comment>
    <comment ref="DX57" authorId="1" shapeId="0" xr:uid="{F94153D7-3E10-437E-9D7C-164D729E2B87}">
      <text>
        <r>
          <rPr>
            <b/>
            <sz val="9"/>
            <color indexed="81"/>
            <rFont val="Tahoma"/>
            <family val="2"/>
          </rPr>
          <t>Candelaria Yesenia Balcazar Hernandez:</t>
        </r>
        <r>
          <rPr>
            <sz val="9"/>
            <color indexed="81"/>
            <rFont val="Tahoma"/>
            <family val="2"/>
          </rPr>
          <t xml:space="preserve">
09/07/2021
</t>
        </r>
      </text>
    </comment>
    <comment ref="EO57" authorId="1" shapeId="0" xr:uid="{BA1780E2-A14B-4CF9-B6CE-011FB9EB5249}">
      <text>
        <r>
          <rPr>
            <b/>
            <sz val="9"/>
            <color indexed="81"/>
            <rFont val="Tahoma"/>
            <family val="2"/>
          </rPr>
          <t>Candelaria Yesenia Balcazar Hernandez:</t>
        </r>
        <r>
          <rPr>
            <sz val="9"/>
            <color indexed="81"/>
            <rFont val="Tahoma"/>
            <family val="2"/>
          </rPr>
          <t xml:space="preserve">
10/07/2021</t>
        </r>
      </text>
    </comment>
    <comment ref="FS57" authorId="1" shapeId="0" xr:uid="{991D1C8B-4BA0-4F7C-91C6-B9CDAE74D21D}">
      <text>
        <r>
          <rPr>
            <b/>
            <sz val="9"/>
            <color indexed="81"/>
            <rFont val="Tahoma"/>
            <family val="2"/>
          </rPr>
          <t>Candelaria Yesenia Balcazar Hernandez:</t>
        </r>
        <r>
          <rPr>
            <sz val="9"/>
            <color indexed="81"/>
            <rFont val="Tahoma"/>
            <family val="2"/>
          </rPr>
          <t xml:space="preserve">
21/06/2021</t>
        </r>
      </text>
    </comment>
    <comment ref="GM57" authorId="1" shapeId="0" xr:uid="{6BFA236D-84AD-45FD-A2D3-E6A12BE8C96D}">
      <text>
        <r>
          <rPr>
            <b/>
            <sz val="9"/>
            <color indexed="81"/>
            <rFont val="Tahoma"/>
            <family val="2"/>
          </rPr>
          <t>Candelaria Yesenia Balcazar Hernandez:</t>
        </r>
        <r>
          <rPr>
            <sz val="9"/>
            <color indexed="81"/>
            <rFont val="Tahoma"/>
            <family val="2"/>
          </rPr>
          <t xml:space="preserve">
21/06/2021</t>
        </r>
      </text>
    </comment>
    <comment ref="AK58" authorId="0" shapeId="0" xr:uid="{343FECFC-2BC1-41E5-AEC6-99894E3BBC87}">
      <text>
        <r>
          <rPr>
            <b/>
            <sz val="9"/>
            <color indexed="81"/>
            <rFont val="Tahoma"/>
            <family val="2"/>
          </rPr>
          <t>23/03/2022</t>
        </r>
      </text>
    </comment>
    <comment ref="AP58" authorId="1" shapeId="0" xr:uid="{FA21BEB4-A0D5-4319-86CC-C12A781B55FF}">
      <text>
        <r>
          <rPr>
            <b/>
            <sz val="9"/>
            <color indexed="81"/>
            <rFont val="Tahoma"/>
            <family val="2"/>
          </rPr>
          <t>Candelaria Yesenia Balcazar Hernandez:</t>
        </r>
        <r>
          <rPr>
            <sz val="9"/>
            <color indexed="81"/>
            <rFont val="Tahoma"/>
            <family val="2"/>
          </rPr>
          <t xml:space="preserve">
23/06/2021</t>
        </r>
      </text>
    </comment>
    <comment ref="AU58" authorId="0" shapeId="0" xr:uid="{F78ACC7D-F1CA-495B-9448-C8679A38E7FB}">
      <text>
        <r>
          <rPr>
            <b/>
            <sz val="9"/>
            <color indexed="81"/>
            <rFont val="Tahoma"/>
            <family val="2"/>
          </rPr>
          <t>12/04/2022</t>
        </r>
      </text>
    </comment>
    <comment ref="AZ58" authorId="0" shapeId="0" xr:uid="{53F62637-3362-4CE6-A99E-B5DF3DF4506A}">
      <text>
        <r>
          <rPr>
            <b/>
            <sz val="9"/>
            <color indexed="81"/>
            <rFont val="Tahoma"/>
            <family val="2"/>
          </rPr>
          <t>20/06/2022</t>
        </r>
      </text>
    </comment>
    <comment ref="BE58" authorId="0" shapeId="0" xr:uid="{E8803994-BF9D-4EA7-93FD-523B22ABFBC0}">
      <text>
        <r>
          <rPr>
            <b/>
            <sz val="9"/>
            <color indexed="81"/>
            <rFont val="Tahoma"/>
            <family val="2"/>
          </rPr>
          <t>22/06/2022</t>
        </r>
      </text>
    </comment>
    <comment ref="BT58" authorId="0" shapeId="0" xr:uid="{2D9298AB-5981-401E-A967-5FCB3DD2B404}">
      <text>
        <r>
          <rPr>
            <b/>
            <sz val="9"/>
            <color indexed="81"/>
            <rFont val="Tahoma"/>
            <family val="2"/>
          </rPr>
          <t>21/06/2022</t>
        </r>
      </text>
    </comment>
    <comment ref="EH58" authorId="1" shapeId="0" xr:uid="{11B6416D-7B12-47D2-85C4-2CCA02C41475}">
      <text>
        <r>
          <rPr>
            <b/>
            <sz val="9"/>
            <color indexed="81"/>
            <rFont val="Tahoma"/>
            <family val="2"/>
          </rPr>
          <t>Candelaria Yesenia Balcazar Hernandez:</t>
        </r>
        <r>
          <rPr>
            <sz val="9"/>
            <color indexed="81"/>
            <rFont val="Tahoma"/>
            <family val="2"/>
          </rPr>
          <t xml:space="preserve">
13/05/2023</t>
        </r>
      </text>
    </comment>
    <comment ref="GC58" authorId="0" shapeId="0" xr:uid="{BFAB851D-04CB-464B-AE5F-888B5C3B79E5}">
      <text>
        <r>
          <rPr>
            <b/>
            <sz val="9"/>
            <color indexed="81"/>
            <rFont val="Tahoma"/>
            <family val="2"/>
          </rPr>
          <t>23/06/2022</t>
        </r>
      </text>
    </comment>
    <comment ref="AF59" authorId="0" shapeId="0" xr:uid="{676E6CD1-A532-4977-A71C-031A6C3262C3}">
      <text>
        <r>
          <rPr>
            <b/>
            <sz val="9"/>
            <color indexed="81"/>
            <rFont val="Tahoma"/>
            <family val="2"/>
          </rPr>
          <t>01/02/2022</t>
        </r>
      </text>
    </comment>
    <comment ref="AK59" authorId="0" shapeId="0" xr:uid="{B0C7CA51-7207-4717-AAC8-2B7925C614E6}">
      <text>
        <r>
          <rPr>
            <b/>
            <sz val="9"/>
            <color indexed="81"/>
            <rFont val="Tahoma"/>
            <family val="2"/>
          </rPr>
          <t>02/02/2022</t>
        </r>
      </text>
    </comment>
    <comment ref="AP59" authorId="0" shapeId="0" xr:uid="{61EA9007-FAA7-4520-A94D-2591EB4EB24F}">
      <text>
        <r>
          <rPr>
            <b/>
            <sz val="9"/>
            <color indexed="81"/>
            <rFont val="Tahoma"/>
            <family val="2"/>
          </rPr>
          <t>01/04/2022</t>
        </r>
      </text>
    </comment>
    <comment ref="BJ59" authorId="0" shapeId="0" xr:uid="{0DE74228-D340-4A75-843C-40D6AB05612B}">
      <text>
        <r>
          <rPr>
            <b/>
            <sz val="9"/>
            <color indexed="81"/>
            <rFont val="Tahoma"/>
            <family val="2"/>
          </rPr>
          <t>10/06/2022</t>
        </r>
      </text>
    </comment>
    <comment ref="DI59" authorId="0" shapeId="0" xr:uid="{2F85FE80-80EE-4212-8C48-4A2E1D1AB1C1}">
      <text>
        <r>
          <rPr>
            <b/>
            <sz val="9"/>
            <color indexed="81"/>
            <rFont val="Tahoma"/>
            <family val="2"/>
          </rPr>
          <t>02/04/2022</t>
        </r>
      </text>
    </comment>
    <comment ref="FD59" authorId="0" shapeId="0" xr:uid="{5BA93B4B-674F-460E-A49F-B8F523856142}">
      <text>
        <r>
          <rPr>
            <b/>
            <sz val="9"/>
            <color indexed="81"/>
            <rFont val="Tahoma"/>
            <family val="2"/>
          </rPr>
          <t>03/02/2022</t>
        </r>
      </text>
    </comment>
    <comment ref="FI59" authorId="0" shapeId="0" xr:uid="{15B0111A-C28C-45C3-8176-787226860B2B}">
      <text>
        <r>
          <rPr>
            <b/>
            <sz val="9"/>
            <color indexed="81"/>
            <rFont val="Tahoma"/>
            <family val="2"/>
          </rPr>
          <t>04/02/2022</t>
        </r>
      </text>
    </comment>
    <comment ref="E60" authorId="0" shapeId="0" xr:uid="{C7070E25-59E6-4443-95FE-11B5C82669B4}">
      <text>
        <r>
          <rPr>
            <b/>
            <sz val="9"/>
            <color indexed="81"/>
            <rFont val="Tahoma"/>
            <family val="2"/>
          </rPr>
          <t>06/02/2024 y 07/02/2024</t>
        </r>
      </text>
    </comment>
    <comment ref="AK60" authorId="0" shapeId="0" xr:uid="{63D98310-CA80-4121-899C-45E37259FB3A}">
      <text>
        <r>
          <rPr>
            <b/>
            <sz val="9"/>
            <color indexed="81"/>
            <rFont val="Tahoma"/>
            <family val="2"/>
          </rPr>
          <t>02/02/2022</t>
        </r>
      </text>
    </comment>
    <comment ref="AZ60" authorId="0" shapeId="0" xr:uid="{9171F251-227B-48B5-B40A-989F1457A0EF}">
      <text>
        <r>
          <rPr>
            <b/>
            <sz val="9"/>
            <color indexed="81"/>
            <rFont val="Tahoma"/>
            <family val="2"/>
          </rPr>
          <t xml:space="preserve">01/06/2022
24/03/2024
</t>
        </r>
      </text>
    </comment>
    <comment ref="BT60" authorId="0" shapeId="0" xr:uid="{F8E09753-C3EB-403A-A096-8CE6E4A3F4A2}">
      <text>
        <r>
          <rPr>
            <b/>
            <sz val="9"/>
            <color indexed="81"/>
            <rFont val="Tahoma"/>
            <family val="2"/>
          </rPr>
          <t>04/03/2022</t>
        </r>
      </text>
    </comment>
    <comment ref="CT60" authorId="0" shapeId="0" xr:uid="{E4880BE3-B65C-4F26-9EE8-D9028D845A24}">
      <text>
        <r>
          <rPr>
            <b/>
            <sz val="9"/>
            <color indexed="81"/>
            <rFont val="Tahoma"/>
            <family val="2"/>
          </rPr>
          <t>11/05/2022</t>
        </r>
      </text>
    </comment>
    <comment ref="DI60" authorId="0" shapeId="0" xr:uid="{B69954EF-B4C5-4C4C-9A41-305B93FAD47C}">
      <text>
        <r>
          <rPr>
            <b/>
            <sz val="9"/>
            <color indexed="81"/>
            <rFont val="Tahoma"/>
            <family val="2"/>
          </rPr>
          <t>14/05/2022</t>
        </r>
      </text>
    </comment>
    <comment ref="EY60" authorId="0" shapeId="0" xr:uid="{24E64ED1-FEDD-4A6C-B4D7-DCA01A683893}">
      <text>
        <r>
          <rPr>
            <b/>
            <sz val="9"/>
            <color indexed="81"/>
            <rFont val="Tahoma"/>
            <family val="2"/>
          </rPr>
          <t>03/02/2022</t>
        </r>
      </text>
    </comment>
    <comment ref="AK62" authorId="0" shapeId="0" xr:uid="{D4D95CC7-8865-4C87-84C2-B08C6D200A21}">
      <text>
        <r>
          <rPr>
            <b/>
            <sz val="9"/>
            <color indexed="81"/>
            <rFont val="Tahoma"/>
            <family val="2"/>
          </rPr>
          <t>23/03/2022
16/10/2023</t>
        </r>
      </text>
    </comment>
    <comment ref="AP62" authorId="0" shapeId="0" xr:uid="{62C5FC37-7758-4441-AE68-5C6631C53A26}">
      <text>
        <r>
          <rPr>
            <b/>
            <sz val="9"/>
            <color indexed="81"/>
            <rFont val="Tahoma"/>
            <family val="2"/>
          </rPr>
          <t>13/05/2022</t>
        </r>
      </text>
    </comment>
    <comment ref="AZ62" authorId="0" shapeId="0" xr:uid="{CD7EA0D7-43C3-4B69-85C6-DF0201EE3E29}">
      <text>
        <r>
          <rPr>
            <b/>
            <sz val="9"/>
            <color indexed="81"/>
            <rFont val="Tahoma"/>
            <family val="2"/>
          </rPr>
          <t>20/06/2022</t>
        </r>
      </text>
    </comment>
    <comment ref="BE62" authorId="0" shapeId="0" xr:uid="{FB6AB80A-C713-44AF-8A66-92A2766D9CEB}">
      <text>
        <r>
          <rPr>
            <b/>
            <sz val="9"/>
            <color indexed="81"/>
            <rFont val="Tahoma"/>
            <family val="2"/>
          </rPr>
          <t>22/06/2022</t>
        </r>
      </text>
    </comment>
    <comment ref="BJ62" authorId="0" shapeId="0" xr:uid="{F99B0F5F-CD6F-403D-9145-D79165C024C3}">
      <text>
        <r>
          <rPr>
            <b/>
            <sz val="9"/>
            <color indexed="81"/>
            <rFont val="Tahoma"/>
            <family val="2"/>
          </rPr>
          <t>09/06/2022</t>
        </r>
      </text>
    </comment>
    <comment ref="BT62" authorId="0" shapeId="0" xr:uid="{148844CD-3A8B-4F7A-9C8C-49F8D25D2E3A}">
      <text>
        <r>
          <rPr>
            <b/>
            <sz val="9"/>
            <color indexed="81"/>
            <rFont val="Tahoma"/>
            <family val="2"/>
          </rPr>
          <t>21/06/2022</t>
        </r>
      </text>
    </comment>
    <comment ref="CO62" authorId="0" shapeId="0" xr:uid="{A3FC7307-E39A-4AAD-B777-0E39171D5ADB}">
      <text>
        <r>
          <rPr>
            <b/>
            <sz val="9"/>
            <color indexed="81"/>
            <rFont val="Tahoma"/>
            <family val="2"/>
          </rPr>
          <t>27/01/2022</t>
        </r>
      </text>
    </comment>
    <comment ref="DI62" authorId="0" shapeId="0" xr:uid="{F702207F-D29E-499C-A3A6-61499E7C99D7}">
      <text>
        <r>
          <rPr>
            <b/>
            <sz val="9"/>
            <color indexed="81"/>
            <rFont val="Tahoma"/>
            <family val="2"/>
          </rPr>
          <t>20/01/2022</t>
        </r>
      </text>
    </comment>
    <comment ref="DX62" authorId="0" shapeId="0" xr:uid="{990B34B0-8771-44F0-BE1E-67FA632CD460}">
      <text>
        <r>
          <rPr>
            <b/>
            <sz val="9"/>
            <color indexed="81"/>
            <rFont val="Tahoma"/>
            <family val="2"/>
          </rPr>
          <t>11/01/2022</t>
        </r>
      </text>
    </comment>
    <comment ref="EC62" authorId="0" shapeId="0" xr:uid="{202DDF25-B345-4B2B-A141-EF520B5E81CF}">
      <text>
        <r>
          <rPr>
            <b/>
            <sz val="9"/>
            <color indexed="81"/>
            <rFont val="Tahoma"/>
            <family val="2"/>
          </rPr>
          <t>11/01/2022</t>
        </r>
      </text>
    </comment>
    <comment ref="FI62" authorId="0" shapeId="0" xr:uid="{9B6F0969-47CA-42EA-B3CE-3AA06F3CB328}">
      <text>
        <r>
          <rPr>
            <b/>
            <sz val="9"/>
            <color indexed="81"/>
            <rFont val="Tahoma"/>
            <family val="2"/>
          </rPr>
          <t>25/02/2022</t>
        </r>
      </text>
    </comment>
    <comment ref="FS62" authorId="0" shapeId="0" xr:uid="{D574AB36-FF43-4AAD-9C78-5F0B27274F8D}">
      <text>
        <r>
          <rPr>
            <b/>
            <sz val="9"/>
            <color indexed="81"/>
            <rFont val="Tahoma"/>
            <family val="2"/>
          </rPr>
          <t>18/01/2022</t>
        </r>
      </text>
    </comment>
    <comment ref="GC62" authorId="0" shapeId="0" xr:uid="{92058126-BA86-4E17-836B-72728EDC8430}">
      <text>
        <r>
          <rPr>
            <b/>
            <sz val="9"/>
            <color indexed="81"/>
            <rFont val="Tahoma"/>
            <family val="2"/>
          </rPr>
          <t>23/06/2022</t>
        </r>
      </text>
    </comment>
    <comment ref="GH62" authorId="0" shapeId="0" xr:uid="{524A1D2A-E114-44AD-BB6D-76378C0F300A}">
      <text>
        <r>
          <rPr>
            <b/>
            <sz val="9"/>
            <color indexed="81"/>
            <rFont val="Tahoma"/>
            <family val="2"/>
          </rPr>
          <t>14/01/2022</t>
        </r>
      </text>
    </comment>
    <comment ref="GM62" authorId="0" shapeId="0" xr:uid="{BABE3F1A-6A90-47EC-89DE-F1887650C494}">
      <text>
        <r>
          <rPr>
            <b/>
            <sz val="9"/>
            <color indexed="81"/>
            <rFont val="Tahoma"/>
            <family val="2"/>
          </rPr>
          <t>19/01/2022</t>
        </r>
      </text>
    </comment>
    <comment ref="U63" authorId="0" shapeId="0" xr:uid="{5C5446E9-DFD3-40C9-89DE-D97DA9323663}">
      <text>
        <r>
          <rPr>
            <b/>
            <sz val="9"/>
            <color indexed="81"/>
            <rFont val="Tahoma"/>
            <family val="2"/>
          </rPr>
          <t>Christian Sánchez:</t>
        </r>
        <r>
          <rPr>
            <sz val="9"/>
            <color indexed="81"/>
            <rFont val="Tahoma"/>
            <family val="2"/>
          </rPr>
          <t xml:space="preserve">
16 DE AGOSTO DE 2018 ANTERIOR</t>
        </r>
      </text>
    </comment>
    <comment ref="AP63" authorId="0" shapeId="0" xr:uid="{B39AD929-C553-4DDA-BE94-F4EF9AFDC187}">
      <text>
        <r>
          <rPr>
            <b/>
            <sz val="9"/>
            <color indexed="81"/>
            <rFont val="Tahoma"/>
            <family val="2"/>
          </rPr>
          <t>15/03/2022</t>
        </r>
      </text>
    </comment>
    <comment ref="AU63" authorId="0" shapeId="0" xr:uid="{1F0D1A34-1CFE-408A-AA67-766AA1FDCCDE}">
      <text>
        <r>
          <rPr>
            <b/>
            <sz val="9"/>
            <color indexed="81"/>
            <rFont val="Tahoma"/>
            <family val="2"/>
          </rPr>
          <t>14/04/2022</t>
        </r>
      </text>
    </comment>
    <comment ref="BE63" authorId="0" shapeId="0" xr:uid="{A52730F8-F939-456C-B1B9-C81CA241C415}">
      <text>
        <r>
          <rPr>
            <b/>
            <sz val="9"/>
            <color indexed="81"/>
            <rFont val="Tahoma"/>
            <family val="2"/>
          </rPr>
          <t>07/05/2022</t>
        </r>
      </text>
    </comment>
    <comment ref="BY63" authorId="0" shapeId="0" xr:uid="{0003EB7D-72C3-4B59-A1CD-A737DC812D6F}">
      <text>
        <r>
          <rPr>
            <b/>
            <sz val="9"/>
            <color indexed="81"/>
            <rFont val="Tahoma"/>
            <family val="2"/>
          </rPr>
          <t>23/03/2022</t>
        </r>
      </text>
    </comment>
    <comment ref="DN63" authorId="0" shapeId="0" xr:uid="{08BEFF11-C107-4668-AAA8-11EE1B903751}">
      <text>
        <r>
          <rPr>
            <b/>
            <sz val="9"/>
            <color indexed="81"/>
            <rFont val="Tahoma"/>
            <family val="2"/>
          </rPr>
          <t>16/05/2022</t>
        </r>
      </text>
    </comment>
    <comment ref="FI63" authorId="0" shapeId="0" xr:uid="{447B41AE-6D12-4B1D-889B-A19EA7F8BFC6}">
      <text>
        <r>
          <rPr>
            <b/>
            <sz val="9"/>
            <color indexed="81"/>
            <rFont val="Tahoma"/>
            <family val="2"/>
          </rPr>
          <t>25/03/2022</t>
        </r>
      </text>
    </comment>
    <comment ref="GM63" authorId="0" shapeId="0" xr:uid="{5CF3133A-C337-4D89-9C3A-30A501508B82}">
      <text>
        <r>
          <rPr>
            <b/>
            <sz val="9"/>
            <color indexed="81"/>
            <rFont val="Tahoma"/>
            <family val="2"/>
          </rPr>
          <t>11/01/2022</t>
        </r>
      </text>
    </comment>
    <comment ref="BJ64" authorId="0" shapeId="0" xr:uid="{5BA637C5-78AF-46EB-ADEE-2615C78EABAD}">
      <text>
        <r>
          <rPr>
            <b/>
            <sz val="9"/>
            <color indexed="81"/>
            <rFont val="Tahoma"/>
            <family val="2"/>
          </rPr>
          <t>07/06/2022</t>
        </r>
      </text>
    </comment>
    <comment ref="CJ64" authorId="0" shapeId="0" xr:uid="{8B4C1E49-763C-42D9-B1EB-615484EBBDCB}">
      <text>
        <r>
          <rPr>
            <b/>
            <sz val="9"/>
            <color indexed="81"/>
            <rFont val="Tahoma"/>
            <family val="2"/>
          </rPr>
          <t>03/01/2022</t>
        </r>
      </text>
    </comment>
    <comment ref="CY64" authorId="1" shapeId="0" xr:uid="{4EB356C4-AF52-4748-8414-B1872E31A422}">
      <text>
        <r>
          <rPr>
            <b/>
            <sz val="9"/>
            <color indexed="81"/>
            <rFont val="Tahoma"/>
            <family val="2"/>
          </rPr>
          <t>Candelaria Yesenia Balcazar Hernandez:</t>
        </r>
        <r>
          <rPr>
            <sz val="9"/>
            <color indexed="81"/>
            <rFont val="Tahoma"/>
            <family val="2"/>
          </rPr>
          <t xml:space="preserve">
15/09/2022</t>
        </r>
      </text>
    </comment>
    <comment ref="EH64" authorId="1" shapeId="0" xr:uid="{99A2C517-6BCA-40EA-B2F4-4C2967F539DE}">
      <text>
        <r>
          <rPr>
            <b/>
            <sz val="9"/>
            <color indexed="81"/>
            <rFont val="Tahoma"/>
            <family val="2"/>
          </rPr>
          <t>Candelaria Yesenia Balcazar Hernandez:</t>
        </r>
        <r>
          <rPr>
            <sz val="9"/>
            <color indexed="81"/>
            <rFont val="Tahoma"/>
            <family val="2"/>
          </rPr>
          <t xml:space="preserve">
29/09/2022
</t>
        </r>
      </text>
    </comment>
    <comment ref="EY64" authorId="0" shapeId="0" xr:uid="{9C25F0D0-B0C1-45EC-A608-40AD97B07283}">
      <text>
        <r>
          <rPr>
            <b/>
            <sz val="9"/>
            <color indexed="81"/>
            <rFont val="Tahoma"/>
            <family val="2"/>
          </rPr>
          <t>10/03/2022</t>
        </r>
      </text>
    </comment>
    <comment ref="FI64" authorId="0" shapeId="0" xr:uid="{9558A92F-9869-4BF9-A534-3647325394C2}">
      <text>
        <r>
          <rPr>
            <b/>
            <sz val="9"/>
            <color indexed="81"/>
            <rFont val="Tahoma"/>
            <family val="2"/>
          </rPr>
          <t>12/03/2022</t>
        </r>
      </text>
    </comment>
    <comment ref="FX64" authorId="0" shapeId="0" xr:uid="{13C6D42F-E3E3-480D-A68B-143AC0D5ABD9}">
      <text>
        <r>
          <rPr>
            <b/>
            <sz val="9"/>
            <color indexed="81"/>
            <rFont val="Tahoma"/>
            <family val="2"/>
          </rPr>
          <t>10/03/2022</t>
        </r>
      </text>
    </comment>
    <comment ref="E66" authorId="0" shapeId="0" xr:uid="{30DB4632-0140-4D97-AB57-FE8EF160FF46}">
      <text>
        <r>
          <rPr>
            <b/>
            <sz val="9"/>
            <color indexed="81"/>
            <rFont val="Tahoma"/>
          </rPr>
          <t>04/04/2024 - 05/04/2024</t>
        </r>
      </text>
    </comment>
    <comment ref="E67" authorId="0" shapeId="0" xr:uid="{03F33132-0A45-47B3-A93A-29745A91530D}">
      <text>
        <r>
          <rPr>
            <b/>
            <sz val="9"/>
            <color indexed="81"/>
            <rFont val="Tahoma"/>
            <family val="2"/>
          </rPr>
          <t>08/02/2024 y 09/02/2024</t>
        </r>
      </text>
    </comment>
    <comment ref="AK67" authorId="0" shapeId="0" xr:uid="{FF699F0B-A461-40F9-A8D7-1FC74F769A63}">
      <text>
        <r>
          <rPr>
            <b/>
            <sz val="9"/>
            <color indexed="81"/>
            <rFont val="Tahoma"/>
            <family val="2"/>
          </rPr>
          <t>02/02/2022</t>
        </r>
      </text>
    </comment>
    <comment ref="AP67" authorId="0" shapeId="0" xr:uid="{66B9581B-F101-4FEB-8127-67D885B94595}">
      <text>
        <r>
          <rPr>
            <b/>
            <sz val="9"/>
            <color indexed="81"/>
            <rFont val="Tahoma"/>
            <family val="2"/>
          </rPr>
          <t>20/05/2022</t>
        </r>
      </text>
    </comment>
    <comment ref="BY67" authorId="0" shapeId="0" xr:uid="{6465CDCF-E45B-4C53-90F4-999D95926180}">
      <text>
        <r>
          <rPr>
            <b/>
            <sz val="9"/>
            <color indexed="81"/>
            <rFont val="Tahoma"/>
            <family val="2"/>
          </rPr>
          <t>02/02/2022</t>
        </r>
      </text>
    </comment>
    <comment ref="CY67" authorId="0" shapeId="0" xr:uid="{27D61143-0189-4D3F-9500-C812982E73F9}">
      <text>
        <r>
          <rPr>
            <b/>
            <sz val="9"/>
            <color indexed="81"/>
            <rFont val="Tahoma"/>
            <family val="2"/>
          </rPr>
          <t>21/05/2022</t>
        </r>
      </text>
    </comment>
    <comment ref="EY67" authorId="0" shapeId="0" xr:uid="{10E48FF4-C2CE-4CDE-AF5D-4DDD8562B8FD}">
      <text>
        <r>
          <rPr>
            <b/>
            <sz val="9"/>
            <color indexed="81"/>
            <rFont val="Tahoma"/>
            <family val="2"/>
          </rPr>
          <t>03/02/2022</t>
        </r>
      </text>
    </comment>
    <comment ref="FX67" authorId="0" shapeId="0" xr:uid="{3E72B888-FF20-4BC0-B19A-9CF9CD15B93A}">
      <text>
        <r>
          <rPr>
            <b/>
            <sz val="9"/>
            <color indexed="81"/>
            <rFont val="Tahoma"/>
            <family val="2"/>
          </rPr>
          <t>04/02/2022</t>
        </r>
      </text>
    </comment>
    <comment ref="AK68" authorId="0" shapeId="0" xr:uid="{2C371381-E095-49B9-AE3F-2A8173C42ECC}">
      <text>
        <r>
          <rPr>
            <b/>
            <sz val="9"/>
            <color indexed="81"/>
            <rFont val="Tahoma"/>
            <family val="2"/>
          </rPr>
          <t>21/02/2022</t>
        </r>
      </text>
    </comment>
    <comment ref="AP68" authorId="0" shapeId="0" xr:uid="{FA2DD941-C1A2-49F8-A811-563801AA51F7}">
      <text>
        <r>
          <rPr>
            <b/>
            <sz val="9"/>
            <color indexed="81"/>
            <rFont val="Tahoma"/>
            <family val="2"/>
          </rPr>
          <t>08/03/2022</t>
        </r>
      </text>
    </comment>
    <comment ref="BE68" authorId="0" shapeId="0" xr:uid="{A66D9F90-7CBD-4CFD-8AB6-41D2B10008EA}">
      <text>
        <r>
          <rPr>
            <b/>
            <sz val="9"/>
            <color indexed="81"/>
            <rFont val="Tahoma"/>
            <family val="2"/>
          </rPr>
          <t>07/05/2022</t>
        </r>
      </text>
    </comment>
    <comment ref="CJ68" authorId="0" shapeId="0" xr:uid="{64779707-7B2F-4F64-9465-BFAD093B1C35}">
      <text>
        <r>
          <rPr>
            <b/>
            <sz val="9"/>
            <color indexed="81"/>
            <rFont val="Tahoma"/>
            <family val="2"/>
          </rPr>
          <t>26/08/2025</t>
        </r>
      </text>
    </comment>
    <comment ref="CO68" authorId="0" shapeId="0" xr:uid="{6CBF52AC-E6BF-41DC-8B1B-7BE1B7F019FD}">
      <text>
        <r>
          <rPr>
            <b/>
            <sz val="9"/>
            <color indexed="81"/>
            <rFont val="Tahoma"/>
            <family val="2"/>
          </rPr>
          <t>13/01/2022</t>
        </r>
      </text>
    </comment>
    <comment ref="DI68" authorId="0" shapeId="0" xr:uid="{E087533B-0790-4C63-A9E5-C965C9823CD6}">
      <text>
        <r>
          <rPr>
            <b/>
            <sz val="9"/>
            <color indexed="81"/>
            <rFont val="Tahoma"/>
            <family val="2"/>
          </rPr>
          <t>19/02/2022</t>
        </r>
      </text>
    </comment>
    <comment ref="DS68" authorId="0" shapeId="0" xr:uid="{ADB2772F-1534-4BB8-A61C-F18CB5887CAA}">
      <text>
        <r>
          <rPr>
            <b/>
            <sz val="9"/>
            <color indexed="81"/>
            <rFont val="Tahoma"/>
            <family val="2"/>
          </rPr>
          <t>10/01/2022</t>
        </r>
      </text>
    </comment>
    <comment ref="EH68" authorId="1" shapeId="0" xr:uid="{FDEA0502-2310-4D55-A638-D5F8B2912FDD}">
      <text>
        <r>
          <rPr>
            <b/>
            <sz val="9"/>
            <color indexed="81"/>
            <rFont val="Tahoma"/>
            <family val="2"/>
          </rPr>
          <t>Candelaria Yesenia Balcazar Hernandez:</t>
        </r>
        <r>
          <rPr>
            <sz val="9"/>
            <color indexed="81"/>
            <rFont val="Tahoma"/>
            <family val="2"/>
          </rPr>
          <t xml:space="preserve">
11/01/2022</t>
        </r>
      </text>
    </comment>
    <comment ref="FI68" authorId="0" shapeId="0" xr:uid="{79AA9C8C-E913-4BD3-A4B5-E945BE6739B7}">
      <text>
        <r>
          <rPr>
            <b/>
            <sz val="9"/>
            <color indexed="81"/>
            <rFont val="Tahoma"/>
            <family val="2"/>
          </rPr>
          <t>24/02/2022</t>
        </r>
      </text>
    </comment>
    <comment ref="FS68" authorId="0" shapeId="0" xr:uid="{C281F560-FE1E-40F6-AD7A-46076E0872F1}">
      <text>
        <r>
          <rPr>
            <b/>
            <sz val="9"/>
            <color indexed="81"/>
            <rFont val="Tahoma"/>
            <family val="2"/>
          </rPr>
          <t>18/02/2022</t>
        </r>
      </text>
    </comment>
    <comment ref="E69" authorId="0" shapeId="0" xr:uid="{352BDF51-B3DD-4311-8430-51A6C6D27862}">
      <text>
        <r>
          <rPr>
            <b/>
            <sz val="9"/>
            <color indexed="81"/>
            <rFont val="Tahoma"/>
            <family val="2"/>
          </rPr>
          <t>06/02/2024 y 07/02/2024</t>
        </r>
      </text>
    </comment>
    <comment ref="AF69" authorId="0" shapeId="0" xr:uid="{99F53FF9-449C-4D6E-B5ED-338338FCAA3F}">
      <text>
        <r>
          <rPr>
            <b/>
            <sz val="9"/>
            <color indexed="81"/>
            <rFont val="Tahoma"/>
            <family val="2"/>
          </rPr>
          <t>01/02/2022</t>
        </r>
      </text>
    </comment>
    <comment ref="CY69" authorId="0" shapeId="0" xr:uid="{419F3D41-0A62-4349-92BF-B43F60C994E9}">
      <text>
        <r>
          <rPr>
            <b/>
            <sz val="9"/>
            <color indexed="81"/>
            <rFont val="Tahoma"/>
            <family val="2"/>
          </rPr>
          <t>23/03/2022</t>
        </r>
      </text>
    </comment>
    <comment ref="DI69" authorId="0" shapeId="0" xr:uid="{77B47D70-4C18-4329-848F-407C287073E5}">
      <text>
        <r>
          <rPr>
            <b/>
            <sz val="9"/>
            <color indexed="81"/>
            <rFont val="Tahoma"/>
            <family val="2"/>
          </rPr>
          <t>22/03/2022</t>
        </r>
      </text>
    </comment>
    <comment ref="EY69" authorId="0" shapeId="0" xr:uid="{7032934B-A67F-4A88-AA2C-35C27150C332}">
      <text>
        <r>
          <rPr>
            <b/>
            <sz val="9"/>
            <color indexed="81"/>
            <rFont val="Tahoma"/>
            <family val="2"/>
          </rPr>
          <t>03/02/2022</t>
        </r>
      </text>
    </comment>
    <comment ref="E70" authorId="0" shapeId="0" xr:uid="{6B211D05-90BE-42DE-97A6-75DD086FE963}">
      <text>
        <r>
          <rPr>
            <b/>
            <sz val="9"/>
            <color indexed="81"/>
            <rFont val="Tahoma"/>
            <family val="2"/>
          </rPr>
          <t>06/02/2024 y 07/02/2024</t>
        </r>
      </text>
    </comment>
    <comment ref="U70" authorId="0" shapeId="0" xr:uid="{09F3C5E1-E6E7-4B5E-900C-A95A133878C3}">
      <text>
        <r>
          <rPr>
            <b/>
            <sz val="9"/>
            <color indexed="81"/>
            <rFont val="Tahoma"/>
            <family val="2"/>
          </rPr>
          <t>09/04/2021</t>
        </r>
      </text>
    </comment>
    <comment ref="AF70" authorId="0" shapeId="0" xr:uid="{287A9CBE-619A-4EE9-B50C-9F349CC35B9E}">
      <text>
        <r>
          <rPr>
            <b/>
            <sz val="9"/>
            <color indexed="81"/>
            <rFont val="Tahoma"/>
            <family val="2"/>
          </rPr>
          <t>01/02/2022</t>
        </r>
      </text>
    </comment>
    <comment ref="AK70" authorId="0" shapeId="0" xr:uid="{0C06C837-4A36-42E5-9B41-194A3DD0F18A}">
      <text>
        <r>
          <rPr>
            <b/>
            <sz val="9"/>
            <color indexed="81"/>
            <rFont val="Tahoma"/>
            <family val="2"/>
          </rPr>
          <t>02/02/2022</t>
        </r>
      </text>
    </comment>
    <comment ref="CY70" authorId="0" shapeId="0" xr:uid="{72A02B38-BA41-42CB-870C-796D4B71A30E}">
      <text>
        <r>
          <rPr>
            <b/>
            <sz val="9"/>
            <color indexed="81"/>
            <rFont val="Tahoma"/>
            <family val="2"/>
          </rPr>
          <t>02/04/2022</t>
        </r>
      </text>
    </comment>
    <comment ref="DD70" authorId="0" shapeId="0" xr:uid="{CC8EB193-380E-4F4B-AC1A-2E6FF05CDD82}">
      <text>
        <r>
          <rPr>
            <b/>
            <sz val="9"/>
            <color indexed="81"/>
            <rFont val="Tahoma"/>
            <family val="2"/>
          </rPr>
          <t>25/08/2022
05/05/2024</t>
        </r>
      </text>
    </comment>
    <comment ref="EY70" authorId="0" shapeId="0" xr:uid="{B7FC75EF-DDE0-4B46-8305-B53006164C32}">
      <text>
        <r>
          <rPr>
            <b/>
            <sz val="9"/>
            <color indexed="81"/>
            <rFont val="Tahoma"/>
            <family val="2"/>
          </rPr>
          <t>03/02/2022</t>
        </r>
      </text>
    </comment>
    <comment ref="GH70" authorId="0" shapeId="0" xr:uid="{2EA3789A-A77A-437C-8216-40C044E896A4}">
      <text>
        <r>
          <rPr>
            <b/>
            <sz val="9"/>
            <color indexed="81"/>
            <rFont val="Tahoma"/>
            <family val="2"/>
          </rPr>
          <t>23/08/2022</t>
        </r>
      </text>
    </comment>
    <comment ref="U71" authorId="1" shapeId="0" xr:uid="{FAE8075A-5285-4BA7-B18C-112BE935950D}">
      <text>
        <r>
          <rPr>
            <b/>
            <sz val="9"/>
            <color indexed="81"/>
            <rFont val="Tahoma"/>
            <family val="2"/>
          </rPr>
          <t>Candelaria Yesenia Balcazar Hernandez:</t>
        </r>
        <r>
          <rPr>
            <sz val="9"/>
            <color indexed="81"/>
            <rFont val="Tahoma"/>
            <family val="2"/>
          </rPr>
          <t xml:space="preserve">
24/06/2019-25/06/2019
</t>
        </r>
      </text>
    </comment>
    <comment ref="AK71" authorId="0" shapeId="0" xr:uid="{B6640ADB-C07F-4176-9A7A-7DFF2E4A4910}">
      <text>
        <r>
          <rPr>
            <b/>
            <sz val="9"/>
            <color indexed="81"/>
            <rFont val="Tahoma"/>
            <family val="2"/>
          </rPr>
          <t>10/02/2022</t>
        </r>
      </text>
    </comment>
    <comment ref="AP71" authorId="0" shapeId="0" xr:uid="{D75FBB18-0C0E-47CD-983C-3F5B2FAB4E3E}">
      <text>
        <r>
          <rPr>
            <b/>
            <sz val="9"/>
            <color indexed="81"/>
            <rFont val="Tahoma"/>
            <family val="2"/>
          </rPr>
          <t>10/03/2022
28/11/2023</t>
        </r>
      </text>
    </comment>
    <comment ref="AU71" authorId="0" shapeId="0" xr:uid="{B67D11FF-C8F8-4E9B-B6EB-F688AE0B6DD5}">
      <text>
        <r>
          <rPr>
            <b/>
            <sz val="9"/>
            <color indexed="81"/>
            <rFont val="Tahoma"/>
            <family val="2"/>
          </rPr>
          <t>12/04/2022</t>
        </r>
      </text>
    </comment>
    <comment ref="BJ71" authorId="0" shapeId="0" xr:uid="{5030B47F-8554-4A4E-99E7-FFB80B47202B}">
      <text>
        <r>
          <rPr>
            <b/>
            <sz val="9"/>
            <color indexed="81"/>
            <rFont val="Tahoma"/>
            <family val="2"/>
          </rPr>
          <t>10/06/2022</t>
        </r>
      </text>
    </comment>
    <comment ref="DN71" authorId="0" shapeId="0" xr:uid="{AFE526F9-72F7-474B-8A6E-6536FDA4E2FC}">
      <text>
        <r>
          <rPr>
            <b/>
            <sz val="9"/>
            <color indexed="81"/>
            <rFont val="Tahoma"/>
            <family val="2"/>
          </rPr>
          <t>16/05/2022</t>
        </r>
      </text>
    </comment>
    <comment ref="DX71" authorId="1" shapeId="0" xr:uid="{7D330A3B-87C5-4E3A-8A36-482E371B5546}">
      <text>
        <r>
          <rPr>
            <b/>
            <sz val="9"/>
            <color indexed="81"/>
            <rFont val="Tahoma"/>
            <family val="2"/>
          </rPr>
          <t>Candelaria Yesenia Balcazar Hernandez:</t>
        </r>
        <r>
          <rPr>
            <sz val="9"/>
            <color indexed="81"/>
            <rFont val="Tahoma"/>
            <family val="2"/>
          </rPr>
          <t xml:space="preserve">
09/07/2021
</t>
        </r>
      </text>
    </comment>
    <comment ref="EH71" authorId="1" shapeId="0" xr:uid="{9069793A-217A-46CB-BDB3-630A33C81D3C}">
      <text>
        <r>
          <rPr>
            <b/>
            <sz val="9"/>
            <color indexed="81"/>
            <rFont val="Tahoma"/>
            <family val="2"/>
          </rPr>
          <t>Candelaria Yesenia Balcazar Hernandez:</t>
        </r>
        <r>
          <rPr>
            <sz val="9"/>
            <color indexed="81"/>
            <rFont val="Tahoma"/>
            <family val="2"/>
          </rPr>
          <t xml:space="preserve">
13/05/2023</t>
        </r>
      </text>
    </comment>
    <comment ref="EO71" authorId="1" shapeId="0" xr:uid="{A3C7F50E-296C-4F77-8E07-9F045C3A9948}">
      <text>
        <r>
          <rPr>
            <b/>
            <sz val="9"/>
            <color indexed="81"/>
            <rFont val="Tahoma"/>
            <family val="2"/>
          </rPr>
          <t>Candelaria Yesenia Balcazar Hernandez:</t>
        </r>
        <r>
          <rPr>
            <sz val="9"/>
            <color indexed="81"/>
            <rFont val="Tahoma"/>
            <family val="2"/>
          </rPr>
          <t xml:space="preserve">
10/07/2021</t>
        </r>
      </text>
    </comment>
    <comment ref="FI71" authorId="1" shapeId="0" xr:uid="{EDE6FCB4-C686-4A3E-BCBC-10044BDE7969}">
      <text>
        <r>
          <rPr>
            <b/>
            <sz val="9"/>
            <color indexed="81"/>
            <rFont val="Tahoma"/>
            <family val="2"/>
          </rPr>
          <t>Candelaria Yesenia Balcazar Hernandez:</t>
        </r>
        <r>
          <rPr>
            <sz val="9"/>
            <color indexed="81"/>
            <rFont val="Tahoma"/>
            <family val="2"/>
          </rPr>
          <t xml:space="preserve">
05/07/2021</t>
        </r>
      </text>
    </comment>
    <comment ref="GH71" authorId="1" shapeId="0" xr:uid="{84CB696D-5B4A-40DA-9CBD-5C79F8561956}">
      <text>
        <r>
          <rPr>
            <b/>
            <sz val="9"/>
            <color indexed="81"/>
            <rFont val="Tahoma"/>
            <family val="2"/>
          </rPr>
          <t>Candelaria Yesenia Balcazar Hernandez:</t>
        </r>
        <r>
          <rPr>
            <sz val="9"/>
            <color indexed="81"/>
            <rFont val="Tahoma"/>
            <family val="2"/>
          </rPr>
          <t xml:space="preserve">
27/06/2021
</t>
        </r>
      </text>
    </comment>
    <comment ref="GM71" authorId="0" shapeId="0" xr:uid="{CC87BD1C-378E-44AC-BABA-B02967E740E1}">
      <text>
        <r>
          <rPr>
            <b/>
            <sz val="9"/>
            <color indexed="81"/>
            <rFont val="Tahoma"/>
            <family val="2"/>
          </rPr>
          <t>07/01/2022</t>
        </r>
      </text>
    </comment>
    <comment ref="AF73" authorId="0" shapeId="0" xr:uid="{C86F7403-9B5D-44F7-90EF-ADED554AE95E}">
      <text>
        <r>
          <rPr>
            <b/>
            <sz val="9"/>
            <color indexed="81"/>
            <rFont val="Tahoma"/>
            <family val="2"/>
          </rPr>
          <t>22/02/2022</t>
        </r>
      </text>
    </comment>
    <comment ref="EY73" authorId="0" shapeId="0" xr:uid="{C2C6D9D6-30F5-4D17-B60E-C3305D95B119}">
      <text>
        <r>
          <rPr>
            <b/>
            <sz val="9"/>
            <color indexed="81"/>
            <rFont val="Tahoma"/>
            <family val="2"/>
          </rPr>
          <t>23/02/2022</t>
        </r>
      </text>
    </comment>
    <comment ref="FI73" authorId="0" shapeId="0" xr:uid="{0988215A-1191-4FFD-AD66-8AD8B91C1CA3}">
      <text>
        <r>
          <rPr>
            <b/>
            <sz val="9"/>
            <color indexed="81"/>
            <rFont val="Tahoma"/>
            <family val="2"/>
          </rPr>
          <t>24/02/2022</t>
        </r>
      </text>
    </comment>
    <comment ref="AK74" authorId="0" shapeId="0" xr:uid="{9F545C53-05E8-40CD-B557-B215BE80E068}">
      <text>
        <r>
          <rPr>
            <b/>
            <sz val="9"/>
            <color indexed="81"/>
            <rFont val="Tahoma"/>
            <family val="2"/>
          </rPr>
          <t>14/03/2025</t>
        </r>
      </text>
    </comment>
    <comment ref="AP74" authorId="0" shapeId="0" xr:uid="{D5A89025-7A2A-4F78-8E7C-49E8D7A99C04}">
      <text>
        <r>
          <rPr>
            <b/>
            <sz val="9"/>
            <color indexed="81"/>
            <rFont val="Tahoma"/>
            <family val="2"/>
          </rPr>
          <t>10/03/2022</t>
        </r>
      </text>
    </comment>
    <comment ref="AU74" authorId="0" shapeId="0" xr:uid="{E77F7817-ADE4-472E-90EF-A5BEBDDB8343}">
      <text>
        <r>
          <rPr>
            <b/>
            <sz val="9"/>
            <color indexed="81"/>
            <rFont val="Tahoma"/>
            <family val="2"/>
          </rPr>
          <t>12/04/2022</t>
        </r>
      </text>
    </comment>
    <comment ref="BJ74" authorId="0" shapeId="0" xr:uid="{38D0E7C2-7BCA-4EED-85C5-E3C295748328}">
      <text>
        <r>
          <rPr>
            <b/>
            <sz val="9"/>
            <color indexed="81"/>
            <rFont val="Tahoma"/>
            <family val="2"/>
          </rPr>
          <t>09/06/2022</t>
        </r>
      </text>
    </comment>
    <comment ref="BO74" authorId="1" shapeId="0" xr:uid="{68480B1B-F96F-425D-8C9F-E346A80DF837}">
      <text>
        <r>
          <rPr>
            <b/>
            <sz val="9"/>
            <color indexed="81"/>
            <rFont val="Tahoma"/>
            <family val="2"/>
          </rPr>
          <t>Candelaria Yesenia Balcazar Hernandez:</t>
        </r>
        <r>
          <rPr>
            <sz val="9"/>
            <color indexed="81"/>
            <rFont val="Tahoma"/>
            <family val="2"/>
          </rPr>
          <t xml:space="preserve">
08/07/2021
</t>
        </r>
      </text>
    </comment>
    <comment ref="BY74" authorId="0" shapeId="0" xr:uid="{164D3679-E665-4347-A455-357A7651E61F}">
      <text>
        <r>
          <rPr>
            <b/>
            <sz val="9"/>
            <color indexed="81"/>
            <rFont val="Tahoma"/>
            <family val="2"/>
          </rPr>
          <t>14/03/2022</t>
        </r>
      </text>
    </comment>
    <comment ref="CO74" authorId="1" shapeId="0" xr:uid="{29A08002-C9BA-49D4-8386-4395B4213D80}">
      <text>
        <r>
          <rPr>
            <b/>
            <sz val="9"/>
            <color indexed="81"/>
            <rFont val="Tahoma"/>
            <family val="2"/>
          </rPr>
          <t>Candelaria Yesenia Balcazar Hernandez:</t>
        </r>
        <r>
          <rPr>
            <sz val="9"/>
            <color indexed="81"/>
            <rFont val="Tahoma"/>
            <family val="2"/>
          </rPr>
          <t xml:space="preserve">
18/06/2021
</t>
        </r>
      </text>
    </comment>
    <comment ref="CY74" authorId="1" shapeId="0" xr:uid="{2A009A33-217A-4FFF-98E0-9F4F8D2FB141}">
      <text>
        <r>
          <rPr>
            <b/>
            <sz val="9"/>
            <color indexed="81"/>
            <rFont val="Tahoma"/>
            <family val="2"/>
          </rPr>
          <t>Candelaria Yesenia Balcazar Hernandez:</t>
        </r>
        <r>
          <rPr>
            <sz val="9"/>
            <color indexed="81"/>
            <rFont val="Tahoma"/>
            <family val="2"/>
          </rPr>
          <t xml:space="preserve">
03/07/2021</t>
        </r>
      </text>
    </comment>
    <comment ref="DS74" authorId="1" shapeId="0" xr:uid="{FD0792C8-CD43-4192-94DA-02705E935CA6}">
      <text>
        <r>
          <rPr>
            <b/>
            <sz val="9"/>
            <color indexed="81"/>
            <rFont val="Tahoma"/>
            <family val="2"/>
          </rPr>
          <t>Candelaria Yesenia Balcazar Hernandez:</t>
        </r>
        <r>
          <rPr>
            <sz val="9"/>
            <color indexed="81"/>
            <rFont val="Tahoma"/>
            <family val="2"/>
          </rPr>
          <t xml:space="preserve">
21/06/2021
</t>
        </r>
      </text>
    </comment>
    <comment ref="EY74" authorId="0" shapeId="0" xr:uid="{39506C97-4BA9-4273-BF10-164CCE578703}">
      <text>
        <r>
          <rPr>
            <b/>
            <sz val="9"/>
            <color indexed="81"/>
            <rFont val="Tahoma"/>
            <family val="2"/>
          </rPr>
          <t>16/03/2022</t>
        </r>
      </text>
    </comment>
    <comment ref="FI74" authorId="0" shapeId="0" xr:uid="{62AE282B-9E92-4C4F-9907-DD1E63B99CFB}">
      <text>
        <r>
          <rPr>
            <b/>
            <sz val="9"/>
            <color indexed="81"/>
            <rFont val="Tahoma"/>
            <family val="2"/>
          </rPr>
          <t>17/03/2022</t>
        </r>
      </text>
    </comment>
    <comment ref="FN74" authorId="1" shapeId="0" xr:uid="{DD81D890-EC7B-483B-9E25-8B93C64BBFCD}">
      <text>
        <r>
          <rPr>
            <b/>
            <sz val="9"/>
            <color indexed="81"/>
            <rFont val="Tahoma"/>
            <family val="2"/>
          </rPr>
          <t>Candelaria Yesenia Balcazar Hernandez:</t>
        </r>
        <r>
          <rPr>
            <sz val="9"/>
            <color indexed="81"/>
            <rFont val="Tahoma"/>
            <family val="2"/>
          </rPr>
          <t xml:space="preserve">
30/06/2021
</t>
        </r>
      </text>
    </comment>
    <comment ref="GM74" authorId="0" shapeId="0" xr:uid="{8BA412D2-3005-4BBA-AD98-93C9A473EFE2}">
      <text>
        <r>
          <rPr>
            <b/>
            <sz val="9"/>
            <color indexed="81"/>
            <rFont val="Tahoma"/>
            <family val="2"/>
          </rPr>
          <t>07/01/2022</t>
        </r>
      </text>
    </comment>
    <comment ref="AF75" authorId="0" shapeId="0" xr:uid="{06368176-55FC-46C5-B348-203C6888F575}">
      <text>
        <r>
          <rPr>
            <b/>
            <sz val="9"/>
            <color indexed="81"/>
            <rFont val="Tahoma"/>
            <family val="2"/>
          </rPr>
          <t>22/03/2022</t>
        </r>
      </text>
    </comment>
    <comment ref="AP75" authorId="0" shapeId="0" xr:uid="{7909F801-5E48-49EF-BE26-0D5D106109D9}">
      <text>
        <r>
          <rPr>
            <b/>
            <sz val="9"/>
            <color indexed="81"/>
            <rFont val="Tahoma"/>
            <family val="2"/>
          </rPr>
          <t>15/03/2022</t>
        </r>
      </text>
    </comment>
    <comment ref="AZ75" authorId="0" shapeId="0" xr:uid="{262BCD65-7819-43E2-87AE-E295BA94CB6D}">
      <text>
        <r>
          <rPr>
            <b/>
            <sz val="9"/>
            <color indexed="81"/>
            <rFont val="Tahoma"/>
            <family val="2"/>
          </rPr>
          <t>05/10/2022</t>
        </r>
      </text>
    </comment>
    <comment ref="BY75" authorId="0" shapeId="0" xr:uid="{CD414B66-2B99-4A42-8391-769F5005CC33}">
      <text>
        <r>
          <rPr>
            <b/>
            <sz val="9"/>
            <color indexed="81"/>
            <rFont val="Tahoma"/>
            <family val="2"/>
          </rPr>
          <t>23/03/2022</t>
        </r>
      </text>
    </comment>
    <comment ref="CY75" authorId="1" shapeId="0" xr:uid="{89DEB7F0-D258-42ED-9046-E88F0F4FD8EB}">
      <text>
        <r>
          <rPr>
            <b/>
            <sz val="9"/>
            <color indexed="81"/>
            <rFont val="Tahoma"/>
            <family val="2"/>
          </rPr>
          <t>Candelaria Yesenia Balcazar Hernandez:</t>
        </r>
        <r>
          <rPr>
            <sz val="9"/>
            <color indexed="81"/>
            <rFont val="Tahoma"/>
            <family val="2"/>
          </rPr>
          <t xml:space="preserve">
01/08/2022</t>
        </r>
      </text>
    </comment>
    <comment ref="DI75" authorId="0" shapeId="0" xr:uid="{13B89A79-4AEC-4EBD-A383-72916D3D4971}">
      <text>
        <r>
          <rPr>
            <b/>
            <sz val="9"/>
            <color indexed="81"/>
            <rFont val="Tahoma"/>
            <family val="2"/>
          </rPr>
          <t>06/07/2022</t>
        </r>
      </text>
    </comment>
    <comment ref="FI75" authorId="0" shapeId="0" xr:uid="{1876C13A-0128-4472-8586-A1C89F2DF4C3}">
      <text>
        <r>
          <rPr>
            <b/>
            <sz val="9"/>
            <color indexed="81"/>
            <rFont val="Tahoma"/>
            <family val="2"/>
          </rPr>
          <t>25/03/2022</t>
        </r>
      </text>
    </comment>
    <comment ref="GC75" authorId="0" shapeId="0" xr:uid="{A6ABA644-2C0D-4276-90D9-37605475DF0A}">
      <text>
        <r>
          <rPr>
            <b/>
            <sz val="9"/>
            <color indexed="81"/>
            <rFont val="Tahoma"/>
            <family val="2"/>
          </rPr>
          <t>29/07/2022</t>
        </r>
      </text>
    </comment>
    <comment ref="GM75" authorId="0" shapeId="0" xr:uid="{535CFBCD-D829-45B5-B78B-DB2A8B4200A8}">
      <text>
        <r>
          <rPr>
            <b/>
            <sz val="9"/>
            <color indexed="81"/>
            <rFont val="Tahoma"/>
            <family val="2"/>
          </rPr>
          <t>11/01/2022</t>
        </r>
      </text>
    </comment>
    <comment ref="AP76" authorId="0" shapeId="0" xr:uid="{13AD0242-4006-4C6E-8DF6-C80F26AEAE9D}">
      <text>
        <r>
          <rPr>
            <b/>
            <sz val="9"/>
            <color indexed="81"/>
            <rFont val="Tahoma"/>
            <family val="2"/>
          </rPr>
          <t>17/09/2022</t>
        </r>
      </text>
    </comment>
    <comment ref="CY76" authorId="1" shapeId="0" xr:uid="{18425F82-7DE9-49C6-8252-A0992C630DF9}">
      <text>
        <r>
          <rPr>
            <b/>
            <sz val="9"/>
            <color indexed="81"/>
            <rFont val="Tahoma"/>
            <family val="2"/>
          </rPr>
          <t>Candelaria Yesenia Balcazar Hernandez:</t>
        </r>
        <r>
          <rPr>
            <sz val="9"/>
            <color indexed="81"/>
            <rFont val="Tahoma"/>
            <family val="2"/>
          </rPr>
          <t xml:space="preserve">
02/08/2022</t>
        </r>
      </text>
    </comment>
    <comment ref="EC76" authorId="0" shapeId="0" xr:uid="{8BF5D038-8CFB-4D4A-B6B0-961795C38179}">
      <text>
        <r>
          <rPr>
            <b/>
            <sz val="9"/>
            <color indexed="81"/>
            <rFont val="Tahoma"/>
            <family val="2"/>
          </rPr>
          <t>05/08/2022</t>
        </r>
      </text>
    </comment>
    <comment ref="EH76" authorId="1" shapeId="0" xr:uid="{F77F00FE-61AD-47AE-B0F3-F97EB9E18527}">
      <text>
        <r>
          <rPr>
            <b/>
            <sz val="9"/>
            <color indexed="81"/>
            <rFont val="Tahoma"/>
            <family val="2"/>
          </rPr>
          <t>Candelaria Yesenia Balcazar Hernandez:</t>
        </r>
        <r>
          <rPr>
            <sz val="9"/>
            <color indexed="81"/>
            <rFont val="Tahoma"/>
            <family val="2"/>
          </rPr>
          <t xml:space="preserve">
05/09/2022</t>
        </r>
      </text>
    </comment>
    <comment ref="FN76" authorId="0" shapeId="0" xr:uid="{7A1E1CBE-7055-4108-AA4A-A1ECB1189A5D}">
      <text>
        <r>
          <rPr>
            <b/>
            <sz val="9"/>
            <color indexed="81"/>
            <rFont val="Tahoma"/>
            <family val="2"/>
          </rPr>
          <t>28/07/2022</t>
        </r>
      </text>
    </comment>
    <comment ref="GC76" authorId="0" shapeId="0" xr:uid="{B78811D3-FF56-42D9-91E9-E8D278C9575C}">
      <text>
        <r>
          <rPr>
            <b/>
            <sz val="9"/>
            <color indexed="81"/>
            <rFont val="Tahoma"/>
            <family val="2"/>
          </rPr>
          <t>28/07/2022</t>
        </r>
      </text>
    </comment>
    <comment ref="AZ77" authorId="0" shapeId="0" xr:uid="{520C8E98-2A19-4CD0-B706-E2EBF6009E37}">
      <text>
        <r>
          <rPr>
            <b/>
            <sz val="9"/>
            <color indexed="81"/>
            <rFont val="Tahoma"/>
            <family val="2"/>
          </rPr>
          <t>06/08/2022</t>
        </r>
      </text>
    </comment>
    <comment ref="BE77" authorId="0" shapeId="0" xr:uid="{6C34CD27-2CEA-4058-B5F9-CC3D41D362F7}">
      <text>
        <r>
          <rPr>
            <b/>
            <sz val="9"/>
            <color indexed="81"/>
            <rFont val="Tahoma"/>
            <family val="2"/>
          </rPr>
          <t>10/06/2022</t>
        </r>
      </text>
    </comment>
    <comment ref="ET77" authorId="0" shapeId="0" xr:uid="{3CC06A4D-337A-419F-8960-9D8FE55A2100}">
      <text>
        <r>
          <rPr>
            <b/>
            <sz val="9"/>
            <color indexed="81"/>
            <rFont val="Tahoma"/>
            <family val="2"/>
          </rPr>
          <t>06/06/2022</t>
        </r>
      </text>
    </comment>
    <comment ref="GC77" authorId="0" shapeId="0" xr:uid="{85E6A3F8-E7DD-434A-9757-52304269B1FC}">
      <text>
        <r>
          <rPr>
            <b/>
            <sz val="9"/>
            <color indexed="81"/>
            <rFont val="Tahoma"/>
            <family val="2"/>
          </rPr>
          <t>11/06/2022</t>
        </r>
      </text>
    </comment>
    <comment ref="EH78" authorId="1" shapeId="0" xr:uid="{BD78D519-DDDE-4FBF-960D-3A0E5868CD30}">
      <text>
        <r>
          <rPr>
            <b/>
            <sz val="9"/>
            <color indexed="81"/>
            <rFont val="Tahoma"/>
            <family val="2"/>
          </rPr>
          <t>Candelaria Yesenia Balcazar Hernandez:</t>
        </r>
        <r>
          <rPr>
            <sz val="9"/>
            <color indexed="81"/>
            <rFont val="Tahoma"/>
            <family val="2"/>
          </rPr>
          <t xml:space="preserve">
24/11/2022</t>
        </r>
      </text>
    </comment>
    <comment ref="E83" authorId="0" shapeId="0" xr:uid="{EEDD09A6-D1BF-4886-BFFD-1E76B425CDF4}">
      <text>
        <r>
          <rPr>
            <b/>
            <sz val="9"/>
            <color indexed="81"/>
            <rFont val="Tahoma"/>
            <family val="2"/>
          </rPr>
          <t>06/02/2024 y 07/02/2024</t>
        </r>
      </text>
    </comment>
    <comment ref="AF83" authorId="0" shapeId="0" xr:uid="{7B61FFCA-D20E-4948-ABC0-C6218A93A0A5}">
      <text>
        <r>
          <rPr>
            <b/>
            <sz val="9"/>
            <color indexed="81"/>
            <rFont val="Tahoma"/>
            <family val="2"/>
          </rPr>
          <t>15/02/2022</t>
        </r>
      </text>
    </comment>
    <comment ref="AK83" authorId="0" shapeId="0" xr:uid="{A80CA436-E7CD-4E59-8C89-714766328CB9}">
      <text>
        <r>
          <rPr>
            <b/>
            <sz val="9"/>
            <color indexed="81"/>
            <rFont val="Tahoma"/>
            <family val="2"/>
          </rPr>
          <t>14/02/2022</t>
        </r>
      </text>
    </comment>
    <comment ref="BJ83" authorId="0" shapeId="0" xr:uid="{84A2AC0E-2E14-47AE-B12F-3F3D8D90A122}">
      <text>
        <r>
          <rPr>
            <b/>
            <sz val="9"/>
            <color indexed="81"/>
            <rFont val="Tahoma"/>
            <family val="2"/>
          </rPr>
          <t>22/08/2022</t>
        </r>
      </text>
    </comment>
    <comment ref="CY83" authorId="0" shapeId="0" xr:uid="{49F84078-5FF7-479E-8A46-1877B6FDDD85}">
      <text>
        <r>
          <rPr>
            <b/>
            <sz val="9"/>
            <color indexed="81"/>
            <rFont val="Tahoma"/>
            <family val="2"/>
          </rPr>
          <t>02/04/2022</t>
        </r>
      </text>
    </comment>
    <comment ref="DI83" authorId="0" shapeId="0" xr:uid="{7ED2F3E9-8407-4E69-A345-B5DC77C3C8B3}">
      <text>
        <r>
          <rPr>
            <b/>
            <sz val="9"/>
            <color indexed="81"/>
            <rFont val="Tahoma"/>
            <family val="2"/>
          </rPr>
          <t>02/04/2024</t>
        </r>
      </text>
    </comment>
    <comment ref="EY83" authorId="0" shapeId="0" xr:uid="{19F59751-4ADA-4DC3-A0F4-936209330021}">
      <text>
        <r>
          <rPr>
            <b/>
            <sz val="9"/>
            <color indexed="81"/>
            <rFont val="Tahoma"/>
            <family val="2"/>
          </rPr>
          <t>16/02/2022</t>
        </r>
      </text>
    </comment>
    <comment ref="EH84" authorId="1" shapeId="0" xr:uid="{CA6F18A1-03EB-4E30-B4D9-4E0C3D71D264}">
      <text>
        <r>
          <rPr>
            <b/>
            <sz val="9"/>
            <color indexed="81"/>
            <rFont val="Tahoma"/>
            <family val="2"/>
          </rPr>
          <t>Candelaria Yesenia Balcazar Hernandez:</t>
        </r>
        <r>
          <rPr>
            <sz val="9"/>
            <color indexed="81"/>
            <rFont val="Tahoma"/>
            <family val="2"/>
          </rPr>
          <t xml:space="preserve">
24/11/2022</t>
        </r>
      </text>
    </comment>
    <comment ref="EY84" authorId="0" shapeId="0" xr:uid="{28E72A0A-3B0B-4D3E-8598-E28B44911EE3}">
      <text>
        <r>
          <rPr>
            <b/>
            <sz val="9"/>
            <color indexed="81"/>
            <rFont val="Tahoma"/>
            <family val="2"/>
          </rPr>
          <t>08/08/2022</t>
        </r>
      </text>
    </comment>
    <comment ref="AP86" authorId="0" shapeId="0" xr:uid="{E20D6BFC-C7EB-4731-B602-67C5C58BE10C}">
      <text>
        <r>
          <rPr>
            <b/>
            <sz val="9"/>
            <color indexed="81"/>
            <rFont val="Tahoma"/>
            <family val="2"/>
          </rPr>
          <t>10/01/2022</t>
        </r>
      </text>
    </comment>
    <comment ref="AU86" authorId="0" shapeId="0" xr:uid="{CF81AA08-30A6-47B4-BA0E-3952333BEC94}">
      <text>
        <r>
          <rPr>
            <b/>
            <sz val="9"/>
            <color indexed="81"/>
            <rFont val="Tahoma"/>
            <family val="2"/>
          </rPr>
          <t>08/04/2022</t>
        </r>
      </text>
    </comment>
    <comment ref="AZ86" authorId="0" shapeId="0" xr:uid="{D9F933F9-2ED4-4416-9179-9AB68526B33B}">
      <text>
        <r>
          <rPr>
            <b/>
            <sz val="9"/>
            <color indexed="81"/>
            <rFont val="Tahoma"/>
            <family val="2"/>
          </rPr>
          <t>20/06/2022</t>
        </r>
      </text>
    </comment>
    <comment ref="BY86" authorId="0" shapeId="0" xr:uid="{B40B82C3-B646-4D33-ACDE-2F04653C11FD}">
      <text>
        <r>
          <rPr>
            <b/>
            <sz val="9"/>
            <color indexed="81"/>
            <rFont val="Tahoma"/>
            <family val="2"/>
          </rPr>
          <t>14/03/2022</t>
        </r>
      </text>
    </comment>
    <comment ref="CJ86" authorId="0" shapeId="0" xr:uid="{1588AC78-3159-47C8-95AC-DF3D3E735605}">
      <text>
        <r>
          <rPr>
            <b/>
            <sz val="9"/>
            <color indexed="81"/>
            <rFont val="Tahoma"/>
            <family val="2"/>
          </rPr>
          <t>12/01/2022</t>
        </r>
      </text>
    </comment>
    <comment ref="CO86" authorId="0" shapeId="0" xr:uid="{C32EE5A6-C4B5-404B-91B9-49A494C26667}">
      <text>
        <r>
          <rPr>
            <b/>
            <sz val="9"/>
            <color indexed="81"/>
            <rFont val="Tahoma"/>
            <family val="2"/>
          </rPr>
          <t>18/01/2022</t>
        </r>
      </text>
    </comment>
    <comment ref="DI86" authorId="0" shapeId="0" xr:uid="{585380FE-E6F9-4294-BEC2-56CD7B87EA7C}">
      <text>
        <r>
          <rPr>
            <b/>
            <sz val="9"/>
            <color indexed="81"/>
            <rFont val="Tahoma"/>
            <family val="2"/>
          </rPr>
          <t>24/02/2022</t>
        </r>
      </text>
    </comment>
    <comment ref="DS86" authorId="0" shapeId="0" xr:uid="{81B566AB-34F4-4380-AC78-F096C5705B5A}">
      <text>
        <r>
          <rPr>
            <b/>
            <sz val="9"/>
            <color indexed="81"/>
            <rFont val="Tahoma"/>
            <family val="2"/>
          </rPr>
          <t>10/01/2022</t>
        </r>
      </text>
    </comment>
    <comment ref="DX86" authorId="0" shapeId="0" xr:uid="{62DAA4AD-0E89-4D10-9D38-86744698540E}">
      <text>
        <r>
          <rPr>
            <b/>
            <sz val="9"/>
            <color indexed="81"/>
            <rFont val="Tahoma"/>
            <family val="2"/>
          </rPr>
          <t>30/03/2022</t>
        </r>
      </text>
    </comment>
    <comment ref="EC86" authorId="0" shapeId="0" xr:uid="{93574B53-DF3F-4830-9305-C79DF26B4ACA}">
      <text>
        <r>
          <rPr>
            <b/>
            <sz val="9"/>
            <color indexed="81"/>
            <rFont val="Tahoma"/>
            <family val="2"/>
          </rPr>
          <t>30/03/2022</t>
        </r>
      </text>
    </comment>
    <comment ref="EO86" authorId="0" shapeId="0" xr:uid="{921851B6-EE9C-4E7F-90DF-A9184A9079CF}">
      <text>
        <r>
          <rPr>
            <b/>
            <sz val="9"/>
            <color indexed="81"/>
            <rFont val="Tahoma"/>
            <family val="2"/>
          </rPr>
          <t>08/02/2022</t>
        </r>
      </text>
    </comment>
    <comment ref="ET86" authorId="0" shapeId="0" xr:uid="{FE9073B3-60B8-4492-B570-8BD472AD080A}">
      <text>
        <r>
          <rPr>
            <b/>
            <sz val="9"/>
            <color indexed="81"/>
            <rFont val="Tahoma"/>
            <family val="2"/>
          </rPr>
          <t>08/02/2022</t>
        </r>
      </text>
    </comment>
    <comment ref="FS86" authorId="0" shapeId="0" xr:uid="{988A9F36-C1FD-4A7F-AEFA-A355C6451351}">
      <text>
        <r>
          <rPr>
            <b/>
            <sz val="9"/>
            <color indexed="81"/>
            <rFont val="Tahoma"/>
            <family val="2"/>
          </rPr>
          <t>18/02/2022</t>
        </r>
      </text>
    </comment>
    <comment ref="GC86" authorId="0" shapeId="0" xr:uid="{AB164CD5-1E2A-4235-B030-3F66A90AA147}">
      <text>
        <r>
          <rPr>
            <b/>
            <sz val="9"/>
            <color indexed="81"/>
            <rFont val="Tahoma"/>
            <family val="2"/>
          </rPr>
          <t>24/01/2022</t>
        </r>
      </text>
    </comment>
    <comment ref="GH86" authorId="0" shapeId="0" xr:uid="{334E3C47-6A10-4307-AA37-12ED2E0AB0D7}">
      <text>
        <r>
          <rPr>
            <b/>
            <sz val="9"/>
            <color indexed="81"/>
            <rFont val="Tahoma"/>
            <family val="2"/>
          </rPr>
          <t>22/02/2022</t>
        </r>
      </text>
    </comment>
    <comment ref="GM86" authorId="0" shapeId="0" xr:uid="{92EEAAE5-3E95-4BF6-BB83-47A9203C2EC7}">
      <text>
        <r>
          <rPr>
            <b/>
            <sz val="9"/>
            <color indexed="81"/>
            <rFont val="Tahoma"/>
            <family val="2"/>
          </rPr>
          <t>18/02/2022</t>
        </r>
      </text>
    </comment>
    <comment ref="LA86" authorId="0" shapeId="0" xr:uid="{CA53068C-0CEC-4650-83B7-012AE8716637}">
      <text>
        <r>
          <rPr>
            <b/>
            <sz val="9"/>
            <color indexed="81"/>
            <rFont val="Tahoma"/>
            <family val="2"/>
          </rPr>
          <t>18/10/2021</t>
        </r>
      </text>
    </comment>
    <comment ref="AF87" authorId="0" shapeId="0" xr:uid="{7BB33446-7D04-474F-B417-86D868315EAC}">
      <text>
        <r>
          <rPr>
            <b/>
            <sz val="9"/>
            <color indexed="81"/>
            <rFont val="Tahoma"/>
            <family val="2"/>
          </rPr>
          <t>01/02/2022</t>
        </r>
      </text>
    </comment>
    <comment ref="AP87" authorId="0" shapeId="0" xr:uid="{6CD43FF0-6A06-49C1-9826-FA968221ADAF}">
      <text>
        <r>
          <rPr>
            <b/>
            <sz val="9"/>
            <color indexed="81"/>
            <rFont val="Tahoma"/>
            <family val="2"/>
          </rPr>
          <t>29/04/2022</t>
        </r>
      </text>
    </comment>
    <comment ref="AU87" authorId="0" shapeId="0" xr:uid="{39544875-3B00-481D-8B55-D1525DC0CF62}">
      <text>
        <r>
          <rPr>
            <b/>
            <sz val="9"/>
            <color indexed="81"/>
            <rFont val="Tahoma"/>
            <family val="2"/>
          </rPr>
          <t>29/04/2022</t>
        </r>
      </text>
    </comment>
    <comment ref="DI87" authorId="0" shapeId="0" xr:uid="{EB138777-1346-4223-9D93-D605CD233200}">
      <text>
        <r>
          <rPr>
            <b/>
            <sz val="9"/>
            <color indexed="81"/>
            <rFont val="Tahoma"/>
            <family val="2"/>
          </rPr>
          <t>30/04/2022</t>
        </r>
      </text>
    </comment>
    <comment ref="AF88" authorId="0" shapeId="0" xr:uid="{C6BB9C3D-D2EB-4C91-9D99-3435DC4413E1}">
      <text>
        <r>
          <rPr>
            <b/>
            <sz val="9"/>
            <color indexed="81"/>
            <rFont val="Tahoma"/>
            <family val="2"/>
          </rPr>
          <t>05/01/2022</t>
        </r>
      </text>
    </comment>
    <comment ref="AK88" authorId="0" shapeId="0" xr:uid="{6CCA392F-1E3E-4AE8-84E0-E72B8D9D7035}">
      <text>
        <r>
          <rPr>
            <b/>
            <sz val="9"/>
            <color indexed="81"/>
            <rFont val="Tahoma"/>
            <family val="2"/>
          </rPr>
          <t>22/01/2022</t>
        </r>
      </text>
    </comment>
    <comment ref="AU88" authorId="0" shapeId="0" xr:uid="{8D7A6DD1-02D5-4ED8-A469-4206BDA99ABD}">
      <text>
        <r>
          <rPr>
            <b/>
            <sz val="9"/>
            <color indexed="81"/>
            <rFont val="Tahoma"/>
            <family val="2"/>
          </rPr>
          <t>21/01/2022</t>
        </r>
      </text>
    </comment>
    <comment ref="BE88" authorId="0" shapeId="0" xr:uid="{4E63EC37-9C0E-4458-8985-7DC91C4FD422}">
      <text>
        <r>
          <rPr>
            <b/>
            <sz val="9"/>
            <color indexed="81"/>
            <rFont val="Tahoma"/>
            <family val="2"/>
          </rPr>
          <t>24/01/2022</t>
        </r>
      </text>
    </comment>
    <comment ref="BJ88" authorId="0" shapeId="0" xr:uid="{8D1BF00B-0900-41F5-8966-B13A729F0933}">
      <text>
        <r>
          <rPr>
            <b/>
            <sz val="9"/>
            <color indexed="81"/>
            <rFont val="Tahoma"/>
            <family val="2"/>
          </rPr>
          <t>07/06/2022</t>
        </r>
      </text>
    </comment>
    <comment ref="BO88" authorId="0" shapeId="0" xr:uid="{1D253AF7-E500-46C3-89A7-3E337B1B150F}">
      <text>
        <r>
          <rPr>
            <b/>
            <sz val="9"/>
            <color indexed="81"/>
            <rFont val="Tahoma"/>
            <family val="2"/>
          </rPr>
          <t>07/01/2022</t>
        </r>
      </text>
    </comment>
    <comment ref="CO88" authorId="0" shapeId="0" xr:uid="{D870275E-C82B-4869-A871-2B55C8594CBA}">
      <text>
        <r>
          <rPr>
            <b/>
            <sz val="9"/>
            <color indexed="81"/>
            <rFont val="Tahoma"/>
            <family val="2"/>
          </rPr>
          <t>27/01/2022</t>
        </r>
      </text>
    </comment>
    <comment ref="DI88" authorId="0" shapeId="0" xr:uid="{9AD48F51-9EE8-4124-8957-21610EC05B5B}">
      <text>
        <r>
          <rPr>
            <b/>
            <sz val="9"/>
            <color indexed="81"/>
            <rFont val="Tahoma"/>
            <family val="2"/>
          </rPr>
          <t>20/01/2022</t>
        </r>
      </text>
    </comment>
    <comment ref="DS88" authorId="0" shapeId="0" xr:uid="{07444210-7B8B-47EB-8938-31BE36CF32A4}">
      <text>
        <r>
          <rPr>
            <b/>
            <sz val="9"/>
            <color indexed="81"/>
            <rFont val="Tahoma"/>
            <family val="2"/>
          </rPr>
          <t>20/01/2022</t>
        </r>
      </text>
    </comment>
    <comment ref="DX88" authorId="0" shapeId="0" xr:uid="{8AA53F22-0563-43FB-B163-A105F1302F63}">
      <text>
        <r>
          <rPr>
            <b/>
            <sz val="9"/>
            <color indexed="81"/>
            <rFont val="Tahoma"/>
            <family val="2"/>
          </rPr>
          <t>11/01/2022</t>
        </r>
      </text>
    </comment>
    <comment ref="EC88" authorId="0" shapeId="0" xr:uid="{FA2A958C-A07C-4758-A0D4-AFE3C26DE977}">
      <text>
        <r>
          <rPr>
            <b/>
            <sz val="9"/>
            <color indexed="81"/>
            <rFont val="Tahoma"/>
            <family val="2"/>
          </rPr>
          <t>11/01/2022</t>
        </r>
      </text>
    </comment>
    <comment ref="EH88" authorId="1" shapeId="0" xr:uid="{1E0D40E2-C4D2-46DD-BEB8-61B7F07EEE88}">
      <text>
        <r>
          <rPr>
            <b/>
            <sz val="9"/>
            <color indexed="81"/>
            <rFont val="Tahoma"/>
            <family val="2"/>
          </rPr>
          <t>Candelaria Yesenia Balcazar Hernandez:</t>
        </r>
        <r>
          <rPr>
            <sz val="9"/>
            <color indexed="81"/>
            <rFont val="Tahoma"/>
            <family val="2"/>
          </rPr>
          <t xml:space="preserve">
21/01/2022</t>
        </r>
      </text>
    </comment>
    <comment ref="FD88" authorId="0" shapeId="0" xr:uid="{F950FD9B-09C7-44F7-BECD-27C05E6C3B73}">
      <text>
        <r>
          <rPr>
            <b/>
            <sz val="9"/>
            <color indexed="81"/>
            <rFont val="Tahoma"/>
            <family val="2"/>
          </rPr>
          <t>15/01/2022</t>
        </r>
      </text>
    </comment>
    <comment ref="FI88" authorId="0" shapeId="0" xr:uid="{114CF3C5-F260-400D-850E-3761FC78C2D2}">
      <text>
        <r>
          <rPr>
            <b/>
            <sz val="9"/>
            <color indexed="81"/>
            <rFont val="Tahoma"/>
            <family val="2"/>
          </rPr>
          <t>22/01/2022</t>
        </r>
      </text>
    </comment>
    <comment ref="GH88" authorId="0" shapeId="0" xr:uid="{0DE84D03-5996-4443-A8A8-4BDBABAD31DB}">
      <text>
        <r>
          <rPr>
            <b/>
            <sz val="9"/>
            <color indexed="81"/>
            <rFont val="Tahoma"/>
            <family val="2"/>
          </rPr>
          <t>14/01/2022</t>
        </r>
      </text>
    </comment>
    <comment ref="AK89" authorId="0" shapeId="0" xr:uid="{7CC0818B-6777-4163-AAA7-E6E2A3998869}">
      <text>
        <r>
          <rPr>
            <b/>
            <sz val="9"/>
            <color indexed="81"/>
            <rFont val="Tahoma"/>
            <family val="2"/>
          </rPr>
          <t>21/02/2022</t>
        </r>
      </text>
    </comment>
    <comment ref="AP89" authorId="0" shapeId="0" xr:uid="{7B99EBC1-E45A-412E-8EBE-D1338280006B}">
      <text>
        <r>
          <rPr>
            <b/>
            <sz val="9"/>
            <color indexed="81"/>
            <rFont val="Tahoma"/>
            <family val="2"/>
          </rPr>
          <t>09/03/2022</t>
        </r>
      </text>
    </comment>
    <comment ref="AU89" authorId="0" shapeId="0" xr:uid="{F68D61F0-0C8C-4A39-A035-823C448CF39A}">
      <text>
        <r>
          <rPr>
            <b/>
            <sz val="9"/>
            <color indexed="81"/>
            <rFont val="Tahoma"/>
            <family val="2"/>
          </rPr>
          <t>11/04/2022</t>
        </r>
      </text>
    </comment>
    <comment ref="AZ89" authorId="0" shapeId="0" xr:uid="{4B13CDF5-C13E-4A98-A2A7-DD84D29CA773}">
      <text>
        <r>
          <rPr>
            <b/>
            <sz val="9"/>
            <color indexed="81"/>
            <rFont val="Tahoma"/>
            <family val="2"/>
          </rPr>
          <t>20/06/2022</t>
        </r>
      </text>
    </comment>
    <comment ref="BE89" authorId="0" shapeId="0" xr:uid="{02B281AB-DEA6-4C10-A00C-AA773C7C13D7}">
      <text>
        <r>
          <rPr>
            <b/>
            <sz val="9"/>
            <color indexed="81"/>
            <rFont val="Tahoma"/>
            <family val="2"/>
          </rPr>
          <t>22/06/2022</t>
        </r>
      </text>
    </comment>
    <comment ref="BJ89" authorId="0" shapeId="0" xr:uid="{2C305D81-1776-4345-84C0-A319E686967C}">
      <text>
        <r>
          <rPr>
            <b/>
            <sz val="9"/>
            <color indexed="81"/>
            <rFont val="Tahoma"/>
            <family val="2"/>
          </rPr>
          <t>09/06/2022</t>
        </r>
      </text>
    </comment>
    <comment ref="CJ89" authorId="0" shapeId="0" xr:uid="{3FFC1BF3-6E1F-4D6C-95B7-289319607668}">
      <text>
        <r>
          <rPr>
            <b/>
            <sz val="9"/>
            <color indexed="81"/>
            <rFont val="Tahoma"/>
            <family val="2"/>
          </rPr>
          <t>12/01/2022</t>
        </r>
      </text>
    </comment>
    <comment ref="CO89" authorId="0" shapeId="0" xr:uid="{88353BDD-B774-42B0-A45E-4D28F2DF50A1}">
      <text>
        <r>
          <rPr>
            <b/>
            <sz val="9"/>
            <color indexed="81"/>
            <rFont val="Tahoma"/>
            <family val="2"/>
          </rPr>
          <t>18/01/2022</t>
        </r>
      </text>
    </comment>
    <comment ref="DI89" authorId="0" shapeId="0" xr:uid="{A6D15C44-EFA8-4EEA-A2FF-7149E8E54E06}">
      <text>
        <r>
          <rPr>
            <b/>
            <sz val="9"/>
            <color indexed="81"/>
            <rFont val="Tahoma"/>
            <family val="2"/>
          </rPr>
          <t>24/02/2022</t>
        </r>
      </text>
    </comment>
    <comment ref="DX89" authorId="0" shapeId="0" xr:uid="{91DF171A-AAAB-4827-B23B-9D0E67EDA6C8}">
      <text>
        <r>
          <rPr>
            <b/>
            <sz val="9"/>
            <color indexed="81"/>
            <rFont val="Tahoma"/>
            <family val="2"/>
          </rPr>
          <t>30/03/2022</t>
        </r>
      </text>
    </comment>
    <comment ref="EC89" authorId="0" shapeId="0" xr:uid="{1C656375-18BD-44ED-99DE-AE524A347962}">
      <text>
        <r>
          <rPr>
            <b/>
            <sz val="9"/>
            <color indexed="81"/>
            <rFont val="Tahoma"/>
            <family val="2"/>
          </rPr>
          <t>30/03/2022</t>
        </r>
      </text>
    </comment>
    <comment ref="EO89" authorId="0" shapeId="0" xr:uid="{81136CD9-6487-4019-933E-7A2CDD6A7093}">
      <text>
        <r>
          <rPr>
            <b/>
            <sz val="9"/>
            <color indexed="81"/>
            <rFont val="Tahoma"/>
            <family val="2"/>
          </rPr>
          <t>08/02/2022</t>
        </r>
      </text>
    </comment>
    <comment ref="FI89" authorId="0" shapeId="0" xr:uid="{01AA876A-E1FC-4FA3-AC15-12D09288205A}">
      <text>
        <r>
          <rPr>
            <b/>
            <sz val="9"/>
            <color indexed="81"/>
            <rFont val="Tahoma"/>
            <family val="2"/>
          </rPr>
          <t>24/02/2022</t>
        </r>
      </text>
    </comment>
    <comment ref="FS89" authorId="0" shapeId="0" xr:uid="{4324A56F-A0E1-49B9-B872-2D51227BF50E}">
      <text>
        <r>
          <rPr>
            <b/>
            <sz val="9"/>
            <color indexed="81"/>
            <rFont val="Tahoma"/>
            <family val="2"/>
          </rPr>
          <t>18/02/2022</t>
        </r>
      </text>
    </comment>
    <comment ref="GC89" authorId="0" shapeId="0" xr:uid="{097F3792-04C8-4633-8F85-1ED060EDDD82}">
      <text>
        <r>
          <rPr>
            <b/>
            <sz val="9"/>
            <color indexed="81"/>
            <rFont val="Tahoma"/>
            <family val="2"/>
          </rPr>
          <t>23/06/2022</t>
        </r>
      </text>
    </comment>
    <comment ref="GH89" authorId="0" shapeId="0" xr:uid="{4790C309-9F55-4D2C-82BA-2E3C3765AEF7}">
      <text>
        <r>
          <rPr>
            <b/>
            <sz val="9"/>
            <color indexed="81"/>
            <rFont val="Tahoma"/>
            <family val="2"/>
          </rPr>
          <t>22/02/2022</t>
        </r>
      </text>
    </comment>
    <comment ref="E91" authorId="0" shapeId="0" xr:uid="{C4C0448A-A67C-43B0-B7EE-02DCEBC13C2A}">
      <text>
        <r>
          <rPr>
            <b/>
            <sz val="9"/>
            <color indexed="81"/>
            <rFont val="Tahoma"/>
          </rPr>
          <t>04/04/2024 - 05/04/2024</t>
        </r>
      </text>
    </comment>
    <comment ref="AF91" authorId="0" shapeId="0" xr:uid="{5EBB4329-136D-49AF-BD27-7E2F7BD26283}">
      <text>
        <r>
          <rPr>
            <b/>
            <sz val="9"/>
            <color indexed="81"/>
            <rFont val="Tahoma"/>
            <family val="2"/>
          </rPr>
          <t>15/02/2022</t>
        </r>
      </text>
    </comment>
    <comment ref="AK91" authorId="0" shapeId="0" xr:uid="{CB9FB8BA-93F4-4F4D-B653-9140D86EF8AE}">
      <text>
        <r>
          <rPr>
            <b/>
            <sz val="9"/>
            <color indexed="81"/>
            <rFont val="Tahoma"/>
            <family val="2"/>
          </rPr>
          <t>14/02/2022</t>
        </r>
      </text>
    </comment>
    <comment ref="AP91" authorId="0" shapeId="0" xr:uid="{721878BE-E020-452B-B34E-1D48082796D6}">
      <text>
        <r>
          <rPr>
            <b/>
            <sz val="9"/>
            <color indexed="81"/>
            <rFont val="Tahoma"/>
            <family val="2"/>
          </rPr>
          <t>01/04/2022</t>
        </r>
      </text>
    </comment>
    <comment ref="AZ91" authorId="0" shapeId="0" xr:uid="{592106F1-A36D-4D80-B3E9-536B421F41A7}">
      <text>
        <r>
          <rPr>
            <b/>
            <sz val="9"/>
            <color indexed="81"/>
            <rFont val="Tahoma"/>
            <family val="2"/>
          </rPr>
          <t>01/06/2022</t>
        </r>
      </text>
    </comment>
    <comment ref="BT91" authorId="0" shapeId="0" xr:uid="{08D51BAE-26E6-4D7D-933E-DA141704183E}">
      <text>
        <r>
          <rPr>
            <b/>
            <sz val="9"/>
            <color indexed="81"/>
            <rFont val="Tahoma"/>
            <family val="2"/>
          </rPr>
          <t>04/03/2022</t>
        </r>
      </text>
    </comment>
    <comment ref="ET91" authorId="0" shapeId="0" xr:uid="{02361E31-3043-48C3-9A2D-86B4CE979B27}">
      <text>
        <r>
          <rPr>
            <b/>
            <sz val="9"/>
            <color indexed="81"/>
            <rFont val="Tahoma"/>
            <family val="2"/>
          </rPr>
          <t>01/06/2022</t>
        </r>
      </text>
    </comment>
    <comment ref="FI91" authorId="0" shapeId="0" xr:uid="{644F7418-254F-4BC4-9ECD-03BCC71B25F2}">
      <text>
        <r>
          <rPr>
            <b/>
            <sz val="9"/>
            <color indexed="81"/>
            <rFont val="Tahoma"/>
            <family val="2"/>
          </rPr>
          <t>17/02/2022</t>
        </r>
      </text>
    </comment>
    <comment ref="AP92" authorId="0" shapeId="0" xr:uid="{0B2B2F51-0F61-4A0C-90D9-1073C31836A0}">
      <text>
        <r>
          <rPr>
            <b/>
            <sz val="9"/>
            <color indexed="81"/>
            <rFont val="Tahoma"/>
            <family val="2"/>
          </rPr>
          <t>10/03/2022</t>
        </r>
      </text>
    </comment>
    <comment ref="AZ92" authorId="1" shapeId="0" xr:uid="{0F6B2F54-0943-48EA-99BD-6C502128635B}">
      <text>
        <r>
          <rPr>
            <b/>
            <sz val="9"/>
            <color indexed="81"/>
            <rFont val="Tahoma"/>
            <family val="2"/>
          </rPr>
          <t>Candelaria Yesenia Balcazar Hernandez:</t>
        </r>
        <r>
          <rPr>
            <sz val="9"/>
            <color indexed="81"/>
            <rFont val="Tahoma"/>
            <family val="2"/>
          </rPr>
          <t xml:space="preserve">
06/07/2021
</t>
        </r>
      </text>
    </comment>
    <comment ref="FN92" authorId="1" shapeId="0" xr:uid="{1539FDB9-6E3C-489A-BDD4-627887EC4240}">
      <text>
        <r>
          <rPr>
            <b/>
            <sz val="9"/>
            <color indexed="81"/>
            <rFont val="Tahoma"/>
            <family val="2"/>
          </rPr>
          <t>Candelaria Yesenia Balcazar Hernandez:</t>
        </r>
        <r>
          <rPr>
            <sz val="9"/>
            <color indexed="81"/>
            <rFont val="Tahoma"/>
            <family val="2"/>
          </rPr>
          <t xml:space="preserve">
28/06/2021
</t>
        </r>
      </text>
    </comment>
    <comment ref="GM92" authorId="0" shapeId="0" xr:uid="{EFB3E91D-8E39-452B-90C4-E2C2444430F0}">
      <text>
        <r>
          <rPr>
            <b/>
            <sz val="9"/>
            <color indexed="81"/>
            <rFont val="Tahoma"/>
            <family val="2"/>
          </rPr>
          <t>07/01/2022</t>
        </r>
      </text>
    </comment>
    <comment ref="AK95" authorId="0" shapeId="0" xr:uid="{8FA24803-6E4E-4194-BC9E-BD7B481A7180}">
      <text>
        <r>
          <rPr>
            <b/>
            <sz val="9"/>
            <color indexed="81"/>
            <rFont val="Tahoma"/>
            <family val="2"/>
          </rPr>
          <t>02/02/2022</t>
        </r>
      </text>
    </comment>
    <comment ref="BE95" authorId="0" shapeId="0" xr:uid="{45DF83CA-8CE6-4581-A851-7374E48EFF7D}">
      <text>
        <r>
          <rPr>
            <b/>
            <sz val="9"/>
            <color indexed="81"/>
            <rFont val="Tahoma"/>
            <family val="2"/>
          </rPr>
          <t>11/03/2022</t>
        </r>
      </text>
    </comment>
    <comment ref="BJ95" authorId="0" shapeId="0" xr:uid="{F7D475C1-A304-4DC0-AE96-7A1F2752CEF4}">
      <text>
        <r>
          <rPr>
            <b/>
            <sz val="9"/>
            <color indexed="81"/>
            <rFont val="Tahoma"/>
            <family val="2"/>
          </rPr>
          <t>13/06/2022</t>
        </r>
      </text>
    </comment>
    <comment ref="BY95" authorId="0" shapeId="0" xr:uid="{9DB7B30B-9B70-4CDE-A7D4-08B811E2A1F7}">
      <text>
        <r>
          <rPr>
            <b/>
            <sz val="9"/>
            <color indexed="81"/>
            <rFont val="Tahoma"/>
            <family val="2"/>
          </rPr>
          <t>02/02/2022</t>
        </r>
      </text>
    </comment>
    <comment ref="EH95" authorId="1" shapeId="0" xr:uid="{29E28319-37F9-43D2-B7FE-87CCE05B8F8A}">
      <text>
        <r>
          <rPr>
            <b/>
            <sz val="9"/>
            <color indexed="81"/>
            <rFont val="Tahoma"/>
            <family val="2"/>
          </rPr>
          <t>Candelaria Yesenia Balcazar Hernandez:</t>
        </r>
        <r>
          <rPr>
            <sz val="9"/>
            <color indexed="81"/>
            <rFont val="Tahoma"/>
            <family val="2"/>
          </rPr>
          <t xml:space="preserve">
11/05/2023</t>
        </r>
      </text>
    </comment>
    <comment ref="FD95" authorId="0" shapeId="0" xr:uid="{E3104C88-E8E8-471A-AD7B-EA5CBA496038}">
      <text>
        <r>
          <rPr>
            <b/>
            <sz val="9"/>
            <color indexed="81"/>
            <rFont val="Tahoma"/>
            <family val="2"/>
          </rPr>
          <t>03/02/2022</t>
        </r>
      </text>
    </comment>
    <comment ref="FI95" authorId="0" shapeId="0" xr:uid="{C371672A-F8F5-42D5-AAC0-28D958A20302}">
      <text>
        <r>
          <rPr>
            <b/>
            <sz val="9"/>
            <color indexed="81"/>
            <rFont val="Tahoma"/>
            <family val="2"/>
          </rPr>
          <t>04/02/2022</t>
        </r>
      </text>
    </comment>
    <comment ref="E97" authorId="0" shapeId="0" xr:uid="{E25A6184-1A17-4595-9821-1B75BA46371A}">
      <text>
        <r>
          <rPr>
            <b/>
            <sz val="9"/>
            <color indexed="81"/>
            <rFont val="Tahoma"/>
          </rPr>
          <t>04/04/2024 - 05/04/2024</t>
        </r>
      </text>
    </comment>
    <comment ref="AF99" authorId="0" shapeId="0" xr:uid="{73FB7421-64D7-4043-8FEC-70A658830592}">
      <text>
        <r>
          <rPr>
            <b/>
            <sz val="9"/>
            <color indexed="81"/>
            <rFont val="Tahoma"/>
            <family val="2"/>
          </rPr>
          <t>15/02/2022</t>
        </r>
      </text>
    </comment>
    <comment ref="AK99" authorId="0" shapeId="0" xr:uid="{92D06DC3-C13E-4B34-AF4E-0C009828FA15}">
      <text>
        <r>
          <rPr>
            <b/>
            <sz val="9"/>
            <color indexed="81"/>
            <rFont val="Tahoma"/>
            <family val="2"/>
          </rPr>
          <t>14/02/2022</t>
        </r>
      </text>
    </comment>
    <comment ref="AP99" authorId="0" shapeId="0" xr:uid="{D17D6508-7340-4AA4-8D7C-80F8C0A2FFE2}">
      <text>
        <r>
          <rPr>
            <b/>
            <sz val="9"/>
            <color indexed="81"/>
            <rFont val="Tahoma"/>
            <family val="2"/>
          </rPr>
          <t>21/01/2022</t>
        </r>
      </text>
    </comment>
    <comment ref="AU99" authorId="0" shapeId="0" xr:uid="{36CFFEF5-6E51-459E-940F-82F9DB381C2F}">
      <text>
        <r>
          <rPr>
            <b/>
            <sz val="9"/>
            <color indexed="81"/>
            <rFont val="Tahoma"/>
            <family val="2"/>
          </rPr>
          <t>08/04/2022</t>
        </r>
      </text>
    </comment>
    <comment ref="AZ99" authorId="0" shapeId="0" xr:uid="{ACDAE65A-52CB-4FF4-B6C3-9B9FE19DCFB2}">
      <text>
        <r>
          <rPr>
            <b/>
            <sz val="9"/>
            <color indexed="81"/>
            <rFont val="Tahoma"/>
            <family val="2"/>
          </rPr>
          <t>24/01/2022</t>
        </r>
      </text>
    </comment>
    <comment ref="BJ99" authorId="0" shapeId="0" xr:uid="{CE87A711-FE5B-4EB6-98D8-E1EBB349A9E9}">
      <text>
        <r>
          <rPr>
            <b/>
            <sz val="9"/>
            <color indexed="81"/>
            <rFont val="Tahoma"/>
            <family val="2"/>
          </rPr>
          <t>08/06/2022</t>
        </r>
      </text>
    </comment>
    <comment ref="BY99" authorId="0" shapeId="0" xr:uid="{EF507A4F-33FC-4A13-9193-10E3E32AF837}">
      <text>
        <r>
          <rPr>
            <b/>
            <sz val="9"/>
            <color indexed="81"/>
            <rFont val="Tahoma"/>
            <family val="2"/>
          </rPr>
          <t>14/02/2022</t>
        </r>
      </text>
    </comment>
    <comment ref="CO99" authorId="0" shapeId="0" xr:uid="{B2B41926-3043-432F-96A9-FD0FA8C263CE}">
      <text>
        <r>
          <rPr>
            <b/>
            <sz val="9"/>
            <color indexed="81"/>
            <rFont val="Tahoma"/>
            <family val="2"/>
          </rPr>
          <t>27/01/2022</t>
        </r>
      </text>
    </comment>
    <comment ref="DD99" authorId="1" shapeId="0" xr:uid="{ED896A6C-E552-449E-AB03-E2681E00358D}">
      <text>
        <r>
          <rPr>
            <b/>
            <sz val="9"/>
            <color indexed="81"/>
            <rFont val="Tahoma"/>
            <family val="2"/>
          </rPr>
          <t>Candelaria Yesenia Balcazar Hernandez:</t>
        </r>
        <r>
          <rPr>
            <sz val="9"/>
            <color indexed="81"/>
            <rFont val="Tahoma"/>
            <family val="2"/>
          </rPr>
          <t xml:space="preserve">
19/01/2022</t>
        </r>
      </text>
    </comment>
    <comment ref="DI99" authorId="0" shapeId="0" xr:uid="{4A9F456A-DA4B-4598-98F3-D390D1E27F68}">
      <text>
        <r>
          <rPr>
            <b/>
            <sz val="9"/>
            <color indexed="81"/>
            <rFont val="Tahoma"/>
            <family val="2"/>
          </rPr>
          <t>20/01/2022</t>
        </r>
      </text>
    </comment>
    <comment ref="DS99" authorId="0" shapeId="0" xr:uid="{B3F73ED7-6BDF-4D2D-8232-BCF3B8BC4C84}">
      <text>
        <r>
          <rPr>
            <b/>
            <sz val="9"/>
            <color indexed="81"/>
            <rFont val="Tahoma"/>
            <family val="2"/>
          </rPr>
          <t>20/01/2022</t>
        </r>
      </text>
    </comment>
    <comment ref="DX99" authorId="0" shapeId="0" xr:uid="{477E2BA5-DCC2-4107-BB1D-B5E6B7060845}">
      <text>
        <r>
          <rPr>
            <b/>
            <sz val="9"/>
            <color indexed="81"/>
            <rFont val="Tahoma"/>
            <family val="2"/>
          </rPr>
          <t>11/01/2022</t>
        </r>
      </text>
    </comment>
    <comment ref="EC99" authorId="0" shapeId="0" xr:uid="{2818F26D-BE12-49F8-8BE7-6439FCB7DD79}">
      <text>
        <r>
          <rPr>
            <b/>
            <sz val="9"/>
            <color indexed="81"/>
            <rFont val="Tahoma"/>
            <family val="2"/>
          </rPr>
          <t>11/01/2022</t>
        </r>
      </text>
    </comment>
    <comment ref="EO99" authorId="0" shapeId="0" xr:uid="{C4B7BEBF-6B13-4E1F-952C-7E7892110D0E}">
      <text>
        <r>
          <rPr>
            <b/>
            <sz val="9"/>
            <color indexed="81"/>
            <rFont val="Tahoma"/>
            <family val="2"/>
          </rPr>
          <t>15/03/2022</t>
        </r>
      </text>
    </comment>
    <comment ref="FD99" authorId="0" shapeId="0" xr:uid="{7024C78F-5281-4FED-82BC-08519168C4E2}">
      <text>
        <r>
          <rPr>
            <b/>
            <sz val="9"/>
            <color indexed="81"/>
            <rFont val="Tahoma"/>
            <family val="2"/>
          </rPr>
          <t>15/01/2022</t>
        </r>
      </text>
    </comment>
    <comment ref="FI99" authorId="0" shapeId="0" xr:uid="{47B2A576-8F1F-479B-8B61-5931DFDD6AD2}">
      <text>
        <r>
          <rPr>
            <b/>
            <sz val="9"/>
            <color indexed="81"/>
            <rFont val="Tahoma"/>
            <family val="2"/>
          </rPr>
          <t>17/02/2022</t>
        </r>
      </text>
    </comment>
    <comment ref="FN99" authorId="0" shapeId="0" xr:uid="{7D81CD24-7A38-4162-A970-3E00EC6DB768}">
      <text>
        <r>
          <rPr>
            <b/>
            <sz val="9"/>
            <color indexed="81"/>
            <rFont val="Tahoma"/>
            <family val="2"/>
          </rPr>
          <t>06/01/2022</t>
        </r>
      </text>
    </comment>
    <comment ref="FS99" authorId="0" shapeId="0" xr:uid="{8B44A265-3202-4877-89BB-54E594C5F419}">
      <text>
        <r>
          <rPr>
            <b/>
            <sz val="9"/>
            <color indexed="81"/>
            <rFont val="Tahoma"/>
            <family val="2"/>
          </rPr>
          <t>18/01/2022</t>
        </r>
      </text>
    </comment>
    <comment ref="GC99" authorId="0" shapeId="0" xr:uid="{C83D5FA3-74F2-4257-A91D-C4003C8C5929}">
      <text>
        <r>
          <rPr>
            <b/>
            <sz val="9"/>
            <color indexed="81"/>
            <rFont val="Tahoma"/>
            <family val="2"/>
          </rPr>
          <t>04/07/2022</t>
        </r>
      </text>
    </comment>
    <comment ref="GH99" authorId="0" shapeId="0" xr:uid="{678C63D3-3D2D-4E0A-B84D-6E3AC263BC7B}">
      <text>
        <r>
          <rPr>
            <b/>
            <sz val="9"/>
            <color indexed="81"/>
            <rFont val="Tahoma"/>
            <family val="2"/>
          </rPr>
          <t>14/01/2022</t>
        </r>
      </text>
    </comment>
    <comment ref="GM99" authorId="0" shapeId="0" xr:uid="{ED4042F5-9DAC-41C1-A6EA-EAF15186DAFF}">
      <text>
        <r>
          <rPr>
            <b/>
            <sz val="9"/>
            <color indexed="81"/>
            <rFont val="Tahoma"/>
            <family val="2"/>
          </rPr>
          <t>05/01/2022</t>
        </r>
      </text>
    </comment>
    <comment ref="AK100" authorId="0" shapeId="0" xr:uid="{9F230390-CBED-42B3-9723-E13F1CB0D001}">
      <text>
        <r>
          <rPr>
            <b/>
            <sz val="9"/>
            <color indexed="81"/>
            <rFont val="Tahoma"/>
            <family val="2"/>
          </rPr>
          <t>14/03/2022</t>
        </r>
      </text>
    </comment>
    <comment ref="AZ100" authorId="0" shapeId="0" xr:uid="{D049A24A-7C7A-4C16-BE8B-1898CE0B706E}">
      <text>
        <r>
          <rPr>
            <b/>
            <sz val="9"/>
            <color indexed="81"/>
            <rFont val="Tahoma"/>
            <family val="2"/>
          </rPr>
          <t>13/08/2022</t>
        </r>
      </text>
    </comment>
    <comment ref="BJ100" authorId="0" shapeId="0" xr:uid="{EABFA655-139F-44F4-B183-BD413B4FB336}">
      <text>
        <r>
          <rPr>
            <b/>
            <sz val="9"/>
            <color indexed="81"/>
            <rFont val="Tahoma"/>
            <family val="2"/>
          </rPr>
          <t>15/06/2022</t>
        </r>
      </text>
    </comment>
    <comment ref="CO100" authorId="0" shapeId="0" xr:uid="{085F22C6-90DA-4933-8FA4-05C1B64B7B10}">
      <text>
        <r>
          <rPr>
            <b/>
            <sz val="9"/>
            <color indexed="81"/>
            <rFont val="Tahoma"/>
            <family val="2"/>
          </rPr>
          <t>15/08/2022</t>
        </r>
      </text>
    </comment>
    <comment ref="DI100" authorId="0" shapeId="0" xr:uid="{26CDDB0A-2925-41A6-9587-A83BFC43CB08}">
      <text>
        <r>
          <rPr>
            <b/>
            <sz val="9"/>
            <color indexed="81"/>
            <rFont val="Tahoma"/>
            <family val="2"/>
          </rPr>
          <t>20/08/2022</t>
        </r>
      </text>
    </comment>
    <comment ref="DX100" authorId="0" shapeId="0" xr:uid="{D1EDCC91-C567-49DA-9E08-DAC1568752CB}">
      <text>
        <r>
          <rPr>
            <b/>
            <sz val="9"/>
            <color indexed="81"/>
            <rFont val="Tahoma"/>
            <family val="2"/>
          </rPr>
          <t>01/08/2022</t>
        </r>
      </text>
    </comment>
    <comment ref="EC100" authorId="0" shapeId="0" xr:uid="{534CCFF2-C195-4CEA-95BE-266201253441}">
      <text>
        <r>
          <rPr>
            <b/>
            <sz val="9"/>
            <color indexed="81"/>
            <rFont val="Tahoma"/>
            <family val="2"/>
          </rPr>
          <t>01/08/2022</t>
        </r>
      </text>
    </comment>
    <comment ref="EH100" authorId="1" shapeId="0" xr:uid="{DC83E70F-71B0-4C08-B9AA-875EC10DE976}">
      <text>
        <r>
          <rPr>
            <b/>
            <sz val="9"/>
            <color indexed="81"/>
            <rFont val="Tahoma"/>
            <family val="2"/>
          </rPr>
          <t>Candelaria Yesenia Balcazar Hernandez:</t>
        </r>
        <r>
          <rPr>
            <sz val="9"/>
            <color indexed="81"/>
            <rFont val="Tahoma"/>
            <family val="2"/>
          </rPr>
          <t xml:space="preserve">
02/08/2022</t>
        </r>
      </text>
    </comment>
    <comment ref="FI100" authorId="0" shapeId="0" xr:uid="{743464A4-34B8-4694-AFD7-AF6A6A54759F}">
      <text>
        <r>
          <rPr>
            <b/>
            <sz val="9"/>
            <color indexed="81"/>
            <rFont val="Tahoma"/>
            <family val="2"/>
          </rPr>
          <t>17/03/2022</t>
        </r>
      </text>
    </comment>
    <comment ref="GH100" authorId="0" shapeId="0" xr:uid="{750BE036-1660-4CA3-A7B4-25227702C2F6}">
      <text>
        <r>
          <rPr>
            <b/>
            <sz val="9"/>
            <color indexed="81"/>
            <rFont val="Tahoma"/>
            <family val="2"/>
          </rPr>
          <t>21/07/2022</t>
        </r>
      </text>
    </comment>
    <comment ref="GM100" authorId="0" shapeId="0" xr:uid="{D278C099-166C-4490-8FCF-6E1C2A22CE22}">
      <text>
        <r>
          <rPr>
            <b/>
            <sz val="9"/>
            <color indexed="81"/>
            <rFont val="Tahoma"/>
            <family val="2"/>
          </rPr>
          <t>11/01/2022</t>
        </r>
      </text>
    </comment>
    <comment ref="AF101" authorId="0" shapeId="0" xr:uid="{086AE0C3-F6DC-4EAA-8B28-E0935D4E0A15}">
      <text>
        <r>
          <rPr>
            <b/>
            <sz val="9"/>
            <color indexed="81"/>
            <rFont val="Tahoma"/>
            <family val="2"/>
          </rPr>
          <t>22/03/2022</t>
        </r>
      </text>
    </comment>
    <comment ref="AK101" authorId="0" shapeId="0" xr:uid="{9E07FE54-7EDE-4824-B9C8-3E50DEDBD651}">
      <text>
        <r>
          <rPr>
            <b/>
            <sz val="9"/>
            <color indexed="81"/>
            <rFont val="Tahoma"/>
            <family val="2"/>
          </rPr>
          <t>23/03/2022</t>
        </r>
      </text>
    </comment>
    <comment ref="AP101" authorId="0" shapeId="0" xr:uid="{49DB6852-CDD5-4116-9D09-665D7F34BB78}">
      <text>
        <r>
          <rPr>
            <b/>
            <sz val="9"/>
            <color indexed="81"/>
            <rFont val="Tahoma"/>
            <family val="2"/>
          </rPr>
          <t>15/03/2022</t>
        </r>
      </text>
    </comment>
    <comment ref="AU101" authorId="0" shapeId="0" xr:uid="{A7918CEB-8D1D-4EBC-914C-E96EA79C680F}">
      <text>
        <r>
          <rPr>
            <b/>
            <sz val="9"/>
            <color indexed="81"/>
            <rFont val="Tahoma"/>
            <family val="2"/>
          </rPr>
          <t>15/04/2022</t>
        </r>
      </text>
    </comment>
    <comment ref="BJ101" authorId="0" shapeId="0" xr:uid="{0DAA54B1-9CBF-49E5-A55E-86B2EAD1C2EF}">
      <text>
        <r>
          <rPr>
            <b/>
            <sz val="9"/>
            <color indexed="81"/>
            <rFont val="Tahoma"/>
            <family val="2"/>
          </rPr>
          <t>15/06/2022</t>
        </r>
      </text>
    </comment>
    <comment ref="BY101" authorId="0" shapeId="0" xr:uid="{C1F81191-E9C5-45E5-871F-2C9C594126F4}">
      <text>
        <r>
          <rPr>
            <b/>
            <sz val="9"/>
            <color indexed="81"/>
            <rFont val="Tahoma"/>
            <family val="2"/>
          </rPr>
          <t>23/03/2022</t>
        </r>
      </text>
    </comment>
    <comment ref="EY101" authorId="0" shapeId="0" xr:uid="{870D66A2-5CFB-4F21-8366-5C375FCF2F62}">
      <text>
        <r>
          <rPr>
            <b/>
            <sz val="9"/>
            <color indexed="81"/>
            <rFont val="Tahoma"/>
            <family val="2"/>
          </rPr>
          <t>24/03/2022</t>
        </r>
      </text>
    </comment>
    <comment ref="FD101" authorId="0" shapeId="0" xr:uid="{AAFF13A1-E2EC-4064-B023-14BE4EC63098}">
      <text>
        <r>
          <rPr>
            <b/>
            <sz val="9"/>
            <color indexed="81"/>
            <rFont val="Tahoma"/>
            <family val="2"/>
          </rPr>
          <t>24/03/2022</t>
        </r>
      </text>
    </comment>
    <comment ref="EH102" authorId="1" shapeId="0" xr:uid="{C5C4923D-F27A-4E99-B778-9D0C4509F3DC}">
      <text>
        <r>
          <rPr>
            <b/>
            <sz val="9"/>
            <color indexed="81"/>
            <rFont val="Tahoma"/>
            <family val="2"/>
          </rPr>
          <t>Candelaria Yesenia Balcazar Hernandez:</t>
        </r>
        <r>
          <rPr>
            <sz val="9"/>
            <color indexed="81"/>
            <rFont val="Tahoma"/>
            <family val="2"/>
          </rPr>
          <t xml:space="preserve">
02/01/2023
</t>
        </r>
      </text>
    </comment>
    <comment ref="AE103" authorId="0" shapeId="0" xr:uid="{98DA0DAE-61D0-49DE-8568-9E2287664EFE}">
      <text>
        <r>
          <rPr>
            <b/>
            <sz val="9"/>
            <color indexed="81"/>
            <rFont val="Tahoma"/>
            <family val="2"/>
          </rPr>
          <t>Escolaridad secundaria</t>
        </r>
      </text>
    </comment>
    <comment ref="AF104" authorId="0" shapeId="0" xr:uid="{C5EA7CBC-37C8-4E99-897C-3037C9831FD0}">
      <text>
        <r>
          <rPr>
            <b/>
            <sz val="9"/>
            <color indexed="81"/>
            <rFont val="Tahoma"/>
            <family val="2"/>
          </rPr>
          <t>15/02/2022</t>
        </r>
      </text>
    </comment>
    <comment ref="AK104" authorId="0" shapeId="0" xr:uid="{3A9E44C0-A03C-4871-B339-FF1A9ECD4362}">
      <text>
        <r>
          <rPr>
            <b/>
            <sz val="9"/>
            <color indexed="81"/>
            <rFont val="Tahoma"/>
            <family val="2"/>
          </rPr>
          <t>14/02/2022</t>
        </r>
      </text>
    </comment>
    <comment ref="BY104" authorId="0" shapeId="0" xr:uid="{EE2BDE23-9D10-4AE1-A865-7DE673662AD4}">
      <text>
        <r>
          <rPr>
            <b/>
            <sz val="9"/>
            <color indexed="81"/>
            <rFont val="Tahoma"/>
            <family val="2"/>
          </rPr>
          <t>14/02/2022</t>
        </r>
      </text>
    </comment>
    <comment ref="DI104" authorId="0" shapeId="0" xr:uid="{33ABE805-EADA-4AA9-B784-1969270881F1}">
      <text>
        <r>
          <rPr>
            <b/>
            <sz val="9"/>
            <color indexed="81"/>
            <rFont val="Tahoma"/>
            <family val="2"/>
          </rPr>
          <t>02/04/2022</t>
        </r>
      </text>
    </comment>
    <comment ref="DN104" authorId="0" shapeId="0" xr:uid="{A0BDF1B0-AEEE-47E4-ACD2-7C76F83240C6}">
      <text>
        <r>
          <rPr>
            <b/>
            <sz val="9"/>
            <color indexed="81"/>
            <rFont val="Tahoma"/>
            <family val="2"/>
          </rPr>
          <t>30/03/2022</t>
        </r>
      </text>
    </comment>
    <comment ref="AF107" authorId="0" shapeId="0" xr:uid="{A7AF9262-3829-4E8C-935E-261019FDC451}">
      <text>
        <r>
          <rPr>
            <b/>
            <sz val="9"/>
            <color indexed="81"/>
            <rFont val="Tahoma"/>
            <family val="2"/>
          </rPr>
          <t>01/03/2022</t>
        </r>
      </text>
    </comment>
    <comment ref="AK107" authorId="0" shapeId="0" xr:uid="{0A059A7B-9466-4A6A-86A1-CFE9A32652B8}">
      <text>
        <r>
          <rPr>
            <b/>
            <sz val="9"/>
            <color indexed="81"/>
            <rFont val="Tahoma"/>
            <family val="2"/>
          </rPr>
          <t>28/02/2022</t>
        </r>
      </text>
    </comment>
    <comment ref="AP107" authorId="0" shapeId="0" xr:uid="{45594356-79AD-453E-B17D-23C07D8AAF5E}">
      <text>
        <r>
          <rPr>
            <b/>
            <sz val="9"/>
            <color indexed="81"/>
            <rFont val="Tahoma"/>
            <family val="2"/>
          </rPr>
          <t>25/05/2022</t>
        </r>
      </text>
    </comment>
    <comment ref="BY107" authorId="0" shapeId="0" xr:uid="{F76E4FF9-40BB-433C-A7B2-4EDA330E08E6}">
      <text>
        <r>
          <rPr>
            <b/>
            <sz val="9"/>
            <color indexed="81"/>
            <rFont val="Tahoma"/>
            <family val="2"/>
          </rPr>
          <t>02/03/2022</t>
        </r>
      </text>
    </comment>
    <comment ref="CT107" authorId="0" shapeId="0" xr:uid="{D2D2CC8F-43B3-4407-ADBA-61E4F8873C8F}">
      <text>
        <r>
          <rPr>
            <b/>
            <sz val="9"/>
            <color indexed="81"/>
            <rFont val="Tahoma"/>
            <family val="2"/>
          </rPr>
          <t>24/05/2022</t>
        </r>
      </text>
    </comment>
    <comment ref="DI107" authorId="0" shapeId="0" xr:uid="{E256E475-A2A7-4C99-AF08-0DD7B00E55B5}">
      <text>
        <r>
          <rPr>
            <b/>
            <sz val="9"/>
            <color indexed="81"/>
            <rFont val="Tahoma"/>
            <family val="2"/>
          </rPr>
          <t>26/05/2022</t>
        </r>
      </text>
    </comment>
    <comment ref="DN107" authorId="0" shapeId="0" xr:uid="{135A11D2-4715-4A77-BAFD-CBF1E7B62909}">
      <text>
        <r>
          <rPr>
            <b/>
            <sz val="9"/>
            <color indexed="81"/>
            <rFont val="Tahoma"/>
            <family val="2"/>
          </rPr>
          <t>23/05/2022</t>
        </r>
      </text>
    </comment>
    <comment ref="FI107" authorId="0" shapeId="0" xr:uid="{0CC6D4D4-9CDA-4053-AE7D-2A3321FA5C3B}">
      <text>
        <r>
          <rPr>
            <b/>
            <sz val="9"/>
            <color indexed="81"/>
            <rFont val="Tahoma"/>
            <family val="2"/>
          </rPr>
          <t>04/03/2022</t>
        </r>
      </text>
    </comment>
    <comment ref="AK109" authorId="0" shapeId="0" xr:uid="{0BC6A900-413D-4E8E-87EF-5591043BEB19}">
      <text>
        <r>
          <rPr>
            <b/>
            <sz val="9"/>
            <color indexed="81"/>
            <rFont val="Tahoma"/>
            <family val="2"/>
          </rPr>
          <t>09/02/2022</t>
        </r>
      </text>
    </comment>
    <comment ref="AU109" authorId="1" shapeId="0" xr:uid="{3A6E7020-5F77-473F-A73F-8FBD6921E0E9}">
      <text>
        <r>
          <rPr>
            <b/>
            <sz val="9"/>
            <color indexed="81"/>
            <rFont val="Tahoma"/>
            <family val="2"/>
          </rPr>
          <t>Candelaria Yesenia Balcazar Hernandez:</t>
        </r>
        <r>
          <rPr>
            <sz val="9"/>
            <color indexed="81"/>
            <rFont val="Tahoma"/>
            <family val="2"/>
          </rPr>
          <t xml:space="preserve">
11/04/2022</t>
        </r>
      </text>
    </comment>
    <comment ref="BJ109" authorId="0" shapeId="0" xr:uid="{8F46DF7A-8F91-4280-899C-42E18A380389}">
      <text>
        <r>
          <rPr>
            <b/>
            <sz val="9"/>
            <color indexed="81"/>
            <rFont val="Tahoma"/>
            <family val="2"/>
          </rPr>
          <t>06/01/2022</t>
        </r>
      </text>
    </comment>
    <comment ref="DN109" authorId="0" shapeId="0" xr:uid="{6870CB24-19E0-4793-81DD-2E9887D18885}">
      <text>
        <r>
          <rPr>
            <b/>
            <sz val="9"/>
            <color indexed="81"/>
            <rFont val="Tahoma"/>
            <family val="2"/>
          </rPr>
          <t>09/02/2022</t>
        </r>
      </text>
    </comment>
    <comment ref="EH109" authorId="1" shapeId="0" xr:uid="{F66C5672-A2FF-48A1-953C-62DEF3582CC6}">
      <text>
        <r>
          <rPr>
            <b/>
            <sz val="9"/>
            <color indexed="81"/>
            <rFont val="Tahoma"/>
            <family val="2"/>
          </rPr>
          <t>Candelaria Yesenia Balcazar Hernandez:</t>
        </r>
        <r>
          <rPr>
            <sz val="9"/>
            <color indexed="81"/>
            <rFont val="Tahoma"/>
            <family val="2"/>
          </rPr>
          <t xml:space="preserve">
13/05/2023</t>
        </r>
      </text>
    </comment>
    <comment ref="GM109" authorId="0" shapeId="0" xr:uid="{5993B96A-00E8-43FC-A53D-950A5CE4792E}">
      <text>
        <r>
          <rPr>
            <b/>
            <sz val="9"/>
            <color indexed="81"/>
            <rFont val="Tahoma"/>
            <family val="2"/>
          </rPr>
          <t>06/01/2022</t>
        </r>
      </text>
    </comment>
    <comment ref="AK110" authorId="0" shapeId="0" xr:uid="{34E05B9B-F6A8-490B-969D-49BBC428A75B}">
      <text>
        <r>
          <rPr>
            <b/>
            <sz val="9"/>
            <color indexed="81"/>
            <rFont val="Tahoma"/>
            <family val="2"/>
          </rPr>
          <t>21/02/2022</t>
        </r>
      </text>
    </comment>
    <comment ref="FI110" authorId="0" shapeId="0" xr:uid="{7C1EFDA5-D286-47B9-A1CD-3E824E468E57}">
      <text>
        <r>
          <rPr>
            <b/>
            <sz val="9"/>
            <color indexed="81"/>
            <rFont val="Tahoma"/>
            <family val="2"/>
          </rPr>
          <t>24/02/2022</t>
        </r>
      </text>
    </comment>
    <comment ref="AK112" authorId="0" shapeId="0" xr:uid="{9E788DF3-C0AE-4C7D-A293-105B7BCA2609}">
      <text>
        <r>
          <rPr>
            <b/>
            <sz val="9"/>
            <color indexed="81"/>
            <rFont val="Tahoma"/>
            <family val="2"/>
          </rPr>
          <t>07/03/2022</t>
        </r>
      </text>
    </comment>
    <comment ref="CJ112" authorId="1" shapeId="0" xr:uid="{9E68F27A-27E9-4822-B0CC-34A5C5CD30D7}">
      <text>
        <r>
          <rPr>
            <b/>
            <sz val="9"/>
            <color indexed="81"/>
            <rFont val="Tahoma"/>
            <family val="2"/>
          </rPr>
          <t>Candelaria Yesenia Balcazar Hernandez:</t>
        </r>
        <r>
          <rPr>
            <sz val="9"/>
            <color indexed="81"/>
            <rFont val="Tahoma"/>
            <family val="2"/>
          </rPr>
          <t xml:space="preserve">
15/07/2021</t>
        </r>
      </text>
    </comment>
    <comment ref="CO112" authorId="1" shapeId="0" xr:uid="{7F1E04DE-69D4-4873-A9C9-1CAD023C2652}">
      <text>
        <r>
          <rPr>
            <b/>
            <sz val="9"/>
            <color indexed="81"/>
            <rFont val="Tahoma"/>
            <family val="2"/>
          </rPr>
          <t>Candelaria Yesenia Balcazar Hernandez:</t>
        </r>
        <r>
          <rPr>
            <sz val="9"/>
            <color indexed="81"/>
            <rFont val="Tahoma"/>
            <family val="2"/>
          </rPr>
          <t xml:space="preserve">
18/06/2021</t>
        </r>
      </text>
    </comment>
    <comment ref="DN112" authorId="0" shapeId="0" xr:uid="{B5AFCA20-6341-4FF5-83FC-99B5A419D8AA}">
      <text>
        <r>
          <rPr>
            <b/>
            <sz val="9"/>
            <color indexed="81"/>
            <rFont val="Tahoma"/>
            <family val="2"/>
          </rPr>
          <t>21/02/2022</t>
        </r>
      </text>
    </comment>
    <comment ref="DS112" authorId="1" shapeId="0" xr:uid="{96F497B8-C1A6-4F0C-8D22-663EC0D7422A}">
      <text>
        <r>
          <rPr>
            <b/>
            <sz val="9"/>
            <color indexed="81"/>
            <rFont val="Tahoma"/>
            <family val="2"/>
          </rPr>
          <t>Candelaria Yesenia Balcazar Hernandez:</t>
        </r>
        <r>
          <rPr>
            <sz val="9"/>
            <color indexed="81"/>
            <rFont val="Tahoma"/>
            <family val="2"/>
          </rPr>
          <t xml:space="preserve">
23/06/2021
</t>
        </r>
      </text>
    </comment>
    <comment ref="EH112" authorId="1" shapeId="0" xr:uid="{F94849C5-F939-4F23-9F2F-59E815144100}">
      <text>
        <r>
          <rPr>
            <b/>
            <sz val="9"/>
            <color indexed="81"/>
            <rFont val="Tahoma"/>
            <family val="2"/>
          </rPr>
          <t>Candelaria Yesenia Balcazar Hernandez:</t>
        </r>
        <r>
          <rPr>
            <sz val="9"/>
            <color indexed="81"/>
            <rFont val="Tahoma"/>
            <family val="2"/>
          </rPr>
          <t xml:space="preserve">
13/05/2023
</t>
        </r>
      </text>
    </comment>
    <comment ref="EO112" authorId="1" shapeId="0" xr:uid="{6DD41563-4948-443A-B040-6AAC0D9397F3}">
      <text>
        <r>
          <rPr>
            <b/>
            <sz val="9"/>
            <color indexed="81"/>
            <rFont val="Tahoma"/>
            <family val="2"/>
          </rPr>
          <t>Candelaria Yesenia Balcazar Hernandez:</t>
        </r>
        <r>
          <rPr>
            <sz val="9"/>
            <color indexed="81"/>
            <rFont val="Tahoma"/>
            <family val="2"/>
          </rPr>
          <t xml:space="preserve">
10/07/2021
</t>
        </r>
      </text>
    </comment>
    <comment ref="EY112" authorId="0" shapeId="0" xr:uid="{8EFDF866-1FCA-4288-B33C-B02849BB53FF}">
      <text>
        <r>
          <rPr>
            <b/>
            <sz val="9"/>
            <color indexed="81"/>
            <rFont val="Tahoma"/>
            <family val="2"/>
          </rPr>
          <t>10/03/2022</t>
        </r>
      </text>
    </comment>
    <comment ref="FI112" authorId="0" shapeId="0" xr:uid="{029A619C-0729-4153-8090-74AF3F03CC42}">
      <text>
        <r>
          <rPr>
            <b/>
            <sz val="9"/>
            <color indexed="81"/>
            <rFont val="Tahoma"/>
            <family val="2"/>
          </rPr>
          <t>12/03/2022</t>
        </r>
      </text>
    </comment>
    <comment ref="FN112" authorId="1" shapeId="0" xr:uid="{F9B58B61-C118-42DD-8D5B-7D81B27DB2DE}">
      <text>
        <r>
          <rPr>
            <b/>
            <sz val="9"/>
            <color indexed="81"/>
            <rFont val="Tahoma"/>
            <family val="2"/>
          </rPr>
          <t>Candelaria Yesenia Balcazar Hernandez:</t>
        </r>
        <r>
          <rPr>
            <sz val="9"/>
            <color indexed="81"/>
            <rFont val="Tahoma"/>
            <family val="2"/>
          </rPr>
          <t xml:space="preserve">
28/06/2021
</t>
        </r>
      </text>
    </comment>
    <comment ref="HB112" authorId="1" shapeId="0" xr:uid="{4A8D4D5B-7810-4B9C-B19D-0D9E3E93034A}">
      <text>
        <r>
          <rPr>
            <b/>
            <sz val="9"/>
            <color indexed="81"/>
            <rFont val="Tahoma"/>
            <family val="2"/>
          </rPr>
          <t xml:space="preserve">07/04/2021
</t>
        </r>
      </text>
    </comment>
    <comment ref="AK113" authorId="0" shapeId="0" xr:uid="{F07D3DE1-0589-4A67-A1FE-7CD609E0850E}">
      <text>
        <r>
          <rPr>
            <b/>
            <sz val="9"/>
            <color indexed="81"/>
            <rFont val="Tahoma"/>
            <family val="2"/>
          </rPr>
          <t>07/03/2022</t>
        </r>
      </text>
    </comment>
    <comment ref="AP113" authorId="0" shapeId="0" xr:uid="{AF7B8384-05B7-4C0C-900E-B3EB87324CD4}">
      <text>
        <r>
          <rPr>
            <b/>
            <sz val="9"/>
            <color indexed="81"/>
            <rFont val="Tahoma"/>
            <family val="2"/>
          </rPr>
          <t>07/03/2022</t>
        </r>
      </text>
    </comment>
    <comment ref="AZ113" authorId="0" shapeId="0" xr:uid="{9DD7165E-3671-4B9D-8202-C55B4C02E1C8}">
      <text>
        <r>
          <rPr>
            <b/>
            <sz val="9"/>
            <color indexed="81"/>
            <rFont val="Tahoma"/>
            <family val="2"/>
          </rPr>
          <t>02/01/2022</t>
        </r>
      </text>
    </comment>
    <comment ref="CJ113" authorId="0" shapeId="0" xr:uid="{7B05D7F4-179B-4CB8-BC23-ABCA78924C1F}">
      <text>
        <r>
          <rPr>
            <b/>
            <sz val="9"/>
            <color indexed="81"/>
            <rFont val="Tahoma"/>
            <family val="2"/>
          </rPr>
          <t>09/05/2022</t>
        </r>
      </text>
    </comment>
    <comment ref="DI113" authorId="0" shapeId="0" xr:uid="{83B785B7-7688-4E52-8093-BB38A74F627D}">
      <text>
        <r>
          <rPr>
            <b/>
            <sz val="9"/>
            <color indexed="81"/>
            <rFont val="Tahoma"/>
            <family val="2"/>
          </rPr>
          <t>02/01/2022</t>
        </r>
      </text>
    </comment>
    <comment ref="DS113" authorId="0" shapeId="0" xr:uid="{F2B8EFE7-FBF2-4A36-AB71-C008324035C4}">
      <text>
        <r>
          <rPr>
            <b/>
            <sz val="9"/>
            <color indexed="81"/>
            <rFont val="Tahoma"/>
            <family val="2"/>
          </rPr>
          <t>22/02/2022</t>
        </r>
      </text>
    </comment>
    <comment ref="DX113" authorId="0" shapeId="0" xr:uid="{FC19BCCC-5420-4E30-99E4-35715CD321B1}">
      <text>
        <r>
          <rPr>
            <b/>
            <sz val="9"/>
            <color indexed="81"/>
            <rFont val="Tahoma"/>
            <family val="2"/>
          </rPr>
          <t>28/02/2022</t>
        </r>
      </text>
    </comment>
    <comment ref="EH113" authorId="1" shapeId="0" xr:uid="{858D76CE-6DB6-4669-9D3A-71C2E213F86D}">
      <text>
        <r>
          <rPr>
            <b/>
            <sz val="9"/>
            <color indexed="81"/>
            <rFont val="Tahoma"/>
            <family val="2"/>
          </rPr>
          <t>Candelaria Yesenia Balcazar Hernandez:</t>
        </r>
        <r>
          <rPr>
            <sz val="9"/>
            <color indexed="81"/>
            <rFont val="Tahoma"/>
            <family val="2"/>
          </rPr>
          <t xml:space="preserve">
03/02/2022</t>
        </r>
      </text>
    </comment>
    <comment ref="EO113" authorId="1" shapeId="0" xr:uid="{6E0C2CE7-C677-443D-AD98-278F9A8CD89C}">
      <text>
        <r>
          <rPr>
            <b/>
            <sz val="9"/>
            <color indexed="81"/>
            <rFont val="Tahoma"/>
            <family val="2"/>
          </rPr>
          <t>Candelaria Yesenia Balcazar Hernandez:</t>
        </r>
        <r>
          <rPr>
            <sz val="9"/>
            <color indexed="81"/>
            <rFont val="Tahoma"/>
            <family val="2"/>
          </rPr>
          <t xml:space="preserve">
14/03/2023</t>
        </r>
      </text>
    </comment>
    <comment ref="EY113" authorId="0" shapeId="0" xr:uid="{5A6BF0C2-72B7-437A-AAB5-3A1231A39009}">
      <text>
        <r>
          <rPr>
            <b/>
            <sz val="9"/>
            <color indexed="81"/>
            <rFont val="Tahoma"/>
            <family val="2"/>
          </rPr>
          <t>10/03/2022</t>
        </r>
      </text>
    </comment>
    <comment ref="FI113" authorId="0" shapeId="0" xr:uid="{3BD43A30-19B5-4B12-9B33-C11F0AA1D407}">
      <text>
        <r>
          <rPr>
            <b/>
            <sz val="9"/>
            <color indexed="81"/>
            <rFont val="Tahoma"/>
            <family val="2"/>
          </rPr>
          <t>11/03/2022</t>
        </r>
      </text>
    </comment>
    <comment ref="GM113" authorId="0" shapeId="0" xr:uid="{BC74F6E0-9DAF-4BCC-A718-852524A39292}">
      <text>
        <r>
          <rPr>
            <b/>
            <sz val="9"/>
            <color indexed="81"/>
            <rFont val="Tahoma"/>
            <family val="2"/>
          </rPr>
          <t>04/01/2022</t>
        </r>
      </text>
    </comment>
    <comment ref="GC115" authorId="0" shapeId="0" xr:uid="{6BFA2963-1300-4671-83E2-0059867F4B5F}">
      <text>
        <r>
          <rPr>
            <b/>
            <sz val="9"/>
            <color indexed="81"/>
            <rFont val="Tahoma"/>
            <family val="2"/>
          </rPr>
          <t>23/06/2022</t>
        </r>
      </text>
    </comment>
    <comment ref="AF116" authorId="0" shapeId="0" xr:uid="{4DADD927-5626-45B2-929A-DBE8D95FE377}">
      <text>
        <r>
          <rPr>
            <b/>
            <sz val="9"/>
            <color indexed="81"/>
            <rFont val="Tahoma"/>
            <family val="2"/>
          </rPr>
          <t>15/03/2022</t>
        </r>
      </text>
    </comment>
    <comment ref="EH116" authorId="1" shapeId="0" xr:uid="{FB84E721-7C30-4C82-A6DB-F123DAFE0BA1}">
      <text>
        <r>
          <rPr>
            <b/>
            <sz val="9"/>
            <color indexed="81"/>
            <rFont val="Tahoma"/>
            <family val="2"/>
          </rPr>
          <t>Candelaria Yesenia Balcazar Hernandez:</t>
        </r>
        <r>
          <rPr>
            <sz val="9"/>
            <color indexed="81"/>
            <rFont val="Tahoma"/>
            <family val="2"/>
          </rPr>
          <t xml:space="preserve">
02/01/2023</t>
        </r>
      </text>
    </comment>
    <comment ref="FI116" authorId="0" shapeId="0" xr:uid="{CF781EC0-82C2-4883-9F48-4589637DBE10}">
      <text>
        <r>
          <rPr>
            <b/>
            <sz val="9"/>
            <color indexed="81"/>
            <rFont val="Tahoma"/>
            <family val="2"/>
          </rPr>
          <t>17/03/2022</t>
        </r>
      </text>
    </comment>
    <comment ref="U117" authorId="0" shapeId="0" xr:uid="{76C0013B-A524-497B-8E8F-8AE10ED59DE6}">
      <text>
        <r>
          <rPr>
            <b/>
            <sz val="9"/>
            <color indexed="81"/>
            <rFont val="Tahoma"/>
            <family val="2"/>
          </rPr>
          <t>Christian Sánchez:</t>
        </r>
        <r>
          <rPr>
            <sz val="9"/>
            <color indexed="81"/>
            <rFont val="Tahoma"/>
            <family val="2"/>
          </rPr>
          <t xml:space="preserve">
09/01/2019</t>
        </r>
      </text>
    </comment>
    <comment ref="AP117" authorId="0" shapeId="0" xr:uid="{57487734-C311-4359-B7C7-F73CBF6D487C}">
      <text>
        <r>
          <rPr>
            <b/>
            <sz val="9"/>
            <color indexed="81"/>
            <rFont val="Tahoma"/>
            <family val="2"/>
          </rPr>
          <t>08/03/2022</t>
        </r>
      </text>
    </comment>
    <comment ref="AU117" authorId="0" shapeId="0" xr:uid="{D6CF53E2-D46C-43D3-AEA8-428050CF3F4A}">
      <text>
        <r>
          <rPr>
            <b/>
            <sz val="9"/>
            <color indexed="81"/>
            <rFont val="Tahoma"/>
            <family val="2"/>
          </rPr>
          <t>08/04/2022</t>
        </r>
      </text>
    </comment>
    <comment ref="AZ117" authorId="0" shapeId="0" xr:uid="{773DE833-AEB5-49CE-AB9B-B834CBF49F42}">
      <text>
        <r>
          <rPr>
            <b/>
            <sz val="9"/>
            <color indexed="81"/>
            <rFont val="Tahoma"/>
            <family val="2"/>
          </rPr>
          <t>11/01/2022</t>
        </r>
      </text>
    </comment>
    <comment ref="BE117" authorId="0" shapeId="0" xr:uid="{C285EE4C-867D-47A9-ABA3-F5C6FE5B7015}">
      <text>
        <r>
          <rPr>
            <b/>
            <sz val="9"/>
            <color indexed="81"/>
            <rFont val="Tahoma"/>
            <family val="2"/>
          </rPr>
          <t>03/05/2022</t>
        </r>
      </text>
    </comment>
    <comment ref="BT117" authorId="0" shapeId="0" xr:uid="{C4A154BB-7FBF-4730-9252-2E6720826DE4}">
      <text>
        <r>
          <rPr>
            <b/>
            <sz val="9"/>
            <color indexed="81"/>
            <rFont val="Tahoma"/>
            <family val="2"/>
          </rPr>
          <t>12/10/2022</t>
        </r>
      </text>
    </comment>
    <comment ref="CJ117" authorId="0" shapeId="0" xr:uid="{ACACF668-EBBB-4C46-B5A8-5CAB3BD640E0}">
      <text>
        <r>
          <rPr>
            <b/>
            <sz val="9"/>
            <color indexed="81"/>
            <rFont val="Tahoma"/>
            <family val="2"/>
          </rPr>
          <t>08/11/2023</t>
        </r>
      </text>
    </comment>
    <comment ref="CO117" authorId="0" shapeId="0" xr:uid="{5991D156-BCE7-4A48-869B-0C5C121D4E0F}">
      <text>
        <r>
          <rPr>
            <b/>
            <sz val="9"/>
            <color indexed="81"/>
            <rFont val="Tahoma"/>
            <family val="2"/>
          </rPr>
          <t>13/01/2022</t>
        </r>
      </text>
    </comment>
    <comment ref="CY117" authorId="1" shapeId="0" xr:uid="{9939FC2B-5B72-49D2-9941-DF7057DE3A31}">
      <text>
        <r>
          <rPr>
            <b/>
            <sz val="9"/>
            <color indexed="81"/>
            <rFont val="Tahoma"/>
            <family val="2"/>
          </rPr>
          <t>Candelaria Yesenia Balcazar Hernandez:</t>
        </r>
        <r>
          <rPr>
            <sz val="9"/>
            <color indexed="81"/>
            <rFont val="Tahoma"/>
            <family val="2"/>
          </rPr>
          <t xml:space="preserve">
10/02/2022</t>
        </r>
      </text>
    </comment>
    <comment ref="DI117" authorId="0" shapeId="0" xr:uid="{43514EA3-F463-4714-A0A2-EBEE4469602C}">
      <text>
        <r>
          <rPr>
            <b/>
            <sz val="9"/>
            <color indexed="81"/>
            <rFont val="Tahoma"/>
            <family val="2"/>
          </rPr>
          <t>19/02/2022</t>
        </r>
      </text>
    </comment>
    <comment ref="DS117" authorId="0" shapeId="0" xr:uid="{48553FC4-E947-4B57-A9B2-2633C4684314}">
      <text>
        <r>
          <rPr>
            <b/>
            <sz val="9"/>
            <color indexed="81"/>
            <rFont val="Tahoma"/>
            <family val="2"/>
          </rPr>
          <t>10/01/2022</t>
        </r>
      </text>
    </comment>
    <comment ref="DX117" authorId="0" shapeId="0" xr:uid="{D7186AEF-359C-4C75-BA8C-52C5537F956C}">
      <text>
        <r>
          <rPr>
            <b/>
            <sz val="9"/>
            <color indexed="81"/>
            <rFont val="Tahoma"/>
            <family val="2"/>
          </rPr>
          <t>10/02/2022</t>
        </r>
      </text>
    </comment>
    <comment ref="EY117" authorId="0" shapeId="0" xr:uid="{67CA44CC-588C-4297-8359-FD346115C98C}">
      <text>
        <r>
          <rPr>
            <b/>
            <sz val="9"/>
            <color indexed="81"/>
            <rFont val="Tahoma"/>
            <family val="2"/>
          </rPr>
          <t>24/03/2022</t>
        </r>
      </text>
    </comment>
    <comment ref="FI117" authorId="0" shapeId="0" xr:uid="{4F69AA69-5E63-4EE9-98CA-25C40B10EA02}">
      <text>
        <r>
          <rPr>
            <b/>
            <sz val="9"/>
            <color indexed="81"/>
            <rFont val="Tahoma"/>
            <family val="2"/>
          </rPr>
          <t>25/03/2022</t>
        </r>
      </text>
    </comment>
    <comment ref="FN117" authorId="0" shapeId="0" xr:uid="{00710CAD-A8AC-4D40-B88E-4ACB54417C51}">
      <text>
        <r>
          <rPr>
            <b/>
            <sz val="9"/>
            <color indexed="81"/>
            <rFont val="Tahoma"/>
            <family val="2"/>
          </rPr>
          <t>07/02/2022</t>
        </r>
      </text>
    </comment>
    <comment ref="FS117" authorId="0" shapeId="0" xr:uid="{566A991E-E7DA-4B05-8EC5-036474080320}">
      <text>
        <r>
          <rPr>
            <b/>
            <sz val="9"/>
            <color indexed="81"/>
            <rFont val="Tahoma"/>
            <family val="2"/>
          </rPr>
          <t>18/02/2022</t>
        </r>
      </text>
    </comment>
    <comment ref="GH117" authorId="0" shapeId="0" xr:uid="{E26E3F08-B597-4ED5-B763-F0364E0E65FB}">
      <text>
        <r>
          <rPr>
            <b/>
            <sz val="9"/>
            <color indexed="81"/>
            <rFont val="Tahoma"/>
            <family val="2"/>
          </rPr>
          <t>15/02/2022</t>
        </r>
      </text>
    </comment>
    <comment ref="E118" authorId="0" shapeId="0" xr:uid="{D790B609-36FA-4006-AEB0-7831C1EBC2EC}">
      <text>
        <r>
          <rPr>
            <b/>
            <sz val="9"/>
            <color indexed="81"/>
            <rFont val="Tahoma"/>
          </rPr>
          <t>04/04/2024 - 05/04/2024</t>
        </r>
      </text>
    </comment>
    <comment ref="AK118" authorId="0" shapeId="0" xr:uid="{07AFF8F9-35A9-4BD3-953F-67A583DD776B}">
      <text>
        <r>
          <rPr>
            <b/>
            <sz val="9"/>
            <color indexed="81"/>
            <rFont val="Tahoma"/>
            <family val="2"/>
          </rPr>
          <t>14/02/2022</t>
        </r>
      </text>
    </comment>
    <comment ref="BJ118" authorId="0" shapeId="0" xr:uid="{AA4333C8-B6D1-494C-8B55-D679F9C331F2}">
      <text>
        <r>
          <rPr>
            <b/>
            <sz val="9"/>
            <color indexed="81"/>
            <rFont val="Tahoma"/>
            <family val="2"/>
          </rPr>
          <t>15/08/2022</t>
        </r>
      </text>
    </comment>
    <comment ref="CY118" authorId="0" shapeId="0" xr:uid="{15242169-6B6F-4E7B-9E9D-9F45B1BCFDE4}">
      <text>
        <r>
          <rPr>
            <b/>
            <sz val="9"/>
            <color indexed="81"/>
            <rFont val="Tahoma"/>
            <family val="2"/>
          </rPr>
          <t>02/04/2022</t>
        </r>
      </text>
    </comment>
    <comment ref="DD118" authorId="0" shapeId="0" xr:uid="{C0063DCD-1652-43B6-8509-8180D95B2615}">
      <text>
        <r>
          <rPr>
            <b/>
            <sz val="9"/>
            <color indexed="81"/>
            <rFont val="Tahoma"/>
            <family val="2"/>
          </rPr>
          <t>18/08/2022</t>
        </r>
      </text>
    </comment>
    <comment ref="DI118" authorId="0" shapeId="0" xr:uid="{8E8D0D64-4E7C-4D5B-87B2-FC129A8D2D60}">
      <text>
        <r>
          <rPr>
            <b/>
            <sz val="9"/>
            <color indexed="81"/>
            <rFont val="Tahoma"/>
            <family val="2"/>
          </rPr>
          <t>02/04/2022</t>
        </r>
      </text>
    </comment>
    <comment ref="FD118" authorId="0" shapeId="0" xr:uid="{2230A5F0-19FE-4BE1-8C8F-BCDF07BB4E87}">
      <text>
        <r>
          <rPr>
            <b/>
            <sz val="9"/>
            <color indexed="81"/>
            <rFont val="Tahoma"/>
            <family val="2"/>
          </rPr>
          <t>16/02/2022</t>
        </r>
      </text>
    </comment>
    <comment ref="AK121" authorId="0" shapeId="0" xr:uid="{663116B8-D5E1-42BC-B827-27ED21017CC3}">
      <text>
        <r>
          <rPr>
            <b/>
            <sz val="9"/>
            <color indexed="81"/>
            <rFont val="Tahoma"/>
            <family val="2"/>
          </rPr>
          <t>10/02/2022</t>
        </r>
      </text>
    </comment>
    <comment ref="AP121" authorId="0" shapeId="0" xr:uid="{1722C383-A62D-40AA-8C4D-2D1CB468E1F5}">
      <text>
        <r>
          <rPr>
            <b/>
            <sz val="9"/>
            <color indexed="81"/>
            <rFont val="Tahoma"/>
            <family val="2"/>
          </rPr>
          <t>14/03/2022</t>
        </r>
      </text>
    </comment>
    <comment ref="AU121" authorId="0" shapeId="0" xr:uid="{2BA3D4FA-3A03-4CAC-8947-0C94B481A3C0}">
      <text>
        <r>
          <rPr>
            <b/>
            <sz val="9"/>
            <color indexed="81"/>
            <rFont val="Tahoma"/>
            <family val="2"/>
          </rPr>
          <t>12/04/2022</t>
        </r>
      </text>
    </comment>
    <comment ref="BY121" authorId="1" shapeId="0" xr:uid="{7881DDFB-9F77-4F63-9DAD-894C9CA59FB8}">
      <text>
        <r>
          <rPr>
            <b/>
            <sz val="9"/>
            <color indexed="81"/>
            <rFont val="Tahoma"/>
            <family val="2"/>
          </rPr>
          <t>Candelaria Yesenia Balcazar Hernandez:</t>
        </r>
        <r>
          <rPr>
            <sz val="9"/>
            <color indexed="81"/>
            <rFont val="Tahoma"/>
            <family val="2"/>
          </rPr>
          <t xml:space="preserve">
08/07/2021</t>
        </r>
      </text>
    </comment>
    <comment ref="CJ121" authorId="1" shapeId="0" xr:uid="{5A2A3E7C-F379-4396-8C1A-BF483C28D74F}">
      <text>
        <r>
          <rPr>
            <b/>
            <sz val="9"/>
            <color indexed="81"/>
            <rFont val="Tahoma"/>
            <family val="2"/>
          </rPr>
          <t xml:space="preserve">15/07/2021
</t>
        </r>
      </text>
    </comment>
    <comment ref="CO121" authorId="1" shapeId="0" xr:uid="{00329F47-922B-47A0-9A48-3A87AD6895F4}">
      <text>
        <r>
          <rPr>
            <b/>
            <sz val="9"/>
            <color indexed="81"/>
            <rFont val="Tahoma"/>
            <family val="2"/>
          </rPr>
          <t>Candelaria Yesenia Balcazar Hernandez:</t>
        </r>
        <r>
          <rPr>
            <sz val="9"/>
            <color indexed="81"/>
            <rFont val="Tahoma"/>
            <family val="2"/>
          </rPr>
          <t xml:space="preserve">
18/06/2021
</t>
        </r>
      </text>
    </comment>
    <comment ref="CY121" authorId="0" shapeId="0" xr:uid="{61AA8956-8906-4494-ABEF-9A6CB1A2692C}">
      <text>
        <r>
          <rPr>
            <b/>
            <sz val="9"/>
            <color indexed="81"/>
            <rFont val="Tahoma"/>
            <family val="2"/>
          </rPr>
          <t>01/08/2022</t>
        </r>
      </text>
    </comment>
    <comment ref="DS121" authorId="1" shapeId="0" xr:uid="{4526516D-E56F-4EFA-9CDA-84279B8EED4D}">
      <text>
        <r>
          <rPr>
            <b/>
            <sz val="9"/>
            <color indexed="81"/>
            <rFont val="Tahoma"/>
            <family val="2"/>
          </rPr>
          <t>Candelaria Yesenia Balcazar Hernandez:</t>
        </r>
        <r>
          <rPr>
            <sz val="9"/>
            <color indexed="81"/>
            <rFont val="Tahoma"/>
            <family val="2"/>
          </rPr>
          <t xml:space="preserve">
23/06/2021
</t>
        </r>
      </text>
    </comment>
    <comment ref="AK122" authorId="0" shapeId="0" xr:uid="{6E60BA1E-3A29-4DE4-B298-3063746F0B0C}">
      <text>
        <r>
          <rPr>
            <b/>
            <sz val="9"/>
            <color indexed="81"/>
            <rFont val="Tahoma"/>
            <family val="2"/>
          </rPr>
          <t>14/03/2022</t>
        </r>
      </text>
    </comment>
    <comment ref="AP122" authorId="0" shapeId="0" xr:uid="{CE41AE1C-7952-4D6F-AB1E-F71C11E16ECF}">
      <text>
        <r>
          <rPr>
            <b/>
            <sz val="9"/>
            <color indexed="81"/>
            <rFont val="Tahoma"/>
            <family val="2"/>
          </rPr>
          <t>13/05/2022</t>
        </r>
      </text>
    </comment>
    <comment ref="AU122" authorId="0" shapeId="0" xr:uid="{476D1D09-A67C-4657-AAC8-BAB9FBBED593}">
      <text>
        <r>
          <rPr>
            <b/>
            <sz val="9"/>
            <color indexed="81"/>
            <rFont val="Tahoma"/>
            <family val="2"/>
          </rPr>
          <t>13/05/2022</t>
        </r>
      </text>
    </comment>
    <comment ref="AZ122" authorId="0" shapeId="0" xr:uid="{3708E6C0-8832-4CF3-92AB-8790E7E35C9D}">
      <text>
        <r>
          <rPr>
            <b/>
            <sz val="9"/>
            <color indexed="81"/>
            <rFont val="Tahoma"/>
            <family val="2"/>
          </rPr>
          <t>20/06/2022</t>
        </r>
      </text>
    </comment>
    <comment ref="BY122" authorId="0" shapeId="0" xr:uid="{8988F550-4DE2-4793-9730-F62375E56892}">
      <text>
        <r>
          <rPr>
            <b/>
            <sz val="9"/>
            <color indexed="81"/>
            <rFont val="Tahoma"/>
            <family val="2"/>
          </rPr>
          <t>14/03/2022</t>
        </r>
      </text>
    </comment>
    <comment ref="CJ122" authorId="1" shapeId="0" xr:uid="{5D6FBA83-2ECA-4B3D-98D4-14A25B3CFDF0}">
      <text>
        <r>
          <rPr>
            <b/>
            <sz val="9"/>
            <color indexed="81"/>
            <rFont val="Tahoma"/>
            <family val="2"/>
          </rPr>
          <t>Candelaria Yesenia Balcazar Hernandez:</t>
        </r>
        <r>
          <rPr>
            <sz val="9"/>
            <color indexed="81"/>
            <rFont val="Tahoma"/>
            <family val="2"/>
          </rPr>
          <t xml:space="preserve">
15/07/2021
</t>
        </r>
      </text>
    </comment>
    <comment ref="CY122" authorId="1" shapeId="0" xr:uid="{974D8567-DBA8-441A-AC35-B0687CC03617}">
      <text>
        <r>
          <rPr>
            <b/>
            <sz val="9"/>
            <color indexed="81"/>
            <rFont val="Tahoma"/>
            <family val="2"/>
          </rPr>
          <t>Candelaria Yesenia Balcazar Hernandez:</t>
        </r>
        <r>
          <rPr>
            <sz val="9"/>
            <color indexed="81"/>
            <rFont val="Tahoma"/>
            <family val="2"/>
          </rPr>
          <t xml:space="preserve">
14/05/2022</t>
        </r>
      </text>
    </comment>
    <comment ref="DI122" authorId="0" shapeId="0" xr:uid="{85BECF63-308A-400B-89CD-BE3BAD76993D}">
      <text>
        <r>
          <rPr>
            <b/>
            <sz val="9"/>
            <color indexed="81"/>
            <rFont val="Tahoma"/>
            <family val="2"/>
          </rPr>
          <t>14/05/2022</t>
        </r>
      </text>
    </comment>
    <comment ref="EO122" authorId="1" shapeId="0" xr:uid="{020A4D4B-E0E4-4B89-B201-25D7FA490028}">
      <text>
        <r>
          <rPr>
            <b/>
            <sz val="9"/>
            <color indexed="81"/>
            <rFont val="Tahoma"/>
            <family val="2"/>
          </rPr>
          <t>Candelaria Yesenia Balcazar Hernandez:</t>
        </r>
        <r>
          <rPr>
            <sz val="9"/>
            <color indexed="81"/>
            <rFont val="Tahoma"/>
            <family val="2"/>
          </rPr>
          <t xml:space="preserve">
10/07/2021
</t>
        </r>
      </text>
    </comment>
    <comment ref="FN122" authorId="1" shapeId="0" xr:uid="{D2532B3E-A84F-4A19-889C-DD83D4A052FC}">
      <text>
        <r>
          <rPr>
            <b/>
            <sz val="9"/>
            <color indexed="81"/>
            <rFont val="Tahoma"/>
            <family val="2"/>
          </rPr>
          <t>Candelaria Yesenia Balcazar Hernandez:</t>
        </r>
        <r>
          <rPr>
            <sz val="9"/>
            <color indexed="81"/>
            <rFont val="Tahoma"/>
            <family val="2"/>
          </rPr>
          <t xml:space="preserve">
28/06/2021
</t>
        </r>
      </text>
    </comment>
    <comment ref="FS122" authorId="1" shapeId="0" xr:uid="{032435DD-43BE-4270-B424-E76937BA05EB}">
      <text>
        <r>
          <rPr>
            <b/>
            <sz val="9"/>
            <color indexed="81"/>
            <rFont val="Tahoma"/>
            <family val="2"/>
          </rPr>
          <t>Candelaria Yesenia Balcazar Hernandez:</t>
        </r>
        <r>
          <rPr>
            <sz val="9"/>
            <color indexed="81"/>
            <rFont val="Tahoma"/>
            <family val="2"/>
          </rPr>
          <t xml:space="preserve">
21/06/2021
</t>
        </r>
      </text>
    </comment>
    <comment ref="GC122" authorId="0" shapeId="0" xr:uid="{424CD9CB-A00E-4971-B4BC-4CD5811A4C34}">
      <text>
        <r>
          <rPr>
            <b/>
            <sz val="9"/>
            <color indexed="81"/>
            <rFont val="Tahoma"/>
            <family val="2"/>
          </rPr>
          <t>23/06/2022</t>
        </r>
      </text>
    </comment>
    <comment ref="GM122" authorId="0" shapeId="0" xr:uid="{DBEC5214-E8EB-47AA-8B35-6C8203342FB4}">
      <text>
        <r>
          <rPr>
            <b/>
            <sz val="9"/>
            <color indexed="81"/>
            <rFont val="Tahoma"/>
            <family val="2"/>
          </rPr>
          <t>07/01/2022</t>
        </r>
      </text>
    </comment>
    <comment ref="AZ123" authorId="0" shapeId="0" xr:uid="{6F7DD1AB-B2D9-4A63-9F24-783CFD632535}">
      <text>
        <r>
          <rPr>
            <b/>
            <sz val="9"/>
            <color indexed="81"/>
            <rFont val="Tahoma"/>
            <family val="2"/>
          </rPr>
          <t>20/06/2022</t>
        </r>
      </text>
    </comment>
    <comment ref="BE123" authorId="0" shapeId="0" xr:uid="{BE34E331-D826-4321-BD49-ECEA9B0727A2}">
      <text>
        <r>
          <rPr>
            <b/>
            <sz val="9"/>
            <color indexed="81"/>
            <rFont val="Tahoma"/>
            <family val="2"/>
          </rPr>
          <t>22/06/2022</t>
        </r>
      </text>
    </comment>
    <comment ref="GC123" authorId="0" shapeId="0" xr:uid="{D29638CC-5190-4C81-9BA1-7E42DF751AE3}">
      <text>
        <r>
          <rPr>
            <b/>
            <sz val="9"/>
            <color indexed="81"/>
            <rFont val="Tahoma"/>
            <family val="2"/>
          </rPr>
          <t>23/06/2022</t>
        </r>
      </text>
    </comment>
    <comment ref="AK124" authorId="0" shapeId="0" xr:uid="{0419626B-B635-47C0-A298-A285519EBAA9}">
      <text>
        <r>
          <rPr>
            <b/>
            <sz val="9"/>
            <color indexed="81"/>
            <rFont val="Tahoma"/>
            <family val="2"/>
          </rPr>
          <t>09/02/2022</t>
        </r>
      </text>
    </comment>
    <comment ref="AP124" authorId="0" shapeId="0" xr:uid="{17751C8A-E2DB-4DF1-AFEB-B85ABDA5B0A7}">
      <text>
        <r>
          <rPr>
            <b/>
            <sz val="9"/>
            <color indexed="81"/>
            <rFont val="Tahoma"/>
            <family val="2"/>
          </rPr>
          <t>14/03/2022</t>
        </r>
      </text>
    </comment>
    <comment ref="AU124" authorId="0" shapeId="0" xr:uid="{97B5D759-0AAE-4092-93EE-CD8923B1DB02}">
      <text>
        <r>
          <rPr>
            <b/>
            <sz val="9"/>
            <color indexed="81"/>
            <rFont val="Tahoma"/>
            <family val="2"/>
          </rPr>
          <t>11/04/2022</t>
        </r>
      </text>
    </comment>
    <comment ref="AZ124" authorId="0" shapeId="0" xr:uid="{F20E3830-F0E6-4922-BC2C-E797E80BBEEA}">
      <text>
        <r>
          <rPr>
            <b/>
            <sz val="9"/>
            <color indexed="81"/>
            <rFont val="Tahoma"/>
            <family val="2"/>
          </rPr>
          <t>20/06/2022</t>
        </r>
      </text>
    </comment>
    <comment ref="BY124" authorId="0" shapeId="0" xr:uid="{F22D86E4-2986-4A0B-B8C5-AF41AA18CC17}">
      <text>
        <r>
          <rPr>
            <sz val="9"/>
            <color indexed="81"/>
            <rFont val="Tahoma"/>
            <family val="2"/>
          </rPr>
          <t xml:space="preserve">23/03/2022
</t>
        </r>
      </text>
    </comment>
    <comment ref="EH124" authorId="1" shapeId="0" xr:uid="{A7811EA4-1A70-4C79-8C76-C2B7ADCE6E56}">
      <text>
        <r>
          <rPr>
            <b/>
            <sz val="9"/>
            <color indexed="81"/>
            <rFont val="Tahoma"/>
            <family val="2"/>
          </rPr>
          <t>Candelaria Yesenia Balcazar Hernandez:</t>
        </r>
        <r>
          <rPr>
            <sz val="9"/>
            <color indexed="81"/>
            <rFont val="Tahoma"/>
            <family val="2"/>
          </rPr>
          <t xml:space="preserve">
02/05/2023</t>
        </r>
      </text>
    </comment>
    <comment ref="ET124" authorId="0" shapeId="0" xr:uid="{761CDC8C-9DBB-43FE-8D21-CF21AD0703C7}">
      <text>
        <r>
          <rPr>
            <b/>
            <sz val="9"/>
            <color indexed="81"/>
            <rFont val="Tahoma"/>
            <family val="2"/>
          </rPr>
          <t>20/06/2022</t>
        </r>
      </text>
    </comment>
    <comment ref="EY124" authorId="0" shapeId="0" xr:uid="{28755222-03F5-44AD-8482-E6E9CE7C33E5}">
      <text>
        <r>
          <rPr>
            <b/>
            <sz val="9"/>
            <color indexed="81"/>
            <rFont val="Tahoma"/>
            <family val="2"/>
          </rPr>
          <t>24/03/2022</t>
        </r>
      </text>
    </comment>
    <comment ref="FI124" authorId="0" shapeId="0" xr:uid="{227D27E7-6388-48B4-95E2-131638BB919A}">
      <text>
        <r>
          <rPr>
            <b/>
            <sz val="9"/>
            <color indexed="81"/>
            <rFont val="Tahoma"/>
            <family val="2"/>
          </rPr>
          <t>25/03/2022</t>
        </r>
      </text>
    </comment>
    <comment ref="GC124" authorId="0" shapeId="0" xr:uid="{BA08FE54-742C-445C-9451-FD897713EF8B}">
      <text>
        <r>
          <rPr>
            <b/>
            <sz val="9"/>
            <color indexed="81"/>
            <rFont val="Tahoma"/>
            <family val="2"/>
          </rPr>
          <t>23/06/2022</t>
        </r>
      </text>
    </comment>
    <comment ref="GM124" authorId="0" shapeId="0" xr:uid="{CD753808-45D1-49E3-B958-7AA99DA23FC0}">
      <text>
        <r>
          <rPr>
            <b/>
            <sz val="9"/>
            <color indexed="81"/>
            <rFont val="Tahoma"/>
            <family val="2"/>
          </rPr>
          <t>06/01/2022</t>
        </r>
      </text>
    </comment>
    <comment ref="AK125" authorId="0" shapeId="0" xr:uid="{FF37C49B-B314-4152-85C5-5D85A05FCF78}">
      <text>
        <r>
          <rPr>
            <b/>
            <sz val="9"/>
            <color indexed="81"/>
            <rFont val="Tahoma"/>
            <family val="2"/>
          </rPr>
          <t>09/02/2022</t>
        </r>
      </text>
    </comment>
    <comment ref="AP125" authorId="0" shapeId="0" xr:uid="{1395F64B-1CCA-4091-80BE-418B7B060025}">
      <text>
        <r>
          <rPr>
            <b/>
            <sz val="9"/>
            <color indexed="81"/>
            <rFont val="Tahoma"/>
            <family val="2"/>
          </rPr>
          <t>14/03/2022</t>
        </r>
      </text>
    </comment>
    <comment ref="BE125" authorId="0" shapeId="0" xr:uid="{FB02C236-5548-41E4-BB3F-05D72C21F1B8}">
      <text>
        <r>
          <rPr>
            <b/>
            <sz val="9"/>
            <color indexed="81"/>
            <rFont val="Tahoma"/>
            <family val="2"/>
          </rPr>
          <t>07/05/2022</t>
        </r>
      </text>
    </comment>
    <comment ref="EH125" authorId="1" shapeId="0" xr:uid="{9BF4D439-7AD1-44DA-A353-AF96B59CD2D0}">
      <text>
        <r>
          <rPr>
            <b/>
            <sz val="9"/>
            <color indexed="81"/>
            <rFont val="Tahoma"/>
            <family val="2"/>
          </rPr>
          <t>Candelaria Yesenia Balcazar Hernandez:</t>
        </r>
        <r>
          <rPr>
            <sz val="9"/>
            <color indexed="81"/>
            <rFont val="Tahoma"/>
            <family val="2"/>
          </rPr>
          <t xml:space="preserve">
02/01/2023</t>
        </r>
      </text>
    </comment>
    <comment ref="AZ126" authorId="0" shapeId="0" xr:uid="{6280A41D-2B33-4FA7-B4D1-6658490D6029}">
      <text>
        <r>
          <rPr>
            <b/>
            <sz val="9"/>
            <color indexed="81"/>
            <rFont val="Tahoma"/>
            <family val="2"/>
          </rPr>
          <t>20/06/2022</t>
        </r>
      </text>
    </comment>
    <comment ref="BE126" authorId="0" shapeId="0" xr:uid="{7984319A-0A9C-420E-8F68-6036D3A710B4}">
      <text>
        <r>
          <rPr>
            <b/>
            <sz val="9"/>
            <color indexed="81"/>
            <rFont val="Tahoma"/>
            <family val="2"/>
          </rPr>
          <t>22/06/2022</t>
        </r>
      </text>
    </comment>
    <comment ref="GC126" authorId="0" shapeId="0" xr:uid="{C970D27C-6117-4A7F-BEB5-7DBAA6BA88BA}">
      <text>
        <r>
          <rPr>
            <b/>
            <sz val="9"/>
            <color indexed="81"/>
            <rFont val="Tahoma"/>
            <family val="2"/>
          </rPr>
          <t>23/06/2022</t>
        </r>
      </text>
    </comment>
    <comment ref="AZ127" authorId="0" shapeId="0" xr:uid="{5553330B-3EEA-44BA-891B-A28B565BEE60}">
      <text>
        <r>
          <rPr>
            <b/>
            <sz val="9"/>
            <color indexed="81"/>
            <rFont val="Tahoma"/>
            <family val="2"/>
          </rPr>
          <t>03/05/2022</t>
        </r>
      </text>
    </comment>
    <comment ref="BJ127" authorId="0" shapeId="0" xr:uid="{D8E7BF54-D406-42F5-92DE-3BBD282D3A2F}">
      <text>
        <r>
          <rPr>
            <b/>
            <sz val="9"/>
            <color indexed="81"/>
            <rFont val="Tahoma"/>
            <family val="2"/>
          </rPr>
          <t>19/02/2022</t>
        </r>
      </text>
    </comment>
    <comment ref="CJ127" authorId="0" shapeId="0" xr:uid="{1AFF1F3D-3785-4CDC-B0A6-01B4E9C6A103}">
      <text>
        <r>
          <rPr>
            <b/>
            <sz val="9"/>
            <color indexed="81"/>
            <rFont val="Tahoma"/>
            <family val="2"/>
          </rPr>
          <t>05/05/2022</t>
        </r>
      </text>
    </comment>
    <comment ref="CO127" authorId="0" shapeId="0" xr:uid="{606B7A64-4421-43DD-AFDA-E505455EF33E}">
      <text>
        <r>
          <rPr>
            <b/>
            <sz val="9"/>
            <color indexed="81"/>
            <rFont val="Tahoma"/>
            <family val="2"/>
          </rPr>
          <t>09/06/2022</t>
        </r>
      </text>
    </comment>
    <comment ref="CT127" authorId="0" shapeId="0" xr:uid="{3B5353C0-B5AB-4BE1-87A9-4CB2B64F6737}">
      <text>
        <r>
          <rPr>
            <b/>
            <sz val="9"/>
            <color indexed="81"/>
            <rFont val="Tahoma"/>
            <family val="2"/>
          </rPr>
          <t>10/06/2022</t>
        </r>
      </text>
    </comment>
    <comment ref="DD127" authorId="0" shapeId="0" xr:uid="{87978A23-B87D-4DC3-8EDA-F8777C582B28}">
      <text>
        <r>
          <rPr>
            <b/>
            <sz val="9"/>
            <color indexed="81"/>
            <rFont val="Tahoma"/>
            <family val="2"/>
          </rPr>
          <t>31/05/2022</t>
        </r>
      </text>
    </comment>
    <comment ref="DI127" authorId="0" shapeId="0" xr:uid="{D0E2DCB7-74FD-49EF-BAE1-632E1C0ABA72}">
      <text>
        <r>
          <rPr>
            <b/>
            <sz val="9"/>
            <color indexed="81"/>
            <rFont val="Tahoma"/>
            <family val="2"/>
          </rPr>
          <t>04/05/2022</t>
        </r>
      </text>
    </comment>
    <comment ref="DX127" authorId="0" shapeId="0" xr:uid="{8CCD3222-7BC4-497D-89CB-070D8AC00E4A}">
      <text>
        <r>
          <rPr>
            <b/>
            <sz val="9"/>
            <color indexed="81"/>
            <rFont val="Tahoma"/>
            <family val="2"/>
          </rPr>
          <t>02/06/2022</t>
        </r>
      </text>
    </comment>
    <comment ref="EC127" authorId="0" shapeId="0" xr:uid="{CC46D5E1-D805-4FF2-AA4F-5BB83ADD8F18}">
      <text>
        <r>
          <rPr>
            <b/>
            <sz val="9"/>
            <color indexed="81"/>
            <rFont val="Tahoma"/>
            <family val="2"/>
          </rPr>
          <t>03/06/2022</t>
        </r>
      </text>
    </comment>
    <comment ref="EH127" authorId="1" shapeId="0" xr:uid="{B34888DB-2C54-4E2B-8BFA-72E48B3F8741}">
      <text>
        <r>
          <rPr>
            <b/>
            <sz val="9"/>
            <color indexed="81"/>
            <rFont val="Tahoma"/>
            <family val="2"/>
          </rPr>
          <t>Candelaria Yesenia Balcazar Hernandez:</t>
        </r>
        <r>
          <rPr>
            <sz val="9"/>
            <color indexed="81"/>
            <rFont val="Tahoma"/>
            <family val="2"/>
          </rPr>
          <t xml:space="preserve">
06/05/2022</t>
        </r>
      </text>
    </comment>
    <comment ref="EO127" authorId="0" shapeId="0" xr:uid="{DAF8B05E-30AF-4C51-A062-BD29138904D8}">
      <text>
        <r>
          <rPr>
            <b/>
            <sz val="9"/>
            <color indexed="81"/>
            <rFont val="Tahoma"/>
            <family val="2"/>
          </rPr>
          <t>04/02/2022</t>
        </r>
      </text>
    </comment>
    <comment ref="EY127" authorId="0" shapeId="0" xr:uid="{C824CFB6-3F57-4942-8BEE-09B930023CB0}">
      <text>
        <r>
          <rPr>
            <b/>
            <sz val="9"/>
            <color indexed="81"/>
            <rFont val="Tahoma"/>
            <family val="2"/>
          </rPr>
          <t>11/06/2022</t>
        </r>
      </text>
    </comment>
    <comment ref="FS127" authorId="0" shapeId="0" xr:uid="{3EE7F5C4-14A8-4A9F-9EF4-32AD55ACEB3F}">
      <text>
        <r>
          <rPr>
            <b/>
            <sz val="9"/>
            <color indexed="81"/>
            <rFont val="Tahoma"/>
            <family val="2"/>
          </rPr>
          <t>20/05/2022</t>
        </r>
      </text>
    </comment>
    <comment ref="GM127" authorId="0" shapeId="0" xr:uid="{96955B34-6838-4843-8CBD-749512AF32A6}">
      <text>
        <r>
          <rPr>
            <b/>
            <sz val="9"/>
            <color indexed="81"/>
            <rFont val="Tahoma"/>
            <family val="2"/>
          </rPr>
          <t>28/05/2022</t>
        </r>
      </text>
    </comment>
    <comment ref="AF133" authorId="0" shapeId="0" xr:uid="{E3AB22CA-ECE9-4873-A445-B043EE69B71B}">
      <text>
        <r>
          <rPr>
            <b/>
            <sz val="9"/>
            <color indexed="81"/>
            <rFont val="Tahoma"/>
            <family val="2"/>
          </rPr>
          <t>22/03/2022</t>
        </r>
      </text>
    </comment>
    <comment ref="AK133" authorId="0" shapeId="0" xr:uid="{094A927D-E10C-4FFF-9C82-11D8BBFFF47F}">
      <text>
        <r>
          <rPr>
            <b/>
            <sz val="9"/>
            <color indexed="81"/>
            <rFont val="Tahoma"/>
            <family val="2"/>
          </rPr>
          <t>22/03/2022</t>
        </r>
      </text>
    </comment>
    <comment ref="AP133" authorId="1" shapeId="0" xr:uid="{769C6A93-B023-4F7C-9338-7ABA771D5ADC}">
      <text>
        <r>
          <rPr>
            <sz val="9"/>
            <color indexed="81"/>
            <rFont val="Tahoma"/>
            <family val="2"/>
          </rPr>
          <t xml:space="preserve">23/06/2021
12/03/2022
</t>
        </r>
      </text>
    </comment>
    <comment ref="AU133" authorId="0" shapeId="0" xr:uid="{91BF5499-3CCF-4575-8B02-FA9FF01DEBDE}">
      <text>
        <r>
          <rPr>
            <b/>
            <sz val="9"/>
            <color indexed="81"/>
            <rFont val="Tahoma"/>
            <family val="2"/>
          </rPr>
          <t>04/04/2022</t>
        </r>
      </text>
    </comment>
    <comment ref="AZ133" authorId="0" shapeId="0" xr:uid="{B7C8D466-A37F-4832-9F5E-44DC27199595}">
      <text>
        <r>
          <rPr>
            <b/>
            <sz val="9"/>
            <color indexed="81"/>
            <rFont val="Tahoma"/>
            <family val="2"/>
          </rPr>
          <t>20/06/2022</t>
        </r>
      </text>
    </comment>
    <comment ref="BE133" authorId="0" shapeId="0" xr:uid="{C56DBD64-44A0-4250-B8E2-E72A421337B1}">
      <text>
        <r>
          <rPr>
            <b/>
            <sz val="9"/>
            <color indexed="81"/>
            <rFont val="Tahoma"/>
            <family val="2"/>
          </rPr>
          <t>22/06/2022</t>
        </r>
      </text>
    </comment>
    <comment ref="BJ133" authorId="0" shapeId="0" xr:uid="{D3005E0F-7F77-4025-B877-CAC9BEAE609A}">
      <text>
        <r>
          <rPr>
            <b/>
            <sz val="9"/>
            <color indexed="81"/>
            <rFont val="Tahoma"/>
            <family val="2"/>
          </rPr>
          <t>06/06/2022</t>
        </r>
      </text>
    </comment>
    <comment ref="CJ133" authorId="1" shapeId="0" xr:uid="{880B1F41-C389-46B6-8EC2-AF99409B1ED1}">
      <text>
        <r>
          <rPr>
            <b/>
            <sz val="9"/>
            <color indexed="81"/>
            <rFont val="Tahoma"/>
            <family val="2"/>
          </rPr>
          <t>Candelaria Yesenia Balcazar Hernandez:</t>
        </r>
        <r>
          <rPr>
            <sz val="9"/>
            <color indexed="81"/>
            <rFont val="Tahoma"/>
            <family val="2"/>
          </rPr>
          <t xml:space="preserve">
15/07/2021
</t>
        </r>
      </text>
    </comment>
    <comment ref="CY133" authorId="1" shapeId="0" xr:uid="{1B540822-589E-4536-AB8B-0CEBD2453CD9}">
      <text>
        <r>
          <rPr>
            <b/>
            <sz val="9"/>
            <color indexed="81"/>
            <rFont val="Tahoma"/>
            <family val="2"/>
          </rPr>
          <t xml:space="preserve">03/07/2021
</t>
        </r>
      </text>
    </comment>
    <comment ref="DN133" authorId="0" shapeId="0" xr:uid="{85487BF9-BBC2-4DCB-B153-A9856C8EDA91}">
      <text>
        <r>
          <rPr>
            <b/>
            <sz val="9"/>
            <color indexed="81"/>
            <rFont val="Tahoma"/>
            <family val="2"/>
          </rPr>
          <t>21/02/2022</t>
        </r>
      </text>
    </comment>
    <comment ref="EO133" authorId="1" shapeId="0" xr:uid="{BDBC63DD-67EF-45DB-940D-38134E258D33}">
      <text>
        <r>
          <rPr>
            <b/>
            <sz val="9"/>
            <color indexed="81"/>
            <rFont val="Tahoma"/>
            <family val="2"/>
          </rPr>
          <t>Candelaria Yesenia Balcazar Hernandez:</t>
        </r>
        <r>
          <rPr>
            <sz val="9"/>
            <color indexed="81"/>
            <rFont val="Tahoma"/>
            <family val="2"/>
          </rPr>
          <t xml:space="preserve">
10/07/2021</t>
        </r>
      </text>
    </comment>
    <comment ref="FN133" authorId="1" shapeId="0" xr:uid="{6DA88F2E-2B41-4442-A537-9E34749E31A1}">
      <text>
        <r>
          <rPr>
            <b/>
            <sz val="9"/>
            <color indexed="81"/>
            <rFont val="Tahoma"/>
            <family val="2"/>
          </rPr>
          <t>Candelaria Yesenia Balcazar Hernandez:</t>
        </r>
        <r>
          <rPr>
            <sz val="9"/>
            <color indexed="81"/>
            <rFont val="Tahoma"/>
            <family val="2"/>
          </rPr>
          <t xml:space="preserve">
28/06/2021
</t>
        </r>
      </text>
    </comment>
    <comment ref="GC133" authorId="0" shapeId="0" xr:uid="{232041F4-5CE7-43BC-B5BF-8C318B38782C}">
      <text>
        <r>
          <rPr>
            <b/>
            <sz val="9"/>
            <color indexed="81"/>
            <rFont val="Tahoma"/>
            <family val="2"/>
          </rPr>
          <t>23/06/2022</t>
        </r>
      </text>
    </comment>
    <comment ref="GM133" authorId="0" shapeId="0" xr:uid="{CC62C61F-D11A-4552-AA58-CF8AC76C9517}">
      <text>
        <r>
          <rPr>
            <b/>
            <sz val="9"/>
            <color indexed="81"/>
            <rFont val="Tahoma"/>
            <family val="2"/>
          </rPr>
          <t>21/06/2021</t>
        </r>
      </text>
    </comment>
    <comment ref="LA133" authorId="0" shapeId="0" xr:uid="{84062C29-76CE-4429-ABBF-3FDEA0307E55}">
      <text>
        <r>
          <rPr>
            <b/>
            <sz val="9"/>
            <color indexed="81"/>
            <rFont val="Tahoma"/>
            <family val="2"/>
          </rPr>
          <t>18/10/2021</t>
        </r>
      </text>
    </comment>
    <comment ref="E135" authorId="0" shapeId="0" xr:uid="{65F9596B-3600-4B42-9F33-F0D35B81EDA9}">
      <text>
        <r>
          <rPr>
            <b/>
            <sz val="9"/>
            <color indexed="81"/>
            <rFont val="Tahoma"/>
            <family val="2"/>
          </rPr>
          <t>06/02/2024 y 07/02/2024</t>
        </r>
      </text>
    </comment>
    <comment ref="AF135" authorId="0" shapeId="0" xr:uid="{A23D3913-0649-4CDB-87B4-A75A700ACB95}">
      <text>
        <r>
          <rPr>
            <b/>
            <sz val="9"/>
            <color indexed="81"/>
            <rFont val="Tahoma"/>
            <family val="2"/>
          </rPr>
          <t>15/02/2022</t>
        </r>
      </text>
    </comment>
    <comment ref="AP135" authorId="0" shapeId="0" xr:uid="{5927D918-C639-4542-BFB2-BCB8DE7880CF}">
      <text>
        <r>
          <rPr>
            <b/>
            <sz val="9"/>
            <color indexed="81"/>
            <rFont val="Tahoma"/>
            <family val="2"/>
          </rPr>
          <t>20/04/2022</t>
        </r>
      </text>
    </comment>
    <comment ref="CY135" authorId="0" shapeId="0" xr:uid="{5B933A4A-C11C-434C-9C40-367EAB308F57}">
      <text>
        <r>
          <rPr>
            <b/>
            <sz val="9"/>
            <color indexed="81"/>
            <rFont val="Tahoma"/>
            <family val="2"/>
          </rPr>
          <t>23/03/2022</t>
        </r>
      </text>
    </comment>
    <comment ref="DI135" authorId="0" shapeId="0" xr:uid="{6BC22B14-0790-4902-8236-4153EA0DB0E9}">
      <text>
        <r>
          <rPr>
            <b/>
            <sz val="9"/>
            <color indexed="81"/>
            <rFont val="Tahoma"/>
            <family val="2"/>
          </rPr>
          <t>22/03/2022</t>
        </r>
      </text>
    </comment>
    <comment ref="FI135" authorId="0" shapeId="0" xr:uid="{F3DB7541-B1D2-4A0B-B3B1-022CEF447E7E}">
      <text>
        <r>
          <rPr>
            <b/>
            <sz val="9"/>
            <color indexed="81"/>
            <rFont val="Tahoma"/>
            <family val="2"/>
          </rPr>
          <t>17/02/2022</t>
        </r>
      </text>
    </comment>
    <comment ref="U137" authorId="1" shapeId="0" xr:uid="{E7E75762-2175-408F-B00A-135EEB5A7D0F}">
      <text>
        <r>
          <rPr>
            <b/>
            <sz val="9"/>
            <color indexed="81"/>
            <rFont val="Tahoma"/>
            <family val="2"/>
          </rPr>
          <t>Candelaria Yesenia Balcazar Hernandez:</t>
        </r>
        <r>
          <rPr>
            <sz val="9"/>
            <color indexed="81"/>
            <rFont val="Tahoma"/>
            <family val="2"/>
          </rPr>
          <t xml:space="preserve">
15/05/2019-16/05/20219
</t>
        </r>
      </text>
    </comment>
    <comment ref="U139" authorId="0" shapeId="0" xr:uid="{FE344778-9BA4-4A22-8F0E-5695C8916767}">
      <text>
        <r>
          <rPr>
            <b/>
            <sz val="9"/>
            <color indexed="81"/>
            <rFont val="Tahoma"/>
            <family val="2"/>
          </rPr>
          <t>24/11/2020</t>
        </r>
      </text>
    </comment>
    <comment ref="BY139" authorId="1" shapeId="0" xr:uid="{86891578-7A10-440C-9C45-DCE9C9847C2D}">
      <text>
        <r>
          <rPr>
            <b/>
            <sz val="9"/>
            <color indexed="81"/>
            <rFont val="Tahoma"/>
            <family val="2"/>
          </rPr>
          <t>Candelaria Yesenia Balcazar Hernandez:</t>
        </r>
        <r>
          <rPr>
            <sz val="9"/>
            <color indexed="81"/>
            <rFont val="Tahoma"/>
            <family val="2"/>
          </rPr>
          <t xml:space="preserve">
03/02/2023</t>
        </r>
      </text>
    </comment>
    <comment ref="EH139" authorId="1" shapeId="0" xr:uid="{3E2A5060-3E9A-4267-B74A-843E1CC45866}">
      <text>
        <r>
          <rPr>
            <b/>
            <sz val="9"/>
            <color indexed="81"/>
            <rFont val="Tahoma"/>
            <family val="2"/>
          </rPr>
          <t>Candelaria Yesenia Balcazar Hernandez:</t>
        </r>
        <r>
          <rPr>
            <sz val="9"/>
            <color indexed="81"/>
            <rFont val="Tahoma"/>
            <family val="2"/>
          </rPr>
          <t xml:space="preserve">
15/03/2023</t>
        </r>
      </text>
    </comment>
    <comment ref="E140" authorId="0" shapeId="0" xr:uid="{DE4D7808-604D-42CB-80DF-60ECE8483C2E}">
      <text>
        <r>
          <rPr>
            <b/>
            <sz val="9"/>
            <color indexed="81"/>
            <rFont val="Tahoma"/>
            <family val="2"/>
          </rPr>
          <t>08/02/2024 y 09/02/2024</t>
        </r>
      </text>
    </comment>
    <comment ref="U140" authorId="0" shapeId="0" xr:uid="{89B3C97F-4B48-4953-B02A-002730E421D8}">
      <text>
        <r>
          <rPr>
            <b/>
            <sz val="9"/>
            <color indexed="81"/>
            <rFont val="Tahoma"/>
            <family val="2"/>
          </rPr>
          <t>09/04/2021</t>
        </r>
      </text>
    </comment>
    <comment ref="AK144" authorId="0" shapeId="0" xr:uid="{AC3C7C2F-8B34-4546-87FC-34331AAF1E69}">
      <text>
        <r>
          <rPr>
            <b/>
            <sz val="9"/>
            <color indexed="81"/>
            <rFont val="Tahoma"/>
            <family val="2"/>
          </rPr>
          <t>10/02/2022</t>
        </r>
      </text>
    </comment>
    <comment ref="AP144" authorId="0" shapeId="0" xr:uid="{FCC4D811-2B99-4826-BB60-F3F2C00D08E8}">
      <text>
        <r>
          <rPr>
            <b/>
            <sz val="9"/>
            <color indexed="81"/>
            <rFont val="Tahoma"/>
            <family val="2"/>
          </rPr>
          <t>11/03/2022</t>
        </r>
      </text>
    </comment>
    <comment ref="AU144" authorId="0" shapeId="0" xr:uid="{E6E3D4D5-A4F3-4C28-AE78-234DF8FF6562}">
      <text>
        <r>
          <rPr>
            <b/>
            <sz val="9"/>
            <color indexed="81"/>
            <rFont val="Tahoma"/>
            <family val="2"/>
          </rPr>
          <t>13/04/2022</t>
        </r>
      </text>
    </comment>
    <comment ref="EH144" authorId="1" shapeId="0" xr:uid="{DB857513-9668-4213-9C8F-A8E9F855197F}">
      <text>
        <r>
          <rPr>
            <b/>
            <sz val="9"/>
            <color indexed="81"/>
            <rFont val="Tahoma"/>
            <family val="2"/>
          </rPr>
          <t>Candelaria Yesenia Balcazar Hernandez:</t>
        </r>
        <r>
          <rPr>
            <sz val="9"/>
            <color indexed="81"/>
            <rFont val="Tahoma"/>
            <family val="2"/>
          </rPr>
          <t xml:space="preserve">
13/5/2023
</t>
        </r>
      </text>
    </comment>
    <comment ref="E145" authorId="0" shapeId="0" xr:uid="{BA0A9B16-3B04-4545-AD14-31230C500F06}">
      <text>
        <r>
          <rPr>
            <b/>
            <sz val="9"/>
            <color indexed="81"/>
            <rFont val="Tahoma"/>
            <family val="2"/>
          </rPr>
          <t>06/02/2024 y 07/02/2024</t>
        </r>
      </text>
    </comment>
    <comment ref="AF145" authorId="0" shapeId="0" xr:uid="{B5A17397-D6C4-46BE-8B4A-C3FEB8170B2E}">
      <text>
        <r>
          <rPr>
            <b/>
            <sz val="9"/>
            <color indexed="81"/>
            <rFont val="Tahoma"/>
            <family val="2"/>
          </rPr>
          <t>22/02/2022</t>
        </r>
      </text>
    </comment>
    <comment ref="AK145" authorId="0" shapeId="0" xr:uid="{9A4CAE9E-A034-43D2-884C-1D0A2E822732}">
      <text>
        <r>
          <rPr>
            <b/>
            <sz val="9"/>
            <color indexed="81"/>
            <rFont val="Tahoma"/>
            <family val="2"/>
          </rPr>
          <t>21/02/2022</t>
        </r>
      </text>
    </comment>
    <comment ref="CO145" authorId="0" shapeId="0" xr:uid="{B312A5F8-3F53-4D30-AE73-CB025CF04242}">
      <text>
        <r>
          <rPr>
            <b/>
            <sz val="9"/>
            <color indexed="81"/>
            <rFont val="Tahoma"/>
            <family val="2"/>
          </rPr>
          <t>27/01/2022</t>
        </r>
      </text>
    </comment>
    <comment ref="CY145" authorId="0" shapeId="0" xr:uid="{DC582A69-AE39-491F-9DCA-1671C43B4153}">
      <text>
        <r>
          <rPr>
            <b/>
            <sz val="9"/>
            <color indexed="81"/>
            <rFont val="Tahoma"/>
            <family val="2"/>
          </rPr>
          <t>23/03/2022</t>
        </r>
      </text>
    </comment>
    <comment ref="DD145" authorId="0" shapeId="0" xr:uid="{0E097FDF-E988-4845-802C-D6FE34D1FCBD}">
      <text>
        <r>
          <rPr>
            <b/>
            <sz val="9"/>
            <color indexed="81"/>
            <rFont val="Tahoma"/>
            <family val="2"/>
          </rPr>
          <t>05/07/2022
05/05/2024</t>
        </r>
      </text>
    </comment>
    <comment ref="DI145" authorId="0" shapeId="0" xr:uid="{D2E7CDF4-CC83-4CE8-86C6-590A07616D73}">
      <text>
        <r>
          <rPr>
            <b/>
            <sz val="9"/>
            <color indexed="81"/>
            <rFont val="Tahoma"/>
            <family val="2"/>
          </rPr>
          <t>22/03/2022</t>
        </r>
      </text>
    </comment>
    <comment ref="DN145" authorId="0" shapeId="0" xr:uid="{30BD4053-64FF-422E-859F-55EF6B86777A}">
      <text>
        <r>
          <rPr>
            <b/>
            <sz val="9"/>
            <color indexed="81"/>
            <rFont val="Tahoma"/>
            <family val="2"/>
          </rPr>
          <t>18/04/2022</t>
        </r>
      </text>
    </comment>
    <comment ref="EC145" authorId="0" shapeId="0" xr:uid="{D30A3077-CFFE-4D1C-AFE3-112F751E77B7}">
      <text>
        <r>
          <rPr>
            <b/>
            <sz val="9"/>
            <color indexed="81"/>
            <rFont val="Tahoma"/>
            <family val="2"/>
          </rPr>
          <t>07/07/2022</t>
        </r>
      </text>
    </comment>
    <comment ref="FD145" authorId="0" shapeId="0" xr:uid="{212AFF3E-FD60-483A-A940-556B23481DFB}">
      <text>
        <r>
          <rPr>
            <b/>
            <sz val="9"/>
            <color indexed="81"/>
            <rFont val="Tahoma"/>
            <family val="2"/>
          </rPr>
          <t>23/02/2022</t>
        </r>
      </text>
    </comment>
    <comment ref="FS145" authorId="0" shapeId="0" xr:uid="{94625FCB-ED19-49A8-BF1F-803EE05B7EBA}">
      <text>
        <r>
          <rPr>
            <b/>
            <sz val="9"/>
            <color indexed="81"/>
            <rFont val="Tahoma"/>
            <family val="2"/>
          </rPr>
          <t>04/07/2022</t>
        </r>
      </text>
    </comment>
    <comment ref="GM145" authorId="0" shapeId="0" xr:uid="{0400145B-A650-4D20-91E0-0472004077FD}">
      <text>
        <r>
          <rPr>
            <b/>
            <sz val="9"/>
            <color indexed="81"/>
            <rFont val="Tahoma"/>
            <family val="2"/>
          </rPr>
          <t>05/07/2022</t>
        </r>
      </text>
    </comment>
    <comment ref="AK147" authorId="0" shapeId="0" xr:uid="{E28C036E-19DC-4103-87DF-B47BF14F4BD7}">
      <text>
        <r>
          <rPr>
            <b/>
            <sz val="9"/>
            <color indexed="81"/>
            <rFont val="Tahoma"/>
            <family val="2"/>
          </rPr>
          <t>02/02/2022</t>
        </r>
      </text>
    </comment>
    <comment ref="AP147" authorId="0" shapeId="0" xr:uid="{4C2DD1B3-0D60-46DF-8B68-F13194A6517C}">
      <text>
        <r>
          <rPr>
            <b/>
            <sz val="9"/>
            <color indexed="81"/>
            <rFont val="Tahoma"/>
            <family val="2"/>
          </rPr>
          <t>08/03/2022</t>
        </r>
      </text>
    </comment>
    <comment ref="AU147" authorId="0" shapeId="0" xr:uid="{71F06AEC-D20D-40E3-9ACB-18EADDA28FAE}">
      <text>
        <r>
          <rPr>
            <b/>
            <sz val="9"/>
            <color indexed="81"/>
            <rFont val="Tahoma"/>
            <family val="2"/>
          </rPr>
          <t>08/04/2022</t>
        </r>
      </text>
    </comment>
    <comment ref="BE147" authorId="0" shapeId="0" xr:uid="{8E71DCCC-645D-4625-AAA4-4A54306C80CB}">
      <text>
        <r>
          <rPr>
            <b/>
            <sz val="9"/>
            <color indexed="81"/>
            <rFont val="Tahoma"/>
            <family val="2"/>
          </rPr>
          <t>03/05/2022</t>
        </r>
      </text>
    </comment>
    <comment ref="BY147" authorId="0" shapeId="0" xr:uid="{B5E98E6F-F380-4492-8011-97CAAF7426AB}">
      <text>
        <r>
          <rPr>
            <b/>
            <sz val="9"/>
            <color indexed="81"/>
            <rFont val="Tahoma"/>
            <family val="2"/>
          </rPr>
          <t>02/02/2022</t>
        </r>
      </text>
    </comment>
    <comment ref="FD147" authorId="0" shapeId="0" xr:uid="{E1CBCD21-B826-4FBF-8242-4759F782261A}">
      <text>
        <r>
          <rPr>
            <b/>
            <sz val="9"/>
            <color indexed="81"/>
            <rFont val="Tahoma"/>
            <family val="2"/>
          </rPr>
          <t>03/02/2022</t>
        </r>
      </text>
    </comment>
    <comment ref="FI147" authorId="0" shapeId="0" xr:uid="{0448ED07-2FFC-41C4-A9E4-D7101191D30C}">
      <text>
        <r>
          <rPr>
            <b/>
            <sz val="9"/>
            <color indexed="81"/>
            <rFont val="Tahoma"/>
            <family val="2"/>
          </rPr>
          <t>04/02/2022</t>
        </r>
      </text>
    </comment>
    <comment ref="GM147" authorId="0" shapeId="0" xr:uid="{EED5F1F9-88F9-4AA1-9E11-DA688199ABAD}">
      <text>
        <r>
          <rPr>
            <b/>
            <sz val="9"/>
            <color indexed="81"/>
            <rFont val="Tahoma"/>
            <family val="2"/>
          </rPr>
          <t>04/01/2022</t>
        </r>
      </text>
    </comment>
    <comment ref="AP148" authorId="0" shapeId="0" xr:uid="{C45E6587-F0D4-43B0-8555-1B4DA6328A65}">
      <text>
        <r>
          <rPr>
            <b/>
            <sz val="9"/>
            <color indexed="81"/>
            <rFont val="Tahoma"/>
            <family val="2"/>
          </rPr>
          <t>15/03/2022</t>
        </r>
      </text>
    </comment>
    <comment ref="BE148" authorId="0" shapeId="0" xr:uid="{99CC0A12-8555-4022-92FB-B006FD8FC9D2}">
      <text>
        <r>
          <rPr>
            <b/>
            <sz val="9"/>
            <color indexed="81"/>
            <rFont val="Tahoma"/>
            <family val="2"/>
          </rPr>
          <t>07/05/2022</t>
        </r>
      </text>
    </comment>
    <comment ref="BJ148" authorId="0" shapeId="0" xr:uid="{314DE37E-20A7-477C-B2D7-E8E14B21F46D}">
      <text>
        <r>
          <rPr>
            <b/>
            <sz val="9"/>
            <color indexed="81"/>
            <rFont val="Tahoma"/>
            <family val="2"/>
          </rPr>
          <t>22/08/2022</t>
        </r>
      </text>
    </comment>
    <comment ref="BY148" authorId="0" shapeId="0" xr:uid="{3D2B47AF-81E5-4B62-8D74-4C338EA44F8D}">
      <text>
        <r>
          <rPr>
            <b/>
            <sz val="9"/>
            <color indexed="81"/>
            <rFont val="Tahoma"/>
            <family val="2"/>
          </rPr>
          <t>21/02/2022</t>
        </r>
      </text>
    </comment>
    <comment ref="DI148" authorId="0" shapeId="0" xr:uid="{82FD9871-AE2D-4336-B9D1-3F32DF96468C}">
      <text>
        <r>
          <rPr>
            <b/>
            <sz val="9"/>
            <color indexed="81"/>
            <rFont val="Tahoma"/>
            <family val="2"/>
          </rPr>
          <t>22/03/2022</t>
        </r>
      </text>
    </comment>
    <comment ref="DX148" authorId="0" shapeId="0" xr:uid="{6C662351-A940-4C99-91E0-3EA227626FF4}">
      <text>
        <r>
          <rPr>
            <b/>
            <sz val="9"/>
            <color indexed="81"/>
            <rFont val="Tahoma"/>
            <family val="2"/>
          </rPr>
          <t>03/08/2022</t>
        </r>
      </text>
    </comment>
    <comment ref="EC148" authorId="0" shapeId="0" xr:uid="{BD906173-8E03-492F-A38D-7D8A960D65E5}">
      <text>
        <r>
          <rPr>
            <b/>
            <sz val="9"/>
            <color indexed="81"/>
            <rFont val="Tahoma"/>
            <family val="2"/>
          </rPr>
          <t>11/01/2022</t>
        </r>
      </text>
    </comment>
    <comment ref="FN148" authorId="0" shapeId="0" xr:uid="{B32DC61D-1089-45CC-A742-34DFA76CFC3E}">
      <text>
        <r>
          <rPr>
            <b/>
            <sz val="9"/>
            <color indexed="81"/>
            <rFont val="Tahoma"/>
            <family val="2"/>
          </rPr>
          <t>04/07/2022</t>
        </r>
      </text>
    </comment>
    <comment ref="GC148" authorId="0" shapeId="0" xr:uid="{E19EAA33-DAC5-4F66-966E-0249E069F4A3}">
      <text>
        <r>
          <rPr>
            <b/>
            <sz val="9"/>
            <color indexed="81"/>
            <rFont val="Tahoma"/>
            <family val="2"/>
          </rPr>
          <t>13/07/2022</t>
        </r>
      </text>
    </comment>
    <comment ref="AP150" authorId="0" shapeId="0" xr:uid="{9E137D64-C88C-4959-AD64-87FFC06A8700}">
      <text>
        <r>
          <rPr>
            <b/>
            <sz val="9"/>
            <color indexed="81"/>
            <rFont val="Tahoma"/>
            <family val="2"/>
          </rPr>
          <t>13/05/2022</t>
        </r>
      </text>
    </comment>
    <comment ref="BJ150" authorId="0" shapeId="0" xr:uid="{63F07D3B-B45C-47DF-8B7C-212E483732E5}">
      <text>
        <r>
          <rPr>
            <b/>
            <sz val="9"/>
            <color indexed="81"/>
            <rFont val="Tahoma"/>
            <family val="2"/>
          </rPr>
          <t>06/06/2022</t>
        </r>
      </text>
    </comment>
    <comment ref="BO150" authorId="1" shapeId="0" xr:uid="{17CB6CA3-A073-4CB5-A890-6DB400FCC380}">
      <text>
        <r>
          <rPr>
            <b/>
            <sz val="9"/>
            <color indexed="81"/>
            <rFont val="Tahoma"/>
            <family val="2"/>
          </rPr>
          <t>Candelaria Yesenia Balcazar Hernandez:</t>
        </r>
        <r>
          <rPr>
            <sz val="9"/>
            <color indexed="81"/>
            <rFont val="Tahoma"/>
            <family val="2"/>
          </rPr>
          <t xml:space="preserve">
30/06/2021
</t>
        </r>
      </text>
    </comment>
    <comment ref="BT150" authorId="1" shapeId="0" xr:uid="{0FC0FC6D-A8FA-4411-B0F2-007EDC9AC874}">
      <text>
        <r>
          <rPr>
            <b/>
            <sz val="9"/>
            <color indexed="81"/>
            <rFont val="Tahoma"/>
            <family val="2"/>
          </rPr>
          <t>Candelaria Yesenia Balcazar Hernandez:</t>
        </r>
        <r>
          <rPr>
            <sz val="9"/>
            <color indexed="81"/>
            <rFont val="Tahoma"/>
            <family val="2"/>
          </rPr>
          <t xml:space="preserve">
01/07/2021
</t>
        </r>
      </text>
    </comment>
    <comment ref="CO150" authorId="1" shapeId="0" xr:uid="{4FD05DF4-D140-43F6-A22E-E830BB087451}">
      <text>
        <r>
          <rPr>
            <b/>
            <sz val="9"/>
            <color indexed="81"/>
            <rFont val="Tahoma"/>
            <family val="2"/>
          </rPr>
          <t>Candelaria Yesenia Balcazar Hernandez:</t>
        </r>
        <r>
          <rPr>
            <sz val="9"/>
            <color indexed="81"/>
            <rFont val="Tahoma"/>
            <family val="2"/>
          </rPr>
          <t xml:space="preserve">
18/06/2021</t>
        </r>
      </text>
    </comment>
    <comment ref="CY150" authorId="1" shapeId="0" xr:uid="{72FB4862-012A-4DBA-AF49-B5EE136CB428}">
      <text>
        <r>
          <rPr>
            <b/>
            <sz val="9"/>
            <color indexed="81"/>
            <rFont val="Tahoma"/>
            <family val="2"/>
          </rPr>
          <t>14/05/2022</t>
        </r>
      </text>
    </comment>
    <comment ref="DN150" authorId="0" shapeId="0" xr:uid="{1EADF45F-1061-4F49-82EF-D251A4988703}">
      <text>
        <r>
          <rPr>
            <b/>
            <sz val="9"/>
            <color indexed="81"/>
            <rFont val="Tahoma"/>
            <family val="2"/>
          </rPr>
          <t>10/05/2022</t>
        </r>
      </text>
    </comment>
    <comment ref="DX150" authorId="1" shapeId="0" xr:uid="{49D36CAB-8075-4FEE-B99A-AE0BA99B615E}">
      <text>
        <r>
          <rPr>
            <b/>
            <sz val="9"/>
            <color indexed="81"/>
            <rFont val="Tahoma"/>
            <family val="2"/>
          </rPr>
          <t xml:space="preserve">09/07/2021
</t>
        </r>
      </text>
    </comment>
    <comment ref="EO150" authorId="1" shapeId="0" xr:uid="{E1997902-E059-46E5-B9E2-16FBB8FDFB81}">
      <text>
        <r>
          <rPr>
            <b/>
            <sz val="9"/>
            <color indexed="81"/>
            <rFont val="Tahoma"/>
            <family val="2"/>
          </rPr>
          <t>Candelaria Yesenia Balcazar Hernandez:</t>
        </r>
        <r>
          <rPr>
            <sz val="9"/>
            <color indexed="81"/>
            <rFont val="Tahoma"/>
            <family val="2"/>
          </rPr>
          <t xml:space="preserve">
10/07/2021</t>
        </r>
      </text>
    </comment>
    <comment ref="ET150" authorId="1" shapeId="0" xr:uid="{CF851E66-D7F3-4313-B69A-C0287EF36E14}">
      <text>
        <r>
          <rPr>
            <b/>
            <sz val="9"/>
            <color indexed="81"/>
            <rFont val="Tahoma"/>
            <family val="2"/>
          </rPr>
          <t>Candelaria Yesenia Balcazar Hernandez:</t>
        </r>
        <r>
          <rPr>
            <sz val="9"/>
            <color indexed="81"/>
            <rFont val="Tahoma"/>
            <family val="2"/>
          </rPr>
          <t xml:space="preserve">
02/07/2021</t>
        </r>
      </text>
    </comment>
    <comment ref="FD150" authorId="0" shapeId="0" xr:uid="{58A559FE-1EFF-431B-AAD0-5F6D8A8B5B33}">
      <text>
        <r>
          <rPr>
            <b/>
            <sz val="9"/>
            <color indexed="81"/>
            <rFont val="Tahoma"/>
            <family val="2"/>
          </rPr>
          <t>16/03/2022</t>
        </r>
      </text>
    </comment>
    <comment ref="FN150" authorId="1" shapeId="0" xr:uid="{3E5EA448-F943-42B4-A96B-13F23B95B8E1}">
      <text>
        <r>
          <rPr>
            <b/>
            <sz val="9"/>
            <color indexed="81"/>
            <rFont val="Tahoma"/>
            <family val="2"/>
          </rPr>
          <t>Candelaria Yesenia Balcazar Hernandez:</t>
        </r>
        <r>
          <rPr>
            <sz val="9"/>
            <color indexed="81"/>
            <rFont val="Tahoma"/>
            <family val="2"/>
          </rPr>
          <t xml:space="preserve">
28/06/2021
</t>
        </r>
      </text>
    </comment>
    <comment ref="FS150" authorId="1" shapeId="0" xr:uid="{12FE7C0C-6A93-4767-807C-8890A78F4E0E}">
      <text>
        <r>
          <rPr>
            <b/>
            <sz val="9"/>
            <color indexed="81"/>
            <rFont val="Tahoma"/>
            <family val="2"/>
          </rPr>
          <t>Candelaria Yesenia Balcazar Hernandez:</t>
        </r>
        <r>
          <rPr>
            <sz val="9"/>
            <color indexed="81"/>
            <rFont val="Tahoma"/>
            <family val="2"/>
          </rPr>
          <t xml:space="preserve">
21/06/2021</t>
        </r>
      </text>
    </comment>
    <comment ref="GC150" authorId="1" shapeId="0" xr:uid="{8AEDBA68-B4C5-402F-80D3-566CA8F47E2B}">
      <text>
        <r>
          <rPr>
            <b/>
            <sz val="9"/>
            <color indexed="81"/>
            <rFont val="Tahoma"/>
            <family val="2"/>
          </rPr>
          <t>Candelaria Yesenia Balcazar Hernandez:</t>
        </r>
        <r>
          <rPr>
            <sz val="9"/>
            <color indexed="81"/>
            <rFont val="Tahoma"/>
            <family val="2"/>
          </rPr>
          <t xml:space="preserve">
28/06/2021
</t>
        </r>
      </text>
    </comment>
    <comment ref="GH150" authorId="1" shapeId="0" xr:uid="{BC2A2D07-5370-4F2D-A091-0A2426E4AFE3}">
      <text>
        <r>
          <rPr>
            <b/>
            <sz val="9"/>
            <color indexed="81"/>
            <rFont val="Tahoma"/>
            <family val="2"/>
          </rPr>
          <t>Candelaria Yesenia Balcazar Hernandez:</t>
        </r>
        <r>
          <rPr>
            <sz val="9"/>
            <color indexed="81"/>
            <rFont val="Tahoma"/>
            <family val="2"/>
          </rPr>
          <t xml:space="preserve">
27/06/2021
</t>
        </r>
      </text>
    </comment>
    <comment ref="AP151" authorId="0" shapeId="0" xr:uid="{1D8AA7CB-2905-48DC-9A5C-24CBF4A657AB}">
      <text>
        <r>
          <rPr>
            <b/>
            <sz val="9"/>
            <color indexed="81"/>
            <rFont val="Tahoma"/>
            <family val="2"/>
          </rPr>
          <t>12/03/2022</t>
        </r>
      </text>
    </comment>
    <comment ref="AU151" authorId="0" shapeId="0" xr:uid="{994CA8EF-C9DA-4DCE-8369-4C5B358EDAFE}">
      <text>
        <r>
          <rPr>
            <b/>
            <sz val="9"/>
            <color indexed="81"/>
            <rFont val="Tahoma"/>
            <family val="2"/>
          </rPr>
          <t>14/04/2022</t>
        </r>
      </text>
    </comment>
    <comment ref="AZ151" authorId="0" shapeId="0" xr:uid="{410D3255-F3FA-41B9-86BA-1E780A6E1639}">
      <text>
        <r>
          <rPr>
            <b/>
            <sz val="9"/>
            <color indexed="81"/>
            <rFont val="Tahoma"/>
            <family val="2"/>
          </rPr>
          <t>20/06/2022</t>
        </r>
      </text>
    </comment>
    <comment ref="BE151" authorId="0" shapeId="0" xr:uid="{0E0CC81E-6A55-4E40-8C91-392399947E63}">
      <text>
        <r>
          <rPr>
            <b/>
            <sz val="9"/>
            <color indexed="81"/>
            <rFont val="Tahoma"/>
            <family val="2"/>
          </rPr>
          <t>22/06/2022</t>
        </r>
      </text>
    </comment>
    <comment ref="CJ151" authorId="0" shapeId="0" xr:uid="{0C4AB60C-019C-4902-8C7D-6A4A8490DBD3}">
      <text>
        <r>
          <rPr>
            <sz val="9"/>
            <color indexed="81"/>
            <rFont val="Tahoma"/>
            <family val="2"/>
          </rPr>
          <t xml:space="preserve">03/01/2022
</t>
        </r>
      </text>
    </comment>
    <comment ref="DN151" authorId="0" shapeId="0" xr:uid="{4F930C45-37D5-4637-A6E7-5995C2CC301B}">
      <text>
        <r>
          <rPr>
            <b/>
            <sz val="9"/>
            <color indexed="81"/>
            <rFont val="Tahoma"/>
            <family val="2"/>
          </rPr>
          <t>16/05/2022</t>
        </r>
      </text>
    </comment>
    <comment ref="EH151" authorId="1" shapeId="0" xr:uid="{7F1A4E91-A831-4BDD-BBC1-2A0923ABCFF1}">
      <text>
        <r>
          <rPr>
            <b/>
            <sz val="9"/>
            <color indexed="81"/>
            <rFont val="Tahoma"/>
            <family val="2"/>
          </rPr>
          <t>Candelaria Yesenia Balcazar Hernandez:</t>
        </r>
        <r>
          <rPr>
            <sz val="9"/>
            <color indexed="81"/>
            <rFont val="Tahoma"/>
            <family val="2"/>
          </rPr>
          <t xml:space="preserve">
02/05/2023</t>
        </r>
      </text>
    </comment>
    <comment ref="ET151" authorId="0" shapeId="0" xr:uid="{464F51E3-1DBE-4CC7-8E39-1F3B22C3C28F}">
      <text>
        <r>
          <rPr>
            <b/>
            <sz val="9"/>
            <color indexed="81"/>
            <rFont val="Tahoma"/>
            <family val="2"/>
          </rPr>
          <t>20/06/2022</t>
        </r>
      </text>
    </comment>
    <comment ref="EY151" authorId="0" shapeId="0" xr:uid="{82ABB5E7-0E3A-471C-96C6-AE529FA9A611}">
      <text>
        <r>
          <rPr>
            <b/>
            <sz val="9"/>
            <color indexed="81"/>
            <rFont val="Tahoma"/>
            <family val="2"/>
          </rPr>
          <t>10/03/2022</t>
        </r>
      </text>
    </comment>
    <comment ref="FD151" authorId="0" shapeId="0" xr:uid="{36E0A028-3049-4A2A-AFA7-50A2D6F98ED3}">
      <text>
        <r>
          <rPr>
            <b/>
            <sz val="9"/>
            <color indexed="81"/>
            <rFont val="Tahoma"/>
            <family val="2"/>
          </rPr>
          <t>09/03/2022</t>
        </r>
      </text>
    </comment>
    <comment ref="FI151" authorId="0" shapeId="0" xr:uid="{B14A5FB1-9D80-4190-B870-47F9774A8ABF}">
      <text>
        <r>
          <rPr>
            <b/>
            <sz val="9"/>
            <color indexed="81"/>
            <rFont val="Tahoma"/>
            <family val="2"/>
          </rPr>
          <t>13/03/2022</t>
        </r>
      </text>
    </comment>
    <comment ref="GC151" authorId="0" shapeId="0" xr:uid="{03BF74B9-9C88-4963-B75F-C4C9B78994BF}">
      <text>
        <r>
          <rPr>
            <b/>
            <sz val="9"/>
            <color indexed="81"/>
            <rFont val="Tahoma"/>
            <family val="2"/>
          </rPr>
          <t>23/06/2022</t>
        </r>
      </text>
    </comment>
    <comment ref="GM151" authorId="0" shapeId="0" xr:uid="{D4181C60-A82D-44DC-9DD9-43D5DE1C854A}">
      <text>
        <r>
          <rPr>
            <b/>
            <sz val="9"/>
            <color indexed="81"/>
            <rFont val="Tahoma"/>
            <family val="2"/>
          </rPr>
          <t>11/01/2022</t>
        </r>
      </text>
    </comment>
    <comment ref="E152" authorId="0" shapeId="0" xr:uid="{8DF41C3B-914B-49C3-8B16-88A898266899}">
      <text>
        <r>
          <rPr>
            <b/>
            <sz val="9"/>
            <color indexed="81"/>
            <rFont val="Tahoma"/>
          </rPr>
          <t>04/04/2024 - 05/04/2024</t>
        </r>
      </text>
    </comment>
    <comment ref="AF152" authorId="0" shapeId="0" xr:uid="{AABDE067-B40A-4FC7-BE12-A389106823BE}">
      <text>
        <r>
          <rPr>
            <b/>
            <sz val="9"/>
            <color indexed="81"/>
            <rFont val="Tahoma"/>
            <family val="2"/>
          </rPr>
          <t>01/03/2022</t>
        </r>
      </text>
    </comment>
    <comment ref="AK152" authorId="0" shapeId="0" xr:uid="{1E7B3D51-8048-425A-8E91-530134994E7F}">
      <text>
        <r>
          <rPr>
            <b/>
            <sz val="9"/>
            <color indexed="81"/>
            <rFont val="Tahoma"/>
            <family val="2"/>
          </rPr>
          <t>28/02/2022</t>
        </r>
      </text>
    </comment>
    <comment ref="CY152" authorId="0" shapeId="0" xr:uid="{87892806-B853-4CAE-A523-CCF675B2AEC3}">
      <text>
        <r>
          <rPr>
            <b/>
            <sz val="9"/>
            <color indexed="81"/>
            <rFont val="Tahoma"/>
            <family val="2"/>
          </rPr>
          <t>14/05/2022</t>
        </r>
      </text>
    </comment>
    <comment ref="U153" authorId="0" shapeId="0" xr:uid="{9FE1D86C-94E8-469A-8182-36C274546A41}">
      <text>
        <r>
          <rPr>
            <b/>
            <sz val="9"/>
            <color indexed="81"/>
            <rFont val="Tahoma"/>
            <family val="2"/>
          </rPr>
          <t>Christian Sánchez:</t>
        </r>
        <r>
          <rPr>
            <sz val="9"/>
            <color indexed="81"/>
            <rFont val="Tahoma"/>
            <family val="2"/>
          </rPr>
          <t xml:space="preserve">
ANTERIOR 26 OCT 2018</t>
        </r>
      </text>
    </comment>
    <comment ref="AF153" authorId="0" shapeId="0" xr:uid="{BC13F4BA-0451-4581-9A64-F23C81D6C24F}">
      <text>
        <r>
          <rPr>
            <b/>
            <sz val="9"/>
            <color indexed="81"/>
            <rFont val="Tahoma"/>
            <family val="2"/>
          </rPr>
          <t>08/03/2022</t>
        </r>
      </text>
    </comment>
    <comment ref="AK153" authorId="0" shapeId="0" xr:uid="{0EF20902-ABB8-4E01-8123-74F13174B12F}">
      <text>
        <r>
          <rPr>
            <b/>
            <sz val="9"/>
            <color indexed="81"/>
            <rFont val="Tahoma"/>
            <family val="2"/>
          </rPr>
          <t>07/03/2022</t>
        </r>
      </text>
    </comment>
    <comment ref="AP153" authorId="0" shapeId="0" xr:uid="{6AC8B25D-1FDF-4634-BFE0-B792E9E3B50A}">
      <text>
        <r>
          <rPr>
            <b/>
            <sz val="9"/>
            <color indexed="81"/>
            <rFont val="Tahoma"/>
            <family val="2"/>
          </rPr>
          <t>07/01/2022</t>
        </r>
      </text>
    </comment>
    <comment ref="AU153" authorId="0" shapeId="0" xr:uid="{C466F1A9-25EF-4A91-9F1E-919CED987A87}">
      <text>
        <r>
          <rPr>
            <b/>
            <sz val="9"/>
            <color indexed="81"/>
            <rFont val="Tahoma"/>
            <family val="2"/>
          </rPr>
          <t>28/02/2022</t>
        </r>
      </text>
    </comment>
    <comment ref="AZ153" authorId="0" shapeId="0" xr:uid="{1FF8B834-64FC-40FA-B39C-860F22CA309E}">
      <text>
        <r>
          <rPr>
            <b/>
            <sz val="9"/>
            <color indexed="81"/>
            <rFont val="Tahoma"/>
            <family val="2"/>
          </rPr>
          <t>12/11/2021</t>
        </r>
      </text>
    </comment>
    <comment ref="BE153" authorId="0" shapeId="0" xr:uid="{E9B6AB3B-1C85-473B-9474-5DC90D103446}">
      <text>
        <r>
          <rPr>
            <b/>
            <sz val="9"/>
            <color indexed="81"/>
            <rFont val="Tahoma"/>
            <family val="2"/>
          </rPr>
          <t>04/01/2022</t>
        </r>
      </text>
    </comment>
    <comment ref="BO153" authorId="0" shapeId="0" xr:uid="{FD8BC637-2623-49A0-9405-9AA88F517048}">
      <text>
        <r>
          <rPr>
            <b/>
            <sz val="9"/>
            <color indexed="81"/>
            <rFont val="Tahoma"/>
            <family val="2"/>
          </rPr>
          <t>01/02/2022</t>
        </r>
      </text>
    </comment>
    <comment ref="BT153" authorId="0" shapeId="0" xr:uid="{084D587B-D6F8-4F0C-902E-77658D627A6F}">
      <text>
        <r>
          <rPr>
            <b/>
            <sz val="9"/>
            <color indexed="81"/>
            <rFont val="Tahoma"/>
            <family val="2"/>
          </rPr>
          <t>22/02/2022</t>
        </r>
      </text>
    </comment>
    <comment ref="CJ153" authorId="0" shapeId="0" xr:uid="{AEA89C5A-2CDD-4426-BD02-DEDA9F8B8642}">
      <text>
        <r>
          <rPr>
            <b/>
            <sz val="9"/>
            <color indexed="81"/>
            <rFont val="Tahoma"/>
            <family val="2"/>
          </rPr>
          <t>03/01/2022</t>
        </r>
      </text>
    </comment>
    <comment ref="CO153" authorId="0" shapeId="0" xr:uid="{438CF210-5993-48D8-9D7D-3D611BB2BBFD}">
      <text>
        <r>
          <rPr>
            <b/>
            <sz val="9"/>
            <color indexed="81"/>
            <rFont val="Tahoma"/>
            <family val="2"/>
          </rPr>
          <t>27/01/2022</t>
        </r>
      </text>
    </comment>
    <comment ref="CT153" authorId="0" shapeId="0" xr:uid="{D4399F64-BB1E-473E-99AD-682F275966DC}">
      <text>
        <r>
          <rPr>
            <b/>
            <sz val="9"/>
            <color indexed="81"/>
            <rFont val="Tahoma"/>
            <family val="2"/>
          </rPr>
          <t>29/03/2022</t>
        </r>
      </text>
    </comment>
    <comment ref="DI153" authorId="0" shapeId="0" xr:uid="{8A9A3F1B-F59C-4D9C-BBA0-2CFA38AEDA82}">
      <text>
        <r>
          <rPr>
            <b/>
            <sz val="9"/>
            <color indexed="81"/>
            <rFont val="Tahoma"/>
            <family val="2"/>
          </rPr>
          <t>05/03/2022</t>
        </r>
      </text>
    </comment>
    <comment ref="DS153" authorId="0" shapeId="0" xr:uid="{EC6A2A82-2A1C-41EE-B4AF-9CAD0937A8C5}">
      <text>
        <r>
          <rPr>
            <b/>
            <sz val="9"/>
            <color indexed="81"/>
            <rFont val="Tahoma"/>
            <family val="2"/>
          </rPr>
          <t>21/02/2022</t>
        </r>
      </text>
    </comment>
    <comment ref="DX153" authorId="0" shapeId="0" xr:uid="{21D61251-11F9-4B7B-918D-755AC561F5F4}">
      <text>
        <r>
          <rPr>
            <b/>
            <sz val="9"/>
            <color indexed="81"/>
            <rFont val="Tahoma"/>
            <family val="2"/>
          </rPr>
          <t>05/02/2022</t>
        </r>
      </text>
    </comment>
    <comment ref="EC153" authorId="0" shapeId="0" xr:uid="{42D87793-7EBC-425C-A1FE-D5087CE514F6}">
      <text>
        <r>
          <rPr>
            <b/>
            <sz val="9"/>
            <color indexed="81"/>
            <rFont val="Tahoma"/>
            <family val="2"/>
          </rPr>
          <t>05/02/2022</t>
        </r>
      </text>
    </comment>
    <comment ref="EY153" authorId="0" shapeId="0" xr:uid="{382FA4B2-BBF5-44D7-A10C-5B7C5B442D40}">
      <text>
        <r>
          <rPr>
            <b/>
            <sz val="9"/>
            <color indexed="81"/>
            <rFont val="Tahoma"/>
            <family val="2"/>
          </rPr>
          <t>10/03/2022</t>
        </r>
      </text>
    </comment>
    <comment ref="FD153" authorId="0" shapeId="0" xr:uid="{F32EDA5B-6B6B-4D3D-BFB7-C8C04421868E}">
      <text>
        <r>
          <rPr>
            <b/>
            <sz val="9"/>
            <color indexed="81"/>
            <rFont val="Tahoma"/>
            <family val="2"/>
          </rPr>
          <t>09/03/2022</t>
        </r>
      </text>
    </comment>
    <comment ref="FI153" authorId="0" shapeId="0" xr:uid="{60CD59B7-1C6D-41DE-863E-668E35226ECD}">
      <text>
        <r>
          <rPr>
            <b/>
            <sz val="9"/>
            <color indexed="81"/>
            <rFont val="Tahoma"/>
            <family val="2"/>
          </rPr>
          <t>11/03/2022</t>
        </r>
      </text>
    </comment>
    <comment ref="FN153" authorId="0" shapeId="0" xr:uid="{CC4A1699-4606-4B72-AB23-CCB1B088528E}">
      <text>
        <r>
          <rPr>
            <b/>
            <sz val="9"/>
            <color indexed="81"/>
            <rFont val="Tahoma"/>
            <family val="2"/>
          </rPr>
          <t>31/01/2022</t>
        </r>
      </text>
    </comment>
    <comment ref="FS153" authorId="0" shapeId="0" xr:uid="{D254F71B-1959-4A79-9AE6-EB578767D471}">
      <text>
        <r>
          <rPr>
            <b/>
            <sz val="9"/>
            <color indexed="81"/>
            <rFont val="Tahoma"/>
            <family val="2"/>
          </rPr>
          <t>04/03/2022</t>
        </r>
      </text>
    </comment>
    <comment ref="FX153" authorId="1" shapeId="0" xr:uid="{314398F5-536D-40BC-BD53-20E43FB0A72A}">
      <text>
        <r>
          <rPr>
            <b/>
            <sz val="9"/>
            <color indexed="81"/>
            <rFont val="Tahoma"/>
            <family val="2"/>
          </rPr>
          <t>Candelaria Yesenia Balcazar Hernandez:</t>
        </r>
        <r>
          <rPr>
            <sz val="9"/>
            <color indexed="81"/>
            <rFont val="Tahoma"/>
            <family val="2"/>
          </rPr>
          <t xml:space="preserve">
10/03/2022</t>
        </r>
      </text>
    </comment>
    <comment ref="GH153" authorId="0" shapeId="0" xr:uid="{7F035B41-63D2-43CC-96CA-ED861BDB4556}">
      <text>
        <r>
          <rPr>
            <b/>
            <sz val="9"/>
            <color indexed="81"/>
            <rFont val="Tahoma"/>
            <family val="2"/>
          </rPr>
          <t>15/02/2022</t>
        </r>
      </text>
    </comment>
    <comment ref="GM153" authorId="0" shapeId="0" xr:uid="{DE006441-86F7-4C11-8DE7-FE95C88F03F0}">
      <text>
        <r>
          <rPr>
            <b/>
            <sz val="9"/>
            <color indexed="81"/>
            <rFont val="Tahoma"/>
            <family val="2"/>
          </rPr>
          <t>03/01/2022</t>
        </r>
      </text>
    </comment>
    <comment ref="AZ155" authorId="0" shapeId="0" xr:uid="{48577601-34A7-44E9-A5F3-F80EBA261562}">
      <text>
        <r>
          <rPr>
            <b/>
            <sz val="9"/>
            <color indexed="81"/>
            <rFont val="Tahoma"/>
            <family val="2"/>
          </rPr>
          <t>14/06/2022</t>
        </r>
      </text>
    </comment>
    <comment ref="CO155" authorId="0" shapeId="0" xr:uid="{5650C822-E150-4B22-BB93-03EC24F4C0ED}">
      <text>
        <r>
          <rPr>
            <b/>
            <sz val="9"/>
            <color indexed="81"/>
            <rFont val="Tahoma"/>
            <family val="2"/>
          </rPr>
          <t>22/06/2022</t>
        </r>
      </text>
    </comment>
    <comment ref="CT155" authorId="0" shapeId="0" xr:uid="{530C7E26-4DCD-45BB-BB6C-035A262E1790}">
      <text>
        <r>
          <rPr>
            <b/>
            <sz val="9"/>
            <color indexed="81"/>
            <rFont val="Tahoma"/>
            <family val="2"/>
          </rPr>
          <t>28/07/2022</t>
        </r>
      </text>
    </comment>
    <comment ref="DD155" authorId="1" shapeId="0" xr:uid="{2EB007BD-65D9-46E5-B6AB-496FE2B52B16}">
      <text>
        <r>
          <rPr>
            <b/>
            <sz val="9"/>
            <color indexed="81"/>
            <rFont val="Tahoma"/>
            <family val="2"/>
          </rPr>
          <t>Candelaria Yesenia Balcazar Hernandez:</t>
        </r>
        <r>
          <rPr>
            <sz val="9"/>
            <color indexed="81"/>
            <rFont val="Tahoma"/>
            <family val="2"/>
          </rPr>
          <t xml:space="preserve">
05/08/2022</t>
        </r>
      </text>
    </comment>
    <comment ref="DI155" authorId="0" shapeId="0" xr:uid="{62A8B4A4-2C2A-4E1C-AE94-764A92AA78A2}">
      <text>
        <r>
          <rPr>
            <b/>
            <sz val="9"/>
            <color indexed="81"/>
            <rFont val="Tahoma"/>
            <family val="2"/>
          </rPr>
          <t>27/06/2022</t>
        </r>
      </text>
    </comment>
    <comment ref="DN155" authorId="0" shapeId="0" xr:uid="{F19B13B8-7DAE-42C7-8094-27BDA1D4AE03}">
      <text>
        <r>
          <rPr>
            <b/>
            <sz val="9"/>
            <color indexed="81"/>
            <rFont val="Tahoma"/>
            <family val="2"/>
          </rPr>
          <t>28/06/2022</t>
        </r>
      </text>
    </comment>
    <comment ref="DX155" authorId="0" shapeId="0" xr:uid="{85692472-CACE-4D71-B1BA-5483A3798C35}">
      <text>
        <r>
          <rPr>
            <b/>
            <sz val="9"/>
            <color indexed="81"/>
            <rFont val="Tahoma"/>
            <family val="2"/>
          </rPr>
          <t>30/06/2022</t>
        </r>
      </text>
    </comment>
    <comment ref="EC155" authorId="0" shapeId="0" xr:uid="{DA37BC2E-0251-40C3-89BD-D48967294999}">
      <text>
        <r>
          <rPr>
            <b/>
            <sz val="9"/>
            <color indexed="81"/>
            <rFont val="Tahoma"/>
            <family val="2"/>
          </rPr>
          <t>29/07/2022</t>
        </r>
      </text>
    </comment>
    <comment ref="EH155" authorId="1" shapeId="0" xr:uid="{B28D8F7D-B21C-4A35-A439-046D218E2B19}">
      <text>
        <r>
          <rPr>
            <b/>
            <sz val="9"/>
            <color indexed="81"/>
            <rFont val="Tahoma"/>
            <family val="2"/>
          </rPr>
          <t>Candelaria Yesenia Balcazar Hernandez:</t>
        </r>
        <r>
          <rPr>
            <sz val="9"/>
            <color indexed="81"/>
            <rFont val="Tahoma"/>
            <family val="2"/>
          </rPr>
          <t xml:space="preserve">
02/07/2022</t>
        </r>
      </text>
    </comment>
    <comment ref="FI155" authorId="0" shapeId="0" xr:uid="{FBF15978-0702-4F9F-BF67-CD106CC13ABE}">
      <text>
        <r>
          <rPr>
            <b/>
            <sz val="9"/>
            <color indexed="81"/>
            <rFont val="Tahoma"/>
            <family val="2"/>
          </rPr>
          <t>07/07/2022</t>
        </r>
      </text>
    </comment>
    <comment ref="GC155" authorId="0" shapeId="0" xr:uid="{B5190D02-3A91-4E83-BDC1-FFB71008E3A2}">
      <text>
        <r>
          <rPr>
            <b/>
            <sz val="9"/>
            <color indexed="81"/>
            <rFont val="Tahoma"/>
            <family val="2"/>
          </rPr>
          <t>27/07/2022</t>
        </r>
      </text>
    </comment>
    <comment ref="AK158" authorId="0" shapeId="0" xr:uid="{A76B7027-1AB3-439B-BDEA-1DEDE9D06D9E}">
      <text>
        <r>
          <rPr>
            <b/>
            <sz val="9"/>
            <color indexed="81"/>
            <rFont val="Tahoma"/>
            <family val="2"/>
          </rPr>
          <t>07/03/2022</t>
        </r>
      </text>
    </comment>
    <comment ref="AP158" authorId="1" shapeId="0" xr:uid="{07F72399-885D-4175-9E87-01743A0C5B4A}">
      <text>
        <r>
          <rPr>
            <b/>
            <sz val="9"/>
            <color indexed="81"/>
            <rFont val="Tahoma"/>
            <family val="2"/>
          </rPr>
          <t>Candelaria Yesenia Balcazar Hernandez:</t>
        </r>
        <r>
          <rPr>
            <sz val="9"/>
            <color indexed="81"/>
            <rFont val="Tahoma"/>
            <family val="2"/>
          </rPr>
          <t xml:space="preserve">
23/06/2021</t>
        </r>
      </text>
    </comment>
    <comment ref="AU158" authorId="1" shapeId="0" xr:uid="{65F754EE-DBD7-4503-B37F-B569D9EE1724}">
      <text>
        <r>
          <rPr>
            <b/>
            <sz val="9"/>
            <color indexed="81"/>
            <rFont val="Tahoma"/>
            <family val="2"/>
          </rPr>
          <t>Candelaria Yesenia Balcazar Hernandez:</t>
        </r>
        <r>
          <rPr>
            <sz val="9"/>
            <color indexed="81"/>
            <rFont val="Tahoma"/>
            <family val="2"/>
          </rPr>
          <t xml:space="preserve">
20/06/2021</t>
        </r>
      </text>
    </comment>
    <comment ref="AZ158" authorId="1" shapeId="0" xr:uid="{C0645A37-8D17-4A03-BF28-52CE409996EF}">
      <text>
        <r>
          <rPr>
            <b/>
            <sz val="9"/>
            <color indexed="81"/>
            <rFont val="Tahoma"/>
            <family val="2"/>
          </rPr>
          <t>Candelaria Yesenia Balcazar Hernandez:</t>
        </r>
        <r>
          <rPr>
            <sz val="9"/>
            <color indexed="81"/>
            <rFont val="Tahoma"/>
            <family val="2"/>
          </rPr>
          <t xml:space="preserve">
06/07/2021
</t>
        </r>
      </text>
    </comment>
    <comment ref="BE158" authorId="1" shapeId="0" xr:uid="{87BA3115-8B8D-403A-8B4B-ADE95931CBF0}">
      <text>
        <r>
          <rPr>
            <b/>
            <sz val="9"/>
            <color indexed="81"/>
            <rFont val="Tahoma"/>
            <family val="2"/>
          </rPr>
          <t>Candelaria Yesenia Balcazar Hernandez:</t>
        </r>
        <r>
          <rPr>
            <sz val="9"/>
            <color indexed="81"/>
            <rFont val="Tahoma"/>
            <family val="2"/>
          </rPr>
          <t xml:space="preserve">
15/07/2021</t>
        </r>
      </text>
    </comment>
    <comment ref="BJ158" authorId="0" shapeId="0" xr:uid="{227DD809-091D-47AB-8639-E5ED7B1E242F}">
      <text>
        <r>
          <rPr>
            <b/>
            <sz val="9"/>
            <color indexed="81"/>
            <rFont val="Tahoma"/>
            <family val="2"/>
          </rPr>
          <t>07/06/2022</t>
        </r>
      </text>
    </comment>
    <comment ref="BO158" authorId="1" shapeId="0" xr:uid="{87C2074A-EBF2-4977-A91A-ED19ED003479}">
      <text>
        <r>
          <rPr>
            <b/>
            <sz val="9"/>
            <color indexed="81"/>
            <rFont val="Tahoma"/>
            <family val="2"/>
          </rPr>
          <t>Candelaria Yesenia Balcazar Hernandez:</t>
        </r>
        <r>
          <rPr>
            <sz val="9"/>
            <color indexed="81"/>
            <rFont val="Tahoma"/>
            <family val="2"/>
          </rPr>
          <t xml:space="preserve">
30/06/2021</t>
        </r>
      </text>
    </comment>
    <comment ref="BY158" authorId="0" shapeId="0" xr:uid="{4BCEAF8A-20A8-40E5-B6A7-5E325CEDC56D}">
      <text>
        <r>
          <rPr>
            <b/>
            <sz val="9"/>
            <color indexed="81"/>
            <rFont val="Tahoma"/>
            <family val="2"/>
          </rPr>
          <t>09/03/2022</t>
        </r>
      </text>
    </comment>
    <comment ref="CJ158" authorId="1" shapeId="0" xr:uid="{1DE9323D-0BF3-4877-AAC6-75C99C75B885}">
      <text>
        <r>
          <rPr>
            <b/>
            <sz val="9"/>
            <color indexed="81"/>
            <rFont val="Tahoma"/>
            <family val="2"/>
          </rPr>
          <t>Candelaria Yesenia Balcazar Hernandez:</t>
        </r>
        <r>
          <rPr>
            <sz val="9"/>
            <color indexed="81"/>
            <rFont val="Tahoma"/>
            <family val="2"/>
          </rPr>
          <t xml:space="preserve">
15/07/2021
</t>
        </r>
      </text>
    </comment>
    <comment ref="CO158" authorId="1" shapeId="0" xr:uid="{4A96AEA5-865C-4C5A-8F60-D56DBF6DB91D}">
      <text>
        <r>
          <rPr>
            <b/>
            <sz val="9"/>
            <color indexed="81"/>
            <rFont val="Tahoma"/>
            <family val="2"/>
          </rPr>
          <t>Candelaria Yesenia Balcazar Hernandez:</t>
        </r>
        <r>
          <rPr>
            <sz val="9"/>
            <color indexed="81"/>
            <rFont val="Tahoma"/>
            <family val="2"/>
          </rPr>
          <t xml:space="preserve">
18/06/2021
</t>
        </r>
      </text>
    </comment>
    <comment ref="CY158" authorId="1" shapeId="0" xr:uid="{3B028E6C-CA54-4F85-9EF6-4DA582A844FE}">
      <text>
        <r>
          <rPr>
            <b/>
            <sz val="9"/>
            <color indexed="81"/>
            <rFont val="Tahoma"/>
            <family val="2"/>
          </rPr>
          <t>Candelaria Yesenia Balcazar Hernandez:</t>
        </r>
        <r>
          <rPr>
            <sz val="9"/>
            <color indexed="81"/>
            <rFont val="Tahoma"/>
            <family val="2"/>
          </rPr>
          <t xml:space="preserve">
03/07/2021</t>
        </r>
      </text>
    </comment>
    <comment ref="DX158" authorId="1" shapeId="0" xr:uid="{9CA78CB6-7945-4503-B8C5-655793288420}">
      <text>
        <r>
          <rPr>
            <b/>
            <sz val="9"/>
            <color indexed="81"/>
            <rFont val="Tahoma"/>
            <family val="2"/>
          </rPr>
          <t>Candelaria Yesenia Balcazar Hernandez:</t>
        </r>
        <r>
          <rPr>
            <sz val="9"/>
            <color indexed="81"/>
            <rFont val="Tahoma"/>
            <family val="2"/>
          </rPr>
          <t xml:space="preserve">
09/07/2021</t>
        </r>
      </text>
    </comment>
    <comment ref="EO158" authorId="1" shapeId="0" xr:uid="{D7EFCCF5-16CB-44D2-9AE3-5007419543AB}">
      <text>
        <r>
          <rPr>
            <b/>
            <sz val="9"/>
            <color indexed="81"/>
            <rFont val="Tahoma"/>
            <family val="2"/>
          </rPr>
          <t>Candelaria Yesenia Balcazar Hernandez:</t>
        </r>
        <r>
          <rPr>
            <sz val="9"/>
            <color indexed="81"/>
            <rFont val="Tahoma"/>
            <family val="2"/>
          </rPr>
          <t xml:space="preserve">
10/07/2021</t>
        </r>
      </text>
    </comment>
    <comment ref="EY158" authorId="0" shapeId="0" xr:uid="{51615515-66C8-4E63-9519-5857BB37193C}">
      <text>
        <r>
          <rPr>
            <b/>
            <sz val="9"/>
            <color indexed="81"/>
            <rFont val="Tahoma"/>
            <family val="2"/>
          </rPr>
          <t>10/03/2022</t>
        </r>
      </text>
    </comment>
    <comment ref="FI158" authorId="0" shapeId="0" xr:uid="{54919B81-6F2B-4EA0-B6D0-95FCC8246A1B}">
      <text>
        <r>
          <rPr>
            <b/>
            <sz val="9"/>
            <color indexed="81"/>
            <rFont val="Tahoma"/>
            <family val="2"/>
          </rPr>
          <t>12/03/2022</t>
        </r>
      </text>
    </comment>
    <comment ref="FN158" authorId="1" shapeId="0" xr:uid="{F0362334-5DA9-4275-BB48-E655D6B8D130}">
      <text>
        <r>
          <rPr>
            <b/>
            <sz val="9"/>
            <color indexed="81"/>
            <rFont val="Tahoma"/>
            <family val="2"/>
          </rPr>
          <t>Candelaria Yesenia Balcazar Hernandez:</t>
        </r>
        <r>
          <rPr>
            <sz val="9"/>
            <color indexed="81"/>
            <rFont val="Tahoma"/>
            <family val="2"/>
          </rPr>
          <t xml:space="preserve">
28/06/2021
</t>
        </r>
      </text>
    </comment>
    <comment ref="GM158" authorId="1" shapeId="0" xr:uid="{422D5DFA-3E73-4D9C-B6F0-BE06C278C04B}">
      <text>
        <r>
          <rPr>
            <b/>
            <sz val="9"/>
            <color indexed="81"/>
            <rFont val="Tahoma"/>
            <family val="2"/>
          </rPr>
          <t>Candelaria Yesenia Balcazar Hernandez:</t>
        </r>
        <r>
          <rPr>
            <sz val="9"/>
            <color indexed="81"/>
            <rFont val="Tahoma"/>
            <family val="2"/>
          </rPr>
          <t xml:space="preserve">
21/06/2021
</t>
        </r>
      </text>
    </comment>
    <comment ref="AF159" authorId="0" shapeId="0" xr:uid="{D750BE93-70FC-4B89-8C55-18E6FC38C8A7}">
      <text>
        <r>
          <rPr>
            <b/>
            <sz val="9"/>
            <color indexed="81"/>
            <rFont val="Tahoma"/>
            <family val="2"/>
          </rPr>
          <t>22/02/2022</t>
        </r>
      </text>
    </comment>
    <comment ref="AP159" authorId="0" shapeId="0" xr:uid="{7E6FCC7B-D192-4375-9D17-9384455B3E72}">
      <text>
        <r>
          <rPr>
            <b/>
            <sz val="9"/>
            <color indexed="81"/>
            <rFont val="Tahoma"/>
            <family val="2"/>
          </rPr>
          <t>21/01/2022</t>
        </r>
      </text>
    </comment>
    <comment ref="AZ159" authorId="0" shapeId="0" xr:uid="{AA329CC9-79E1-4246-AB04-FDEF4506208B}">
      <text>
        <r>
          <rPr>
            <b/>
            <sz val="9"/>
            <color indexed="81"/>
            <rFont val="Tahoma"/>
            <family val="2"/>
          </rPr>
          <t>24/01/2022</t>
        </r>
      </text>
    </comment>
    <comment ref="DD159" authorId="0" shapeId="0" xr:uid="{546337E5-F308-4EF2-939E-442DA6277732}">
      <text>
        <r>
          <rPr>
            <b/>
            <sz val="9"/>
            <color indexed="81"/>
            <rFont val="Tahoma"/>
            <family val="2"/>
          </rPr>
          <t>19/01/2022</t>
        </r>
      </text>
    </comment>
    <comment ref="DI159" authorId="0" shapeId="0" xr:uid="{B1E3960A-3024-4AEA-9870-DBDDE8BAE026}">
      <text>
        <r>
          <rPr>
            <b/>
            <sz val="9"/>
            <color indexed="81"/>
            <rFont val="Tahoma"/>
            <family val="2"/>
          </rPr>
          <t>20/01/2022</t>
        </r>
      </text>
    </comment>
    <comment ref="DS159" authorId="0" shapeId="0" xr:uid="{F10A7428-10D3-4676-9E8B-AEFEAA22FCEE}">
      <text>
        <r>
          <rPr>
            <b/>
            <sz val="9"/>
            <color indexed="81"/>
            <rFont val="Tahoma"/>
            <family val="2"/>
          </rPr>
          <t>20/01/2022</t>
        </r>
      </text>
    </comment>
    <comment ref="EC159" authorId="0" shapeId="0" xr:uid="{3488C80C-FA3C-46D0-AA1E-E58898B6093F}">
      <text>
        <r>
          <rPr>
            <b/>
            <sz val="9"/>
            <color indexed="81"/>
            <rFont val="Tahoma"/>
            <family val="2"/>
          </rPr>
          <t>11/01/2022</t>
        </r>
      </text>
    </comment>
    <comment ref="EH159" authorId="0" shapeId="0" xr:uid="{DD83344B-EEBD-47A2-B0C3-D1A901475E2D}">
      <text>
        <r>
          <rPr>
            <b/>
            <sz val="9"/>
            <color indexed="81"/>
            <rFont val="Tahoma"/>
            <family val="2"/>
          </rPr>
          <t>21/01/2022</t>
        </r>
      </text>
    </comment>
    <comment ref="FI159" authorId="0" shapeId="0" xr:uid="{8B6EC7C7-AF7D-45B1-A8F2-797B92C170B2}">
      <text>
        <r>
          <rPr>
            <b/>
            <sz val="9"/>
            <color indexed="81"/>
            <rFont val="Tahoma"/>
            <family val="2"/>
          </rPr>
          <t>24/02/2022</t>
        </r>
      </text>
    </comment>
    <comment ref="FS159" authorId="0" shapeId="0" xr:uid="{A0EDB384-B4C6-4822-8F5E-FFF67A92104A}">
      <text>
        <r>
          <rPr>
            <b/>
            <sz val="9"/>
            <color indexed="81"/>
            <rFont val="Tahoma"/>
            <family val="2"/>
          </rPr>
          <t>18/01/2022</t>
        </r>
      </text>
    </comment>
    <comment ref="GC159" authorId="0" shapeId="0" xr:uid="{F9BA1316-5C3D-4066-8206-94DFE2B505E0}">
      <text>
        <r>
          <rPr>
            <b/>
            <sz val="9"/>
            <color indexed="81"/>
            <rFont val="Tahoma"/>
            <family val="2"/>
          </rPr>
          <t>05/01/2022</t>
        </r>
      </text>
    </comment>
    <comment ref="GH159" authorId="0" shapeId="0" xr:uid="{FD68D4D3-903D-4C70-86AA-37B1616980D3}">
      <text>
        <r>
          <rPr>
            <b/>
            <sz val="9"/>
            <color indexed="81"/>
            <rFont val="Tahoma"/>
            <family val="2"/>
          </rPr>
          <t>14/01/2022</t>
        </r>
      </text>
    </comment>
    <comment ref="AK160" authorId="0" shapeId="0" xr:uid="{B179CB8A-B49D-4E93-8099-40CFE28ABE71}">
      <text>
        <r>
          <rPr>
            <b/>
            <sz val="9"/>
            <color indexed="81"/>
            <rFont val="Tahoma"/>
            <family val="2"/>
          </rPr>
          <t>21/02/2022</t>
        </r>
      </text>
    </comment>
    <comment ref="AP160" authorId="0" shapeId="0" xr:uid="{2D9B6B50-0567-47F3-9339-957C6BAA9644}">
      <text>
        <r>
          <rPr>
            <b/>
            <sz val="9"/>
            <color indexed="81"/>
            <rFont val="Tahoma"/>
            <family val="2"/>
          </rPr>
          <t>15/03/2022</t>
        </r>
      </text>
    </comment>
    <comment ref="BE160" authorId="0" shapeId="0" xr:uid="{7A74E323-C848-48FB-8638-30C6D6537C3B}">
      <text>
        <r>
          <rPr>
            <b/>
            <sz val="9"/>
            <color indexed="81"/>
            <rFont val="Tahoma"/>
            <family val="2"/>
          </rPr>
          <t>11/05/2022</t>
        </r>
      </text>
    </comment>
    <comment ref="BJ160" authorId="0" shapeId="0" xr:uid="{3D8BD3A7-4DA9-4E94-B61D-6F0956464F02}">
      <text>
        <r>
          <rPr>
            <b/>
            <sz val="9"/>
            <color indexed="81"/>
            <rFont val="Tahoma"/>
            <family val="2"/>
          </rPr>
          <t>14/06/2022</t>
        </r>
      </text>
    </comment>
    <comment ref="BY160" authorId="0" shapeId="0" xr:uid="{FF2A37BA-9A28-49CA-8BCB-73DC1AC8BFA7}">
      <text>
        <r>
          <rPr>
            <b/>
            <sz val="9"/>
            <color indexed="81"/>
            <rFont val="Tahoma"/>
            <family val="2"/>
          </rPr>
          <t>21/02/2022</t>
        </r>
      </text>
    </comment>
    <comment ref="DN160" authorId="0" shapeId="0" xr:uid="{3514C36D-7E4E-4A60-9F07-0064B2700939}">
      <text>
        <r>
          <rPr>
            <b/>
            <sz val="9"/>
            <color indexed="81"/>
            <rFont val="Tahoma"/>
            <family val="2"/>
          </rPr>
          <t>09/02/2022</t>
        </r>
      </text>
    </comment>
    <comment ref="EH160" authorId="1" shapeId="0" xr:uid="{B0EDA40D-708F-4311-9C0F-B6810131DE1B}">
      <text>
        <r>
          <rPr>
            <b/>
            <sz val="9"/>
            <color indexed="81"/>
            <rFont val="Tahoma"/>
            <family val="2"/>
          </rPr>
          <t>Candelaria Yesenia Balcazar Hernandez:</t>
        </r>
        <r>
          <rPr>
            <sz val="9"/>
            <color indexed="81"/>
            <rFont val="Tahoma"/>
            <family val="2"/>
          </rPr>
          <t xml:space="preserve">
22/03/2023
</t>
        </r>
      </text>
    </comment>
    <comment ref="EY160" authorId="0" shapeId="0" xr:uid="{D64E3584-95BF-41C0-97ED-370880065C12}">
      <text>
        <r>
          <rPr>
            <b/>
            <sz val="9"/>
            <color indexed="81"/>
            <rFont val="Tahoma"/>
            <family val="2"/>
          </rPr>
          <t>23/02/2022</t>
        </r>
      </text>
    </comment>
    <comment ref="FD160" authorId="0" shapeId="0" xr:uid="{22CF5D4B-07A1-4814-B03E-46C648F99B38}">
      <text>
        <r>
          <rPr>
            <b/>
            <sz val="9"/>
            <color indexed="81"/>
            <rFont val="Tahoma"/>
            <family val="2"/>
          </rPr>
          <t>23/02/2022</t>
        </r>
      </text>
    </comment>
    <comment ref="FI160" authorId="0" shapeId="0" xr:uid="{BF3A9EEA-DA07-4928-B9BA-1CBEBF4EAE6B}">
      <text>
        <r>
          <rPr>
            <b/>
            <sz val="9"/>
            <color indexed="81"/>
            <rFont val="Tahoma"/>
            <family val="2"/>
          </rPr>
          <t>24/02/2022</t>
        </r>
      </text>
    </comment>
    <comment ref="GM160" authorId="0" shapeId="0" xr:uid="{AB7F23E8-2464-47E2-B04E-72BB20622D33}">
      <text>
        <r>
          <rPr>
            <b/>
            <sz val="9"/>
            <color indexed="81"/>
            <rFont val="Tahoma"/>
            <family val="2"/>
          </rPr>
          <t>11/01/2022</t>
        </r>
      </text>
    </comment>
    <comment ref="AF161" authorId="0" shapeId="0" xr:uid="{053CBCCC-125D-4ABE-A5D1-1ED5D084DAE4}">
      <text>
        <r>
          <rPr>
            <b/>
            <sz val="9"/>
            <color indexed="81"/>
            <rFont val="Tahoma"/>
            <family val="2"/>
          </rPr>
          <t>01/03/2022</t>
        </r>
      </text>
    </comment>
    <comment ref="FI161" authorId="0" shapeId="0" xr:uid="{B23C7B9F-4957-42BB-B0AD-7181FA8F6ED7}">
      <text>
        <r>
          <rPr>
            <b/>
            <sz val="9"/>
            <color indexed="81"/>
            <rFont val="Tahoma"/>
            <family val="2"/>
          </rPr>
          <t>04/03/2022</t>
        </r>
      </text>
    </comment>
    <comment ref="E162" authorId="0" shapeId="0" xr:uid="{6DCFF9C4-76FC-446C-80E1-09618F36385F}">
      <text>
        <r>
          <rPr>
            <b/>
            <sz val="9"/>
            <color indexed="81"/>
            <rFont val="Tahoma"/>
            <family val="2"/>
          </rPr>
          <t>08/02/2024 y 09/02/2024</t>
        </r>
      </text>
    </comment>
    <comment ref="AF162" authorId="0" shapeId="0" xr:uid="{4F72CDBE-FD19-4824-8795-680B2868F09F}">
      <text>
        <r>
          <rPr>
            <b/>
            <sz val="9"/>
            <color indexed="81"/>
            <rFont val="Tahoma"/>
            <family val="2"/>
          </rPr>
          <t>15/02/2022</t>
        </r>
      </text>
    </comment>
    <comment ref="AK162" authorId="0" shapeId="0" xr:uid="{AB45F33D-76CE-4FB3-A161-7DCFF1420CAC}">
      <text>
        <r>
          <rPr>
            <b/>
            <sz val="9"/>
            <color indexed="81"/>
            <rFont val="Tahoma"/>
            <family val="2"/>
          </rPr>
          <t>14/02/2022</t>
        </r>
      </text>
    </comment>
    <comment ref="AP162" authorId="0" shapeId="0" xr:uid="{18C406F3-7823-4C1B-922C-2F11064C161E}">
      <text>
        <r>
          <rPr>
            <b/>
            <sz val="9"/>
            <color indexed="81"/>
            <rFont val="Tahoma"/>
            <family val="2"/>
          </rPr>
          <t>01/04/2022</t>
        </r>
      </text>
    </comment>
    <comment ref="DI162" authorId="0" shapeId="0" xr:uid="{F7FB93AD-5C09-4C2A-9CCE-61699B33DE72}">
      <text>
        <r>
          <rPr>
            <b/>
            <sz val="9"/>
            <color indexed="81"/>
            <rFont val="Tahoma"/>
            <family val="2"/>
          </rPr>
          <t>02/04/2022</t>
        </r>
      </text>
    </comment>
    <comment ref="FD162" authorId="0" shapeId="0" xr:uid="{E740B533-3DB1-464D-9ECD-D6A497963232}">
      <text>
        <r>
          <rPr>
            <b/>
            <sz val="9"/>
            <color indexed="81"/>
            <rFont val="Tahoma"/>
            <family val="2"/>
          </rPr>
          <t>16/02/2022</t>
        </r>
      </text>
    </comment>
    <comment ref="FI162" authorId="0" shapeId="0" xr:uid="{44435B70-C50C-4D2D-ACC5-C4AA40E414B2}">
      <text>
        <r>
          <rPr>
            <b/>
            <sz val="9"/>
            <color indexed="81"/>
            <rFont val="Tahoma"/>
            <family val="2"/>
          </rPr>
          <t>17/02/2022</t>
        </r>
      </text>
    </comment>
    <comment ref="GM162" authorId="0" shapeId="0" xr:uid="{077BEB0B-1246-4F1A-A18E-6DCF38055DA8}">
      <text>
        <r>
          <rPr>
            <b/>
            <sz val="9"/>
            <color indexed="81"/>
            <rFont val="Tahoma"/>
            <family val="2"/>
          </rPr>
          <t>07/01/2022</t>
        </r>
      </text>
    </comment>
    <comment ref="E164" authorId="0" shapeId="0" xr:uid="{DEE7F730-804B-40F8-8EE6-8491AF71FB5D}">
      <text>
        <r>
          <rPr>
            <b/>
            <sz val="9"/>
            <color indexed="81"/>
            <rFont val="Tahoma"/>
            <family val="2"/>
          </rPr>
          <t>08/02/2024 y 09/02/2024</t>
        </r>
      </text>
    </comment>
    <comment ref="U164" authorId="0" shapeId="0" xr:uid="{DE1D7CEF-60B9-4B67-85BE-635493965E92}">
      <text>
        <r>
          <rPr>
            <b/>
            <sz val="9"/>
            <color indexed="81"/>
            <rFont val="Tahoma"/>
            <family val="2"/>
          </rPr>
          <t>09/04/2021</t>
        </r>
      </text>
    </comment>
    <comment ref="AF164" authorId="0" shapeId="0" xr:uid="{B4079902-16F4-4392-B0E7-7F3996C3A4BC}">
      <text>
        <r>
          <rPr>
            <b/>
            <sz val="9"/>
            <color indexed="81"/>
            <rFont val="Tahoma"/>
            <family val="2"/>
          </rPr>
          <t>22/02/2022</t>
        </r>
      </text>
    </comment>
    <comment ref="AP164" authorId="0" shapeId="0" xr:uid="{2D7EA027-1140-409F-B662-807C8102C2FF}">
      <text>
        <r>
          <rPr>
            <b/>
            <sz val="9"/>
            <color indexed="81"/>
            <rFont val="Tahoma"/>
            <family val="2"/>
          </rPr>
          <t>20/04/2022</t>
        </r>
      </text>
    </comment>
    <comment ref="BY164" authorId="0" shapeId="0" xr:uid="{79105511-5930-49A9-B079-B618C15A8546}">
      <text>
        <r>
          <rPr>
            <b/>
            <sz val="9"/>
            <color indexed="81"/>
            <rFont val="Tahoma"/>
            <family val="2"/>
          </rPr>
          <t>21/02/2022</t>
        </r>
      </text>
    </comment>
    <comment ref="CY164" authorId="0" shapeId="0" xr:uid="{147A6C69-9F2F-4AB6-B0D4-A2769DF8712E}">
      <text>
        <r>
          <rPr>
            <b/>
            <sz val="9"/>
            <color indexed="81"/>
            <rFont val="Tahoma"/>
            <family val="2"/>
          </rPr>
          <t>23/03/2022</t>
        </r>
      </text>
    </comment>
    <comment ref="DI164" authorId="0" shapeId="0" xr:uid="{627AAB04-7A12-4E9D-91ED-D34AD298EDCB}">
      <text>
        <r>
          <rPr>
            <b/>
            <sz val="9"/>
            <color indexed="81"/>
            <rFont val="Tahoma"/>
            <family val="2"/>
          </rPr>
          <t>22/03/2022</t>
        </r>
      </text>
    </comment>
    <comment ref="DN164" authorId="0" shapeId="0" xr:uid="{43931412-B6D0-4CF9-8867-4C765236CBED}">
      <text>
        <r>
          <rPr>
            <b/>
            <sz val="9"/>
            <color indexed="81"/>
            <rFont val="Tahoma"/>
            <family val="2"/>
          </rPr>
          <t>18/04/2022</t>
        </r>
      </text>
    </comment>
    <comment ref="FI164" authorId="0" shapeId="0" xr:uid="{BFFF3ADB-232F-48E6-B45A-720465124511}">
      <text>
        <r>
          <rPr>
            <b/>
            <sz val="9"/>
            <color indexed="81"/>
            <rFont val="Tahoma"/>
            <family val="2"/>
          </rPr>
          <t>24/02/2022</t>
        </r>
      </text>
    </comment>
    <comment ref="AK165" authorId="0" shapeId="0" xr:uid="{DF21AE9E-F086-4AA2-9950-8B7610B3B05F}">
      <text>
        <r>
          <rPr>
            <b/>
            <sz val="9"/>
            <color indexed="81"/>
            <rFont val="Tahoma"/>
            <family val="2"/>
          </rPr>
          <t>14/03/2022</t>
        </r>
      </text>
    </comment>
    <comment ref="AP165" authorId="0" shapeId="0" xr:uid="{4369C9AA-B1D4-45E2-94B1-61D95E016CA1}">
      <text>
        <r>
          <rPr>
            <b/>
            <sz val="9"/>
            <color indexed="81"/>
            <rFont val="Tahoma"/>
            <family val="2"/>
          </rPr>
          <t>09/03/2022</t>
        </r>
      </text>
    </comment>
    <comment ref="AZ165" authorId="0" shapeId="0" xr:uid="{8A07ACB7-1D92-433C-B69E-29E1CC9D0845}">
      <text>
        <r>
          <rPr>
            <b/>
            <sz val="9"/>
            <color indexed="81"/>
            <rFont val="Tahoma"/>
            <family val="2"/>
          </rPr>
          <t>20/06/2022</t>
        </r>
      </text>
    </comment>
    <comment ref="BJ165" authorId="0" shapeId="0" xr:uid="{C178E6A6-4A38-4671-9B12-80FD0DFF9E43}">
      <text>
        <r>
          <rPr>
            <b/>
            <sz val="9"/>
            <color indexed="81"/>
            <rFont val="Tahoma"/>
            <family val="2"/>
          </rPr>
          <t>08/06/2022</t>
        </r>
      </text>
    </comment>
    <comment ref="CJ165" authorId="0" shapeId="0" xr:uid="{2CFDE625-5115-48AC-B61C-DFFBADDEE07D}">
      <text>
        <r>
          <rPr>
            <b/>
            <sz val="9"/>
            <color indexed="81"/>
            <rFont val="Tahoma"/>
            <family val="2"/>
          </rPr>
          <t>03/01/2022</t>
        </r>
      </text>
    </comment>
    <comment ref="CO165" authorId="0" shapeId="0" xr:uid="{8DFC0558-BA7B-4E6B-B289-5468F46F9A98}">
      <text>
        <r>
          <rPr>
            <b/>
            <sz val="9"/>
            <color indexed="81"/>
            <rFont val="Tahoma"/>
            <family val="2"/>
          </rPr>
          <t>12/05/2022</t>
        </r>
      </text>
    </comment>
    <comment ref="DI165" authorId="0" shapeId="0" xr:uid="{48B779E1-57C6-4391-BCD6-BD8F7FEB2D0F}">
      <text>
        <r>
          <rPr>
            <b/>
            <sz val="9"/>
            <color indexed="81"/>
            <rFont val="Tahoma"/>
            <family val="2"/>
          </rPr>
          <t>17/05/2022</t>
        </r>
      </text>
    </comment>
    <comment ref="EH165" authorId="1" shapeId="0" xr:uid="{20E9CAF8-F3A0-4965-98EC-1459E3F59C56}">
      <text>
        <r>
          <rPr>
            <b/>
            <sz val="9"/>
            <color indexed="81"/>
            <rFont val="Tahoma"/>
            <family val="2"/>
          </rPr>
          <t>Candelaria Yesenia Balcazar Hernandez:</t>
        </r>
        <r>
          <rPr>
            <sz val="9"/>
            <color indexed="81"/>
            <rFont val="Tahoma"/>
            <family val="2"/>
          </rPr>
          <t xml:space="preserve">
12/05/2022
</t>
        </r>
      </text>
    </comment>
    <comment ref="ET165" authorId="0" shapeId="0" xr:uid="{6BDF89F1-C283-49C6-99B2-5B1F6EA7512C}">
      <text>
        <r>
          <rPr>
            <b/>
            <sz val="9"/>
            <color indexed="81"/>
            <rFont val="Tahoma"/>
            <family val="2"/>
          </rPr>
          <t>20/06/2022</t>
        </r>
      </text>
    </comment>
    <comment ref="GM165" authorId="0" shapeId="0" xr:uid="{2635BFE0-6490-4633-8A64-F6DAC99FA286}">
      <text>
        <r>
          <rPr>
            <b/>
            <sz val="9"/>
            <color indexed="81"/>
            <rFont val="Tahoma"/>
            <family val="2"/>
          </rPr>
          <t>05/01/2022</t>
        </r>
      </text>
    </comment>
    <comment ref="DD166" authorId="0" shapeId="0" xr:uid="{EAF188FA-43AF-4AF7-9E72-E697AF3AFF74}">
      <text>
        <r>
          <rPr>
            <b/>
            <sz val="9"/>
            <color indexed="81"/>
            <rFont val="Tahoma"/>
            <family val="2"/>
          </rPr>
          <t>25/08/2022</t>
        </r>
      </text>
    </comment>
    <comment ref="AF167" authorId="0" shapeId="0" xr:uid="{F7E662AD-EB19-474B-82BC-618458F51C24}">
      <text>
        <r>
          <rPr>
            <b/>
            <sz val="9"/>
            <color indexed="81"/>
            <rFont val="Tahoma"/>
            <family val="2"/>
          </rPr>
          <t>22/02/2022</t>
        </r>
      </text>
    </comment>
    <comment ref="AP169" authorId="0" shapeId="0" xr:uid="{136DEC83-3A96-4771-ADBE-B4E987E1C51B}">
      <text>
        <r>
          <rPr>
            <b/>
            <sz val="9"/>
            <color indexed="81"/>
            <rFont val="Tahoma"/>
            <family val="2"/>
          </rPr>
          <t>29/04/2022</t>
        </r>
      </text>
    </comment>
    <comment ref="AU169" authorId="0" shapeId="0" xr:uid="{2270B0ED-0DD0-47AE-86A1-8399E09DB5DC}">
      <text>
        <r>
          <rPr>
            <b/>
            <sz val="9"/>
            <color indexed="81"/>
            <rFont val="Tahoma"/>
            <family val="2"/>
          </rPr>
          <t>29/04/2022</t>
        </r>
      </text>
    </comment>
    <comment ref="AZ169" authorId="0" shapeId="0" xr:uid="{147491A9-76FF-4012-B80B-9F7CE51DA5A3}">
      <text>
        <r>
          <rPr>
            <b/>
            <sz val="9"/>
            <color indexed="81"/>
            <rFont val="Tahoma"/>
            <family val="2"/>
          </rPr>
          <t>01/06/2022</t>
        </r>
      </text>
    </comment>
    <comment ref="BE169" authorId="0" shapeId="0" xr:uid="{E425F0E1-B320-4A3E-A654-AC8306B967C2}">
      <text>
        <r>
          <rPr>
            <b/>
            <sz val="9"/>
            <color indexed="81"/>
            <rFont val="Tahoma"/>
            <family val="2"/>
          </rPr>
          <t>02/06/2022</t>
        </r>
      </text>
    </comment>
    <comment ref="DI169" authorId="0" shapeId="0" xr:uid="{6D3E37CA-FA38-43EA-832D-7391DA934540}">
      <text>
        <r>
          <rPr>
            <b/>
            <sz val="9"/>
            <color indexed="81"/>
            <rFont val="Tahoma"/>
            <family val="2"/>
          </rPr>
          <t>30/04/2022</t>
        </r>
      </text>
    </comment>
    <comment ref="AK171" authorId="0" shapeId="0" xr:uid="{AE3850E2-060D-4175-A9D6-54C19B16A891}">
      <text>
        <r>
          <rPr>
            <b/>
            <sz val="9"/>
            <color indexed="81"/>
            <rFont val="Tahoma"/>
            <family val="2"/>
          </rPr>
          <t>26/12/2023</t>
        </r>
      </text>
    </comment>
    <comment ref="J172" authorId="0" shapeId="0" xr:uid="{8B5B6517-398A-4FE9-99A0-6F8D03AC4CB2}">
      <text>
        <r>
          <rPr>
            <sz val="9"/>
            <color indexed="81"/>
            <rFont val="Tahoma"/>
            <family val="2"/>
          </rPr>
          <t xml:space="preserve">1ra - 07/12/2021
2da - 28/06/2022
3ra - 28/12/2022
4ta - 28/06/2023
5ta - 28/12/2023
6ta - 28/06/2024
7ma - 28/12/2024
8va - 28/06/2025
9na- 28/12/2025
10ma - 28/02/2026
</t>
        </r>
      </text>
    </comment>
    <comment ref="AU172" authorId="0" shapeId="0" xr:uid="{5AA8EBF7-3B36-497A-BE32-2C91D33EA639}">
      <text>
        <r>
          <rPr>
            <b/>
            <sz val="9"/>
            <color indexed="81"/>
            <rFont val="Tahoma"/>
            <family val="2"/>
          </rPr>
          <t>20/05/2022</t>
        </r>
      </text>
    </comment>
    <comment ref="AZ172" authorId="0" shapeId="0" xr:uid="{FE875F84-D127-4967-825A-D786117EF5AE}">
      <text>
        <r>
          <rPr>
            <b/>
            <sz val="9"/>
            <color indexed="81"/>
            <rFont val="Tahoma"/>
            <family val="2"/>
          </rPr>
          <t>06/06/2022</t>
        </r>
      </text>
    </comment>
    <comment ref="BE172" authorId="0" shapeId="0" xr:uid="{13E9D6A6-D823-41F8-B82C-A1D1F0169537}">
      <text>
        <r>
          <rPr>
            <b/>
            <sz val="9"/>
            <color indexed="81"/>
            <rFont val="Tahoma"/>
            <family val="2"/>
          </rPr>
          <t>07/06/2022</t>
        </r>
      </text>
    </comment>
    <comment ref="BJ172" authorId="0" shapeId="0" xr:uid="{D99B4944-FE36-47CB-8A63-5A1BEB4E2874}">
      <text>
        <r>
          <rPr>
            <b/>
            <sz val="9"/>
            <color indexed="81"/>
            <rFont val="Tahoma"/>
            <family val="2"/>
          </rPr>
          <t>10/06/2022</t>
        </r>
      </text>
    </comment>
    <comment ref="DI172" authorId="0" shapeId="0" xr:uid="{1B2EDFDF-0AE5-4756-9BA4-F328E79ED94D}">
      <text>
        <r>
          <rPr>
            <b/>
            <sz val="9"/>
            <color indexed="81"/>
            <rFont val="Tahoma"/>
            <family val="2"/>
          </rPr>
          <t>21/05/2022</t>
        </r>
      </text>
    </comment>
    <comment ref="DN172" authorId="0" shapeId="0" xr:uid="{D365B5CB-84C8-49C1-849A-374FAFD51C42}">
      <text>
        <r>
          <rPr>
            <b/>
            <sz val="9"/>
            <color indexed="81"/>
            <rFont val="Tahoma"/>
            <family val="2"/>
          </rPr>
          <t>16/05/2022</t>
        </r>
      </text>
    </comment>
    <comment ref="EY172" authorId="0" shapeId="0" xr:uid="{B5CBF7F8-F800-4F8B-97D8-BB92D49C4AD4}">
      <text>
        <r>
          <rPr>
            <b/>
            <sz val="9"/>
            <color indexed="81"/>
            <rFont val="Tahoma"/>
            <family val="2"/>
          </rPr>
          <t>10/03/2022</t>
        </r>
      </text>
    </comment>
    <comment ref="FI172" authorId="0" shapeId="0" xr:uid="{84C8C2F8-E4AD-4CC0-AEFD-BB8ABD6F3F0A}">
      <text>
        <r>
          <rPr>
            <b/>
            <sz val="9"/>
            <color indexed="81"/>
            <rFont val="Tahoma"/>
            <family val="2"/>
          </rPr>
          <t>11/03/2022</t>
        </r>
      </text>
    </comment>
    <comment ref="FX172" authorId="0" shapeId="0" xr:uid="{6AE2875C-3058-4589-9F78-A98B2BF0087A}">
      <text>
        <r>
          <rPr>
            <b/>
            <sz val="9"/>
            <color indexed="81"/>
            <rFont val="Tahoma"/>
            <family val="2"/>
          </rPr>
          <t>10/03/2022</t>
        </r>
      </text>
    </comment>
    <comment ref="GC172" authorId="0" shapeId="0" xr:uid="{FE61081F-463E-4954-87CF-2279BD6F413B}">
      <text>
        <r>
          <rPr>
            <b/>
            <sz val="9"/>
            <color indexed="81"/>
            <rFont val="Tahoma"/>
            <family val="2"/>
          </rPr>
          <t>11/06/2022</t>
        </r>
      </text>
    </comment>
    <comment ref="AK173" authorId="0" shapeId="0" xr:uid="{A43D7C87-F094-487C-9260-1F98D1E5F92C}">
      <text>
        <r>
          <rPr>
            <b/>
            <sz val="9"/>
            <color indexed="81"/>
            <rFont val="Tahoma"/>
            <family val="2"/>
          </rPr>
          <t>02/02/2022</t>
        </r>
      </text>
    </comment>
    <comment ref="AP173" authorId="0" shapeId="0" xr:uid="{E41D3DD3-7156-42D9-A96A-0B3B6E7D4ACD}">
      <text>
        <r>
          <rPr>
            <b/>
            <sz val="9"/>
            <color indexed="81"/>
            <rFont val="Tahoma"/>
            <family val="2"/>
          </rPr>
          <t>08/03/2022</t>
        </r>
      </text>
    </comment>
    <comment ref="AU173" authorId="0" shapeId="0" xr:uid="{2465BFFD-06CD-43B6-98FB-CBD8180079C8}">
      <text>
        <r>
          <rPr>
            <b/>
            <sz val="9"/>
            <color indexed="81"/>
            <rFont val="Tahoma"/>
            <family val="2"/>
          </rPr>
          <t>08/04/2022</t>
        </r>
      </text>
    </comment>
    <comment ref="BJ173" authorId="0" shapeId="0" xr:uid="{15729CDF-4AF1-4F05-A8CA-BD2D05C35718}">
      <text>
        <r>
          <rPr>
            <b/>
            <sz val="9"/>
            <color indexed="81"/>
            <rFont val="Tahoma"/>
            <family val="2"/>
          </rPr>
          <t>07/06/2022</t>
        </r>
      </text>
    </comment>
    <comment ref="BY173" authorId="0" shapeId="0" xr:uid="{0F3A4208-831E-4C61-B737-5B67B2A7FE2D}">
      <text>
        <r>
          <rPr>
            <b/>
            <sz val="9"/>
            <color indexed="81"/>
            <rFont val="Tahoma"/>
            <family val="2"/>
          </rPr>
          <t>02/02/2022</t>
        </r>
      </text>
    </comment>
    <comment ref="CY173" authorId="1" shapeId="0" xr:uid="{02A26A3E-87D2-476D-9122-5A7F41CD877A}">
      <text>
        <r>
          <rPr>
            <b/>
            <sz val="9"/>
            <color indexed="81"/>
            <rFont val="Tahoma"/>
            <family val="2"/>
          </rPr>
          <t>Candelaria Yesenia Balcazar Hernandez:</t>
        </r>
        <r>
          <rPr>
            <sz val="9"/>
            <color indexed="81"/>
            <rFont val="Tahoma"/>
            <family val="2"/>
          </rPr>
          <t xml:space="preserve">
08/08/2022</t>
        </r>
      </text>
    </comment>
    <comment ref="DN173" authorId="0" shapeId="0" xr:uid="{8BCEC8E1-C604-41C9-8D77-4899727E3323}">
      <text>
        <r>
          <rPr>
            <b/>
            <sz val="9"/>
            <color indexed="81"/>
            <rFont val="Tahoma"/>
            <family val="2"/>
          </rPr>
          <t>21/02/2022</t>
        </r>
      </text>
    </comment>
    <comment ref="EH173" authorId="1" shapeId="0" xr:uid="{42E22759-EA5B-4A5B-8C7B-4889DD59CF3A}">
      <text>
        <r>
          <rPr>
            <b/>
            <sz val="9"/>
            <color indexed="81"/>
            <rFont val="Tahoma"/>
            <family val="2"/>
          </rPr>
          <t>Candelaria Yesenia Balcazar Hernandez:</t>
        </r>
        <r>
          <rPr>
            <sz val="9"/>
            <color indexed="81"/>
            <rFont val="Tahoma"/>
            <family val="2"/>
          </rPr>
          <t xml:space="preserve">
06/04/2023</t>
        </r>
      </text>
    </comment>
    <comment ref="ET173" authorId="0" shapeId="0" xr:uid="{2DC47550-1653-410D-AE0A-004BE02C68ED}">
      <text>
        <r>
          <rPr>
            <b/>
            <sz val="9"/>
            <color indexed="81"/>
            <rFont val="Tahoma"/>
            <family val="2"/>
          </rPr>
          <t>20/06/2022</t>
        </r>
      </text>
    </comment>
    <comment ref="EY173" authorId="0" shapeId="0" xr:uid="{6ACE796F-F1FD-4F09-9E15-27FAF1E99335}">
      <text>
        <r>
          <rPr>
            <b/>
            <sz val="9"/>
            <color indexed="81"/>
            <rFont val="Tahoma"/>
            <family val="2"/>
          </rPr>
          <t>03/02/2022</t>
        </r>
      </text>
    </comment>
    <comment ref="FD173" authorId="0" shapeId="0" xr:uid="{3687E0AD-5DC2-4E9B-864A-6962D45780D5}">
      <text>
        <r>
          <rPr>
            <b/>
            <sz val="9"/>
            <color indexed="81"/>
            <rFont val="Tahoma"/>
            <family val="2"/>
          </rPr>
          <t>03/02/2022</t>
        </r>
      </text>
    </comment>
    <comment ref="FI173" authorId="0" shapeId="0" xr:uid="{7FF15A2A-1542-4BC3-8F75-38AD523E2251}">
      <text>
        <r>
          <rPr>
            <b/>
            <sz val="9"/>
            <color indexed="81"/>
            <rFont val="Tahoma"/>
            <family val="2"/>
          </rPr>
          <t>04/02/2022</t>
        </r>
      </text>
    </comment>
    <comment ref="GM173" authorId="0" shapeId="0" xr:uid="{42495463-DE04-4C44-9334-E4CEC21DD89F}">
      <text>
        <r>
          <rPr>
            <b/>
            <sz val="9"/>
            <color indexed="81"/>
            <rFont val="Tahoma"/>
            <family val="2"/>
          </rPr>
          <t>04/01/2022</t>
        </r>
      </text>
    </comment>
    <comment ref="U177" authorId="0" shapeId="0" xr:uid="{3771C525-06CC-4AA1-A23F-BB454B4F741D}">
      <text>
        <r>
          <rPr>
            <b/>
            <sz val="9"/>
            <color indexed="81"/>
            <rFont val="Tahoma"/>
            <family val="2"/>
          </rPr>
          <t>Christian Sánchez:</t>
        </r>
        <r>
          <rPr>
            <sz val="9"/>
            <color indexed="81"/>
            <rFont val="Tahoma"/>
            <family val="2"/>
          </rPr>
          <t xml:space="preserve">
ANTERIOR 
26 OCTUBRE 2018</t>
        </r>
      </text>
    </comment>
    <comment ref="AP177" authorId="0" shapeId="0" xr:uid="{EE3B5A1C-EA8D-4073-A18B-960B59B03ACB}">
      <text>
        <r>
          <rPr>
            <b/>
            <sz val="9"/>
            <color indexed="81"/>
            <rFont val="Tahoma"/>
            <family val="2"/>
          </rPr>
          <t>14/03/2022</t>
        </r>
      </text>
    </comment>
    <comment ref="AU177" authorId="0" shapeId="0" xr:uid="{DB84F7DC-DFD9-4329-AE4E-7968B465465A}">
      <text>
        <r>
          <rPr>
            <b/>
            <sz val="9"/>
            <color indexed="81"/>
            <rFont val="Tahoma"/>
            <family val="2"/>
          </rPr>
          <t>13/04/2022</t>
        </r>
      </text>
    </comment>
    <comment ref="BE177" authorId="0" shapeId="0" xr:uid="{15B643CC-3207-4A73-BAD3-5CA413F6A47B}">
      <text>
        <r>
          <rPr>
            <b/>
            <sz val="9"/>
            <color indexed="81"/>
            <rFont val="Tahoma"/>
            <family val="2"/>
          </rPr>
          <t>12/05/2022</t>
        </r>
      </text>
    </comment>
    <comment ref="BT177" authorId="0" shapeId="0" xr:uid="{BF388021-72D3-48BE-A987-52E5A9B0434D}">
      <text>
        <r>
          <rPr>
            <b/>
            <sz val="9"/>
            <color indexed="81"/>
            <rFont val="Tahoma"/>
            <family val="2"/>
          </rPr>
          <t>12/02/2022</t>
        </r>
      </text>
    </comment>
    <comment ref="CJ177" authorId="0" shapeId="0" xr:uid="{533AA963-93AE-4FDF-9D92-7335DF054154}">
      <text>
        <r>
          <rPr>
            <b/>
            <sz val="9"/>
            <color indexed="81"/>
            <rFont val="Tahoma"/>
            <family val="2"/>
          </rPr>
          <t>12/01/2022</t>
        </r>
      </text>
    </comment>
    <comment ref="CO177" authorId="0" shapeId="0" xr:uid="{BB240E23-9CB8-4F03-A92D-1492B73511AC}">
      <text>
        <r>
          <rPr>
            <b/>
            <sz val="9"/>
            <color indexed="81"/>
            <rFont val="Tahoma"/>
            <family val="2"/>
          </rPr>
          <t>13/01/2022</t>
        </r>
      </text>
    </comment>
    <comment ref="CY177" authorId="1" shapeId="0" xr:uid="{53E5D016-2E78-423D-A00B-BCDB35BF2860}">
      <text>
        <r>
          <rPr>
            <b/>
            <sz val="9"/>
            <color indexed="81"/>
            <rFont val="Tahoma"/>
            <family val="2"/>
          </rPr>
          <t>Candelaria Yesenia Balcazar Hernandez:</t>
        </r>
        <r>
          <rPr>
            <sz val="9"/>
            <color indexed="81"/>
            <rFont val="Tahoma"/>
            <family val="2"/>
          </rPr>
          <t xml:space="preserve">
10/02/2022</t>
        </r>
      </text>
    </comment>
    <comment ref="DI177" authorId="0" shapeId="0" xr:uid="{E891C3BC-12A9-4FF2-9EE6-27FD914D544A}">
      <text>
        <r>
          <rPr>
            <b/>
            <sz val="9"/>
            <color indexed="81"/>
            <rFont val="Tahoma"/>
            <family val="2"/>
          </rPr>
          <t>19/02/2022</t>
        </r>
      </text>
    </comment>
    <comment ref="DN177" authorId="0" shapeId="0" xr:uid="{1EAD93AA-1E1A-42B8-B7D0-BB7866470048}">
      <text>
        <r>
          <rPr>
            <b/>
            <sz val="9"/>
            <color indexed="81"/>
            <rFont val="Tahoma"/>
            <family val="2"/>
          </rPr>
          <t>10/05/2022</t>
        </r>
      </text>
    </comment>
    <comment ref="DS177" authorId="0" shapeId="0" xr:uid="{5DCF00F2-10DA-48B0-802B-8F1F6C666773}">
      <text>
        <r>
          <rPr>
            <b/>
            <sz val="9"/>
            <color indexed="81"/>
            <rFont val="Tahoma"/>
            <family val="2"/>
          </rPr>
          <t>10/01/2022</t>
        </r>
      </text>
    </comment>
    <comment ref="DX177" authorId="0" shapeId="0" xr:uid="{438F0D2F-DC61-4B95-B2E3-397FB2212B6E}">
      <text>
        <r>
          <rPr>
            <b/>
            <sz val="9"/>
            <color indexed="81"/>
            <rFont val="Tahoma"/>
            <family val="2"/>
          </rPr>
          <t>10/02/2022</t>
        </r>
      </text>
    </comment>
    <comment ref="EC177" authorId="0" shapeId="0" xr:uid="{4C9FF7C4-0FF6-4982-91BB-DD8C24482BE2}">
      <text>
        <r>
          <rPr>
            <b/>
            <sz val="9"/>
            <color indexed="81"/>
            <rFont val="Tahoma"/>
            <family val="2"/>
          </rPr>
          <t>11/02/2022</t>
        </r>
      </text>
    </comment>
    <comment ref="EY177" authorId="0" shapeId="0" xr:uid="{A8AD287C-E33F-4E6E-B9C5-D8E59CF335D6}">
      <text>
        <r>
          <rPr>
            <b/>
            <sz val="9"/>
            <color indexed="81"/>
            <rFont val="Tahoma"/>
            <family val="2"/>
          </rPr>
          <t>24/03/2022</t>
        </r>
      </text>
    </comment>
    <comment ref="FD177" authorId="0" shapeId="0" xr:uid="{ED206638-7F9D-4102-93CF-2FB5F622CADA}">
      <text>
        <r>
          <rPr>
            <b/>
            <sz val="9"/>
            <color indexed="81"/>
            <rFont val="Tahoma"/>
            <family val="2"/>
          </rPr>
          <t>24/03/2022</t>
        </r>
      </text>
    </comment>
    <comment ref="FI177" authorId="0" shapeId="0" xr:uid="{B2C1B055-947D-4AD9-9625-C862B8272CF8}">
      <text>
        <r>
          <rPr>
            <b/>
            <sz val="9"/>
            <color indexed="81"/>
            <rFont val="Tahoma"/>
            <family val="2"/>
          </rPr>
          <t>25/03/2022</t>
        </r>
      </text>
    </comment>
    <comment ref="FN177" authorId="0" shapeId="0" xr:uid="{77AC5A2A-F3A5-4897-93E3-A8D094DAFB99}">
      <text>
        <r>
          <rPr>
            <b/>
            <sz val="9"/>
            <color indexed="81"/>
            <rFont val="Tahoma"/>
            <family val="2"/>
          </rPr>
          <t>07/0/2022</t>
        </r>
      </text>
    </comment>
    <comment ref="FS177" authorId="0" shapeId="0" xr:uid="{AF95B1FF-A4DE-4BB9-AE06-D3642CAA2887}">
      <text>
        <r>
          <rPr>
            <b/>
            <sz val="9"/>
            <color indexed="81"/>
            <rFont val="Tahoma"/>
            <family val="2"/>
          </rPr>
          <t>18/02/2022</t>
        </r>
      </text>
    </comment>
    <comment ref="FX177" authorId="0" shapeId="0" xr:uid="{39160D2B-BDB4-4D4B-BDA6-2DCAEA69B696}">
      <text>
        <r>
          <rPr>
            <b/>
            <sz val="9"/>
            <color indexed="81"/>
            <rFont val="Tahoma"/>
            <family val="2"/>
          </rPr>
          <t>24/02/2022</t>
        </r>
      </text>
    </comment>
    <comment ref="GC177" authorId="0" shapeId="0" xr:uid="{B534E393-E747-4414-9569-413CE551FA55}">
      <text>
        <r>
          <rPr>
            <b/>
            <sz val="9"/>
            <color indexed="81"/>
            <rFont val="Tahoma"/>
            <family val="2"/>
          </rPr>
          <t>07/02/2022</t>
        </r>
      </text>
    </comment>
    <comment ref="GH177" authorId="0" shapeId="0" xr:uid="{352D7E28-818F-453F-A49D-8096C16FF047}">
      <text>
        <r>
          <rPr>
            <b/>
            <sz val="9"/>
            <color indexed="81"/>
            <rFont val="Tahoma"/>
            <family val="2"/>
          </rPr>
          <t>15/02/2022</t>
        </r>
      </text>
    </comment>
    <comment ref="E178" authorId="0" shapeId="0" xr:uid="{28095129-5166-41C7-AB7B-9E8C57386594}">
      <text>
        <r>
          <rPr>
            <b/>
            <sz val="9"/>
            <color indexed="81"/>
            <rFont val="Tahoma"/>
            <family val="2"/>
          </rPr>
          <t>08/02/2024 y 09/02/2024</t>
        </r>
      </text>
    </comment>
    <comment ref="AF178" authorId="0" shapeId="0" xr:uid="{79EC4F3E-82DB-473D-9F85-D86FA877BB6C}">
      <text>
        <r>
          <rPr>
            <b/>
            <sz val="9"/>
            <color indexed="81"/>
            <rFont val="Tahoma"/>
            <family val="2"/>
          </rPr>
          <t>01/02/2022</t>
        </r>
      </text>
    </comment>
    <comment ref="CT178" authorId="0" shapeId="0" xr:uid="{3AD52D46-A2E9-452C-BF2C-96F3D3B45CFF}">
      <text>
        <r>
          <rPr>
            <b/>
            <sz val="9"/>
            <color indexed="81"/>
            <rFont val="Tahoma"/>
            <family val="2"/>
          </rPr>
          <t>19/04/2022</t>
        </r>
      </text>
    </comment>
    <comment ref="DN178" authorId="0" shapeId="0" xr:uid="{B43FE020-C712-4023-8BE4-9A83337C3134}">
      <text>
        <r>
          <rPr>
            <b/>
            <sz val="9"/>
            <color indexed="81"/>
            <rFont val="Tahoma"/>
            <family val="2"/>
          </rPr>
          <t>18/04/2022</t>
        </r>
      </text>
    </comment>
    <comment ref="AK180" authorId="0" shapeId="0" xr:uid="{2A7E6573-3404-402D-8376-53775C640C69}">
      <text>
        <r>
          <rPr>
            <b/>
            <sz val="9"/>
            <color indexed="81"/>
            <rFont val="Tahoma"/>
            <family val="2"/>
          </rPr>
          <t>21/02/2022</t>
        </r>
      </text>
    </comment>
    <comment ref="AP180" authorId="0" shapeId="0" xr:uid="{4F7DB5A3-2E6A-460A-B0FF-497C041C763F}">
      <text>
        <r>
          <rPr>
            <b/>
            <sz val="9"/>
            <color indexed="81"/>
            <rFont val="Tahoma"/>
            <family val="2"/>
          </rPr>
          <t>15/03/2022</t>
        </r>
      </text>
    </comment>
    <comment ref="AU180" authorId="0" shapeId="0" xr:uid="{D7F63059-3107-4CC1-BFB0-8B3236EBAEF4}">
      <text>
        <r>
          <rPr>
            <b/>
            <sz val="9"/>
            <color indexed="81"/>
            <rFont val="Tahoma"/>
            <family val="2"/>
          </rPr>
          <t>14/04/2022</t>
        </r>
      </text>
    </comment>
    <comment ref="AZ180" authorId="1" shapeId="0" xr:uid="{756722E8-AD7B-46B2-BA85-61F40414D146}">
      <text>
        <r>
          <rPr>
            <b/>
            <sz val="9"/>
            <color indexed="81"/>
            <rFont val="Tahoma"/>
            <family val="2"/>
          </rPr>
          <t>Candelaria Yesenia Balcazar Hernandez:</t>
        </r>
        <r>
          <rPr>
            <sz val="9"/>
            <color indexed="81"/>
            <rFont val="Tahoma"/>
            <family val="2"/>
          </rPr>
          <t xml:space="preserve">
29/11/22
</t>
        </r>
      </text>
    </comment>
    <comment ref="BE180" authorId="0" shapeId="0" xr:uid="{9BB61B81-C662-46CB-B022-8E14FA2CA63C}">
      <text>
        <r>
          <rPr>
            <b/>
            <sz val="9"/>
            <color indexed="81"/>
            <rFont val="Tahoma"/>
            <family val="2"/>
          </rPr>
          <t>07/05/2022</t>
        </r>
      </text>
    </comment>
    <comment ref="BJ180" authorId="0" shapeId="0" xr:uid="{FD26931A-2C2D-48A0-87BB-F8B32B3F76AA}">
      <text>
        <r>
          <rPr>
            <b/>
            <sz val="9"/>
            <color indexed="81"/>
            <rFont val="Tahoma"/>
            <family val="2"/>
          </rPr>
          <t>13/06/2022</t>
        </r>
      </text>
    </comment>
    <comment ref="DX180" authorId="1" shapeId="0" xr:uid="{6F4A7EBD-65D0-4162-8F76-807DD19E66C6}">
      <text>
        <r>
          <rPr>
            <b/>
            <sz val="9"/>
            <color indexed="81"/>
            <rFont val="Tahoma"/>
            <family val="2"/>
          </rPr>
          <t>Candelaria Yesenia Balcazar Hernandez:</t>
        </r>
        <r>
          <rPr>
            <sz val="9"/>
            <color indexed="81"/>
            <rFont val="Tahoma"/>
            <family val="2"/>
          </rPr>
          <t xml:space="preserve">
09/07/2021</t>
        </r>
      </text>
    </comment>
    <comment ref="EH180" authorId="1" shapeId="0" xr:uid="{00DEEF69-356C-4FB3-9B19-AD62B1D8BC09}">
      <text>
        <r>
          <rPr>
            <b/>
            <sz val="9"/>
            <color indexed="81"/>
            <rFont val="Tahoma"/>
            <family val="2"/>
          </rPr>
          <t>Candelaria Yesenia Balcazar Hernandez:</t>
        </r>
        <r>
          <rPr>
            <sz val="9"/>
            <color indexed="81"/>
            <rFont val="Tahoma"/>
            <family val="2"/>
          </rPr>
          <t xml:space="preserve">
02/05/2023</t>
        </r>
      </text>
    </comment>
    <comment ref="EO180" authorId="1" shapeId="0" xr:uid="{50F651EB-980E-47D7-8BF5-4C605FA951D3}">
      <text>
        <r>
          <rPr>
            <b/>
            <sz val="9"/>
            <color indexed="81"/>
            <rFont val="Tahoma"/>
            <family val="2"/>
          </rPr>
          <t>Candelaria Yesenia Balcazar Hernandez:</t>
        </r>
        <r>
          <rPr>
            <sz val="9"/>
            <color indexed="81"/>
            <rFont val="Tahoma"/>
            <family val="2"/>
          </rPr>
          <t xml:space="preserve">
10/07/2021
</t>
        </r>
      </text>
    </comment>
    <comment ref="FI180" authorId="0" shapeId="0" xr:uid="{31646FE6-A088-4864-A082-1D3AD53D2740}">
      <text>
        <r>
          <rPr>
            <b/>
            <sz val="9"/>
            <color indexed="81"/>
            <rFont val="Tahoma"/>
            <family val="2"/>
          </rPr>
          <t>24/02/2022</t>
        </r>
      </text>
    </comment>
    <comment ref="FX180" authorId="0" shapeId="0" xr:uid="{B78F5459-759B-4F5E-AF5B-5B0470C4548D}">
      <text>
        <r>
          <rPr>
            <b/>
            <sz val="9"/>
            <color indexed="81"/>
            <rFont val="Tahoma"/>
            <family val="2"/>
          </rPr>
          <t>24/02/2022</t>
        </r>
      </text>
    </comment>
    <comment ref="GM180" authorId="0" shapeId="0" xr:uid="{360DEC5D-B4B3-4BA4-9572-D36D18D6B6C7}">
      <text>
        <r>
          <rPr>
            <b/>
            <sz val="9"/>
            <color indexed="81"/>
            <rFont val="Tahoma"/>
            <family val="2"/>
          </rPr>
          <t>10/01/2022</t>
        </r>
      </text>
    </comment>
    <comment ref="AF181" authorId="0" shapeId="0" xr:uid="{5F89919E-14DB-4DEF-B5D1-EECCF14B0951}">
      <text>
        <r>
          <rPr>
            <b/>
            <sz val="9"/>
            <color indexed="81"/>
            <rFont val="Tahoma"/>
            <family val="2"/>
          </rPr>
          <t>22/02/2022</t>
        </r>
      </text>
    </comment>
    <comment ref="AZ181" authorId="0" shapeId="0" xr:uid="{D1F263FF-6BC2-4EF0-897F-FD733DEFD624}">
      <text>
        <r>
          <rPr>
            <b/>
            <sz val="9"/>
            <color indexed="81"/>
            <rFont val="Tahoma"/>
            <family val="2"/>
          </rPr>
          <t>20/06/2022</t>
        </r>
      </text>
    </comment>
    <comment ref="BE181" authorId="0" shapeId="0" xr:uid="{0DA53E2F-A180-4FB2-BFF4-0731F7F852E0}">
      <text>
        <r>
          <rPr>
            <b/>
            <sz val="9"/>
            <color indexed="81"/>
            <rFont val="Tahoma"/>
            <family val="2"/>
          </rPr>
          <t>22/06/2022</t>
        </r>
      </text>
    </comment>
    <comment ref="CO181" authorId="0" shapeId="0" xr:uid="{E2E6AC7E-882D-401C-8C0C-4A98C84F958E}">
      <text>
        <r>
          <rPr>
            <b/>
            <sz val="9"/>
            <color indexed="81"/>
            <rFont val="Tahoma"/>
            <family val="2"/>
          </rPr>
          <t>18/01/2022</t>
        </r>
      </text>
    </comment>
    <comment ref="DD181" authorId="0" shapeId="0" xr:uid="{603BAB30-5B82-4640-9114-0CCE0DE4ED97}">
      <text>
        <r>
          <rPr>
            <b/>
            <sz val="9"/>
            <color indexed="81"/>
            <rFont val="Tahoma"/>
            <family val="2"/>
          </rPr>
          <t>24/03/2022</t>
        </r>
      </text>
    </comment>
    <comment ref="DI181" authorId="0" shapeId="0" xr:uid="{9E577C07-23D9-4805-82FB-1784F9A9F487}">
      <text>
        <r>
          <rPr>
            <b/>
            <sz val="9"/>
            <color indexed="81"/>
            <rFont val="Tahoma"/>
            <family val="2"/>
          </rPr>
          <t>02/04/2022</t>
        </r>
      </text>
    </comment>
    <comment ref="DN181" authorId="0" shapeId="0" xr:uid="{BF96B4F1-4D55-4A9E-A5E3-C8402551A037}">
      <text>
        <r>
          <rPr>
            <b/>
            <sz val="9"/>
            <color indexed="81"/>
            <rFont val="Tahoma"/>
            <family val="2"/>
          </rPr>
          <t>30/03/2022</t>
        </r>
      </text>
    </comment>
    <comment ref="DX181" authorId="0" shapeId="0" xr:uid="{DB632BF0-6852-48BB-9B83-FB64AFAD813D}">
      <text>
        <r>
          <rPr>
            <b/>
            <sz val="9"/>
            <color indexed="81"/>
            <rFont val="Tahoma"/>
            <family val="2"/>
          </rPr>
          <t>05/02/2022</t>
        </r>
      </text>
    </comment>
    <comment ref="EC181" authorId="0" shapeId="0" xr:uid="{76979A50-F32E-4FE7-909D-37D60A7FC5E5}">
      <text>
        <r>
          <rPr>
            <b/>
            <sz val="9"/>
            <color indexed="81"/>
            <rFont val="Tahoma"/>
            <family val="2"/>
          </rPr>
          <t>05/02/2022</t>
        </r>
      </text>
    </comment>
    <comment ref="EH181" authorId="0" shapeId="0" xr:uid="{273BD143-A066-4950-AA8B-7DF8CD6E27A1}">
      <text>
        <r>
          <rPr>
            <b/>
            <sz val="9"/>
            <color indexed="81"/>
            <rFont val="Tahoma"/>
            <family val="2"/>
          </rPr>
          <t>11/01/2022</t>
        </r>
      </text>
    </comment>
    <comment ref="ET181" authorId="0" shapeId="0" xr:uid="{D1F6AE0B-8571-4F22-92CF-EF66925FF346}">
      <text>
        <r>
          <rPr>
            <b/>
            <sz val="9"/>
            <color indexed="81"/>
            <rFont val="Tahoma"/>
            <family val="2"/>
          </rPr>
          <t>20/06/2022</t>
        </r>
      </text>
    </comment>
    <comment ref="FI181" authorId="0" shapeId="0" xr:uid="{43228697-6039-4A9F-85DD-352295DD99FA}">
      <text>
        <r>
          <rPr>
            <b/>
            <sz val="9"/>
            <color indexed="81"/>
            <rFont val="Tahoma"/>
            <family val="2"/>
          </rPr>
          <t>24/02/2022</t>
        </r>
      </text>
    </comment>
    <comment ref="FS181" authorId="0" shapeId="0" xr:uid="{B3C11B13-4234-44CB-9EAC-6CEBBDA47F29}">
      <text>
        <r>
          <rPr>
            <b/>
            <sz val="9"/>
            <color indexed="81"/>
            <rFont val="Tahoma"/>
            <family val="2"/>
          </rPr>
          <t>18/02/2022</t>
        </r>
      </text>
    </comment>
    <comment ref="GC181" authorId="0" shapeId="0" xr:uid="{67BCF8EC-2757-43E3-BC4F-0F000D5161D4}">
      <text>
        <r>
          <rPr>
            <b/>
            <sz val="9"/>
            <color indexed="81"/>
            <rFont val="Tahoma"/>
            <family val="2"/>
          </rPr>
          <t>23/06/2022</t>
        </r>
      </text>
    </comment>
    <comment ref="GH181" authorId="0" shapeId="0" xr:uid="{74179DD1-C4DE-41CA-BF79-3DB35AE5B0D4}">
      <text>
        <r>
          <rPr>
            <b/>
            <sz val="9"/>
            <color indexed="81"/>
            <rFont val="Tahoma"/>
            <family val="2"/>
          </rPr>
          <t>22/03/2022</t>
        </r>
      </text>
    </comment>
    <comment ref="AP182" authorId="0" shapeId="0" xr:uid="{39F457D1-3EC2-4990-8197-2A74EA8E250F}">
      <text>
        <r>
          <rPr>
            <b/>
            <sz val="9"/>
            <color indexed="81"/>
            <rFont val="Tahoma"/>
            <family val="2"/>
          </rPr>
          <t>08/03/2022</t>
        </r>
      </text>
    </comment>
    <comment ref="AU182" authorId="0" shapeId="0" xr:uid="{1D710257-DD88-4635-B22A-1E9E05C94B9A}">
      <text>
        <r>
          <rPr>
            <b/>
            <sz val="9"/>
            <color indexed="81"/>
            <rFont val="Tahoma"/>
            <family val="2"/>
          </rPr>
          <t>08/04/2022</t>
        </r>
      </text>
    </comment>
    <comment ref="BE182" authorId="0" shapeId="0" xr:uid="{7DF53DC0-33BE-4AB5-BFF1-D5D49402CDD9}">
      <text>
        <r>
          <rPr>
            <b/>
            <sz val="9"/>
            <color indexed="81"/>
            <rFont val="Tahoma"/>
            <family val="2"/>
          </rPr>
          <t>22/06/2022</t>
        </r>
      </text>
    </comment>
    <comment ref="BJ182" authorId="0" shapeId="0" xr:uid="{848010FB-63A6-4236-A038-920F67F1F6CB}">
      <text>
        <r>
          <rPr>
            <b/>
            <sz val="9"/>
            <color indexed="81"/>
            <rFont val="Tahoma"/>
            <family val="2"/>
          </rPr>
          <t>08/06/2022</t>
        </r>
      </text>
    </comment>
    <comment ref="BY182" authorId="0" shapeId="0" xr:uid="{0DF0408B-EE83-4C74-98A1-1ED24FB05C42}">
      <text>
        <r>
          <rPr>
            <b/>
            <sz val="9"/>
            <color indexed="81"/>
            <rFont val="Tahoma"/>
            <family val="2"/>
          </rPr>
          <t>23/03/2022</t>
        </r>
      </text>
    </comment>
    <comment ref="CY182" authorId="1" shapeId="0" xr:uid="{8C8D56F5-EDEC-4FE4-87CC-5205A260A958}">
      <text>
        <r>
          <rPr>
            <b/>
            <sz val="9"/>
            <color indexed="81"/>
            <rFont val="Tahoma"/>
            <family val="2"/>
          </rPr>
          <t>Candelaria Yesenia Balcazar Hernandez:</t>
        </r>
        <r>
          <rPr>
            <sz val="9"/>
            <color indexed="81"/>
            <rFont val="Tahoma"/>
            <family val="2"/>
          </rPr>
          <t xml:space="preserve">
28/07/2022</t>
        </r>
      </text>
    </comment>
    <comment ref="DN182" authorId="0" shapeId="0" xr:uid="{C4423092-D4E3-459C-9B03-3C8D59D2ECDC}">
      <text>
        <r>
          <rPr>
            <b/>
            <sz val="9"/>
            <color indexed="81"/>
            <rFont val="Tahoma"/>
            <family val="2"/>
          </rPr>
          <t>21/02/2022</t>
        </r>
      </text>
    </comment>
    <comment ref="DX182" authorId="1" shapeId="0" xr:uid="{337CC2BC-867E-4468-9E4C-E3825F176630}">
      <text>
        <r>
          <rPr>
            <b/>
            <sz val="9"/>
            <color indexed="81"/>
            <rFont val="Tahoma"/>
            <family val="2"/>
          </rPr>
          <t>Candelaria Yesenia Balcazar Hernandez:</t>
        </r>
        <r>
          <rPr>
            <sz val="9"/>
            <color indexed="81"/>
            <rFont val="Tahoma"/>
            <family val="2"/>
          </rPr>
          <t xml:space="preserve">
09/07/2021</t>
        </r>
      </text>
    </comment>
    <comment ref="EC182" authorId="1" shapeId="0" xr:uid="{E76A1AB5-F8C0-48B7-97C6-E71E4A5CB1E3}">
      <text>
        <r>
          <rPr>
            <b/>
            <sz val="9"/>
            <color indexed="81"/>
            <rFont val="Tahoma"/>
            <family val="2"/>
          </rPr>
          <t>Candelaria Yesenia Balcazar Hernandez:</t>
        </r>
        <r>
          <rPr>
            <sz val="9"/>
            <color indexed="81"/>
            <rFont val="Tahoma"/>
            <family val="2"/>
          </rPr>
          <t xml:space="preserve">
09/07/2021</t>
        </r>
      </text>
    </comment>
    <comment ref="EH182" authorId="1" shapeId="0" xr:uid="{F3193D99-D2BC-4869-83E2-8D36ED215201}">
      <text>
        <r>
          <rPr>
            <b/>
            <sz val="9"/>
            <color indexed="81"/>
            <rFont val="Tahoma"/>
            <family val="2"/>
          </rPr>
          <t>Candelaria Yesenia Balcazar Hernandez:</t>
        </r>
        <r>
          <rPr>
            <sz val="9"/>
            <color indexed="81"/>
            <rFont val="Tahoma"/>
            <family val="2"/>
          </rPr>
          <t xml:space="preserve">
22/06/2021
13/05/2023</t>
        </r>
      </text>
    </comment>
    <comment ref="ET182" authorId="0" shapeId="0" xr:uid="{BDFAC622-6D13-4110-BACF-46D5F36E1047}">
      <text>
        <r>
          <rPr>
            <b/>
            <sz val="9"/>
            <color indexed="81"/>
            <rFont val="Tahoma"/>
            <family val="2"/>
          </rPr>
          <t>20/06/2022</t>
        </r>
      </text>
    </comment>
    <comment ref="FI182" authorId="0" shapeId="0" xr:uid="{DF264A00-575A-4BA8-9DF1-F502790E98A5}">
      <text>
        <r>
          <rPr>
            <b/>
            <sz val="9"/>
            <color indexed="81"/>
            <rFont val="Tahoma"/>
            <family val="2"/>
          </rPr>
          <t xml:space="preserve">25/03/2022
</t>
        </r>
      </text>
    </comment>
    <comment ref="FN182" authorId="1" shapeId="0" xr:uid="{4CE0A450-753F-4885-81B1-4E66ED6C9FFB}">
      <text>
        <r>
          <rPr>
            <b/>
            <sz val="9"/>
            <color indexed="81"/>
            <rFont val="Tahoma"/>
            <family val="2"/>
          </rPr>
          <t>Candelaria Yesenia Balcazar Hernandez:</t>
        </r>
        <r>
          <rPr>
            <sz val="9"/>
            <color indexed="81"/>
            <rFont val="Tahoma"/>
            <family val="2"/>
          </rPr>
          <t xml:space="preserve">
30/06/2021</t>
        </r>
      </text>
    </comment>
    <comment ref="GH182" authorId="1" shapeId="0" xr:uid="{EAEBE4C1-A876-4B71-B25F-8A7E43A888EF}">
      <text>
        <r>
          <rPr>
            <b/>
            <sz val="9"/>
            <color indexed="81"/>
            <rFont val="Tahoma"/>
            <family val="2"/>
          </rPr>
          <t>Candelaria Yesenia Balcazar Hernandez:</t>
        </r>
        <r>
          <rPr>
            <sz val="9"/>
            <color indexed="81"/>
            <rFont val="Tahoma"/>
            <family val="2"/>
          </rPr>
          <t xml:space="preserve">
01/07/2021</t>
        </r>
      </text>
    </comment>
    <comment ref="GM182" authorId="0" shapeId="0" xr:uid="{4C75E90E-52C6-412F-B219-C9FAED6160AB}">
      <text>
        <r>
          <rPr>
            <b/>
            <sz val="9"/>
            <color indexed="81"/>
            <rFont val="Tahoma"/>
            <family val="2"/>
          </rPr>
          <t>05/01/2022</t>
        </r>
      </text>
    </comment>
    <comment ref="AK183" authorId="0" shapeId="0" xr:uid="{BA265D47-5547-4BCD-AEB1-22ABCF80042E}">
      <text>
        <r>
          <rPr>
            <b/>
            <sz val="9"/>
            <color indexed="81"/>
            <rFont val="Tahoma"/>
            <family val="2"/>
          </rPr>
          <t>01/10/2022</t>
        </r>
      </text>
    </comment>
    <comment ref="BJ183" authorId="0" shapeId="0" xr:uid="{3856C895-9A68-445A-9C78-CAAC4BD5DE8E}">
      <text>
        <r>
          <rPr>
            <b/>
            <sz val="9"/>
            <color indexed="81"/>
            <rFont val="Tahoma"/>
            <family val="2"/>
          </rPr>
          <t>15/08/2022</t>
        </r>
      </text>
    </comment>
    <comment ref="EC183" authorId="0" shapeId="0" xr:uid="{36B328E1-3A72-4CC6-B6AF-A8A5135E3D36}">
      <text>
        <r>
          <rPr>
            <b/>
            <sz val="9"/>
            <color indexed="81"/>
            <rFont val="Tahoma"/>
            <family val="2"/>
          </rPr>
          <t>30/09/2022</t>
        </r>
      </text>
    </comment>
    <comment ref="EY183" authorId="0" shapeId="0" xr:uid="{4481A88B-048D-41A9-B47D-656450C64910}">
      <text>
        <r>
          <rPr>
            <b/>
            <sz val="9"/>
            <color indexed="81"/>
            <rFont val="Tahoma"/>
            <family val="2"/>
          </rPr>
          <t>10/09/2022</t>
        </r>
      </text>
    </comment>
    <comment ref="AF184" authorId="0" shapeId="0" xr:uid="{AABD9C58-E2AA-4D3A-9B6B-14952EAD22AA}">
      <text>
        <r>
          <rPr>
            <b/>
            <sz val="9"/>
            <color indexed="81"/>
            <rFont val="Tahoma"/>
            <family val="2"/>
          </rPr>
          <t>01/02/2022</t>
        </r>
      </text>
    </comment>
    <comment ref="AK184" authorId="0" shapeId="0" xr:uid="{C26D6548-5151-4B5C-B091-77CEF905BA1A}">
      <text>
        <r>
          <rPr>
            <b/>
            <sz val="9"/>
            <color indexed="81"/>
            <rFont val="Tahoma"/>
            <family val="2"/>
          </rPr>
          <t>02/02/2022</t>
        </r>
      </text>
    </comment>
    <comment ref="AP184" authorId="0" shapeId="0" xr:uid="{F49296EA-31B6-4877-BDF9-1D9982E9F0C2}">
      <text>
        <r>
          <rPr>
            <b/>
            <sz val="9"/>
            <color indexed="81"/>
            <rFont val="Tahoma"/>
            <family val="2"/>
          </rPr>
          <t>21/02/2022</t>
        </r>
      </text>
    </comment>
    <comment ref="AU184" authorId="0" shapeId="0" xr:uid="{3B54982A-1D20-425A-BF7A-0D9397CA6CE8}">
      <text>
        <r>
          <rPr>
            <b/>
            <sz val="9"/>
            <color indexed="81"/>
            <rFont val="Tahoma"/>
            <family val="2"/>
          </rPr>
          <t>16/02/2022</t>
        </r>
      </text>
    </comment>
    <comment ref="AZ184" authorId="0" shapeId="0" xr:uid="{3CBED75B-0FAD-4A48-87AE-29DFB85AF3BC}">
      <text>
        <r>
          <rPr>
            <b/>
            <sz val="9"/>
            <color indexed="81"/>
            <rFont val="Tahoma"/>
            <family val="2"/>
          </rPr>
          <t>22/02/2022</t>
        </r>
      </text>
    </comment>
    <comment ref="BY184" authorId="0" shapeId="0" xr:uid="{805E7392-AEC3-410E-9A52-93BD4C0D4C40}">
      <text>
        <r>
          <rPr>
            <b/>
            <sz val="9"/>
            <color indexed="81"/>
            <rFont val="Tahoma"/>
            <family val="2"/>
          </rPr>
          <t>02/02/2022</t>
        </r>
      </text>
    </comment>
    <comment ref="CO184" authorId="0" shapeId="0" xr:uid="{80CDC9F9-99B1-446D-8D26-067F3B7BC74E}">
      <text>
        <r>
          <rPr>
            <b/>
            <sz val="9"/>
            <color indexed="81"/>
            <rFont val="Tahoma"/>
            <family val="2"/>
          </rPr>
          <t>24/02/2022</t>
        </r>
      </text>
    </comment>
    <comment ref="DI184" authorId="0" shapeId="0" xr:uid="{1B064DD2-8C7C-4E87-895D-1B413C6694AA}">
      <text>
        <r>
          <rPr>
            <b/>
            <sz val="9"/>
            <color indexed="81"/>
            <rFont val="Tahoma"/>
            <family val="2"/>
          </rPr>
          <t>19/02/2022</t>
        </r>
      </text>
    </comment>
    <comment ref="DS184" authorId="0" shapeId="0" xr:uid="{C18FFC50-9770-4936-AF28-99495B962472}">
      <text>
        <r>
          <rPr>
            <b/>
            <sz val="9"/>
            <color indexed="81"/>
            <rFont val="Tahoma"/>
            <family val="2"/>
          </rPr>
          <t>21/02/2022</t>
        </r>
      </text>
    </comment>
    <comment ref="DX184" authorId="0" shapeId="0" xr:uid="{A2DF11C0-AC1A-4F30-913B-95176B3273B9}">
      <text>
        <r>
          <rPr>
            <b/>
            <sz val="9"/>
            <color indexed="81"/>
            <rFont val="Tahoma"/>
            <family val="2"/>
          </rPr>
          <t>10/02/2022</t>
        </r>
      </text>
    </comment>
    <comment ref="EC184" authorId="0" shapeId="0" xr:uid="{55BBDFFB-3198-4553-A227-B7EDF26E0CE4}">
      <text>
        <r>
          <rPr>
            <b/>
            <sz val="9"/>
            <color indexed="81"/>
            <rFont val="Tahoma"/>
            <family val="2"/>
          </rPr>
          <t>11/02/2022</t>
        </r>
      </text>
    </comment>
    <comment ref="FN184" authorId="0" shapeId="0" xr:uid="{62A12D75-DBBE-483E-BDE6-8A8E9E88969F}">
      <text>
        <r>
          <rPr>
            <b/>
            <sz val="9"/>
            <color indexed="81"/>
            <rFont val="Tahoma"/>
            <family val="2"/>
          </rPr>
          <t>07/02/2022</t>
        </r>
      </text>
    </comment>
    <comment ref="FS184" authorId="0" shapeId="0" xr:uid="{D5460C58-D86B-4246-8CC1-6D2FD75B6BFD}">
      <text>
        <r>
          <rPr>
            <b/>
            <sz val="9"/>
            <color indexed="81"/>
            <rFont val="Tahoma"/>
            <family val="2"/>
          </rPr>
          <t>18/02/2022</t>
        </r>
      </text>
    </comment>
    <comment ref="GH184" authorId="0" shapeId="0" xr:uid="{C2F313FC-4342-4E83-9361-3B36A77199C5}">
      <text>
        <r>
          <rPr>
            <b/>
            <sz val="9"/>
            <color indexed="81"/>
            <rFont val="Tahoma"/>
            <family val="2"/>
          </rPr>
          <t>12/02/2022</t>
        </r>
      </text>
    </comment>
    <comment ref="GM184" authorId="0" shapeId="0" xr:uid="{4B97037B-8E52-4D81-95F5-E9B65CEA5A58}">
      <text>
        <r>
          <rPr>
            <b/>
            <sz val="9"/>
            <color indexed="81"/>
            <rFont val="Tahoma"/>
            <family val="2"/>
          </rPr>
          <t>18/02/2022</t>
        </r>
      </text>
    </comment>
    <comment ref="AZ185" authorId="0" shapeId="0" xr:uid="{68F7A2CD-052A-4CA8-8336-9A6FD3C0060E}">
      <text>
        <r>
          <rPr>
            <b/>
            <sz val="9"/>
            <color indexed="81"/>
            <rFont val="Tahoma"/>
            <family val="2"/>
          </rPr>
          <t>11/01/2022</t>
        </r>
      </text>
    </comment>
    <comment ref="BO185" authorId="0" shapeId="0" xr:uid="{317A7E31-BEFD-44B7-9589-51D43D3E3E73}">
      <text>
        <r>
          <rPr>
            <b/>
            <sz val="9"/>
            <color indexed="81"/>
            <rFont val="Tahoma"/>
            <family val="2"/>
          </rPr>
          <t>28/02/2022</t>
        </r>
      </text>
    </comment>
    <comment ref="CO185" authorId="0" shapeId="0" xr:uid="{C5A1BCE6-C849-4F7D-8E29-21214A59F025}">
      <text>
        <r>
          <rPr>
            <b/>
            <sz val="9"/>
            <color indexed="81"/>
            <rFont val="Tahoma"/>
            <family val="2"/>
          </rPr>
          <t>18/01/2022</t>
        </r>
      </text>
    </comment>
    <comment ref="DD185" authorId="0" shapeId="0" xr:uid="{A9DC4826-0643-4C0A-8844-E55D1FAED9AA}">
      <text>
        <r>
          <rPr>
            <b/>
            <sz val="9"/>
            <color indexed="81"/>
            <rFont val="Tahoma"/>
            <family val="2"/>
          </rPr>
          <t>24/02/2022</t>
        </r>
      </text>
    </comment>
    <comment ref="DI185" authorId="0" shapeId="0" xr:uid="{5B166469-E828-4902-AEEE-25869FF1457E}">
      <text>
        <r>
          <rPr>
            <b/>
            <sz val="9"/>
            <color indexed="81"/>
            <rFont val="Tahoma"/>
            <family val="2"/>
          </rPr>
          <t>24/02/2022</t>
        </r>
      </text>
    </comment>
    <comment ref="DN185" authorId="0" shapeId="0" xr:uid="{FB7108CA-AADD-4253-90BB-1C2D50F41205}">
      <text>
        <r>
          <rPr>
            <b/>
            <sz val="9"/>
            <color indexed="81"/>
            <rFont val="Tahoma"/>
            <family val="2"/>
          </rPr>
          <t>18/04/2022</t>
        </r>
      </text>
    </comment>
    <comment ref="DS185" authorId="0" shapeId="0" xr:uid="{A1F259BF-88A8-45F7-9C1C-E7B50811CA4F}">
      <text>
        <r>
          <rPr>
            <b/>
            <sz val="9"/>
            <color indexed="81"/>
            <rFont val="Tahoma"/>
            <family val="2"/>
          </rPr>
          <t>10/01/2022</t>
        </r>
      </text>
    </comment>
    <comment ref="DX185" authorId="0" shapeId="0" xr:uid="{989A02E7-9485-4B2B-B59B-5AB7C0037258}">
      <text>
        <r>
          <rPr>
            <b/>
            <sz val="9"/>
            <color indexed="81"/>
            <rFont val="Tahoma"/>
            <family val="2"/>
          </rPr>
          <t>30/03/2022</t>
        </r>
      </text>
    </comment>
    <comment ref="EH185" authorId="0" shapeId="0" xr:uid="{6A900F25-6560-4C5D-A4B4-284A1EB07CFF}">
      <text>
        <r>
          <rPr>
            <b/>
            <sz val="9"/>
            <color indexed="81"/>
            <rFont val="Tahoma"/>
            <family val="2"/>
          </rPr>
          <t>11/01/2022</t>
        </r>
      </text>
    </comment>
    <comment ref="FD185" authorId="0" shapeId="0" xr:uid="{FB4EFB36-5C4D-4A84-9D94-B7A60434A9C8}">
      <text>
        <r>
          <rPr>
            <b/>
            <sz val="9"/>
            <color indexed="81"/>
            <rFont val="Tahoma"/>
            <family val="2"/>
          </rPr>
          <t>03/02/2022</t>
        </r>
      </text>
    </comment>
    <comment ref="FI185" authorId="0" shapeId="0" xr:uid="{30E773B7-59F9-47D9-A85B-44DA64400F47}">
      <text>
        <r>
          <rPr>
            <b/>
            <sz val="9"/>
            <color indexed="81"/>
            <rFont val="Tahoma"/>
            <family val="2"/>
          </rPr>
          <t>04/02/2022</t>
        </r>
      </text>
    </comment>
    <comment ref="FS185" authorId="0" shapeId="0" xr:uid="{6F13A7B8-D224-4C42-BBDF-35D59EBB4A7E}">
      <text>
        <r>
          <rPr>
            <b/>
            <sz val="9"/>
            <color indexed="81"/>
            <rFont val="Tahoma"/>
            <family val="2"/>
          </rPr>
          <t>18/02/2022</t>
        </r>
      </text>
    </comment>
    <comment ref="FX185" authorId="0" shapeId="0" xr:uid="{6BA10EDE-AC01-4F08-847D-0C1746E54690}">
      <text>
        <r>
          <rPr>
            <b/>
            <sz val="9"/>
            <color indexed="81"/>
            <rFont val="Tahoma"/>
            <family val="2"/>
          </rPr>
          <t>04/02/2022</t>
        </r>
      </text>
    </comment>
    <comment ref="AK187" authorId="0" shapeId="0" xr:uid="{E1E5D54A-9C0F-4CDC-8DB2-D8E2125565BB}">
      <text>
        <r>
          <rPr>
            <b/>
            <sz val="9"/>
            <color indexed="81"/>
            <rFont val="Tahoma"/>
            <family val="2"/>
          </rPr>
          <t>02/02/2022</t>
        </r>
      </text>
    </comment>
    <comment ref="AP187" authorId="0" shapeId="0" xr:uid="{17CD7EF7-DE00-4AB6-AA77-394CB12B703C}">
      <text>
        <r>
          <rPr>
            <b/>
            <sz val="9"/>
            <color indexed="81"/>
            <rFont val="Tahoma"/>
            <family val="2"/>
          </rPr>
          <t>21/01/2022</t>
        </r>
      </text>
    </comment>
    <comment ref="AU187" authorId="0" shapeId="0" xr:uid="{96699E45-ADC5-4169-A536-547FECF60CE1}">
      <text>
        <r>
          <rPr>
            <b/>
            <sz val="9"/>
            <color indexed="81"/>
            <rFont val="Tahoma"/>
            <family val="2"/>
          </rPr>
          <t>17/01/2022</t>
        </r>
      </text>
    </comment>
    <comment ref="AZ187" authorId="0" shapeId="0" xr:uid="{32D1F131-BDFE-4501-9664-0D4042A22793}">
      <text>
        <r>
          <rPr>
            <b/>
            <sz val="9"/>
            <color indexed="81"/>
            <rFont val="Tahoma"/>
            <family val="2"/>
          </rPr>
          <t>24/01/2022</t>
        </r>
      </text>
    </comment>
    <comment ref="BE187" authorId="0" shapeId="0" xr:uid="{7B3D8E41-5A1C-4CE3-B99A-ED1F00DFFCFE}">
      <text>
        <r>
          <rPr>
            <b/>
            <sz val="9"/>
            <color indexed="81"/>
            <rFont val="Tahoma"/>
            <family val="2"/>
          </rPr>
          <t>24/01/2022</t>
        </r>
      </text>
    </comment>
    <comment ref="BJ187" authorId="0" shapeId="0" xr:uid="{C41F981C-36D5-4DBD-92E9-2BA6BA96A268}">
      <text>
        <r>
          <rPr>
            <b/>
            <sz val="9"/>
            <color indexed="81"/>
            <rFont val="Tahoma"/>
            <family val="2"/>
          </rPr>
          <t>06/06/2022</t>
        </r>
      </text>
    </comment>
    <comment ref="BY187" authorId="0" shapeId="0" xr:uid="{65272FD1-4EE7-42B6-B81A-264942FB026D}">
      <text>
        <r>
          <rPr>
            <b/>
            <sz val="9"/>
            <color indexed="81"/>
            <rFont val="Tahoma"/>
            <family val="2"/>
          </rPr>
          <t>08/01/2022</t>
        </r>
      </text>
    </comment>
    <comment ref="CO187" authorId="0" shapeId="0" xr:uid="{7C5E1F97-0BAE-454D-AB1A-0A9FAD24BE46}">
      <text>
        <r>
          <rPr>
            <b/>
            <sz val="9"/>
            <color indexed="81"/>
            <rFont val="Tahoma"/>
            <family val="2"/>
          </rPr>
          <t>27/01/2022</t>
        </r>
      </text>
    </comment>
    <comment ref="CY187" authorId="1" shapeId="0" xr:uid="{3F0AD389-FE81-44FA-914E-CD7B766F04F7}">
      <text>
        <r>
          <rPr>
            <b/>
            <sz val="9"/>
            <color indexed="81"/>
            <rFont val="Tahoma"/>
            <family val="2"/>
          </rPr>
          <t xml:space="preserve">06/08/2022
</t>
        </r>
      </text>
    </comment>
    <comment ref="DD187" authorId="1" shapeId="0" xr:uid="{8DB435A5-3DE0-42F9-99BB-891EDEF12DE7}">
      <text>
        <r>
          <rPr>
            <b/>
            <sz val="9"/>
            <color indexed="81"/>
            <rFont val="Tahoma"/>
            <family val="2"/>
          </rPr>
          <t>Candelaria Yesenia Balcazar Hernandez:</t>
        </r>
        <r>
          <rPr>
            <sz val="9"/>
            <color indexed="81"/>
            <rFont val="Tahoma"/>
            <family val="2"/>
          </rPr>
          <t xml:space="preserve">
19/01/2022</t>
        </r>
      </text>
    </comment>
    <comment ref="DI187" authorId="0" shapeId="0" xr:uid="{235FCF83-E67E-469B-A1E9-96CB7E81F0ED}">
      <text>
        <r>
          <rPr>
            <b/>
            <sz val="9"/>
            <color indexed="81"/>
            <rFont val="Tahoma"/>
            <family val="2"/>
          </rPr>
          <t>20/01/2022</t>
        </r>
      </text>
    </comment>
    <comment ref="DN187" authorId="0" shapeId="0" xr:uid="{66507309-4998-482A-B69E-F9C13B72C754}">
      <text>
        <r>
          <rPr>
            <b/>
            <sz val="9"/>
            <color indexed="81"/>
            <rFont val="Tahoma"/>
            <family val="2"/>
          </rPr>
          <t>21/02/2022</t>
        </r>
      </text>
    </comment>
    <comment ref="DS187" authorId="0" shapeId="0" xr:uid="{632B4F54-6F54-41E4-8BA6-6023E3CC9F40}">
      <text>
        <r>
          <rPr>
            <b/>
            <sz val="9"/>
            <color indexed="81"/>
            <rFont val="Tahoma"/>
            <family val="2"/>
          </rPr>
          <t>20/01/2022</t>
        </r>
      </text>
    </comment>
    <comment ref="DX187" authorId="0" shapeId="0" xr:uid="{C079BCCA-FAEB-4993-A204-AD77907F657F}">
      <text>
        <r>
          <rPr>
            <b/>
            <sz val="9"/>
            <color indexed="81"/>
            <rFont val="Tahoma"/>
            <family val="2"/>
          </rPr>
          <t>11/01/2022</t>
        </r>
      </text>
    </comment>
    <comment ref="EC187" authorId="0" shapeId="0" xr:uid="{0AAAB3E2-B423-4F96-BD6C-82B2A8DEE8D4}">
      <text>
        <r>
          <rPr>
            <b/>
            <sz val="9"/>
            <color indexed="81"/>
            <rFont val="Tahoma"/>
            <family val="2"/>
          </rPr>
          <t>11/01/2022</t>
        </r>
      </text>
    </comment>
    <comment ref="EO187" authorId="0" shapeId="0" xr:uid="{B21E36D1-7232-4EAB-814D-B61AD9DC5BBB}">
      <text>
        <r>
          <rPr>
            <b/>
            <sz val="9"/>
            <color indexed="81"/>
            <rFont val="Tahoma"/>
            <family val="2"/>
          </rPr>
          <t>15/03/2022</t>
        </r>
      </text>
    </comment>
    <comment ref="EY187" authorId="0" shapeId="0" xr:uid="{9B995D25-FD50-4AC0-AA1E-DA683CF148BD}">
      <text>
        <r>
          <rPr>
            <b/>
            <sz val="9"/>
            <color indexed="81"/>
            <rFont val="Tahoma"/>
            <family val="2"/>
          </rPr>
          <t>13/01/2022</t>
        </r>
      </text>
    </comment>
    <comment ref="FD187" authorId="0" shapeId="0" xr:uid="{D34F7082-0C5F-4EFD-882A-5FF66A04E33C}">
      <text>
        <r>
          <rPr>
            <b/>
            <sz val="9"/>
            <color indexed="81"/>
            <rFont val="Tahoma"/>
            <family val="2"/>
          </rPr>
          <t>15/01/2022</t>
        </r>
      </text>
    </comment>
    <comment ref="FI187" authorId="0" shapeId="0" xr:uid="{71566B34-A99E-4550-B684-62B0A563C4C1}">
      <text>
        <r>
          <rPr>
            <b/>
            <sz val="9"/>
            <color indexed="81"/>
            <rFont val="Tahoma"/>
            <family val="2"/>
          </rPr>
          <t>22/01/2022</t>
        </r>
      </text>
    </comment>
    <comment ref="FN187" authorId="0" shapeId="0" xr:uid="{172B9D8B-F1B9-4E92-B7B1-2EA3E11351B5}">
      <text>
        <r>
          <rPr>
            <b/>
            <sz val="9"/>
            <color indexed="81"/>
            <rFont val="Tahoma"/>
            <family val="2"/>
          </rPr>
          <t>06/01/2022</t>
        </r>
      </text>
    </comment>
    <comment ref="FS187" authorId="0" shapeId="0" xr:uid="{647F5E90-4F25-4FA8-9E4A-F186C303FBF4}">
      <text>
        <r>
          <rPr>
            <b/>
            <sz val="9"/>
            <color indexed="81"/>
            <rFont val="Tahoma"/>
            <family val="2"/>
          </rPr>
          <t>18/01/2022</t>
        </r>
      </text>
    </comment>
    <comment ref="GC187" authorId="0" shapeId="0" xr:uid="{91B8969B-95E3-4C79-8C96-51A72D87ADA6}">
      <text>
        <r>
          <rPr>
            <b/>
            <sz val="9"/>
            <color indexed="81"/>
            <rFont val="Tahoma"/>
            <family val="2"/>
          </rPr>
          <t>05/01/2022</t>
        </r>
      </text>
    </comment>
    <comment ref="GH187" authorId="0" shapeId="0" xr:uid="{DFF53432-7DFB-4031-BC11-6ED7425F2CF8}">
      <text>
        <r>
          <rPr>
            <b/>
            <sz val="9"/>
            <color indexed="81"/>
            <rFont val="Tahoma"/>
            <family val="2"/>
          </rPr>
          <t>14/01/2022</t>
        </r>
      </text>
    </comment>
    <comment ref="GM187" authorId="0" shapeId="0" xr:uid="{9A26E39B-17F5-462E-B0F0-B0291C3784FC}">
      <text>
        <r>
          <rPr>
            <b/>
            <sz val="9"/>
            <color indexed="81"/>
            <rFont val="Tahoma"/>
            <family val="2"/>
          </rPr>
          <t>03/01/2022</t>
        </r>
      </text>
    </comment>
    <comment ref="AK188" authorId="0" shapeId="0" xr:uid="{C67FE358-F1F5-4C3D-BCD1-6E4D7C9A1F12}">
      <text>
        <r>
          <rPr>
            <b/>
            <sz val="9"/>
            <color indexed="81"/>
            <rFont val="Tahoma"/>
            <family val="2"/>
          </rPr>
          <t>16/01/2024</t>
        </r>
      </text>
    </comment>
    <comment ref="E189" authorId="0" shapeId="0" xr:uid="{A43EBCA3-BCB5-4BF2-B848-9758C7EA1BAE}">
      <text>
        <r>
          <rPr>
            <b/>
            <sz val="9"/>
            <color indexed="81"/>
            <rFont val="Tahoma"/>
            <family val="2"/>
          </rPr>
          <t>08/02/2024 y 09/02/2024</t>
        </r>
      </text>
    </comment>
    <comment ref="AK189" authorId="0" shapeId="0" xr:uid="{BEABF529-DCFC-4830-9C11-9AA62566E179}">
      <text>
        <r>
          <rPr>
            <b/>
            <sz val="9"/>
            <color indexed="81"/>
            <rFont val="Tahoma"/>
            <family val="2"/>
          </rPr>
          <t>02/02/2022</t>
        </r>
      </text>
    </comment>
    <comment ref="AU189" authorId="0" shapeId="0" xr:uid="{11C55B32-FA56-4DF3-855B-CF958DAA6B2E}">
      <text>
        <r>
          <rPr>
            <b/>
            <sz val="9"/>
            <color indexed="81"/>
            <rFont val="Tahoma"/>
            <family val="2"/>
          </rPr>
          <t>29/04/2022</t>
        </r>
      </text>
    </comment>
    <comment ref="BE189" authorId="0" shapeId="0" xr:uid="{59043F97-E5FB-4576-B32C-E2B840D3DDDD}">
      <text>
        <r>
          <rPr>
            <b/>
            <sz val="9"/>
            <color indexed="81"/>
            <rFont val="Tahoma"/>
            <family val="2"/>
          </rPr>
          <t>02/05/2022</t>
        </r>
      </text>
    </comment>
    <comment ref="BJ189" authorId="0" shapeId="0" xr:uid="{EDE7EA92-8D81-40CD-90A6-9A150FDA2486}">
      <text>
        <r>
          <rPr>
            <b/>
            <sz val="9"/>
            <color indexed="81"/>
            <rFont val="Tahoma"/>
            <family val="2"/>
          </rPr>
          <t>22/08/2022</t>
        </r>
      </text>
    </comment>
    <comment ref="DI189" authorId="0" shapeId="0" xr:uid="{1DC53E42-36B3-4C50-9811-E2C1014B3873}">
      <text>
        <r>
          <rPr>
            <b/>
            <sz val="9"/>
            <color indexed="81"/>
            <rFont val="Tahoma"/>
            <family val="2"/>
          </rPr>
          <t>30/04/2022</t>
        </r>
      </text>
    </comment>
    <comment ref="DN189" authorId="0" shapeId="0" xr:uid="{D0180A0C-215C-4ED9-AF5B-1BD89F225AD2}">
      <text>
        <r>
          <rPr>
            <b/>
            <sz val="9"/>
            <color indexed="81"/>
            <rFont val="Tahoma"/>
            <family val="2"/>
          </rPr>
          <t>27/04/2022</t>
        </r>
      </text>
    </comment>
    <comment ref="GM189" authorId="0" shapeId="0" xr:uid="{D089358C-91FD-4439-B131-F0F833F10654}">
      <text>
        <r>
          <rPr>
            <b/>
            <sz val="9"/>
            <color indexed="81"/>
            <rFont val="Tahoma"/>
            <family val="2"/>
          </rPr>
          <t>03/01/2022</t>
        </r>
      </text>
    </comment>
    <comment ref="U220" authorId="0" shapeId="0" xr:uid="{289915A9-16DD-4114-A889-40E27355F9DE}">
      <text>
        <r>
          <rPr>
            <b/>
            <sz val="9"/>
            <color indexed="81"/>
            <rFont val="Tahoma"/>
            <family val="2"/>
          </rPr>
          <t>14/05/2021</t>
        </r>
      </text>
    </comment>
    <comment ref="BE232" authorId="0" shapeId="0" xr:uid="{E441655F-A4E1-4FA4-BCF5-260D6FCFB7BE}">
      <text>
        <r>
          <rPr>
            <b/>
            <sz val="9"/>
            <color indexed="81"/>
            <rFont val="Tahoma"/>
            <family val="2"/>
          </rPr>
          <t>14/04/2024</t>
        </r>
      </text>
    </comment>
  </commentList>
</comments>
</file>

<file path=xl/sharedStrings.xml><?xml version="1.0" encoding="utf-8"?>
<sst xmlns="http://schemas.openxmlformats.org/spreadsheetml/2006/main" count="1712" uniqueCount="763">
  <si>
    <t>MEP</t>
  </si>
  <si>
    <t>Nombre del Colaborador
Nombre / Apellido</t>
  </si>
  <si>
    <t>Proceso</t>
  </si>
  <si>
    <t>Categoría</t>
  </si>
  <si>
    <t>Operador de Brazo Articulado Sobre Camión
(Hiab)</t>
  </si>
  <si>
    <t>Certificación de Soldador
(Código ASME, Secc. IX)</t>
  </si>
  <si>
    <t>Operación e Inspección Segura de Grúas Viajeras</t>
  </si>
  <si>
    <t>Rig Pass</t>
  </si>
  <si>
    <t>Wellsharp
(Introductorio)</t>
  </si>
  <si>
    <t>Anexo SSPA</t>
  </si>
  <si>
    <t>Seguridad, Salud en el Trabajo y Protección Ambiental</t>
  </si>
  <si>
    <t>Reglamento Federal de Seguridad, Higiene y Medio Ambiente de Trabajo</t>
  </si>
  <si>
    <t>Reglamento de Seguridad e Higiene de Petróleos Mexicanos y Organismos Subsidiarios</t>
  </si>
  <si>
    <t>Básico de Seguridad</t>
  </si>
  <si>
    <t>Conceptos Básicos y Definiciones sobre Planes de Respuesta a Emergencias, Que Hacer durante una Emergencia</t>
  </si>
  <si>
    <t>Conceptos Básicos sobre Protección Ambiental</t>
  </si>
  <si>
    <t>Generalidades de los Primeros Auxilios, Hemorragias, Reanimación Cardiopulmonar (RCP)</t>
  </si>
  <si>
    <t>Manejo de Extintores</t>
  </si>
  <si>
    <t>Manejo a la Defensiva (Vehículos)</t>
  </si>
  <si>
    <t>Guia Operativa para Aplicación del Sistema de Permisos para Trabajos con Riesgo en las Instalaciones de Pemex Exploración y Producción (GO-SS-TC-00 10-2020)</t>
  </si>
  <si>
    <t>Equipo de Respiración Autónomo</t>
  </si>
  <si>
    <t>Uso de Equipo de Detección de Gases: Explosímetro, Oxigeno y Toxicidad</t>
  </si>
  <si>
    <t>Hojas de Datos de Seguridad de las Sustancias Involucradas en los Trabajos del Contrato</t>
  </si>
  <si>
    <t>Clasificación y Manejo de Residuos Peligrosos (Nom’s)</t>
  </si>
  <si>
    <t>Dispositivos de Detección y Primeros Auxilios</t>
  </si>
  <si>
    <t>Ley General del Equilibrio Ecológico y la Protección al Ambiente y sus Reglamentos</t>
  </si>
  <si>
    <t>Ley General para la Prevención y Gestión Integral de los Residuos y su Reglamento</t>
  </si>
  <si>
    <t>Teoría de la Combustión</t>
  </si>
  <si>
    <t>Clasificación y Uso de Equipos de Protección Respiratoria</t>
  </si>
  <si>
    <t>Riesgos Atmosféricos</t>
  </si>
  <si>
    <t>Espacios Confinados</t>
  </si>
  <si>
    <t>Identificación de Areas de Riesgo en el Trabajo</t>
  </si>
  <si>
    <t>Procedimientos Críticos</t>
  </si>
  <si>
    <t>Análisis de Seguridad en el Trabajo</t>
  </si>
  <si>
    <t>Auditorias Efectivas</t>
  </si>
  <si>
    <t>Metodología Análisis Causa Raiz</t>
  </si>
  <si>
    <t>Gas Sulfhídrico (H2S)</t>
  </si>
  <si>
    <t>Mantenimiento, Cuidado y Almacenamiento de las Herramientas y Equipos de Trabajo</t>
  </si>
  <si>
    <t>Uso, Conservación, Mantenimiento, Almacenamiento, Reposición y Disposición Final del Equipo de Protección Personal Básico y Especifico</t>
  </si>
  <si>
    <t>Capacitación y Adiestramiento en Combate de Incendios</t>
  </si>
  <si>
    <t>Atlas de Riesgo</t>
  </si>
  <si>
    <t>Trabajos en Alturas</t>
  </si>
  <si>
    <t>INDUCCION Y CONOCIMIENTO DE LAS HERRAMIENTAS DEL SERVICIO INTEGRAL</t>
  </si>
  <si>
    <t>USO, MANEJO DE EQUIPOS Y HERRAMIENTAS PARA INTRODUCCION DE TUBERIAS DE REVESTIMIENTO Y PRODUCCION</t>
  </si>
  <si>
    <t>PROCEDIMIENTOS DE TRABAJO</t>
  </si>
  <si>
    <t>SERVICIOS DE APRIETE DE TUBERIAS DE REVESTIMIENTO Y APAREJOS DE PRODUCCION PARA POZO PETROLERO</t>
  </si>
  <si>
    <t>SISTEMA, MONITOREO Y CONTROL PARA APRIETE DE CONEXIONES TUBULARES A.P.I. Y PREMIUM (WINCATT)</t>
  </si>
  <si>
    <t>ALINEACION DE TUBERIAS EN PERFORACION Y MANTENIMIENTO DE POZOS</t>
  </si>
  <si>
    <t>USO Y MANEJO DE RAMPA ARTICULADA</t>
  </si>
  <si>
    <t xml:space="preserve">PRECAUCIONES PARA CARGAR RAMPA ARTICULADA DE IZAJE SIN LESIONES </t>
  </si>
  <si>
    <t xml:space="preserve">INSTALACION, OPERACION, DESMANTELAMIENTO Y MANTENIMIENTO DE EQUIPO DE LLENADO RAPIDO Y CIRCULACION </t>
  </si>
  <si>
    <t>AJUSTE DE ALTURA DE IZADORAS PIPE MANTIS</t>
  </si>
  <si>
    <t>SUSTITUCION DE TORNILLOS DE BRAZOS INDEXERS DE  LA RAMPA ARTICULADA DE IZAJE BIG BROTHER</t>
  </si>
  <si>
    <t>ESTANDARIZACION DE MANTENIMIENTO DE RAMPA ARTICULADA DE IZAJE</t>
  </si>
  <si>
    <t>SISTEMA ELECTRICO DE ARRANQUE DE UNIDAD DE POTENCIA</t>
  </si>
  <si>
    <t>TRABAJO EN EQUIPO</t>
  </si>
  <si>
    <t>COMUNICACION EFECTIVA</t>
  </si>
  <si>
    <t>SUPERVISION EFECTIVA</t>
  </si>
  <si>
    <t>LIDERAZGO</t>
  </si>
  <si>
    <t>SENTIDO DE RESPONSABILIDAD</t>
  </si>
  <si>
    <t>TALLER PRACTICO POSICIONAMIENTO DE LOS CONTADORES DE ENGRANES</t>
  </si>
  <si>
    <t>TALLER USO Y MANEJO DE LA LLAVE HIDRAULICA ECKEL HIDRA-SHIFT HT-14"</t>
  </si>
  <si>
    <t>INTRODUCCION A DS-1 VOL.3, 5TA EDICION DE BUREAU VERITAS (TH HILL)</t>
  </si>
  <si>
    <t>USO Y RECOMENDACIONES DE MANEJO DE PISTOLA DE IMPACTO NEUMATICA</t>
  </si>
  <si>
    <t>MECANICA, HIDRAULICA Y NEUMATICA</t>
  </si>
  <si>
    <t>IDENTIFICACION DE CONEXIONES ROTATORIAS CON HOMBRO (RSC)</t>
  </si>
  <si>
    <t>VERIFICADOR DE GAS</t>
  </si>
  <si>
    <t>VOLANT CASING RUNNIG TOOL MAINTENANCE, CALIBRATION AND OPERATION OF THE CRTi2-8.63</t>
  </si>
  <si>
    <t>VOLANT CEMENT SWIVEL
CEMENT SWIVEL DISASSEMBLY
CEMENT SWIVEL ASSEMBLY
CEMENT SWIVEL INSPECTION AND MAINTENANCE
CEMENT SWIVEL RUNNING PROCEDURE</t>
  </si>
  <si>
    <t>USO Y MANEJO DEL EQUIPO ActiveSET CRTi2-8.63 c/Vcam PARA INTRODUCCION Y RECUPERACION DE SARTAS TUBULARES</t>
  </si>
  <si>
    <t xml:space="preserve">USO Y MANEJO DEL EQUIPO CEMENT SWIVEL TOOL CST-2.0 </t>
  </si>
  <si>
    <t>VOLANT LEVEL 1 VOLANT CRT ACTIVE SETvCAM TRAINING (INTRODUCCION-MAINTENANCE-ASSEMBLY-OPERATION CLASSROOM-OPERATION RIG)</t>
  </si>
  <si>
    <t>CRTe INTRODUCTION, CRTe ASSEMBLY, CRTe MAINTENANCE 2B,2C</t>
  </si>
  <si>
    <t>USO, MANEJO Y MANTENIMIENTO DE EQUIPOS PARA INTRODUCCION Y RECUPERACION DE TUBERIA DE REVESTIMIENTO Y/O PRODUCCION</t>
  </si>
  <si>
    <t>USO, MANEJO Y MANTENIMIENTO DE CUÑA ROTARIA CON SISTEMA NEUMATICO E HIDRAULICO (MODELO 26-100-PD RMET "SLD")</t>
  </si>
  <si>
    <t>MANTENIMIENTO Y REPARACION DE EQUIPO DE MONITOREO, REGISTRO Y CONTROL PARA APRIETE DE WINCATT, MTT Y TTS08</t>
  </si>
  <si>
    <t>USO Y MANEJO DE EQUIPO DE MONITOREO,REGISTRO Y CONTROL DE APRIETE, WINCATT, MTT Y TTS08</t>
  </si>
  <si>
    <t>CONTROL SYSTEMS "ALL TORQUE COURSE GEN2 V1.1"</t>
  </si>
  <si>
    <t>AELIUM TORQUE SUB COURSE EXAM</t>
  </si>
  <si>
    <t>CARE, MAINTENANCE AND TESTING OF ALL TORQUE AT3/EXP EQUIPMENT V1.2</t>
  </si>
  <si>
    <t>APLICACION DE PINTURA INDUSTRIAL</t>
  </si>
  <si>
    <t>ELECTRICIDAD INDUSTRIAL</t>
  </si>
  <si>
    <t>EMISION</t>
  </si>
  <si>
    <t>VIGENCIA</t>
  </si>
  <si>
    <t>ESTATUS</t>
  </si>
  <si>
    <t>DIAS A VENCER</t>
  </si>
  <si>
    <t>INICIO</t>
  </si>
  <si>
    <t>ANTERIOR</t>
  </si>
  <si>
    <t>EMISIÓN</t>
  </si>
  <si>
    <t>No. CERTIFICACION</t>
  </si>
  <si>
    <t>NO. CERTIFICACION</t>
  </si>
  <si>
    <t>REGISTRO PEP</t>
  </si>
  <si>
    <t>DIA 1</t>
  </si>
  <si>
    <t>DIA 2</t>
  </si>
  <si>
    <t>STATUS</t>
  </si>
  <si>
    <t>FIN</t>
  </si>
  <si>
    <t>VENCIMIENTO</t>
  </si>
  <si>
    <t>Adelafin Ovando Garcia</t>
  </si>
  <si>
    <t>Mantenimiento</t>
  </si>
  <si>
    <t>Mecanico A Diesel</t>
  </si>
  <si>
    <t>SXX000384871</t>
  </si>
  <si>
    <t>455049E0-742D71</t>
  </si>
  <si>
    <t>PEP/SPTR/GSSTPAP/237/05-01-2023/05-01-2027 SPMP</t>
  </si>
  <si>
    <t>Adisel Peregrino De La Cruz</t>
  </si>
  <si>
    <t>Operaciones</t>
  </si>
  <si>
    <t>Operador Crt</t>
  </si>
  <si>
    <t>SXX000389201</t>
  </si>
  <si>
    <t>7658882E-18AC7D</t>
  </si>
  <si>
    <t>PEP/SPTR/GSSTPAP/237/05-01-2023/05-01-2027/SPMP</t>
  </si>
  <si>
    <t>Adrian Miranda Hernandez</t>
  </si>
  <si>
    <t>Ayudante General De Operaciones</t>
  </si>
  <si>
    <t>SXX000471458</t>
  </si>
  <si>
    <t>1E57CDC7-05696D</t>
  </si>
  <si>
    <t>Alberto Perez Gomez</t>
  </si>
  <si>
    <t>Operador De Llave</t>
  </si>
  <si>
    <t>SXX000317277</t>
  </si>
  <si>
    <t>5BC69782-111E8C</t>
  </si>
  <si>
    <t>Alejandro Antonio Acosta Luna</t>
  </si>
  <si>
    <t>Ayudante General De Mantenimiento</t>
  </si>
  <si>
    <t>SXX000573942</t>
  </si>
  <si>
    <t>E9AD7A1C-98CF6C</t>
  </si>
  <si>
    <t>Alejandro De La Cruz Dominguez</t>
  </si>
  <si>
    <t>SXX000415671</t>
  </si>
  <si>
    <t>8786B8D4-DC4B7B</t>
  </si>
  <si>
    <t>Alexis Castellanos Lopez</t>
  </si>
  <si>
    <t>SXX000356668</t>
  </si>
  <si>
    <t>14F7116B-416AEE</t>
  </si>
  <si>
    <t>Alexis Miguel Frias Ovando</t>
  </si>
  <si>
    <t>SXX000399271</t>
  </si>
  <si>
    <t>2271DF63-1197A7</t>
  </si>
  <si>
    <t>Alfredo Rodriguez Hernandez</t>
  </si>
  <si>
    <t>Alineador De Tuberia</t>
  </si>
  <si>
    <t>SXX000329246</t>
  </si>
  <si>
    <t>FF26F62F-CDDCBD</t>
  </si>
  <si>
    <t>Alonso Mendez Izquierdo</t>
  </si>
  <si>
    <t>SXX000308625</t>
  </si>
  <si>
    <t>F5833BEF-0C99CF</t>
  </si>
  <si>
    <t>Aminada Silvan Perez</t>
  </si>
  <si>
    <t>Coordinador De Mantenimiento Mecanico</t>
  </si>
  <si>
    <t>SXX000438978</t>
  </si>
  <si>
    <t>EF23FB20-42DDC1</t>
  </si>
  <si>
    <t>Andres Hernandez Ramos</t>
  </si>
  <si>
    <t>SXX000428120</t>
  </si>
  <si>
    <t>133907B0-F18A2A</t>
  </si>
  <si>
    <t>Andres Ramos Lopez</t>
  </si>
  <si>
    <t>SXX000479774</t>
  </si>
  <si>
    <t>BC0E6C73-4AA942</t>
  </si>
  <si>
    <t>Andres Sanchez Palma</t>
  </si>
  <si>
    <t>SXX000456456</t>
  </si>
  <si>
    <t>636B34C9-00BB6C</t>
  </si>
  <si>
    <t>Andres Velazquez Morales</t>
  </si>
  <si>
    <t>Logistica</t>
  </si>
  <si>
    <t>Mecanico Automotriz</t>
  </si>
  <si>
    <t>SXX000438976</t>
  </si>
  <si>
    <t>Angel Alonso Cortes Diaz</t>
  </si>
  <si>
    <t>Sspa</t>
  </si>
  <si>
    <t>Supervisor De Sspa</t>
  </si>
  <si>
    <t>SXX000398086</t>
  </si>
  <si>
    <t>04B0329B-F650BD</t>
  </si>
  <si>
    <t>Angel Urbano Chavez Raga</t>
  </si>
  <si>
    <t>Operador De Izadora</t>
  </si>
  <si>
    <t>SXX000471461</t>
  </si>
  <si>
    <t>79FAB9AE-0345D1</t>
  </si>
  <si>
    <t>21/11/202</t>
  </si>
  <si>
    <t>Artemio Guzman Zacarias</t>
  </si>
  <si>
    <t>Operador Tractocamion</t>
  </si>
  <si>
    <t>SXX000353151</t>
  </si>
  <si>
    <t>Arturo Hernandez Arias</t>
  </si>
  <si>
    <t>Operador</t>
  </si>
  <si>
    <t>SXX000451402</t>
  </si>
  <si>
    <t>3EDB7817-4731B2</t>
  </si>
  <si>
    <t>Asuncion Reyes Hernandez</t>
  </si>
  <si>
    <t>Operario</t>
  </si>
  <si>
    <t>SXX000449592</t>
  </si>
  <si>
    <t>95708535-32EFB5</t>
  </si>
  <si>
    <t>Audemer Ricardez Alvarez</t>
  </si>
  <si>
    <t>SXX000470925</t>
  </si>
  <si>
    <t>2FB9A0D8-09CDF2</t>
  </si>
  <si>
    <t>Benito Antonio Torrez Lopez</t>
  </si>
  <si>
    <t>SXX000399268</t>
  </si>
  <si>
    <t>D0896EA3-8BEC44</t>
  </si>
  <si>
    <t>Braulio Ocaña Ramirez</t>
  </si>
  <si>
    <t>SXX000514870</t>
  </si>
  <si>
    <t>PEP/SPPTR/GSSTPARM/145/02-12-2019/02-12-2022</t>
  </si>
  <si>
    <t>Bruno Del Carmen Camara Morales</t>
  </si>
  <si>
    <t>SXX000329381</t>
  </si>
  <si>
    <t>A5C26BBD-E47069</t>
  </si>
  <si>
    <t>Carlos Arturo Burelo Vidal</t>
  </si>
  <si>
    <t>Operador Hiab</t>
  </si>
  <si>
    <t>SXX000573943</t>
  </si>
  <si>
    <t>Carlos Edilfonso Zapata Taracena</t>
  </si>
  <si>
    <t>SXX000350350</t>
  </si>
  <si>
    <t>Carlos Francisco Mateos Morales</t>
  </si>
  <si>
    <t>Operador De Computo</t>
  </si>
  <si>
    <t>SXX000449594</t>
  </si>
  <si>
    <t>4EA51BFC-29A1E5</t>
  </si>
  <si>
    <t>Carlos Javier De La O Castillo</t>
  </si>
  <si>
    <t>Mantenimiento Electronico</t>
  </si>
  <si>
    <t>Auxiliar De Mantenimiento Electronico</t>
  </si>
  <si>
    <t>SXX000275903</t>
  </si>
  <si>
    <t>813DBDF6-D787E4</t>
  </si>
  <si>
    <t>Carmen De La O Olan</t>
  </si>
  <si>
    <t>Soldador</t>
  </si>
  <si>
    <t>SXX000334191</t>
  </si>
  <si>
    <t>DE0129B3-8BBD96</t>
  </si>
  <si>
    <t>Celin De La Cruz Wilson</t>
  </si>
  <si>
    <t>Operador Responsable</t>
  </si>
  <si>
    <t>SXX000415687</t>
  </si>
  <si>
    <t>7251D99D-DB25EC</t>
  </si>
  <si>
    <t>Cesar Manuel Mirabal Ocaña</t>
  </si>
  <si>
    <t>SXX000471463</t>
  </si>
  <si>
    <t>FC14647F-FF6272</t>
  </si>
  <si>
    <t>Concepcion Coronel Martinez</t>
  </si>
  <si>
    <t>SXX000415682</t>
  </si>
  <si>
    <t>97C1A8DE-594239</t>
  </si>
  <si>
    <t>Concepcion Felix Gonzalez</t>
  </si>
  <si>
    <t>Ayudante General De Logistica</t>
  </si>
  <si>
    <t>SXX000376443</t>
  </si>
  <si>
    <t>Daniel Andres Olan Sanchez</t>
  </si>
  <si>
    <t>SXX000456445</t>
  </si>
  <si>
    <t>F4772A07-14C9CF</t>
  </si>
  <si>
    <t>Daniel Castillo Cruz</t>
  </si>
  <si>
    <t>SXX000298006</t>
  </si>
  <si>
    <t>4D717BEF-CB7199</t>
  </si>
  <si>
    <t>Daniel Zamudio Oramas</t>
  </si>
  <si>
    <t>SXX000353160</t>
  </si>
  <si>
    <t>D6B9338D-96568E</t>
  </si>
  <si>
    <t>Davey Zacarias De La Cruz Cordova</t>
  </si>
  <si>
    <t>Supervisor De Operaciones</t>
  </si>
  <si>
    <t>SXX000320997</t>
  </si>
  <si>
    <t>5196B025-A14166</t>
  </si>
  <si>
    <t>David Aaron Cruz Sarao</t>
  </si>
  <si>
    <t>Operador De Izaje</t>
  </si>
  <si>
    <t>SXX000415661</t>
  </si>
  <si>
    <t>4AA5A30A-CC05F4</t>
  </si>
  <si>
    <t>David De La Cruz Olan</t>
  </si>
  <si>
    <t xml:space="preserve">Operador De Equipo De Llenado </t>
  </si>
  <si>
    <t>SXX000433171</t>
  </si>
  <si>
    <t>A7317947-D52BFB</t>
  </si>
  <si>
    <t>Dennys Ney Hernandez</t>
  </si>
  <si>
    <t>SXX000321002</t>
  </si>
  <si>
    <t>432E4038-7C1715</t>
  </si>
  <si>
    <t>Domitilo Velazquez Hernandez</t>
  </si>
  <si>
    <t>SXX000317939</t>
  </si>
  <si>
    <t>Eddy Iran Lopez Landero</t>
  </si>
  <si>
    <t>SXX000433174</t>
  </si>
  <si>
    <t>6971C49A-81D87D</t>
  </si>
  <si>
    <t>Eden Otoniel Hernandez Hernandez</t>
  </si>
  <si>
    <t>SXX000317942</t>
  </si>
  <si>
    <t>89AC2DAB-AD43C9</t>
  </si>
  <si>
    <t>Eder Angel Zuñiga Palma</t>
  </si>
  <si>
    <t>SXX000353161</t>
  </si>
  <si>
    <t>Eduardo Alvarez Ortiz</t>
  </si>
  <si>
    <t>SXX000438983</t>
  </si>
  <si>
    <t>BC5BB264-51475D</t>
  </si>
  <si>
    <t>Edwin Hernandez Lopez</t>
  </si>
  <si>
    <t>SXX000451407</t>
  </si>
  <si>
    <t>09C36F80-2AD5B9</t>
  </si>
  <si>
    <t>Enrique Jimenez Garcia</t>
  </si>
  <si>
    <t>SXX000320995</t>
  </si>
  <si>
    <t>9C456471-F7B8B4</t>
  </si>
  <si>
    <t>Eusebio Ovando Gordillo</t>
  </si>
  <si>
    <t>SXX000505988</t>
  </si>
  <si>
    <t>7B42CD51-E01A54</t>
  </si>
  <si>
    <t>Evencio Perera Garcia</t>
  </si>
  <si>
    <t>SXX000353158</t>
  </si>
  <si>
    <t>Felix Equiz Ramos</t>
  </si>
  <si>
    <t>SXX000456444</t>
  </si>
  <si>
    <t>Fernando Alvarez Jimenez</t>
  </si>
  <si>
    <t>SXX000537178</t>
  </si>
  <si>
    <t>CB19D76D-3D7F95</t>
  </si>
  <si>
    <t>Fernando Castillo Arias</t>
  </si>
  <si>
    <t>SXX000376440</t>
  </si>
  <si>
    <t>Fernando Hernandez Barabata</t>
  </si>
  <si>
    <t>SXX000314544</t>
  </si>
  <si>
    <t>A10553B7-804764</t>
  </si>
  <si>
    <t>Fernando Rocha Guerrero</t>
  </si>
  <si>
    <t>SXX000327584</t>
  </si>
  <si>
    <t>4D53B9EE-675FC3</t>
  </si>
  <si>
    <t>Flavio Gonzalez Silva</t>
  </si>
  <si>
    <t>SXX000555511</t>
  </si>
  <si>
    <t>178E850D-8D99BE</t>
  </si>
  <si>
    <t>Floricel Jimenez De La Cruz</t>
  </si>
  <si>
    <t>SXX000329233</t>
  </si>
  <si>
    <t>9B875AB3-35C2EB</t>
  </si>
  <si>
    <t>Francisco De Jesus Mendez Vazquez</t>
  </si>
  <si>
    <t>SXX000479775</t>
  </si>
  <si>
    <t>27BA91EB-DEFA57</t>
  </si>
  <si>
    <t>Francisco Guillermo Vazquez Mendez</t>
  </si>
  <si>
    <t>SXX000514874</t>
  </si>
  <si>
    <t>Francisco Javier Reyes Juarez</t>
  </si>
  <si>
    <t>SXX000314543</t>
  </si>
  <si>
    <t>D3C223DD-3167C4</t>
  </si>
  <si>
    <t>Francisco Jimenez Acosta</t>
  </si>
  <si>
    <t>SXX000329230</t>
  </si>
  <si>
    <t>6F408982-C542FE</t>
  </si>
  <si>
    <t>Francisco Marcial Santiago Gomez</t>
  </si>
  <si>
    <t>SXX000389204</t>
  </si>
  <si>
    <t>256A0300-E64C27</t>
  </si>
  <si>
    <t>Fredy Flores Hernandez</t>
  </si>
  <si>
    <t>SXX000317286</t>
  </si>
  <si>
    <t>63329AF6-9195C6</t>
  </si>
  <si>
    <t>Gabriel Antonio Piedra Martinez</t>
  </si>
  <si>
    <t>SXX000456438</t>
  </si>
  <si>
    <t>4B8EAB76-57D2EB</t>
  </si>
  <si>
    <t>Gabriel Frias Aparicio</t>
  </si>
  <si>
    <t>SXX000353124</t>
  </si>
  <si>
    <t>Gamaliel Peregrino De La Cruz</t>
  </si>
  <si>
    <t>SXX000329247</t>
  </si>
  <si>
    <t>Gaspar Garcia Mezquita</t>
  </si>
  <si>
    <t>SXX000327587</t>
  </si>
  <si>
    <t>204602B6-482A33</t>
  </si>
  <si>
    <t>Genaro Hernandez Alcudia</t>
  </si>
  <si>
    <t>SXX000428118</t>
  </si>
  <si>
    <t>Gerardo Jimenez Lopez</t>
  </si>
  <si>
    <t>SXX000573944</t>
  </si>
  <si>
    <t>Gerardo Lopez Murillo</t>
  </si>
  <si>
    <t>SXX000451404</t>
  </si>
  <si>
    <t>2A006F70-E81E88</t>
  </si>
  <si>
    <t>Guadalupe Alegria Alegria</t>
  </si>
  <si>
    <t>SXX000505986</t>
  </si>
  <si>
    <t>Guadalupe De La Cruz Montero</t>
  </si>
  <si>
    <t>SXX000428115</t>
  </si>
  <si>
    <t>8B73375A-8D4350</t>
  </si>
  <si>
    <t>Guadalupe Jimenez Ocaña</t>
  </si>
  <si>
    <t>SXX000317282</t>
  </si>
  <si>
    <t>96AB840F-A90F84</t>
  </si>
  <si>
    <t>Heber Habacuc Sillas Pazos</t>
  </si>
  <si>
    <t>SXX000320999</t>
  </si>
  <si>
    <t>F42676AE-E6FA8D</t>
  </si>
  <si>
    <t>Hector Ovando Mendez</t>
  </si>
  <si>
    <t>SXX000471464</t>
  </si>
  <si>
    <t>6FFD361D-42680B</t>
  </si>
  <si>
    <t>Henry Daniel Cruz Marquez</t>
  </si>
  <si>
    <t>SXX000298015</t>
  </si>
  <si>
    <t>EA2005A7-42AB17</t>
  </si>
  <si>
    <t>Henry Del Carmen Alejo Priego</t>
  </si>
  <si>
    <t>SXX000403308</t>
  </si>
  <si>
    <t>C3246164-D366BF</t>
  </si>
  <si>
    <t>Hugo Marin Bayona</t>
  </si>
  <si>
    <t>SXX000347461</t>
  </si>
  <si>
    <t>997EE3A6-419B57</t>
  </si>
  <si>
    <t>Humberto Perez Matias</t>
  </si>
  <si>
    <t>SXX000389205</t>
  </si>
  <si>
    <t>E36C7878-E76526</t>
  </si>
  <si>
    <t>Idelfonso Saunier Castillo</t>
  </si>
  <si>
    <t>SXX000402513</t>
  </si>
  <si>
    <t>00D273DD-59B9B3</t>
  </si>
  <si>
    <t>Isaias Gomez Martinez</t>
  </si>
  <si>
    <t>SXX000399275</t>
  </si>
  <si>
    <t>955910CC-D16DBA</t>
  </si>
  <si>
    <t>Isidro Cuevas Leon</t>
  </si>
  <si>
    <t>SXX000321005</t>
  </si>
  <si>
    <t>Ivanovita Ruiz Cobos</t>
  </si>
  <si>
    <t>Asistente Operaciones</t>
  </si>
  <si>
    <t>SXX000505985</t>
  </si>
  <si>
    <t>Izamal Hernandez Perez</t>
  </si>
  <si>
    <t>SXX000435451</t>
  </si>
  <si>
    <t>C4E813B1-B89E29</t>
  </si>
  <si>
    <t>Jacinto Gamboa Rodriguez</t>
  </si>
  <si>
    <t>SXX000320998</t>
  </si>
  <si>
    <t>AF943070-A9A14D</t>
  </si>
  <si>
    <t>Jamin Bautista Garcia</t>
  </si>
  <si>
    <t>SXX000505990</t>
  </si>
  <si>
    <t>Javier Pizaña Reyes</t>
  </si>
  <si>
    <t>Gerente De Operaciones</t>
  </si>
  <si>
    <t>SXX000456437</t>
  </si>
  <si>
    <t>6C0E92B2-ED74E7</t>
  </si>
  <si>
    <t>PEP/SPTR/GSSTPARS/207/06-06-2022/06-06-2026</t>
  </si>
  <si>
    <t>Jeremias Hernandez Frias</t>
  </si>
  <si>
    <t>SXX000329236</t>
  </si>
  <si>
    <t>FE85F4EB-33D8E6</t>
  </si>
  <si>
    <t>Jesus Del Carmen Lopez Chable</t>
  </si>
  <si>
    <t>SXX000243770</t>
  </si>
  <si>
    <t>C957BA50-6D7D39</t>
  </si>
  <si>
    <t>Jesus Fabian Perez Pedraza</t>
  </si>
  <si>
    <t>SXX000514872</t>
  </si>
  <si>
    <t>Jesus Gregorio Juarez De La Cruz</t>
  </si>
  <si>
    <t>SXX000438985</t>
  </si>
  <si>
    <t>DA467AC8-C9D270</t>
  </si>
  <si>
    <t>Jesus Manuel Valencia Ricardez</t>
  </si>
  <si>
    <t>SXX000433183</t>
  </si>
  <si>
    <t>Jhonathan Lazaro May</t>
  </si>
  <si>
    <t>SXX000402514</t>
  </si>
  <si>
    <t>F5BEDEB0-4C58CD</t>
  </si>
  <si>
    <t>Jhonis Deyvis Peregrino Leyva</t>
  </si>
  <si>
    <t>SXX000471462</t>
  </si>
  <si>
    <t>C261E714-669A91</t>
  </si>
  <si>
    <t>17/04/20253</t>
  </si>
  <si>
    <t>Jhonny Alamilla Salvador</t>
  </si>
  <si>
    <t>SXX000449590</t>
  </si>
  <si>
    <t>F528464D-5E3D4F</t>
  </si>
  <si>
    <t>PEP/SPTR/GSSTPARS/203/18-11-2021/18-11-2025/PEP/SPMP</t>
  </si>
  <si>
    <t>Joel Perez Custodio</t>
  </si>
  <si>
    <t>SXX000376442</t>
  </si>
  <si>
    <t>Jonatan Jimenez Ocaña</t>
  </si>
  <si>
    <t>SXX000433175</t>
  </si>
  <si>
    <t>4824E64F-46773C</t>
  </si>
  <si>
    <t>Jorge Alberto Garcia Hernandez</t>
  </si>
  <si>
    <t>SXX000471457</t>
  </si>
  <si>
    <t>87404355-3B839E</t>
  </si>
  <si>
    <t>Jorge Alberto Suarez Perez</t>
  </si>
  <si>
    <t>SXX000469616</t>
  </si>
  <si>
    <t>A62F29F7-26BFFB</t>
  </si>
  <si>
    <t>Jorge Alejandro Zapata Sanchez</t>
  </si>
  <si>
    <t>SXX000327585</t>
  </si>
  <si>
    <t>5B1C5025-03A102</t>
  </si>
  <si>
    <t>Jorge Moroni Lopez De La Cruz</t>
  </si>
  <si>
    <t>Despachador</t>
  </si>
  <si>
    <t>SXX000347458</t>
  </si>
  <si>
    <t>9CB09FF5-05BCBC</t>
  </si>
  <si>
    <t>Jorge Ocaña Ocaña</t>
  </si>
  <si>
    <t>SXX000433180</t>
  </si>
  <si>
    <t>Jose Angel Gutierrez De La Cruz</t>
  </si>
  <si>
    <t>Eléctrico Automotriz</t>
  </si>
  <si>
    <t>SXX000428117</t>
  </si>
  <si>
    <t>Jose Antonio Hernandez De La O</t>
  </si>
  <si>
    <t>SXX000505991</t>
  </si>
  <si>
    <t>Jose Carlos De Los Santos De La Cruz</t>
  </si>
  <si>
    <t>SXX000399274</t>
  </si>
  <si>
    <t>3C41AE12-39F14B</t>
  </si>
  <si>
    <t>Jose Cristian Torres Vasconcelos</t>
  </si>
  <si>
    <t>SXX000314538</t>
  </si>
  <si>
    <t>9DA86ABE-088447</t>
  </si>
  <si>
    <t>Jose De Los Santos Maza Perez</t>
  </si>
  <si>
    <t>Jose Del Carmen Hernandez Frias</t>
  </si>
  <si>
    <t>SXX000456457</t>
  </si>
  <si>
    <t>66A7DA42-03A07C</t>
  </si>
  <si>
    <t>Jose Del Carmen Morales Beaurregard</t>
  </si>
  <si>
    <t>SXX000317940</t>
  </si>
  <si>
    <t>B7BD49B8-7DEE4B</t>
  </si>
  <si>
    <t>Jose Del Carmen Torres Isidro</t>
  </si>
  <si>
    <t>Operario Electricista</t>
  </si>
  <si>
    <t>SXX000275904</t>
  </si>
  <si>
    <t>F491C987-6FAA13</t>
  </si>
  <si>
    <t>Jose Dolores Montejo Garcia</t>
  </si>
  <si>
    <t>SXX000327591</t>
  </si>
  <si>
    <t>6C4006F2-83BCBF</t>
  </si>
  <si>
    <t>Jose Eden Cordova Leyva</t>
  </si>
  <si>
    <t>SXX000327578</t>
  </si>
  <si>
    <t>3003FCE6-3A60F7</t>
  </si>
  <si>
    <t>Jose Emiliano Ramon Ketchum</t>
  </si>
  <si>
    <t>SXX000263399</t>
  </si>
  <si>
    <t>1CDC74D1-C2DF08</t>
  </si>
  <si>
    <t>Jose Guadalupe Baeza Salaya</t>
  </si>
  <si>
    <t>SXX000438991</t>
  </si>
  <si>
    <t>CE93DCB7-121413</t>
  </si>
  <si>
    <t>Jose Israel Izquierdo Reyes</t>
  </si>
  <si>
    <t>SXX000275899</t>
  </si>
  <si>
    <t>99CF8B15-B34EF7</t>
  </si>
  <si>
    <t>Jose Javier Garcia Contreras</t>
  </si>
  <si>
    <t>SXX000428116</t>
  </si>
  <si>
    <t>DFB08405-EAD835</t>
  </si>
  <si>
    <t>Jose Jesus Romero San Agustin</t>
  </si>
  <si>
    <t>SXX000317276</t>
  </si>
  <si>
    <t>Jose Luis Carrasco Gomez</t>
  </si>
  <si>
    <t>SXX000433182</t>
  </si>
  <si>
    <t>Jose Luis Madrigal Lechuga</t>
  </si>
  <si>
    <t>Representante Tecnico</t>
  </si>
  <si>
    <t>SXX000471642</t>
  </si>
  <si>
    <t>8342A675-E8B93F</t>
  </si>
  <si>
    <t>Jose Luis Martinez Figueroa</t>
  </si>
  <si>
    <t>SXX000327589</t>
  </si>
  <si>
    <t>F305F5AD-01ED2D</t>
  </si>
  <si>
    <t>Jose Manuel Leon Marin</t>
  </si>
  <si>
    <t>SXX000471460</t>
  </si>
  <si>
    <t>FB8CCC53-74EA48</t>
  </si>
  <si>
    <t>Jose Roberto Hernandez Ramon</t>
  </si>
  <si>
    <t>SXX000314540</t>
  </si>
  <si>
    <t>A4C05F56-ED738A</t>
  </si>
  <si>
    <t>Juan Andres Hernandez Castillo</t>
  </si>
  <si>
    <t>SXX000329235</t>
  </si>
  <si>
    <t>2E2EE988-27BE16</t>
  </si>
  <si>
    <t>Juan Antonio Izquierdo Rodriguez</t>
  </si>
  <si>
    <t>SXX000317943</t>
  </si>
  <si>
    <t>4BE2BB9A-91A4EC</t>
  </si>
  <si>
    <t>Juan Carlos Ramon Cao</t>
  </si>
  <si>
    <t>SXX000314537</t>
  </si>
  <si>
    <t>3250F7F6-2426A7</t>
  </si>
  <si>
    <t>Juan Carlos Valdiviezo Alvarez</t>
  </si>
  <si>
    <t>SXX000537179</t>
  </si>
  <si>
    <t>4E5F0E69-ECEA22</t>
  </si>
  <si>
    <t>Juan Hipolito Hernandez</t>
  </si>
  <si>
    <t>SXX000347460</t>
  </si>
  <si>
    <t>7210D720-E967AE</t>
  </si>
  <si>
    <t>Julio Cesar Dominguez Diaz</t>
  </si>
  <si>
    <t>SXX000376444</t>
  </si>
  <si>
    <t>F756C86F-BFE47B</t>
  </si>
  <si>
    <t>Julio Cesar Paz Baez</t>
  </si>
  <si>
    <t>SXX000353157</t>
  </si>
  <si>
    <t>Leonardo Lazaro Morales</t>
  </si>
  <si>
    <t>SXX000394676</t>
  </si>
  <si>
    <t>4D183463-3A6CB1</t>
  </si>
  <si>
    <t>Leonardo Mendez Mendez</t>
  </si>
  <si>
    <t>SXX000433179</t>
  </si>
  <si>
    <t>Lucilo Broca Gonzalez</t>
  </si>
  <si>
    <t>SXX000317289</t>
  </si>
  <si>
    <t>62108C14-55C12A</t>
  </si>
  <si>
    <t>Luis Alberto Lopez Reyes</t>
  </si>
  <si>
    <t>SXX000353155</t>
  </si>
  <si>
    <t>Luis Alfonso Palomeque Velueta</t>
  </si>
  <si>
    <t>SXX000514871</t>
  </si>
  <si>
    <t>Luis Enrique Gamboa Baeza</t>
  </si>
  <si>
    <t>SXX000402512</t>
  </si>
  <si>
    <t>F05B6172-5C1AB2</t>
  </si>
  <si>
    <t>Luis Felipe Gomez Diaz</t>
  </si>
  <si>
    <t>Coordinador General De Operaciones</t>
  </si>
  <si>
    <t>SXX000451403</t>
  </si>
  <si>
    <t>E6AF979C-F69ADA</t>
  </si>
  <si>
    <t>Luis Felipe Morales Almeida</t>
  </si>
  <si>
    <t>SXX000353156</t>
  </si>
  <si>
    <t>Luis Felipe Segura De La Cruz</t>
  </si>
  <si>
    <t>Gestor De Operaciones</t>
  </si>
  <si>
    <t>SXX000555513</t>
  </si>
  <si>
    <t>7EAC7C6E-F52A99</t>
  </si>
  <si>
    <t>Luis Fernando Vidal Hernandez</t>
  </si>
  <si>
    <t>SXX000573945</t>
  </si>
  <si>
    <t>Manuel De La Cruz Garcia</t>
  </si>
  <si>
    <t>SXX000438990</t>
  </si>
  <si>
    <t>649F000C-03B992</t>
  </si>
  <si>
    <t>Marco Antonio Aguirre Garcia</t>
  </si>
  <si>
    <t>SXX000399266</t>
  </si>
  <si>
    <t>B10B1E7E-F1A07A</t>
  </si>
  <si>
    <t>PEP/SPTR/GSSTPARS/207/06-06-2022/06-06-2026/PEP/SPMP</t>
  </si>
  <si>
    <t>Programar</t>
  </si>
  <si>
    <t>Maria Faustina May May</t>
  </si>
  <si>
    <t>SXX000471643</t>
  </si>
  <si>
    <t>9EBDDD10-D811F8</t>
  </si>
  <si>
    <t>Martin Cosme Patiño Ramirez</t>
  </si>
  <si>
    <t>SXX000449595</t>
  </si>
  <si>
    <t>46D16B07-0068F0</t>
  </si>
  <si>
    <t>Martin Ovando Hernandez</t>
  </si>
  <si>
    <t>SXX000428122</t>
  </si>
  <si>
    <t>Mauricio Ovando Acopa</t>
  </si>
  <si>
    <t>SXX000449593</t>
  </si>
  <si>
    <t>D7616CC1-4DF0EC</t>
  </si>
  <si>
    <t>Miguel Angel Esteban Mendez</t>
  </si>
  <si>
    <t>SXX000456443</t>
  </si>
  <si>
    <t>C0071BD0-9B0508</t>
  </si>
  <si>
    <t>Miguel Angel Valles Hidalgo</t>
  </si>
  <si>
    <t>SXX000321001</t>
  </si>
  <si>
    <t>3013816F-C2B473</t>
  </si>
  <si>
    <t>Natividad Chan Frias</t>
  </si>
  <si>
    <t>Operario De Mantenimiento</t>
  </si>
  <si>
    <t>SXX000275902</t>
  </si>
  <si>
    <t>E8FC562B-E6F47A</t>
  </si>
  <si>
    <t>Nelson Mariano Arpaiz Rodriguez</t>
  </si>
  <si>
    <t>SXX000536170</t>
  </si>
  <si>
    <t>B0F37242-0E6FA0</t>
  </si>
  <si>
    <t>Noe Sanchez Vargas</t>
  </si>
  <si>
    <t>SXX000433170</t>
  </si>
  <si>
    <t>3997204C-47DB04</t>
  </si>
  <si>
    <t>Otilio Manuel Perez De La Cruz</t>
  </si>
  <si>
    <t>SXX000384872</t>
  </si>
  <si>
    <t>Pablo Alejandro Hernandez</t>
  </si>
  <si>
    <t>SXX000415686</t>
  </si>
  <si>
    <t>94D00343-AADCBA</t>
  </si>
  <si>
    <t>Pascual Salvador Hernandez</t>
  </si>
  <si>
    <t>SXX000433186</t>
  </si>
  <si>
    <t>Pedro Arjona Esteban</t>
  </si>
  <si>
    <t>SXX000312833</t>
  </si>
  <si>
    <t>0B741C14-32C9ED</t>
  </si>
  <si>
    <t>Rafael Rodriguez Moreno</t>
  </si>
  <si>
    <t>SXX000433172</t>
  </si>
  <si>
    <t>6719B831-34CFC5</t>
  </si>
  <si>
    <t>2-H</t>
  </si>
  <si>
    <t>Rafael Zapata Candelero</t>
  </si>
  <si>
    <t>Hergo</t>
  </si>
  <si>
    <t>Tecnico Especialista En Apriete De Accesorios</t>
  </si>
  <si>
    <t>Ricardo Fernandez Gonzalez</t>
  </si>
  <si>
    <t>SXX000456442</t>
  </si>
  <si>
    <t>A9BE42AA-71327E</t>
  </si>
  <si>
    <t>Ricardo Hernandez Ruiz</t>
  </si>
  <si>
    <t>Jefe De Mantenimiento Electronico</t>
  </si>
  <si>
    <t>SXX000384869</t>
  </si>
  <si>
    <t>41A05E71-3A968F</t>
  </si>
  <si>
    <t>Rigoberto Sanchez Frias</t>
  </si>
  <si>
    <t>SXX000327592</t>
  </si>
  <si>
    <t>DBC1AFBE-57D135</t>
  </si>
  <si>
    <t>Rito Campos De La Cruz</t>
  </si>
  <si>
    <t xml:space="preserve">Operario </t>
  </si>
  <si>
    <t>SXX000433176</t>
  </si>
  <si>
    <t>64E10799-BAD228</t>
  </si>
  <si>
    <t>6//3/23</t>
  </si>
  <si>
    <t>Rodrigo Jimenez Dominguez</t>
  </si>
  <si>
    <t>SXX000317275</t>
  </si>
  <si>
    <t>Roman De La Cruz Cordova</t>
  </si>
  <si>
    <t>SXX000402517</t>
  </si>
  <si>
    <t>BB005771-35858F</t>
  </si>
  <si>
    <t>Romel Amaury Alamilla Robles</t>
  </si>
  <si>
    <t>SXX000573949</t>
  </si>
  <si>
    <t>Romeo Gomez Garcia</t>
  </si>
  <si>
    <t>SXX000471454</t>
  </si>
  <si>
    <t>B432CFD2-27C1FA</t>
  </si>
  <si>
    <t>Ruben Alejandre Chable</t>
  </si>
  <si>
    <t>Operario De Mantenimiento A Crt</t>
  </si>
  <si>
    <t>SXX000295706</t>
  </si>
  <si>
    <t>15177B3E-C726FA</t>
  </si>
  <si>
    <t>Ruben Andres Escudero De Los Santos</t>
  </si>
  <si>
    <t>Analista De Planeacion Estrategica</t>
  </si>
  <si>
    <t>SXX000470924</t>
  </si>
  <si>
    <t>B98B3656-4A5744</t>
  </si>
  <si>
    <t>Rubicel Bocanegra Ramon</t>
  </si>
  <si>
    <t>SXX000376441</t>
  </si>
  <si>
    <t>AF51E482-AF34BD</t>
  </si>
  <si>
    <t>Samuel Olan Cerino</t>
  </si>
  <si>
    <t>SXX000298020</t>
  </si>
  <si>
    <t>4AAB31F5-D13B45</t>
  </si>
  <si>
    <t>Samuel Rodriguez De La Cruz</t>
  </si>
  <si>
    <t>SXX000347462</t>
  </si>
  <si>
    <t>D2E426F5-D1CEE1</t>
  </si>
  <si>
    <t>Santiago Lopez Garcia</t>
  </si>
  <si>
    <t>SXX000353153</t>
  </si>
  <si>
    <t>Santiago Obando Garcia</t>
  </si>
  <si>
    <t>SXX000384870</t>
  </si>
  <si>
    <t>061B8ECC-EABEF3</t>
  </si>
  <si>
    <t>Santos Diaz Alvarez</t>
  </si>
  <si>
    <t>SXX000329234</t>
  </si>
  <si>
    <t>87A6E712-19F9B1</t>
  </si>
  <si>
    <t>Santos Elias Izquierdo Coffin</t>
  </si>
  <si>
    <t>SXX000410523</t>
  </si>
  <si>
    <t>F5B4EB4E-6D6948</t>
  </si>
  <si>
    <t>Selmi Jesus De La Cruz Montero</t>
  </si>
  <si>
    <t>SXX000505987</t>
  </si>
  <si>
    <t>Sergio Hernandez Isidro</t>
  </si>
  <si>
    <t>SXX000424579</t>
  </si>
  <si>
    <t>AC13B165-4AF781</t>
  </si>
  <si>
    <t>Sergio Ortiz Alegria</t>
  </si>
  <si>
    <t>SXX000415685</t>
  </si>
  <si>
    <t>1B534052-F68164</t>
  </si>
  <si>
    <t>Sergio Silvan Ovando</t>
  </si>
  <si>
    <t>SXX000514873</t>
  </si>
  <si>
    <t>Tilo Del Carmen Valenzuela Lopez</t>
  </si>
  <si>
    <t>SXX000456458</t>
  </si>
  <si>
    <t>4B31D9F9-39F682</t>
  </si>
  <si>
    <t>Trinidad Ranero Tosca</t>
  </si>
  <si>
    <t>SXX000317944</t>
  </si>
  <si>
    <t>F1CCFB64-F2A135</t>
  </si>
  <si>
    <t>Ulices Cambrano Torres</t>
  </si>
  <si>
    <t>SXX000505989</t>
  </si>
  <si>
    <t>92822062-0CBC80</t>
  </si>
  <si>
    <t>Victor Adrian Flores Martinez</t>
  </si>
  <si>
    <t>SXX000327586</t>
  </si>
  <si>
    <t>F40B54AD-B7FD47</t>
  </si>
  <si>
    <t>Victor Antonio Acosta Gutierrez</t>
  </si>
  <si>
    <t>SXX000317301</t>
  </si>
  <si>
    <t>669F869D-04DE8C</t>
  </si>
  <si>
    <t>Victor Daniel Chavez Fabian</t>
  </si>
  <si>
    <t>SXX000275901</t>
  </si>
  <si>
    <t>8EE109F6-99E036</t>
  </si>
  <si>
    <t>Victor Malerva Vera</t>
  </si>
  <si>
    <t>SXX000301137</t>
  </si>
  <si>
    <t>0340253B-614525</t>
  </si>
  <si>
    <t>Victor Manuel Chable Montero</t>
  </si>
  <si>
    <t>SXX000536171</t>
  </si>
  <si>
    <t>2ADEF4FC-5D3E9D</t>
  </si>
  <si>
    <t>Wilber Canabal Santiago</t>
  </si>
  <si>
    <t>SXX000438987</t>
  </si>
  <si>
    <t>CFADA7D1-FC22A8</t>
  </si>
  <si>
    <t>Wilbert Ivan Izquierdo Velazquez</t>
  </si>
  <si>
    <t>SXX000402518</t>
  </si>
  <si>
    <t>CFCE28EE-C81CB6</t>
  </si>
  <si>
    <t>Williams Andres Baeza Gomez</t>
  </si>
  <si>
    <t>SXX000321004</t>
  </si>
  <si>
    <t>Willian Cordova Perez</t>
  </si>
  <si>
    <t>SXX000399264</t>
  </si>
  <si>
    <t>3EBA3E51-EE8694</t>
  </si>
  <si>
    <t>Alejandro Castillo Herrera</t>
  </si>
  <si>
    <t>Seguridad Fisica</t>
  </si>
  <si>
    <t>Alejandro Hernandez Garcia</t>
  </si>
  <si>
    <t>Estimaciones</t>
  </si>
  <si>
    <t>Auxiliar De Estimaciones</t>
  </si>
  <si>
    <t>Armando Antonio Vasquez Mercado</t>
  </si>
  <si>
    <t>Bianca Celina Carrillo Galdamez</t>
  </si>
  <si>
    <t>Candelaria Yesenia Balcazar Hernandez</t>
  </si>
  <si>
    <t>Capital Humano</t>
  </si>
  <si>
    <t>Asistente De Calidad</t>
  </si>
  <si>
    <t>SXX000573952</t>
  </si>
  <si>
    <t>Cecilia Del Carmen Chable Trinidad</t>
  </si>
  <si>
    <t>SXX000536172</t>
  </si>
  <si>
    <t>Cesar Augusto Gonzalez Maria</t>
  </si>
  <si>
    <t>Receptor De Servicios</t>
  </si>
  <si>
    <t>Diego Torres Arias</t>
  </si>
  <si>
    <t>Auxiliar Administrativo De Logistica</t>
  </si>
  <si>
    <t>Eduardo Medina Guillermo</t>
  </si>
  <si>
    <t>Jefe De Mantenimiento Mecanico</t>
  </si>
  <si>
    <t>Elizabeth Olvera Sarao</t>
  </si>
  <si>
    <t>Contabilidad</t>
  </si>
  <si>
    <t>Auxiliar Contable</t>
  </si>
  <si>
    <t>Elsa Lopez Mendez</t>
  </si>
  <si>
    <t>Auxiliar Administrativo De Operaciones</t>
  </si>
  <si>
    <t>SXX000341423</t>
  </si>
  <si>
    <t>Emilio Ramos Lopez</t>
  </si>
  <si>
    <t>Ti</t>
  </si>
  <si>
    <t>Auxiliar Ti</t>
  </si>
  <si>
    <t>Ernesto Ramos Salvador</t>
  </si>
  <si>
    <t xml:space="preserve">Alta Direccion </t>
  </si>
  <si>
    <t>Gerente De Administracion Y Finanzas</t>
  </si>
  <si>
    <t>Felipe De Jesus De La Rosa Sanchez</t>
  </si>
  <si>
    <t>Almacen</t>
  </si>
  <si>
    <t>Auxiliar De Almacen</t>
  </si>
  <si>
    <t>Gabriel Torres Suarez</t>
  </si>
  <si>
    <t>Ventas</t>
  </si>
  <si>
    <t>Asistente De Ventas</t>
  </si>
  <si>
    <t>Guadalupe Garcia De Los Santos</t>
  </si>
  <si>
    <t>Auxiliar Administrativo De Mantenimiento</t>
  </si>
  <si>
    <t>Isaias Alvarez Mendoza</t>
  </si>
  <si>
    <t>Javier Cruz Espejo</t>
  </si>
  <si>
    <t>Auxiliar Administrativo</t>
  </si>
  <si>
    <t>Jorge De La Cruz Osorio</t>
  </si>
  <si>
    <t>Verificador De Transporte</t>
  </si>
  <si>
    <t>Jose Luis Vivas Arcos</t>
  </si>
  <si>
    <t>Jose Luis Zamudio Damian</t>
  </si>
  <si>
    <t>SXX000347480</t>
  </si>
  <si>
    <t>E6E6F133-2E72BA</t>
  </si>
  <si>
    <t>Jose Maria Cordova Jimenez</t>
  </si>
  <si>
    <t>Coordinador General De Ventas</t>
  </si>
  <si>
    <t>Juan Magaña Ovando</t>
  </si>
  <si>
    <t>Juan Manuel Campos Vidal</t>
  </si>
  <si>
    <t>C464B49F-5DDB53</t>
  </si>
  <si>
    <t>Lazaro Campos Ovando</t>
  </si>
  <si>
    <t>Luis Agustin Cortazar Serra</t>
  </si>
  <si>
    <t>Jefe De Almacen</t>
  </si>
  <si>
    <t>Luis Alejandro Hernandez Rios</t>
  </si>
  <si>
    <t>Auxiliar De Logistica</t>
  </si>
  <si>
    <t>Maria Del Carmen Ramirez De Los  Santos</t>
  </si>
  <si>
    <t>Maria Luisa Licona Andrade</t>
  </si>
  <si>
    <t>Coordinador General Contable</t>
  </si>
  <si>
    <t>Marisol Narvaez Mayo</t>
  </si>
  <si>
    <t>Jefe De Capital Humano</t>
  </si>
  <si>
    <t>SXX000573955</t>
  </si>
  <si>
    <t>Maritza Garcia Narvaez</t>
  </si>
  <si>
    <t>Mishel Ammiel Loaiza Saul</t>
  </si>
  <si>
    <t>Jefe De Ti</t>
  </si>
  <si>
    <t>Nancy Guadalupe Perez Martinez</t>
  </si>
  <si>
    <t>Compras</t>
  </si>
  <si>
    <t>Auxiliar De Compras</t>
  </si>
  <si>
    <t>Nubia Odet Jimenez Briones</t>
  </si>
  <si>
    <t>Oscar Alberto Toledo Guevara</t>
  </si>
  <si>
    <t>Gerente De Estimaciones</t>
  </si>
  <si>
    <t>Oscar Canuto Ortiz Ortiz</t>
  </si>
  <si>
    <t>Jefe De Estimaciones</t>
  </si>
  <si>
    <t>Patricia Morales Hernandez</t>
  </si>
  <si>
    <t>Ricardo Alonso Rodriguez Shirma</t>
  </si>
  <si>
    <t>Roberto Diaz Cupil</t>
  </si>
  <si>
    <t>Rodolfo Isidro Perez</t>
  </si>
  <si>
    <t>Coordinador De Logistica</t>
  </si>
  <si>
    <t>SXX000456447</t>
  </si>
  <si>
    <t>Rodolfo Martinez Jimenez</t>
  </si>
  <si>
    <t>Roger Alvarez Isidro</t>
  </si>
  <si>
    <t>SXX000164334</t>
  </si>
  <si>
    <t>Sergio Ocaña Ramirez</t>
  </si>
  <si>
    <t>Jefe De Compras</t>
  </si>
  <si>
    <t>Wendy Bacilio Martinez</t>
  </si>
  <si>
    <t>Yesenia Alvarez Martinez</t>
  </si>
  <si>
    <t>Asistente De S.E.</t>
  </si>
  <si>
    <t>SXX000433184</t>
  </si>
  <si>
    <t>Yoli Elizabeth Hernandez Lazaro</t>
  </si>
  <si>
    <t>Miguel Ocaña Ramon</t>
  </si>
  <si>
    <t>Chofer</t>
  </si>
  <si>
    <t>SXX000573946</t>
  </si>
  <si>
    <t>Misael de la Cruz Diaz</t>
  </si>
  <si>
    <t>2327112B-8374D0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</si>
</sst>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b/>
      <sz val="9"/>
      <color theme="1"/>
      <name val="Aptos Narrow"/>
      <family val="2"/>
      <scheme val="minor"/>
    </font>
    <font>
      <sz val="9"/>
      <color theme="1"/>
      <name val="Aptos Narrow"/>
      <family val="2"/>
      <scheme val="minor"/>
    </font>
    <font>
      <b/>
      <sz val="8"/>
      <color theme="1"/>
      <name val="Aptos Narrow"/>
      <family val="2"/>
      <scheme val="minor"/>
    </font>
    <font>
      <sz val="8"/>
      <name val="Aptos Narrow"/>
      <family val="2"/>
      <scheme val="minor"/>
    </font>
    <font>
      <sz val="8"/>
      <color rgb="FF000000"/>
      <name val="Calibri"/>
      <family val="2"/>
    </font>
    <font>
      <sz val="10"/>
      <name val="Arial"/>
      <family val="2"/>
    </font>
    <font>
      <sz val="8"/>
      <color theme="1"/>
      <name val="Aptos Narrow"/>
      <family val="2"/>
      <scheme val="minor"/>
    </font>
    <font>
      <b/>
      <sz val="8"/>
      <name val="Aptos Narrow"/>
      <family val="2"/>
      <scheme val="minor"/>
    </font>
    <font>
      <sz val="8"/>
      <color theme="1"/>
      <name val="Aptos Display"/>
      <family val="2"/>
      <scheme val="major"/>
    </font>
    <font>
      <b/>
      <sz val="9"/>
      <color indexed="81"/>
      <name val="Tahoma"/>
      <family val="2"/>
    </font>
    <font>
      <sz val="9"/>
      <color indexed="81"/>
      <name val="Tahoma"/>
      <family val="2"/>
    </font>
    <font>
      <b/>
      <sz val="9"/>
      <color indexed="81"/>
      <name val="Tahoma"/>
    </font>
  </fonts>
  <fills count="20">
    <fill>
      <patternFill patternType="none"/>
    </fill>
    <fill>
      <patternFill patternType="gray125"/>
    </fill>
    <fill>
      <patternFill patternType="solid">
        <fgColor rgb="FF92D050"/>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rgb="FFFF6D4B"/>
        <bgColor indexed="64"/>
      </patternFill>
    </fill>
    <fill>
      <patternFill patternType="solid">
        <fgColor theme="7" tint="0.39997558519241921"/>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CCCCFF"/>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theme="2" tint="-9.9978637043366805E-2"/>
        <bgColor indexed="64"/>
      </patternFill>
    </fill>
    <fill>
      <patternFill patternType="solid">
        <fgColor rgb="FFFFF2CC"/>
        <bgColor indexed="64"/>
      </patternFill>
    </fill>
    <fill>
      <patternFill patternType="solid">
        <fgColor rgb="FFFFFF00"/>
        <bgColor indexed="64"/>
      </patternFill>
    </fill>
  </fills>
  <borders count="11">
    <border>
      <left/>
      <right/>
      <top/>
      <bottom/>
      <diagonal/>
    </border>
    <border>
      <left style="double">
        <color indexed="64"/>
      </left>
      <right style="double">
        <color indexed="64"/>
      </right>
      <top/>
      <bottom style="double">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double">
        <color indexed="64"/>
      </top>
      <bottom/>
      <diagonal/>
    </border>
    <border>
      <left style="double">
        <color indexed="64"/>
      </left>
      <right style="double">
        <color indexed="64"/>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double">
        <color indexed="64"/>
      </right>
      <top style="thin">
        <color indexed="64"/>
      </top>
      <bottom style="double">
        <color indexed="64"/>
      </bottom>
      <diagonal/>
    </border>
    <border>
      <left/>
      <right style="double">
        <color indexed="64"/>
      </right>
      <top/>
      <bottom style="double">
        <color indexed="64"/>
      </bottom>
      <diagonal/>
    </border>
    <border>
      <left/>
      <right/>
      <top/>
      <bottom style="double">
        <color indexed="64"/>
      </bottom>
      <diagonal/>
    </border>
  </borders>
  <cellStyleXfs count="2">
    <xf numFmtId="0" fontId="0" fillId="0" borderId="0"/>
    <xf numFmtId="0" fontId="6" fillId="0" borderId="0"/>
  </cellStyleXfs>
  <cellXfs count="73">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4" borderId="4" xfId="0" applyFont="1" applyFill="1" applyBorder="1" applyAlignment="1">
      <alignment horizontal="center" vertical="center"/>
    </xf>
    <xf numFmtId="0" fontId="1" fillId="2" borderId="8" xfId="0" applyFont="1" applyFill="1" applyBorder="1" applyAlignment="1">
      <alignment horizontal="center" vertical="center"/>
    </xf>
    <xf numFmtId="0" fontId="3" fillId="4" borderId="4" xfId="0" applyFont="1" applyFill="1" applyBorder="1" applyAlignment="1">
      <alignment horizontal="center" vertical="center"/>
    </xf>
    <xf numFmtId="0" fontId="3" fillId="5" borderId="4" xfId="0" applyFont="1" applyFill="1" applyBorder="1" applyAlignment="1">
      <alignment horizontal="center" vertical="center"/>
    </xf>
    <xf numFmtId="1" fontId="4" fillId="13" borderId="4" xfId="0" applyNumberFormat="1" applyFont="1" applyFill="1" applyBorder="1" applyAlignment="1">
      <alignment horizontal="center" vertical="center"/>
    </xf>
    <xf numFmtId="0" fontId="5" fillId="18" borderId="9" xfId="0" applyFont="1" applyFill="1" applyBorder="1" applyAlignment="1">
      <alignment vertical="center"/>
    </xf>
    <xf numFmtId="0" fontId="4" fillId="13" borderId="4" xfId="0" applyFont="1" applyFill="1" applyBorder="1" applyAlignment="1">
      <alignment horizontal="center" vertical="center"/>
    </xf>
    <xf numFmtId="0" fontId="4" fillId="0" borderId="4" xfId="0" applyFont="1" applyBorder="1" applyAlignment="1">
      <alignment horizontal="center" vertical="center"/>
    </xf>
    <xf numFmtId="14" fontId="4" fillId="0" borderId="4" xfId="0" applyNumberFormat="1" applyFont="1" applyBorder="1" applyAlignment="1">
      <alignment horizontal="center" vertical="center"/>
    </xf>
    <xf numFmtId="14" fontId="7" fillId="0" borderId="4" xfId="0" applyNumberFormat="1" applyFont="1" applyBorder="1" applyAlignment="1">
      <alignment horizontal="center" vertical="center"/>
    </xf>
    <xf numFmtId="0" fontId="8" fillId="0" borderId="4" xfId="0" applyFont="1" applyBorder="1" applyAlignment="1">
      <alignment horizontal="center" vertical="center"/>
    </xf>
    <xf numFmtId="0" fontId="7" fillId="0" borderId="4" xfId="0" applyFont="1" applyBorder="1" applyAlignment="1">
      <alignment horizontal="center" vertical="center"/>
    </xf>
    <xf numFmtId="0" fontId="0" fillId="0" borderId="4" xfId="0" applyBorder="1" applyAlignment="1">
      <alignment horizontal="center" vertical="center"/>
    </xf>
    <xf numFmtId="0" fontId="9" fillId="0" borderId="4" xfId="0" applyFont="1" applyBorder="1" applyAlignment="1">
      <alignment horizontal="center" vertical="center"/>
    </xf>
    <xf numFmtId="49" fontId="4" fillId="13" borderId="4" xfId="0" applyNumberFormat="1" applyFont="1" applyFill="1" applyBorder="1" applyAlignment="1">
      <alignment horizontal="center" vertical="center"/>
    </xf>
    <xf numFmtId="14" fontId="7" fillId="19" borderId="4" xfId="0" applyNumberFormat="1" applyFont="1" applyFill="1" applyBorder="1" applyAlignment="1">
      <alignment horizontal="center" vertical="center"/>
    </xf>
    <xf numFmtId="0" fontId="5" fillId="18" borderId="1" xfId="0" applyFont="1" applyFill="1" applyBorder="1" applyAlignment="1">
      <alignment horizontal="center" vertical="center"/>
    </xf>
    <xf numFmtId="0" fontId="1" fillId="5"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4" xfId="0" applyFont="1" applyFill="1" applyBorder="1" applyAlignment="1">
      <alignment horizontal="center" vertical="center"/>
    </xf>
    <xf numFmtId="0" fontId="1" fillId="7" borderId="5" xfId="0" applyFont="1" applyFill="1" applyBorder="1" applyAlignment="1">
      <alignment horizontal="center" vertical="center"/>
    </xf>
    <xf numFmtId="0" fontId="1" fillId="7" borderId="6" xfId="0" applyFont="1" applyFill="1" applyBorder="1" applyAlignment="1">
      <alignment horizontal="center" vertical="center"/>
    </xf>
    <xf numFmtId="14" fontId="1" fillId="7" borderId="4" xfId="0" applyNumberFormat="1" applyFont="1" applyFill="1" applyBorder="1" applyAlignment="1">
      <alignment horizontal="center" vertical="center"/>
    </xf>
    <xf numFmtId="0" fontId="1" fillId="8" borderId="4" xfId="0" applyFont="1" applyFill="1" applyBorder="1" applyAlignment="1">
      <alignment horizontal="center" vertical="center"/>
    </xf>
    <xf numFmtId="0" fontId="1" fillId="9" borderId="4" xfId="0" applyFont="1" applyFill="1" applyBorder="1" applyAlignment="1">
      <alignment horizontal="center" vertical="center"/>
    </xf>
    <xf numFmtId="0" fontId="1" fillId="10" borderId="4" xfId="0" applyFont="1" applyFill="1" applyBorder="1" applyAlignment="1">
      <alignment horizontal="center" vertical="center"/>
    </xf>
    <xf numFmtId="0" fontId="1" fillId="11" borderId="4" xfId="0" applyFont="1" applyFill="1" applyBorder="1" applyAlignment="1">
      <alignment horizontal="center" vertical="center"/>
    </xf>
    <xf numFmtId="0" fontId="1" fillId="12" borderId="4" xfId="0" applyFont="1" applyFill="1" applyBorder="1" applyAlignment="1">
      <alignment horizontal="center" vertical="center"/>
    </xf>
    <xf numFmtId="0" fontId="1" fillId="12" borderId="7" xfId="0" applyFont="1" applyFill="1" applyBorder="1" applyAlignment="1">
      <alignment horizontal="center" vertical="center"/>
    </xf>
    <xf numFmtId="0" fontId="1" fillId="12" borderId="5" xfId="0" applyFont="1" applyFill="1" applyBorder="1" applyAlignment="1">
      <alignment horizontal="center" vertical="center"/>
    </xf>
    <xf numFmtId="0" fontId="1" fillId="12" borderId="6" xfId="0" applyFont="1" applyFill="1" applyBorder="1" applyAlignment="1">
      <alignment horizontal="center" vertical="center"/>
    </xf>
    <xf numFmtId="0" fontId="1" fillId="13" borderId="4" xfId="0" applyFont="1" applyFill="1" applyBorder="1" applyAlignment="1">
      <alignment horizontal="center" vertical="center"/>
    </xf>
    <xf numFmtId="0" fontId="1" fillId="14" borderId="4" xfId="0" applyFont="1" applyFill="1" applyBorder="1" applyAlignment="1">
      <alignment horizontal="center" vertical="center"/>
    </xf>
    <xf numFmtId="0" fontId="1" fillId="14" borderId="7" xfId="0" applyFont="1" applyFill="1" applyBorder="1" applyAlignment="1">
      <alignment horizontal="center" vertical="center"/>
    </xf>
    <xf numFmtId="0" fontId="1" fillId="14" borderId="5" xfId="0" applyFont="1" applyFill="1" applyBorder="1" applyAlignment="1">
      <alignment horizontal="center" vertical="center"/>
    </xf>
    <xf numFmtId="0" fontId="1" fillId="14" borderId="6" xfId="0" applyFont="1" applyFill="1" applyBorder="1" applyAlignment="1">
      <alignment horizontal="center" vertical="center"/>
    </xf>
    <xf numFmtId="0" fontId="2" fillId="14" borderId="4" xfId="0" applyFont="1" applyFill="1" applyBorder="1" applyAlignment="1">
      <alignment horizontal="center" vertical="center"/>
    </xf>
    <xf numFmtId="0" fontId="1" fillId="15" borderId="4" xfId="0" applyFont="1" applyFill="1" applyBorder="1" applyAlignment="1">
      <alignment horizontal="center" vertical="center"/>
    </xf>
    <xf numFmtId="0" fontId="1" fillId="15" borderId="1" xfId="0" applyFont="1" applyFill="1" applyBorder="1" applyAlignment="1">
      <alignment horizontal="center" vertical="center"/>
    </xf>
    <xf numFmtId="0" fontId="2" fillId="15" borderId="1" xfId="0" applyFont="1" applyFill="1" applyBorder="1" applyAlignment="1">
      <alignment horizontal="center" vertical="center"/>
    </xf>
    <xf numFmtId="0" fontId="1" fillId="16" borderId="4" xfId="0" applyFont="1" applyFill="1" applyBorder="1" applyAlignment="1">
      <alignment horizontal="center" vertical="center"/>
    </xf>
    <xf numFmtId="0" fontId="1" fillId="4" borderId="1" xfId="0" applyFont="1" applyFill="1" applyBorder="1" applyAlignment="1">
      <alignment horizontal="center" vertical="center"/>
    </xf>
    <xf numFmtId="0" fontId="1" fillId="17" borderId="4" xfId="0" applyFont="1" applyFill="1" applyBorder="1" applyAlignment="1">
      <alignment horizontal="center" vertical="center"/>
    </xf>
    <xf numFmtId="0" fontId="3" fillId="6" borderId="4" xfId="0" applyFont="1" applyFill="1" applyBorder="1" applyAlignment="1">
      <alignment horizontal="center" vertical="center"/>
    </xf>
    <xf numFmtId="1" fontId="3" fillId="6" borderId="4" xfId="0" applyNumberFormat="1" applyFont="1" applyFill="1" applyBorder="1" applyAlignment="1">
      <alignment horizontal="center" vertical="center"/>
    </xf>
    <xf numFmtId="0" fontId="3" fillId="7" borderId="4" xfId="0" applyFont="1" applyFill="1" applyBorder="1" applyAlignment="1">
      <alignment horizontal="center" vertical="center"/>
    </xf>
    <xf numFmtId="1" fontId="3" fillId="7" borderId="4" xfId="0" applyNumberFormat="1" applyFont="1" applyFill="1" applyBorder="1" applyAlignment="1">
      <alignment horizontal="center" vertical="center"/>
    </xf>
    <xf numFmtId="14" fontId="3" fillId="7" borderId="4" xfId="0" applyNumberFormat="1" applyFont="1" applyFill="1" applyBorder="1" applyAlignment="1">
      <alignment horizontal="center" vertical="center"/>
    </xf>
    <xf numFmtId="14" fontId="3" fillId="8" borderId="4" xfId="0" applyNumberFormat="1" applyFont="1" applyFill="1" applyBorder="1" applyAlignment="1">
      <alignment horizontal="center" vertical="center"/>
    </xf>
    <xf numFmtId="0" fontId="3" fillId="8" borderId="4" xfId="0" applyFont="1" applyFill="1" applyBorder="1" applyAlignment="1">
      <alignment horizontal="center" vertical="center"/>
    </xf>
    <xf numFmtId="0" fontId="3" fillId="9" borderId="4" xfId="0" applyFont="1" applyFill="1" applyBorder="1" applyAlignment="1">
      <alignment horizontal="center" vertical="center"/>
    </xf>
    <xf numFmtId="0" fontId="3" fillId="10" borderId="4" xfId="0" applyFont="1" applyFill="1" applyBorder="1" applyAlignment="1">
      <alignment horizontal="center" vertical="center"/>
    </xf>
    <xf numFmtId="0" fontId="3" fillId="11" borderId="4" xfId="0" applyFont="1" applyFill="1" applyBorder="1" applyAlignment="1">
      <alignment horizontal="center" vertical="center"/>
    </xf>
    <xf numFmtId="0" fontId="3" fillId="12" borderId="4" xfId="0" applyFont="1" applyFill="1" applyBorder="1" applyAlignment="1">
      <alignment horizontal="center" vertical="center"/>
    </xf>
    <xf numFmtId="0" fontId="3" fillId="13" borderId="4" xfId="0" applyFont="1" applyFill="1" applyBorder="1" applyAlignment="1">
      <alignment horizontal="center" vertical="center"/>
    </xf>
    <xf numFmtId="0" fontId="3" fillId="14" borderId="4" xfId="0" applyFont="1" applyFill="1" applyBorder="1" applyAlignment="1">
      <alignment horizontal="center" vertical="center"/>
    </xf>
    <xf numFmtId="0" fontId="3" fillId="15" borderId="4" xfId="0" applyFont="1" applyFill="1" applyBorder="1" applyAlignment="1">
      <alignment horizontal="center" vertical="center"/>
    </xf>
    <xf numFmtId="0" fontId="3" fillId="16" borderId="4" xfId="0" applyFont="1" applyFill="1" applyBorder="1" applyAlignment="1">
      <alignment horizontal="center" vertical="center"/>
    </xf>
    <xf numFmtId="0" fontId="3" fillId="17" borderId="4" xfId="0" applyFont="1" applyFill="1" applyBorder="1" applyAlignment="1">
      <alignment horizontal="center" vertical="center"/>
    </xf>
    <xf numFmtId="0" fontId="5" fillId="18" borderId="10" xfId="0" applyFont="1" applyFill="1" applyBorder="1" applyAlignment="1">
      <alignment horizontal="center" vertical="center"/>
    </xf>
    <xf numFmtId="1" fontId="7" fillId="0" borderId="4" xfId="0" applyNumberFormat="1" applyFont="1" applyBorder="1" applyAlignment="1">
      <alignment horizontal="center" vertical="center"/>
    </xf>
    <xf numFmtId="14" fontId="8" fillId="0" borderId="4" xfId="0" applyNumberFormat="1" applyFont="1" applyBorder="1" applyAlignment="1">
      <alignment horizontal="center" vertical="center"/>
    </xf>
    <xf numFmtId="11" fontId="4" fillId="0" borderId="4" xfId="0" applyNumberFormat="1" applyFont="1" applyBorder="1" applyAlignment="1">
      <alignment horizontal="center" vertical="center"/>
    </xf>
    <xf numFmtId="0" fontId="8" fillId="3" borderId="4" xfId="0" applyFont="1" applyFill="1" applyBorder="1" applyAlignment="1">
      <alignment horizontal="center" vertical="center"/>
    </xf>
    <xf numFmtId="0" fontId="3" fillId="0" borderId="4" xfId="0" applyFont="1" applyBorder="1" applyAlignment="1">
      <alignment horizontal="center" vertical="center"/>
    </xf>
    <xf numFmtId="0" fontId="8" fillId="2" borderId="4" xfId="0" applyFont="1" applyFill="1" applyBorder="1" applyAlignment="1">
      <alignment horizontal="center" vertical="center"/>
    </xf>
    <xf numFmtId="14" fontId="4" fillId="19" borderId="4" xfId="0" applyNumberFormat="1" applyFont="1" applyFill="1" applyBorder="1" applyAlignment="1">
      <alignment horizontal="center" vertical="center"/>
    </xf>
    <xf numFmtId="0" fontId="4" fillId="13" borderId="7" xfId="0" applyFont="1" applyFill="1" applyBorder="1" applyAlignment="1">
      <alignment horizontal="left" vertical="center"/>
    </xf>
  </cellXfs>
  <cellStyles count="2">
    <cellStyle name="Normal" xfId="0" builtinId="0"/>
    <cellStyle name="Normal 5" xfId="1" xr:uid="{5FAFB173-2350-42B8-AAA4-C0BEF0C094F4}"/>
  </cellStyles>
  <dxfs count="1003">
    <dxf>
      <font>
        <color rgb="FF9C0006"/>
      </font>
      <fill>
        <patternFill>
          <bgColor rgb="FFFFC7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ill>
        <patternFill>
          <bgColor theme="6" tint="0.59996337778862885"/>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006100"/>
      </font>
      <fill>
        <patternFill>
          <bgColor rgb="FFC6EFCE"/>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auto="1"/>
      </font>
      <fill>
        <patternFill>
          <bgColor rgb="FFFFFF00"/>
        </patternFill>
      </fill>
    </dxf>
    <dxf>
      <font>
        <b/>
        <i val="0"/>
      </font>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b val="0"/>
        <i val="0"/>
      </font>
      <fill>
        <patternFill>
          <bgColor theme="6" tint="0.59996337778862885"/>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font>
      <fill>
        <patternFill>
          <bgColor theme="6"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ill>
        <patternFill>
          <bgColor rgb="FF92D050"/>
        </patternFill>
      </fill>
    </dxf>
    <dxf>
      <font>
        <b/>
        <i val="0"/>
      </font>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4" tint="0.59996337778862885"/>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rgb="FF92D050"/>
        </patternFill>
      </fill>
    </dxf>
    <dxf>
      <font>
        <color rgb="FF006100"/>
      </font>
      <fill>
        <patternFill>
          <bgColor rgb="FFC6EF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ill>
        <patternFill>
          <bgColor rgb="FF92D050"/>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6500"/>
      </font>
      <fill>
        <patternFill>
          <bgColor rgb="FFFFEB9C"/>
        </patternFill>
      </fill>
    </dxf>
    <dxf>
      <font>
        <color rgb="FF9C6500"/>
      </font>
      <fill>
        <patternFill>
          <bgColor rgb="FFFFEB9C"/>
        </patternFill>
      </fill>
    </dxf>
    <dxf>
      <fill>
        <patternFill>
          <bgColor theme="6" tint="0.59996337778862885"/>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ill>
        <patternFill>
          <bgColor theme="6" tint="0.59996337778862885"/>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ill>
        <patternFill>
          <bgColor rgb="FF92D050"/>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ill>
        <patternFill>
          <bgColor rgb="FF92D050"/>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ill>
        <patternFill>
          <bgColor rgb="FF92D050"/>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rgb="FF92D050"/>
        </patternFill>
      </fill>
    </dxf>
    <dxf>
      <fill>
        <patternFill>
          <bgColor theme="6" tint="0.59996337778862885"/>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ill>
        <patternFill>
          <bgColor theme="6"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ill>
        <patternFill>
          <bgColor rgb="FF92D050"/>
        </patternFill>
      </fill>
    </dxf>
    <dxf>
      <fill>
        <patternFill>
          <bgColor theme="6" tint="0.59996337778862885"/>
        </patternFill>
      </fill>
    </dxf>
    <dxf>
      <fill>
        <patternFill>
          <bgColor rgb="FF92D050"/>
        </patternFill>
      </fill>
    </dxf>
    <dxf>
      <fill>
        <patternFill>
          <bgColor rgb="FF92D050"/>
        </patternFill>
      </fill>
    </dxf>
    <dxf>
      <fill>
        <patternFill>
          <bgColor rgb="FF92D050"/>
        </patternFill>
      </fill>
    </dxf>
    <dxf>
      <font>
        <color rgb="FF006100"/>
      </font>
      <fill>
        <patternFill>
          <bgColor rgb="FFC6EFCE"/>
        </patternFill>
      </fill>
    </dxf>
    <dxf>
      <font>
        <color rgb="FF9C6500"/>
      </font>
      <fill>
        <patternFill>
          <bgColor rgb="FFFFEB9C"/>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9C6500"/>
      </font>
      <fill>
        <patternFill>
          <bgColor rgb="FFFFEB9C"/>
        </patternFill>
      </fill>
    </dxf>
    <dxf>
      <fill>
        <patternFill>
          <bgColor theme="6" tint="0.59996337778862885"/>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ill>
        <patternFill>
          <bgColor rgb="FF92D050"/>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9C0006"/>
      </font>
      <fill>
        <patternFill>
          <bgColor rgb="FFFFC7CE"/>
        </patternFill>
      </fill>
    </dxf>
    <dxf>
      <font>
        <color rgb="FF006100"/>
      </font>
      <fill>
        <patternFill>
          <bgColor rgb="FFC6EFCE"/>
        </patternFill>
      </fill>
    </dxf>
    <dxf>
      <fill>
        <patternFill>
          <bgColor theme="6" tint="0.59996337778862885"/>
        </patternFill>
      </fill>
    </dxf>
    <dxf>
      <fill>
        <patternFill>
          <bgColor rgb="FF92D050"/>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ont>
        <color rgb="FF9C6500"/>
      </font>
      <fill>
        <patternFill>
          <bgColor rgb="FFFFEB9C"/>
        </patternFill>
      </fill>
    </dxf>
    <dxf>
      <fill>
        <patternFill>
          <bgColor theme="6" tint="0.59996337778862885"/>
        </patternFill>
      </fill>
    </dxf>
    <dxf>
      <fill>
        <patternFill>
          <bgColor theme="6" tint="0.59996337778862885"/>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theme="6" tint="0.59996337778862885"/>
        </patternFill>
      </fill>
    </dxf>
    <dxf>
      <fill>
        <patternFill>
          <bgColor rgb="FF92D050"/>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ill>
        <patternFill>
          <bgColor theme="6" tint="0.59996337778862885"/>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ill>
        <patternFill>
          <bgColor theme="6" tint="0.59996337778862885"/>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auto="1"/>
      </font>
      <fill>
        <patternFill>
          <bgColor rgb="FFFFFF00"/>
        </patternFill>
      </fill>
    </dxf>
    <dxf>
      <font>
        <b/>
        <i val="0"/>
      </font>
    </dxf>
    <dxf>
      <font>
        <color auto="1"/>
      </font>
      <fill>
        <patternFill>
          <bgColor rgb="FFFFFF00"/>
        </patternFill>
      </fill>
    </dxf>
    <dxf>
      <font>
        <b/>
        <i val="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b val="0"/>
        <i val="0"/>
      </font>
      <fill>
        <patternFill>
          <bgColor theme="6" tint="0.59996337778862885"/>
        </patternFill>
      </fill>
    </dxf>
    <dxf>
      <font>
        <color rgb="FF9C6500"/>
      </font>
      <fill>
        <patternFill>
          <bgColor rgb="FFFFEB9C"/>
        </patternFill>
      </fill>
    </dxf>
    <dxf>
      <font>
        <b val="0"/>
        <i val="0"/>
      </font>
      <fill>
        <patternFill>
          <bgColor theme="6" tint="0.59996337778862885"/>
        </patternFill>
      </fill>
    </dxf>
    <dxf>
      <font>
        <color rgb="FF9C0006"/>
      </font>
      <fill>
        <patternFill>
          <bgColor rgb="FFFFC7CE"/>
        </patternFill>
      </fill>
    </dxf>
    <dxf>
      <fill>
        <patternFill>
          <bgColor theme="6" tint="0.59996337778862885"/>
        </patternFill>
      </fill>
    </dxf>
    <dxf>
      <font>
        <color rgb="FF006100"/>
      </font>
      <fill>
        <patternFill>
          <bgColor rgb="FFC6EFCE"/>
        </patternFill>
      </fill>
    </dxf>
    <dxf>
      <font>
        <color rgb="FF9C6500"/>
      </font>
      <fill>
        <patternFill>
          <bgColor rgb="FFFFEB9C"/>
        </patternFill>
      </fill>
    </dxf>
    <dxf>
      <font>
        <b/>
        <i val="0"/>
      </font>
    </dxf>
    <dxf>
      <font>
        <color rgb="FF006100"/>
      </font>
      <fill>
        <patternFill>
          <bgColor rgb="FFC6EFCE"/>
        </patternFill>
      </fill>
    </dxf>
    <dxf>
      <font>
        <color rgb="FF9C6500"/>
      </font>
      <fill>
        <patternFill>
          <bgColor rgb="FFFFEB9C"/>
        </patternFill>
      </fill>
    </dxf>
    <dxf>
      <font>
        <b/>
        <i val="0"/>
      </font>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font>
      <fill>
        <patternFill>
          <bgColor theme="6" tint="0.59996337778862885"/>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ill>
        <patternFill>
          <bgColor rgb="FF92D050"/>
        </patternFill>
      </fill>
    </dxf>
    <dxf>
      <font>
        <b/>
        <i val="0"/>
      </font>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font>
      <fill>
        <patternFill>
          <bgColor theme="6"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3E944-BE91-4EAA-BF5D-93599307FC8E}">
  <dimension ref="A1:NZ239"/>
  <sheetViews>
    <sheetView tabSelected="1" topLeftCell="A226" workbookViewId="0">
      <selection activeCell="F241" sqref="F241"/>
    </sheetView>
  </sheetViews>
  <sheetFormatPr baseColWidth="10" defaultRowHeight="14.4" x14ac:dyDescent="0.3"/>
  <cols>
    <col min="1" max="1" width="3.88671875" bestFit="1" customWidth="1"/>
    <col min="2" max="2" width="31.77734375" bestFit="1" customWidth="1"/>
    <col min="3" max="3" width="17.44140625" bestFit="1" customWidth="1"/>
    <col min="4" max="4" width="28.88671875" bestFit="1" customWidth="1"/>
  </cols>
  <sheetData>
    <row r="1" spans="1:390" ht="15.6" thickTop="1" thickBot="1" x14ac:dyDescent="0.35">
      <c r="A1" s="1" t="s">
        <v>0</v>
      </c>
      <c r="B1" s="1" t="s">
        <v>1</v>
      </c>
      <c r="C1" s="3" t="s">
        <v>2</v>
      </c>
      <c r="D1" s="2" t="s">
        <v>3</v>
      </c>
      <c r="E1" s="5" t="s">
        <v>4</v>
      </c>
      <c r="F1" s="5"/>
      <c r="G1" s="5"/>
      <c r="H1" s="5"/>
      <c r="I1" s="5"/>
      <c r="J1" s="5" t="s">
        <v>5</v>
      </c>
      <c r="K1" s="5"/>
      <c r="L1" s="5"/>
      <c r="M1" s="5"/>
      <c r="N1" s="5"/>
      <c r="O1" s="5" t="s">
        <v>6</v>
      </c>
      <c r="P1" s="5"/>
      <c r="Q1" s="5"/>
      <c r="R1" s="5"/>
      <c r="S1" s="5"/>
      <c r="T1" s="23" t="s">
        <v>7</v>
      </c>
      <c r="U1" s="23"/>
      <c r="V1" s="23"/>
      <c r="W1" s="23"/>
      <c r="X1" s="23"/>
      <c r="Y1" s="23"/>
      <c r="Z1" s="23" t="s">
        <v>8</v>
      </c>
      <c r="AA1" s="23"/>
      <c r="AB1" s="23"/>
      <c r="AC1" s="23"/>
      <c r="AD1" s="23"/>
      <c r="AE1" s="23"/>
      <c r="AF1" s="24" t="s">
        <v>9</v>
      </c>
      <c r="AG1" s="24"/>
      <c r="AH1" s="24"/>
      <c r="AI1" s="24"/>
      <c r="AJ1" s="24"/>
      <c r="AK1" s="24" t="s">
        <v>10</v>
      </c>
      <c r="AL1" s="24"/>
      <c r="AM1" s="24"/>
      <c r="AN1" s="24"/>
      <c r="AO1" s="24"/>
      <c r="AP1" s="24" t="s">
        <v>11</v>
      </c>
      <c r="AQ1" s="24"/>
      <c r="AR1" s="24"/>
      <c r="AS1" s="24"/>
      <c r="AT1" s="24"/>
      <c r="AU1" s="24" t="s">
        <v>12</v>
      </c>
      <c r="AV1" s="24"/>
      <c r="AW1" s="24"/>
      <c r="AX1" s="24"/>
      <c r="AY1" s="24"/>
      <c r="AZ1" s="24" t="s">
        <v>13</v>
      </c>
      <c r="BA1" s="24"/>
      <c r="BB1" s="24"/>
      <c r="BC1" s="24"/>
      <c r="BD1" s="24"/>
      <c r="BE1" s="24" t="s">
        <v>14</v>
      </c>
      <c r="BF1" s="24"/>
      <c r="BG1" s="24"/>
      <c r="BH1" s="24"/>
      <c r="BI1" s="24"/>
      <c r="BJ1" s="24" t="s">
        <v>15</v>
      </c>
      <c r="BK1" s="24"/>
      <c r="BL1" s="24"/>
      <c r="BM1" s="24"/>
      <c r="BN1" s="24"/>
      <c r="BO1" s="24" t="s">
        <v>16</v>
      </c>
      <c r="BP1" s="24"/>
      <c r="BQ1" s="24"/>
      <c r="BR1" s="24"/>
      <c r="BS1" s="24"/>
      <c r="BT1" s="24" t="s">
        <v>17</v>
      </c>
      <c r="BU1" s="24"/>
      <c r="BV1" s="24"/>
      <c r="BW1" s="24"/>
      <c r="BX1" s="24"/>
      <c r="BY1" s="24" t="s">
        <v>18</v>
      </c>
      <c r="BZ1" s="24"/>
      <c r="CA1" s="24"/>
      <c r="CB1" s="24"/>
      <c r="CC1" s="24"/>
      <c r="CD1" s="5" t="s">
        <v>19</v>
      </c>
      <c r="CE1" s="5"/>
      <c r="CF1" s="5"/>
      <c r="CG1" s="5"/>
      <c r="CH1" s="5"/>
      <c r="CI1" s="5"/>
      <c r="CJ1" s="24" t="s">
        <v>20</v>
      </c>
      <c r="CK1" s="24"/>
      <c r="CL1" s="24"/>
      <c r="CM1" s="24"/>
      <c r="CN1" s="24"/>
      <c r="CO1" s="24" t="s">
        <v>21</v>
      </c>
      <c r="CP1" s="24"/>
      <c r="CQ1" s="24"/>
      <c r="CR1" s="24"/>
      <c r="CS1" s="24"/>
      <c r="CT1" s="24" t="s">
        <v>22</v>
      </c>
      <c r="CU1" s="24"/>
      <c r="CV1" s="24"/>
      <c r="CW1" s="24"/>
      <c r="CX1" s="24"/>
      <c r="CY1" s="24" t="s">
        <v>23</v>
      </c>
      <c r="CZ1" s="24"/>
      <c r="DA1" s="24"/>
      <c r="DB1" s="24"/>
      <c r="DC1" s="24"/>
      <c r="DD1" s="24" t="s">
        <v>24</v>
      </c>
      <c r="DE1" s="24"/>
      <c r="DF1" s="24"/>
      <c r="DG1" s="24"/>
      <c r="DH1" s="24"/>
      <c r="DI1" s="24" t="s">
        <v>25</v>
      </c>
      <c r="DJ1" s="24"/>
      <c r="DK1" s="24"/>
      <c r="DL1" s="24"/>
      <c r="DM1" s="24"/>
      <c r="DN1" s="24" t="s">
        <v>26</v>
      </c>
      <c r="DO1" s="24"/>
      <c r="DP1" s="24"/>
      <c r="DQ1" s="24"/>
      <c r="DR1" s="24"/>
      <c r="DS1" s="24" t="s">
        <v>27</v>
      </c>
      <c r="DT1" s="24"/>
      <c r="DU1" s="24"/>
      <c r="DV1" s="24"/>
      <c r="DW1" s="24"/>
      <c r="DX1" s="24" t="s">
        <v>28</v>
      </c>
      <c r="DY1" s="24"/>
      <c r="DZ1" s="24"/>
      <c r="EA1" s="24"/>
      <c r="EB1" s="24"/>
      <c r="EC1" s="24" t="s">
        <v>29</v>
      </c>
      <c r="ED1" s="24"/>
      <c r="EE1" s="24"/>
      <c r="EF1" s="24"/>
      <c r="EG1" s="24"/>
      <c r="EH1" s="25" t="s">
        <v>30</v>
      </c>
      <c r="EI1" s="25"/>
      <c r="EJ1" s="25"/>
      <c r="EK1" s="25"/>
      <c r="EL1" s="25"/>
      <c r="EM1" s="25"/>
      <c r="EN1" s="26"/>
      <c r="EO1" s="24" t="s">
        <v>31</v>
      </c>
      <c r="EP1" s="24"/>
      <c r="EQ1" s="24"/>
      <c r="ER1" s="24"/>
      <c r="ES1" s="24"/>
      <c r="ET1" s="27" t="s">
        <v>32</v>
      </c>
      <c r="EU1" s="24"/>
      <c r="EV1" s="24"/>
      <c r="EW1" s="24"/>
      <c r="EX1" s="24"/>
      <c r="EY1" s="24" t="s">
        <v>33</v>
      </c>
      <c r="EZ1" s="24"/>
      <c r="FA1" s="24"/>
      <c r="FB1" s="24"/>
      <c r="FC1" s="24"/>
      <c r="FD1" s="24" t="s">
        <v>34</v>
      </c>
      <c r="FE1" s="24"/>
      <c r="FF1" s="24"/>
      <c r="FG1" s="24"/>
      <c r="FH1" s="24"/>
      <c r="FI1" s="24" t="s">
        <v>35</v>
      </c>
      <c r="FJ1" s="24"/>
      <c r="FK1" s="24"/>
      <c r="FL1" s="24"/>
      <c r="FM1" s="24"/>
      <c r="FN1" s="24" t="s">
        <v>36</v>
      </c>
      <c r="FO1" s="24"/>
      <c r="FP1" s="24"/>
      <c r="FQ1" s="24"/>
      <c r="FR1" s="24"/>
      <c r="FS1" s="24" t="s">
        <v>37</v>
      </c>
      <c r="FT1" s="24"/>
      <c r="FU1" s="24"/>
      <c r="FV1" s="24"/>
      <c r="FW1" s="24"/>
      <c r="FX1" s="24" t="s">
        <v>38</v>
      </c>
      <c r="FY1" s="24"/>
      <c r="FZ1" s="24"/>
      <c r="GA1" s="24"/>
      <c r="GB1" s="24"/>
      <c r="GC1" s="24" t="s">
        <v>39</v>
      </c>
      <c r="GD1" s="24"/>
      <c r="GE1" s="24"/>
      <c r="GF1" s="24"/>
      <c r="GG1" s="24"/>
      <c r="GH1" s="24" t="s">
        <v>40</v>
      </c>
      <c r="GI1" s="24"/>
      <c r="GJ1" s="24"/>
      <c r="GK1" s="24"/>
      <c r="GL1" s="24"/>
      <c r="GM1" s="24" t="s">
        <v>41</v>
      </c>
      <c r="GN1" s="24"/>
      <c r="GO1" s="24"/>
      <c r="GP1" s="24"/>
      <c r="GQ1" s="24"/>
      <c r="GR1" s="28" t="s">
        <v>42</v>
      </c>
      <c r="GS1" s="28"/>
      <c r="GT1" s="28"/>
      <c r="GU1" s="28"/>
      <c r="GV1" s="28"/>
      <c r="GW1" s="28" t="s">
        <v>43</v>
      </c>
      <c r="GX1" s="28"/>
      <c r="GY1" s="28"/>
      <c r="GZ1" s="28"/>
      <c r="HA1" s="28"/>
      <c r="HB1" s="28" t="s">
        <v>44</v>
      </c>
      <c r="HC1" s="28"/>
      <c r="HD1" s="28"/>
      <c r="HE1" s="28"/>
      <c r="HF1" s="28"/>
      <c r="HG1" s="28" t="s">
        <v>45</v>
      </c>
      <c r="HH1" s="28"/>
      <c r="HI1" s="28"/>
      <c r="HJ1" s="28"/>
      <c r="HK1" s="28"/>
      <c r="HL1" s="24" t="s">
        <v>46</v>
      </c>
      <c r="HM1" s="24"/>
      <c r="HN1" s="24"/>
      <c r="HO1" s="24"/>
      <c r="HP1" s="24"/>
      <c r="HQ1" s="29" t="s">
        <v>47</v>
      </c>
      <c r="HR1" s="29"/>
      <c r="HS1" s="29"/>
      <c r="HT1" s="29"/>
      <c r="HU1" s="29"/>
      <c r="HV1" s="22" t="s">
        <v>48</v>
      </c>
      <c r="HW1" s="22"/>
      <c r="HX1" s="22"/>
      <c r="HY1" s="22"/>
      <c r="HZ1" s="22"/>
      <c r="IA1" s="22" t="s">
        <v>49</v>
      </c>
      <c r="IB1" s="22"/>
      <c r="IC1" s="22"/>
      <c r="ID1" s="22"/>
      <c r="IE1" s="22"/>
      <c r="IF1" s="30" t="s">
        <v>50</v>
      </c>
      <c r="IG1" s="30"/>
      <c r="IH1" s="30"/>
      <c r="II1" s="30"/>
      <c r="IJ1" s="30"/>
      <c r="IK1" s="31" t="s">
        <v>51</v>
      </c>
      <c r="IL1" s="31"/>
      <c r="IM1" s="31"/>
      <c r="IN1" s="31"/>
      <c r="IO1" s="31"/>
      <c r="IP1" s="31" t="s">
        <v>52</v>
      </c>
      <c r="IQ1" s="31"/>
      <c r="IR1" s="31"/>
      <c r="IS1" s="31"/>
      <c r="IT1" s="31"/>
      <c r="IU1" s="31" t="s">
        <v>53</v>
      </c>
      <c r="IV1" s="31"/>
      <c r="IW1" s="31"/>
      <c r="IX1" s="31"/>
      <c r="IY1" s="31"/>
      <c r="IZ1" s="31" t="s">
        <v>54</v>
      </c>
      <c r="JA1" s="31"/>
      <c r="JB1" s="31"/>
      <c r="JC1" s="31"/>
      <c r="JD1" s="31"/>
      <c r="JE1" s="32" t="s">
        <v>55</v>
      </c>
      <c r="JF1" s="32"/>
      <c r="JG1" s="32"/>
      <c r="JH1" s="32"/>
      <c r="JI1" s="32"/>
      <c r="JJ1" s="32" t="s">
        <v>56</v>
      </c>
      <c r="JK1" s="32"/>
      <c r="JL1" s="32"/>
      <c r="JM1" s="32"/>
      <c r="JN1" s="32" t="s">
        <v>57</v>
      </c>
      <c r="JO1" s="32"/>
      <c r="JP1" s="32"/>
      <c r="JQ1" s="32"/>
      <c r="JR1" s="32" t="s">
        <v>58</v>
      </c>
      <c r="JS1" s="32"/>
      <c r="JT1" s="32"/>
      <c r="JU1" s="32"/>
      <c r="JV1" s="32"/>
      <c r="JW1" s="33" t="s">
        <v>59</v>
      </c>
      <c r="JX1" s="34"/>
      <c r="JY1" s="34"/>
      <c r="JZ1" s="34"/>
      <c r="KA1" s="35"/>
      <c r="KB1" s="36" t="s">
        <v>60</v>
      </c>
      <c r="KC1" s="36"/>
      <c r="KD1" s="36"/>
      <c r="KE1" s="36"/>
      <c r="KF1" s="36" t="s">
        <v>61</v>
      </c>
      <c r="KG1" s="36"/>
      <c r="KH1" s="36"/>
      <c r="KI1" s="36"/>
      <c r="KJ1" s="37" t="s">
        <v>62</v>
      </c>
      <c r="KK1" s="37"/>
      <c r="KL1" s="37"/>
      <c r="KM1" s="37"/>
      <c r="KN1" s="37" t="s">
        <v>63</v>
      </c>
      <c r="KO1" s="37"/>
      <c r="KP1" s="37"/>
      <c r="KQ1" s="37"/>
      <c r="KR1" s="37" t="s">
        <v>64</v>
      </c>
      <c r="KS1" s="37"/>
      <c r="KT1" s="37"/>
      <c r="KU1" s="37"/>
      <c r="KV1" s="37"/>
      <c r="KW1" s="38" t="s">
        <v>65</v>
      </c>
      <c r="KX1" s="39"/>
      <c r="KY1" s="39"/>
      <c r="KZ1" s="40"/>
      <c r="LA1" s="37" t="s">
        <v>66</v>
      </c>
      <c r="LB1" s="41"/>
      <c r="LC1" s="41"/>
      <c r="LD1" s="37"/>
      <c r="LE1" s="37"/>
      <c r="LF1" s="42" t="s">
        <v>67</v>
      </c>
      <c r="LG1" s="42"/>
      <c r="LH1" s="42"/>
      <c r="LI1" s="42"/>
      <c r="LJ1" s="42"/>
      <c r="LK1" s="42" t="s">
        <v>68</v>
      </c>
      <c r="LL1" s="42"/>
      <c r="LM1" s="42"/>
      <c r="LN1" s="42"/>
      <c r="LO1" s="42"/>
      <c r="LP1" s="43" t="s">
        <v>69</v>
      </c>
      <c r="LQ1" s="44"/>
      <c r="LR1" s="44"/>
      <c r="LS1" s="43"/>
      <c r="LT1" s="43"/>
      <c r="LU1" s="43" t="s">
        <v>70</v>
      </c>
      <c r="LV1" s="44"/>
      <c r="LW1" s="44"/>
      <c r="LX1" s="43"/>
      <c r="LY1" s="43"/>
      <c r="LZ1" s="43" t="s">
        <v>71</v>
      </c>
      <c r="MA1" s="43"/>
      <c r="MB1" s="43"/>
      <c r="MC1" s="43"/>
      <c r="MD1" s="43"/>
      <c r="ME1" s="43" t="s">
        <v>72</v>
      </c>
      <c r="MF1" s="43"/>
      <c r="MG1" s="43"/>
      <c r="MH1" s="43"/>
      <c r="MI1" s="43"/>
      <c r="MJ1" s="45" t="s">
        <v>73</v>
      </c>
      <c r="MK1" s="45"/>
      <c r="ML1" s="45"/>
      <c r="MM1" s="45"/>
      <c r="MN1" s="45" t="s">
        <v>74</v>
      </c>
      <c r="MO1" s="45"/>
      <c r="MP1" s="45"/>
      <c r="MQ1" s="45"/>
      <c r="MR1" s="46" t="s">
        <v>75</v>
      </c>
      <c r="MS1" s="46"/>
      <c r="MT1" s="46"/>
      <c r="MU1" s="46"/>
      <c r="MV1" s="46"/>
      <c r="MW1" s="46" t="s">
        <v>76</v>
      </c>
      <c r="MX1" s="46"/>
      <c r="MY1" s="46"/>
      <c r="MZ1" s="46"/>
      <c r="NA1" s="46"/>
      <c r="NB1" s="45" t="s">
        <v>77</v>
      </c>
      <c r="NC1" s="45"/>
      <c r="ND1" s="45"/>
      <c r="NE1" s="45"/>
      <c r="NF1" s="45"/>
      <c r="NG1" s="45" t="s">
        <v>78</v>
      </c>
      <c r="NH1" s="45"/>
      <c r="NI1" s="45"/>
      <c r="NJ1" s="45"/>
      <c r="NK1" s="45"/>
      <c r="NL1" s="45" t="s">
        <v>79</v>
      </c>
      <c r="NM1" s="45"/>
      <c r="NN1" s="45"/>
      <c r="NO1" s="45"/>
      <c r="NP1" s="45"/>
      <c r="NQ1" s="47" t="s">
        <v>80</v>
      </c>
      <c r="NR1" s="47"/>
      <c r="NS1" s="47"/>
      <c r="NT1" s="47"/>
      <c r="NU1" s="47"/>
      <c r="NV1" s="47" t="s">
        <v>81</v>
      </c>
      <c r="NW1" s="47"/>
      <c r="NX1" s="47"/>
      <c r="NY1" s="47"/>
      <c r="NZ1" s="47"/>
    </row>
    <row r="2" spans="1:390" ht="15.6" thickTop="1" thickBot="1" x14ac:dyDescent="0.35">
      <c r="A2" s="4"/>
      <c r="B2" s="4"/>
      <c r="C2" s="1"/>
      <c r="D2" s="6"/>
      <c r="E2" s="7" t="s">
        <v>86</v>
      </c>
      <c r="F2" s="7" t="s">
        <v>82</v>
      </c>
      <c r="G2" s="7" t="s">
        <v>83</v>
      </c>
      <c r="H2" s="7" t="s">
        <v>85</v>
      </c>
      <c r="I2" s="7" t="s">
        <v>84</v>
      </c>
      <c r="J2" s="7" t="s">
        <v>87</v>
      </c>
      <c r="K2" s="7" t="s">
        <v>88</v>
      </c>
      <c r="L2" s="7" t="s">
        <v>83</v>
      </c>
      <c r="M2" s="7" t="s">
        <v>85</v>
      </c>
      <c r="N2" s="7" t="s">
        <v>84</v>
      </c>
      <c r="O2" s="7" t="s">
        <v>86</v>
      </c>
      <c r="P2" s="7" t="s">
        <v>88</v>
      </c>
      <c r="Q2" s="7" t="s">
        <v>83</v>
      </c>
      <c r="R2" s="7" t="s">
        <v>85</v>
      </c>
      <c r="S2" s="7" t="s">
        <v>84</v>
      </c>
      <c r="T2" s="48" t="s">
        <v>89</v>
      </c>
      <c r="U2" s="48" t="s">
        <v>86</v>
      </c>
      <c r="V2" s="48" t="s">
        <v>88</v>
      </c>
      <c r="W2" s="48" t="s">
        <v>83</v>
      </c>
      <c r="X2" s="49" t="s">
        <v>85</v>
      </c>
      <c r="Y2" s="48" t="s">
        <v>84</v>
      </c>
      <c r="Z2" s="48" t="s">
        <v>90</v>
      </c>
      <c r="AA2" s="48" t="s">
        <v>86</v>
      </c>
      <c r="AB2" s="48" t="s">
        <v>88</v>
      </c>
      <c r="AC2" s="48" t="s">
        <v>83</v>
      </c>
      <c r="AD2" s="48" t="s">
        <v>85</v>
      </c>
      <c r="AE2" s="48" t="s">
        <v>84</v>
      </c>
      <c r="AF2" s="50" t="s">
        <v>87</v>
      </c>
      <c r="AG2" s="50" t="s">
        <v>88</v>
      </c>
      <c r="AH2" s="50" t="s">
        <v>83</v>
      </c>
      <c r="AI2" s="51" t="s">
        <v>85</v>
      </c>
      <c r="AJ2" s="50" t="s">
        <v>84</v>
      </c>
      <c r="AK2" s="50" t="s">
        <v>87</v>
      </c>
      <c r="AL2" s="50" t="s">
        <v>88</v>
      </c>
      <c r="AM2" s="50" t="s">
        <v>83</v>
      </c>
      <c r="AN2" s="51" t="s">
        <v>85</v>
      </c>
      <c r="AO2" s="50" t="s">
        <v>84</v>
      </c>
      <c r="AP2" s="50" t="s">
        <v>87</v>
      </c>
      <c r="AQ2" s="50" t="s">
        <v>88</v>
      </c>
      <c r="AR2" s="50" t="s">
        <v>83</v>
      </c>
      <c r="AS2" s="51" t="s">
        <v>85</v>
      </c>
      <c r="AT2" s="50" t="s">
        <v>84</v>
      </c>
      <c r="AU2" s="50" t="s">
        <v>87</v>
      </c>
      <c r="AV2" s="50" t="s">
        <v>88</v>
      </c>
      <c r="AW2" s="50" t="s">
        <v>83</v>
      </c>
      <c r="AX2" s="51" t="s">
        <v>85</v>
      </c>
      <c r="AY2" s="50" t="s">
        <v>84</v>
      </c>
      <c r="AZ2" s="52" t="s">
        <v>87</v>
      </c>
      <c r="BA2" s="50" t="s">
        <v>88</v>
      </c>
      <c r="BB2" s="50" t="s">
        <v>83</v>
      </c>
      <c r="BC2" s="51" t="s">
        <v>85</v>
      </c>
      <c r="BD2" s="50" t="s">
        <v>84</v>
      </c>
      <c r="BE2" s="50" t="s">
        <v>87</v>
      </c>
      <c r="BF2" s="50" t="s">
        <v>88</v>
      </c>
      <c r="BG2" s="50" t="s">
        <v>83</v>
      </c>
      <c r="BH2" s="51" t="s">
        <v>85</v>
      </c>
      <c r="BI2" s="50" t="s">
        <v>84</v>
      </c>
      <c r="BJ2" s="52" t="s">
        <v>87</v>
      </c>
      <c r="BK2" s="50" t="s">
        <v>88</v>
      </c>
      <c r="BL2" s="50" t="s">
        <v>83</v>
      </c>
      <c r="BM2" s="51" t="s">
        <v>85</v>
      </c>
      <c r="BN2" s="50" t="s">
        <v>84</v>
      </c>
      <c r="BO2" s="52" t="s">
        <v>87</v>
      </c>
      <c r="BP2" s="50" t="s">
        <v>88</v>
      </c>
      <c r="BQ2" s="50" t="s">
        <v>83</v>
      </c>
      <c r="BR2" s="51" t="s">
        <v>85</v>
      </c>
      <c r="BS2" s="50" t="s">
        <v>84</v>
      </c>
      <c r="BT2" s="50" t="s">
        <v>87</v>
      </c>
      <c r="BU2" s="50" t="s">
        <v>88</v>
      </c>
      <c r="BV2" s="50" t="s">
        <v>83</v>
      </c>
      <c r="BW2" s="51" t="s">
        <v>85</v>
      </c>
      <c r="BX2" s="50" t="s">
        <v>84</v>
      </c>
      <c r="BY2" s="50" t="s">
        <v>87</v>
      </c>
      <c r="BZ2" s="50" t="s">
        <v>88</v>
      </c>
      <c r="CA2" s="50" t="s">
        <v>83</v>
      </c>
      <c r="CB2" s="51" t="s">
        <v>85</v>
      </c>
      <c r="CC2" s="50" t="s">
        <v>84</v>
      </c>
      <c r="CD2" s="7" t="s">
        <v>91</v>
      </c>
      <c r="CE2" s="7" t="s">
        <v>86</v>
      </c>
      <c r="CF2" s="7" t="s">
        <v>82</v>
      </c>
      <c r="CG2" s="7" t="s">
        <v>83</v>
      </c>
      <c r="CH2" s="7" t="s">
        <v>85</v>
      </c>
      <c r="CI2" s="7" t="s">
        <v>84</v>
      </c>
      <c r="CJ2" s="50" t="s">
        <v>87</v>
      </c>
      <c r="CK2" s="50" t="s">
        <v>82</v>
      </c>
      <c r="CL2" s="50" t="s">
        <v>83</v>
      </c>
      <c r="CM2" s="51" t="s">
        <v>85</v>
      </c>
      <c r="CN2" s="50" t="s">
        <v>84</v>
      </c>
      <c r="CO2" s="50" t="s">
        <v>87</v>
      </c>
      <c r="CP2" s="50" t="s">
        <v>88</v>
      </c>
      <c r="CQ2" s="50" t="s">
        <v>83</v>
      </c>
      <c r="CR2" s="51" t="s">
        <v>85</v>
      </c>
      <c r="CS2" s="50" t="s">
        <v>84</v>
      </c>
      <c r="CT2" s="50" t="s">
        <v>87</v>
      </c>
      <c r="CU2" s="50" t="s">
        <v>88</v>
      </c>
      <c r="CV2" s="50" t="s">
        <v>83</v>
      </c>
      <c r="CW2" s="51" t="s">
        <v>85</v>
      </c>
      <c r="CX2" s="50" t="s">
        <v>84</v>
      </c>
      <c r="CY2" s="52" t="s">
        <v>87</v>
      </c>
      <c r="CZ2" s="50" t="s">
        <v>88</v>
      </c>
      <c r="DA2" s="50" t="s">
        <v>83</v>
      </c>
      <c r="DB2" s="51" t="s">
        <v>85</v>
      </c>
      <c r="DC2" s="50" t="s">
        <v>84</v>
      </c>
      <c r="DD2" s="52" t="s">
        <v>87</v>
      </c>
      <c r="DE2" s="50" t="s">
        <v>88</v>
      </c>
      <c r="DF2" s="50" t="s">
        <v>83</v>
      </c>
      <c r="DG2" s="51" t="s">
        <v>85</v>
      </c>
      <c r="DH2" s="50" t="s">
        <v>84</v>
      </c>
      <c r="DI2" s="50" t="s">
        <v>87</v>
      </c>
      <c r="DJ2" s="50" t="s">
        <v>88</v>
      </c>
      <c r="DK2" s="50" t="s">
        <v>83</v>
      </c>
      <c r="DL2" s="51" t="s">
        <v>85</v>
      </c>
      <c r="DM2" s="50" t="s">
        <v>84</v>
      </c>
      <c r="DN2" s="52" t="s">
        <v>87</v>
      </c>
      <c r="DO2" s="50" t="s">
        <v>88</v>
      </c>
      <c r="DP2" s="50" t="s">
        <v>83</v>
      </c>
      <c r="DQ2" s="51" t="s">
        <v>85</v>
      </c>
      <c r="DR2" s="50" t="s">
        <v>84</v>
      </c>
      <c r="DS2" s="50" t="s">
        <v>87</v>
      </c>
      <c r="DT2" s="50" t="s">
        <v>88</v>
      </c>
      <c r="DU2" s="50" t="s">
        <v>83</v>
      </c>
      <c r="DV2" s="51" t="s">
        <v>85</v>
      </c>
      <c r="DW2" s="50" t="s">
        <v>84</v>
      </c>
      <c r="DX2" s="52" t="s">
        <v>87</v>
      </c>
      <c r="DY2" s="50" t="s">
        <v>88</v>
      </c>
      <c r="DZ2" s="50" t="s">
        <v>83</v>
      </c>
      <c r="EA2" s="51" t="s">
        <v>85</v>
      </c>
      <c r="EB2" s="50" t="s">
        <v>84</v>
      </c>
      <c r="EC2" s="52" t="s">
        <v>87</v>
      </c>
      <c r="ED2" s="50" t="s">
        <v>88</v>
      </c>
      <c r="EE2" s="50" t="s">
        <v>83</v>
      </c>
      <c r="EF2" s="51" t="s">
        <v>85</v>
      </c>
      <c r="EG2" s="50" t="s">
        <v>84</v>
      </c>
      <c r="EH2" s="52" t="s">
        <v>87</v>
      </c>
      <c r="EI2" s="50" t="s">
        <v>92</v>
      </c>
      <c r="EJ2" s="50" t="s">
        <v>93</v>
      </c>
      <c r="EK2" s="50" t="s">
        <v>88</v>
      </c>
      <c r="EL2" s="50" t="s">
        <v>83</v>
      </c>
      <c r="EM2" s="51" t="s">
        <v>85</v>
      </c>
      <c r="EN2" s="50" t="s">
        <v>84</v>
      </c>
      <c r="EO2" s="52" t="s">
        <v>87</v>
      </c>
      <c r="EP2" s="50" t="s">
        <v>88</v>
      </c>
      <c r="EQ2" s="50" t="s">
        <v>83</v>
      </c>
      <c r="ER2" s="51" t="s">
        <v>85</v>
      </c>
      <c r="ES2" s="50" t="s">
        <v>84</v>
      </c>
      <c r="ET2" s="52" t="s">
        <v>87</v>
      </c>
      <c r="EU2" s="50" t="s">
        <v>88</v>
      </c>
      <c r="EV2" s="50" t="s">
        <v>83</v>
      </c>
      <c r="EW2" s="51" t="s">
        <v>85</v>
      </c>
      <c r="EX2" s="50" t="s">
        <v>84</v>
      </c>
      <c r="EY2" s="50" t="s">
        <v>87</v>
      </c>
      <c r="EZ2" s="50" t="s">
        <v>88</v>
      </c>
      <c r="FA2" s="50" t="s">
        <v>83</v>
      </c>
      <c r="FB2" s="51" t="s">
        <v>85</v>
      </c>
      <c r="FC2" s="50" t="s">
        <v>84</v>
      </c>
      <c r="FD2" s="50" t="s">
        <v>87</v>
      </c>
      <c r="FE2" s="50" t="s">
        <v>88</v>
      </c>
      <c r="FF2" s="50" t="s">
        <v>83</v>
      </c>
      <c r="FG2" s="51" t="s">
        <v>85</v>
      </c>
      <c r="FH2" s="50" t="s">
        <v>84</v>
      </c>
      <c r="FI2" s="50" t="s">
        <v>87</v>
      </c>
      <c r="FJ2" s="50" t="s">
        <v>88</v>
      </c>
      <c r="FK2" s="50" t="s">
        <v>83</v>
      </c>
      <c r="FL2" s="51" t="s">
        <v>85</v>
      </c>
      <c r="FM2" s="50" t="s">
        <v>84</v>
      </c>
      <c r="FN2" s="52" t="s">
        <v>87</v>
      </c>
      <c r="FO2" s="50" t="s">
        <v>88</v>
      </c>
      <c r="FP2" s="50" t="s">
        <v>83</v>
      </c>
      <c r="FQ2" s="51" t="s">
        <v>85</v>
      </c>
      <c r="FR2" s="50" t="s">
        <v>84</v>
      </c>
      <c r="FS2" s="52" t="s">
        <v>87</v>
      </c>
      <c r="FT2" s="50" t="s">
        <v>88</v>
      </c>
      <c r="FU2" s="50" t="s">
        <v>83</v>
      </c>
      <c r="FV2" s="51" t="s">
        <v>85</v>
      </c>
      <c r="FW2" s="50" t="s">
        <v>84</v>
      </c>
      <c r="FX2" s="52" t="s">
        <v>87</v>
      </c>
      <c r="FY2" s="50" t="s">
        <v>82</v>
      </c>
      <c r="FZ2" s="50" t="s">
        <v>83</v>
      </c>
      <c r="GA2" s="50" t="s">
        <v>85</v>
      </c>
      <c r="GB2" s="50" t="s">
        <v>84</v>
      </c>
      <c r="GC2" s="52" t="s">
        <v>87</v>
      </c>
      <c r="GD2" s="50" t="s">
        <v>88</v>
      </c>
      <c r="GE2" s="50" t="s">
        <v>83</v>
      </c>
      <c r="GF2" s="51" t="s">
        <v>85</v>
      </c>
      <c r="GG2" s="50" t="s">
        <v>84</v>
      </c>
      <c r="GH2" s="52" t="s">
        <v>87</v>
      </c>
      <c r="GI2" s="50" t="s">
        <v>88</v>
      </c>
      <c r="GJ2" s="50" t="s">
        <v>83</v>
      </c>
      <c r="GK2" s="51" t="s">
        <v>85</v>
      </c>
      <c r="GL2" s="50" t="s">
        <v>84</v>
      </c>
      <c r="GM2" s="52" t="s">
        <v>87</v>
      </c>
      <c r="GN2" s="50" t="s">
        <v>88</v>
      </c>
      <c r="GO2" s="50" t="s">
        <v>83</v>
      </c>
      <c r="GP2" s="51" t="s">
        <v>85</v>
      </c>
      <c r="GQ2" s="50" t="s">
        <v>84</v>
      </c>
      <c r="GR2" s="53" t="s">
        <v>87</v>
      </c>
      <c r="GS2" s="54" t="s">
        <v>88</v>
      </c>
      <c r="GT2" s="54" t="s">
        <v>83</v>
      </c>
      <c r="GU2" s="54" t="s">
        <v>85</v>
      </c>
      <c r="GV2" s="54" t="s">
        <v>84</v>
      </c>
      <c r="GW2" s="53" t="s">
        <v>87</v>
      </c>
      <c r="GX2" s="54" t="s">
        <v>88</v>
      </c>
      <c r="GY2" s="54" t="s">
        <v>83</v>
      </c>
      <c r="GZ2" s="54" t="s">
        <v>85</v>
      </c>
      <c r="HA2" s="54" t="s">
        <v>84</v>
      </c>
      <c r="HB2" s="54" t="s">
        <v>87</v>
      </c>
      <c r="HC2" s="54" t="s">
        <v>88</v>
      </c>
      <c r="HD2" s="54" t="s">
        <v>83</v>
      </c>
      <c r="HE2" s="54" t="s">
        <v>85</v>
      </c>
      <c r="HF2" s="54" t="s">
        <v>84</v>
      </c>
      <c r="HG2" s="54" t="s">
        <v>87</v>
      </c>
      <c r="HH2" s="54" t="s">
        <v>88</v>
      </c>
      <c r="HI2" s="54" t="s">
        <v>83</v>
      </c>
      <c r="HJ2" s="54" t="s">
        <v>85</v>
      </c>
      <c r="HK2" s="54" t="s">
        <v>84</v>
      </c>
      <c r="HL2" s="50" t="s">
        <v>87</v>
      </c>
      <c r="HM2" s="50" t="s">
        <v>88</v>
      </c>
      <c r="HN2" s="50" t="s">
        <v>83</v>
      </c>
      <c r="HO2" s="50" t="s">
        <v>85</v>
      </c>
      <c r="HP2" s="50" t="s">
        <v>84</v>
      </c>
      <c r="HQ2" s="55" t="s">
        <v>87</v>
      </c>
      <c r="HR2" s="55" t="s">
        <v>88</v>
      </c>
      <c r="HS2" s="55" t="s">
        <v>83</v>
      </c>
      <c r="HT2" s="55" t="s">
        <v>85</v>
      </c>
      <c r="HU2" s="55" t="s">
        <v>84</v>
      </c>
      <c r="HV2" s="8" t="s">
        <v>87</v>
      </c>
      <c r="HW2" s="8" t="s">
        <v>88</v>
      </c>
      <c r="HX2" s="8" t="s">
        <v>83</v>
      </c>
      <c r="HY2" s="8" t="s">
        <v>85</v>
      </c>
      <c r="HZ2" s="8" t="s">
        <v>84</v>
      </c>
      <c r="IA2" s="8" t="s">
        <v>87</v>
      </c>
      <c r="IB2" s="8" t="s">
        <v>88</v>
      </c>
      <c r="IC2" s="8" t="s">
        <v>83</v>
      </c>
      <c r="ID2" s="8" t="s">
        <v>85</v>
      </c>
      <c r="IE2" s="8" t="s">
        <v>84</v>
      </c>
      <c r="IF2" s="56" t="s">
        <v>87</v>
      </c>
      <c r="IG2" s="56" t="s">
        <v>88</v>
      </c>
      <c r="IH2" s="56" t="s">
        <v>83</v>
      </c>
      <c r="II2" s="56" t="s">
        <v>85</v>
      </c>
      <c r="IJ2" s="56" t="s">
        <v>84</v>
      </c>
      <c r="IK2" s="57" t="s">
        <v>87</v>
      </c>
      <c r="IL2" s="57" t="s">
        <v>88</v>
      </c>
      <c r="IM2" s="57" t="s">
        <v>83</v>
      </c>
      <c r="IN2" s="57" t="s">
        <v>85</v>
      </c>
      <c r="IO2" s="57" t="s">
        <v>84</v>
      </c>
      <c r="IP2" s="57" t="s">
        <v>87</v>
      </c>
      <c r="IQ2" s="57" t="s">
        <v>88</v>
      </c>
      <c r="IR2" s="57" t="s">
        <v>83</v>
      </c>
      <c r="IS2" s="57" t="s">
        <v>85</v>
      </c>
      <c r="IT2" s="57" t="s">
        <v>84</v>
      </c>
      <c r="IU2" s="57" t="s">
        <v>87</v>
      </c>
      <c r="IV2" s="57" t="s">
        <v>88</v>
      </c>
      <c r="IW2" s="57" t="s">
        <v>83</v>
      </c>
      <c r="IX2" s="57" t="s">
        <v>85</v>
      </c>
      <c r="IY2" s="57" t="s">
        <v>84</v>
      </c>
      <c r="IZ2" s="57" t="s">
        <v>87</v>
      </c>
      <c r="JA2" s="57" t="s">
        <v>88</v>
      </c>
      <c r="JB2" s="57" t="s">
        <v>83</v>
      </c>
      <c r="JC2" s="57" t="s">
        <v>85</v>
      </c>
      <c r="JD2" s="57" t="s">
        <v>84</v>
      </c>
      <c r="JE2" s="58" t="s">
        <v>86</v>
      </c>
      <c r="JF2" s="58" t="s">
        <v>88</v>
      </c>
      <c r="JG2" s="58" t="s">
        <v>83</v>
      </c>
      <c r="JH2" s="58" t="s">
        <v>85</v>
      </c>
      <c r="JI2" s="58" t="s">
        <v>84</v>
      </c>
      <c r="JJ2" s="58" t="s">
        <v>88</v>
      </c>
      <c r="JK2" s="58" t="s">
        <v>83</v>
      </c>
      <c r="JL2" s="58" t="s">
        <v>85</v>
      </c>
      <c r="JM2" s="58" t="s">
        <v>84</v>
      </c>
      <c r="JN2" s="58" t="s">
        <v>88</v>
      </c>
      <c r="JO2" s="58" t="s">
        <v>83</v>
      </c>
      <c r="JP2" s="58" t="s">
        <v>85</v>
      </c>
      <c r="JQ2" s="58" t="s">
        <v>84</v>
      </c>
      <c r="JR2" s="58" t="s">
        <v>86</v>
      </c>
      <c r="JS2" s="58" t="s">
        <v>88</v>
      </c>
      <c r="JT2" s="58" t="s">
        <v>83</v>
      </c>
      <c r="JU2" s="58" t="s">
        <v>85</v>
      </c>
      <c r="JV2" s="58" t="s">
        <v>84</v>
      </c>
      <c r="JW2" s="58" t="s">
        <v>86</v>
      </c>
      <c r="JX2" s="58" t="s">
        <v>88</v>
      </c>
      <c r="JY2" s="58" t="s">
        <v>83</v>
      </c>
      <c r="JZ2" s="58" t="s">
        <v>85</v>
      </c>
      <c r="KA2" s="58" t="s">
        <v>84</v>
      </c>
      <c r="KB2" s="59" t="s">
        <v>88</v>
      </c>
      <c r="KC2" s="59" t="s">
        <v>83</v>
      </c>
      <c r="KD2" s="59" t="s">
        <v>85</v>
      </c>
      <c r="KE2" s="59" t="s">
        <v>84</v>
      </c>
      <c r="KF2" s="59" t="s">
        <v>88</v>
      </c>
      <c r="KG2" s="59" t="s">
        <v>83</v>
      </c>
      <c r="KH2" s="59" t="s">
        <v>85</v>
      </c>
      <c r="KI2" s="59" t="s">
        <v>84</v>
      </c>
      <c r="KJ2" s="60" t="s">
        <v>88</v>
      </c>
      <c r="KK2" s="60" t="s">
        <v>83</v>
      </c>
      <c r="KL2" s="60" t="s">
        <v>85</v>
      </c>
      <c r="KM2" s="60" t="s">
        <v>84</v>
      </c>
      <c r="KN2" s="60" t="s">
        <v>88</v>
      </c>
      <c r="KO2" s="60" t="s">
        <v>83</v>
      </c>
      <c r="KP2" s="60" t="s">
        <v>85</v>
      </c>
      <c r="KQ2" s="60" t="s">
        <v>94</v>
      </c>
      <c r="KR2" s="60" t="s">
        <v>86</v>
      </c>
      <c r="KS2" s="60" t="s">
        <v>88</v>
      </c>
      <c r="KT2" s="60" t="s">
        <v>83</v>
      </c>
      <c r="KU2" s="60" t="s">
        <v>85</v>
      </c>
      <c r="KV2" s="60" t="s">
        <v>84</v>
      </c>
      <c r="KW2" s="60" t="s">
        <v>88</v>
      </c>
      <c r="KX2" s="60" t="s">
        <v>83</v>
      </c>
      <c r="KY2" s="60" t="s">
        <v>85</v>
      </c>
      <c r="KZ2" s="60" t="s">
        <v>84</v>
      </c>
      <c r="LA2" s="60" t="s">
        <v>87</v>
      </c>
      <c r="LB2" s="60" t="s">
        <v>88</v>
      </c>
      <c r="LC2" s="60" t="s">
        <v>83</v>
      </c>
      <c r="LD2" s="60" t="s">
        <v>85</v>
      </c>
      <c r="LE2" s="60" t="s">
        <v>84</v>
      </c>
      <c r="LF2" s="61" t="s">
        <v>86</v>
      </c>
      <c r="LG2" s="61" t="s">
        <v>88</v>
      </c>
      <c r="LH2" s="61" t="s">
        <v>83</v>
      </c>
      <c r="LI2" s="61" t="s">
        <v>85</v>
      </c>
      <c r="LJ2" s="61" t="s">
        <v>84</v>
      </c>
      <c r="LK2" s="61" t="s">
        <v>86</v>
      </c>
      <c r="LL2" s="61" t="s">
        <v>88</v>
      </c>
      <c r="LM2" s="61" t="s">
        <v>83</v>
      </c>
      <c r="LN2" s="61" t="s">
        <v>85</v>
      </c>
      <c r="LO2" s="61" t="s">
        <v>84</v>
      </c>
      <c r="LP2" s="61" t="s">
        <v>86</v>
      </c>
      <c r="LQ2" s="61" t="s">
        <v>88</v>
      </c>
      <c r="LR2" s="61" t="s">
        <v>83</v>
      </c>
      <c r="LS2" s="61" t="s">
        <v>85</v>
      </c>
      <c r="LT2" s="61" t="s">
        <v>84</v>
      </c>
      <c r="LU2" s="61" t="s">
        <v>86</v>
      </c>
      <c r="LV2" s="61" t="s">
        <v>88</v>
      </c>
      <c r="LW2" s="61" t="s">
        <v>83</v>
      </c>
      <c r="LX2" s="61" t="s">
        <v>85</v>
      </c>
      <c r="LY2" s="61" t="s">
        <v>84</v>
      </c>
      <c r="LZ2" s="61" t="s">
        <v>86</v>
      </c>
      <c r="MA2" s="61" t="s">
        <v>88</v>
      </c>
      <c r="MB2" s="61" t="s">
        <v>83</v>
      </c>
      <c r="MC2" s="61" t="s">
        <v>85</v>
      </c>
      <c r="MD2" s="61" t="s">
        <v>84</v>
      </c>
      <c r="ME2" s="61" t="s">
        <v>95</v>
      </c>
      <c r="MF2" s="61" t="s">
        <v>88</v>
      </c>
      <c r="MG2" s="61" t="s">
        <v>83</v>
      </c>
      <c r="MH2" s="61" t="s">
        <v>85</v>
      </c>
      <c r="MI2" s="61" t="s">
        <v>94</v>
      </c>
      <c r="MJ2" s="54" t="s">
        <v>86</v>
      </c>
      <c r="MK2" s="54" t="s">
        <v>96</v>
      </c>
      <c r="ML2" s="54" t="s">
        <v>85</v>
      </c>
      <c r="MM2" s="54" t="s">
        <v>84</v>
      </c>
      <c r="MN2" s="54" t="s">
        <v>86</v>
      </c>
      <c r="MO2" s="54" t="s">
        <v>83</v>
      </c>
      <c r="MP2" s="54" t="s">
        <v>85</v>
      </c>
      <c r="MQ2" s="54" t="s">
        <v>84</v>
      </c>
      <c r="MR2" s="7" t="s">
        <v>87</v>
      </c>
      <c r="MS2" s="7" t="s">
        <v>88</v>
      </c>
      <c r="MT2" s="7" t="s">
        <v>83</v>
      </c>
      <c r="MU2" s="7" t="s">
        <v>85</v>
      </c>
      <c r="MV2" s="7" t="s">
        <v>84</v>
      </c>
      <c r="MW2" s="7" t="s">
        <v>87</v>
      </c>
      <c r="MX2" s="7" t="s">
        <v>88</v>
      </c>
      <c r="MY2" s="7" t="s">
        <v>83</v>
      </c>
      <c r="MZ2" s="7" t="s">
        <v>85</v>
      </c>
      <c r="NA2" s="7" t="s">
        <v>84</v>
      </c>
      <c r="NB2" s="62" t="s">
        <v>87</v>
      </c>
      <c r="NC2" s="62" t="s">
        <v>88</v>
      </c>
      <c r="ND2" s="62" t="s">
        <v>83</v>
      </c>
      <c r="NE2" s="62" t="s">
        <v>85</v>
      </c>
      <c r="NF2" s="62" t="s">
        <v>84</v>
      </c>
      <c r="NG2" s="62" t="s">
        <v>86</v>
      </c>
      <c r="NH2" s="62" t="s">
        <v>88</v>
      </c>
      <c r="NI2" s="62" t="s">
        <v>83</v>
      </c>
      <c r="NJ2" s="62" t="s">
        <v>85</v>
      </c>
      <c r="NK2" s="62" t="s">
        <v>84</v>
      </c>
      <c r="NL2" s="62" t="s">
        <v>86</v>
      </c>
      <c r="NM2" s="62" t="s">
        <v>88</v>
      </c>
      <c r="NN2" s="62" t="s">
        <v>83</v>
      </c>
      <c r="NO2" s="62" t="s">
        <v>85</v>
      </c>
      <c r="NP2" s="62" t="s">
        <v>84</v>
      </c>
      <c r="NQ2" s="63" t="s">
        <v>86</v>
      </c>
      <c r="NR2" s="63" t="s">
        <v>88</v>
      </c>
      <c r="NS2" s="63" t="s">
        <v>83</v>
      </c>
      <c r="NT2" s="63" t="s">
        <v>85</v>
      </c>
      <c r="NU2" s="63" t="s">
        <v>84</v>
      </c>
      <c r="NV2" s="63" t="s">
        <v>86</v>
      </c>
      <c r="NW2" s="63" t="s">
        <v>88</v>
      </c>
      <c r="NX2" s="63" t="s">
        <v>83</v>
      </c>
      <c r="NY2" s="63" t="s">
        <v>85</v>
      </c>
      <c r="NZ2" s="63" t="s">
        <v>84</v>
      </c>
    </row>
    <row r="3" spans="1:390" ht="15.6" thickTop="1" thickBot="1" x14ac:dyDescent="0.35">
      <c r="A3" s="9">
        <v>1183</v>
      </c>
      <c r="B3" s="10" t="s">
        <v>97</v>
      </c>
      <c r="C3" s="21" t="s">
        <v>98</v>
      </c>
      <c r="D3" s="64" t="s">
        <v>99</v>
      </c>
      <c r="E3" s="15"/>
      <c r="F3" s="16"/>
      <c r="G3" s="14"/>
      <c r="H3" s="65"/>
      <c r="I3" s="15" t="str">
        <f t="shared" ref="I3:I66" si="0">IF(H3&gt;=61,"VIGENTE",IF(H3&gt;=1,"POR VENCER",IF(H3&lt;=-1,"VENCIDA",IF(F3=0,"NO APLICA"))))</f>
        <v>NO APLICA</v>
      </c>
      <c r="J3" s="12"/>
      <c r="K3" s="16"/>
      <c r="L3" s="16"/>
      <c r="M3" s="65"/>
      <c r="N3" s="15" t="str">
        <f t="shared" ref="N3:N66" si="1">IF(M3&gt;=61,"VIGENTE",IF(M3&gt;=1,"POR VENCER",IF(M3&lt;=-1,"VENCIDA",IF(K3=0,"NO APLICA"))))</f>
        <v>NO APLICA</v>
      </c>
      <c r="O3" s="14">
        <v>45757</v>
      </c>
      <c r="P3" s="14">
        <v>45758</v>
      </c>
      <c r="Q3" s="14">
        <f>DATE(YEAR(P3)+2,MONTH(P3),DAY(P3)-1)</f>
        <v>46487</v>
      </c>
      <c r="R3" s="65">
        <f ca="1">Q3-TODAY()</f>
        <v>356</v>
      </c>
      <c r="S3" s="15" t="str">
        <f ca="1">IF(R3&gt;=61,"VIGENTE",IF(R3&gt;=1,"POR VENCER",IF(R3&lt;=-1,"VENCIDA",IF(R3=0,"NO APLICA"))))</f>
        <v>VIGENTE</v>
      </c>
      <c r="T3" s="12" t="s">
        <v>100</v>
      </c>
      <c r="U3" s="13">
        <v>45077</v>
      </c>
      <c r="V3" s="14">
        <v>45078</v>
      </c>
      <c r="W3" s="14">
        <f t="shared" ref="W3:W66" si="2">DATE(YEAR(V3)+5,MONTH(V3),DAY(V3))</f>
        <v>46905</v>
      </c>
      <c r="X3" s="65">
        <f t="shared" ref="X3:X66" ca="1" si="3">W3-TODAY()</f>
        <v>774</v>
      </c>
      <c r="Y3" s="15" t="str">
        <f t="shared" ref="Y3:Y66" ca="1" si="4">IF(X3&gt;=90,"VIGENTE",IF(X3&gt;=1,"POR VENCER",IF(X3&lt;=-1,"VENCIDA",IF(V3=0,"NO APLICA"))))</f>
        <v>VIGENTE</v>
      </c>
      <c r="Z3" s="12" t="s">
        <v>101</v>
      </c>
      <c r="AA3" s="13">
        <v>45189</v>
      </c>
      <c r="AB3" s="14">
        <v>45190</v>
      </c>
      <c r="AC3" s="14">
        <f t="shared" ref="AC3:AC16" si="5">DATE(YEAR(AB3)+5,MONTH(AB3),DAY(AB3))</f>
        <v>47017</v>
      </c>
      <c r="AD3" s="65">
        <f t="shared" ref="AD3:AD16" ca="1" si="6">AC3-TODAY()</f>
        <v>886</v>
      </c>
      <c r="AE3" s="15" t="str">
        <f t="shared" ref="AE3:AE66" ca="1" si="7">IF(AD3&gt;=91,"VIGENTE",IF(AD3&gt;=1,"POR VENCER",IF(AD3&lt;=-1,"VENCIDA",IF(AB3=0,"NO APLICA"))))</f>
        <v>VIGENTE</v>
      </c>
      <c r="AF3" s="13">
        <v>44929</v>
      </c>
      <c r="AG3" s="14">
        <v>45609</v>
      </c>
      <c r="AH3" s="14">
        <f>DATE(YEAR(AG3)+2,MONTH(AG3),DAY(AG3)-1)</f>
        <v>46338</v>
      </c>
      <c r="AI3" s="65">
        <f t="shared" ref="AI3:AI66" ca="1" si="8">AH3-TODAY()</f>
        <v>207</v>
      </c>
      <c r="AJ3" s="15" t="str">
        <f t="shared" ref="AJ3:AJ41" ca="1" si="9">IF(AI3&gt;=91,"VIGENTE",IF(AI3&gt;=1,"POR VENCER",IF(AI3&lt;=-1,"VENCIDA",IF(AG3=0,"NO APLICA"))))</f>
        <v>VIGENTE</v>
      </c>
      <c r="AK3" s="13">
        <v>44583</v>
      </c>
      <c r="AL3" s="14">
        <v>45937</v>
      </c>
      <c r="AM3" s="14">
        <f>DATE(YEAR(AL3)+2,MONTH(AL3),DAY(AL3))</f>
        <v>46667</v>
      </c>
      <c r="AN3" s="65">
        <f t="shared" ref="AN3:AN66" ca="1" si="10">AM3-TODAY()</f>
        <v>536</v>
      </c>
      <c r="AO3" s="15" t="str">
        <f t="shared" ref="AO3:AO66" ca="1" si="11">IF(AN3&gt;=91,"VIGENTE",IF(AN3&gt;=1,"POR VENCER",IF(AN3&lt;=-1,"VENCIDA",IF(AL3=0,"NO APLICA"))))</f>
        <v>VIGENTE</v>
      </c>
      <c r="AP3" s="13">
        <v>45258</v>
      </c>
      <c r="AQ3" s="14">
        <v>45887</v>
      </c>
      <c r="AR3" s="14">
        <f>DATE(YEAR(AQ3)+2,MONTH(AQ3),DAY(AQ3))</f>
        <v>46617</v>
      </c>
      <c r="AS3" s="65">
        <f t="shared" ref="AS3:AS66" ca="1" si="12">AR3-TODAY()</f>
        <v>486</v>
      </c>
      <c r="AT3" s="15" t="str">
        <f t="shared" ref="AT3:AT66" ca="1" si="13">IF(AS3&gt;=91,"VIGENTE",IF(AS3&gt;=1,"POR VENCER",IF(AS3&lt;=-1,"VENCIDA",IF(AQ3=0,"NO APLICA"))))</f>
        <v>VIGENTE</v>
      </c>
      <c r="AU3" s="13">
        <v>44664</v>
      </c>
      <c r="AV3" s="14">
        <v>45927</v>
      </c>
      <c r="AW3" s="14">
        <f t="shared" ref="AW3:AW9" si="14">DATE(YEAR(AV3)+2,MONTH(AV3),DAY(AV3))</f>
        <v>46657</v>
      </c>
      <c r="AX3" s="65">
        <f t="shared" ref="AX3:AX66" ca="1" si="15">AW3-TODAY()</f>
        <v>526</v>
      </c>
      <c r="AY3" s="15" t="str">
        <f t="shared" ref="AY3:AY66" ca="1" si="16">IF(AX3&gt;=91,"VIGENTE",IF(AX3&gt;=1,"POR VENCER",IF(AX3&lt;=-1,"VENCIDA",IF(AV3=0,"NO APLICA"))))</f>
        <v>VIGENTE</v>
      </c>
      <c r="AZ3" s="13">
        <v>45237</v>
      </c>
      <c r="BA3" s="14">
        <v>45901</v>
      </c>
      <c r="BB3" s="14">
        <f>DATE(YEAR(BA3)+2,MONTH(BA3),DAY(BA3))</f>
        <v>46631</v>
      </c>
      <c r="BC3" s="65">
        <f t="shared" ref="BC3:BC66" ca="1" si="17">BB3-TODAY()</f>
        <v>500</v>
      </c>
      <c r="BD3" s="15" t="str">
        <f t="shared" ref="BD3:BD66" ca="1" si="18">IF(BC3&gt;=91,"VIGENTE",IF(BC3&gt;=1,"POR VENCER",IF(BC3&lt;=-1,"VENCIDA",IF(BA3=0,"NO APLICA"))))</f>
        <v>VIGENTE</v>
      </c>
      <c r="BE3" s="13">
        <v>44688</v>
      </c>
      <c r="BF3" s="14">
        <v>45997</v>
      </c>
      <c r="BG3" s="14">
        <f>DATE(YEAR(BF3)+2,MONTH(BF3),DAY(BF3))</f>
        <v>46727</v>
      </c>
      <c r="BH3" s="65">
        <f t="shared" ref="BH3:BH66" ca="1" si="19">BG3-TODAY()</f>
        <v>596</v>
      </c>
      <c r="BI3" s="15" t="str">
        <f t="shared" ref="BI3:BI66" ca="1" si="20">IF(BH3&gt;=91,"VIGENTE",IF(BH3&gt;=1,"POR VENCER",IF(BH3&lt;=-1,"VENCIDA",IF(BF3=0,"NO APLICA"))))</f>
        <v>VIGENTE</v>
      </c>
      <c r="BJ3" s="13">
        <v>45389</v>
      </c>
      <c r="BK3" s="14">
        <v>46035</v>
      </c>
      <c r="BL3" s="14">
        <f>DATE(YEAR(BK3)+2,MONTH(BK3),DAY(BK3))</f>
        <v>46765</v>
      </c>
      <c r="BM3" s="65">
        <f t="shared" ref="BM3:BM66" ca="1" si="21">BL3-TODAY()</f>
        <v>634</v>
      </c>
      <c r="BN3" s="15" t="str">
        <f t="shared" ref="BN3:BN66" ca="1" si="22">IF(BM3&gt;=91,"VIGENTE",IF(BM3&gt;=1,"POR VENCER",IF(BM3&lt;=-1,"VENCIDA",IF(BK3=0,"NO APLICA"))))</f>
        <v>VIGENTE</v>
      </c>
      <c r="BO3" s="13">
        <v>44750</v>
      </c>
      <c r="BP3" s="14">
        <v>46050</v>
      </c>
      <c r="BQ3" s="14">
        <f>DATE(YEAR(BP3)+2,MONTH(BP3),DAY(BP3))</f>
        <v>46780</v>
      </c>
      <c r="BR3" s="65">
        <f t="shared" ref="BR3:BR66" ca="1" si="23">BQ3-TODAY()</f>
        <v>649</v>
      </c>
      <c r="BS3" s="15" t="str">
        <f t="shared" ref="BS3:BS66" ca="1" si="24">IF(BR3&gt;=91,"VIGENTE",IF(BR3&gt;=1,"POR VENCER",IF(BR3&lt;=-1,"VENCIDA",IF(BP3=0,"NO APLICA"))))</f>
        <v>VIGENTE</v>
      </c>
      <c r="BT3" s="13">
        <v>44809</v>
      </c>
      <c r="BU3" s="14">
        <v>45449</v>
      </c>
      <c r="BV3" s="14">
        <f>DATE(YEAR(BU3)+2,MONTH(BU3),DAY(BU3)-1)</f>
        <v>46178</v>
      </c>
      <c r="BW3" s="65">
        <f t="shared" ref="BW3:BW66" ca="1" si="25">BV3-TODAY()</f>
        <v>47</v>
      </c>
      <c r="BX3" s="15" t="str">
        <f t="shared" ref="BX3:BX66" ca="1" si="26">IF(BW3&gt;=91,"VIGENTE",IF(BW3&gt;=1,"POR VENCER",IF(BW3&lt;=-1,"VENCIDA",IF(BU3=0,"NO APLICA"))))</f>
        <v>POR VENCER</v>
      </c>
      <c r="BY3" s="13">
        <v>45272</v>
      </c>
      <c r="BZ3" s="14">
        <v>45944</v>
      </c>
      <c r="CA3" s="14">
        <f>DATE(YEAR(BZ3)+2,MONTH(BZ3),DAY(BZ3))</f>
        <v>46674</v>
      </c>
      <c r="CB3" s="65">
        <f t="shared" ref="CB3:CB66" ca="1" si="27">CA3-TODAY()</f>
        <v>543</v>
      </c>
      <c r="CC3" s="15" t="str">
        <f t="shared" ref="CC3:CC66" ca="1" si="28">IF(CB3&gt;=91,"VIGENTE",IF(CB3&gt;=1,"POR VENCER",IF(CB3&lt;=-1,"VENCIDA",IF(BZ3=0,"NO APLICA"))))</f>
        <v>VIGENTE</v>
      </c>
      <c r="CD3" s="16" t="s">
        <v>102</v>
      </c>
      <c r="CE3" s="14">
        <v>45831</v>
      </c>
      <c r="CF3" s="14">
        <v>45832</v>
      </c>
      <c r="CG3" s="14">
        <f t="shared" ref="CG3:CG66" si="29">DATE(YEAR(CF3)+4,MONTH(CF3),DAY(CF3))</f>
        <v>47293</v>
      </c>
      <c r="CH3" s="65">
        <f t="shared" ref="CH3:CH66" ca="1" si="30">CG3-TODAY()</f>
        <v>1162</v>
      </c>
      <c r="CI3" s="15" t="str">
        <f t="shared" ref="CI3:CI66" ca="1" si="31">IF(CH3&gt;=90,"VIGENTE",IF(CH3&gt;=1,"POR VENCER",IF(CH3&lt;=-1,"VENCIDA",IF(CH3=0,"NO APLICA"))))</f>
        <v>VIGENTE</v>
      </c>
      <c r="CJ3" s="14">
        <v>44588</v>
      </c>
      <c r="CK3" s="14">
        <v>45929</v>
      </c>
      <c r="CL3" s="14">
        <f>DATE(YEAR(CK3)+2,MONTH(CK3),DAY(CK3))</f>
        <v>46659</v>
      </c>
      <c r="CM3" s="65">
        <f t="shared" ref="CM3:CM66" ca="1" si="32">CL3-TODAY()</f>
        <v>528</v>
      </c>
      <c r="CN3" s="15" t="str">
        <f t="shared" ref="CN3:CN66" ca="1" si="33">IF(CM3&gt;=91,"VIGENTE",IF(CM3&gt;=1,"POR VENCER",IF(CM3&lt;=-1,"VENCIDA",IF(CK3=0,"NO APLICA"))))</f>
        <v>VIGENTE</v>
      </c>
      <c r="CO3" s="13">
        <v>45246</v>
      </c>
      <c r="CP3" s="14">
        <v>45888</v>
      </c>
      <c r="CQ3" s="14">
        <f>DATE(YEAR(CP3)+2,MONTH(CP3),DAY(CP3))</f>
        <v>46618</v>
      </c>
      <c r="CR3" s="65">
        <f t="shared" ref="CR3:CR66" ca="1" si="34">CQ3-TODAY()</f>
        <v>487</v>
      </c>
      <c r="CS3" s="15" t="str">
        <f t="shared" ref="CS3:CS66" ca="1" si="35">IF(CR3&gt;=91,"VIGENTE",IF(CR3&gt;=1,"POR VENCER",IF(CR3&lt;=-1,"VENCIDA",IF(CP3=0,"NO APLICA"))))</f>
        <v>VIGENTE</v>
      </c>
      <c r="CT3" s="13">
        <v>44569</v>
      </c>
      <c r="CU3" s="14">
        <v>45905</v>
      </c>
      <c r="CV3" s="14">
        <f>DATE(YEAR(CU3)+2,MONTH(CU3),DAY(CU3))</f>
        <v>46635</v>
      </c>
      <c r="CW3" s="65">
        <f t="shared" ref="CW3:CW66" ca="1" si="36">CV3-TODAY()</f>
        <v>504</v>
      </c>
      <c r="CX3" s="15" t="str">
        <f t="shared" ref="CX3:CX66" ca="1" si="37">IF(CW3&gt;=91,"VIGENTE",IF(CW3&gt;=1,"POR VENCER",IF(CW3&lt;=-1,"VENCIDA",IF(CU3=0,"NO APLICA"))))</f>
        <v>VIGENTE</v>
      </c>
      <c r="CY3" s="13">
        <v>45407</v>
      </c>
      <c r="CZ3" s="14">
        <v>46028</v>
      </c>
      <c r="DA3" s="14">
        <f>DATE(YEAR(CZ3)+2,MONTH(CZ3),DAY(CZ3))</f>
        <v>46758</v>
      </c>
      <c r="DB3" s="65">
        <f t="shared" ref="DB3:DB66" ca="1" si="38">DA3-TODAY()</f>
        <v>627</v>
      </c>
      <c r="DC3" s="15" t="str">
        <f t="shared" ref="DC3:DC66" ca="1" si="39">IF(DB3&gt;=91,"VIGENTE",IF(DB3&gt;=1,"POR VENCER",IF(DB3&lt;=-1,"VENCIDA",IF(CZ3=0,"NO APLICA"))))</f>
        <v>VIGENTE</v>
      </c>
      <c r="DD3" s="13">
        <v>45023</v>
      </c>
      <c r="DE3" s="14">
        <v>45689</v>
      </c>
      <c r="DF3" s="14">
        <f>DATE(YEAR(DE3)+2,MONTH(DE3),DAY(DE3)-1)</f>
        <v>46418</v>
      </c>
      <c r="DG3" s="65">
        <f t="shared" ref="DG3:DG66" ca="1" si="40">DF3-TODAY()</f>
        <v>287</v>
      </c>
      <c r="DH3" s="15" t="str">
        <f t="shared" ref="DH3:DH66" ca="1" si="41">IF(DG3&gt;=91,"VIGENTE",IF(DG3&gt;=1,"POR VENCER",IF(DG3&lt;=-1,"VENCIDA",IF(DE3=0,"NO APLICA"))))</f>
        <v>VIGENTE</v>
      </c>
      <c r="DI3" s="13">
        <v>45065</v>
      </c>
      <c r="DJ3" s="14">
        <v>45696</v>
      </c>
      <c r="DK3" s="14">
        <f t="shared" ref="DK3:DK9" si="42">DATE(YEAR(DJ3)+2,MONTH(DJ3),DAY(DJ3)-1)</f>
        <v>46425</v>
      </c>
      <c r="DL3" s="65">
        <f t="shared" ref="DL3:DL66" ca="1" si="43">DK3-TODAY()</f>
        <v>294</v>
      </c>
      <c r="DM3" s="15" t="str">
        <f t="shared" ref="DM3:DM66" ca="1" si="44">IF(DL3&gt;=91,"VIGENTE",IF(DL3&gt;=1,"POR VENCER",IF(DL3&lt;=-1,"VENCIDA",IF(DJ3=0,"NO APLICA"))))</f>
        <v>VIGENTE</v>
      </c>
      <c r="DN3" s="13">
        <v>45116</v>
      </c>
      <c r="DO3" s="14">
        <v>45731</v>
      </c>
      <c r="DP3" s="14">
        <f t="shared" ref="DP3:DP9" si="45">DATE(YEAR(DO3)+2,MONTH(DO3),DAY(DO3)-1)</f>
        <v>46460</v>
      </c>
      <c r="DQ3" s="65">
        <f t="shared" ref="DQ3:DQ66" ca="1" si="46">DP3-TODAY()</f>
        <v>329</v>
      </c>
      <c r="DR3" s="15" t="str">
        <f t="shared" ref="DR3:DR66" ca="1" si="47">IF(DQ3&gt;=91,"VIGENTE",IF(DQ3&gt;=1,"POR VENCER",IF(DQ3&lt;=-1,"VENCIDA",IF(DO3=0,"NO APLICA"))))</f>
        <v>VIGENTE</v>
      </c>
      <c r="DS3" s="13">
        <v>45019</v>
      </c>
      <c r="DT3" s="14">
        <v>45685</v>
      </c>
      <c r="DU3" s="14">
        <f>DATE(YEAR(DT3)+2,MONTH(DT3),DAY(DT3)-1)</f>
        <v>46414</v>
      </c>
      <c r="DV3" s="65">
        <f t="shared" ref="DV3:DV66" ca="1" si="48">DU3-TODAY()</f>
        <v>283</v>
      </c>
      <c r="DW3" s="15" t="str">
        <f t="shared" ref="DW3:DW66" ca="1" si="49">IF(DV3&gt;=91,"VIGENTE",IF(DV3&gt;=1,"POR VENCER",IF(DV3&lt;=-1,"VENCIDA",IF(DT3=0,"NO APLICA"))))</f>
        <v>VIGENTE</v>
      </c>
      <c r="DX3" s="13">
        <v>44951</v>
      </c>
      <c r="DY3" s="14">
        <v>45582</v>
      </c>
      <c r="DZ3" s="14">
        <f>DATE(YEAR(DY3)+2,MONTH(DY3),DAY(DY3)-1)</f>
        <v>46311</v>
      </c>
      <c r="EA3" s="65">
        <f t="shared" ref="EA3:EA66" ca="1" si="50">DZ3-TODAY()</f>
        <v>180</v>
      </c>
      <c r="EB3" s="15" t="str">
        <f t="shared" ref="EB3:EB66" ca="1" si="51">IF(EA3&gt;=91,"VIGENTE",IF(EA3&gt;=1,"POR VENCER",IF(EA3&lt;=-1,"VENCIDA",IF(DY3=0,"NO APLICA"))))</f>
        <v>VIGENTE</v>
      </c>
      <c r="EC3" s="13">
        <v>44982</v>
      </c>
      <c r="ED3" s="14">
        <v>45602</v>
      </c>
      <c r="EE3" s="14">
        <f>DATE(YEAR(ED3)+2,MONTH(ED3),DAY(ED3)-1)</f>
        <v>46331</v>
      </c>
      <c r="EF3" s="65">
        <f t="shared" ref="EF3:EF66" ca="1" si="52">EE3-TODAY()</f>
        <v>200</v>
      </c>
      <c r="EG3" s="15" t="str">
        <f t="shared" ref="EG3:EG66" ca="1" si="53">IF(EF3&gt;=91,"VIGENTE",IF(EF3&gt;=1,"POR VENCER",IF(EF3&lt;=-1,"VENCIDA",IF(ED3=0,"NO APLICA"))))</f>
        <v>VIGENTE</v>
      </c>
      <c r="EH3" s="13">
        <v>45253</v>
      </c>
      <c r="EI3" s="13">
        <v>45909</v>
      </c>
      <c r="EJ3" s="13">
        <v>45910</v>
      </c>
      <c r="EK3" s="13">
        <v>45911</v>
      </c>
      <c r="EL3" s="14">
        <f>DATE(YEAR(EK3)+1,MONTH(EK3),DAY(EK3))</f>
        <v>46276</v>
      </c>
      <c r="EM3" s="65">
        <f t="shared" ref="EM3:EM66" ca="1" si="54">EL3-TODAY()</f>
        <v>145</v>
      </c>
      <c r="EN3" s="15" t="str">
        <f t="shared" ref="EN3:EN66" ca="1" si="55">IF(EM3&gt;=91,"VIGENTE",IF(EM3&gt;=1,"POR VENCER",IF(EM3&lt;=-1,"VENCIDA",IF(EK3=0,"NO APLICA"))))</f>
        <v>VIGENTE</v>
      </c>
      <c r="EO3" s="13">
        <v>44635</v>
      </c>
      <c r="EP3" s="14">
        <v>45940</v>
      </c>
      <c r="EQ3" s="14">
        <f>DATE(YEAR(EP3)+2,MONTH(EP3),DAY(EP3))</f>
        <v>46670</v>
      </c>
      <c r="ER3" s="65">
        <f t="shared" ref="ER3:ER66" ca="1" si="56">EQ3-TODAY()</f>
        <v>539</v>
      </c>
      <c r="ES3" s="15" t="str">
        <f t="shared" ref="ES3:ES66" ca="1" si="57">IF(ER3&gt;=91,"VIGENTE",IF(ER3&gt;=1,"POR VENCER",IF(ER3&lt;=-1,"VENCIDA",IF(EP3=0,"NO APLICA"))))</f>
        <v>VIGENTE</v>
      </c>
      <c r="ET3" s="13">
        <v>44635</v>
      </c>
      <c r="EU3" s="14">
        <v>45922</v>
      </c>
      <c r="EV3" s="14">
        <f>DATE(YEAR(EU3)+2,MONTH(EU3),DAY(EU3))</f>
        <v>46652</v>
      </c>
      <c r="EW3" s="65">
        <f t="shared" ref="EW3:EW66" ca="1" si="58">EV3-TODAY()</f>
        <v>521</v>
      </c>
      <c r="EX3" s="15" t="str">
        <f t="shared" ref="EX3:EX66" ca="1" si="59">IF(EW3&gt;=91,"VIGENTE",IF(EW3&gt;=1,"POR VENCER",IF(EW3&lt;=-1,"VENCIDA",IF(EU3=0,"NO APLICA"))))</f>
        <v>VIGENTE</v>
      </c>
      <c r="EY3" s="13">
        <v>45271</v>
      </c>
      <c r="EZ3" s="14">
        <v>45917</v>
      </c>
      <c r="FA3" s="14">
        <f>DATE(YEAR(EZ3)+2,MONTH(EZ3),DAY(EZ3))</f>
        <v>46647</v>
      </c>
      <c r="FB3" s="65">
        <f t="shared" ref="FB3:FB66" ca="1" si="60">FA3-TODAY()</f>
        <v>516</v>
      </c>
      <c r="FC3" s="15" t="str">
        <f t="shared" ref="FC3:FC66" ca="1" si="61">IF(FB3&gt;=91,"VIGENTE",IF(FB3&gt;=1,"POR VENCER",IF(FB3&lt;=-1,"VENCIDA",IF(EZ3=0,"NO APLICA"))))</f>
        <v>VIGENTE</v>
      </c>
      <c r="FD3" s="13">
        <v>44576</v>
      </c>
      <c r="FE3" s="14">
        <v>45931</v>
      </c>
      <c r="FF3" s="14">
        <f>DATE(YEAR(FE3)+2,MONTH(FE3),DAY(FE3))</f>
        <v>46661</v>
      </c>
      <c r="FG3" s="65">
        <f t="shared" ref="FG3:FG66" ca="1" si="62">FF3-TODAY()</f>
        <v>530</v>
      </c>
      <c r="FH3" s="15" t="str">
        <f t="shared" ref="FH3:FH66" ca="1" si="63">IF(FG3&gt;=91,"VIGENTE",IF(FG3&gt;=1,"POR VENCER",IF(FG3&lt;=-1,"VENCIDA",IF(FE3=0,"NO APLICA"))))</f>
        <v>VIGENTE</v>
      </c>
      <c r="FI3" s="13">
        <v>45248</v>
      </c>
      <c r="FJ3" s="14">
        <v>45919</v>
      </c>
      <c r="FK3" s="14">
        <f>DATE(YEAR(FJ3)+2,MONTH(FJ3),DAY(FJ3))</f>
        <v>46649</v>
      </c>
      <c r="FL3" s="65">
        <f t="shared" ref="FL3:FL66" ca="1" si="64">FK3-TODAY()</f>
        <v>518</v>
      </c>
      <c r="FM3" s="15" t="str">
        <f t="shared" ref="FM3:FM66" ca="1" si="65">IF(FL3&gt;=91,"VIGENTE",IF(FL3&gt;=1,"POR VENCER",IF(FL3&lt;=-1,"VENCIDA",IF(FJ3=0,"NO APLICA"))))</f>
        <v>VIGENTE</v>
      </c>
      <c r="FN3" s="13">
        <v>44973</v>
      </c>
      <c r="FO3" s="14">
        <v>45588</v>
      </c>
      <c r="FP3" s="14">
        <f t="shared" ref="FP3:FP9" si="66">DATE(YEAR(FO3)+2,MONTH(FO3),DAY(FO3)-1)</f>
        <v>46317</v>
      </c>
      <c r="FQ3" s="65">
        <f t="shared" ref="FQ3:FQ66" ca="1" si="67">FP3-TODAY()</f>
        <v>186</v>
      </c>
      <c r="FR3" s="15" t="str">
        <f t="shared" ref="FR3:FR66" ca="1" si="68">IF(FQ3&gt;=91,"VIGENTE",IF(FQ3&gt;=1,"POR VENCER",IF(FQ3&lt;=-1,"VENCIDA",IF(FO3=0,"NO APLICA"))))</f>
        <v>VIGENTE</v>
      </c>
      <c r="FS3" s="13">
        <v>45005</v>
      </c>
      <c r="FT3" s="14">
        <v>45724</v>
      </c>
      <c r="FU3" s="14">
        <f>DATE(YEAR(FT3)+2,MONTH(FT3),DAY(FT3)-1)</f>
        <v>46453</v>
      </c>
      <c r="FV3" s="65">
        <f t="shared" ref="FV3:FV66" ca="1" si="69">FU3-TODAY()</f>
        <v>322</v>
      </c>
      <c r="FW3" s="15" t="str">
        <f t="shared" ref="FW3:FW66" ca="1" si="70">IF(FV3&gt;=91,"VIGENTE",IF(FV3&gt;=1,"POR VENCER",IF(FV3&lt;=-1,"VENCIDA",IF(FT3=0,"NO APLICA"))))</f>
        <v>VIGENTE</v>
      </c>
      <c r="FX3" s="13">
        <v>44634</v>
      </c>
      <c r="FY3" s="14">
        <v>45941</v>
      </c>
      <c r="FZ3" s="14">
        <f>DATE(YEAR(FY3)+2,MONTH(FY3),DAY(FY3))</f>
        <v>46671</v>
      </c>
      <c r="GA3" s="65">
        <f t="shared" ref="GA3:GA66" ca="1" si="71">FZ3-TODAY()</f>
        <v>540</v>
      </c>
      <c r="GB3" s="15" t="str">
        <f t="shared" ref="GB3:GB66" ca="1" si="72">IF(GA3&gt;=91,"VIGENTE",IF(GA3&gt;=1,"POR VENCER",IF(GA3&lt;=-1,"VENCIDA",IF(FY3=0,"NO APLICA"))))</f>
        <v>VIGENTE</v>
      </c>
      <c r="GC3" s="13">
        <v>45036</v>
      </c>
      <c r="GD3" s="14">
        <v>45667</v>
      </c>
      <c r="GE3" s="14">
        <f>DATE(YEAR(GD3)+2,MONTH(GD3),DAY(GD3)-1)</f>
        <v>46396</v>
      </c>
      <c r="GF3" s="65">
        <f t="shared" ref="GF3:GF66" ca="1" si="73">GE3-TODAY()</f>
        <v>265</v>
      </c>
      <c r="GG3" s="15" t="str">
        <f t="shared" ref="GG3:GG66" ca="1" si="74">IF(GF3&gt;=91,"VIGENTE",IF(GF3&gt;=1,"POR VENCER",IF(GF3&lt;=-1,"VENCIDA",IF(GD3=0,"NO APLICA"))))</f>
        <v>VIGENTE</v>
      </c>
      <c r="GH3" s="13">
        <v>44575</v>
      </c>
      <c r="GI3" s="14">
        <v>45912</v>
      </c>
      <c r="GJ3" s="14">
        <f>DATE(YEAR(GI3)+2,MONTH(GI3),DAY(GI3))</f>
        <v>46642</v>
      </c>
      <c r="GK3" s="65">
        <f t="shared" ref="GK3:GK66" ca="1" si="75">GJ3-TODAY()</f>
        <v>511</v>
      </c>
      <c r="GL3" s="15" t="str">
        <f t="shared" ref="GL3:GL66" ca="1" si="76">IF(GK3&gt;=91,"VIGENTE",IF(GK3&gt;=1,"POR VENCER",IF(GK3&lt;=-1,"VENCIDA",IF(GI3=0,"NO APLICA"))))</f>
        <v>VIGENTE</v>
      </c>
      <c r="GM3" s="13">
        <v>44945</v>
      </c>
      <c r="GN3" s="14">
        <v>45608</v>
      </c>
      <c r="GO3" s="14">
        <f>DATE(YEAR(GN3)+2,MONTH(GN3),DAY(GN3)-1)</f>
        <v>46337</v>
      </c>
      <c r="GP3" s="65">
        <f t="shared" ref="GP3:GP66" ca="1" si="77">GO3-TODAY()</f>
        <v>206</v>
      </c>
      <c r="GQ3" s="15" t="str">
        <f t="shared" ref="GQ3:GQ66" ca="1" si="78">IF(GP3&gt;=61,"VIGENTE",IF(GP3&gt;=1,"POR VENCER",IF(GP3&lt;=-1,"VENCIDA",IF(GN3=0,"NO APLICA"))))</f>
        <v>VIGENTE</v>
      </c>
      <c r="GR3" s="14">
        <v>44634</v>
      </c>
      <c r="GS3" s="14">
        <v>45244</v>
      </c>
      <c r="GT3" s="14">
        <f t="shared" ref="GT3:GT66" si="79">DATE(YEAR(GS3)+5,MONTH(GS3),DAY(GS3))</f>
        <v>47071</v>
      </c>
      <c r="GU3" s="65">
        <f t="shared" ref="GU3:GU12" ca="1" si="80">GT3-TODAY()</f>
        <v>940</v>
      </c>
      <c r="GV3" s="15" t="str">
        <f t="shared" ref="GV3:GV66" ca="1" si="81">IF(GU3&gt;=91,"VIGENTE",IF(GU3&gt;=1,"POR VENCER",IF(GU3&lt;=-1,"VENCIDA",IF(GS3=0,"NO APLICA"))))</f>
        <v>VIGENTE</v>
      </c>
      <c r="GW3" s="13"/>
      <c r="GX3" s="14">
        <v>44952</v>
      </c>
      <c r="GY3" s="14">
        <f t="shared" ref="GY3:GY66" si="82">DATE(YEAR(GX3)+5,MONTH(GX3),DAY(GX3))</f>
        <v>46778</v>
      </c>
      <c r="GZ3" s="65">
        <f t="shared" ref="GZ3:GZ66" ca="1" si="83">GY3-TODAY()</f>
        <v>647</v>
      </c>
      <c r="HA3" s="15" t="str">
        <f t="shared" ref="HA3:HA66" ca="1" si="84">IF(GZ3&gt;=91,"VIGENTE",IF(GZ3&gt;=1,"POR VENCER",IF(GZ3&lt;=-1,"VENCIDA",IF(GX3=0,"NO APLICA"))))</f>
        <v>VIGENTE</v>
      </c>
      <c r="HB3" s="13">
        <v>44566</v>
      </c>
      <c r="HC3" s="14">
        <v>45251</v>
      </c>
      <c r="HD3" s="14">
        <f t="shared" ref="HD3:HD66" si="85">DATE(YEAR(HC3)+5,MONTH(HC3),DAY(HC3))</f>
        <v>47078</v>
      </c>
      <c r="HE3" s="65">
        <f t="shared" ref="HE3:HE66" ca="1" si="86">HD3-TODAY()</f>
        <v>947</v>
      </c>
      <c r="HF3" s="15" t="str">
        <f t="shared" ref="HF3:HF66" ca="1" si="87">IF(HE3&gt;=91,"VIGENTE",IF(HE3&gt;=1,"POR VENCER",IF(HE3&lt;=-1,"VENCIDA",IF(HC3=0,"NO APLICA"))))</f>
        <v>VIGENTE</v>
      </c>
      <c r="HG3" s="16"/>
      <c r="HH3" s="14">
        <v>44880</v>
      </c>
      <c r="HI3" s="14">
        <f t="shared" ref="HI3:HI16" si="88">DATE(YEAR(HH3)+5,MONTH(HH3),DAY(HH3))</f>
        <v>46706</v>
      </c>
      <c r="HJ3" s="65">
        <f t="shared" ref="HJ3:HJ16" ca="1" si="89">HI3-TODAY()</f>
        <v>575</v>
      </c>
      <c r="HK3" s="15" t="str">
        <f t="shared" ref="HK3:HK9" ca="1" si="90">IF(HJ3&gt;=61,"VIGENTE",IF(HJ3&gt;=1,"POR VENCER",IF(HJ3&lt;=-1,"VENCIDA",IF(HH3=0,"NO APLICA"))))</f>
        <v>VIGENTE</v>
      </c>
      <c r="HL3" s="12"/>
      <c r="HM3" s="16"/>
      <c r="HN3" s="14"/>
      <c r="HO3" s="65"/>
      <c r="HP3" s="15" t="str">
        <f t="shared" ref="HP3:HP29" si="91">IF(HO3&gt;=61,"VIGENTE",IF(HO3&gt;=1,"POR VENCER",IF(HO3&lt;=-1,"VENCIDA",IF(HM3=0,"NO APLICA"))))</f>
        <v>NO APLICA</v>
      </c>
      <c r="HQ3" s="12"/>
      <c r="HR3" s="12"/>
      <c r="HS3" s="14"/>
      <c r="HT3" s="12"/>
      <c r="HU3" s="15" t="str">
        <f t="shared" ref="HU3:HU66" si="92">IF(HT3&gt;=61,"VIGENTE",IF(HT3&gt;=1,"POR VENCER",IF(HT3&lt;=-1,"VENCIDA",IF(HR3=0,"NO APLICA"))))</f>
        <v>NO APLICA</v>
      </c>
      <c r="HV3" s="12"/>
      <c r="HW3" s="16"/>
      <c r="HX3" s="14"/>
      <c r="HY3" s="65"/>
      <c r="HZ3" s="15" t="str">
        <f t="shared" ref="HZ3:HZ66" si="93">IF(HY3&gt;=61,"VIGENTE",IF(HY3&gt;=1,"POR VENCER",IF(HY3&lt;=-1,"VENCIDA",IF(HW3=0,"NO APLICA"))))</f>
        <v>NO APLICA</v>
      </c>
      <c r="IA3" s="12"/>
      <c r="IB3" s="16"/>
      <c r="IC3" s="14"/>
      <c r="ID3" s="65"/>
      <c r="IE3" s="15" t="str">
        <f t="shared" ref="IE3:IE66" si="94">IF(ID3&gt;=61,"VIGENTE",IF(ID3&gt;=1,"POR VENCER",IF(ID3&lt;=-1,"VENCIDA",IF(IB3=0,"NO APLICA"))))</f>
        <v>NO APLICA</v>
      </c>
      <c r="IF3" s="12"/>
      <c r="IG3" s="16"/>
      <c r="IH3" s="14"/>
      <c r="II3" s="65"/>
      <c r="IJ3" s="15" t="str">
        <f t="shared" ref="IJ3:IJ66" si="95">IF(II3&gt;=61,"VIGENTE",IF(II3&gt;=1,"POR VENCER",IF(II3&lt;=-1,"VENCIDA",IF(IG3=0,"NO APLICA"))))</f>
        <v>NO APLICA</v>
      </c>
      <c r="IK3" s="16"/>
      <c r="IL3" s="16"/>
      <c r="IM3" s="14"/>
      <c r="IN3" s="65"/>
      <c r="IO3" s="15" t="str">
        <f t="shared" ref="IO3:IO66" si="96">IF(IN3&gt;=61,"VIGENTE",IF(IN3&gt;=1,"POR VENCER",IF(IN3&lt;=-1,"VENCIDA",IF(IL3=0,"NO APLICA"))))</f>
        <v>NO APLICA</v>
      </c>
      <c r="IP3" s="12"/>
      <c r="IQ3" s="16"/>
      <c r="IR3" s="14"/>
      <c r="IS3" s="65"/>
      <c r="IT3" s="15" t="str">
        <f t="shared" ref="IT3:IT66" si="97">IF(IS3&gt;=61,"VIGENTE",IF(IS3&gt;=1,"POR VENCER",IF(IS3&lt;=-1,"VENCIDA",IF(IQ3=0,"NO APLICA"))))</f>
        <v>NO APLICA</v>
      </c>
      <c r="IU3" s="12"/>
      <c r="IV3" s="16"/>
      <c r="IW3" s="14"/>
      <c r="IX3" s="65"/>
      <c r="IY3" s="15" t="str">
        <f t="shared" ref="IY3:IY66" si="98">IF(IX3&gt;=61,"VIGENTE",IF(IX3&gt;=1,"POR VENCER",IF(IX3&lt;=-1,"VENCIDA",IF(IV3=0,"NO APLICA"))))</f>
        <v>NO APLICA</v>
      </c>
      <c r="IZ3" s="12"/>
      <c r="JA3" s="16"/>
      <c r="JB3" s="14"/>
      <c r="JC3" s="65"/>
      <c r="JD3" s="15" t="str">
        <f t="shared" ref="JD3:JD66" si="99">IF(JC3&gt;=61,"VIGENTE",IF(JC3&gt;=1,"POR VENCER",IF(JC3&lt;=-1,"VENCIDA",IF(JA3=0,"NO APLICA"))))</f>
        <v>NO APLICA</v>
      </c>
      <c r="JE3" s="13"/>
      <c r="JF3" s="13"/>
      <c r="JG3" s="14"/>
      <c r="JH3" s="65"/>
      <c r="JI3" s="15" t="str">
        <f t="shared" ref="JI3:JI66" si="100">IF(JH3&gt;=61,"VIGENTE",IF(JH3&gt;=1,"POR VENCER",IF(JH3&lt;=-1,"VENCIDA",IF(JF3=0,"NO APLICA"))))</f>
        <v>NO APLICA</v>
      </c>
      <c r="JJ3" s="16"/>
      <c r="JK3" s="16"/>
      <c r="JL3" s="16"/>
      <c r="JM3" s="15" t="str">
        <f t="shared" ref="JM3:JM66" si="101">IF(JL3&gt;=61,"VIGENTE",IF(JL3&gt;=1,"POR VENCER",IF(JL3&lt;=-1,"VENCIDA",IF(JJ3=0,"NO APLICA"))))</f>
        <v>NO APLICA</v>
      </c>
      <c r="JN3" s="16"/>
      <c r="JO3" s="16"/>
      <c r="JP3" s="16"/>
      <c r="JQ3" s="15" t="str">
        <f t="shared" ref="JQ3:JQ66" si="102">IF(JP3&gt;=61,"VIGENTE",IF(JP3&gt;=1,"POR VENCER",IF(JP3&lt;=-1,"VENCIDA",IF(JN3=0,"NO APLICA"))))</f>
        <v>NO APLICA</v>
      </c>
      <c r="JR3" s="16"/>
      <c r="JS3" s="16"/>
      <c r="JT3" s="16"/>
      <c r="JU3" s="16"/>
      <c r="JV3" s="15" t="str">
        <f t="shared" ref="JV3:JV66" si="103">IF(JU3&gt;=61,"VIGENTE",IF(JU3&gt;=1,"POR VENCER",IF(JU3&lt;=-1,"VENCIDA",IF(JS3=0,"NO APLICA"))))</f>
        <v>NO APLICA</v>
      </c>
      <c r="JW3" s="15"/>
      <c r="JX3" s="15"/>
      <c r="JY3" s="15"/>
      <c r="JZ3" s="15"/>
      <c r="KA3" s="15" t="str">
        <f t="shared" ref="KA3:KA66" si="104">IF(JZ3&gt;=61,"VIGENTE",IF(JZ3&gt;=1,"POR VENCER",IF(JZ3&lt;=-1,"VENCIDA",IF(JX3=0,"NO APLICA"))))</f>
        <v>NO APLICA</v>
      </c>
      <c r="KB3" s="12"/>
      <c r="KC3" s="14"/>
      <c r="KD3" s="65"/>
      <c r="KE3" s="15" t="str">
        <f t="shared" ref="KE3:KE66" si="105">IF(KD3&gt;=61,"VIGENTE",IF(KD3&gt;=1,"POR VENCER",IF(KD3&lt;=-1,"VENCIDA",IF(KB3=0,"NO APLICA"))))</f>
        <v>NO APLICA</v>
      </c>
      <c r="KF3" s="13">
        <v>45328</v>
      </c>
      <c r="KG3" s="14">
        <f>DATE(YEAR(KF3)+5,MONTH(KF3),DAY(KF3)-1)</f>
        <v>47154</v>
      </c>
      <c r="KH3" s="65">
        <f ca="1">KG3-TODAY()</f>
        <v>1023</v>
      </c>
      <c r="KI3" s="15" t="str">
        <f ca="1">IF(KH3&gt;=61,"VIGENTE",IF(KH3&gt;=1,"POR VENCER",IF(KH3&lt;=-1,"VENCIDA",IF(KF3=0,"NO APLICA"))))</f>
        <v>VIGENTE</v>
      </c>
      <c r="KJ3" s="12"/>
      <c r="KK3" s="14"/>
      <c r="KL3" s="65"/>
      <c r="KM3" s="15" t="str">
        <f t="shared" ref="KM3:KM66" si="106">IF(KL3&gt;=61,"VIGENTE",IF(KL3&gt;=1,"POR VENCER",IF(KL3&lt;=-1,"VENCIDA",IF(KJ3=0,"NO APLICA"))))</f>
        <v>NO APLICA</v>
      </c>
      <c r="KN3" s="13">
        <v>45346</v>
      </c>
      <c r="KO3" s="14">
        <f>DATE(YEAR(KN3)+5,MONTH(KN3),DAY(KN3))</f>
        <v>47173</v>
      </c>
      <c r="KP3" s="65">
        <f ca="1">KO3-TODAY()</f>
        <v>1042</v>
      </c>
      <c r="KQ3" s="15" t="str">
        <f ca="1">IF(KP3&gt;=61,"VIGENTE",IF(KP3&gt;=1,"POR VENCER",IF(KP3&lt;=-1,"VENCIDA",IF(KN3=0,"NO APLICA"))))</f>
        <v>VIGENTE</v>
      </c>
      <c r="KR3" s="13">
        <v>44650</v>
      </c>
      <c r="KS3" s="14">
        <v>44651</v>
      </c>
      <c r="KT3" s="14">
        <f>DATE(YEAR(KS3)+5,MONTH(KS3),DAY(KS3))</f>
        <v>46477</v>
      </c>
      <c r="KU3" s="65">
        <f ca="1">KT3-TODAY()</f>
        <v>346</v>
      </c>
      <c r="KV3" s="15" t="str">
        <f ca="1">IF(KU3&gt;=61,"VIGENTE",IF(KU3&gt;=1,"POR VENCER",IF(KU3&lt;=-1,"VENCIDA",IF(KS3=0,"NO APLICA"))))</f>
        <v>VIGENTE</v>
      </c>
      <c r="KW3" s="14">
        <v>44608</v>
      </c>
      <c r="KX3" s="14">
        <f>DATE(YEAR(KW3)+5,MONTH(KW3),DAY(KW3))</f>
        <v>46434</v>
      </c>
      <c r="KY3" s="65">
        <f ca="1">KX3-TODAY()</f>
        <v>303</v>
      </c>
      <c r="KZ3" s="15" t="str">
        <f ca="1">IF(KY3&gt;=61,"VIGENTE",IF(KY3&gt;=1,"POR VENCER",IF(KY3&lt;=-1,"VENCIDA",IF(KW3=0,"NO APLICA"))))</f>
        <v>VIGENTE</v>
      </c>
      <c r="LA3" s="16"/>
      <c r="LB3" s="16"/>
      <c r="LC3" s="14"/>
      <c r="LD3" s="65"/>
      <c r="LE3" s="15" t="str">
        <f t="shared" ref="LE3:LE66" si="107">IF(LD3&gt;=61,"VIGENTE",IF(LD3&gt;=1,"POR VENCER",IF(LD3&lt;=-1,"VENCIDA",IF(LB3=0,"NO APLICA"))))</f>
        <v>NO APLICA</v>
      </c>
      <c r="LF3" s="13">
        <v>44214</v>
      </c>
      <c r="LG3" s="13">
        <v>44218</v>
      </c>
      <c r="LH3" s="14">
        <f>DATE(YEAR(LG3)+5,MONTH(LG3),DAY(LG3))</f>
        <v>46044</v>
      </c>
      <c r="LI3" s="65">
        <f ca="1">LH3-TODAY()</f>
        <v>-87</v>
      </c>
      <c r="LJ3" s="15" t="str">
        <f ca="1">IF(LI3&gt;=61,"VIGENTE",IF(LI3&gt;=1,"POR VENCER",IF(LI3&lt;=-1,"VENCIDA",IF(LG3=0,"NO APLICA"))))</f>
        <v>VENCIDA</v>
      </c>
      <c r="LK3" s="13">
        <v>44375</v>
      </c>
      <c r="LL3" s="14">
        <v>44377</v>
      </c>
      <c r="LM3" s="14">
        <f>DATE(YEAR(LL3)+5,MONTH(LL3),DAY(LL3))</f>
        <v>46203</v>
      </c>
      <c r="LN3" s="65">
        <f ca="1">LM3-TODAY()</f>
        <v>72</v>
      </c>
      <c r="LO3" s="15" t="str">
        <f ca="1">IF(LN3&gt;=61,"VIGENTE",IF(LN3&gt;=1,"POR VENCER",IF(LN3&lt;=-1,"VENCIDA",IF(LL3=0,"NO APLICA"))))</f>
        <v>VIGENTE</v>
      </c>
      <c r="LP3" s="14">
        <v>44984</v>
      </c>
      <c r="LQ3" s="14">
        <v>44986</v>
      </c>
      <c r="LR3" s="14">
        <f>DATE(YEAR(LQ3)+5,MONTH(LQ3),DAY(LQ3))</f>
        <v>46813</v>
      </c>
      <c r="LS3" s="65">
        <f ca="1">LR3-TODAY()</f>
        <v>682</v>
      </c>
      <c r="LT3" s="15" t="str">
        <f ca="1">IF(LS3&gt;=61,"VIGENTE",IF(LS3&gt;=1,"POR VENCER",IF(LS3&lt;=-1,"VENCIDA",IF(LQ3=0,"NO APLICA"))))</f>
        <v>VIGENTE</v>
      </c>
      <c r="LU3" s="14">
        <v>44987</v>
      </c>
      <c r="LV3" s="14">
        <v>44988</v>
      </c>
      <c r="LW3" s="14">
        <f>DATE(YEAR(LV3)+5,MONTH(LV3),DAY(LV3))</f>
        <v>46815</v>
      </c>
      <c r="LX3" s="65">
        <f ca="1">LW3-TODAY()</f>
        <v>684</v>
      </c>
      <c r="LY3" s="15" t="str">
        <f ca="1">IF(LX3&gt;=61,"VIGENTE",IF(LX3&gt;=1,"POR VENCER",IF(LX3&lt;=-1,"VENCIDA",IF(LV3=0,"NO APLICA"))))</f>
        <v>VIGENTE</v>
      </c>
      <c r="LZ3" s="12"/>
      <c r="MA3" s="12"/>
      <c r="MB3" s="14"/>
      <c r="MC3" s="65"/>
      <c r="MD3" s="15" t="str">
        <f t="shared" ref="MD3:MD66" si="108">IF(MC3&gt;=61,"VIGENTE",IF(MC3&gt;=1,"POR VENCER",IF(MC3&lt;=-1,"VENCIDA",IF(MA3=0,"NO APLICA"))))</f>
        <v>NO APLICA</v>
      </c>
      <c r="ME3" s="12"/>
      <c r="MF3" s="12"/>
      <c r="MG3" s="14"/>
      <c r="MH3" s="65"/>
      <c r="MI3" s="15" t="str">
        <f t="shared" ref="MI3:MI66" si="109">IF(MH3&gt;=61,"VIGENTE",IF(MH3&gt;=1,"POR VENCER",IF(MH3&lt;=-1,"VENCIDA",IF(MF3=0,"NO APLICA"))))</f>
        <v>NO APLICA</v>
      </c>
      <c r="MJ3" s="12"/>
      <c r="MK3" s="14"/>
      <c r="ML3" s="65"/>
      <c r="MM3" s="15" t="str">
        <f t="shared" ref="MM3:MM66" si="110">IF(ML3&gt;=61,"VIGENTE",IF(ML3&gt;=1,"POR VENCER",IF(ML3&lt;=-1,"VENCIDA",IF(MJ3=0,"NO APLICA"))))</f>
        <v>NO APLICA</v>
      </c>
      <c r="MN3" s="12"/>
      <c r="MO3" s="14"/>
      <c r="MP3" s="12"/>
      <c r="MQ3" s="15" t="str">
        <f t="shared" ref="MQ3:MQ66" si="111">IF(MP3&gt;=61,"VIGENTE",IF(MP3&gt;=1,"POR VENCER",IF(MP3&lt;=-1,"VENCIDA",IF(MN3=0,"NO APLICA"))))</f>
        <v>NO APLICA</v>
      </c>
      <c r="MR3" s="12"/>
      <c r="MS3" s="16"/>
      <c r="MT3" s="14"/>
      <c r="MU3" s="65"/>
      <c r="MV3" s="15" t="str">
        <f t="shared" ref="MV3:MV66" si="112">IF(MU3&gt;=61,"VIGENTE",IF(MU3&gt;=1,"POR VENCER",IF(MU3&lt;=-1,"VENCIDA",IF(MS3=0,"NO APLICA"))))</f>
        <v>NO APLICA</v>
      </c>
      <c r="MW3" s="12"/>
      <c r="MX3" s="16"/>
      <c r="MY3" s="14"/>
      <c r="MZ3" s="65"/>
      <c r="NA3" s="15" t="str">
        <f t="shared" ref="NA3:NA66" si="113">IF(MZ3&gt;=61,"VIGENTE",IF(MZ3&gt;=1,"POR VENCER",IF(MZ3&lt;=-1,"VENCIDA",IF(MX3=0,"NO APLICA"))))</f>
        <v>NO APLICA</v>
      </c>
      <c r="NB3" s="12"/>
      <c r="NC3" s="16"/>
      <c r="ND3" s="14"/>
      <c r="NE3" s="65"/>
      <c r="NF3" s="15" t="str">
        <f t="shared" ref="NF3:NF66" si="114">IF(NE3&gt;=61,"VIGENTE",IF(NE3&gt;=1,"POR VENCER",IF(NE3&lt;=-1,"VENCIDA",IF(NC3=0,"NO APLICA"))))</f>
        <v>NO APLICA</v>
      </c>
      <c r="NG3" s="12"/>
      <c r="NH3" s="12"/>
      <c r="NI3" s="14"/>
      <c r="NJ3" s="65"/>
      <c r="NK3" s="15" t="str">
        <f t="shared" ref="NK3:NK66" si="115">IF(NJ3&gt;=61,"VIGENTE",IF(NJ3&gt;=1,"POR VENCER",IF(NJ3&lt;=-1,"VENCIDA",IF(NH3=0,"NO APLICA"))))</f>
        <v>NO APLICA</v>
      </c>
      <c r="NL3" s="12"/>
      <c r="NM3" s="12"/>
      <c r="NN3" s="14"/>
      <c r="NO3" s="12"/>
      <c r="NP3" s="15" t="str">
        <f t="shared" ref="NP3:NP66" si="116">IF(NO3&gt;=61,"VIGENTE",IF(NO3&gt;=1,"POR VENCER",IF(NO3&lt;=-1,"VENCIDA",IF(NM3=0,"NO APLICA"))))</f>
        <v>NO APLICA</v>
      </c>
      <c r="NQ3" s="16"/>
      <c r="NR3" s="16"/>
      <c r="NS3" s="14"/>
      <c r="NT3" s="65"/>
      <c r="NU3" s="15" t="str">
        <f t="shared" ref="NU3:NU66" si="117">IF(NT3&gt;=61,"VIGENTE",IF(NT3&gt;=1,"POR VENCER",IF(NT3&lt;=-1,"VENCIDA",IF(NR3=0,"NO APLICA"))))</f>
        <v>NO APLICA</v>
      </c>
      <c r="NV3" s="16"/>
      <c r="NW3" s="16"/>
      <c r="NX3" s="16"/>
      <c r="NY3" s="16"/>
      <c r="NZ3" s="15" t="str">
        <f t="shared" ref="NZ3:NZ66" si="118">IF(NY3&gt;=61,"VIGENTE",IF(NY3&gt;=1,"POR VENCER",IF(NY3&lt;=-1,"VENCIDA",IF(NW3=0,"NO APLICA"))))</f>
        <v>NO APLICA</v>
      </c>
    </row>
    <row r="4" spans="1:390" ht="15.6" thickTop="1" thickBot="1" x14ac:dyDescent="0.35">
      <c r="A4" s="9">
        <v>747</v>
      </c>
      <c r="B4" s="10" t="s">
        <v>103</v>
      </c>
      <c r="C4" s="21" t="s">
        <v>104</v>
      </c>
      <c r="D4" s="64" t="s">
        <v>105</v>
      </c>
      <c r="E4" s="15"/>
      <c r="F4" s="16"/>
      <c r="G4" s="14"/>
      <c r="H4" s="65"/>
      <c r="I4" s="15" t="str">
        <f t="shared" si="0"/>
        <v>NO APLICA</v>
      </c>
      <c r="J4" s="15"/>
      <c r="K4" s="16"/>
      <c r="L4" s="16"/>
      <c r="M4" s="65"/>
      <c r="N4" s="15" t="str">
        <f t="shared" si="1"/>
        <v>NO APLICA</v>
      </c>
      <c r="O4" s="16"/>
      <c r="P4" s="16"/>
      <c r="Q4" s="14"/>
      <c r="R4" s="65"/>
      <c r="S4" s="15" t="str">
        <f t="shared" ref="S4:S67" si="119">IF(R4&gt;=61,"VIGENTE",IF(R4&gt;=1,"POR VENCER",IF(R4&lt;=-1,"VENCIDA",IF(R4=0,"NO APLICA"))))</f>
        <v>NO APLICA</v>
      </c>
      <c r="T4" s="12" t="s">
        <v>106</v>
      </c>
      <c r="U4" s="13">
        <v>45096</v>
      </c>
      <c r="V4" s="14">
        <v>45097</v>
      </c>
      <c r="W4" s="14">
        <f t="shared" si="2"/>
        <v>46924</v>
      </c>
      <c r="X4" s="65">
        <f t="shared" ca="1" si="3"/>
        <v>793</v>
      </c>
      <c r="Y4" s="15" t="str">
        <f t="shared" ca="1" si="4"/>
        <v>VIGENTE</v>
      </c>
      <c r="Z4" s="12" t="s">
        <v>107</v>
      </c>
      <c r="AA4" s="13">
        <v>44827</v>
      </c>
      <c r="AB4" s="14">
        <v>44828</v>
      </c>
      <c r="AC4" s="14">
        <f t="shared" si="5"/>
        <v>46654</v>
      </c>
      <c r="AD4" s="65">
        <f t="shared" ca="1" si="6"/>
        <v>523</v>
      </c>
      <c r="AE4" s="15" t="str">
        <f t="shared" ca="1" si="7"/>
        <v>VIGENTE</v>
      </c>
      <c r="AF4" s="13">
        <v>44949</v>
      </c>
      <c r="AG4" s="14">
        <v>45617</v>
      </c>
      <c r="AH4" s="14">
        <f t="shared" ref="AH4:AH6" si="120">DATE(YEAR(AG4)+2,MONTH(AG4),DAY(AG4)-1)</f>
        <v>46346</v>
      </c>
      <c r="AI4" s="65">
        <f t="shared" ca="1" si="8"/>
        <v>215</v>
      </c>
      <c r="AJ4" s="15" t="str">
        <f t="shared" ca="1" si="9"/>
        <v>VIGENTE</v>
      </c>
      <c r="AK4" s="13">
        <v>45269</v>
      </c>
      <c r="AL4" s="14">
        <v>45926</v>
      </c>
      <c r="AM4" s="14">
        <f t="shared" ref="AM4:AM8" si="121">DATE(YEAR(AL4)+2,MONTH(AL4),DAY(AL4))</f>
        <v>46656</v>
      </c>
      <c r="AN4" s="65">
        <f t="shared" ca="1" si="10"/>
        <v>525</v>
      </c>
      <c r="AO4" s="15" t="str">
        <f t="shared" ca="1" si="11"/>
        <v>VIGENTE</v>
      </c>
      <c r="AP4" s="13">
        <v>45258</v>
      </c>
      <c r="AQ4" s="14">
        <v>45904</v>
      </c>
      <c r="AR4" s="14">
        <f t="shared" ref="AR4:AR9" si="122">DATE(YEAR(AQ4)+2,MONTH(AQ4),DAY(AQ4))</f>
        <v>46634</v>
      </c>
      <c r="AS4" s="65">
        <f t="shared" ca="1" si="12"/>
        <v>503</v>
      </c>
      <c r="AT4" s="15" t="str">
        <f t="shared" ca="1" si="13"/>
        <v>VIGENTE</v>
      </c>
      <c r="AU4" s="13">
        <v>44664</v>
      </c>
      <c r="AV4" s="14">
        <v>45952</v>
      </c>
      <c r="AW4" s="14">
        <f t="shared" si="14"/>
        <v>46682</v>
      </c>
      <c r="AX4" s="65">
        <f t="shared" ca="1" si="15"/>
        <v>551</v>
      </c>
      <c r="AY4" s="15" t="str">
        <f t="shared" ca="1" si="16"/>
        <v>VIGENTE</v>
      </c>
      <c r="AZ4" s="13">
        <v>45093</v>
      </c>
      <c r="BA4" s="14">
        <v>45717</v>
      </c>
      <c r="BB4" s="14">
        <f>DATE(YEAR(BA4)+2,MONTH(BA4),DAY(BA4)-1)</f>
        <v>46446</v>
      </c>
      <c r="BC4" s="65">
        <f t="shared" ca="1" si="17"/>
        <v>315</v>
      </c>
      <c r="BD4" s="15" t="str">
        <f t="shared" ca="1" si="18"/>
        <v>VIGENTE</v>
      </c>
      <c r="BE4" s="13">
        <v>44688</v>
      </c>
      <c r="BF4" s="14">
        <v>45987</v>
      </c>
      <c r="BG4" s="14">
        <f>DATE(YEAR(BF4)+2,MONTH(BF4),DAY(BF4))</f>
        <v>46717</v>
      </c>
      <c r="BH4" s="65">
        <f t="shared" ca="1" si="19"/>
        <v>586</v>
      </c>
      <c r="BI4" s="15" t="str">
        <f t="shared" ca="1" si="20"/>
        <v>VIGENTE</v>
      </c>
      <c r="BJ4" s="13">
        <v>45372</v>
      </c>
      <c r="BK4" s="14">
        <v>46035</v>
      </c>
      <c r="BL4" s="14">
        <f t="shared" ref="BL4:BL6" si="123">DATE(YEAR(BK4)+2,MONTH(BK4),DAY(BK4))</f>
        <v>46765</v>
      </c>
      <c r="BM4" s="65">
        <f t="shared" ca="1" si="21"/>
        <v>634</v>
      </c>
      <c r="BN4" s="15" t="str">
        <f t="shared" ca="1" si="22"/>
        <v>VIGENTE</v>
      </c>
      <c r="BO4" s="13">
        <v>44750</v>
      </c>
      <c r="BP4" s="14">
        <v>46069</v>
      </c>
      <c r="BQ4" s="14">
        <f>DATE(YEAR(BP4)+2,MONTH(BP4),DAY(BP4))</f>
        <v>46799</v>
      </c>
      <c r="BR4" s="65">
        <f t="shared" ca="1" si="23"/>
        <v>668</v>
      </c>
      <c r="BS4" s="15" t="str">
        <f t="shared" ca="1" si="24"/>
        <v>VIGENTE</v>
      </c>
      <c r="BT4" s="13">
        <v>44812</v>
      </c>
      <c r="BU4" s="14">
        <v>45449</v>
      </c>
      <c r="BV4" s="14">
        <f>DATE(YEAR(BU4)+2,MONTH(BU4),DAY(BU4)-1)</f>
        <v>46178</v>
      </c>
      <c r="BW4" s="65">
        <f t="shared" ca="1" si="25"/>
        <v>47</v>
      </c>
      <c r="BX4" s="15" t="str">
        <f t="shared" ca="1" si="26"/>
        <v>POR VENCER</v>
      </c>
      <c r="BY4" s="13">
        <v>44845</v>
      </c>
      <c r="BZ4" s="14">
        <v>45485</v>
      </c>
      <c r="CA4" s="14">
        <f t="shared" ref="CA4:CA9" si="124">DATE(YEAR(BZ4)+2,MONTH(BZ4),DAY(BZ4)-1)</f>
        <v>46214</v>
      </c>
      <c r="CB4" s="65">
        <f t="shared" ca="1" si="27"/>
        <v>83</v>
      </c>
      <c r="CC4" s="15" t="str">
        <f t="shared" ca="1" si="28"/>
        <v>POR VENCER</v>
      </c>
      <c r="CD4" s="16" t="s">
        <v>108</v>
      </c>
      <c r="CE4" s="14">
        <v>45210</v>
      </c>
      <c r="CF4" s="14">
        <v>45211</v>
      </c>
      <c r="CG4" s="14">
        <f t="shared" si="29"/>
        <v>46672</v>
      </c>
      <c r="CH4" s="65">
        <f t="shared" ca="1" si="30"/>
        <v>541</v>
      </c>
      <c r="CI4" s="15" t="str">
        <f t="shared" ca="1" si="31"/>
        <v>VIGENTE</v>
      </c>
      <c r="CJ4" s="14">
        <v>44877</v>
      </c>
      <c r="CK4" s="14">
        <v>45504</v>
      </c>
      <c r="CL4" s="14">
        <f t="shared" ref="CL4:CL9" si="125">DATE(YEAR(CK4)+2,MONTH(CK4),DAY(CK4)-1)</f>
        <v>46233</v>
      </c>
      <c r="CM4" s="65">
        <f t="shared" ca="1" si="32"/>
        <v>102</v>
      </c>
      <c r="CN4" s="15" t="str">
        <f t="shared" ca="1" si="33"/>
        <v>VIGENTE</v>
      </c>
      <c r="CO4" s="13">
        <v>44900</v>
      </c>
      <c r="CP4" s="14">
        <v>45517</v>
      </c>
      <c r="CQ4" s="14">
        <f>DATE(YEAR(CP4)+2,MONTH(CP4),DAY(CP4)-1)</f>
        <v>46246</v>
      </c>
      <c r="CR4" s="65">
        <f t="shared" ca="1" si="34"/>
        <v>115</v>
      </c>
      <c r="CS4" s="15" t="str">
        <f t="shared" ca="1" si="35"/>
        <v>VIGENTE</v>
      </c>
      <c r="CT4" s="13">
        <v>44967</v>
      </c>
      <c r="CU4" s="14">
        <v>45639</v>
      </c>
      <c r="CV4" s="14">
        <f t="shared" ref="CV4:CV9" si="126">DATE(YEAR(CU4)+2,MONTH(CU4),DAY(CU4)-1)</f>
        <v>46368</v>
      </c>
      <c r="CW4" s="65">
        <f t="shared" ca="1" si="36"/>
        <v>237</v>
      </c>
      <c r="CX4" s="15" t="str">
        <f t="shared" ca="1" si="37"/>
        <v>VIGENTE</v>
      </c>
      <c r="CY4" s="13">
        <v>44995</v>
      </c>
      <c r="CZ4" s="14">
        <v>45661</v>
      </c>
      <c r="DA4" s="14">
        <f t="shared" ref="DA4:DA9" si="127">DATE(YEAR(CZ4)+2,MONTH(CZ4),DAY(CZ4)-1)</f>
        <v>46390</v>
      </c>
      <c r="DB4" s="65">
        <f t="shared" ca="1" si="38"/>
        <v>259</v>
      </c>
      <c r="DC4" s="15" t="str">
        <f t="shared" ca="1" si="39"/>
        <v>VIGENTE</v>
      </c>
      <c r="DD4" s="13">
        <v>45037</v>
      </c>
      <c r="DE4" s="14">
        <v>45689</v>
      </c>
      <c r="DF4" s="14">
        <f>DATE(YEAR(DE4)+2,MONTH(DE4),DAY(DE4)-1)</f>
        <v>46418</v>
      </c>
      <c r="DG4" s="65">
        <f t="shared" ca="1" si="40"/>
        <v>287</v>
      </c>
      <c r="DH4" s="15" t="str">
        <f t="shared" ca="1" si="41"/>
        <v>VIGENTE</v>
      </c>
      <c r="DI4" s="13">
        <v>45027</v>
      </c>
      <c r="DJ4" s="14">
        <v>45696</v>
      </c>
      <c r="DK4" s="14">
        <f t="shared" si="42"/>
        <v>46425</v>
      </c>
      <c r="DL4" s="65">
        <f t="shared" ca="1" si="43"/>
        <v>294</v>
      </c>
      <c r="DM4" s="15" t="str">
        <f t="shared" ca="1" si="44"/>
        <v>VIGENTE</v>
      </c>
      <c r="DN4" s="13">
        <v>44613</v>
      </c>
      <c r="DO4" s="14">
        <v>46007</v>
      </c>
      <c r="DP4" s="14">
        <f>DATE(YEAR(DO4)+2,MONTH(DO4),DAY(DO4))</f>
        <v>46737</v>
      </c>
      <c r="DQ4" s="65">
        <f t="shared" ca="1" si="46"/>
        <v>606</v>
      </c>
      <c r="DR4" s="15" t="str">
        <f t="shared" ca="1" si="47"/>
        <v>VIGENTE</v>
      </c>
      <c r="DS4" s="13">
        <v>45019</v>
      </c>
      <c r="DT4" s="14">
        <v>45685</v>
      </c>
      <c r="DU4" s="14">
        <f>DATE(YEAR(DT4)+2,MONTH(DT4),DAY(DT4)-1)</f>
        <v>46414</v>
      </c>
      <c r="DV4" s="65">
        <f t="shared" ca="1" si="48"/>
        <v>283</v>
      </c>
      <c r="DW4" s="15" t="str">
        <f t="shared" ca="1" si="49"/>
        <v>VIGENTE</v>
      </c>
      <c r="DX4" s="13">
        <v>45031</v>
      </c>
      <c r="DY4" s="14">
        <v>45663</v>
      </c>
      <c r="DZ4" s="14">
        <f>DATE(YEAR(DY4)+2,MONTH(DY4),DAY(DY4)-1)</f>
        <v>46392</v>
      </c>
      <c r="EA4" s="65">
        <f t="shared" ca="1" si="50"/>
        <v>261</v>
      </c>
      <c r="EB4" s="15" t="str">
        <f t="shared" ca="1" si="51"/>
        <v>VIGENTE</v>
      </c>
      <c r="EC4" s="13">
        <v>44994</v>
      </c>
      <c r="ED4" s="14">
        <v>45674</v>
      </c>
      <c r="EE4" s="14">
        <f>DATE(YEAR(ED4)+2,MONTH(ED4),DAY(ED4)-1)</f>
        <v>46403</v>
      </c>
      <c r="EF4" s="65">
        <f t="shared" ca="1" si="52"/>
        <v>272</v>
      </c>
      <c r="EG4" s="15" t="str">
        <f t="shared" ca="1" si="53"/>
        <v>VIGENTE</v>
      </c>
      <c r="EH4" s="13">
        <v>45675</v>
      </c>
      <c r="EI4" s="13">
        <v>46000</v>
      </c>
      <c r="EJ4" s="13">
        <v>46001</v>
      </c>
      <c r="EK4" s="13">
        <v>46002</v>
      </c>
      <c r="EL4" s="14">
        <f t="shared" ref="EL4:EL67" si="128">DATE(YEAR(EK4)+1,MONTH(EK4),DAY(EK4))</f>
        <v>46367</v>
      </c>
      <c r="EM4" s="65">
        <f t="shared" ca="1" si="54"/>
        <v>236</v>
      </c>
      <c r="EN4" s="15" t="str">
        <f t="shared" ca="1" si="55"/>
        <v>VIGENTE</v>
      </c>
      <c r="EO4" s="13">
        <v>44999</v>
      </c>
      <c r="EP4" s="14">
        <v>45660</v>
      </c>
      <c r="EQ4" s="14">
        <f>DATE(YEAR(EP4)+2,MONTH(EP4),DAY(EP4)-1)</f>
        <v>46389</v>
      </c>
      <c r="ER4" s="65">
        <f t="shared" ca="1" si="56"/>
        <v>258</v>
      </c>
      <c r="ES4" s="15" t="str">
        <f t="shared" ca="1" si="57"/>
        <v>VIGENTE</v>
      </c>
      <c r="ET4" s="13">
        <v>45012</v>
      </c>
      <c r="EU4" s="14">
        <v>45677</v>
      </c>
      <c r="EV4" s="14">
        <f>DATE(YEAR(EU4)+2,MONTH(EU4),DAY(EU4)-1)</f>
        <v>46406</v>
      </c>
      <c r="EW4" s="65">
        <f t="shared" ca="1" si="58"/>
        <v>275</v>
      </c>
      <c r="EX4" s="15" t="str">
        <f t="shared" ca="1" si="59"/>
        <v>VIGENTE</v>
      </c>
      <c r="EY4" s="13">
        <v>45035</v>
      </c>
      <c r="EZ4" s="14">
        <v>45694</v>
      </c>
      <c r="FA4" s="14">
        <f t="shared" ref="FA4" si="129">DATE(YEAR(EZ4)+2,MONTH(EZ4),DAY(EZ4)-1)</f>
        <v>46423</v>
      </c>
      <c r="FB4" s="65">
        <f t="shared" ca="1" si="60"/>
        <v>292</v>
      </c>
      <c r="FC4" s="15" t="str">
        <f t="shared" ca="1" si="61"/>
        <v>VIGENTE</v>
      </c>
      <c r="FD4" s="13">
        <v>45009</v>
      </c>
      <c r="FE4" s="14">
        <v>45666</v>
      </c>
      <c r="FF4" s="14">
        <f>DATE(YEAR(FE4)+2,MONTH(FE4),DAY(FE4)-1)</f>
        <v>46395</v>
      </c>
      <c r="FG4" s="65">
        <f t="shared" ca="1" si="62"/>
        <v>264</v>
      </c>
      <c r="FH4" s="15" t="str">
        <f t="shared" ca="1" si="63"/>
        <v>VIGENTE</v>
      </c>
      <c r="FI4" s="13">
        <v>45006</v>
      </c>
      <c r="FJ4" s="14">
        <v>45668</v>
      </c>
      <c r="FK4" s="14">
        <f>DATE(YEAR(FJ4)+2,MONTH(FJ4),DAY(FJ4)-1)</f>
        <v>46397</v>
      </c>
      <c r="FL4" s="65">
        <f t="shared" ca="1" si="64"/>
        <v>266</v>
      </c>
      <c r="FM4" s="15" t="str">
        <f t="shared" ca="1" si="65"/>
        <v>VIGENTE</v>
      </c>
      <c r="FN4" s="13">
        <v>45029</v>
      </c>
      <c r="FO4" s="14">
        <v>45670</v>
      </c>
      <c r="FP4" s="14">
        <f t="shared" si="66"/>
        <v>46399</v>
      </c>
      <c r="FQ4" s="65">
        <f t="shared" ca="1" si="67"/>
        <v>268</v>
      </c>
      <c r="FR4" s="15" t="str">
        <f t="shared" ca="1" si="68"/>
        <v>VIGENTE</v>
      </c>
      <c r="FS4" s="13">
        <v>45018</v>
      </c>
      <c r="FT4" s="14">
        <v>45678</v>
      </c>
      <c r="FU4" s="14">
        <f>DATE(YEAR(FT4)+2,MONTH(FT4),DAY(FT4)-1)</f>
        <v>46407</v>
      </c>
      <c r="FV4" s="65">
        <f t="shared" ca="1" si="69"/>
        <v>276</v>
      </c>
      <c r="FW4" s="15" t="str">
        <f t="shared" ca="1" si="70"/>
        <v>VIGENTE</v>
      </c>
      <c r="FX4" s="13">
        <v>44968</v>
      </c>
      <c r="FY4" s="14">
        <v>45581</v>
      </c>
      <c r="FZ4" s="14">
        <f t="shared" ref="FZ4:FZ9" si="130">DATE(YEAR(FY4)+2,MONTH(FY4),DAY(FY4)-1)</f>
        <v>46310</v>
      </c>
      <c r="GA4" s="65">
        <f t="shared" ca="1" si="71"/>
        <v>179</v>
      </c>
      <c r="GB4" s="15" t="str">
        <f t="shared" ca="1" si="72"/>
        <v>VIGENTE</v>
      </c>
      <c r="GC4" s="13">
        <v>45036</v>
      </c>
      <c r="GD4" s="14">
        <v>45667</v>
      </c>
      <c r="GE4" s="14">
        <f>DATE(YEAR(GD4)+2,MONTH(GD4),DAY(GD4)-1)</f>
        <v>46396</v>
      </c>
      <c r="GF4" s="65">
        <f t="shared" ca="1" si="73"/>
        <v>265</v>
      </c>
      <c r="GG4" s="15" t="str">
        <f t="shared" ca="1" si="74"/>
        <v>VIGENTE</v>
      </c>
      <c r="GH4" s="13">
        <v>45094</v>
      </c>
      <c r="GI4" s="14">
        <v>45752</v>
      </c>
      <c r="GJ4" s="14">
        <f t="shared" ref="GJ4:GJ7" si="131">DATE(YEAR(GI4)+2,MONTH(GI4),DAY(GI4)-1)</f>
        <v>46481</v>
      </c>
      <c r="GK4" s="65">
        <f t="shared" ca="1" si="75"/>
        <v>350</v>
      </c>
      <c r="GL4" s="15" t="str">
        <f t="shared" ca="1" si="76"/>
        <v>VIGENTE</v>
      </c>
      <c r="GM4" s="13">
        <v>45264</v>
      </c>
      <c r="GN4" s="14">
        <v>45958</v>
      </c>
      <c r="GO4" s="14">
        <f>DATE(YEAR(GN4)+2,MONTH(GN4),DAY(GN4))</f>
        <v>46688</v>
      </c>
      <c r="GP4" s="65">
        <f t="shared" ca="1" si="77"/>
        <v>557</v>
      </c>
      <c r="GQ4" s="15" t="str">
        <f t="shared" ca="1" si="78"/>
        <v>VIGENTE</v>
      </c>
      <c r="GR4" s="14"/>
      <c r="GS4" s="14">
        <v>45017</v>
      </c>
      <c r="GT4" s="14">
        <f t="shared" si="79"/>
        <v>46844</v>
      </c>
      <c r="GU4" s="65">
        <f t="shared" ca="1" si="80"/>
        <v>713</v>
      </c>
      <c r="GV4" s="15" t="str">
        <f t="shared" ca="1" si="81"/>
        <v>VIGENTE</v>
      </c>
      <c r="GW4" s="13">
        <v>44573</v>
      </c>
      <c r="GX4" s="14">
        <v>45220</v>
      </c>
      <c r="GY4" s="14">
        <f t="shared" si="82"/>
        <v>47047</v>
      </c>
      <c r="GZ4" s="65">
        <f t="shared" ca="1" si="83"/>
        <v>916</v>
      </c>
      <c r="HA4" s="15" t="str">
        <f t="shared" ca="1" si="84"/>
        <v>VIGENTE</v>
      </c>
      <c r="HB4" s="12"/>
      <c r="HC4" s="14">
        <v>45008</v>
      </c>
      <c r="HD4" s="14">
        <f t="shared" si="85"/>
        <v>46835</v>
      </c>
      <c r="HE4" s="65">
        <f t="shared" ca="1" si="86"/>
        <v>704</v>
      </c>
      <c r="HF4" s="15" t="str">
        <f t="shared" ca="1" si="87"/>
        <v>VIGENTE</v>
      </c>
      <c r="HG4" s="16"/>
      <c r="HH4" s="14">
        <v>44879</v>
      </c>
      <c r="HI4" s="14">
        <f t="shared" si="88"/>
        <v>46705</v>
      </c>
      <c r="HJ4" s="65">
        <f t="shared" ca="1" si="89"/>
        <v>574</v>
      </c>
      <c r="HK4" s="15" t="str">
        <f t="shared" ca="1" si="90"/>
        <v>VIGENTE</v>
      </c>
      <c r="HL4" s="13">
        <v>44634</v>
      </c>
      <c r="HM4" s="14">
        <v>45480</v>
      </c>
      <c r="HN4" s="14">
        <f>DATE(YEAR(HM4)+5,MONTH(HM4),DAY(HM4))</f>
        <v>47306</v>
      </c>
      <c r="HO4" s="65">
        <f ca="1">HN4-TODAY()</f>
        <v>1175</v>
      </c>
      <c r="HP4" s="15" t="str">
        <f ca="1">IF(HO4&gt;=61,"VIGENTE",IF(HO4&gt;=1,"POR VENCER",IF(HO4&lt;=-1,"VENCIDA",IF(HM4=0,"NO APLICA"))))</f>
        <v>VIGENTE</v>
      </c>
      <c r="HQ4" s="12"/>
      <c r="HR4" s="15"/>
      <c r="HS4" s="14"/>
      <c r="HT4" s="15"/>
      <c r="HU4" s="15" t="str">
        <f t="shared" si="92"/>
        <v>NO APLICA</v>
      </c>
      <c r="HV4" s="13">
        <v>44560</v>
      </c>
      <c r="HW4" s="14">
        <v>45208</v>
      </c>
      <c r="HX4" s="14">
        <f>DATE(YEAR(HW4)+5,MONTH(HW4),DAY(HW4))</f>
        <v>47035</v>
      </c>
      <c r="HY4" s="65">
        <f ca="1">HX4-TODAY()</f>
        <v>904</v>
      </c>
      <c r="HZ4" s="15" t="str">
        <f ca="1">IF(HY4&gt;=61,"VIGENTE",IF(HY4&gt;=1,"POR VENCER",IF(HY4&lt;=-1,"VENCIDA",IF(HW4=0,"NO APLICA"))))</f>
        <v>VIGENTE</v>
      </c>
      <c r="IA4" s="13">
        <v>44522</v>
      </c>
      <c r="IB4" s="14">
        <v>45241</v>
      </c>
      <c r="IC4" s="14">
        <f>DATE(YEAR(IB4)+5,MONTH(IB4),DAY(IB4))</f>
        <v>47068</v>
      </c>
      <c r="ID4" s="65">
        <f ca="1">IC4-TODAY()</f>
        <v>937</v>
      </c>
      <c r="IE4" s="15" t="str">
        <f ca="1">IF(ID4&gt;=61,"VIGENTE",IF(ID4&gt;=1,"POR VENCER",IF(ID4&lt;=-1,"VENCIDA",IF(IB4=0,"NO APLICA"))))</f>
        <v>VIGENTE</v>
      </c>
      <c r="IF4" s="13">
        <v>44510</v>
      </c>
      <c r="IG4" s="14">
        <v>45192</v>
      </c>
      <c r="IH4" s="14">
        <f>DATE(YEAR(IG4)+5,MONTH(IG4),DAY(IG4))</f>
        <v>47019</v>
      </c>
      <c r="II4" s="65">
        <f ca="1">IH4-TODAY()</f>
        <v>888</v>
      </c>
      <c r="IJ4" s="15" t="str">
        <f ca="1">IF(II4&gt;=61,"VIGENTE",IF(II4&gt;=1,"POR VENCER",IF(II4&lt;=-1,"VENCIDA",IF(IG4=0,"NO APLICA"))))</f>
        <v>VIGENTE</v>
      </c>
      <c r="IK4" s="14">
        <v>44559</v>
      </c>
      <c r="IL4" s="14">
        <v>45262</v>
      </c>
      <c r="IM4" s="14">
        <f>DATE(YEAR(IL4)+5,MONTH(IL4),DAY(IL4))</f>
        <v>47089</v>
      </c>
      <c r="IN4" s="65">
        <f ca="1">IM4-TODAY()</f>
        <v>958</v>
      </c>
      <c r="IO4" s="15" t="str">
        <f ca="1">IF(IN4&gt;=61,"VIGENTE",IF(IN4&gt;=1,"POR VENCER",IF(IN4&lt;=-1,"VENCIDA",IF(IL4=0,"NO APLICA"))))</f>
        <v>VIGENTE</v>
      </c>
      <c r="IP4" s="13">
        <v>44559</v>
      </c>
      <c r="IQ4" s="14">
        <v>45304</v>
      </c>
      <c r="IR4" s="14">
        <f>DATE(YEAR(IQ4)+5,MONTH(IQ4),DAY(IQ4))</f>
        <v>47131</v>
      </c>
      <c r="IS4" s="65">
        <f ca="1">IR4-TODAY()</f>
        <v>1000</v>
      </c>
      <c r="IT4" s="15" t="str">
        <f ca="1">IF(IS4&gt;=61,"VIGENTE",IF(IS4&gt;=1,"POR VENCER",IF(IS4&lt;=-1,"VENCIDA",IF(IQ4=0,"NO APLICA"))))</f>
        <v>VIGENTE</v>
      </c>
      <c r="IU4" s="13">
        <v>44510</v>
      </c>
      <c r="IV4" s="14">
        <v>45240</v>
      </c>
      <c r="IW4" s="14">
        <f>DATE(YEAR(IV4)+5,MONTH(IV4),DAY(IV4))</f>
        <v>47067</v>
      </c>
      <c r="IX4" s="65">
        <f ca="1">IW4-TODAY()</f>
        <v>936</v>
      </c>
      <c r="IY4" s="15" t="str">
        <f ca="1">IF(IX4&gt;=61,"VIGENTE",IF(IX4&gt;=1,"POR VENCER",IF(IX4&lt;=-1,"VENCIDA",IF(IV4=0,"NO APLICA"))))</f>
        <v>VIGENTE</v>
      </c>
      <c r="IZ4" s="13">
        <v>44522</v>
      </c>
      <c r="JA4" s="14">
        <v>45206</v>
      </c>
      <c r="JB4" s="14">
        <f>DATE(YEAR(JA4)+5,MONTH(JA4),DAY(JA4))</f>
        <v>47033</v>
      </c>
      <c r="JC4" s="65">
        <f ca="1">JB4-TODAY()</f>
        <v>902</v>
      </c>
      <c r="JD4" s="15" t="str">
        <f ca="1">IF(JC4&gt;=61,"VIGENTE",IF(JC4&gt;=1,"POR VENCER",IF(JC4&lt;=-1,"VENCIDA",IF(JA4=0,"NO APLICA"))))</f>
        <v>VIGENTE</v>
      </c>
      <c r="JE4" s="13"/>
      <c r="JF4" s="13"/>
      <c r="JG4" s="14"/>
      <c r="JH4" s="65"/>
      <c r="JI4" s="15" t="str">
        <f t="shared" si="100"/>
        <v>NO APLICA</v>
      </c>
      <c r="JJ4" s="16"/>
      <c r="JK4" s="16"/>
      <c r="JL4" s="16"/>
      <c r="JM4" s="15" t="str">
        <f t="shared" si="101"/>
        <v>NO APLICA</v>
      </c>
      <c r="JN4" s="16"/>
      <c r="JO4" s="16"/>
      <c r="JP4" s="16"/>
      <c r="JQ4" s="15" t="str">
        <f t="shared" si="102"/>
        <v>NO APLICA</v>
      </c>
      <c r="JR4" s="16"/>
      <c r="JS4" s="16"/>
      <c r="JT4" s="16"/>
      <c r="JU4" s="16"/>
      <c r="JV4" s="15" t="str">
        <f t="shared" si="103"/>
        <v>NO APLICA</v>
      </c>
      <c r="JW4" s="15"/>
      <c r="JX4" s="13">
        <v>45948</v>
      </c>
      <c r="JY4" s="14">
        <f>DATE(YEAR(JX4)+2,MONTH(JX4),DAY(JX4))</f>
        <v>46678</v>
      </c>
      <c r="JZ4" s="65">
        <f ca="1">JY4-TODAY()</f>
        <v>547</v>
      </c>
      <c r="KA4" s="15" t="str">
        <f ca="1">IF(JZ4&gt;=61,"VIGENTE",IF(JZ4&gt;=1,"POR VENCER",IF(JZ4&lt;=-1,"VENCIDA",IF(JX4=0,"NO APLICA"))))</f>
        <v>VIGENTE</v>
      </c>
      <c r="KB4" s="15"/>
      <c r="KC4" s="14"/>
      <c r="KD4" s="65"/>
      <c r="KE4" s="15" t="str">
        <f t="shared" si="105"/>
        <v>NO APLICA</v>
      </c>
      <c r="KF4" s="15"/>
      <c r="KG4" s="14"/>
      <c r="KH4" s="65"/>
      <c r="KI4" s="15" t="str">
        <f t="shared" ref="KI4:KI67" si="132">IF(KH4&gt;=61,"VIGENTE",IF(KH4&gt;=1,"POR VENCER",IF(KH4&lt;=-1,"VENCIDA",IF(KF4=0,"NO APLICA"))))</f>
        <v>NO APLICA</v>
      </c>
      <c r="KJ4" s="13">
        <v>45364</v>
      </c>
      <c r="KK4" s="14">
        <f>DATE(YEAR(KJ4)+5,MONTH(KJ4),DAY(KJ4))</f>
        <v>47190</v>
      </c>
      <c r="KL4" s="65">
        <f ca="1">KK4-TODAY()</f>
        <v>1059</v>
      </c>
      <c r="KM4" s="15" t="str">
        <f ca="1">IF(KL4&gt;=61,"VIGENTE",IF(KL4&gt;=1,"POR VENCER",IF(KL4&lt;=-1,"VENCIDA",IF(KJ4=0,"NO APLICA"))))</f>
        <v>VIGENTE</v>
      </c>
      <c r="KN4" s="12"/>
      <c r="KO4" s="14"/>
      <c r="KP4" s="65"/>
      <c r="KQ4" s="15" t="str">
        <f t="shared" ref="KQ4:KQ67" si="133">IF(KP4&gt;=61,"VIGENTE",IF(KP4&gt;=1,"POR VENCER",IF(KP4&lt;=-1,"VENCIDA",IF(KN4=0,"NO APLICA"))))</f>
        <v>NO APLICA</v>
      </c>
      <c r="KR4" s="13">
        <v>44652</v>
      </c>
      <c r="KS4" s="14">
        <v>44653</v>
      </c>
      <c r="KT4" s="14">
        <f>DATE(YEAR(KS4)+5,MONTH(KS4),DAY(KS4))</f>
        <v>46479</v>
      </c>
      <c r="KU4" s="65">
        <f ca="1">KT4-TODAY()</f>
        <v>348</v>
      </c>
      <c r="KV4" s="15" t="str">
        <f ca="1">IF(KU4&gt;=61,"VIGENTE",IF(KU4&gt;=1,"POR VENCER",IF(KU4&lt;=-1,"VENCIDA",IF(KS4=0,"NO APLICA"))))</f>
        <v>VIGENTE</v>
      </c>
      <c r="KW4" s="16"/>
      <c r="KX4" s="14"/>
      <c r="KY4" s="65"/>
      <c r="KZ4" s="15" t="str">
        <f t="shared" ref="KZ4:KZ67" si="134">IF(KY4&gt;=61,"VIGENTE",IF(KY4&gt;=1,"POR VENCER",IF(KY4&lt;=-1,"VENCIDA",IF(KW4=0,"NO APLICA"))))</f>
        <v>NO APLICA</v>
      </c>
      <c r="LA4" s="14">
        <v>44490</v>
      </c>
      <c r="LB4" s="14">
        <v>45516</v>
      </c>
      <c r="LC4" s="14">
        <f>DATE(YEAR(LB4)+2,MONTH(LB4),DAY(LB4))</f>
        <v>46246</v>
      </c>
      <c r="LD4" s="65">
        <f ca="1">LC4-TODAY()</f>
        <v>115</v>
      </c>
      <c r="LE4" s="15" t="str">
        <f ca="1">IF(LD4&gt;=61,"VIGENTE",IF(LD4&gt;=1,"POR VENCER",IF(LD4&lt;=-1,"VENCIDA",IF(LB4=0,"NO APLICA"))))</f>
        <v>VIGENTE</v>
      </c>
      <c r="LF4" s="15"/>
      <c r="LG4" s="13">
        <v>44218</v>
      </c>
      <c r="LH4" s="14">
        <f>DATE(YEAR(LG4)+5,MONTH(LG4),DAY(LG4))</f>
        <v>46044</v>
      </c>
      <c r="LI4" s="65">
        <f ca="1">LH4-TODAY()</f>
        <v>-87</v>
      </c>
      <c r="LJ4" s="15" t="str">
        <f ca="1">IF(LI4&gt;=61,"VIGENTE",IF(LI4&gt;=1,"POR VENCER",IF(LI4&lt;=-1,"VENCIDA",IF(LG4=0,"NO APLICA"))))</f>
        <v>VENCIDA</v>
      </c>
      <c r="LK4" s="15"/>
      <c r="LL4" s="16"/>
      <c r="LM4" s="14"/>
      <c r="LN4" s="65"/>
      <c r="LO4" s="15" t="str">
        <f t="shared" ref="LO4:LO67" si="135">IF(LN4&gt;=61,"VIGENTE",IF(LN4&gt;=1,"POR VENCER",IF(LN4&lt;=-1,"VENCIDA",IF(LL4=0,"NO APLICA"))))</f>
        <v>NO APLICA</v>
      </c>
      <c r="LP4" s="16"/>
      <c r="LQ4" s="16"/>
      <c r="LR4" s="14"/>
      <c r="LS4" s="65"/>
      <c r="LT4" s="15" t="str">
        <f t="shared" ref="LT4:LT67" si="136">IF(LS4&gt;=61,"VIGENTE",IF(LS4&gt;=1,"POR VENCER",IF(LS4&lt;=-1,"VENCIDA",IF(LQ4=0,"NO APLICA"))))</f>
        <v>NO APLICA</v>
      </c>
      <c r="LU4" s="16"/>
      <c r="LV4" s="16"/>
      <c r="LW4" s="14"/>
      <c r="LX4" s="65"/>
      <c r="LY4" s="15" t="str">
        <f t="shared" ref="LY4:LY67" si="137">IF(LX4&gt;=61,"VIGENTE",IF(LX4&gt;=1,"POR VENCER",IF(LX4&lt;=-1,"VENCIDA",IF(LV4=0,"NO APLICA"))))</f>
        <v>NO APLICA</v>
      </c>
      <c r="LZ4" s="14">
        <v>44998</v>
      </c>
      <c r="MA4" s="14">
        <v>45010</v>
      </c>
      <c r="MB4" s="14">
        <f>DATE(YEAR(MA4)+5,MONTH(MA4),DAY(MA4))</f>
        <v>46837</v>
      </c>
      <c r="MC4" s="65">
        <f ca="1">MB4-TODAY()</f>
        <v>706</v>
      </c>
      <c r="MD4" s="15" t="str">
        <f ca="1">IF(MC4&gt;=61,"VIGENTE",IF(MC4&gt;=1,"POR VENCER",IF(MC4&lt;=-1,"VENCIDA",IF(MA4=0,"NO APLICA"))))</f>
        <v>VIGENTE</v>
      </c>
      <c r="ME4" s="15"/>
      <c r="MF4" s="15"/>
      <c r="MG4" s="14"/>
      <c r="MH4" s="65"/>
      <c r="MI4" s="15" t="str">
        <f t="shared" si="109"/>
        <v>NO APLICA</v>
      </c>
      <c r="MJ4" s="15"/>
      <c r="MK4" s="14"/>
      <c r="ML4" s="65"/>
      <c r="MM4" s="15" t="str">
        <f t="shared" si="110"/>
        <v>NO APLICA</v>
      </c>
      <c r="MN4" s="15"/>
      <c r="MO4" s="14"/>
      <c r="MP4" s="15"/>
      <c r="MQ4" s="15" t="str">
        <f t="shared" si="111"/>
        <v>NO APLICA</v>
      </c>
      <c r="MR4" s="15"/>
      <c r="MS4" s="16"/>
      <c r="MT4" s="14"/>
      <c r="MU4" s="65"/>
      <c r="MV4" s="15" t="str">
        <f t="shared" si="112"/>
        <v>NO APLICA</v>
      </c>
      <c r="MW4" s="15"/>
      <c r="MX4" s="16"/>
      <c r="MY4" s="14"/>
      <c r="MZ4" s="65"/>
      <c r="NA4" s="15" t="str">
        <f t="shared" si="113"/>
        <v>NO APLICA</v>
      </c>
      <c r="NB4" s="15"/>
      <c r="NC4" s="16"/>
      <c r="ND4" s="14"/>
      <c r="NE4" s="65"/>
      <c r="NF4" s="15" t="str">
        <f t="shared" si="114"/>
        <v>NO APLICA</v>
      </c>
      <c r="NG4" s="15"/>
      <c r="NH4" s="15"/>
      <c r="NI4" s="14"/>
      <c r="NJ4" s="65"/>
      <c r="NK4" s="15" t="str">
        <f t="shared" si="115"/>
        <v>NO APLICA</v>
      </c>
      <c r="NL4" s="15"/>
      <c r="NM4" s="15"/>
      <c r="NN4" s="15"/>
      <c r="NO4" s="15"/>
      <c r="NP4" s="15" t="str">
        <f t="shared" si="116"/>
        <v>NO APLICA</v>
      </c>
      <c r="NQ4" s="16"/>
      <c r="NR4" s="16"/>
      <c r="NS4" s="14"/>
      <c r="NT4" s="65"/>
      <c r="NU4" s="15" t="str">
        <f t="shared" si="117"/>
        <v>NO APLICA</v>
      </c>
      <c r="NV4" s="16"/>
      <c r="NW4" s="16"/>
      <c r="NX4" s="16"/>
      <c r="NY4" s="16"/>
      <c r="NZ4" s="15" t="str">
        <f t="shared" si="118"/>
        <v>NO APLICA</v>
      </c>
    </row>
    <row r="5" spans="1:390" ht="15.6" thickTop="1" thickBot="1" x14ac:dyDescent="0.35">
      <c r="A5" s="9">
        <v>1343</v>
      </c>
      <c r="B5" s="10" t="s">
        <v>109</v>
      </c>
      <c r="C5" s="21" t="s">
        <v>104</v>
      </c>
      <c r="D5" s="64" t="s">
        <v>110</v>
      </c>
      <c r="E5" s="15"/>
      <c r="F5" s="16"/>
      <c r="G5" s="14"/>
      <c r="H5" s="65"/>
      <c r="I5" s="15" t="str">
        <f t="shared" si="0"/>
        <v>NO APLICA</v>
      </c>
      <c r="J5" s="15"/>
      <c r="K5" s="16"/>
      <c r="L5" s="16"/>
      <c r="M5" s="65"/>
      <c r="N5" s="15" t="str">
        <f t="shared" si="1"/>
        <v>NO APLICA</v>
      </c>
      <c r="O5" s="16"/>
      <c r="P5" s="16"/>
      <c r="Q5" s="14"/>
      <c r="R5" s="65"/>
      <c r="S5" s="15" t="str">
        <f t="shared" si="119"/>
        <v>NO APLICA</v>
      </c>
      <c r="T5" s="12" t="s">
        <v>111</v>
      </c>
      <c r="U5" s="13">
        <v>45499</v>
      </c>
      <c r="V5" s="14">
        <v>45500</v>
      </c>
      <c r="W5" s="14">
        <f t="shared" si="2"/>
        <v>47326</v>
      </c>
      <c r="X5" s="65">
        <f t="shared" ca="1" si="3"/>
        <v>1195</v>
      </c>
      <c r="Y5" s="15" t="str">
        <f t="shared" ca="1" si="4"/>
        <v>VIGENTE</v>
      </c>
      <c r="Z5" s="12" t="s">
        <v>112</v>
      </c>
      <c r="AA5" s="13">
        <v>44827</v>
      </c>
      <c r="AB5" s="14">
        <v>44828</v>
      </c>
      <c r="AC5" s="14">
        <f t="shared" si="5"/>
        <v>46654</v>
      </c>
      <c r="AD5" s="65">
        <f t="shared" ca="1" si="6"/>
        <v>523</v>
      </c>
      <c r="AE5" s="15" t="str">
        <f t="shared" ca="1" si="7"/>
        <v>VIGENTE</v>
      </c>
      <c r="AF5" s="13">
        <v>44949</v>
      </c>
      <c r="AG5" s="14">
        <v>45594</v>
      </c>
      <c r="AH5" s="14">
        <f t="shared" si="120"/>
        <v>46323</v>
      </c>
      <c r="AI5" s="65">
        <f t="shared" ca="1" si="8"/>
        <v>192</v>
      </c>
      <c r="AJ5" s="15" t="str">
        <f t="shared" ca="1" si="9"/>
        <v>VIGENTE</v>
      </c>
      <c r="AK5" s="13">
        <v>45269</v>
      </c>
      <c r="AL5" s="14">
        <v>45926</v>
      </c>
      <c r="AM5" s="14">
        <f t="shared" si="121"/>
        <v>46656</v>
      </c>
      <c r="AN5" s="65">
        <f t="shared" ca="1" si="10"/>
        <v>525</v>
      </c>
      <c r="AO5" s="15" t="str">
        <f t="shared" ca="1" si="11"/>
        <v>VIGENTE</v>
      </c>
      <c r="AP5" s="13">
        <v>44694</v>
      </c>
      <c r="AQ5" s="14">
        <v>46048</v>
      </c>
      <c r="AR5" s="14">
        <f t="shared" si="122"/>
        <v>46778</v>
      </c>
      <c r="AS5" s="65">
        <f t="shared" ca="1" si="12"/>
        <v>647</v>
      </c>
      <c r="AT5" s="15" t="str">
        <f t="shared" ca="1" si="13"/>
        <v>VIGENTE</v>
      </c>
      <c r="AU5" s="13">
        <v>44694</v>
      </c>
      <c r="AV5" s="14">
        <v>45952</v>
      </c>
      <c r="AW5" s="14">
        <f t="shared" si="14"/>
        <v>46682</v>
      </c>
      <c r="AX5" s="65">
        <f t="shared" ca="1" si="15"/>
        <v>551</v>
      </c>
      <c r="AY5" s="15" t="str">
        <f t="shared" ca="1" si="16"/>
        <v>VIGENTE</v>
      </c>
      <c r="AZ5" s="13">
        <v>45375</v>
      </c>
      <c r="BA5" s="14">
        <v>46041</v>
      </c>
      <c r="BB5" s="14">
        <f t="shared" ref="BB5:BB6" si="138">DATE(YEAR(BA5)+2,MONTH(BA5),DAY(BA5))</f>
        <v>46771</v>
      </c>
      <c r="BC5" s="65">
        <f t="shared" ca="1" si="17"/>
        <v>640</v>
      </c>
      <c r="BD5" s="15" t="str">
        <f t="shared" ca="1" si="18"/>
        <v>VIGENTE</v>
      </c>
      <c r="BE5" s="13">
        <v>44687</v>
      </c>
      <c r="BF5" s="14">
        <v>45997</v>
      </c>
      <c r="BG5" s="14">
        <f>DATE(YEAR(BF5)+2,MONTH(BF5),DAY(BF5))</f>
        <v>46727</v>
      </c>
      <c r="BH5" s="65">
        <f t="shared" ca="1" si="19"/>
        <v>596</v>
      </c>
      <c r="BI5" s="15" t="str">
        <f t="shared" ca="1" si="20"/>
        <v>VIGENTE</v>
      </c>
      <c r="BJ5" s="13">
        <v>45372</v>
      </c>
      <c r="BK5" s="14">
        <v>46035</v>
      </c>
      <c r="BL5" s="14">
        <f t="shared" si="123"/>
        <v>46765</v>
      </c>
      <c r="BM5" s="65">
        <f t="shared" ca="1" si="21"/>
        <v>634</v>
      </c>
      <c r="BN5" s="15" t="str">
        <f t="shared" ca="1" si="22"/>
        <v>VIGENTE</v>
      </c>
      <c r="BO5" s="13">
        <v>44749</v>
      </c>
      <c r="BP5" s="14">
        <v>46069</v>
      </c>
      <c r="BQ5" s="14">
        <f>DATE(YEAR(BP5)+2,MONTH(BP5),DAY(BP5))</f>
        <v>46799</v>
      </c>
      <c r="BR5" s="65">
        <f t="shared" ca="1" si="23"/>
        <v>668</v>
      </c>
      <c r="BS5" s="15" t="str">
        <f t="shared" ca="1" si="24"/>
        <v>VIGENTE</v>
      </c>
      <c r="BT5" s="13">
        <v>44733</v>
      </c>
      <c r="BU5" s="14">
        <v>45449</v>
      </c>
      <c r="BV5" s="14">
        <f>DATE(YEAR(BU5)+2,MONTH(BU5),DAY(BU5)-1)</f>
        <v>46178</v>
      </c>
      <c r="BW5" s="65">
        <f t="shared" ca="1" si="25"/>
        <v>47</v>
      </c>
      <c r="BX5" s="15" t="str">
        <f t="shared" ca="1" si="26"/>
        <v>POR VENCER</v>
      </c>
      <c r="BY5" s="13">
        <v>44629</v>
      </c>
      <c r="BZ5" s="14">
        <v>45944</v>
      </c>
      <c r="CA5" s="14">
        <f t="shared" ref="CA5:CA8" si="139">DATE(YEAR(BZ5)+2,MONTH(BZ5),DAY(BZ5))</f>
        <v>46674</v>
      </c>
      <c r="CB5" s="65">
        <f t="shared" ca="1" si="27"/>
        <v>543</v>
      </c>
      <c r="CC5" s="15" t="str">
        <f t="shared" ca="1" si="28"/>
        <v>VIGENTE</v>
      </c>
      <c r="CD5" s="16" t="s">
        <v>108</v>
      </c>
      <c r="CE5" s="14">
        <v>45300</v>
      </c>
      <c r="CF5" s="14">
        <v>45301</v>
      </c>
      <c r="CG5" s="14">
        <f t="shared" si="29"/>
        <v>46762</v>
      </c>
      <c r="CH5" s="65">
        <f t="shared" ca="1" si="30"/>
        <v>631</v>
      </c>
      <c r="CI5" s="15" t="str">
        <f t="shared" ca="1" si="31"/>
        <v>VIGENTE</v>
      </c>
      <c r="CJ5" s="14">
        <v>45353</v>
      </c>
      <c r="CK5" s="14">
        <v>46018</v>
      </c>
      <c r="CL5" s="14">
        <f>DATE(YEAR(CK5)+2,MONTH(CK5),DAY(CK5))</f>
        <v>46748</v>
      </c>
      <c r="CM5" s="65">
        <f t="shared" ca="1" si="32"/>
        <v>617</v>
      </c>
      <c r="CN5" s="15" t="str">
        <f t="shared" ca="1" si="33"/>
        <v>VIGENTE</v>
      </c>
      <c r="CO5" s="13">
        <v>44900</v>
      </c>
      <c r="CP5" s="14">
        <v>45517</v>
      </c>
      <c r="CQ5" s="14">
        <f>DATE(YEAR(CP5)+2,MONTH(CP5),DAY(CP5)-1)</f>
        <v>46246</v>
      </c>
      <c r="CR5" s="65">
        <f t="shared" ca="1" si="34"/>
        <v>115</v>
      </c>
      <c r="CS5" s="15" t="str">
        <f t="shared" ca="1" si="35"/>
        <v>VIGENTE</v>
      </c>
      <c r="CT5" s="13">
        <v>44970</v>
      </c>
      <c r="CU5" s="14">
        <v>45631</v>
      </c>
      <c r="CV5" s="14">
        <f t="shared" si="126"/>
        <v>46360</v>
      </c>
      <c r="CW5" s="65">
        <f t="shared" ca="1" si="36"/>
        <v>229</v>
      </c>
      <c r="CX5" s="15" t="str">
        <f t="shared" ca="1" si="37"/>
        <v>VIGENTE</v>
      </c>
      <c r="CY5" s="13">
        <v>44998</v>
      </c>
      <c r="CZ5" s="14">
        <v>45661</v>
      </c>
      <c r="DA5" s="14">
        <f t="shared" si="127"/>
        <v>46390</v>
      </c>
      <c r="DB5" s="65">
        <f t="shared" ca="1" si="38"/>
        <v>259</v>
      </c>
      <c r="DC5" s="15" t="str">
        <f t="shared" ca="1" si="39"/>
        <v>VIGENTE</v>
      </c>
      <c r="DD5" s="13">
        <v>45019</v>
      </c>
      <c r="DE5" s="14">
        <v>45689</v>
      </c>
      <c r="DF5" s="14">
        <f>DATE(YEAR(DE5)+2,MONTH(DE5),DAY(DE5)-1)</f>
        <v>46418</v>
      </c>
      <c r="DG5" s="65">
        <f t="shared" ca="1" si="40"/>
        <v>287</v>
      </c>
      <c r="DH5" s="15" t="str">
        <f t="shared" ca="1" si="41"/>
        <v>VIGENTE</v>
      </c>
      <c r="DI5" s="13">
        <v>45296</v>
      </c>
      <c r="DJ5" s="14">
        <v>45975</v>
      </c>
      <c r="DK5" s="14">
        <f>DATE(YEAR(DJ5)+2,MONTH(DJ5),DAY(DJ5))</f>
        <v>46705</v>
      </c>
      <c r="DL5" s="65">
        <f t="shared" ca="1" si="43"/>
        <v>574</v>
      </c>
      <c r="DM5" s="15" t="str">
        <f t="shared" ca="1" si="44"/>
        <v>VIGENTE</v>
      </c>
      <c r="DN5" s="13">
        <v>44691</v>
      </c>
      <c r="DO5" s="14">
        <v>46008</v>
      </c>
      <c r="DP5" s="14">
        <f t="shared" ref="DP5:DP8" si="140">DATE(YEAR(DO5)+2,MONTH(DO5),DAY(DO5))</f>
        <v>46738</v>
      </c>
      <c r="DQ5" s="65">
        <f t="shared" ca="1" si="46"/>
        <v>607</v>
      </c>
      <c r="DR5" s="15" t="str">
        <f t="shared" ca="1" si="47"/>
        <v>VIGENTE</v>
      </c>
      <c r="DS5" s="13">
        <v>44824</v>
      </c>
      <c r="DT5" s="14">
        <v>46053</v>
      </c>
      <c r="DU5" s="14">
        <f>DATE(YEAR(DT5)+2,MONTH(DT5),DAY(DT5))</f>
        <v>46783</v>
      </c>
      <c r="DV5" s="65">
        <f t="shared" ca="1" si="48"/>
        <v>652</v>
      </c>
      <c r="DW5" s="15" t="str">
        <f t="shared" ca="1" si="49"/>
        <v>VIGENTE</v>
      </c>
      <c r="DX5" s="13">
        <v>45254</v>
      </c>
      <c r="DY5" s="14">
        <v>45934</v>
      </c>
      <c r="DZ5" s="14">
        <f>DATE(YEAR(DY5)+2,MONTH(DY5),DAY(DY5))</f>
        <v>46664</v>
      </c>
      <c r="EA5" s="65">
        <f t="shared" ca="1" si="50"/>
        <v>533</v>
      </c>
      <c r="EB5" s="15" t="str">
        <f t="shared" ca="1" si="51"/>
        <v>VIGENTE</v>
      </c>
      <c r="EC5" s="13">
        <v>44834</v>
      </c>
      <c r="ED5" s="14">
        <v>45494</v>
      </c>
      <c r="EE5" s="14">
        <f>DATE(YEAR(ED5)+2,MONTH(ED5),DAY(ED5)-1)</f>
        <v>46223</v>
      </c>
      <c r="EF5" s="65">
        <f t="shared" ca="1" si="52"/>
        <v>92</v>
      </c>
      <c r="EG5" s="15" t="str">
        <f t="shared" ca="1" si="53"/>
        <v>VIGENTE</v>
      </c>
      <c r="EH5" s="14">
        <v>45434</v>
      </c>
      <c r="EI5" s="13">
        <v>45946</v>
      </c>
      <c r="EJ5" s="13">
        <v>45947</v>
      </c>
      <c r="EK5" s="14">
        <v>45948</v>
      </c>
      <c r="EL5" s="14">
        <f t="shared" si="128"/>
        <v>46313</v>
      </c>
      <c r="EM5" s="65">
        <f t="shared" ca="1" si="54"/>
        <v>182</v>
      </c>
      <c r="EN5" s="15" t="str">
        <f t="shared" ca="1" si="55"/>
        <v>VIGENTE</v>
      </c>
      <c r="EO5" s="13">
        <v>45303</v>
      </c>
      <c r="EP5" s="14">
        <v>45966</v>
      </c>
      <c r="EQ5" s="14">
        <f t="shared" ref="EQ5:EQ6" si="141">DATE(YEAR(EP5)+2,MONTH(EP5),DAY(EP5))</f>
        <v>46696</v>
      </c>
      <c r="ER5" s="65">
        <f t="shared" ca="1" si="56"/>
        <v>565</v>
      </c>
      <c r="ES5" s="15" t="str">
        <f t="shared" ca="1" si="57"/>
        <v>VIGENTE</v>
      </c>
      <c r="ET5" s="13">
        <v>44903</v>
      </c>
      <c r="EU5" s="14">
        <v>45524</v>
      </c>
      <c r="EV5" s="14">
        <f>DATE(YEAR(EU5)+2,MONTH(EU5),DAY(EU5)-1)</f>
        <v>46253</v>
      </c>
      <c r="EW5" s="65">
        <f t="shared" ca="1" si="58"/>
        <v>122</v>
      </c>
      <c r="EX5" s="15" t="str">
        <f t="shared" ca="1" si="59"/>
        <v>VIGENTE</v>
      </c>
      <c r="EY5" s="13">
        <v>45294</v>
      </c>
      <c r="EZ5" s="14">
        <v>45973</v>
      </c>
      <c r="FA5" s="14">
        <f t="shared" ref="FA5:FA17" si="142">DATE(YEAR(EZ5)+2,MONTH(EZ5),DAY(EZ5))</f>
        <v>46703</v>
      </c>
      <c r="FB5" s="65">
        <f t="shared" ca="1" si="60"/>
        <v>572</v>
      </c>
      <c r="FC5" s="15" t="str">
        <f t="shared" ca="1" si="61"/>
        <v>VIGENTE</v>
      </c>
      <c r="FD5" s="13">
        <v>45241</v>
      </c>
      <c r="FE5" s="14">
        <v>45922</v>
      </c>
      <c r="FF5" s="14">
        <f t="shared" ref="FF5:FF6" si="143">DATE(YEAR(FE5)+2,MONTH(FE5),DAY(FE5))</f>
        <v>46652</v>
      </c>
      <c r="FG5" s="65">
        <f t="shared" ca="1" si="62"/>
        <v>521</v>
      </c>
      <c r="FH5" s="15" t="str">
        <f t="shared" ca="1" si="63"/>
        <v>VIGENTE</v>
      </c>
      <c r="FI5" s="13">
        <v>45317</v>
      </c>
      <c r="FJ5" s="14">
        <v>45962</v>
      </c>
      <c r="FK5" s="14">
        <f t="shared" ref="FK5:FK17" si="144">DATE(YEAR(FJ5)+2,MONTH(FJ5),DAY(FJ5))</f>
        <v>46692</v>
      </c>
      <c r="FL5" s="65">
        <f t="shared" ca="1" si="64"/>
        <v>561</v>
      </c>
      <c r="FM5" s="15" t="str">
        <f t="shared" ca="1" si="65"/>
        <v>VIGENTE</v>
      </c>
      <c r="FN5" s="13">
        <v>44834</v>
      </c>
      <c r="FO5" s="14">
        <v>45479</v>
      </c>
      <c r="FP5" s="14">
        <f t="shared" si="66"/>
        <v>46208</v>
      </c>
      <c r="FQ5" s="65">
        <f t="shared" ca="1" si="67"/>
        <v>77</v>
      </c>
      <c r="FR5" s="15" t="str">
        <f t="shared" ca="1" si="68"/>
        <v>POR VENCER</v>
      </c>
      <c r="FS5" s="13">
        <v>45078</v>
      </c>
      <c r="FT5" s="14">
        <v>45724</v>
      </c>
      <c r="FU5" s="14">
        <f>DATE(YEAR(FT5)+2,MONTH(FT5),DAY(FT5)-1)</f>
        <v>46453</v>
      </c>
      <c r="FV5" s="65">
        <f t="shared" ca="1" si="69"/>
        <v>322</v>
      </c>
      <c r="FW5" s="15" t="str">
        <f t="shared" ca="1" si="70"/>
        <v>VIGENTE</v>
      </c>
      <c r="FX5" s="13">
        <v>44924</v>
      </c>
      <c r="FY5" s="14">
        <v>45574</v>
      </c>
      <c r="FZ5" s="14">
        <f t="shared" si="130"/>
        <v>46303</v>
      </c>
      <c r="GA5" s="65">
        <f t="shared" ca="1" si="71"/>
        <v>172</v>
      </c>
      <c r="GB5" s="15" t="str">
        <f t="shared" ca="1" si="72"/>
        <v>VIGENTE</v>
      </c>
      <c r="GC5" s="13">
        <v>44735</v>
      </c>
      <c r="GD5" s="14">
        <v>46073</v>
      </c>
      <c r="GE5" s="14">
        <f>DATE(YEAR(GD5)+2,MONTH(GD5),DAY(GD5))</f>
        <v>46803</v>
      </c>
      <c r="GF5" s="65">
        <f t="shared" ca="1" si="73"/>
        <v>672</v>
      </c>
      <c r="GG5" s="15" t="str">
        <f t="shared" ca="1" si="74"/>
        <v>VIGENTE</v>
      </c>
      <c r="GH5" s="13">
        <v>44742</v>
      </c>
      <c r="GI5" s="14">
        <v>46092</v>
      </c>
      <c r="GJ5" s="14">
        <f t="shared" ref="GJ5:GJ6" si="145">DATE(YEAR(GI5)+2,MONTH(GI5),DAY(GI5))</f>
        <v>46823</v>
      </c>
      <c r="GK5" s="65">
        <f t="shared" ca="1" si="75"/>
        <v>692</v>
      </c>
      <c r="GL5" s="15" t="str">
        <f t="shared" ca="1" si="76"/>
        <v>VIGENTE</v>
      </c>
      <c r="GM5" s="13">
        <v>45256</v>
      </c>
      <c r="GN5" s="14">
        <v>45923</v>
      </c>
      <c r="GO5" s="14">
        <f t="shared" ref="GO5:GO6" si="146">DATE(YEAR(GN5)+2,MONTH(GN5),DAY(GN5))</f>
        <v>46653</v>
      </c>
      <c r="GP5" s="65">
        <f t="shared" ca="1" si="77"/>
        <v>522</v>
      </c>
      <c r="GQ5" s="15" t="str">
        <f t="shared" ca="1" si="78"/>
        <v>VIGENTE</v>
      </c>
      <c r="GR5" s="14">
        <v>44572</v>
      </c>
      <c r="GS5" s="14">
        <v>45219</v>
      </c>
      <c r="GT5" s="14">
        <f t="shared" si="79"/>
        <v>47046</v>
      </c>
      <c r="GU5" s="65">
        <f t="shared" ca="1" si="80"/>
        <v>915</v>
      </c>
      <c r="GV5" s="15" t="str">
        <f t="shared" ca="1" si="81"/>
        <v>VIGENTE</v>
      </c>
      <c r="GW5" s="13">
        <v>44574</v>
      </c>
      <c r="GX5" s="14">
        <v>45252</v>
      </c>
      <c r="GY5" s="14">
        <f t="shared" si="82"/>
        <v>47079</v>
      </c>
      <c r="GZ5" s="65">
        <f t="shared" ca="1" si="83"/>
        <v>948</v>
      </c>
      <c r="HA5" s="15" t="str">
        <f t="shared" ca="1" si="84"/>
        <v>VIGENTE</v>
      </c>
      <c r="HB5" s="13">
        <v>44566</v>
      </c>
      <c r="HC5" s="14">
        <v>45251</v>
      </c>
      <c r="HD5" s="14">
        <f t="shared" si="85"/>
        <v>47078</v>
      </c>
      <c r="HE5" s="65">
        <f t="shared" ca="1" si="86"/>
        <v>947</v>
      </c>
      <c r="HF5" s="15" t="str">
        <f t="shared" ca="1" si="87"/>
        <v>VIGENTE</v>
      </c>
      <c r="HG5" s="16"/>
      <c r="HH5" s="14">
        <v>44880</v>
      </c>
      <c r="HI5" s="14">
        <f t="shared" si="88"/>
        <v>46706</v>
      </c>
      <c r="HJ5" s="65">
        <f t="shared" ca="1" si="89"/>
        <v>575</v>
      </c>
      <c r="HK5" s="15" t="str">
        <f t="shared" ca="1" si="90"/>
        <v>VIGENTE</v>
      </c>
      <c r="HL5" s="13">
        <v>44630</v>
      </c>
      <c r="HM5" s="14">
        <v>45480</v>
      </c>
      <c r="HN5" s="14">
        <f>DATE(YEAR(HM5)+5,MONTH(HM5),DAY(HM5))</f>
        <v>47306</v>
      </c>
      <c r="HO5" s="65">
        <f ca="1">HN5-TODAY()</f>
        <v>1175</v>
      </c>
      <c r="HP5" s="15" t="str">
        <f ca="1">IF(HO5&gt;=61,"VIGENTE",IF(HO5&gt;=1,"POR VENCER",IF(HO5&lt;=-1,"VENCIDA",IF(HM5=0,"NO APLICA"))))</f>
        <v>VIGENTE</v>
      </c>
      <c r="HQ5" s="12"/>
      <c r="HR5" s="12"/>
      <c r="HS5" s="14"/>
      <c r="HT5" s="12"/>
      <c r="HU5" s="15" t="str">
        <f t="shared" si="92"/>
        <v>NO APLICA</v>
      </c>
      <c r="HV5" s="13">
        <v>44560</v>
      </c>
      <c r="HW5" s="14">
        <v>45208</v>
      </c>
      <c r="HX5" s="14">
        <f>DATE(YEAR(HW5)+5,MONTH(HW5),DAY(HW5))</f>
        <v>47035</v>
      </c>
      <c r="HY5" s="65">
        <f ca="1">HX5-TODAY()</f>
        <v>904</v>
      </c>
      <c r="HZ5" s="15" t="str">
        <f ca="1">IF(HY5&gt;=61,"VIGENTE",IF(HY5&gt;=1,"POR VENCER",IF(HY5&lt;=-1,"VENCIDA",IF(HW5=0,"NO APLICA"))))</f>
        <v>VIGENTE</v>
      </c>
      <c r="IA5" s="13">
        <v>44739</v>
      </c>
      <c r="IB5" s="14">
        <v>45447</v>
      </c>
      <c r="IC5" s="14">
        <f>DATE(YEAR(IB5)+5,MONTH(IB5),DAY(IB5))</f>
        <v>47273</v>
      </c>
      <c r="ID5" s="65">
        <f ca="1">IC5-TODAY()</f>
        <v>1142</v>
      </c>
      <c r="IE5" s="15" t="str">
        <f ca="1">IF(ID5&gt;=61,"VIGENTE",IF(ID5&gt;=1,"POR VENCER",IF(ID5&lt;=-1,"VENCIDA",IF(IB5=0,"NO APLICA"))))</f>
        <v>VIGENTE</v>
      </c>
      <c r="IF5" s="13">
        <v>44740</v>
      </c>
      <c r="IG5" s="14">
        <v>45444</v>
      </c>
      <c r="IH5" s="14">
        <f>DATE(YEAR(IG5)+5,MONTH(IG5),DAY(IG5))</f>
        <v>47270</v>
      </c>
      <c r="II5" s="65">
        <f ca="1">IH5-TODAY()</f>
        <v>1139</v>
      </c>
      <c r="IJ5" s="15" t="str">
        <f ca="1">IF(II5&gt;=61,"VIGENTE",IF(II5&gt;=1,"POR VENCER",IF(II5&lt;=-1,"VENCIDA",IF(IG5=0,"NO APLICA"))))</f>
        <v>VIGENTE</v>
      </c>
      <c r="IK5" s="14">
        <v>44790</v>
      </c>
      <c r="IL5" s="14">
        <v>45455</v>
      </c>
      <c r="IM5" s="14">
        <f>DATE(YEAR(IL5)+5,MONTH(IL5),DAY(IL5))</f>
        <v>47281</v>
      </c>
      <c r="IN5" s="65">
        <f ca="1">IM5-TODAY()</f>
        <v>1150</v>
      </c>
      <c r="IO5" s="15" t="str">
        <f ca="1">IF(IN5&gt;=61,"VIGENTE",IF(IN5&gt;=1,"POR VENCER",IF(IN5&lt;=-1,"VENCIDA",IF(IL5=0,"NO APLICA"))))</f>
        <v>VIGENTE</v>
      </c>
      <c r="IP5" s="13">
        <v>44790</v>
      </c>
      <c r="IQ5" s="14">
        <v>45433</v>
      </c>
      <c r="IR5" s="14">
        <f>DATE(YEAR(IQ5)+5,MONTH(IQ5),DAY(IQ5))</f>
        <v>47259</v>
      </c>
      <c r="IS5" s="65">
        <f ca="1">IR5-TODAY()</f>
        <v>1128</v>
      </c>
      <c r="IT5" s="15" t="str">
        <f ca="1">IF(IS5&gt;=61,"VIGENTE",IF(IS5&gt;=1,"POR VENCER",IF(IS5&lt;=-1,"VENCIDA",IF(IQ5=0,"NO APLICA"))))</f>
        <v>VIGENTE</v>
      </c>
      <c r="IU5" s="13">
        <v>44740</v>
      </c>
      <c r="IV5" s="14">
        <v>45435</v>
      </c>
      <c r="IW5" s="14">
        <f>DATE(YEAR(IV5)+5,MONTH(IV5),DAY(IV5))</f>
        <v>47261</v>
      </c>
      <c r="IX5" s="65">
        <f ca="1">IW5-TODAY()</f>
        <v>1130</v>
      </c>
      <c r="IY5" s="15" t="str">
        <f ca="1">IF(IX5&gt;=61,"VIGENTE",IF(IX5&gt;=1,"POR VENCER",IF(IX5&lt;=-1,"VENCIDA",IF(IV5=0,"NO APLICA"))))</f>
        <v>VIGENTE</v>
      </c>
      <c r="IZ5" s="13">
        <v>45470</v>
      </c>
      <c r="JA5" s="14">
        <v>45446</v>
      </c>
      <c r="JB5" s="14">
        <f>DATE(YEAR(JA5)+5,MONTH(JA5),DAY(JA5))</f>
        <v>47272</v>
      </c>
      <c r="JC5" s="65">
        <f ca="1">JB5-TODAY()</f>
        <v>1141</v>
      </c>
      <c r="JD5" s="15" t="str">
        <f ca="1">IF(JC5&gt;=61,"VIGENTE",IF(JC5&gt;=1,"POR VENCER",IF(JC5&lt;=-1,"VENCIDA",IF(JA5=0,"NO APLICA"))))</f>
        <v>VIGENTE</v>
      </c>
      <c r="JE5" s="13"/>
      <c r="JF5" s="13"/>
      <c r="JG5" s="14"/>
      <c r="JH5" s="65"/>
      <c r="JI5" s="15" t="str">
        <f t="shared" si="100"/>
        <v>NO APLICA</v>
      </c>
      <c r="JJ5" s="16"/>
      <c r="JK5" s="16"/>
      <c r="JL5" s="16"/>
      <c r="JM5" s="15" t="str">
        <f t="shared" si="101"/>
        <v>NO APLICA</v>
      </c>
      <c r="JN5" s="16"/>
      <c r="JO5" s="16"/>
      <c r="JP5" s="16"/>
      <c r="JQ5" s="15" t="str">
        <f t="shared" si="102"/>
        <v>NO APLICA</v>
      </c>
      <c r="JR5" s="16"/>
      <c r="JS5" s="16"/>
      <c r="JT5" s="16"/>
      <c r="JU5" s="16"/>
      <c r="JV5" s="15" t="str">
        <f t="shared" si="103"/>
        <v>NO APLICA</v>
      </c>
      <c r="JW5" s="15"/>
      <c r="JX5" s="15"/>
      <c r="JY5" s="15"/>
      <c r="JZ5" s="15"/>
      <c r="KA5" s="15" t="str">
        <f t="shared" si="104"/>
        <v>NO APLICA</v>
      </c>
      <c r="KB5" s="12"/>
      <c r="KC5" s="14"/>
      <c r="KD5" s="65"/>
      <c r="KE5" s="15" t="str">
        <f t="shared" si="105"/>
        <v>NO APLICA</v>
      </c>
      <c r="KF5" s="12"/>
      <c r="KG5" s="14"/>
      <c r="KH5" s="65"/>
      <c r="KI5" s="15" t="str">
        <f t="shared" si="132"/>
        <v>NO APLICA</v>
      </c>
      <c r="KJ5" s="12"/>
      <c r="KK5" s="14"/>
      <c r="KL5" s="65"/>
      <c r="KM5" s="15" t="str">
        <f t="shared" si="106"/>
        <v>NO APLICA</v>
      </c>
      <c r="KN5" s="12"/>
      <c r="KO5" s="14"/>
      <c r="KP5" s="65"/>
      <c r="KQ5" s="15" t="str">
        <f t="shared" si="133"/>
        <v>NO APLICA</v>
      </c>
      <c r="KR5" s="12"/>
      <c r="KS5" s="16"/>
      <c r="KT5" s="14"/>
      <c r="KU5" s="65"/>
      <c r="KV5" s="15" t="str">
        <f t="shared" ref="KV5:KV68" si="147">IF(KU5&gt;=61,"VIGENTE",IF(KU5&gt;=1,"POR VENCER",IF(KU5&lt;=-1,"VENCIDA",IF(KS5=0,"NO APLICA"))))</f>
        <v>NO APLICA</v>
      </c>
      <c r="KW5" s="14">
        <v>44613</v>
      </c>
      <c r="KX5" s="14">
        <f>DATE(YEAR(KW5)+5,MONTH(KW5),DAY(KW5))</f>
        <v>46439</v>
      </c>
      <c r="KY5" s="65">
        <f ca="1">KX5-TODAY()</f>
        <v>308</v>
      </c>
      <c r="KZ5" s="15" t="str">
        <f ca="1">IF(KY5&gt;=61,"VIGENTE",IF(KY5&gt;=1,"POR VENCER",IF(KY5&lt;=-1,"VENCIDA",IF(KW5=0,"NO APLICA"))))</f>
        <v>VIGENTE</v>
      </c>
      <c r="LA5" s="16"/>
      <c r="LB5" s="14">
        <v>45516</v>
      </c>
      <c r="LC5" s="14">
        <f>DATE(YEAR(LB5)+2,MONTH(LB5),DAY(LB5))</f>
        <v>46246</v>
      </c>
      <c r="LD5" s="65">
        <f ca="1">LC5-TODAY()</f>
        <v>115</v>
      </c>
      <c r="LE5" s="15" t="str">
        <f ca="1">IF(LD5&gt;=61,"VIGENTE",IF(LD5&gt;=1,"POR VENCER",IF(LD5&lt;=-1,"VENCIDA",IF(LB5=0,"NO APLICA"))))</f>
        <v>VIGENTE</v>
      </c>
      <c r="LF5" s="15"/>
      <c r="LG5" s="15"/>
      <c r="LH5" s="14"/>
      <c r="LI5" s="65"/>
      <c r="LJ5" s="15" t="str">
        <f t="shared" ref="LJ5:LJ68" si="148">IF(LI5&gt;=61,"VIGENTE",IF(LI5&gt;=1,"POR VENCER",IF(LI5&lt;=-1,"VENCIDA",IF(LG5=0,"NO APLICA"))))</f>
        <v>NO APLICA</v>
      </c>
      <c r="LK5" s="12"/>
      <c r="LL5" s="16"/>
      <c r="LM5" s="14"/>
      <c r="LN5" s="65"/>
      <c r="LO5" s="15" t="str">
        <f t="shared" si="135"/>
        <v>NO APLICA</v>
      </c>
      <c r="LP5" s="16"/>
      <c r="LQ5" s="16"/>
      <c r="LR5" s="14"/>
      <c r="LS5" s="65"/>
      <c r="LT5" s="15" t="str">
        <f t="shared" si="136"/>
        <v>NO APLICA</v>
      </c>
      <c r="LU5" s="16"/>
      <c r="LV5" s="16"/>
      <c r="LW5" s="14"/>
      <c r="LX5" s="65"/>
      <c r="LY5" s="15" t="str">
        <f t="shared" si="137"/>
        <v>NO APLICA</v>
      </c>
      <c r="LZ5" s="12"/>
      <c r="MA5" s="12"/>
      <c r="MB5" s="14"/>
      <c r="MC5" s="65"/>
      <c r="MD5" s="15" t="str">
        <f t="shared" si="108"/>
        <v>NO APLICA</v>
      </c>
      <c r="ME5" s="12"/>
      <c r="MF5" s="12"/>
      <c r="MG5" s="14"/>
      <c r="MH5" s="65"/>
      <c r="MI5" s="15" t="str">
        <f t="shared" si="109"/>
        <v>NO APLICA</v>
      </c>
      <c r="MJ5" s="12"/>
      <c r="MK5" s="14"/>
      <c r="ML5" s="65"/>
      <c r="MM5" s="15" t="str">
        <f t="shared" si="110"/>
        <v>NO APLICA</v>
      </c>
      <c r="MN5" s="12"/>
      <c r="MO5" s="14"/>
      <c r="MP5" s="12"/>
      <c r="MQ5" s="15" t="str">
        <f t="shared" si="111"/>
        <v>NO APLICA</v>
      </c>
      <c r="MR5" s="12"/>
      <c r="MS5" s="16"/>
      <c r="MT5" s="14"/>
      <c r="MU5" s="65"/>
      <c r="MV5" s="15" t="str">
        <f t="shared" si="112"/>
        <v>NO APLICA</v>
      </c>
      <c r="MW5" s="12"/>
      <c r="MX5" s="16"/>
      <c r="MY5" s="14"/>
      <c r="MZ5" s="65"/>
      <c r="NA5" s="15" t="str">
        <f t="shared" si="113"/>
        <v>NO APLICA</v>
      </c>
      <c r="NB5" s="12"/>
      <c r="NC5" s="16"/>
      <c r="ND5" s="14"/>
      <c r="NE5" s="65"/>
      <c r="NF5" s="15" t="str">
        <f t="shared" si="114"/>
        <v>NO APLICA</v>
      </c>
      <c r="NG5" s="12"/>
      <c r="NH5" s="12"/>
      <c r="NI5" s="14"/>
      <c r="NJ5" s="65"/>
      <c r="NK5" s="15" t="str">
        <f t="shared" si="115"/>
        <v>NO APLICA</v>
      </c>
      <c r="NL5" s="12"/>
      <c r="NM5" s="12"/>
      <c r="NN5" s="14"/>
      <c r="NO5" s="12"/>
      <c r="NP5" s="15" t="str">
        <f t="shared" si="116"/>
        <v>NO APLICA</v>
      </c>
      <c r="NQ5" s="16"/>
      <c r="NR5" s="16"/>
      <c r="NS5" s="14"/>
      <c r="NT5" s="65"/>
      <c r="NU5" s="15" t="str">
        <f t="shared" si="117"/>
        <v>NO APLICA</v>
      </c>
      <c r="NV5" s="16"/>
      <c r="NW5" s="16"/>
      <c r="NX5" s="16"/>
      <c r="NY5" s="16"/>
      <c r="NZ5" s="15" t="str">
        <f t="shared" si="118"/>
        <v>NO APLICA</v>
      </c>
    </row>
    <row r="6" spans="1:390" ht="15.6" thickTop="1" thickBot="1" x14ac:dyDescent="0.35">
      <c r="A6" s="9">
        <v>261</v>
      </c>
      <c r="B6" s="10" t="s">
        <v>113</v>
      </c>
      <c r="C6" s="21" t="s">
        <v>104</v>
      </c>
      <c r="D6" s="64" t="s">
        <v>114</v>
      </c>
      <c r="E6" s="15"/>
      <c r="F6" s="16"/>
      <c r="G6" s="14"/>
      <c r="H6" s="65"/>
      <c r="I6" s="15" t="str">
        <f t="shared" si="0"/>
        <v>NO APLICA</v>
      </c>
      <c r="J6" s="15"/>
      <c r="K6" s="16"/>
      <c r="L6" s="16"/>
      <c r="M6" s="65"/>
      <c r="N6" s="15" t="str">
        <f t="shared" si="1"/>
        <v>NO APLICA</v>
      </c>
      <c r="O6" s="14">
        <v>45757</v>
      </c>
      <c r="P6" s="14">
        <v>45758</v>
      </c>
      <c r="Q6" s="14">
        <f>DATE(YEAR(P6)+2,MONTH(P6),DAY(P6)-1)</f>
        <v>46487</v>
      </c>
      <c r="R6" s="65">
        <f ca="1">Q6-TODAY()</f>
        <v>356</v>
      </c>
      <c r="S6" s="15" t="str">
        <f ca="1">IF(R6&gt;=61,"VIGENTE",IF(R6&gt;=1,"POR VENCER",IF(R6&lt;=-1,"VENCIDA",IF(R6=0,"NO APLICA"))))</f>
        <v>VIGENTE</v>
      </c>
      <c r="T6" s="12" t="s">
        <v>115</v>
      </c>
      <c r="U6" s="13">
        <v>44785</v>
      </c>
      <c r="V6" s="14">
        <v>44786</v>
      </c>
      <c r="W6" s="14">
        <f t="shared" si="2"/>
        <v>46612</v>
      </c>
      <c r="X6" s="65">
        <f t="shared" ca="1" si="3"/>
        <v>481</v>
      </c>
      <c r="Y6" s="15" t="str">
        <f t="shared" ca="1" si="4"/>
        <v>VIGENTE</v>
      </c>
      <c r="Z6" s="12" t="s">
        <v>116</v>
      </c>
      <c r="AA6" s="14">
        <v>44827</v>
      </c>
      <c r="AB6" s="14">
        <v>44828</v>
      </c>
      <c r="AC6" s="14">
        <f t="shared" si="5"/>
        <v>46654</v>
      </c>
      <c r="AD6" s="65">
        <f t="shared" ca="1" si="6"/>
        <v>523</v>
      </c>
      <c r="AE6" s="15" t="str">
        <f t="shared" ca="1" si="7"/>
        <v>VIGENTE</v>
      </c>
      <c r="AF6" s="13">
        <v>44928</v>
      </c>
      <c r="AG6" s="13">
        <v>45594</v>
      </c>
      <c r="AH6" s="14">
        <f t="shared" si="120"/>
        <v>46323</v>
      </c>
      <c r="AI6" s="65">
        <f t="shared" ca="1" si="8"/>
        <v>192</v>
      </c>
      <c r="AJ6" s="15" t="str">
        <f t="shared" ca="1" si="9"/>
        <v>VIGENTE</v>
      </c>
      <c r="AK6" s="13">
        <v>45269</v>
      </c>
      <c r="AL6" s="14">
        <v>45926</v>
      </c>
      <c r="AM6" s="14">
        <f t="shared" si="121"/>
        <v>46656</v>
      </c>
      <c r="AN6" s="65">
        <f t="shared" ca="1" si="10"/>
        <v>525</v>
      </c>
      <c r="AO6" s="15" t="str">
        <f t="shared" ca="1" si="11"/>
        <v>VIGENTE</v>
      </c>
      <c r="AP6" s="14">
        <v>45168</v>
      </c>
      <c r="AQ6" s="14">
        <v>45820</v>
      </c>
      <c r="AR6" s="14">
        <f t="shared" si="122"/>
        <v>46550</v>
      </c>
      <c r="AS6" s="65">
        <f t="shared" ca="1" si="12"/>
        <v>419</v>
      </c>
      <c r="AT6" s="15" t="str">
        <f t="shared" ca="1" si="13"/>
        <v>VIGENTE</v>
      </c>
      <c r="AU6" s="14">
        <v>45161</v>
      </c>
      <c r="AV6" s="14">
        <v>45786</v>
      </c>
      <c r="AW6" s="14">
        <f t="shared" si="14"/>
        <v>46516</v>
      </c>
      <c r="AX6" s="65">
        <f t="shared" ca="1" si="15"/>
        <v>385</v>
      </c>
      <c r="AY6" s="15" t="str">
        <f t="shared" ca="1" si="16"/>
        <v>VIGENTE</v>
      </c>
      <c r="AZ6" s="14">
        <v>45192</v>
      </c>
      <c r="BA6" s="14">
        <v>45855</v>
      </c>
      <c r="BB6" s="14">
        <f t="shared" si="138"/>
        <v>46585</v>
      </c>
      <c r="BC6" s="65">
        <f t="shared" ca="1" si="17"/>
        <v>454</v>
      </c>
      <c r="BD6" s="15" t="str">
        <f t="shared" ca="1" si="18"/>
        <v>VIGENTE</v>
      </c>
      <c r="BE6" s="13">
        <v>45302</v>
      </c>
      <c r="BF6" s="14">
        <v>45968</v>
      </c>
      <c r="BG6" s="14">
        <f>DATE(YEAR(BF6)+2,MONTH(BF6),DAY(BF6))</f>
        <v>46698</v>
      </c>
      <c r="BH6" s="65">
        <f t="shared" ca="1" si="19"/>
        <v>567</v>
      </c>
      <c r="BI6" s="15" t="str">
        <f t="shared" ca="1" si="20"/>
        <v>VIGENTE</v>
      </c>
      <c r="BJ6" s="13">
        <v>45389</v>
      </c>
      <c r="BK6" s="14">
        <v>46035</v>
      </c>
      <c r="BL6" s="14">
        <f t="shared" si="123"/>
        <v>46765</v>
      </c>
      <c r="BM6" s="65">
        <f t="shared" ca="1" si="21"/>
        <v>634</v>
      </c>
      <c r="BN6" s="15" t="str">
        <f t="shared" ca="1" si="22"/>
        <v>VIGENTE</v>
      </c>
      <c r="BO6" s="14">
        <v>45190</v>
      </c>
      <c r="BP6" s="14">
        <v>45841</v>
      </c>
      <c r="BQ6" s="14">
        <f>DATE(YEAR(BP6)+2,MONTH(BP6),DAY(BP6))</f>
        <v>46571</v>
      </c>
      <c r="BR6" s="65">
        <f t="shared" ca="1" si="23"/>
        <v>440</v>
      </c>
      <c r="BS6" s="15" t="str">
        <f t="shared" ca="1" si="24"/>
        <v>VIGENTE</v>
      </c>
      <c r="BT6" s="14">
        <v>45183</v>
      </c>
      <c r="BU6" s="14">
        <v>45853</v>
      </c>
      <c r="BV6" s="14">
        <f>DATE(YEAR(BU6)+2,MONTH(BU6),DAY(BU6))</f>
        <v>46583</v>
      </c>
      <c r="BW6" s="65">
        <f t="shared" ca="1" si="25"/>
        <v>452</v>
      </c>
      <c r="BX6" s="15" t="str">
        <f t="shared" ca="1" si="26"/>
        <v>VIGENTE</v>
      </c>
      <c r="BY6" s="13">
        <v>44629</v>
      </c>
      <c r="BZ6" s="14">
        <v>45944</v>
      </c>
      <c r="CA6" s="14">
        <f t="shared" si="139"/>
        <v>46674</v>
      </c>
      <c r="CB6" s="65">
        <f t="shared" ca="1" si="27"/>
        <v>543</v>
      </c>
      <c r="CC6" s="15" t="str">
        <f t="shared" ca="1" si="28"/>
        <v>VIGENTE</v>
      </c>
      <c r="CD6" s="16" t="s">
        <v>108</v>
      </c>
      <c r="CE6" s="14">
        <v>45246</v>
      </c>
      <c r="CF6" s="14">
        <v>45247</v>
      </c>
      <c r="CG6" s="14">
        <f t="shared" si="29"/>
        <v>46708</v>
      </c>
      <c r="CH6" s="65">
        <f t="shared" ca="1" si="30"/>
        <v>577</v>
      </c>
      <c r="CI6" s="15" t="str">
        <f t="shared" ca="1" si="31"/>
        <v>VIGENTE</v>
      </c>
      <c r="CJ6" s="14">
        <v>45166</v>
      </c>
      <c r="CK6" s="14">
        <v>45801</v>
      </c>
      <c r="CL6" s="14">
        <f t="shared" si="125"/>
        <v>46530</v>
      </c>
      <c r="CM6" s="65">
        <f t="shared" ca="1" si="32"/>
        <v>399</v>
      </c>
      <c r="CN6" s="15" t="str">
        <f t="shared" ca="1" si="33"/>
        <v>VIGENTE</v>
      </c>
      <c r="CO6" s="14">
        <v>45188</v>
      </c>
      <c r="CP6" s="14">
        <v>45882</v>
      </c>
      <c r="CQ6" s="14">
        <f>DATE(YEAR(CP6)+2,MONTH(CP6),DAY(CP6))</f>
        <v>46612</v>
      </c>
      <c r="CR6" s="65">
        <f t="shared" ca="1" si="34"/>
        <v>481</v>
      </c>
      <c r="CS6" s="15" t="str">
        <f t="shared" ca="1" si="35"/>
        <v>VIGENTE</v>
      </c>
      <c r="CT6" s="13">
        <v>44970</v>
      </c>
      <c r="CU6" s="14">
        <v>45631</v>
      </c>
      <c r="CV6" s="14">
        <f t="shared" si="126"/>
        <v>46360</v>
      </c>
      <c r="CW6" s="65">
        <f t="shared" ca="1" si="36"/>
        <v>229</v>
      </c>
      <c r="CX6" s="15" t="str">
        <f t="shared" ca="1" si="37"/>
        <v>VIGENTE</v>
      </c>
      <c r="CY6" s="13">
        <v>44991</v>
      </c>
      <c r="CZ6" s="14">
        <v>45661</v>
      </c>
      <c r="DA6" s="14">
        <f t="shared" si="127"/>
        <v>46390</v>
      </c>
      <c r="DB6" s="65">
        <f t="shared" ca="1" si="38"/>
        <v>259</v>
      </c>
      <c r="DC6" s="15" t="str">
        <f t="shared" ca="1" si="39"/>
        <v>VIGENTE</v>
      </c>
      <c r="DD6" s="13">
        <v>45037</v>
      </c>
      <c r="DE6" s="14">
        <v>45689</v>
      </c>
      <c r="DF6" s="14">
        <f>DATE(YEAR(DE6)+2,MONTH(DE6),DAY(DE6)-1)</f>
        <v>46418</v>
      </c>
      <c r="DG6" s="65">
        <f t="shared" ca="1" si="40"/>
        <v>287</v>
      </c>
      <c r="DH6" s="15" t="str">
        <f t="shared" ca="1" si="41"/>
        <v>VIGENTE</v>
      </c>
      <c r="DI6" s="13">
        <v>45065</v>
      </c>
      <c r="DJ6" s="14">
        <v>45696</v>
      </c>
      <c r="DK6" s="14">
        <f t="shared" si="42"/>
        <v>46425</v>
      </c>
      <c r="DL6" s="65">
        <f t="shared" ca="1" si="43"/>
        <v>294</v>
      </c>
      <c r="DM6" s="15" t="str">
        <f t="shared" ca="1" si="44"/>
        <v>VIGENTE</v>
      </c>
      <c r="DN6" s="13">
        <v>44697</v>
      </c>
      <c r="DO6" s="14">
        <v>45982</v>
      </c>
      <c r="DP6" s="14">
        <f t="shared" si="140"/>
        <v>46712</v>
      </c>
      <c r="DQ6" s="65">
        <f t="shared" ca="1" si="46"/>
        <v>581</v>
      </c>
      <c r="DR6" s="15" t="str">
        <f t="shared" ca="1" si="47"/>
        <v>VIGENTE</v>
      </c>
      <c r="DS6" s="14">
        <v>45180</v>
      </c>
      <c r="DT6" s="14">
        <v>45852</v>
      </c>
      <c r="DU6" s="14">
        <f>DATE(YEAR(DT6)+2,MONTH(DT6),DAY(DT6))</f>
        <v>46582</v>
      </c>
      <c r="DV6" s="65">
        <f t="shared" ca="1" si="48"/>
        <v>451</v>
      </c>
      <c r="DW6" s="15" t="str">
        <f t="shared" ca="1" si="49"/>
        <v>VIGENTE</v>
      </c>
      <c r="DX6" s="14">
        <v>45170</v>
      </c>
      <c r="DY6" s="14">
        <v>45847</v>
      </c>
      <c r="DZ6" s="14">
        <f>DATE(YEAR(DY6)+2,MONTH(DY6),DAY(DY6))</f>
        <v>46577</v>
      </c>
      <c r="EA6" s="65">
        <f t="shared" ca="1" si="50"/>
        <v>446</v>
      </c>
      <c r="EB6" s="15" t="str">
        <f t="shared" ca="1" si="51"/>
        <v>VIGENTE</v>
      </c>
      <c r="EC6" s="14">
        <v>45174</v>
      </c>
      <c r="ED6" s="14">
        <v>45829</v>
      </c>
      <c r="EE6" s="14">
        <f>DATE(YEAR(ED6)+2,MONTH(ED6),DAY(ED6))</f>
        <v>46559</v>
      </c>
      <c r="EF6" s="65">
        <f t="shared" ca="1" si="52"/>
        <v>428</v>
      </c>
      <c r="EG6" s="15" t="str">
        <f t="shared" ca="1" si="53"/>
        <v>VIGENTE</v>
      </c>
      <c r="EH6" s="14">
        <v>45184</v>
      </c>
      <c r="EI6" s="14">
        <v>45810</v>
      </c>
      <c r="EJ6" s="14">
        <v>45811</v>
      </c>
      <c r="EK6" s="14">
        <v>45812</v>
      </c>
      <c r="EL6" s="14">
        <f t="shared" si="128"/>
        <v>46177</v>
      </c>
      <c r="EM6" s="65">
        <f t="shared" ca="1" si="54"/>
        <v>46</v>
      </c>
      <c r="EN6" s="15" t="str">
        <f t="shared" ca="1" si="55"/>
        <v>POR VENCER</v>
      </c>
      <c r="EO6" s="14">
        <v>44487</v>
      </c>
      <c r="EP6" s="14">
        <v>45840</v>
      </c>
      <c r="EQ6" s="14">
        <f t="shared" si="141"/>
        <v>46570</v>
      </c>
      <c r="ER6" s="65">
        <f t="shared" ca="1" si="56"/>
        <v>439</v>
      </c>
      <c r="ES6" s="15" t="str">
        <f t="shared" ca="1" si="57"/>
        <v>VIGENTE</v>
      </c>
      <c r="ET6" s="14">
        <v>45147</v>
      </c>
      <c r="EU6" s="14">
        <v>45796</v>
      </c>
      <c r="EV6" s="14">
        <f>DATE(YEAR(EU6)+2,MONTH(EU6),DAY(EU6))</f>
        <v>46526</v>
      </c>
      <c r="EW6" s="65">
        <f t="shared" ca="1" si="58"/>
        <v>395</v>
      </c>
      <c r="EX6" s="15" t="str">
        <f t="shared" ca="1" si="59"/>
        <v>VIGENTE</v>
      </c>
      <c r="EY6" s="13">
        <v>44630</v>
      </c>
      <c r="EZ6" s="14">
        <v>45953</v>
      </c>
      <c r="FA6" s="14">
        <f t="shared" si="142"/>
        <v>46683</v>
      </c>
      <c r="FB6" s="65">
        <f t="shared" ca="1" si="60"/>
        <v>552</v>
      </c>
      <c r="FC6" s="15" t="str">
        <f t="shared" ca="1" si="61"/>
        <v>VIGENTE</v>
      </c>
      <c r="FD6" s="13">
        <v>44629</v>
      </c>
      <c r="FE6" s="14">
        <v>45951</v>
      </c>
      <c r="FF6" s="14">
        <f t="shared" si="143"/>
        <v>46681</v>
      </c>
      <c r="FG6" s="65">
        <f t="shared" ca="1" si="62"/>
        <v>550</v>
      </c>
      <c r="FH6" s="15" t="str">
        <f t="shared" ca="1" si="63"/>
        <v>VIGENTE</v>
      </c>
      <c r="FI6" s="13">
        <v>45282</v>
      </c>
      <c r="FJ6" s="14">
        <v>45932</v>
      </c>
      <c r="FK6" s="14">
        <f t="shared" si="144"/>
        <v>46662</v>
      </c>
      <c r="FL6" s="65">
        <f t="shared" ca="1" si="64"/>
        <v>531</v>
      </c>
      <c r="FM6" s="15" t="str">
        <f t="shared" ca="1" si="65"/>
        <v>VIGENTE</v>
      </c>
      <c r="FN6" s="14">
        <v>45169</v>
      </c>
      <c r="FO6" s="14">
        <v>45784</v>
      </c>
      <c r="FP6" s="14">
        <f>DATE(YEAR(FO6)+2,MONTH(FO6),DAY(FO6))</f>
        <v>46514</v>
      </c>
      <c r="FQ6" s="65">
        <f t="shared" ca="1" si="67"/>
        <v>383</v>
      </c>
      <c r="FR6" s="15" t="str">
        <f t="shared" ca="1" si="68"/>
        <v>VIGENTE</v>
      </c>
      <c r="FS6" s="14">
        <v>45148</v>
      </c>
      <c r="FT6" s="14">
        <v>45782</v>
      </c>
      <c r="FU6" s="14">
        <f>DATE(YEAR(FT6)+2,MONTH(FT6),DAY(FT6))</f>
        <v>46512</v>
      </c>
      <c r="FV6" s="65">
        <f t="shared" ca="1" si="69"/>
        <v>381</v>
      </c>
      <c r="FW6" s="15" t="str">
        <f t="shared" ca="1" si="70"/>
        <v>VIGENTE</v>
      </c>
      <c r="FX6" s="13">
        <v>44630</v>
      </c>
      <c r="FY6" s="14">
        <v>45941</v>
      </c>
      <c r="FZ6" s="14">
        <f t="shared" ref="FZ6:FZ8" si="149">DATE(YEAR(FY6)+2,MONTH(FY6),DAY(FY6))</f>
        <v>46671</v>
      </c>
      <c r="GA6" s="65">
        <f t="shared" ca="1" si="71"/>
        <v>540</v>
      </c>
      <c r="GB6" s="15" t="str">
        <f t="shared" ca="1" si="72"/>
        <v>VIGENTE</v>
      </c>
      <c r="GC6" s="14">
        <v>45173</v>
      </c>
      <c r="GD6" s="14">
        <v>45821</v>
      </c>
      <c r="GE6" s="14">
        <f>DATE(YEAR(GD6)+2,MONTH(GD6),DAY(GD6))</f>
        <v>46551</v>
      </c>
      <c r="GF6" s="65">
        <f t="shared" ca="1" si="73"/>
        <v>420</v>
      </c>
      <c r="GG6" s="15" t="str">
        <f t="shared" ca="1" si="74"/>
        <v>VIGENTE</v>
      </c>
      <c r="GH6" s="14">
        <v>45139</v>
      </c>
      <c r="GI6" s="14">
        <v>45814</v>
      </c>
      <c r="GJ6" s="14">
        <f t="shared" si="145"/>
        <v>46544</v>
      </c>
      <c r="GK6" s="65">
        <f t="shared" ca="1" si="75"/>
        <v>413</v>
      </c>
      <c r="GL6" s="15" t="str">
        <f t="shared" ca="1" si="76"/>
        <v>VIGENTE</v>
      </c>
      <c r="GM6" s="13">
        <v>45275</v>
      </c>
      <c r="GN6" s="14">
        <v>45958</v>
      </c>
      <c r="GO6" s="14">
        <f t="shared" si="146"/>
        <v>46688</v>
      </c>
      <c r="GP6" s="65">
        <f t="shared" ca="1" si="77"/>
        <v>557</v>
      </c>
      <c r="GQ6" s="15" t="str">
        <f t="shared" ca="1" si="78"/>
        <v>VIGENTE</v>
      </c>
      <c r="GR6" s="14">
        <v>44758</v>
      </c>
      <c r="GS6" s="14">
        <v>45459</v>
      </c>
      <c r="GT6" s="14">
        <f t="shared" si="79"/>
        <v>47285</v>
      </c>
      <c r="GU6" s="65">
        <f t="shared" ca="1" si="80"/>
        <v>1154</v>
      </c>
      <c r="GV6" s="15" t="str">
        <f t="shared" ca="1" si="81"/>
        <v>VIGENTE</v>
      </c>
      <c r="GW6" s="13">
        <v>44758</v>
      </c>
      <c r="GX6" s="14">
        <v>45464</v>
      </c>
      <c r="GY6" s="14">
        <f t="shared" si="82"/>
        <v>47290</v>
      </c>
      <c r="GZ6" s="65">
        <f t="shared" ca="1" si="83"/>
        <v>1159</v>
      </c>
      <c r="HA6" s="15" t="str">
        <f t="shared" ca="1" si="84"/>
        <v>VIGENTE</v>
      </c>
      <c r="HB6" s="13">
        <v>44757</v>
      </c>
      <c r="HC6" s="14">
        <v>45454</v>
      </c>
      <c r="HD6" s="14">
        <f t="shared" si="85"/>
        <v>47280</v>
      </c>
      <c r="HE6" s="65">
        <f t="shared" ca="1" si="86"/>
        <v>1149</v>
      </c>
      <c r="HF6" s="15" t="str">
        <f t="shared" ca="1" si="87"/>
        <v>VIGENTE</v>
      </c>
      <c r="HG6" s="16"/>
      <c r="HH6" s="14">
        <v>44956</v>
      </c>
      <c r="HI6" s="14">
        <f t="shared" si="88"/>
        <v>46782</v>
      </c>
      <c r="HJ6" s="65">
        <f t="shared" ca="1" si="89"/>
        <v>651</v>
      </c>
      <c r="HK6" s="15" t="str">
        <f t="shared" ca="1" si="90"/>
        <v>VIGENTE</v>
      </c>
      <c r="HL6" s="13">
        <v>44635</v>
      </c>
      <c r="HM6" s="14">
        <v>45368</v>
      </c>
      <c r="HN6" s="14">
        <f>DATE(YEAR(HM6)+5,MONTH(HM6),DAY(HM6))</f>
        <v>47194</v>
      </c>
      <c r="HO6" s="65">
        <f ca="1">HN6-TODAY()</f>
        <v>1063</v>
      </c>
      <c r="HP6" s="15" t="str">
        <f ca="1">IF(HO6&gt;=61,"VIGENTE",IF(HO6&gt;=1,"POR VENCER",IF(HO6&lt;=-1,"VENCIDA",IF(HM6=0,"NO APLICA"))))</f>
        <v>VIGENTE</v>
      </c>
      <c r="HQ6" s="12"/>
      <c r="HR6" s="15"/>
      <c r="HS6" s="15"/>
      <c r="HT6" s="15"/>
      <c r="HU6" s="15" t="str">
        <f t="shared" si="92"/>
        <v>NO APLICA</v>
      </c>
      <c r="HV6" s="13">
        <v>44560</v>
      </c>
      <c r="HW6" s="14">
        <v>45274</v>
      </c>
      <c r="HX6" s="14">
        <f>DATE(YEAR(HW6)+5,MONTH(HW6),DAY(HW6))</f>
        <v>47101</v>
      </c>
      <c r="HY6" s="65">
        <f ca="1">HX6-TODAY()</f>
        <v>970</v>
      </c>
      <c r="HZ6" s="15" t="str">
        <f ca="1">IF(HY6&gt;=61,"VIGENTE",IF(HY6&gt;=1,"POR VENCER",IF(HY6&lt;=-1,"VENCIDA",IF(HW6=0,"NO APLICA"))))</f>
        <v>VIGENTE</v>
      </c>
      <c r="IA6" s="13">
        <v>44557</v>
      </c>
      <c r="IB6" s="14">
        <v>45223</v>
      </c>
      <c r="IC6" s="14">
        <f>DATE(YEAR(IB6)+5,MONTH(IB6),DAY(IB6))</f>
        <v>47050</v>
      </c>
      <c r="ID6" s="65">
        <f ca="1">IC6-TODAY()</f>
        <v>919</v>
      </c>
      <c r="IE6" s="15" t="str">
        <f ca="1">IF(ID6&gt;=61,"VIGENTE",IF(ID6&gt;=1,"POR VENCER",IF(ID6&lt;=-1,"VENCIDA",IF(IB6=0,"NO APLICA"))))</f>
        <v>VIGENTE</v>
      </c>
      <c r="IF6" s="13">
        <v>44558</v>
      </c>
      <c r="IG6" s="14">
        <v>45264</v>
      </c>
      <c r="IH6" s="14">
        <f>DATE(YEAR(IG6)+5,MONTH(IG6),DAY(IG6))</f>
        <v>47091</v>
      </c>
      <c r="II6" s="65">
        <f ca="1">IH6-TODAY()</f>
        <v>960</v>
      </c>
      <c r="IJ6" s="15" t="str">
        <f ca="1">IF(II6&gt;=61,"VIGENTE",IF(II6&gt;=1,"POR VENCER",IF(II6&lt;=-1,"VENCIDA",IF(IG6=0,"NO APLICA"))))</f>
        <v>VIGENTE</v>
      </c>
      <c r="IK6" s="14">
        <v>44559</v>
      </c>
      <c r="IL6" s="14">
        <v>45262</v>
      </c>
      <c r="IM6" s="14">
        <f>DATE(YEAR(IL6)+5,MONTH(IL6),DAY(IL6))</f>
        <v>47089</v>
      </c>
      <c r="IN6" s="65">
        <f ca="1">IM6-TODAY()</f>
        <v>958</v>
      </c>
      <c r="IO6" s="15" t="str">
        <f ca="1">IF(IN6&gt;=61,"VIGENTE",IF(IN6&gt;=1,"POR VENCER",IF(IN6&lt;=-1,"VENCIDA",IF(IL6=0,"NO APLICA"))))</f>
        <v>VIGENTE</v>
      </c>
      <c r="IP6" s="13">
        <v>44559</v>
      </c>
      <c r="IQ6" s="14">
        <v>45273</v>
      </c>
      <c r="IR6" s="14">
        <f>DATE(YEAR(IQ6)+5,MONTH(IQ6),DAY(IQ6))</f>
        <v>47100</v>
      </c>
      <c r="IS6" s="65">
        <f ca="1">IR6-TODAY()</f>
        <v>969</v>
      </c>
      <c r="IT6" s="15" t="str">
        <f ca="1">IF(IS6&gt;=61,"VIGENTE",IF(IS6&gt;=1,"POR VENCER",IF(IS6&lt;=-1,"VENCIDA",IF(IQ6=0,"NO APLICA"))))</f>
        <v>VIGENTE</v>
      </c>
      <c r="IU6" s="13">
        <v>44558</v>
      </c>
      <c r="IV6" s="14">
        <v>45240</v>
      </c>
      <c r="IW6" s="14">
        <f>DATE(YEAR(IV6)+5,MONTH(IV6),DAY(IV6))</f>
        <v>47067</v>
      </c>
      <c r="IX6" s="65">
        <f ca="1">IW6-TODAY()</f>
        <v>936</v>
      </c>
      <c r="IY6" s="15" t="str">
        <f ca="1">IF(IX6&gt;=61,"VIGENTE",IF(IX6&gt;=1,"POR VENCER",IF(IX6&lt;=-1,"VENCIDA",IF(IV6=0,"NO APLICA"))))</f>
        <v>VIGENTE</v>
      </c>
      <c r="IZ6" s="13">
        <v>44557</v>
      </c>
      <c r="JA6" s="14">
        <v>45261</v>
      </c>
      <c r="JB6" s="14">
        <f>DATE(YEAR(JA6)+5,MONTH(JA6),DAY(JA6))</f>
        <v>47088</v>
      </c>
      <c r="JC6" s="65">
        <f ca="1">JB6-TODAY()</f>
        <v>957</v>
      </c>
      <c r="JD6" s="15" t="str">
        <f ca="1">IF(JC6&gt;=61,"VIGENTE",IF(JC6&gt;=1,"POR VENCER",IF(JC6&lt;=-1,"VENCIDA",IF(JA6=0,"NO APLICA"))))</f>
        <v>VIGENTE</v>
      </c>
      <c r="JE6" s="13"/>
      <c r="JF6" s="13"/>
      <c r="JG6" s="14"/>
      <c r="JH6" s="65"/>
      <c r="JI6" s="15" t="str">
        <f t="shared" si="100"/>
        <v>NO APLICA</v>
      </c>
      <c r="JJ6" s="16"/>
      <c r="JK6" s="16"/>
      <c r="JL6" s="16"/>
      <c r="JM6" s="15" t="str">
        <f t="shared" si="101"/>
        <v>NO APLICA</v>
      </c>
      <c r="JN6" s="16"/>
      <c r="JO6" s="16"/>
      <c r="JP6" s="16"/>
      <c r="JQ6" s="15" t="str">
        <f t="shared" si="102"/>
        <v>NO APLICA</v>
      </c>
      <c r="JR6" s="16"/>
      <c r="JS6" s="16"/>
      <c r="JT6" s="16"/>
      <c r="JU6" s="16"/>
      <c r="JV6" s="15" t="str">
        <f t="shared" si="103"/>
        <v>NO APLICA</v>
      </c>
      <c r="JW6" s="15"/>
      <c r="JX6" s="13">
        <v>45948</v>
      </c>
      <c r="JY6" s="14">
        <f>DATE(YEAR(JX6)+2,MONTH(JX6),DAY(JX6))</f>
        <v>46678</v>
      </c>
      <c r="JZ6" s="65">
        <f ca="1">JY6-TODAY()</f>
        <v>547</v>
      </c>
      <c r="KA6" s="15" t="str">
        <f ca="1">IF(JZ6&gt;=61,"VIGENTE",IF(JZ6&gt;=1,"POR VENCER",IF(JZ6&lt;=-1,"VENCIDA",IF(JX6=0,"NO APLICA"))))</f>
        <v>VIGENTE</v>
      </c>
      <c r="KB6" s="15"/>
      <c r="KC6" s="14"/>
      <c r="KD6" s="65"/>
      <c r="KE6" s="15" t="str">
        <f t="shared" si="105"/>
        <v>NO APLICA</v>
      </c>
      <c r="KF6" s="15"/>
      <c r="KG6" s="14"/>
      <c r="KH6" s="65"/>
      <c r="KI6" s="15" t="str">
        <f t="shared" si="132"/>
        <v>NO APLICA</v>
      </c>
      <c r="KJ6" s="13">
        <v>45364</v>
      </c>
      <c r="KK6" s="14">
        <f>DATE(YEAR(KJ6)+5,MONTH(KJ6),DAY(KJ6))</f>
        <v>47190</v>
      </c>
      <c r="KL6" s="65">
        <f ca="1">KK6-TODAY()</f>
        <v>1059</v>
      </c>
      <c r="KM6" s="15" t="str">
        <f ca="1">IF(KL6&gt;=61,"VIGENTE",IF(KL6&gt;=1,"POR VENCER",IF(KL6&lt;=-1,"VENCIDA",IF(KJ6=0,"NO APLICA"))))</f>
        <v>VIGENTE</v>
      </c>
      <c r="KN6" s="12"/>
      <c r="KO6" s="14"/>
      <c r="KP6" s="65"/>
      <c r="KQ6" s="15" t="str">
        <f t="shared" si="133"/>
        <v>NO APLICA</v>
      </c>
      <c r="KR6" s="12"/>
      <c r="KS6" s="16"/>
      <c r="KT6" s="14"/>
      <c r="KU6" s="65"/>
      <c r="KV6" s="15" t="str">
        <f t="shared" si="147"/>
        <v>NO APLICA</v>
      </c>
      <c r="KW6" s="14">
        <v>44545</v>
      </c>
      <c r="KX6" s="14">
        <f>DATE(YEAR(KW6)+5,MONTH(KW6),DAY(KW6))</f>
        <v>46371</v>
      </c>
      <c r="KY6" s="65">
        <f ca="1">KX6-TODAY()</f>
        <v>240</v>
      </c>
      <c r="KZ6" s="15" t="str">
        <f ca="1">IF(KY6&gt;=61,"VIGENTE",IF(KY6&gt;=1,"POR VENCER",IF(KY6&lt;=-1,"VENCIDA",IF(KW6=0,"NO APLICA"))))</f>
        <v>VIGENTE</v>
      </c>
      <c r="LA6" s="14">
        <v>44494</v>
      </c>
      <c r="LB6" s="14"/>
      <c r="LC6" s="14"/>
      <c r="LD6" s="65"/>
      <c r="LE6" s="15" t="str">
        <f t="shared" si="107"/>
        <v>NO APLICA</v>
      </c>
      <c r="LF6" s="15"/>
      <c r="LG6" s="15"/>
      <c r="LH6" s="14"/>
      <c r="LI6" s="65"/>
      <c r="LJ6" s="15" t="str">
        <f t="shared" si="148"/>
        <v>NO APLICA</v>
      </c>
      <c r="LK6" s="13">
        <v>44378</v>
      </c>
      <c r="LL6" s="14">
        <v>44379</v>
      </c>
      <c r="LM6" s="14">
        <f>DATE(YEAR(LL6)+5,MONTH(LL6),DAY(LL6))</f>
        <v>46205</v>
      </c>
      <c r="LN6" s="65">
        <f ca="1">LM6-TODAY()</f>
        <v>74</v>
      </c>
      <c r="LO6" s="15" t="str">
        <f ca="1">IF(LN6&gt;=61,"VIGENTE",IF(LN6&gt;=1,"POR VENCER",IF(LN6&lt;=-1,"VENCIDA",IF(LL6=0,"NO APLICA"))))</f>
        <v>VIGENTE</v>
      </c>
      <c r="LP6" s="16"/>
      <c r="LQ6" s="16"/>
      <c r="LR6" s="14"/>
      <c r="LS6" s="65"/>
      <c r="LT6" s="15" t="str">
        <f t="shared" si="136"/>
        <v>NO APLICA</v>
      </c>
      <c r="LU6" s="16"/>
      <c r="LV6" s="16"/>
      <c r="LW6" s="14"/>
      <c r="LX6" s="65"/>
      <c r="LY6" s="15" t="str">
        <f t="shared" si="137"/>
        <v>NO APLICA</v>
      </c>
      <c r="LZ6" s="15"/>
      <c r="MA6" s="15"/>
      <c r="MB6" s="14"/>
      <c r="MC6" s="65"/>
      <c r="MD6" s="15" t="str">
        <f t="shared" si="108"/>
        <v>NO APLICA</v>
      </c>
      <c r="ME6" s="15"/>
      <c r="MF6" s="15"/>
      <c r="MG6" s="14"/>
      <c r="MH6" s="65"/>
      <c r="MI6" s="15" t="str">
        <f t="shared" si="109"/>
        <v>NO APLICA</v>
      </c>
      <c r="MJ6" s="15"/>
      <c r="MK6" s="14"/>
      <c r="ML6" s="65"/>
      <c r="MM6" s="15" t="str">
        <f t="shared" si="110"/>
        <v>NO APLICA</v>
      </c>
      <c r="MN6" s="15"/>
      <c r="MO6" s="14"/>
      <c r="MP6" s="15"/>
      <c r="MQ6" s="15" t="str">
        <f t="shared" si="111"/>
        <v>NO APLICA</v>
      </c>
      <c r="MR6" s="15"/>
      <c r="MS6" s="16"/>
      <c r="MT6" s="14"/>
      <c r="MU6" s="65"/>
      <c r="MV6" s="15" t="str">
        <f t="shared" si="112"/>
        <v>NO APLICA</v>
      </c>
      <c r="MW6" s="15"/>
      <c r="MX6" s="16"/>
      <c r="MY6" s="14"/>
      <c r="MZ6" s="65"/>
      <c r="NA6" s="15" t="str">
        <f t="shared" si="113"/>
        <v>NO APLICA</v>
      </c>
      <c r="NB6" s="15"/>
      <c r="NC6" s="16"/>
      <c r="ND6" s="14"/>
      <c r="NE6" s="65"/>
      <c r="NF6" s="15" t="str">
        <f t="shared" si="114"/>
        <v>NO APLICA</v>
      </c>
      <c r="NG6" s="15"/>
      <c r="NH6" s="15"/>
      <c r="NI6" s="14"/>
      <c r="NJ6" s="65"/>
      <c r="NK6" s="15" t="str">
        <f t="shared" si="115"/>
        <v>NO APLICA</v>
      </c>
      <c r="NL6" s="15"/>
      <c r="NM6" s="15"/>
      <c r="NN6" s="15"/>
      <c r="NO6" s="15"/>
      <c r="NP6" s="15" t="str">
        <f t="shared" si="116"/>
        <v>NO APLICA</v>
      </c>
      <c r="NQ6" s="16"/>
      <c r="NR6" s="16"/>
      <c r="NS6" s="16"/>
      <c r="NT6" s="16"/>
      <c r="NU6" s="15" t="str">
        <f t="shared" si="117"/>
        <v>NO APLICA</v>
      </c>
      <c r="NV6" s="16"/>
      <c r="NW6" s="16"/>
      <c r="NX6" s="16"/>
      <c r="NY6" s="16"/>
      <c r="NZ6" s="15" t="str">
        <f t="shared" si="118"/>
        <v>NO APLICA</v>
      </c>
    </row>
    <row r="7" spans="1:390" ht="15.6" thickTop="1" thickBot="1" x14ac:dyDescent="0.35">
      <c r="A7" s="9">
        <v>1581</v>
      </c>
      <c r="B7" s="10" t="s">
        <v>117</v>
      </c>
      <c r="C7" s="21" t="s">
        <v>98</v>
      </c>
      <c r="D7" s="64" t="s">
        <v>118</v>
      </c>
      <c r="E7" s="15"/>
      <c r="F7" s="16"/>
      <c r="G7" s="14"/>
      <c r="H7" s="65"/>
      <c r="I7" s="15" t="str">
        <f t="shared" si="0"/>
        <v>NO APLICA</v>
      </c>
      <c r="J7" s="13"/>
      <c r="K7" s="14"/>
      <c r="L7" s="16"/>
      <c r="M7" s="65"/>
      <c r="N7" s="15" t="str">
        <f t="shared" si="1"/>
        <v>NO APLICA</v>
      </c>
      <c r="O7" s="14">
        <v>45582</v>
      </c>
      <c r="P7" s="14">
        <v>45583</v>
      </c>
      <c r="Q7" s="14">
        <f>DATE(YEAR(P7)+2,MONTH(P7),DAY(P7)-1)</f>
        <v>46312</v>
      </c>
      <c r="R7" s="65">
        <f ca="1">Q7-TODAY()</f>
        <v>181</v>
      </c>
      <c r="S7" s="15" t="str">
        <f ca="1">IF(R7&gt;=61,"VIGENTE",IF(R7&gt;=1,"POR VENCER",IF(R7&lt;=-1,"VENCIDA",IF(R7=0,"NO APLICA"))))</f>
        <v>VIGENTE</v>
      </c>
      <c r="T7" s="12" t="s">
        <v>119</v>
      </c>
      <c r="U7" s="13">
        <v>46068</v>
      </c>
      <c r="V7" s="14">
        <v>46069</v>
      </c>
      <c r="W7" s="14">
        <f t="shared" si="2"/>
        <v>47895</v>
      </c>
      <c r="X7" s="65">
        <f t="shared" ca="1" si="3"/>
        <v>1764</v>
      </c>
      <c r="Y7" s="15" t="str">
        <f t="shared" ca="1" si="4"/>
        <v>VIGENTE</v>
      </c>
      <c r="Z7" s="12" t="s">
        <v>120</v>
      </c>
      <c r="AA7" s="13">
        <v>45189</v>
      </c>
      <c r="AB7" s="14">
        <v>45190</v>
      </c>
      <c r="AC7" s="14">
        <f t="shared" si="5"/>
        <v>47017</v>
      </c>
      <c r="AD7" s="65">
        <f t="shared" ca="1" si="6"/>
        <v>886</v>
      </c>
      <c r="AE7" s="15" t="str">
        <f t="shared" ca="1" si="7"/>
        <v>VIGENTE</v>
      </c>
      <c r="AF7" s="13">
        <v>44607</v>
      </c>
      <c r="AG7" s="14">
        <v>45936</v>
      </c>
      <c r="AH7" s="14">
        <f>DATE(YEAR(AG7)+2,MONTH(AG7),DAY(AG7))</f>
        <v>46666</v>
      </c>
      <c r="AI7" s="65">
        <f t="shared" ca="1" si="8"/>
        <v>535</v>
      </c>
      <c r="AJ7" s="15" t="str">
        <f t="shared" ca="1" si="9"/>
        <v>VIGENTE</v>
      </c>
      <c r="AK7" s="13">
        <v>44606</v>
      </c>
      <c r="AL7" s="14">
        <v>45937</v>
      </c>
      <c r="AM7" s="14">
        <f t="shared" si="121"/>
        <v>46667</v>
      </c>
      <c r="AN7" s="65">
        <f t="shared" ca="1" si="10"/>
        <v>536</v>
      </c>
      <c r="AO7" s="15" t="str">
        <f t="shared" ca="1" si="11"/>
        <v>VIGENTE</v>
      </c>
      <c r="AP7" s="13">
        <v>45326</v>
      </c>
      <c r="AQ7" s="14">
        <v>45989</v>
      </c>
      <c r="AR7" s="14">
        <f t="shared" si="122"/>
        <v>46719</v>
      </c>
      <c r="AS7" s="65">
        <f t="shared" ca="1" si="12"/>
        <v>588</v>
      </c>
      <c r="AT7" s="15" t="str">
        <f t="shared" ca="1" si="13"/>
        <v>VIGENTE</v>
      </c>
      <c r="AU7" s="13">
        <v>44680</v>
      </c>
      <c r="AV7" s="14">
        <v>45990</v>
      </c>
      <c r="AW7" s="14">
        <f t="shared" si="14"/>
        <v>46720</v>
      </c>
      <c r="AX7" s="65">
        <f t="shared" ca="1" si="15"/>
        <v>589</v>
      </c>
      <c r="AY7" s="15" t="str">
        <f t="shared" ca="1" si="16"/>
        <v>VIGENTE</v>
      </c>
      <c r="AZ7" s="13">
        <v>44930</v>
      </c>
      <c r="BA7" s="14">
        <v>45603</v>
      </c>
      <c r="BB7" s="14">
        <f t="shared" ref="BB7:BB9" si="150">DATE(YEAR(BA7)+2,MONTH(BA7),DAY(BA7)-1)</f>
        <v>46332</v>
      </c>
      <c r="BC7" s="65">
        <f t="shared" ca="1" si="17"/>
        <v>201</v>
      </c>
      <c r="BD7" s="15" t="str">
        <f t="shared" ca="1" si="18"/>
        <v>VIGENTE</v>
      </c>
      <c r="BE7" s="13">
        <v>45052</v>
      </c>
      <c r="BF7" s="14">
        <v>45698</v>
      </c>
      <c r="BG7" s="14">
        <f t="shared" ref="BG7:BG9" si="151">DATE(YEAR(BF7)+2,MONTH(BF7),DAY(BF7)-1)</f>
        <v>46427</v>
      </c>
      <c r="BH7" s="65">
        <f t="shared" ca="1" si="19"/>
        <v>296</v>
      </c>
      <c r="BI7" s="15" t="str">
        <f t="shared" ca="1" si="20"/>
        <v>VIGENTE</v>
      </c>
      <c r="BJ7" s="13">
        <v>44937</v>
      </c>
      <c r="BK7" s="14">
        <v>45600</v>
      </c>
      <c r="BL7" s="14">
        <f t="shared" ref="BL7:BL9" si="152">DATE(YEAR(BK7)+2,MONTH(BK7),DAY(BK7)-1)</f>
        <v>46329</v>
      </c>
      <c r="BM7" s="65">
        <f t="shared" ca="1" si="21"/>
        <v>198</v>
      </c>
      <c r="BN7" s="15" t="str">
        <f t="shared" ca="1" si="22"/>
        <v>VIGENTE</v>
      </c>
      <c r="BO7" s="13">
        <v>45073</v>
      </c>
      <c r="BP7" s="14">
        <v>45701</v>
      </c>
      <c r="BQ7" s="14">
        <f t="shared" ref="BQ7:BQ9" si="153">DATE(YEAR(BP7)+2,MONTH(BP7),DAY(BP7)-1)</f>
        <v>46430</v>
      </c>
      <c r="BR7" s="65">
        <f t="shared" ca="1" si="23"/>
        <v>299</v>
      </c>
      <c r="BS7" s="15" t="str">
        <f t="shared" ca="1" si="24"/>
        <v>VIGENTE</v>
      </c>
      <c r="BT7" s="13">
        <v>44963</v>
      </c>
      <c r="BU7" s="14">
        <v>45568</v>
      </c>
      <c r="BV7" s="14">
        <f t="shared" ref="BV7:BV9" si="154">DATE(YEAR(BU7)+2,MONTH(BU7),DAY(BU7)-1)</f>
        <v>46297</v>
      </c>
      <c r="BW7" s="65">
        <f t="shared" ca="1" si="25"/>
        <v>166</v>
      </c>
      <c r="BX7" s="15" t="str">
        <f t="shared" ca="1" si="26"/>
        <v>VIGENTE</v>
      </c>
      <c r="BY7" s="13">
        <v>44606</v>
      </c>
      <c r="BZ7" s="14">
        <v>45911</v>
      </c>
      <c r="CA7" s="14">
        <f t="shared" si="139"/>
        <v>46641</v>
      </c>
      <c r="CB7" s="65">
        <f t="shared" ca="1" si="27"/>
        <v>510</v>
      </c>
      <c r="CC7" s="15" t="str">
        <f t="shared" ca="1" si="28"/>
        <v>VIGENTE</v>
      </c>
      <c r="CD7" s="16" t="s">
        <v>102</v>
      </c>
      <c r="CE7" s="14">
        <v>45722</v>
      </c>
      <c r="CF7" s="14">
        <v>45723</v>
      </c>
      <c r="CG7" s="14">
        <f t="shared" si="29"/>
        <v>47184</v>
      </c>
      <c r="CH7" s="65">
        <f t="shared" ca="1" si="30"/>
        <v>1053</v>
      </c>
      <c r="CI7" s="15" t="str">
        <f t="shared" ca="1" si="31"/>
        <v>VIGENTE</v>
      </c>
      <c r="CJ7" s="14">
        <v>44964</v>
      </c>
      <c r="CK7" s="14">
        <v>45601</v>
      </c>
      <c r="CL7" s="14">
        <f t="shared" si="125"/>
        <v>46330</v>
      </c>
      <c r="CM7" s="65">
        <f t="shared" ca="1" si="32"/>
        <v>199</v>
      </c>
      <c r="CN7" s="15" t="str">
        <f t="shared" ca="1" si="33"/>
        <v>VIGENTE</v>
      </c>
      <c r="CO7" s="13">
        <v>45050</v>
      </c>
      <c r="CP7" s="14">
        <v>45684</v>
      </c>
      <c r="CQ7" s="14">
        <f t="shared" ref="CQ7:CQ9" si="155">DATE(YEAR(CP7)+2,MONTH(CP7),DAY(CP7)-1)</f>
        <v>46413</v>
      </c>
      <c r="CR7" s="65">
        <f t="shared" ca="1" si="34"/>
        <v>282</v>
      </c>
      <c r="CS7" s="15" t="str">
        <f t="shared" ca="1" si="35"/>
        <v>VIGENTE</v>
      </c>
      <c r="CT7" s="13">
        <v>44679</v>
      </c>
      <c r="CU7" s="14">
        <v>45905</v>
      </c>
      <c r="CV7" s="14">
        <f t="shared" ref="CV7:CV8" si="156">DATE(YEAR(CU7)+2,MONTH(CU7),DAY(CU7))</f>
        <v>46635</v>
      </c>
      <c r="CW7" s="65">
        <f t="shared" ca="1" si="36"/>
        <v>504</v>
      </c>
      <c r="CX7" s="15" t="str">
        <f t="shared" ca="1" si="37"/>
        <v>VIGENTE</v>
      </c>
      <c r="CY7" s="13">
        <v>44681</v>
      </c>
      <c r="CZ7" s="14">
        <v>46000</v>
      </c>
      <c r="DA7" s="14">
        <f t="shared" ref="DA7:DA8" si="157">DATE(YEAR(CZ7)+2,MONTH(CZ7),DAY(CZ7))</f>
        <v>46730</v>
      </c>
      <c r="DB7" s="65">
        <f t="shared" ca="1" si="38"/>
        <v>599</v>
      </c>
      <c r="DC7" s="15" t="str">
        <f t="shared" ca="1" si="39"/>
        <v>VIGENTE</v>
      </c>
      <c r="DD7" s="13">
        <v>45079</v>
      </c>
      <c r="DE7" s="14">
        <v>45761</v>
      </c>
      <c r="DF7" s="14">
        <f>DATE(YEAR(DE7)+2,MONTH(DE7),DAY(DE7))</f>
        <v>46491</v>
      </c>
      <c r="DG7" s="65">
        <f t="shared" ca="1" si="40"/>
        <v>360</v>
      </c>
      <c r="DH7" s="15" t="str">
        <f t="shared" ca="1" si="41"/>
        <v>VIGENTE</v>
      </c>
      <c r="DI7" s="13">
        <v>45312</v>
      </c>
      <c r="DJ7" s="14">
        <v>45975</v>
      </c>
      <c r="DK7" s="14">
        <f t="shared" ref="DK7:DK8" si="158">DATE(YEAR(DJ7)+2,MONTH(DJ7),DAY(DJ7))</f>
        <v>46705</v>
      </c>
      <c r="DL7" s="65">
        <f t="shared" ca="1" si="43"/>
        <v>574</v>
      </c>
      <c r="DM7" s="15" t="str">
        <f t="shared" ca="1" si="44"/>
        <v>VIGENTE</v>
      </c>
      <c r="DN7" s="13">
        <v>44678</v>
      </c>
      <c r="DO7" s="14">
        <v>46008</v>
      </c>
      <c r="DP7" s="14">
        <f t="shared" si="140"/>
        <v>46738</v>
      </c>
      <c r="DQ7" s="65">
        <f t="shared" ca="1" si="46"/>
        <v>607</v>
      </c>
      <c r="DR7" s="15" t="str">
        <f t="shared" ca="1" si="47"/>
        <v>VIGENTE</v>
      </c>
      <c r="DS7" s="13">
        <v>44935</v>
      </c>
      <c r="DT7" s="14">
        <v>45625</v>
      </c>
      <c r="DU7" s="14">
        <f t="shared" ref="DU7:DU9" si="159">DATE(YEAR(DT7)+2,MONTH(DT7),DAY(DT7)-1)</f>
        <v>46354</v>
      </c>
      <c r="DV7" s="65">
        <f t="shared" ca="1" si="48"/>
        <v>223</v>
      </c>
      <c r="DW7" s="15" t="str">
        <f t="shared" ca="1" si="49"/>
        <v>VIGENTE</v>
      </c>
      <c r="DX7" s="13">
        <v>44931</v>
      </c>
      <c r="DY7" s="14">
        <v>45612</v>
      </c>
      <c r="DZ7" s="14">
        <f>DATE(YEAR(DY7)+2,MONTH(DY7),DAY(DY7)-1)</f>
        <v>46341</v>
      </c>
      <c r="EA7" s="65">
        <f t="shared" ca="1" si="50"/>
        <v>210</v>
      </c>
      <c r="EB7" s="15" t="str">
        <f t="shared" ca="1" si="51"/>
        <v>VIGENTE</v>
      </c>
      <c r="EC7" s="13">
        <v>45090</v>
      </c>
      <c r="ED7" s="14">
        <v>45730</v>
      </c>
      <c r="EE7" s="14">
        <f>DATE(YEAR(ED7)+2,MONTH(ED7),DAY(ED7)-1)</f>
        <v>46459</v>
      </c>
      <c r="EF7" s="65">
        <f t="shared" ca="1" si="52"/>
        <v>328</v>
      </c>
      <c r="EG7" s="15" t="str">
        <f t="shared" ca="1" si="53"/>
        <v>VIGENTE</v>
      </c>
      <c r="EH7" s="13">
        <v>44928</v>
      </c>
      <c r="EI7" s="13">
        <v>46105</v>
      </c>
      <c r="EJ7" s="13">
        <v>46106</v>
      </c>
      <c r="EK7" s="13">
        <v>46107</v>
      </c>
      <c r="EL7" s="14">
        <f t="shared" si="128"/>
        <v>46472</v>
      </c>
      <c r="EM7" s="65">
        <f t="shared" ca="1" si="54"/>
        <v>341</v>
      </c>
      <c r="EN7" s="15" t="str">
        <f t="shared" ca="1" si="55"/>
        <v>VIGENTE</v>
      </c>
      <c r="EO7" s="13">
        <v>44942</v>
      </c>
      <c r="EP7" s="14">
        <v>45584</v>
      </c>
      <c r="EQ7" s="14">
        <f t="shared" ref="EQ7:EQ9" si="160">DATE(YEAR(EP7)+2,MONTH(EP7),DAY(EP7)-1)</f>
        <v>46313</v>
      </c>
      <c r="ER7" s="65">
        <f t="shared" ca="1" si="56"/>
        <v>182</v>
      </c>
      <c r="ES7" s="15" t="str">
        <f t="shared" ca="1" si="57"/>
        <v>VIGENTE</v>
      </c>
      <c r="ET7" s="13">
        <v>44929</v>
      </c>
      <c r="EU7" s="14">
        <v>45575</v>
      </c>
      <c r="EV7" s="14">
        <f t="shared" ref="EV7:EV9" si="161">DATE(YEAR(EU7)+2,MONTH(EU7),DAY(EU7)-1)</f>
        <v>46304</v>
      </c>
      <c r="EW7" s="65">
        <f t="shared" ca="1" si="58"/>
        <v>173</v>
      </c>
      <c r="EX7" s="15" t="str">
        <f t="shared" ca="1" si="59"/>
        <v>VIGENTE</v>
      </c>
      <c r="EY7" s="13">
        <v>45294</v>
      </c>
      <c r="EZ7" s="14">
        <v>45917</v>
      </c>
      <c r="FA7" s="14">
        <f t="shared" si="142"/>
        <v>46647</v>
      </c>
      <c r="FB7" s="65">
        <f t="shared" ca="1" si="60"/>
        <v>516</v>
      </c>
      <c r="FC7" s="15" t="str">
        <f t="shared" ca="1" si="61"/>
        <v>VIGENTE</v>
      </c>
      <c r="FD7" s="13">
        <v>44936</v>
      </c>
      <c r="FE7" s="14">
        <v>45638</v>
      </c>
      <c r="FF7" s="14">
        <f>DATE(YEAR(FE7)+2,MONTH(FE7),DAY(FE7)-1)</f>
        <v>46367</v>
      </c>
      <c r="FG7" s="65">
        <f t="shared" ca="1" si="62"/>
        <v>236</v>
      </c>
      <c r="FH7" s="15" t="str">
        <f t="shared" ca="1" si="63"/>
        <v>VIGENTE</v>
      </c>
      <c r="FI7" s="13">
        <v>45248</v>
      </c>
      <c r="FJ7" s="14">
        <v>45919</v>
      </c>
      <c r="FK7" s="14">
        <f t="shared" si="144"/>
        <v>46649</v>
      </c>
      <c r="FL7" s="65">
        <f t="shared" ca="1" si="64"/>
        <v>518</v>
      </c>
      <c r="FM7" s="15" t="str">
        <f t="shared" ca="1" si="65"/>
        <v>VIGENTE</v>
      </c>
      <c r="FN7" s="13">
        <v>44932</v>
      </c>
      <c r="FO7" s="14">
        <v>45588</v>
      </c>
      <c r="FP7" s="14">
        <f t="shared" si="66"/>
        <v>46317</v>
      </c>
      <c r="FQ7" s="65">
        <f t="shared" ca="1" si="67"/>
        <v>186</v>
      </c>
      <c r="FR7" s="15" t="str">
        <f t="shared" ca="1" si="68"/>
        <v>VIGENTE</v>
      </c>
      <c r="FS7" s="13">
        <v>44998</v>
      </c>
      <c r="FT7" s="14">
        <v>45664</v>
      </c>
      <c r="FU7" s="14">
        <f>DATE(YEAR(FT7)+2,MONTH(FT7),DAY(FT7)-1)</f>
        <v>46393</v>
      </c>
      <c r="FV7" s="65">
        <f t="shared" ca="1" si="69"/>
        <v>262</v>
      </c>
      <c r="FW7" s="15" t="str">
        <f t="shared" ca="1" si="70"/>
        <v>VIGENTE</v>
      </c>
      <c r="FX7" s="13">
        <v>44609</v>
      </c>
      <c r="FY7" s="14">
        <v>46014</v>
      </c>
      <c r="FZ7" s="14">
        <f t="shared" si="149"/>
        <v>46744</v>
      </c>
      <c r="GA7" s="65">
        <f t="shared" ca="1" si="71"/>
        <v>613</v>
      </c>
      <c r="GB7" s="15" t="str">
        <f t="shared" ca="1" si="72"/>
        <v>VIGENTE</v>
      </c>
      <c r="GC7" s="13">
        <v>44995</v>
      </c>
      <c r="GD7" s="14">
        <v>45667</v>
      </c>
      <c r="GE7" s="14">
        <f>DATE(YEAR(GD7)+2,MONTH(GD7),DAY(GD7)-1)</f>
        <v>46396</v>
      </c>
      <c r="GF7" s="65">
        <f t="shared" ca="1" si="73"/>
        <v>265</v>
      </c>
      <c r="GG7" s="15" t="str">
        <f t="shared" ca="1" si="74"/>
        <v>VIGENTE</v>
      </c>
      <c r="GH7" s="13">
        <v>45082</v>
      </c>
      <c r="GI7" s="14">
        <v>45731</v>
      </c>
      <c r="GJ7" s="14">
        <f t="shared" si="131"/>
        <v>46460</v>
      </c>
      <c r="GK7" s="65">
        <f t="shared" ca="1" si="75"/>
        <v>329</v>
      </c>
      <c r="GL7" s="15" t="str">
        <f t="shared" ca="1" si="76"/>
        <v>VIGENTE</v>
      </c>
      <c r="GM7" s="13">
        <v>44945</v>
      </c>
      <c r="GN7" s="14">
        <v>45608</v>
      </c>
      <c r="GO7" s="14">
        <f>DATE(YEAR(GN7)+2,MONTH(GN7),DAY(GN7)-1)</f>
        <v>46337</v>
      </c>
      <c r="GP7" s="65">
        <f t="shared" ca="1" si="77"/>
        <v>206</v>
      </c>
      <c r="GQ7" s="15" t="str">
        <f t="shared" ca="1" si="78"/>
        <v>VIGENTE</v>
      </c>
      <c r="GR7" s="14"/>
      <c r="GS7" s="14">
        <v>44952</v>
      </c>
      <c r="GT7" s="14">
        <f t="shared" si="79"/>
        <v>46778</v>
      </c>
      <c r="GU7" s="65">
        <f t="shared" ca="1" si="80"/>
        <v>647</v>
      </c>
      <c r="GV7" s="15" t="str">
        <f t="shared" ca="1" si="81"/>
        <v>VIGENTE</v>
      </c>
      <c r="GW7" s="13"/>
      <c r="GX7" s="14">
        <v>45099</v>
      </c>
      <c r="GY7" s="14">
        <f t="shared" si="82"/>
        <v>46926</v>
      </c>
      <c r="GZ7" s="65">
        <f t="shared" ca="1" si="83"/>
        <v>795</v>
      </c>
      <c r="HA7" s="15" t="str">
        <f t="shared" ca="1" si="84"/>
        <v>VIGENTE</v>
      </c>
      <c r="HB7" s="12"/>
      <c r="HC7" s="14">
        <v>44980</v>
      </c>
      <c r="HD7" s="14">
        <f t="shared" si="85"/>
        <v>46806</v>
      </c>
      <c r="HE7" s="65">
        <f t="shared" ca="1" si="86"/>
        <v>675</v>
      </c>
      <c r="HF7" s="15" t="str">
        <f t="shared" ca="1" si="87"/>
        <v>VIGENTE</v>
      </c>
      <c r="HG7" s="16"/>
      <c r="HH7" s="14">
        <v>44956</v>
      </c>
      <c r="HI7" s="14">
        <f t="shared" si="88"/>
        <v>46782</v>
      </c>
      <c r="HJ7" s="65">
        <f t="shared" ca="1" si="89"/>
        <v>651</v>
      </c>
      <c r="HK7" s="15" t="str">
        <f t="shared" ca="1" si="90"/>
        <v>VIGENTE</v>
      </c>
      <c r="HL7" s="12"/>
      <c r="HM7" s="16"/>
      <c r="HN7" s="14"/>
      <c r="HO7" s="65"/>
      <c r="HP7" s="15" t="str">
        <f t="shared" si="91"/>
        <v>NO APLICA</v>
      </c>
      <c r="HQ7" s="12"/>
      <c r="HR7" s="12"/>
      <c r="HS7" s="14"/>
      <c r="HT7" s="12"/>
      <c r="HU7" s="15" t="str">
        <f t="shared" si="92"/>
        <v>NO APLICA</v>
      </c>
      <c r="HV7" s="12"/>
      <c r="HW7" s="14">
        <v>44939</v>
      </c>
      <c r="HX7" s="14">
        <f>DATE(YEAR(HW7)+5,MONTH(HW7),DAY(HW7))</f>
        <v>46765</v>
      </c>
      <c r="HY7" s="65">
        <f ca="1">HX7-TODAY()</f>
        <v>634</v>
      </c>
      <c r="HZ7" s="15" t="str">
        <f ca="1">IF(HY7&gt;=61,"VIGENTE",IF(HY7&gt;=1,"POR VENCER",IF(HY7&lt;=-1,"VENCIDA",IF(HW7=0,"NO APLICA"))))</f>
        <v>VIGENTE</v>
      </c>
      <c r="IA7" s="12"/>
      <c r="IB7" s="14">
        <v>45092</v>
      </c>
      <c r="IC7" s="14">
        <f>DATE(YEAR(IB7)+5,MONTH(IB7),DAY(IB7))</f>
        <v>46919</v>
      </c>
      <c r="ID7" s="65">
        <f ca="1">IC7-TODAY()</f>
        <v>788</v>
      </c>
      <c r="IE7" s="15" t="str">
        <f ca="1">IF(ID7&gt;=61,"VIGENTE",IF(ID7&gt;=1,"POR VENCER",IF(ID7&lt;=-1,"VENCIDA",IF(IB7=0,"NO APLICA"))))</f>
        <v>VIGENTE</v>
      </c>
      <c r="IF7" s="12"/>
      <c r="IG7" s="14">
        <v>44972</v>
      </c>
      <c r="IH7" s="14">
        <f>DATE(YEAR(IG7)+5,MONTH(IG7),DAY(IG7))</f>
        <v>46798</v>
      </c>
      <c r="II7" s="65">
        <f ca="1">IH7-TODAY()</f>
        <v>667</v>
      </c>
      <c r="IJ7" s="15" t="str">
        <f ca="1">IF(II7&gt;=61,"VIGENTE",IF(II7&gt;=1,"POR VENCER",IF(II7&lt;=-1,"VENCIDA",IF(IG7=0,"NO APLICA"))))</f>
        <v>VIGENTE</v>
      </c>
      <c r="IK7" s="16"/>
      <c r="IL7" s="14">
        <v>45105</v>
      </c>
      <c r="IM7" s="14">
        <f>DATE(YEAR(IL7)+5,MONTH(IL7),DAY(IL7))</f>
        <v>46932</v>
      </c>
      <c r="IN7" s="65">
        <f ca="1">IM7-TODAY()</f>
        <v>801</v>
      </c>
      <c r="IO7" s="15" t="str">
        <f ca="1">IF(IN7&gt;=61,"VIGENTE",IF(IN7&gt;=1,"POR VENCER",IF(IN7&lt;=-1,"VENCIDA",IF(IL7=0,"NO APLICA"))))</f>
        <v>VIGENTE</v>
      </c>
      <c r="IP7" s="12"/>
      <c r="IQ7" s="14">
        <v>45064</v>
      </c>
      <c r="IR7" s="14">
        <f>DATE(YEAR(IQ7)+5,MONTH(IQ7),DAY(IQ7))</f>
        <v>46891</v>
      </c>
      <c r="IS7" s="65">
        <f ca="1">IR7-TODAY()</f>
        <v>760</v>
      </c>
      <c r="IT7" s="15" t="str">
        <f ca="1">IF(IS7&gt;=61,"VIGENTE",IF(IS7&gt;=1,"POR VENCER",IF(IS7&lt;=-1,"VENCIDA",IF(IQ7=0,"NO APLICA"))))</f>
        <v>VIGENTE</v>
      </c>
      <c r="IU7" s="12"/>
      <c r="IV7" s="14">
        <v>45062</v>
      </c>
      <c r="IW7" s="14">
        <f>DATE(YEAR(IV7)+5,MONTH(IV7),DAY(IV7))</f>
        <v>46889</v>
      </c>
      <c r="IX7" s="65">
        <f ca="1">IW7-TODAY()</f>
        <v>758</v>
      </c>
      <c r="IY7" s="15" t="str">
        <f ca="1">IF(IX7&gt;=61,"VIGENTE",IF(IX7&gt;=1,"POR VENCER",IF(IX7&lt;=-1,"VENCIDA",IF(IV7=0,"NO APLICA"))))</f>
        <v>VIGENTE</v>
      </c>
      <c r="IZ7" s="12"/>
      <c r="JA7" s="14">
        <v>45101</v>
      </c>
      <c r="JB7" s="14">
        <f>DATE(YEAR(JA7)+5,MONTH(JA7),DAY(JA7))</f>
        <v>46928</v>
      </c>
      <c r="JC7" s="65">
        <f ca="1">JB7-TODAY()</f>
        <v>797</v>
      </c>
      <c r="JD7" s="15" t="str">
        <f ca="1">IF(JC7&gt;=61,"VIGENTE",IF(JC7&gt;=1,"POR VENCER",IF(JC7&lt;=-1,"VENCIDA",IF(JA7=0,"NO APLICA"))))</f>
        <v>VIGENTE</v>
      </c>
      <c r="JE7" s="13"/>
      <c r="JF7" s="13"/>
      <c r="JG7" s="14"/>
      <c r="JH7" s="65"/>
      <c r="JI7" s="15" t="str">
        <f t="shared" si="100"/>
        <v>NO APLICA</v>
      </c>
      <c r="JJ7" s="16"/>
      <c r="JK7" s="16"/>
      <c r="JL7" s="16"/>
      <c r="JM7" s="15" t="str">
        <f t="shared" si="101"/>
        <v>NO APLICA</v>
      </c>
      <c r="JN7" s="16"/>
      <c r="JO7" s="16"/>
      <c r="JP7" s="16"/>
      <c r="JQ7" s="15" t="str">
        <f t="shared" si="102"/>
        <v>NO APLICA</v>
      </c>
      <c r="JR7" s="16"/>
      <c r="JS7" s="16"/>
      <c r="JT7" s="16"/>
      <c r="JU7" s="16"/>
      <c r="JV7" s="15" t="str">
        <f t="shared" si="103"/>
        <v>NO APLICA</v>
      </c>
      <c r="JW7" s="15"/>
      <c r="JX7" s="15"/>
      <c r="JY7" s="15"/>
      <c r="JZ7" s="15"/>
      <c r="KA7" s="15" t="str">
        <f t="shared" si="104"/>
        <v>NO APLICA</v>
      </c>
      <c r="KB7" s="12"/>
      <c r="KC7" s="14"/>
      <c r="KD7" s="65"/>
      <c r="KE7" s="15" t="str">
        <f t="shared" si="105"/>
        <v>NO APLICA</v>
      </c>
      <c r="KF7" s="12"/>
      <c r="KG7" s="14"/>
      <c r="KH7" s="65"/>
      <c r="KI7" s="15" t="str">
        <f t="shared" si="132"/>
        <v>NO APLICA</v>
      </c>
      <c r="KJ7" s="12"/>
      <c r="KK7" s="14"/>
      <c r="KL7" s="65"/>
      <c r="KM7" s="15" t="str">
        <f t="shared" si="106"/>
        <v>NO APLICA</v>
      </c>
      <c r="KN7" s="13">
        <v>45346</v>
      </c>
      <c r="KO7" s="14">
        <f>DATE(YEAR(KN7)+5,MONTH(KN7),DAY(KN7))</f>
        <v>47173</v>
      </c>
      <c r="KP7" s="65">
        <f ca="1">KO7-TODAY()</f>
        <v>1042</v>
      </c>
      <c r="KQ7" s="15" t="str">
        <f ca="1">IF(KP7&gt;=61,"VIGENTE",IF(KP7&gt;=1,"POR VENCER",IF(KP7&lt;=-1,"VENCIDA",IF(KN7=0,"NO APLICA"))))</f>
        <v>VIGENTE</v>
      </c>
      <c r="KR7" s="13">
        <v>44655</v>
      </c>
      <c r="KS7" s="14">
        <v>44656</v>
      </c>
      <c r="KT7" s="14">
        <f>DATE(YEAR(KS7)+5,MONTH(KS7),DAY(KS7))</f>
        <v>46482</v>
      </c>
      <c r="KU7" s="65">
        <f ca="1">KT7-TODAY()</f>
        <v>351</v>
      </c>
      <c r="KV7" s="15" t="str">
        <f ca="1">IF(KU7&gt;=61,"VIGENTE",IF(KU7&gt;=1,"POR VENCER",IF(KU7&lt;=-1,"VENCIDA",IF(KS7=0,"NO APLICA"))))</f>
        <v>VIGENTE</v>
      </c>
      <c r="KW7" s="14">
        <v>44608</v>
      </c>
      <c r="KX7" s="14">
        <f>DATE(YEAR(KW7)+5,MONTH(KW7),DAY(KW7))</f>
        <v>46434</v>
      </c>
      <c r="KY7" s="65">
        <f ca="1">KX7-TODAY()</f>
        <v>303</v>
      </c>
      <c r="KZ7" s="15" t="str">
        <f ca="1">IF(KY7&gt;=61,"VIGENTE",IF(KY7&gt;=1,"POR VENCER",IF(KY7&lt;=-1,"VENCIDA",IF(KW7=0,"NO APLICA"))))</f>
        <v>VIGENTE</v>
      </c>
      <c r="LA7" s="16"/>
      <c r="LB7" s="16"/>
      <c r="LC7" s="14"/>
      <c r="LD7" s="65"/>
      <c r="LE7" s="15" t="str">
        <f t="shared" si="107"/>
        <v>NO APLICA</v>
      </c>
      <c r="LF7" s="15"/>
      <c r="LG7" s="15"/>
      <c r="LH7" s="15"/>
      <c r="LI7" s="15"/>
      <c r="LJ7" s="15" t="str">
        <f t="shared" si="148"/>
        <v>NO APLICA</v>
      </c>
      <c r="LK7" s="12"/>
      <c r="LL7" s="16"/>
      <c r="LM7" s="14"/>
      <c r="LN7" s="65"/>
      <c r="LO7" s="15" t="str">
        <f t="shared" si="135"/>
        <v>NO APLICA</v>
      </c>
      <c r="LP7" s="16"/>
      <c r="LQ7" s="16"/>
      <c r="LR7" s="14"/>
      <c r="LS7" s="65"/>
      <c r="LT7" s="15" t="str">
        <f t="shared" si="136"/>
        <v>NO APLICA</v>
      </c>
      <c r="LU7" s="16"/>
      <c r="LV7" s="16"/>
      <c r="LW7" s="14"/>
      <c r="LX7" s="65"/>
      <c r="LY7" s="15" t="str">
        <f t="shared" si="137"/>
        <v>NO APLICA</v>
      </c>
      <c r="LZ7" s="13">
        <v>44998</v>
      </c>
      <c r="MA7" s="13">
        <v>44998</v>
      </c>
      <c r="MB7" s="14">
        <f>DATE(YEAR(MA7)+5,MONTH(MA7),DAY(MA7))</f>
        <v>46825</v>
      </c>
      <c r="MC7" s="65">
        <f ca="1">MB7-TODAY()</f>
        <v>694</v>
      </c>
      <c r="MD7" s="15" t="str">
        <f ca="1">IF(MC7&gt;=61,"VIGENTE",IF(MC7&gt;=1,"POR VENCER",IF(MC7&lt;=-1,"VENCIDA",IF(MA7=0,"NO APLICA"))))</f>
        <v>VIGENTE</v>
      </c>
      <c r="ME7" s="12"/>
      <c r="MF7" s="12"/>
      <c r="MG7" s="14"/>
      <c r="MH7" s="65"/>
      <c r="MI7" s="15" t="str">
        <f t="shared" si="109"/>
        <v>NO APLICA</v>
      </c>
      <c r="MJ7" s="12"/>
      <c r="MK7" s="14"/>
      <c r="ML7" s="65"/>
      <c r="MM7" s="15" t="str">
        <f t="shared" si="110"/>
        <v>NO APLICA</v>
      </c>
      <c r="MN7" s="12"/>
      <c r="MO7" s="14"/>
      <c r="MP7" s="12"/>
      <c r="MQ7" s="15" t="str">
        <f t="shared" si="111"/>
        <v>NO APLICA</v>
      </c>
      <c r="MR7" s="12"/>
      <c r="MS7" s="16"/>
      <c r="MT7" s="14"/>
      <c r="MU7" s="65"/>
      <c r="MV7" s="15" t="str">
        <f t="shared" si="112"/>
        <v>NO APLICA</v>
      </c>
      <c r="MW7" s="12"/>
      <c r="MX7" s="16"/>
      <c r="MY7" s="14"/>
      <c r="MZ7" s="65"/>
      <c r="NA7" s="15" t="str">
        <f t="shared" si="113"/>
        <v>NO APLICA</v>
      </c>
      <c r="NB7" s="12"/>
      <c r="NC7" s="16"/>
      <c r="ND7" s="14"/>
      <c r="NE7" s="65"/>
      <c r="NF7" s="15" t="str">
        <f t="shared" si="114"/>
        <v>NO APLICA</v>
      </c>
      <c r="NG7" s="12"/>
      <c r="NH7" s="12"/>
      <c r="NI7" s="14"/>
      <c r="NJ7" s="12"/>
      <c r="NK7" s="15" t="str">
        <f t="shared" si="115"/>
        <v>NO APLICA</v>
      </c>
      <c r="NL7" s="12"/>
      <c r="NM7" s="12"/>
      <c r="NN7" s="14"/>
      <c r="NO7" s="12"/>
      <c r="NP7" s="15" t="str">
        <f t="shared" si="116"/>
        <v>NO APLICA</v>
      </c>
      <c r="NQ7" s="16"/>
      <c r="NR7" s="16"/>
      <c r="NS7" s="14"/>
      <c r="NT7" s="65"/>
      <c r="NU7" s="15" t="str">
        <f t="shared" si="117"/>
        <v>NO APLICA</v>
      </c>
      <c r="NV7" s="16"/>
      <c r="NW7" s="16"/>
      <c r="NX7" s="16"/>
      <c r="NY7" s="16"/>
      <c r="NZ7" s="15" t="str">
        <f t="shared" si="118"/>
        <v>NO APLICA</v>
      </c>
    </row>
    <row r="8" spans="1:390" ht="15.6" thickTop="1" thickBot="1" x14ac:dyDescent="0.35">
      <c r="A8" s="11">
        <v>1704</v>
      </c>
      <c r="B8" s="10" t="s">
        <v>121</v>
      </c>
      <c r="C8" s="21" t="s">
        <v>98</v>
      </c>
      <c r="D8" s="64" t="s">
        <v>118</v>
      </c>
      <c r="E8" s="15"/>
      <c r="F8" s="16"/>
      <c r="G8" s="14"/>
      <c r="H8" s="65"/>
      <c r="I8" s="15" t="str">
        <f t="shared" si="0"/>
        <v>NO APLICA</v>
      </c>
      <c r="J8" s="15"/>
      <c r="K8" s="16"/>
      <c r="L8" s="16"/>
      <c r="M8" s="65"/>
      <c r="N8" s="15" t="str">
        <f t="shared" si="1"/>
        <v>NO APLICA</v>
      </c>
      <c r="O8" s="14">
        <v>45596</v>
      </c>
      <c r="P8" s="14">
        <v>45597</v>
      </c>
      <c r="Q8" s="14">
        <f>DATE(YEAR(P8)+2,MONTH(P8),DAY(P8)-1)</f>
        <v>46326</v>
      </c>
      <c r="R8" s="65">
        <f ca="1">Q8-TODAY()</f>
        <v>195</v>
      </c>
      <c r="S8" s="15" t="str">
        <f ca="1">IF(R8&gt;=61,"VIGENTE",IF(R8&gt;=1,"POR VENCER",IF(R8&lt;=-1,"VENCIDA",IF(R8=0,"NO APLICA"))))</f>
        <v>VIGENTE</v>
      </c>
      <c r="T8" s="12" t="s">
        <v>122</v>
      </c>
      <c r="U8" s="13">
        <v>45215</v>
      </c>
      <c r="V8" s="14">
        <v>45216</v>
      </c>
      <c r="W8" s="14">
        <f t="shared" si="2"/>
        <v>47043</v>
      </c>
      <c r="X8" s="65">
        <f t="shared" ca="1" si="3"/>
        <v>912</v>
      </c>
      <c r="Y8" s="15" t="str">
        <f t="shared" ca="1" si="4"/>
        <v>VIGENTE</v>
      </c>
      <c r="Z8" s="12" t="s">
        <v>123</v>
      </c>
      <c r="AA8" s="13">
        <v>45232</v>
      </c>
      <c r="AB8" s="14">
        <v>45233</v>
      </c>
      <c r="AC8" s="14">
        <f t="shared" si="5"/>
        <v>47060</v>
      </c>
      <c r="AD8" s="65">
        <f t="shared" ca="1" si="6"/>
        <v>929</v>
      </c>
      <c r="AE8" s="15" t="str">
        <f t="shared" ca="1" si="7"/>
        <v>VIGENTE</v>
      </c>
      <c r="AF8" s="12"/>
      <c r="AG8" s="14">
        <v>45936</v>
      </c>
      <c r="AH8" s="14">
        <f t="shared" ref="AH8:AH9" si="162">DATE(YEAR(AG8)+2,MONTH(AG8),DAY(AG8))</f>
        <v>46666</v>
      </c>
      <c r="AI8" s="65">
        <f t="shared" ca="1" si="8"/>
        <v>535</v>
      </c>
      <c r="AJ8" s="15" t="str">
        <f t="shared" ca="1" si="9"/>
        <v>VIGENTE</v>
      </c>
      <c r="AK8" s="12"/>
      <c r="AL8" s="14">
        <v>45937</v>
      </c>
      <c r="AM8" s="14">
        <f t="shared" si="121"/>
        <v>46667</v>
      </c>
      <c r="AN8" s="65">
        <f t="shared" ca="1" si="10"/>
        <v>536</v>
      </c>
      <c r="AO8" s="15" t="str">
        <f t="shared" ca="1" si="11"/>
        <v>VIGENTE</v>
      </c>
      <c r="AP8" s="12"/>
      <c r="AQ8" s="14">
        <v>45904</v>
      </c>
      <c r="AR8" s="14">
        <f t="shared" si="122"/>
        <v>46634</v>
      </c>
      <c r="AS8" s="65">
        <f t="shared" ca="1" si="12"/>
        <v>503</v>
      </c>
      <c r="AT8" s="15" t="str">
        <f t="shared" ca="1" si="13"/>
        <v>VIGENTE</v>
      </c>
      <c r="AU8" s="12"/>
      <c r="AV8" s="14">
        <v>45927</v>
      </c>
      <c r="AW8" s="14">
        <f t="shared" si="14"/>
        <v>46657</v>
      </c>
      <c r="AX8" s="65">
        <f t="shared" ca="1" si="15"/>
        <v>526</v>
      </c>
      <c r="AY8" s="15" t="str">
        <f t="shared" ca="1" si="16"/>
        <v>VIGENTE</v>
      </c>
      <c r="AZ8" s="13">
        <v>45387</v>
      </c>
      <c r="BA8" s="14">
        <v>46041</v>
      </c>
      <c r="BB8" s="14">
        <f>DATE(YEAR(BA8)+2,MONTH(BA8),DAY(BA8))</f>
        <v>46771</v>
      </c>
      <c r="BC8" s="65">
        <f t="shared" ca="1" si="17"/>
        <v>640</v>
      </c>
      <c r="BD8" s="15" t="str">
        <f t="shared" ca="1" si="18"/>
        <v>VIGENTE</v>
      </c>
      <c r="BE8" s="12"/>
      <c r="BF8" s="14">
        <v>45997</v>
      </c>
      <c r="BG8" s="14">
        <f>DATE(YEAR(BF8)+2,MONTH(BF8),DAY(BF8))</f>
        <v>46727</v>
      </c>
      <c r="BH8" s="65">
        <f t="shared" ca="1" si="19"/>
        <v>596</v>
      </c>
      <c r="BI8" s="15" t="str">
        <f t="shared" ca="1" si="20"/>
        <v>VIGENTE</v>
      </c>
      <c r="BJ8" s="13">
        <v>45348</v>
      </c>
      <c r="BK8" s="14">
        <v>46017</v>
      </c>
      <c r="BL8" s="14">
        <f>DATE(YEAR(BK8)+2,MONTH(BK8),DAY(BK8))</f>
        <v>46747</v>
      </c>
      <c r="BM8" s="65">
        <f t="shared" ca="1" si="21"/>
        <v>616</v>
      </c>
      <c r="BN8" s="15" t="str">
        <f t="shared" ca="1" si="22"/>
        <v>VIGENTE</v>
      </c>
      <c r="BO8" s="13">
        <v>45308</v>
      </c>
      <c r="BP8" s="14">
        <v>45981</v>
      </c>
      <c r="BQ8" s="14">
        <f>DATE(YEAR(BP8)+2,MONTH(BP8),DAY(BP8))</f>
        <v>46711</v>
      </c>
      <c r="BR8" s="65">
        <f t="shared" ca="1" si="23"/>
        <v>580</v>
      </c>
      <c r="BS8" s="15" t="str">
        <f t="shared" ca="1" si="24"/>
        <v>VIGENTE</v>
      </c>
      <c r="BT8" s="13">
        <v>45362</v>
      </c>
      <c r="BU8" s="14">
        <v>46031</v>
      </c>
      <c r="BV8" s="14">
        <f>DATE(YEAR(BU8)+2,MONTH(BU8),DAY(BU8))</f>
        <v>46761</v>
      </c>
      <c r="BW8" s="65">
        <f t="shared" ca="1" si="25"/>
        <v>630</v>
      </c>
      <c r="BX8" s="15" t="str">
        <f t="shared" ca="1" si="26"/>
        <v>VIGENTE</v>
      </c>
      <c r="BY8" s="12"/>
      <c r="BZ8" s="14">
        <v>45986</v>
      </c>
      <c r="CA8" s="14">
        <f t="shared" si="139"/>
        <v>46716</v>
      </c>
      <c r="CB8" s="65">
        <f t="shared" ca="1" si="27"/>
        <v>585</v>
      </c>
      <c r="CC8" s="15" t="str">
        <f t="shared" ca="1" si="28"/>
        <v>VIGENTE</v>
      </c>
      <c r="CD8" s="16" t="s">
        <v>108</v>
      </c>
      <c r="CE8" s="14">
        <v>45564</v>
      </c>
      <c r="CF8" s="14">
        <v>45565</v>
      </c>
      <c r="CG8" s="14">
        <f t="shared" si="29"/>
        <v>47026</v>
      </c>
      <c r="CH8" s="65">
        <f t="shared" ca="1" si="30"/>
        <v>895</v>
      </c>
      <c r="CI8" s="15" t="str">
        <f t="shared" ca="1" si="31"/>
        <v>VIGENTE</v>
      </c>
      <c r="CJ8" s="14">
        <v>45353</v>
      </c>
      <c r="CK8" s="14">
        <v>46018</v>
      </c>
      <c r="CL8" s="14">
        <f>DATE(YEAR(CK8)+2,MONTH(CK8),DAY(CK8))</f>
        <v>46748</v>
      </c>
      <c r="CM8" s="65">
        <f t="shared" ca="1" si="32"/>
        <v>617</v>
      </c>
      <c r="CN8" s="15" t="str">
        <f t="shared" ca="1" si="33"/>
        <v>VIGENTE</v>
      </c>
      <c r="CO8" s="14">
        <v>45305</v>
      </c>
      <c r="CP8" s="14">
        <v>45979</v>
      </c>
      <c r="CQ8" s="14">
        <f>DATE(YEAR(CP8)+2,MONTH(CP8),DAY(CP8))</f>
        <v>46709</v>
      </c>
      <c r="CR8" s="65">
        <f t="shared" ca="1" si="34"/>
        <v>578</v>
      </c>
      <c r="CS8" s="15" t="str">
        <f t="shared" ca="1" si="35"/>
        <v>VIGENTE</v>
      </c>
      <c r="CT8" s="12"/>
      <c r="CU8" s="14">
        <v>45905</v>
      </c>
      <c r="CV8" s="14">
        <f t="shared" si="156"/>
        <v>46635</v>
      </c>
      <c r="CW8" s="65">
        <f t="shared" ca="1" si="36"/>
        <v>504</v>
      </c>
      <c r="CX8" s="15" t="str">
        <f t="shared" ca="1" si="37"/>
        <v>VIGENTE</v>
      </c>
      <c r="CY8" s="13"/>
      <c r="CZ8" s="14">
        <v>46000</v>
      </c>
      <c r="DA8" s="14">
        <f t="shared" si="157"/>
        <v>46730</v>
      </c>
      <c r="DB8" s="65">
        <f t="shared" ca="1" si="38"/>
        <v>599</v>
      </c>
      <c r="DC8" s="15" t="str">
        <f t="shared" ca="1" si="39"/>
        <v>VIGENTE</v>
      </c>
      <c r="DD8" s="13">
        <v>45328</v>
      </c>
      <c r="DE8" s="14">
        <v>45996</v>
      </c>
      <c r="DF8" s="14">
        <f>DATE(YEAR(DE8)+2,MONTH(DE8),DAY(DE8))</f>
        <v>46726</v>
      </c>
      <c r="DG8" s="65">
        <f t="shared" ca="1" si="40"/>
        <v>595</v>
      </c>
      <c r="DH8" s="15" t="str">
        <f t="shared" ca="1" si="41"/>
        <v>VIGENTE</v>
      </c>
      <c r="DI8" s="13">
        <v>45312</v>
      </c>
      <c r="DJ8" s="14">
        <v>45975</v>
      </c>
      <c r="DK8" s="14">
        <f t="shared" si="158"/>
        <v>46705</v>
      </c>
      <c r="DL8" s="65">
        <f t="shared" ca="1" si="43"/>
        <v>574</v>
      </c>
      <c r="DM8" s="15" t="str">
        <f t="shared" ca="1" si="44"/>
        <v>VIGENTE</v>
      </c>
      <c r="DN8" s="13">
        <v>45345</v>
      </c>
      <c r="DO8" s="14">
        <v>45982</v>
      </c>
      <c r="DP8" s="14">
        <f t="shared" si="140"/>
        <v>46712</v>
      </c>
      <c r="DQ8" s="65">
        <f t="shared" ca="1" si="46"/>
        <v>581</v>
      </c>
      <c r="DR8" s="15" t="str">
        <f t="shared" ca="1" si="47"/>
        <v>VIGENTE</v>
      </c>
      <c r="DS8" s="13">
        <v>45336</v>
      </c>
      <c r="DT8" s="13">
        <v>46009</v>
      </c>
      <c r="DU8" s="14">
        <f>DATE(YEAR(DT8)+2,MONTH(DT8),DAY(DT8))</f>
        <v>46739</v>
      </c>
      <c r="DV8" s="65">
        <f t="shared" ca="1" si="48"/>
        <v>608</v>
      </c>
      <c r="DW8" s="15" t="str">
        <f t="shared" ca="1" si="49"/>
        <v>VIGENTE</v>
      </c>
      <c r="DX8" s="14">
        <v>45355</v>
      </c>
      <c r="DY8" s="14">
        <v>46032</v>
      </c>
      <c r="DZ8" s="14">
        <f t="shared" ref="DZ8:DZ9" si="163">DATE(YEAR(DY8)+2,MONTH(DY8),DAY(DY8))</f>
        <v>46762</v>
      </c>
      <c r="EA8" s="65">
        <f t="shared" ca="1" si="50"/>
        <v>631</v>
      </c>
      <c r="EB8" s="15" t="str">
        <f t="shared" ca="1" si="51"/>
        <v>VIGENTE</v>
      </c>
      <c r="EC8" s="14">
        <v>45341</v>
      </c>
      <c r="ED8" s="14">
        <v>45994</v>
      </c>
      <c r="EE8" s="14">
        <f t="shared" ref="EE8:EE9" si="164">DATE(YEAR(ED8)+2,MONTH(ED8),DAY(ED8))</f>
        <v>46724</v>
      </c>
      <c r="EF8" s="65">
        <f t="shared" ca="1" si="52"/>
        <v>593</v>
      </c>
      <c r="EG8" s="15" t="str">
        <f t="shared" ca="1" si="53"/>
        <v>VIGENTE</v>
      </c>
      <c r="EH8" s="13"/>
      <c r="EI8" s="13">
        <v>46013</v>
      </c>
      <c r="EJ8" s="13">
        <v>46014</v>
      </c>
      <c r="EK8" s="13">
        <v>46015</v>
      </c>
      <c r="EL8" s="14">
        <f t="shared" si="128"/>
        <v>46380</v>
      </c>
      <c r="EM8" s="65">
        <f t="shared" ca="1" si="54"/>
        <v>249</v>
      </c>
      <c r="EN8" s="15" t="str">
        <f t="shared" ca="1" si="55"/>
        <v>VIGENTE</v>
      </c>
      <c r="EO8" s="13">
        <v>45346</v>
      </c>
      <c r="EP8" s="14">
        <v>45995</v>
      </c>
      <c r="EQ8" s="14">
        <f>DATE(YEAR(EP8)+2,MONTH(EP8),DAY(EP8))</f>
        <v>46725</v>
      </c>
      <c r="ER8" s="65">
        <f t="shared" ca="1" si="56"/>
        <v>594</v>
      </c>
      <c r="ES8" s="15" t="str">
        <f t="shared" ca="1" si="57"/>
        <v>VIGENTE</v>
      </c>
      <c r="ET8" s="12"/>
      <c r="EU8" s="14">
        <v>45999</v>
      </c>
      <c r="EV8" s="14">
        <f>DATE(YEAR(EU8)+2,MONTH(EU8),DAY(EU8))</f>
        <v>46729</v>
      </c>
      <c r="EW8" s="65">
        <f t="shared" ca="1" si="58"/>
        <v>598</v>
      </c>
      <c r="EX8" s="15" t="str">
        <f t="shared" ca="1" si="59"/>
        <v>VIGENTE</v>
      </c>
      <c r="EY8" s="13">
        <v>45360</v>
      </c>
      <c r="EZ8" s="14">
        <v>46037</v>
      </c>
      <c r="FA8" s="14">
        <f t="shared" si="142"/>
        <v>46767</v>
      </c>
      <c r="FB8" s="65">
        <f t="shared" ca="1" si="60"/>
        <v>636</v>
      </c>
      <c r="FC8" s="15" t="str">
        <f t="shared" ca="1" si="61"/>
        <v>VIGENTE</v>
      </c>
      <c r="FD8" s="12"/>
      <c r="FE8" s="14">
        <v>45988</v>
      </c>
      <c r="FF8" s="14">
        <f>DATE(YEAR(FE8)+2,MONTH(FE8),DAY(FE8))</f>
        <v>46718</v>
      </c>
      <c r="FG8" s="65">
        <f t="shared" ca="1" si="62"/>
        <v>587</v>
      </c>
      <c r="FH8" s="15" t="str">
        <f t="shared" ca="1" si="63"/>
        <v>VIGENTE</v>
      </c>
      <c r="FI8" s="13">
        <v>45342</v>
      </c>
      <c r="FJ8" s="14">
        <v>45962</v>
      </c>
      <c r="FK8" s="14">
        <f t="shared" si="144"/>
        <v>46692</v>
      </c>
      <c r="FL8" s="65">
        <f t="shared" ca="1" si="64"/>
        <v>561</v>
      </c>
      <c r="FM8" s="15" t="str">
        <f t="shared" ca="1" si="65"/>
        <v>VIGENTE</v>
      </c>
      <c r="FN8" s="14">
        <v>45359</v>
      </c>
      <c r="FO8" s="14">
        <v>46039</v>
      </c>
      <c r="FP8" s="14">
        <f>DATE(YEAR(FO8)+2,MONTH(FO8),DAY(FO8))</f>
        <v>46769</v>
      </c>
      <c r="FQ8" s="65">
        <f t="shared" ca="1" si="67"/>
        <v>638</v>
      </c>
      <c r="FR8" s="15" t="str">
        <f t="shared" ca="1" si="68"/>
        <v>VIGENTE</v>
      </c>
      <c r="FS8" s="13">
        <v>45358</v>
      </c>
      <c r="FT8" s="14">
        <v>46034</v>
      </c>
      <c r="FU8" s="14">
        <f t="shared" ref="FU8:FU9" si="165">DATE(YEAR(FT8)+2,MONTH(FT8),DAY(FT8))</f>
        <v>46764</v>
      </c>
      <c r="FV8" s="65">
        <f t="shared" ca="1" si="69"/>
        <v>633</v>
      </c>
      <c r="FW8" s="15" t="str">
        <f t="shared" ca="1" si="70"/>
        <v>VIGENTE</v>
      </c>
      <c r="FX8" s="14">
        <v>45324</v>
      </c>
      <c r="FY8" s="14">
        <v>46004</v>
      </c>
      <c r="FZ8" s="14">
        <f t="shared" si="149"/>
        <v>46734</v>
      </c>
      <c r="GA8" s="65">
        <f t="shared" ca="1" si="71"/>
        <v>603</v>
      </c>
      <c r="GB8" s="15" t="str">
        <f t="shared" ca="1" si="72"/>
        <v>VIGENTE</v>
      </c>
      <c r="GC8" s="13"/>
      <c r="GD8" s="14">
        <v>45925</v>
      </c>
      <c r="GE8" s="14">
        <f t="shared" ref="GE8:GE9" si="166">DATE(YEAR(GD8)+2,MONTH(GD8),DAY(GD8))</f>
        <v>46655</v>
      </c>
      <c r="GF8" s="65">
        <f t="shared" ca="1" si="73"/>
        <v>524</v>
      </c>
      <c r="GG8" s="15" t="str">
        <f t="shared" ca="1" si="74"/>
        <v>VIGENTE</v>
      </c>
      <c r="GH8" s="13">
        <v>45332</v>
      </c>
      <c r="GI8" s="14">
        <v>45960</v>
      </c>
      <c r="GJ8" s="14">
        <f t="shared" ref="GJ8:GJ9" si="167">DATE(YEAR(GI8)+2,MONTH(GI8),DAY(GI8))</f>
        <v>46690</v>
      </c>
      <c r="GK8" s="65">
        <f t="shared" ca="1" si="75"/>
        <v>559</v>
      </c>
      <c r="GL8" s="15" t="str">
        <f t="shared" ca="1" si="76"/>
        <v>VIGENTE</v>
      </c>
      <c r="GM8" s="13"/>
      <c r="GN8" s="14">
        <v>45499</v>
      </c>
      <c r="GO8" s="14">
        <f>DATE(YEAR(GN8)+2,MONTH(GN8),DAY(GN8)-1)</f>
        <v>46228</v>
      </c>
      <c r="GP8" s="65">
        <f t="shared" ca="1" si="77"/>
        <v>97</v>
      </c>
      <c r="GQ8" s="15" t="str">
        <f t="shared" ca="1" si="78"/>
        <v>VIGENTE</v>
      </c>
      <c r="GR8" s="14"/>
      <c r="GS8" s="14">
        <v>45299</v>
      </c>
      <c r="GT8" s="14">
        <f t="shared" si="79"/>
        <v>47126</v>
      </c>
      <c r="GU8" s="65">
        <f t="shared" ca="1" si="80"/>
        <v>995</v>
      </c>
      <c r="GV8" s="15" t="str">
        <f t="shared" ca="1" si="81"/>
        <v>VIGENTE</v>
      </c>
      <c r="GW8" s="13"/>
      <c r="GX8" s="14">
        <v>45329</v>
      </c>
      <c r="GY8" s="14">
        <f t="shared" si="82"/>
        <v>47156</v>
      </c>
      <c r="GZ8" s="65">
        <f t="shared" ca="1" si="83"/>
        <v>1025</v>
      </c>
      <c r="HA8" s="15" t="str">
        <f t="shared" ca="1" si="84"/>
        <v>VIGENTE</v>
      </c>
      <c r="HB8" s="12"/>
      <c r="HC8" s="14">
        <v>45343</v>
      </c>
      <c r="HD8" s="14">
        <f t="shared" si="85"/>
        <v>47170</v>
      </c>
      <c r="HE8" s="65">
        <f t="shared" ca="1" si="86"/>
        <v>1039</v>
      </c>
      <c r="HF8" s="15" t="str">
        <f t="shared" ca="1" si="87"/>
        <v>VIGENTE</v>
      </c>
      <c r="HG8" s="16"/>
      <c r="HH8" s="14">
        <v>45317</v>
      </c>
      <c r="HI8" s="14">
        <f t="shared" si="88"/>
        <v>47144</v>
      </c>
      <c r="HJ8" s="65">
        <f t="shared" ca="1" si="89"/>
        <v>1013</v>
      </c>
      <c r="HK8" s="15" t="str">
        <f t="shared" ca="1" si="90"/>
        <v>VIGENTE</v>
      </c>
      <c r="HL8" s="12"/>
      <c r="HM8" s="16"/>
      <c r="HN8" s="14"/>
      <c r="HO8" s="65"/>
      <c r="HP8" s="15" t="str">
        <f t="shared" si="91"/>
        <v>NO APLICA</v>
      </c>
      <c r="HQ8" s="12"/>
      <c r="HR8" s="12"/>
      <c r="HS8" s="14"/>
      <c r="HT8" s="12"/>
      <c r="HU8" s="15" t="str">
        <f t="shared" si="92"/>
        <v>NO APLICA</v>
      </c>
      <c r="HV8" s="12"/>
      <c r="HW8" s="16"/>
      <c r="HX8" s="14"/>
      <c r="HY8" s="65"/>
      <c r="HZ8" s="15" t="str">
        <f t="shared" si="93"/>
        <v>NO APLICA</v>
      </c>
      <c r="IA8" s="12"/>
      <c r="IB8" s="16"/>
      <c r="IC8" s="14"/>
      <c r="ID8" s="65"/>
      <c r="IE8" s="15" t="str">
        <f t="shared" si="94"/>
        <v>NO APLICA</v>
      </c>
      <c r="IF8" s="12"/>
      <c r="IG8" s="16"/>
      <c r="IH8" s="14"/>
      <c r="II8" s="65"/>
      <c r="IJ8" s="15" t="str">
        <f t="shared" si="95"/>
        <v>NO APLICA</v>
      </c>
      <c r="IK8" s="16"/>
      <c r="IL8" s="16"/>
      <c r="IM8" s="14"/>
      <c r="IN8" s="65"/>
      <c r="IO8" s="15" t="str">
        <f t="shared" si="96"/>
        <v>NO APLICA</v>
      </c>
      <c r="IP8" s="12"/>
      <c r="IQ8" s="16"/>
      <c r="IR8" s="14"/>
      <c r="IS8" s="65"/>
      <c r="IT8" s="15" t="str">
        <f t="shared" si="97"/>
        <v>NO APLICA</v>
      </c>
      <c r="IU8" s="12"/>
      <c r="IV8" s="16"/>
      <c r="IW8" s="14"/>
      <c r="IX8" s="65"/>
      <c r="IY8" s="15" t="str">
        <f t="shared" si="98"/>
        <v>NO APLICA</v>
      </c>
      <c r="IZ8" s="12"/>
      <c r="JA8" s="16"/>
      <c r="JB8" s="14"/>
      <c r="JC8" s="65"/>
      <c r="JD8" s="15" t="str">
        <f t="shared" si="99"/>
        <v>NO APLICA</v>
      </c>
      <c r="JE8" s="13"/>
      <c r="JF8" s="13"/>
      <c r="JG8" s="14"/>
      <c r="JH8" s="65"/>
      <c r="JI8" s="15" t="str">
        <f t="shared" si="100"/>
        <v>NO APLICA</v>
      </c>
      <c r="JJ8" s="16"/>
      <c r="JK8" s="16"/>
      <c r="JL8" s="16"/>
      <c r="JM8" s="15" t="str">
        <f t="shared" si="101"/>
        <v>NO APLICA</v>
      </c>
      <c r="JN8" s="16"/>
      <c r="JO8" s="16"/>
      <c r="JP8" s="16"/>
      <c r="JQ8" s="15" t="str">
        <f t="shared" si="102"/>
        <v>NO APLICA</v>
      </c>
      <c r="JR8" s="16"/>
      <c r="JS8" s="16"/>
      <c r="JT8" s="16"/>
      <c r="JU8" s="16"/>
      <c r="JV8" s="15" t="str">
        <f t="shared" si="103"/>
        <v>NO APLICA</v>
      </c>
      <c r="JW8" s="15"/>
      <c r="JX8" s="15"/>
      <c r="JY8" s="15"/>
      <c r="JZ8" s="15"/>
      <c r="KA8" s="15" t="str">
        <f t="shared" si="104"/>
        <v>NO APLICA</v>
      </c>
      <c r="KB8" s="12"/>
      <c r="KC8" s="14"/>
      <c r="KD8" s="65"/>
      <c r="KE8" s="15" t="str">
        <f t="shared" si="105"/>
        <v>NO APLICA</v>
      </c>
      <c r="KF8" s="12"/>
      <c r="KG8" s="14"/>
      <c r="KH8" s="65"/>
      <c r="KI8" s="15" t="str">
        <f t="shared" si="132"/>
        <v>NO APLICA</v>
      </c>
      <c r="KJ8" s="12"/>
      <c r="KK8" s="14"/>
      <c r="KL8" s="65"/>
      <c r="KM8" s="15" t="str">
        <f t="shared" si="106"/>
        <v>NO APLICA</v>
      </c>
      <c r="KN8" s="12"/>
      <c r="KO8" s="14"/>
      <c r="KP8" s="65"/>
      <c r="KQ8" s="15" t="str">
        <f t="shared" si="133"/>
        <v>NO APLICA</v>
      </c>
      <c r="KR8" s="12"/>
      <c r="KS8" s="16"/>
      <c r="KT8" s="14"/>
      <c r="KU8" s="65"/>
      <c r="KV8" s="15" t="str">
        <f t="shared" si="147"/>
        <v>NO APLICA</v>
      </c>
      <c r="KW8" s="16"/>
      <c r="KX8" s="14"/>
      <c r="KY8" s="65"/>
      <c r="KZ8" s="15" t="str">
        <f t="shared" si="134"/>
        <v>NO APLICA</v>
      </c>
      <c r="LA8" s="16"/>
      <c r="LB8" s="16"/>
      <c r="LC8" s="14"/>
      <c r="LD8" s="65"/>
      <c r="LE8" s="15" t="str">
        <f t="shared" si="107"/>
        <v>NO APLICA</v>
      </c>
      <c r="LF8" s="15"/>
      <c r="LG8" s="15"/>
      <c r="LH8" s="15"/>
      <c r="LI8" s="15"/>
      <c r="LJ8" s="15" t="str">
        <f t="shared" si="148"/>
        <v>NO APLICA</v>
      </c>
      <c r="LK8" s="12"/>
      <c r="LL8" s="16"/>
      <c r="LM8" s="14"/>
      <c r="LN8" s="65"/>
      <c r="LO8" s="15" t="str">
        <f t="shared" si="135"/>
        <v>NO APLICA</v>
      </c>
      <c r="LP8" s="16"/>
      <c r="LQ8" s="16"/>
      <c r="LR8" s="14"/>
      <c r="LS8" s="65"/>
      <c r="LT8" s="15" t="str">
        <f t="shared" si="136"/>
        <v>NO APLICA</v>
      </c>
      <c r="LU8" s="16"/>
      <c r="LV8" s="16"/>
      <c r="LW8" s="14"/>
      <c r="LX8" s="65"/>
      <c r="LY8" s="15" t="str">
        <f t="shared" si="137"/>
        <v>NO APLICA</v>
      </c>
      <c r="LZ8" s="12"/>
      <c r="MA8" s="12"/>
      <c r="MB8" s="14"/>
      <c r="MC8" s="65"/>
      <c r="MD8" s="15" t="str">
        <f t="shared" si="108"/>
        <v>NO APLICA</v>
      </c>
      <c r="ME8" s="12"/>
      <c r="MF8" s="12"/>
      <c r="MG8" s="14"/>
      <c r="MH8" s="65"/>
      <c r="MI8" s="15" t="str">
        <f t="shared" si="109"/>
        <v>NO APLICA</v>
      </c>
      <c r="MJ8" s="12"/>
      <c r="MK8" s="14"/>
      <c r="ML8" s="65"/>
      <c r="MM8" s="15" t="str">
        <f t="shared" si="110"/>
        <v>NO APLICA</v>
      </c>
      <c r="MN8" s="12"/>
      <c r="MO8" s="12"/>
      <c r="MP8" s="12"/>
      <c r="MQ8" s="15" t="str">
        <f t="shared" si="111"/>
        <v>NO APLICA</v>
      </c>
      <c r="MR8" s="12"/>
      <c r="MS8" s="16"/>
      <c r="MT8" s="14"/>
      <c r="MU8" s="65"/>
      <c r="MV8" s="15" t="str">
        <f t="shared" si="112"/>
        <v>NO APLICA</v>
      </c>
      <c r="MW8" s="12"/>
      <c r="MX8" s="16"/>
      <c r="MY8" s="14"/>
      <c r="MZ8" s="65"/>
      <c r="NA8" s="15" t="str">
        <f t="shared" si="113"/>
        <v>NO APLICA</v>
      </c>
      <c r="NB8" s="12"/>
      <c r="NC8" s="16"/>
      <c r="ND8" s="14"/>
      <c r="NE8" s="65"/>
      <c r="NF8" s="15" t="str">
        <f t="shared" si="114"/>
        <v>NO APLICA</v>
      </c>
      <c r="NG8" s="12"/>
      <c r="NH8" s="12"/>
      <c r="NI8" s="14"/>
      <c r="NJ8" s="65"/>
      <c r="NK8" s="15" t="str">
        <f t="shared" si="115"/>
        <v>NO APLICA</v>
      </c>
      <c r="NL8" s="12"/>
      <c r="NM8" s="12"/>
      <c r="NN8" s="14"/>
      <c r="NO8" s="12"/>
      <c r="NP8" s="15" t="str">
        <f t="shared" si="116"/>
        <v>NO APLICA</v>
      </c>
      <c r="NQ8" s="16"/>
      <c r="NR8" s="16"/>
      <c r="NS8" s="14"/>
      <c r="NT8" s="65"/>
      <c r="NU8" s="15" t="str">
        <f t="shared" si="117"/>
        <v>NO APLICA</v>
      </c>
      <c r="NV8" s="16"/>
      <c r="NW8" s="16"/>
      <c r="NX8" s="16"/>
      <c r="NY8" s="16"/>
      <c r="NZ8" s="15" t="str">
        <f t="shared" si="118"/>
        <v>NO APLICA</v>
      </c>
    </row>
    <row r="9" spans="1:390" ht="15.6" thickTop="1" thickBot="1" x14ac:dyDescent="0.35">
      <c r="A9" s="11">
        <v>1669</v>
      </c>
      <c r="B9" s="10" t="s">
        <v>124</v>
      </c>
      <c r="C9" s="21" t="s">
        <v>104</v>
      </c>
      <c r="D9" s="64" t="s">
        <v>110</v>
      </c>
      <c r="E9" s="15"/>
      <c r="F9" s="16"/>
      <c r="G9" s="14"/>
      <c r="H9" s="65"/>
      <c r="I9" s="15" t="str">
        <f t="shared" si="0"/>
        <v>NO APLICA</v>
      </c>
      <c r="J9" s="15"/>
      <c r="K9" s="16"/>
      <c r="L9" s="16"/>
      <c r="M9" s="65"/>
      <c r="N9" s="15" t="str">
        <f t="shared" si="1"/>
        <v>NO APLICA</v>
      </c>
      <c r="O9" s="16"/>
      <c r="P9" s="16"/>
      <c r="Q9" s="14"/>
      <c r="R9" s="65"/>
      <c r="S9" s="15" t="str">
        <f t="shared" si="119"/>
        <v>NO APLICA</v>
      </c>
      <c r="T9" s="12" t="s">
        <v>125</v>
      </c>
      <c r="U9" s="13">
        <v>44953</v>
      </c>
      <c r="V9" s="14">
        <v>44954</v>
      </c>
      <c r="W9" s="14">
        <f t="shared" si="2"/>
        <v>46780</v>
      </c>
      <c r="X9" s="65">
        <f t="shared" ca="1" si="3"/>
        <v>649</v>
      </c>
      <c r="Y9" s="15" t="str">
        <f t="shared" ca="1" si="4"/>
        <v>VIGENTE</v>
      </c>
      <c r="Z9" s="12" t="s">
        <v>126</v>
      </c>
      <c r="AA9" s="13">
        <v>45151</v>
      </c>
      <c r="AB9" s="14">
        <v>45152</v>
      </c>
      <c r="AC9" s="14">
        <f t="shared" si="5"/>
        <v>46979</v>
      </c>
      <c r="AD9" s="65">
        <f t="shared" ca="1" si="6"/>
        <v>848</v>
      </c>
      <c r="AE9" s="15" t="str">
        <f t="shared" ca="1" si="7"/>
        <v>VIGENTE</v>
      </c>
      <c r="AF9" s="13">
        <v>45118</v>
      </c>
      <c r="AG9" s="14">
        <v>45780</v>
      </c>
      <c r="AH9" s="14">
        <f t="shared" si="162"/>
        <v>46510</v>
      </c>
      <c r="AI9" s="65">
        <f t="shared" ca="1" si="8"/>
        <v>379</v>
      </c>
      <c r="AJ9" s="15" t="str">
        <f t="shared" ca="1" si="9"/>
        <v>VIGENTE</v>
      </c>
      <c r="AK9" s="13">
        <v>45044</v>
      </c>
      <c r="AL9" s="14">
        <v>45710</v>
      </c>
      <c r="AM9" s="14">
        <f>DATE(YEAR(AL9)+2,MONTH(AL9),DAY(AL9)-1)</f>
        <v>46439</v>
      </c>
      <c r="AN9" s="65">
        <f t="shared" ca="1" si="10"/>
        <v>308</v>
      </c>
      <c r="AO9" s="15" t="str">
        <f t="shared" ca="1" si="11"/>
        <v>VIGENTE</v>
      </c>
      <c r="AP9" s="13">
        <v>45168</v>
      </c>
      <c r="AQ9" s="14">
        <v>45820</v>
      </c>
      <c r="AR9" s="14">
        <f t="shared" si="122"/>
        <v>46550</v>
      </c>
      <c r="AS9" s="65">
        <f t="shared" ca="1" si="12"/>
        <v>419</v>
      </c>
      <c r="AT9" s="15" t="str">
        <f t="shared" ca="1" si="13"/>
        <v>VIGENTE</v>
      </c>
      <c r="AU9" s="13">
        <v>45161</v>
      </c>
      <c r="AV9" s="14">
        <v>45856</v>
      </c>
      <c r="AW9" s="14">
        <f t="shared" si="14"/>
        <v>46586</v>
      </c>
      <c r="AX9" s="65">
        <f t="shared" ca="1" si="15"/>
        <v>455</v>
      </c>
      <c r="AY9" s="15" t="str">
        <f t="shared" ca="1" si="16"/>
        <v>VIGENTE</v>
      </c>
      <c r="AZ9" s="13">
        <v>45075</v>
      </c>
      <c r="BA9" s="14">
        <v>45708</v>
      </c>
      <c r="BB9" s="14">
        <f t="shared" si="150"/>
        <v>46437</v>
      </c>
      <c r="BC9" s="65">
        <f t="shared" ca="1" si="17"/>
        <v>306</v>
      </c>
      <c r="BD9" s="15" t="str">
        <f t="shared" ca="1" si="18"/>
        <v>VIGENTE</v>
      </c>
      <c r="BE9" s="13">
        <v>45071</v>
      </c>
      <c r="BF9" s="14">
        <v>45698</v>
      </c>
      <c r="BG9" s="14">
        <f t="shared" si="151"/>
        <v>46427</v>
      </c>
      <c r="BH9" s="65">
        <f t="shared" ca="1" si="19"/>
        <v>296</v>
      </c>
      <c r="BI9" s="15" t="str">
        <f t="shared" ca="1" si="20"/>
        <v>VIGENTE</v>
      </c>
      <c r="BJ9" s="13">
        <v>45030</v>
      </c>
      <c r="BK9" s="14">
        <v>45699</v>
      </c>
      <c r="BL9" s="14">
        <f t="shared" si="152"/>
        <v>46428</v>
      </c>
      <c r="BM9" s="65">
        <f t="shared" ca="1" si="21"/>
        <v>297</v>
      </c>
      <c r="BN9" s="15" t="str">
        <f t="shared" ca="1" si="22"/>
        <v>VIGENTE</v>
      </c>
      <c r="BO9" s="13">
        <v>45147</v>
      </c>
      <c r="BP9" s="14">
        <v>45815</v>
      </c>
      <c r="BQ9" s="14">
        <f t="shared" si="153"/>
        <v>46544</v>
      </c>
      <c r="BR9" s="65">
        <f t="shared" ca="1" si="23"/>
        <v>413</v>
      </c>
      <c r="BS9" s="15" t="str">
        <f t="shared" ca="1" si="24"/>
        <v>VIGENTE</v>
      </c>
      <c r="BT9" s="13">
        <v>45034</v>
      </c>
      <c r="BU9" s="14">
        <v>45736</v>
      </c>
      <c r="BV9" s="14">
        <f t="shared" si="154"/>
        <v>46465</v>
      </c>
      <c r="BW9" s="65">
        <f t="shared" ca="1" si="25"/>
        <v>334</v>
      </c>
      <c r="BX9" s="15" t="str">
        <f t="shared" ca="1" si="26"/>
        <v>VIGENTE</v>
      </c>
      <c r="BY9" s="12">
        <v>45102</v>
      </c>
      <c r="BZ9" s="14">
        <v>45730</v>
      </c>
      <c r="CA9" s="14">
        <f t="shared" si="124"/>
        <v>46459</v>
      </c>
      <c r="CB9" s="65">
        <f t="shared" ca="1" si="27"/>
        <v>328</v>
      </c>
      <c r="CC9" s="15" t="str">
        <f t="shared" ca="1" si="28"/>
        <v>VIGENTE</v>
      </c>
      <c r="CD9" s="16" t="s">
        <v>108</v>
      </c>
      <c r="CE9" s="14">
        <v>45300</v>
      </c>
      <c r="CF9" s="14">
        <v>45301</v>
      </c>
      <c r="CG9" s="14">
        <f t="shared" si="29"/>
        <v>46762</v>
      </c>
      <c r="CH9" s="65">
        <f t="shared" ca="1" si="30"/>
        <v>631</v>
      </c>
      <c r="CI9" s="15" t="str">
        <f t="shared" ca="1" si="31"/>
        <v>VIGENTE</v>
      </c>
      <c r="CJ9" s="14">
        <v>45085</v>
      </c>
      <c r="CK9" s="14">
        <v>45723</v>
      </c>
      <c r="CL9" s="14">
        <f t="shared" si="125"/>
        <v>46452</v>
      </c>
      <c r="CM9" s="65">
        <f t="shared" ca="1" si="32"/>
        <v>321</v>
      </c>
      <c r="CN9" s="15" t="str">
        <f t="shared" ca="1" si="33"/>
        <v>VIGENTE</v>
      </c>
      <c r="CO9" s="13">
        <v>45077</v>
      </c>
      <c r="CP9" s="14">
        <v>45726</v>
      </c>
      <c r="CQ9" s="14">
        <f t="shared" si="155"/>
        <v>46455</v>
      </c>
      <c r="CR9" s="65">
        <f t="shared" ca="1" si="34"/>
        <v>324</v>
      </c>
      <c r="CS9" s="15" t="str">
        <f t="shared" ca="1" si="35"/>
        <v>VIGENTE</v>
      </c>
      <c r="CT9" s="13">
        <v>45086</v>
      </c>
      <c r="CU9" s="14">
        <v>45727</v>
      </c>
      <c r="CV9" s="14">
        <f t="shared" si="126"/>
        <v>46456</v>
      </c>
      <c r="CW9" s="65">
        <f t="shared" ca="1" si="36"/>
        <v>325</v>
      </c>
      <c r="CX9" s="15" t="str">
        <f t="shared" ca="1" si="37"/>
        <v>VIGENTE</v>
      </c>
      <c r="CY9" s="13">
        <v>45087</v>
      </c>
      <c r="CZ9" s="14">
        <v>45681</v>
      </c>
      <c r="DA9" s="14">
        <f t="shared" si="127"/>
        <v>46410</v>
      </c>
      <c r="DB9" s="65">
        <f t="shared" ca="1" si="38"/>
        <v>279</v>
      </c>
      <c r="DC9" s="15" t="str">
        <f t="shared" ca="1" si="39"/>
        <v>VIGENTE</v>
      </c>
      <c r="DD9" s="13">
        <v>45027</v>
      </c>
      <c r="DE9" s="14">
        <v>45689</v>
      </c>
      <c r="DF9" s="14">
        <f>DATE(YEAR(DE9)+2,MONTH(DE9),DAY(DE9)-1)</f>
        <v>46418</v>
      </c>
      <c r="DG9" s="65">
        <f t="shared" ca="1" si="40"/>
        <v>287</v>
      </c>
      <c r="DH9" s="15" t="str">
        <f t="shared" ca="1" si="41"/>
        <v>VIGENTE</v>
      </c>
      <c r="DI9" s="13">
        <v>45058</v>
      </c>
      <c r="DJ9" s="14">
        <v>45696</v>
      </c>
      <c r="DK9" s="14">
        <f t="shared" si="42"/>
        <v>46425</v>
      </c>
      <c r="DL9" s="65">
        <f t="shared" ca="1" si="43"/>
        <v>294</v>
      </c>
      <c r="DM9" s="15" t="str">
        <f t="shared" ca="1" si="44"/>
        <v>VIGENTE</v>
      </c>
      <c r="DN9" s="13">
        <v>45127</v>
      </c>
      <c r="DO9" s="14">
        <v>45731</v>
      </c>
      <c r="DP9" s="14">
        <f t="shared" si="45"/>
        <v>46460</v>
      </c>
      <c r="DQ9" s="65">
        <f t="shared" ca="1" si="46"/>
        <v>329</v>
      </c>
      <c r="DR9" s="15" t="str">
        <f t="shared" ca="1" si="47"/>
        <v>VIGENTE</v>
      </c>
      <c r="DS9" s="12">
        <v>45066</v>
      </c>
      <c r="DT9" s="14">
        <v>45712</v>
      </c>
      <c r="DU9" s="14">
        <f t="shared" si="159"/>
        <v>46441</v>
      </c>
      <c r="DV9" s="65">
        <f t="shared" ca="1" si="48"/>
        <v>310</v>
      </c>
      <c r="DW9" s="15" t="str">
        <f t="shared" ca="1" si="49"/>
        <v>VIGENTE</v>
      </c>
      <c r="DX9" s="13">
        <v>45170</v>
      </c>
      <c r="DY9" s="14">
        <v>45847</v>
      </c>
      <c r="DZ9" s="14">
        <f t="shared" si="163"/>
        <v>46577</v>
      </c>
      <c r="EA9" s="65">
        <f t="shared" ca="1" si="50"/>
        <v>446</v>
      </c>
      <c r="EB9" s="15" t="str">
        <f t="shared" ca="1" si="51"/>
        <v>VIGENTE</v>
      </c>
      <c r="EC9" s="13">
        <v>45255</v>
      </c>
      <c r="ED9" s="14">
        <v>45913</v>
      </c>
      <c r="EE9" s="14">
        <f t="shared" si="164"/>
        <v>46643</v>
      </c>
      <c r="EF9" s="65">
        <f t="shared" ca="1" si="52"/>
        <v>512</v>
      </c>
      <c r="EG9" s="15" t="str">
        <f t="shared" ca="1" si="53"/>
        <v>VIGENTE</v>
      </c>
      <c r="EH9" s="13">
        <v>45706</v>
      </c>
      <c r="EI9" s="13">
        <v>45810</v>
      </c>
      <c r="EJ9" s="13">
        <v>45811</v>
      </c>
      <c r="EK9" s="14">
        <v>45812</v>
      </c>
      <c r="EL9" s="14">
        <f t="shared" si="128"/>
        <v>46177</v>
      </c>
      <c r="EM9" s="65">
        <f t="shared" ca="1" si="54"/>
        <v>46</v>
      </c>
      <c r="EN9" s="15" t="str">
        <f t="shared" ca="1" si="55"/>
        <v>POR VENCER</v>
      </c>
      <c r="EO9" s="13">
        <v>45042</v>
      </c>
      <c r="EP9" s="14">
        <v>45671</v>
      </c>
      <c r="EQ9" s="14">
        <f t="shared" si="160"/>
        <v>46400</v>
      </c>
      <c r="ER9" s="65">
        <f t="shared" ca="1" si="56"/>
        <v>269</v>
      </c>
      <c r="ES9" s="15" t="str">
        <f t="shared" ca="1" si="57"/>
        <v>VIGENTE</v>
      </c>
      <c r="ET9" s="13">
        <v>45043</v>
      </c>
      <c r="EU9" s="14">
        <v>45677</v>
      </c>
      <c r="EV9" s="14">
        <f t="shared" si="161"/>
        <v>46406</v>
      </c>
      <c r="EW9" s="65">
        <f t="shared" ca="1" si="58"/>
        <v>275</v>
      </c>
      <c r="EX9" s="15" t="str">
        <f t="shared" ca="1" si="59"/>
        <v>VIGENTE</v>
      </c>
      <c r="EY9" s="13">
        <v>45162</v>
      </c>
      <c r="EZ9" s="14">
        <v>45794</v>
      </c>
      <c r="FA9" s="14">
        <f t="shared" si="142"/>
        <v>46524</v>
      </c>
      <c r="FB9" s="65">
        <f t="shared" ca="1" si="60"/>
        <v>393</v>
      </c>
      <c r="FC9" s="15" t="str">
        <f t="shared" ca="1" si="61"/>
        <v>VIGENTE</v>
      </c>
      <c r="FD9" s="13">
        <v>45041</v>
      </c>
      <c r="FE9" s="14">
        <v>45666</v>
      </c>
      <c r="FF9" s="14">
        <f>DATE(YEAR(FE9)+2,MONTH(FE9),DAY(FE9)-1)</f>
        <v>46395</v>
      </c>
      <c r="FG9" s="65">
        <f t="shared" ca="1" si="62"/>
        <v>264</v>
      </c>
      <c r="FH9" s="15" t="str">
        <f t="shared" ca="1" si="63"/>
        <v>VIGENTE</v>
      </c>
      <c r="FI9" s="13">
        <v>45248</v>
      </c>
      <c r="FJ9" s="14">
        <v>45919</v>
      </c>
      <c r="FK9" s="14">
        <f t="shared" si="144"/>
        <v>46649</v>
      </c>
      <c r="FL9" s="65">
        <f t="shared" ca="1" si="64"/>
        <v>518</v>
      </c>
      <c r="FM9" s="15" t="str">
        <f t="shared" ca="1" si="65"/>
        <v>VIGENTE</v>
      </c>
      <c r="FN9" s="13">
        <v>45084</v>
      </c>
      <c r="FO9" s="14">
        <v>45738</v>
      </c>
      <c r="FP9" s="14">
        <f t="shared" si="66"/>
        <v>46467</v>
      </c>
      <c r="FQ9" s="65">
        <f t="shared" ca="1" si="67"/>
        <v>336</v>
      </c>
      <c r="FR9" s="15" t="str">
        <f t="shared" ca="1" si="68"/>
        <v>VIGENTE</v>
      </c>
      <c r="FS9" s="13">
        <v>45148</v>
      </c>
      <c r="FT9" s="14">
        <v>45782</v>
      </c>
      <c r="FU9" s="14">
        <f t="shared" si="165"/>
        <v>46512</v>
      </c>
      <c r="FV9" s="65">
        <f t="shared" ca="1" si="69"/>
        <v>381</v>
      </c>
      <c r="FW9" s="15" t="str">
        <f t="shared" ca="1" si="70"/>
        <v>VIGENTE</v>
      </c>
      <c r="FX9" s="13">
        <v>45028</v>
      </c>
      <c r="FY9" s="14">
        <v>45700</v>
      </c>
      <c r="FZ9" s="14">
        <f t="shared" si="130"/>
        <v>46429</v>
      </c>
      <c r="GA9" s="65">
        <f t="shared" ca="1" si="71"/>
        <v>298</v>
      </c>
      <c r="GB9" s="15" t="str">
        <f t="shared" ca="1" si="72"/>
        <v>VIGENTE</v>
      </c>
      <c r="GC9" s="13">
        <v>45173</v>
      </c>
      <c r="GD9" s="14">
        <v>45821</v>
      </c>
      <c r="GE9" s="14">
        <f t="shared" si="166"/>
        <v>46551</v>
      </c>
      <c r="GF9" s="65">
        <f t="shared" ca="1" si="73"/>
        <v>420</v>
      </c>
      <c r="GG9" s="15" t="str">
        <f t="shared" ca="1" si="74"/>
        <v>VIGENTE</v>
      </c>
      <c r="GH9" s="13">
        <v>45139</v>
      </c>
      <c r="GI9" s="14">
        <v>45814</v>
      </c>
      <c r="GJ9" s="14">
        <f t="shared" si="167"/>
        <v>46544</v>
      </c>
      <c r="GK9" s="65">
        <f t="shared" ca="1" si="75"/>
        <v>413</v>
      </c>
      <c r="GL9" s="15" t="str">
        <f t="shared" ca="1" si="76"/>
        <v>VIGENTE</v>
      </c>
      <c r="GM9" s="13">
        <v>45182</v>
      </c>
      <c r="GN9" s="14">
        <v>45848</v>
      </c>
      <c r="GO9" s="14">
        <f t="shared" ref="GO9" si="168">DATE(YEAR(GN9)+2,MONTH(GN9),DAY(GN9))</f>
        <v>46578</v>
      </c>
      <c r="GP9" s="65">
        <f t="shared" ca="1" si="77"/>
        <v>447</v>
      </c>
      <c r="GQ9" s="15" t="str">
        <f t="shared" ca="1" si="78"/>
        <v>VIGENTE</v>
      </c>
      <c r="GR9" s="14"/>
      <c r="GS9" s="14">
        <v>45120</v>
      </c>
      <c r="GT9" s="14">
        <f t="shared" si="79"/>
        <v>46947</v>
      </c>
      <c r="GU9" s="65">
        <f t="shared" ca="1" si="80"/>
        <v>816</v>
      </c>
      <c r="GV9" s="15" t="str">
        <f t="shared" ca="1" si="81"/>
        <v>VIGENTE</v>
      </c>
      <c r="GW9" s="13"/>
      <c r="GX9" s="14">
        <v>45029</v>
      </c>
      <c r="GY9" s="14">
        <f t="shared" si="82"/>
        <v>46856</v>
      </c>
      <c r="GZ9" s="65">
        <f t="shared" ca="1" si="83"/>
        <v>725</v>
      </c>
      <c r="HA9" s="15" t="str">
        <f t="shared" ca="1" si="84"/>
        <v>VIGENTE</v>
      </c>
      <c r="HB9" s="12"/>
      <c r="HC9" s="14">
        <v>45119</v>
      </c>
      <c r="HD9" s="14">
        <f t="shared" si="85"/>
        <v>46946</v>
      </c>
      <c r="HE9" s="65">
        <f t="shared" ca="1" si="86"/>
        <v>815</v>
      </c>
      <c r="HF9" s="15" t="str">
        <f t="shared" ca="1" si="87"/>
        <v>VIGENTE</v>
      </c>
      <c r="HG9" s="16"/>
      <c r="HH9" s="14">
        <v>45267</v>
      </c>
      <c r="HI9" s="14">
        <f t="shared" si="88"/>
        <v>47094</v>
      </c>
      <c r="HJ9" s="65">
        <f t="shared" ca="1" si="89"/>
        <v>963</v>
      </c>
      <c r="HK9" s="15" t="str">
        <f t="shared" ca="1" si="90"/>
        <v>VIGENTE</v>
      </c>
      <c r="HL9" s="12"/>
      <c r="HM9" s="16"/>
      <c r="HN9" s="14"/>
      <c r="HO9" s="65"/>
      <c r="HP9" s="15" t="str">
        <f t="shared" si="91"/>
        <v>NO APLICA</v>
      </c>
      <c r="HQ9" s="12"/>
      <c r="HR9" s="12"/>
      <c r="HS9" s="14"/>
      <c r="HT9" s="12"/>
      <c r="HU9" s="15" t="str">
        <f t="shared" si="92"/>
        <v>NO APLICA</v>
      </c>
      <c r="HV9" s="12"/>
      <c r="HW9" s="16"/>
      <c r="HX9" s="14"/>
      <c r="HY9" s="65"/>
      <c r="HZ9" s="15" t="str">
        <f t="shared" si="93"/>
        <v>NO APLICA</v>
      </c>
      <c r="IA9" s="12"/>
      <c r="IB9" s="14">
        <v>45282</v>
      </c>
      <c r="IC9" s="14">
        <f>DATE(YEAR(IB9)+5,MONTH(IB9),DAY(IB9))</f>
        <v>47109</v>
      </c>
      <c r="ID9" s="65">
        <f ca="1">IC9-TODAY()</f>
        <v>978</v>
      </c>
      <c r="IE9" s="15" t="str">
        <f t="shared" ca="1" si="94"/>
        <v>VIGENTE</v>
      </c>
      <c r="IF9" s="12"/>
      <c r="IG9" s="16"/>
      <c r="IH9" s="14"/>
      <c r="II9" s="65"/>
      <c r="IJ9" s="15" t="str">
        <f t="shared" si="95"/>
        <v>NO APLICA</v>
      </c>
      <c r="IK9" s="16"/>
      <c r="IL9" s="16"/>
      <c r="IM9" s="14"/>
      <c r="IN9" s="65"/>
      <c r="IO9" s="15" t="str">
        <f t="shared" si="96"/>
        <v>NO APLICA</v>
      </c>
      <c r="IP9" s="12"/>
      <c r="IQ9" s="14">
        <v>45354</v>
      </c>
      <c r="IR9" s="14">
        <f>DATE(YEAR(IQ9)+5,MONTH(IQ9),DAY(IQ9))</f>
        <v>47180</v>
      </c>
      <c r="IS9" s="65">
        <f ca="1">IR9-TODAY()</f>
        <v>1049</v>
      </c>
      <c r="IT9" s="15" t="str">
        <f t="shared" ca="1" si="97"/>
        <v>VIGENTE</v>
      </c>
      <c r="IU9" s="12"/>
      <c r="IV9" s="14">
        <v>45171</v>
      </c>
      <c r="IW9" s="14">
        <f>DATE(YEAR(IV9)+5,MONTH(IV9),DAY(IV9))</f>
        <v>46998</v>
      </c>
      <c r="IX9" s="65">
        <f ca="1">IW9-TODAY()</f>
        <v>867</v>
      </c>
      <c r="IY9" s="15" t="str">
        <f t="shared" ca="1" si="98"/>
        <v>VIGENTE</v>
      </c>
      <c r="IZ9" s="12"/>
      <c r="JA9" s="14">
        <v>45339</v>
      </c>
      <c r="JB9" s="14">
        <f>DATE(YEAR(JA9)+5,MONTH(JA9),DAY(JA9))</f>
        <v>47166</v>
      </c>
      <c r="JC9" s="65">
        <f ca="1">JB9-TODAY()</f>
        <v>1035</v>
      </c>
      <c r="JD9" s="15" t="str">
        <f t="shared" ca="1" si="99"/>
        <v>VIGENTE</v>
      </c>
      <c r="JE9" s="13"/>
      <c r="JF9" s="13"/>
      <c r="JG9" s="14"/>
      <c r="JH9" s="65"/>
      <c r="JI9" s="15" t="str">
        <f t="shared" si="100"/>
        <v>NO APLICA</v>
      </c>
      <c r="JJ9" s="16"/>
      <c r="JK9" s="16"/>
      <c r="JL9" s="16"/>
      <c r="JM9" s="15" t="str">
        <f t="shared" si="101"/>
        <v>NO APLICA</v>
      </c>
      <c r="JN9" s="16"/>
      <c r="JO9" s="16"/>
      <c r="JP9" s="16"/>
      <c r="JQ9" s="15" t="str">
        <f t="shared" si="102"/>
        <v>NO APLICA</v>
      </c>
      <c r="JR9" s="16"/>
      <c r="JS9" s="16"/>
      <c r="JT9" s="16"/>
      <c r="JU9" s="16"/>
      <c r="JV9" s="15" t="str">
        <f t="shared" si="103"/>
        <v>NO APLICA</v>
      </c>
      <c r="JW9" s="15"/>
      <c r="JX9" s="15"/>
      <c r="JY9" s="15"/>
      <c r="JZ9" s="15"/>
      <c r="KA9" s="15" t="str">
        <f t="shared" si="104"/>
        <v>NO APLICA</v>
      </c>
      <c r="KB9" s="12"/>
      <c r="KC9" s="14"/>
      <c r="KD9" s="65"/>
      <c r="KE9" s="15" t="str">
        <f t="shared" si="105"/>
        <v>NO APLICA</v>
      </c>
      <c r="KF9" s="12"/>
      <c r="KG9" s="14"/>
      <c r="KH9" s="65"/>
      <c r="KI9" s="15" t="str">
        <f t="shared" si="132"/>
        <v>NO APLICA</v>
      </c>
      <c r="KJ9" s="12"/>
      <c r="KK9" s="14"/>
      <c r="KL9" s="65"/>
      <c r="KM9" s="15" t="str">
        <f t="shared" si="106"/>
        <v>NO APLICA</v>
      </c>
      <c r="KN9" s="12"/>
      <c r="KO9" s="14"/>
      <c r="KP9" s="65"/>
      <c r="KQ9" s="15" t="str">
        <f t="shared" si="133"/>
        <v>NO APLICA</v>
      </c>
      <c r="KR9" s="12"/>
      <c r="KS9" s="16"/>
      <c r="KT9" s="14"/>
      <c r="KU9" s="65"/>
      <c r="KV9" s="15" t="str">
        <f t="shared" si="147"/>
        <v>NO APLICA</v>
      </c>
      <c r="KW9" s="16"/>
      <c r="KX9" s="14"/>
      <c r="KY9" s="65"/>
      <c r="KZ9" s="15" t="str">
        <f t="shared" si="134"/>
        <v>NO APLICA</v>
      </c>
      <c r="LA9" s="16"/>
      <c r="LB9" s="14">
        <v>45530</v>
      </c>
      <c r="LC9" s="14">
        <f>DATE(YEAR(LB9)+2,MONTH(LB9),DAY(LB9))</f>
        <v>46260</v>
      </c>
      <c r="LD9" s="65">
        <f ca="1">LC9-TODAY()</f>
        <v>129</v>
      </c>
      <c r="LE9" s="15" t="str">
        <f t="shared" ca="1" si="107"/>
        <v>VIGENTE</v>
      </c>
      <c r="LF9" s="15"/>
      <c r="LG9" s="15"/>
      <c r="LH9" s="15"/>
      <c r="LI9" s="15"/>
      <c r="LJ9" s="15" t="str">
        <f t="shared" si="148"/>
        <v>NO APLICA</v>
      </c>
      <c r="LK9" s="12"/>
      <c r="LL9" s="16"/>
      <c r="LM9" s="14"/>
      <c r="LN9" s="65"/>
      <c r="LO9" s="15" t="str">
        <f t="shared" si="135"/>
        <v>NO APLICA</v>
      </c>
      <c r="LP9" s="16"/>
      <c r="LQ9" s="16"/>
      <c r="LR9" s="14"/>
      <c r="LS9" s="65"/>
      <c r="LT9" s="15" t="str">
        <f t="shared" si="136"/>
        <v>NO APLICA</v>
      </c>
      <c r="LU9" s="16"/>
      <c r="LV9" s="16"/>
      <c r="LW9" s="14"/>
      <c r="LX9" s="65"/>
      <c r="LY9" s="15" t="str">
        <f t="shared" si="137"/>
        <v>NO APLICA</v>
      </c>
      <c r="LZ9" s="12"/>
      <c r="MA9" s="12"/>
      <c r="MB9" s="14"/>
      <c r="MC9" s="65"/>
      <c r="MD9" s="15" t="str">
        <f t="shared" si="108"/>
        <v>NO APLICA</v>
      </c>
      <c r="ME9" s="12"/>
      <c r="MF9" s="12"/>
      <c r="MG9" s="14"/>
      <c r="MH9" s="65"/>
      <c r="MI9" s="15" t="str">
        <f t="shared" si="109"/>
        <v>NO APLICA</v>
      </c>
      <c r="MJ9" s="12"/>
      <c r="MK9" s="14"/>
      <c r="ML9" s="65"/>
      <c r="MM9" s="15" t="str">
        <f t="shared" si="110"/>
        <v>NO APLICA</v>
      </c>
      <c r="MN9" s="12"/>
      <c r="MO9" s="14"/>
      <c r="MP9" s="12"/>
      <c r="MQ9" s="15" t="str">
        <f t="shared" si="111"/>
        <v>NO APLICA</v>
      </c>
      <c r="MR9" s="12"/>
      <c r="MS9" s="16"/>
      <c r="MT9" s="14"/>
      <c r="MU9" s="65"/>
      <c r="MV9" s="15" t="str">
        <f t="shared" si="112"/>
        <v>NO APLICA</v>
      </c>
      <c r="MW9" s="12"/>
      <c r="MX9" s="16"/>
      <c r="MY9" s="14"/>
      <c r="MZ9" s="65"/>
      <c r="NA9" s="15" t="str">
        <f t="shared" si="113"/>
        <v>NO APLICA</v>
      </c>
      <c r="NB9" s="12"/>
      <c r="NC9" s="16"/>
      <c r="ND9" s="14"/>
      <c r="NE9" s="65"/>
      <c r="NF9" s="15" t="str">
        <f t="shared" si="114"/>
        <v>NO APLICA</v>
      </c>
      <c r="NG9" s="12"/>
      <c r="NH9" s="12"/>
      <c r="NI9" s="14"/>
      <c r="NJ9" s="12"/>
      <c r="NK9" s="15" t="str">
        <f t="shared" si="115"/>
        <v>NO APLICA</v>
      </c>
      <c r="NL9" s="12"/>
      <c r="NM9" s="12"/>
      <c r="NN9" s="14"/>
      <c r="NO9" s="12"/>
      <c r="NP9" s="15" t="str">
        <f t="shared" si="116"/>
        <v>NO APLICA</v>
      </c>
      <c r="NQ9" s="16"/>
      <c r="NR9" s="16"/>
      <c r="NS9" s="14"/>
      <c r="NT9" s="65"/>
      <c r="NU9" s="15" t="str">
        <f t="shared" si="117"/>
        <v>NO APLICA</v>
      </c>
      <c r="NV9" s="16"/>
      <c r="NW9" s="16"/>
      <c r="NX9" s="16"/>
      <c r="NY9" s="16"/>
      <c r="NZ9" s="15" t="str">
        <f t="shared" si="118"/>
        <v>NO APLICA</v>
      </c>
    </row>
    <row r="10" spans="1:390" ht="15.6" thickTop="1" thickBot="1" x14ac:dyDescent="0.35">
      <c r="A10" s="11">
        <v>1685</v>
      </c>
      <c r="B10" s="10" t="s">
        <v>127</v>
      </c>
      <c r="C10" s="21" t="s">
        <v>104</v>
      </c>
      <c r="D10" s="64" t="s">
        <v>110</v>
      </c>
      <c r="E10" s="15"/>
      <c r="F10" s="16"/>
      <c r="G10" s="14"/>
      <c r="H10" s="65"/>
      <c r="I10" s="15" t="str">
        <f t="shared" si="0"/>
        <v>NO APLICA</v>
      </c>
      <c r="J10" s="15"/>
      <c r="K10" s="16"/>
      <c r="L10" s="16"/>
      <c r="M10" s="65"/>
      <c r="N10" s="15" t="str">
        <f t="shared" si="1"/>
        <v>NO APLICA</v>
      </c>
      <c r="O10" s="14">
        <v>45603</v>
      </c>
      <c r="P10" s="14">
        <v>45604</v>
      </c>
      <c r="Q10" s="14">
        <f>DATE(YEAR(P10)+2,MONTH(P10),DAY(P10)-1)</f>
        <v>46333</v>
      </c>
      <c r="R10" s="65">
        <f ca="1">Q10-TODAY()</f>
        <v>202</v>
      </c>
      <c r="S10" s="15" t="str">
        <f t="shared" ca="1" si="119"/>
        <v>VIGENTE</v>
      </c>
      <c r="T10" s="12" t="s">
        <v>128</v>
      </c>
      <c r="U10" s="13">
        <v>45141</v>
      </c>
      <c r="V10" s="14">
        <v>45142</v>
      </c>
      <c r="W10" s="14">
        <f t="shared" si="2"/>
        <v>46969</v>
      </c>
      <c r="X10" s="65">
        <f t="shared" ca="1" si="3"/>
        <v>838</v>
      </c>
      <c r="Y10" s="15" t="str">
        <f t="shared" ca="1" si="4"/>
        <v>VIGENTE</v>
      </c>
      <c r="Z10" s="12" t="s">
        <v>129</v>
      </c>
      <c r="AA10" s="13">
        <v>45148</v>
      </c>
      <c r="AB10" s="14">
        <v>45149</v>
      </c>
      <c r="AC10" s="14">
        <f t="shared" si="5"/>
        <v>46976</v>
      </c>
      <c r="AD10" s="65">
        <f t="shared" ca="1" si="6"/>
        <v>845</v>
      </c>
      <c r="AE10" s="15" t="str">
        <f t="shared" ca="1" si="7"/>
        <v>VIGENTE</v>
      </c>
      <c r="AF10" s="13">
        <v>45314</v>
      </c>
      <c r="AG10" s="14">
        <v>46006</v>
      </c>
      <c r="AH10" s="14">
        <f>DATE(YEAR(AG10)+2,MONTH(AG10),DAY(AG10))</f>
        <v>46736</v>
      </c>
      <c r="AI10" s="65">
        <f t="shared" ca="1" si="8"/>
        <v>605</v>
      </c>
      <c r="AJ10" s="15" t="str">
        <f t="shared" ca="1" si="9"/>
        <v>VIGENTE</v>
      </c>
      <c r="AK10" s="12"/>
      <c r="AL10" s="14">
        <v>45937</v>
      </c>
      <c r="AM10" s="14">
        <f>DATE(YEAR(AL10)+2,MONTH(AL10),DAY(AL10))</f>
        <v>46667</v>
      </c>
      <c r="AN10" s="65">
        <f t="shared" ca="1" si="10"/>
        <v>536</v>
      </c>
      <c r="AO10" s="15" t="str">
        <f t="shared" ca="1" si="11"/>
        <v>VIGENTE</v>
      </c>
      <c r="AP10" s="13">
        <v>44568</v>
      </c>
      <c r="AQ10" s="14">
        <v>45967</v>
      </c>
      <c r="AR10" s="14">
        <f>DATE(YEAR(AQ10)+2,MONTH(AQ10),DAY(AQ10))</f>
        <v>46697</v>
      </c>
      <c r="AS10" s="65">
        <f t="shared" ca="1" si="12"/>
        <v>566</v>
      </c>
      <c r="AT10" s="15" t="str">
        <f t="shared" ca="1" si="13"/>
        <v>VIGENTE</v>
      </c>
      <c r="AU10" s="12"/>
      <c r="AV10" s="14">
        <v>45952</v>
      </c>
      <c r="AW10" s="14">
        <f>DATE(YEAR(AV10)+2,MONTH(AV10),DAY(AV10))</f>
        <v>46682</v>
      </c>
      <c r="AX10" s="65">
        <f t="shared" ca="1" si="15"/>
        <v>551</v>
      </c>
      <c r="AY10" s="15" t="str">
        <f t="shared" ca="1" si="16"/>
        <v>VIGENTE</v>
      </c>
      <c r="AZ10" s="13">
        <v>45387</v>
      </c>
      <c r="BA10" s="14">
        <v>46041</v>
      </c>
      <c r="BB10" s="14">
        <f>DATE(YEAR(BA10)+2,MONTH(BA10),DAY(BA10))</f>
        <v>46771</v>
      </c>
      <c r="BC10" s="65">
        <f t="shared" ca="1" si="17"/>
        <v>640</v>
      </c>
      <c r="BD10" s="15" t="str">
        <f t="shared" ca="1" si="18"/>
        <v>VIGENTE</v>
      </c>
      <c r="BE10" s="13">
        <v>45310</v>
      </c>
      <c r="BF10" s="14">
        <v>45968</v>
      </c>
      <c r="BG10" s="14">
        <f>DATE(YEAR(BF10)+2,MONTH(BF10),DAY(BF10))</f>
        <v>46698</v>
      </c>
      <c r="BH10" s="65">
        <f t="shared" ca="1" si="19"/>
        <v>567</v>
      </c>
      <c r="BI10" s="15" t="str">
        <f t="shared" ca="1" si="20"/>
        <v>VIGENTE</v>
      </c>
      <c r="BJ10" s="13">
        <v>45372</v>
      </c>
      <c r="BK10" s="14">
        <v>46035</v>
      </c>
      <c r="BL10" s="14">
        <f>DATE(YEAR(BK10)+2,MONTH(BK10),DAY(BK10))</f>
        <v>46765</v>
      </c>
      <c r="BM10" s="65">
        <f t="shared" ca="1" si="21"/>
        <v>634</v>
      </c>
      <c r="BN10" s="15" t="str">
        <f t="shared" ca="1" si="22"/>
        <v>VIGENTE</v>
      </c>
      <c r="BO10" s="13"/>
      <c r="BP10" s="14">
        <v>46050</v>
      </c>
      <c r="BQ10" s="14">
        <f>DATE(YEAR(BP10)+2,MONTH(BP10),DAY(BP10))</f>
        <v>46780</v>
      </c>
      <c r="BR10" s="65">
        <f t="shared" ca="1" si="23"/>
        <v>649</v>
      </c>
      <c r="BS10" s="15" t="str">
        <f t="shared" ca="1" si="24"/>
        <v>VIGENTE</v>
      </c>
      <c r="BT10" s="13">
        <v>45362</v>
      </c>
      <c r="BU10" s="14">
        <v>46031</v>
      </c>
      <c r="BV10" s="14">
        <f>DATE(YEAR(BU10)+2,MONTH(BU10),DAY(BU10))</f>
        <v>46761</v>
      </c>
      <c r="BW10" s="65">
        <f t="shared" ca="1" si="25"/>
        <v>630</v>
      </c>
      <c r="BX10" s="15" t="str">
        <f t="shared" ca="1" si="26"/>
        <v>VIGENTE</v>
      </c>
      <c r="BY10" s="13">
        <v>45316</v>
      </c>
      <c r="BZ10" s="14">
        <v>45974</v>
      </c>
      <c r="CA10" s="14">
        <f t="shared" ref="CA10:CA17" si="169">DATE(YEAR(BZ10)+2,MONTH(BZ10),DAY(BZ10))</f>
        <v>46704</v>
      </c>
      <c r="CB10" s="65">
        <f t="shared" ca="1" si="27"/>
        <v>573</v>
      </c>
      <c r="CC10" s="15" t="str">
        <f t="shared" ca="1" si="28"/>
        <v>VIGENTE</v>
      </c>
      <c r="CD10" s="16" t="s">
        <v>108</v>
      </c>
      <c r="CE10" s="14">
        <v>45281</v>
      </c>
      <c r="CF10" s="14">
        <v>45282</v>
      </c>
      <c r="CG10" s="14">
        <f t="shared" si="29"/>
        <v>46743</v>
      </c>
      <c r="CH10" s="65">
        <f t="shared" ca="1" si="30"/>
        <v>612</v>
      </c>
      <c r="CI10" s="15" t="str">
        <f t="shared" ca="1" si="31"/>
        <v>VIGENTE</v>
      </c>
      <c r="CJ10" s="14">
        <v>45353</v>
      </c>
      <c r="CK10" s="14">
        <v>46018</v>
      </c>
      <c r="CL10" s="14">
        <f>DATE(YEAR(CK10)+2,MONTH(CK10),DAY(CK10))</f>
        <v>46748</v>
      </c>
      <c r="CM10" s="65">
        <f t="shared" ca="1" si="32"/>
        <v>617</v>
      </c>
      <c r="CN10" s="15" t="str">
        <f t="shared" ca="1" si="33"/>
        <v>VIGENTE</v>
      </c>
      <c r="CO10" s="13">
        <v>45379</v>
      </c>
      <c r="CP10" s="14">
        <v>46038</v>
      </c>
      <c r="CQ10" s="14">
        <f>DATE(YEAR(CP10)+2,MONTH(CP10),DAY(CP10))</f>
        <v>46768</v>
      </c>
      <c r="CR10" s="65">
        <f t="shared" ca="1" si="34"/>
        <v>637</v>
      </c>
      <c r="CS10" s="15" t="str">
        <f t="shared" ca="1" si="35"/>
        <v>VIGENTE</v>
      </c>
      <c r="CT10" s="13">
        <v>45361</v>
      </c>
      <c r="CU10" s="14">
        <v>46043</v>
      </c>
      <c r="CV10" s="14">
        <f>DATE(YEAR(CU10)+2,MONTH(CU10),DAY(CU10))</f>
        <v>46773</v>
      </c>
      <c r="CW10" s="65">
        <f t="shared" ca="1" si="36"/>
        <v>642</v>
      </c>
      <c r="CX10" s="15" t="str">
        <f t="shared" ca="1" si="37"/>
        <v>VIGENTE</v>
      </c>
      <c r="CY10" s="13">
        <v>45381</v>
      </c>
      <c r="CZ10" s="14">
        <v>46028</v>
      </c>
      <c r="DA10" s="14">
        <f>DATE(YEAR(CZ10)+2,MONTH(CZ10),DAY(CZ10))</f>
        <v>46758</v>
      </c>
      <c r="DB10" s="65">
        <f t="shared" ca="1" si="38"/>
        <v>627</v>
      </c>
      <c r="DC10" s="15" t="str">
        <f t="shared" ca="1" si="39"/>
        <v>VIGENTE</v>
      </c>
      <c r="DD10" s="14">
        <v>45365</v>
      </c>
      <c r="DE10" s="14">
        <v>46045</v>
      </c>
      <c r="DF10" s="14">
        <f>DATE(YEAR(DE10)+2,MONTH(DE10),DAY(DE10))</f>
        <v>46775</v>
      </c>
      <c r="DG10" s="65">
        <f t="shared" ca="1" si="40"/>
        <v>644</v>
      </c>
      <c r="DH10" s="15" t="str">
        <f t="shared" ca="1" si="41"/>
        <v>VIGENTE</v>
      </c>
      <c r="DI10" s="13">
        <v>45386</v>
      </c>
      <c r="DJ10" s="14">
        <v>46029</v>
      </c>
      <c r="DK10" s="14">
        <f>DATE(YEAR(DJ10)+2,MONTH(DJ10),DAY(DJ10))</f>
        <v>46759</v>
      </c>
      <c r="DL10" s="65">
        <f t="shared" ca="1" si="43"/>
        <v>628</v>
      </c>
      <c r="DM10" s="15" t="str">
        <f t="shared" ca="1" si="44"/>
        <v>VIGENTE</v>
      </c>
      <c r="DN10" s="13"/>
      <c r="DO10" s="14">
        <v>46046</v>
      </c>
      <c r="DP10" s="14">
        <f>DATE(YEAR(DO10)+2,MONTH(DO10),DAY(DO10))</f>
        <v>46776</v>
      </c>
      <c r="DQ10" s="65">
        <f t="shared" ca="1" si="46"/>
        <v>645</v>
      </c>
      <c r="DR10" s="15" t="str">
        <f t="shared" ca="1" si="47"/>
        <v>VIGENTE</v>
      </c>
      <c r="DS10" s="12"/>
      <c r="DT10" s="14">
        <v>46053</v>
      </c>
      <c r="DU10" s="14">
        <f>DATE(YEAR(DT10)+2,MONTH(DT10),DAY(DT10))</f>
        <v>46783</v>
      </c>
      <c r="DV10" s="65">
        <f t="shared" ca="1" si="48"/>
        <v>652</v>
      </c>
      <c r="DW10" s="15" t="str">
        <f t="shared" ca="1" si="49"/>
        <v>VIGENTE</v>
      </c>
      <c r="DX10" s="14">
        <v>45355</v>
      </c>
      <c r="DY10" s="14">
        <v>46032</v>
      </c>
      <c r="DZ10" s="14">
        <f>DATE(YEAR(DY10)+2,MONTH(DY10),DAY(DY10))</f>
        <v>46762</v>
      </c>
      <c r="EA10" s="65">
        <f t="shared" ca="1" si="50"/>
        <v>631</v>
      </c>
      <c r="EB10" s="15" t="str">
        <f t="shared" ca="1" si="51"/>
        <v>VIGENTE</v>
      </c>
      <c r="EC10" s="13"/>
      <c r="ED10" s="14">
        <v>45462</v>
      </c>
      <c r="EE10" s="14">
        <f>DATE(YEAR(ED10)+2,MONTH(ED10),DAY(ED10)-1)</f>
        <v>46191</v>
      </c>
      <c r="EF10" s="65">
        <f t="shared" ca="1" si="52"/>
        <v>60</v>
      </c>
      <c r="EG10" s="15" t="str">
        <f t="shared" ca="1" si="53"/>
        <v>POR VENCER</v>
      </c>
      <c r="EH10" s="13">
        <v>45380</v>
      </c>
      <c r="EI10" s="13">
        <v>45806</v>
      </c>
      <c r="EJ10" s="13">
        <v>45807</v>
      </c>
      <c r="EK10" s="14">
        <v>45808</v>
      </c>
      <c r="EL10" s="14">
        <f t="shared" si="128"/>
        <v>46173</v>
      </c>
      <c r="EM10" s="65">
        <f t="shared" ca="1" si="54"/>
        <v>42</v>
      </c>
      <c r="EN10" s="15" t="str">
        <f t="shared" ca="1" si="55"/>
        <v>POR VENCER</v>
      </c>
      <c r="EO10" s="13">
        <v>45346</v>
      </c>
      <c r="EP10" s="14">
        <v>45983</v>
      </c>
      <c r="EQ10" s="14">
        <f>DATE(YEAR(EP10)+2,MONTH(EP10),DAY(EP10))</f>
        <v>46713</v>
      </c>
      <c r="ER10" s="65">
        <f t="shared" ca="1" si="56"/>
        <v>582</v>
      </c>
      <c r="ES10" s="15" t="str">
        <f t="shared" ca="1" si="57"/>
        <v>VIGENTE</v>
      </c>
      <c r="ET10" s="12"/>
      <c r="EU10" s="14">
        <v>45999</v>
      </c>
      <c r="EV10" s="14">
        <f>DATE(YEAR(EU10)+2,MONTH(EU10),DAY(EU10))</f>
        <v>46729</v>
      </c>
      <c r="EW10" s="65">
        <f t="shared" ca="1" si="58"/>
        <v>598</v>
      </c>
      <c r="EX10" s="15" t="str">
        <f t="shared" ca="1" si="59"/>
        <v>VIGENTE</v>
      </c>
      <c r="EY10" s="13">
        <v>45373</v>
      </c>
      <c r="EZ10" s="14">
        <v>46037</v>
      </c>
      <c r="FA10" s="14">
        <f t="shared" si="142"/>
        <v>46767</v>
      </c>
      <c r="FB10" s="65">
        <f t="shared" ca="1" si="60"/>
        <v>636</v>
      </c>
      <c r="FC10" s="15" t="str">
        <f t="shared" ca="1" si="61"/>
        <v>VIGENTE</v>
      </c>
      <c r="FD10" s="12"/>
      <c r="FE10" s="14">
        <v>45988</v>
      </c>
      <c r="FF10" s="14">
        <f>DATE(YEAR(FE10)+2,MONTH(FE10),DAY(FE10))</f>
        <v>46718</v>
      </c>
      <c r="FG10" s="65">
        <f t="shared" ca="1" si="62"/>
        <v>587</v>
      </c>
      <c r="FH10" s="15" t="str">
        <f t="shared" ca="1" si="63"/>
        <v>VIGENTE</v>
      </c>
      <c r="FI10" s="12"/>
      <c r="FJ10" s="14">
        <v>45992</v>
      </c>
      <c r="FK10" s="14">
        <f t="shared" si="144"/>
        <v>46722</v>
      </c>
      <c r="FL10" s="65">
        <f t="shared" ca="1" si="64"/>
        <v>591</v>
      </c>
      <c r="FM10" s="15" t="str">
        <f t="shared" ca="1" si="65"/>
        <v>VIGENTE</v>
      </c>
      <c r="FN10" s="14">
        <v>45359</v>
      </c>
      <c r="FO10" s="14">
        <v>46039</v>
      </c>
      <c r="FP10" s="14">
        <f>DATE(YEAR(FO10)+2,MONTH(FO10),DAY(FO10))</f>
        <v>46769</v>
      </c>
      <c r="FQ10" s="65">
        <f t="shared" ca="1" si="67"/>
        <v>638</v>
      </c>
      <c r="FR10" s="15" t="str">
        <f t="shared" ca="1" si="68"/>
        <v>VIGENTE</v>
      </c>
      <c r="FS10" s="13">
        <v>45376</v>
      </c>
      <c r="FT10" s="14">
        <v>46034</v>
      </c>
      <c r="FU10" s="14">
        <f>DATE(YEAR(FT10)+2,MONTH(FT10),DAY(FT10))</f>
        <v>46764</v>
      </c>
      <c r="FV10" s="65">
        <f t="shared" ca="1" si="69"/>
        <v>633</v>
      </c>
      <c r="FW10" s="15" t="str">
        <f t="shared" ca="1" si="70"/>
        <v>VIGENTE</v>
      </c>
      <c r="FX10" s="13"/>
      <c r="FY10" s="14">
        <v>46014</v>
      </c>
      <c r="FZ10" s="14">
        <f>DATE(YEAR(FY10)+2,MONTH(FY10),DAY(FY10))</f>
        <v>46744</v>
      </c>
      <c r="GA10" s="65">
        <f t="shared" ca="1" si="71"/>
        <v>613</v>
      </c>
      <c r="GB10" s="15" t="str">
        <f t="shared" ca="1" si="72"/>
        <v>VIGENTE</v>
      </c>
      <c r="GC10" s="13"/>
      <c r="GD10" s="14">
        <v>46003</v>
      </c>
      <c r="GE10" s="14">
        <f>DATE(YEAR(GD10)+2,MONTH(GD10),DAY(GD10))</f>
        <v>46733</v>
      </c>
      <c r="GF10" s="65">
        <f t="shared" ca="1" si="73"/>
        <v>602</v>
      </c>
      <c r="GG10" s="15" t="str">
        <f t="shared" ca="1" si="74"/>
        <v>VIGENTE</v>
      </c>
      <c r="GH10" s="13">
        <v>45391</v>
      </c>
      <c r="GI10" s="14">
        <v>46036</v>
      </c>
      <c r="GJ10" s="14">
        <f>DATE(YEAR(GI10)+2,MONTH(GI10),DAY(GI10))</f>
        <v>46766</v>
      </c>
      <c r="GK10" s="65">
        <f t="shared" ca="1" si="75"/>
        <v>635</v>
      </c>
      <c r="GL10" s="15" t="str">
        <f t="shared" ca="1" si="76"/>
        <v>VIGENTE</v>
      </c>
      <c r="GM10" s="13">
        <v>45368</v>
      </c>
      <c r="GN10" s="14">
        <v>46044</v>
      </c>
      <c r="GO10" s="14">
        <f>DATE(YEAR(GN10)+2,MONTH(GN10),DAY(GN10))</f>
        <v>46774</v>
      </c>
      <c r="GP10" s="65">
        <f t="shared" ca="1" si="77"/>
        <v>643</v>
      </c>
      <c r="GQ10" s="15" t="str">
        <f t="shared" ca="1" si="78"/>
        <v>VIGENTE</v>
      </c>
      <c r="GR10" s="14"/>
      <c r="GS10" s="14">
        <v>45367</v>
      </c>
      <c r="GT10" s="14">
        <f t="shared" si="79"/>
        <v>47193</v>
      </c>
      <c r="GU10" s="65">
        <f t="shared" ca="1" si="80"/>
        <v>1062</v>
      </c>
      <c r="GV10" s="15" t="str">
        <f t="shared" ca="1" si="81"/>
        <v>VIGENTE</v>
      </c>
      <c r="GW10" s="13"/>
      <c r="GX10" s="14">
        <v>45464</v>
      </c>
      <c r="GY10" s="14">
        <f t="shared" si="82"/>
        <v>47290</v>
      </c>
      <c r="GZ10" s="65">
        <f t="shared" ca="1" si="83"/>
        <v>1159</v>
      </c>
      <c r="HA10" s="15" t="str">
        <f t="shared" ca="1" si="84"/>
        <v>VIGENTE</v>
      </c>
      <c r="HB10" s="12"/>
      <c r="HC10" s="14">
        <v>45479</v>
      </c>
      <c r="HD10" s="14">
        <f t="shared" si="85"/>
        <v>47305</v>
      </c>
      <c r="HE10" s="65">
        <f t="shared" ca="1" si="86"/>
        <v>1174</v>
      </c>
      <c r="HF10" s="15" t="str">
        <f t="shared" ca="1" si="87"/>
        <v>VIGENTE</v>
      </c>
      <c r="HG10" s="16"/>
      <c r="HH10" s="14"/>
      <c r="HI10" s="14">
        <f t="shared" si="88"/>
        <v>1827</v>
      </c>
      <c r="HJ10" s="65">
        <f t="shared" ca="1" si="89"/>
        <v>-44304</v>
      </c>
      <c r="HK10" s="15" t="str">
        <f ca="1">IF(HJ10&gt;=61,"VIGENTE",IF(HJ10&gt;=1,"POR VENCER",IF(HJ10&lt;=-1,"PROGRAMAR",IF(HH10=0,"NO APLICA"))))</f>
        <v>PROGRAMAR</v>
      </c>
      <c r="HL10" s="12"/>
      <c r="HM10" s="16"/>
      <c r="HN10" s="14"/>
      <c r="HO10" s="65"/>
      <c r="HP10" s="15" t="str">
        <f t="shared" si="91"/>
        <v>NO APLICA</v>
      </c>
      <c r="HQ10" s="12"/>
      <c r="HR10" s="12"/>
      <c r="HS10" s="14"/>
      <c r="HT10" s="12"/>
      <c r="HU10" s="15" t="str">
        <f t="shared" si="92"/>
        <v>NO APLICA</v>
      </c>
      <c r="HV10" s="12"/>
      <c r="HW10" s="16"/>
      <c r="HX10" s="14"/>
      <c r="HY10" s="65"/>
      <c r="HZ10" s="15" t="str">
        <f t="shared" si="93"/>
        <v>NO APLICA</v>
      </c>
      <c r="IA10" s="12"/>
      <c r="IB10" s="16"/>
      <c r="IC10" s="14"/>
      <c r="ID10" s="65"/>
      <c r="IE10" s="15" t="str">
        <f t="shared" si="94"/>
        <v>NO APLICA</v>
      </c>
      <c r="IF10" s="12"/>
      <c r="IG10" s="16"/>
      <c r="IH10" s="14"/>
      <c r="II10" s="65"/>
      <c r="IJ10" s="15" t="str">
        <f t="shared" si="95"/>
        <v>NO APLICA</v>
      </c>
      <c r="IK10" s="16"/>
      <c r="IL10" s="16"/>
      <c r="IM10" s="14"/>
      <c r="IN10" s="65"/>
      <c r="IO10" s="15" t="str">
        <f t="shared" si="96"/>
        <v>NO APLICA</v>
      </c>
      <c r="IP10" s="12"/>
      <c r="IQ10" s="14"/>
      <c r="IR10" s="14"/>
      <c r="IS10" s="65"/>
      <c r="IT10" s="15" t="str">
        <f t="shared" si="97"/>
        <v>NO APLICA</v>
      </c>
      <c r="IU10" s="12"/>
      <c r="IV10" s="16"/>
      <c r="IW10" s="14"/>
      <c r="IX10" s="65"/>
      <c r="IY10" s="15" t="str">
        <f t="shared" si="98"/>
        <v>NO APLICA</v>
      </c>
      <c r="IZ10" s="12"/>
      <c r="JA10" s="16"/>
      <c r="JB10" s="14"/>
      <c r="JC10" s="65"/>
      <c r="JD10" s="15" t="str">
        <f t="shared" si="99"/>
        <v>NO APLICA</v>
      </c>
      <c r="JE10" s="13"/>
      <c r="JF10" s="13"/>
      <c r="JG10" s="14"/>
      <c r="JH10" s="65"/>
      <c r="JI10" s="15" t="str">
        <f t="shared" si="100"/>
        <v>NO APLICA</v>
      </c>
      <c r="JJ10" s="16"/>
      <c r="JK10" s="16"/>
      <c r="JL10" s="16"/>
      <c r="JM10" s="15" t="str">
        <f t="shared" si="101"/>
        <v>NO APLICA</v>
      </c>
      <c r="JN10" s="16"/>
      <c r="JO10" s="16"/>
      <c r="JP10" s="16"/>
      <c r="JQ10" s="15" t="str">
        <f t="shared" si="102"/>
        <v>NO APLICA</v>
      </c>
      <c r="JR10" s="16"/>
      <c r="JS10" s="16"/>
      <c r="JT10" s="16"/>
      <c r="JU10" s="16"/>
      <c r="JV10" s="15" t="str">
        <f t="shared" si="103"/>
        <v>NO APLICA</v>
      </c>
      <c r="JW10" s="15"/>
      <c r="JX10" s="15"/>
      <c r="JY10" s="15"/>
      <c r="JZ10" s="15"/>
      <c r="KA10" s="15" t="str">
        <f t="shared" si="104"/>
        <v>NO APLICA</v>
      </c>
      <c r="KB10" s="12"/>
      <c r="KC10" s="14"/>
      <c r="KD10" s="65"/>
      <c r="KE10" s="15" t="str">
        <f t="shared" si="105"/>
        <v>NO APLICA</v>
      </c>
      <c r="KF10" s="12"/>
      <c r="KG10" s="14"/>
      <c r="KH10" s="65"/>
      <c r="KI10" s="15" t="str">
        <f t="shared" si="132"/>
        <v>NO APLICA</v>
      </c>
      <c r="KJ10" s="13">
        <v>45364</v>
      </c>
      <c r="KK10" s="14">
        <f>DATE(YEAR(KJ10)+5,MONTH(KJ10),DAY(KJ10))</f>
        <v>47190</v>
      </c>
      <c r="KL10" s="65">
        <f ca="1">KK10-TODAY()</f>
        <v>1059</v>
      </c>
      <c r="KM10" s="15" t="str">
        <f t="shared" ca="1" si="106"/>
        <v>VIGENTE</v>
      </c>
      <c r="KN10" s="12"/>
      <c r="KO10" s="14"/>
      <c r="KP10" s="65"/>
      <c r="KQ10" s="15" t="str">
        <f t="shared" si="133"/>
        <v>NO APLICA</v>
      </c>
      <c r="KR10" s="12"/>
      <c r="KS10" s="16"/>
      <c r="KT10" s="14"/>
      <c r="KU10" s="65"/>
      <c r="KV10" s="15" t="str">
        <f t="shared" si="147"/>
        <v>NO APLICA</v>
      </c>
      <c r="KW10" s="16"/>
      <c r="KX10" s="14"/>
      <c r="KY10" s="65"/>
      <c r="KZ10" s="15" t="str">
        <f t="shared" si="134"/>
        <v>NO APLICA</v>
      </c>
      <c r="LA10" s="16"/>
      <c r="LB10" s="16"/>
      <c r="LC10" s="14"/>
      <c r="LD10" s="65"/>
      <c r="LE10" s="15" t="str">
        <f t="shared" si="107"/>
        <v>NO APLICA</v>
      </c>
      <c r="LF10" s="15"/>
      <c r="LG10" s="15"/>
      <c r="LH10" s="14"/>
      <c r="LI10" s="65"/>
      <c r="LJ10" s="15" t="str">
        <f t="shared" si="148"/>
        <v>NO APLICA</v>
      </c>
      <c r="LK10" s="12"/>
      <c r="LL10" s="16"/>
      <c r="LM10" s="14"/>
      <c r="LN10" s="65"/>
      <c r="LO10" s="15" t="str">
        <f t="shared" si="135"/>
        <v>NO APLICA</v>
      </c>
      <c r="LP10" s="16"/>
      <c r="LQ10" s="16"/>
      <c r="LR10" s="14"/>
      <c r="LS10" s="65"/>
      <c r="LT10" s="15" t="str">
        <f t="shared" si="136"/>
        <v>NO APLICA</v>
      </c>
      <c r="LU10" s="16"/>
      <c r="LV10" s="16"/>
      <c r="LW10" s="14"/>
      <c r="LX10" s="65"/>
      <c r="LY10" s="15" t="str">
        <f t="shared" si="137"/>
        <v>NO APLICA</v>
      </c>
      <c r="LZ10" s="12"/>
      <c r="MA10" s="12"/>
      <c r="MB10" s="14"/>
      <c r="MC10" s="65"/>
      <c r="MD10" s="15" t="str">
        <f t="shared" si="108"/>
        <v>NO APLICA</v>
      </c>
      <c r="ME10" s="12"/>
      <c r="MF10" s="12"/>
      <c r="MG10" s="14"/>
      <c r="MH10" s="65"/>
      <c r="MI10" s="15" t="str">
        <f t="shared" si="109"/>
        <v>NO APLICA</v>
      </c>
      <c r="MJ10" s="12"/>
      <c r="MK10" s="14"/>
      <c r="ML10" s="65"/>
      <c r="MM10" s="15" t="str">
        <f t="shared" si="110"/>
        <v>NO APLICA</v>
      </c>
      <c r="MN10" s="12"/>
      <c r="MO10" s="14"/>
      <c r="MP10" s="12"/>
      <c r="MQ10" s="15" t="str">
        <f t="shared" si="111"/>
        <v>NO APLICA</v>
      </c>
      <c r="MR10" s="12"/>
      <c r="MS10" s="16"/>
      <c r="MT10" s="14"/>
      <c r="MU10" s="65"/>
      <c r="MV10" s="15" t="str">
        <f t="shared" si="112"/>
        <v>NO APLICA</v>
      </c>
      <c r="MW10" s="12"/>
      <c r="MX10" s="16"/>
      <c r="MY10" s="14"/>
      <c r="MZ10" s="65"/>
      <c r="NA10" s="15" t="str">
        <f t="shared" si="113"/>
        <v>NO APLICA</v>
      </c>
      <c r="NB10" s="12"/>
      <c r="NC10" s="16"/>
      <c r="ND10" s="14"/>
      <c r="NE10" s="65"/>
      <c r="NF10" s="15" t="str">
        <f t="shared" si="114"/>
        <v>NO APLICA</v>
      </c>
      <c r="NG10" s="12"/>
      <c r="NH10" s="12"/>
      <c r="NI10" s="14"/>
      <c r="NJ10" s="65"/>
      <c r="NK10" s="15" t="str">
        <f t="shared" si="115"/>
        <v>NO APLICA</v>
      </c>
      <c r="NL10" s="12"/>
      <c r="NM10" s="12"/>
      <c r="NN10" s="14"/>
      <c r="NO10" s="12"/>
      <c r="NP10" s="15" t="str">
        <f t="shared" si="116"/>
        <v>NO APLICA</v>
      </c>
      <c r="NQ10" s="16"/>
      <c r="NR10" s="16"/>
      <c r="NS10" s="14"/>
      <c r="NT10" s="65"/>
      <c r="NU10" s="15" t="str">
        <f t="shared" si="117"/>
        <v>NO APLICA</v>
      </c>
      <c r="NV10" s="16"/>
      <c r="NW10" s="16"/>
      <c r="NX10" s="16"/>
      <c r="NY10" s="16"/>
      <c r="NZ10" s="15" t="str">
        <f t="shared" si="118"/>
        <v>NO APLICA</v>
      </c>
    </row>
    <row r="11" spans="1:390" ht="15.6" thickTop="1" thickBot="1" x14ac:dyDescent="0.35">
      <c r="A11" s="9">
        <v>975</v>
      </c>
      <c r="B11" s="10" t="s">
        <v>130</v>
      </c>
      <c r="C11" s="21" t="s">
        <v>104</v>
      </c>
      <c r="D11" s="64" t="s">
        <v>131</v>
      </c>
      <c r="E11" s="15"/>
      <c r="F11" s="16"/>
      <c r="G11" s="14"/>
      <c r="H11" s="65"/>
      <c r="I11" s="15" t="str">
        <f t="shared" si="0"/>
        <v>NO APLICA</v>
      </c>
      <c r="J11" s="12"/>
      <c r="K11" s="16"/>
      <c r="L11" s="16"/>
      <c r="M11" s="65"/>
      <c r="N11" s="15" t="str">
        <f t="shared" si="1"/>
        <v>NO APLICA</v>
      </c>
      <c r="O11" s="16"/>
      <c r="P11" s="16"/>
      <c r="Q11" s="14"/>
      <c r="R11" s="65"/>
      <c r="S11" s="15" t="str">
        <f t="shared" si="119"/>
        <v>NO APLICA</v>
      </c>
      <c r="T11" s="12" t="s">
        <v>132</v>
      </c>
      <c r="U11" s="14">
        <v>44837</v>
      </c>
      <c r="V11" s="14">
        <v>44838</v>
      </c>
      <c r="W11" s="14">
        <f t="shared" si="2"/>
        <v>46664</v>
      </c>
      <c r="X11" s="65">
        <f t="shared" ca="1" si="3"/>
        <v>533</v>
      </c>
      <c r="Y11" s="15" t="str">
        <f t="shared" ca="1" si="4"/>
        <v>VIGENTE</v>
      </c>
      <c r="Z11" s="12" t="s">
        <v>133</v>
      </c>
      <c r="AA11" s="14">
        <v>44827</v>
      </c>
      <c r="AB11" s="14">
        <v>44828</v>
      </c>
      <c r="AC11" s="14">
        <f t="shared" si="5"/>
        <v>46654</v>
      </c>
      <c r="AD11" s="65">
        <f t="shared" ca="1" si="6"/>
        <v>523</v>
      </c>
      <c r="AE11" s="15" t="str">
        <f t="shared" ca="1" si="7"/>
        <v>VIGENTE</v>
      </c>
      <c r="AF11" s="13">
        <v>44928</v>
      </c>
      <c r="AG11" s="13">
        <v>45594</v>
      </c>
      <c r="AH11" s="14">
        <f>DATE(YEAR(AG11)+2,MONTH(AG11),DAY(AG11)-1)</f>
        <v>46323</v>
      </c>
      <c r="AI11" s="65">
        <f t="shared" ca="1" si="8"/>
        <v>192</v>
      </c>
      <c r="AJ11" s="15" t="str">
        <f t="shared" ca="1" si="9"/>
        <v>VIGENTE</v>
      </c>
      <c r="AK11" s="13">
        <v>45269</v>
      </c>
      <c r="AL11" s="14">
        <v>45926</v>
      </c>
      <c r="AM11" s="14">
        <f>DATE(YEAR(AL11)+2,MONTH(AL11),DAY(AL11))</f>
        <v>46656</v>
      </c>
      <c r="AN11" s="65">
        <f t="shared" ca="1" si="10"/>
        <v>525</v>
      </c>
      <c r="AO11" s="15" t="str">
        <f t="shared" ca="1" si="11"/>
        <v>VIGENTE</v>
      </c>
      <c r="AP11" s="13">
        <v>45298</v>
      </c>
      <c r="AQ11" s="14">
        <v>45971</v>
      </c>
      <c r="AR11" s="14">
        <f>DATE(YEAR(AQ11)+2,MONTH(AQ11),DAY(AQ11))</f>
        <v>46701</v>
      </c>
      <c r="AS11" s="65">
        <f t="shared" ca="1" si="12"/>
        <v>570</v>
      </c>
      <c r="AT11" s="15" t="str">
        <f t="shared" ca="1" si="13"/>
        <v>VIGENTE</v>
      </c>
      <c r="AU11" s="13">
        <v>45323</v>
      </c>
      <c r="AV11" s="14">
        <v>45972</v>
      </c>
      <c r="AW11" s="14">
        <f>DATE(YEAR(AV11)+2,MONTH(AV11),DAY(AV11))</f>
        <v>46702</v>
      </c>
      <c r="AX11" s="65">
        <f t="shared" ca="1" si="15"/>
        <v>571</v>
      </c>
      <c r="AY11" s="15" t="str">
        <f t="shared" ca="1" si="16"/>
        <v>VIGENTE</v>
      </c>
      <c r="AZ11" s="13">
        <v>45387</v>
      </c>
      <c r="BA11" s="14">
        <v>46041</v>
      </c>
      <c r="BB11" s="14">
        <f>DATE(YEAR(BA11)+2,MONTH(BA11),DAY(BA11))</f>
        <v>46771</v>
      </c>
      <c r="BC11" s="65">
        <f t="shared" ca="1" si="17"/>
        <v>640</v>
      </c>
      <c r="BD11" s="15" t="str">
        <f t="shared" ca="1" si="18"/>
        <v>VIGENTE</v>
      </c>
      <c r="BE11" s="13">
        <v>44688</v>
      </c>
      <c r="BF11" s="14">
        <v>45987</v>
      </c>
      <c r="BG11" s="14">
        <f>DATE(YEAR(BF11)+2,MONTH(BF11),DAY(BF11))</f>
        <v>46717</v>
      </c>
      <c r="BH11" s="65">
        <f t="shared" ca="1" si="19"/>
        <v>586</v>
      </c>
      <c r="BI11" s="15" t="str">
        <f t="shared" ca="1" si="20"/>
        <v>VIGENTE</v>
      </c>
      <c r="BJ11" s="13">
        <v>44726</v>
      </c>
      <c r="BK11" s="14">
        <v>46051</v>
      </c>
      <c r="BL11" s="14">
        <f>DATE(YEAR(BK11)+2,MONTH(BK11),DAY(BK11))</f>
        <v>46781</v>
      </c>
      <c r="BM11" s="65">
        <f t="shared" ca="1" si="21"/>
        <v>650</v>
      </c>
      <c r="BN11" s="15" t="str">
        <f t="shared" ca="1" si="22"/>
        <v>VIGENTE</v>
      </c>
      <c r="BO11" s="13">
        <v>44744</v>
      </c>
      <c r="BP11" s="14">
        <v>46069</v>
      </c>
      <c r="BQ11" s="14">
        <f>DATE(YEAR(BP11)+2,MONTH(BP11),DAY(BP11))</f>
        <v>46799</v>
      </c>
      <c r="BR11" s="65">
        <f t="shared" ca="1" si="23"/>
        <v>668</v>
      </c>
      <c r="BS11" s="15" t="str">
        <f t="shared" ca="1" si="24"/>
        <v>VIGENTE</v>
      </c>
      <c r="BT11" s="13">
        <v>44733</v>
      </c>
      <c r="BU11" s="14">
        <v>46063</v>
      </c>
      <c r="BV11" s="14">
        <f>DATE(YEAR(BU11)+2,MONTH(BU11),DAY(BU11))</f>
        <v>46793</v>
      </c>
      <c r="BW11" s="65">
        <f t="shared" ca="1" si="25"/>
        <v>662</v>
      </c>
      <c r="BX11" s="15" t="str">
        <f t="shared" ca="1" si="26"/>
        <v>VIGENTE</v>
      </c>
      <c r="BY11" s="13">
        <v>44594</v>
      </c>
      <c r="BZ11" s="14">
        <v>45944</v>
      </c>
      <c r="CA11" s="14">
        <f t="shared" si="169"/>
        <v>46674</v>
      </c>
      <c r="CB11" s="65">
        <f t="shared" ca="1" si="27"/>
        <v>543</v>
      </c>
      <c r="CC11" s="15" t="str">
        <f t="shared" ca="1" si="28"/>
        <v>VIGENTE</v>
      </c>
      <c r="CD11" s="16" t="s">
        <v>108</v>
      </c>
      <c r="CE11" s="14">
        <v>45226</v>
      </c>
      <c r="CF11" s="14">
        <v>45227</v>
      </c>
      <c r="CG11" s="14">
        <f t="shared" si="29"/>
        <v>46688</v>
      </c>
      <c r="CH11" s="65">
        <f t="shared" ca="1" si="30"/>
        <v>557</v>
      </c>
      <c r="CI11" s="15" t="str">
        <f t="shared" ca="1" si="31"/>
        <v>VIGENTE</v>
      </c>
      <c r="CJ11" s="14">
        <v>44881</v>
      </c>
      <c r="CK11" s="14">
        <v>45504</v>
      </c>
      <c r="CL11" s="14">
        <f>DATE(YEAR(CK11)+2,MONTH(CK11),DAY(CK11)-1)</f>
        <v>46233</v>
      </c>
      <c r="CM11" s="65">
        <f t="shared" ca="1" si="32"/>
        <v>102</v>
      </c>
      <c r="CN11" s="15" t="str">
        <f t="shared" ca="1" si="33"/>
        <v>VIGENTE</v>
      </c>
      <c r="CO11" s="13">
        <v>44900</v>
      </c>
      <c r="CP11" s="14">
        <v>45517</v>
      </c>
      <c r="CQ11" s="14">
        <f>DATE(YEAR(CP11)+2,MONTH(CP11),DAY(CP11)-1)</f>
        <v>46246</v>
      </c>
      <c r="CR11" s="65">
        <f t="shared" ca="1" si="34"/>
        <v>115</v>
      </c>
      <c r="CS11" s="15" t="str">
        <f t="shared" ca="1" si="35"/>
        <v>VIGENTE</v>
      </c>
      <c r="CT11" s="13">
        <v>44970</v>
      </c>
      <c r="CU11" s="14">
        <v>45631</v>
      </c>
      <c r="CV11" s="14">
        <f>DATE(YEAR(CU11)+2,MONTH(CU11),DAY(CU11)-1)</f>
        <v>46360</v>
      </c>
      <c r="CW11" s="65">
        <f t="shared" ca="1" si="36"/>
        <v>229</v>
      </c>
      <c r="CX11" s="15" t="str">
        <f t="shared" ca="1" si="37"/>
        <v>VIGENTE</v>
      </c>
      <c r="CY11" s="13">
        <v>44991</v>
      </c>
      <c r="CZ11" s="14">
        <v>45665</v>
      </c>
      <c r="DA11" s="14">
        <f>DATE(YEAR(CZ11)+2,MONTH(CZ11),DAY(CZ11)-1)</f>
        <v>46394</v>
      </c>
      <c r="DB11" s="65">
        <f t="shared" ca="1" si="38"/>
        <v>263</v>
      </c>
      <c r="DC11" s="15" t="str">
        <f t="shared" ca="1" si="39"/>
        <v>VIGENTE</v>
      </c>
      <c r="DD11" s="13">
        <v>45029</v>
      </c>
      <c r="DE11" s="14">
        <v>45689</v>
      </c>
      <c r="DF11" s="14">
        <f>DATE(YEAR(DE11)+2,MONTH(DE11),DAY(DE11)-1)</f>
        <v>46418</v>
      </c>
      <c r="DG11" s="65">
        <f t="shared" ca="1" si="40"/>
        <v>287</v>
      </c>
      <c r="DH11" s="15" t="str">
        <f t="shared" ca="1" si="41"/>
        <v>VIGENTE</v>
      </c>
      <c r="DI11" s="13">
        <v>44914</v>
      </c>
      <c r="DJ11" s="14">
        <v>45562</v>
      </c>
      <c r="DK11" s="14">
        <f>DATE(YEAR(DJ11)+2,MONTH(DJ11),DAY(DJ11)-1)</f>
        <v>46291</v>
      </c>
      <c r="DL11" s="65">
        <f t="shared" ca="1" si="43"/>
        <v>160</v>
      </c>
      <c r="DM11" s="15" t="str">
        <f t="shared" ca="1" si="44"/>
        <v>VIGENTE</v>
      </c>
      <c r="DN11" s="13">
        <v>45325</v>
      </c>
      <c r="DO11" s="14">
        <v>45982</v>
      </c>
      <c r="DP11" s="14">
        <f>DATE(YEAR(DO11)+2,MONTH(DO11),DAY(DO11))</f>
        <v>46712</v>
      </c>
      <c r="DQ11" s="65">
        <f t="shared" ca="1" si="46"/>
        <v>581</v>
      </c>
      <c r="DR11" s="15" t="str">
        <f t="shared" ca="1" si="47"/>
        <v>VIGENTE</v>
      </c>
      <c r="DS11" s="13">
        <v>44734</v>
      </c>
      <c r="DT11" s="14">
        <v>46053</v>
      </c>
      <c r="DU11" s="14">
        <f>DATE(YEAR(DT11)+2,MONTH(DT11),DAY(DT11))</f>
        <v>46783</v>
      </c>
      <c r="DV11" s="65">
        <f t="shared" ca="1" si="48"/>
        <v>652</v>
      </c>
      <c r="DW11" s="15" t="str">
        <f t="shared" ca="1" si="49"/>
        <v>VIGENTE</v>
      </c>
      <c r="DX11" s="13">
        <v>45064</v>
      </c>
      <c r="DY11" s="14">
        <v>45682</v>
      </c>
      <c r="DZ11" s="14">
        <f>DATE(YEAR(DY11)+2,MONTH(DY11),DAY(DY11)-1)</f>
        <v>46411</v>
      </c>
      <c r="EA11" s="65">
        <f t="shared" ca="1" si="50"/>
        <v>280</v>
      </c>
      <c r="EB11" s="15" t="str">
        <f t="shared" ca="1" si="51"/>
        <v>VIGENTE</v>
      </c>
      <c r="EC11" s="13">
        <v>44982</v>
      </c>
      <c r="ED11" s="14">
        <v>45642</v>
      </c>
      <c r="EE11" s="14">
        <f>DATE(YEAR(ED11)+2,MONTH(ED11),DAY(ED11)-1)</f>
        <v>46371</v>
      </c>
      <c r="EF11" s="65">
        <f t="shared" ca="1" si="52"/>
        <v>240</v>
      </c>
      <c r="EG11" s="15" t="str">
        <f t="shared" ca="1" si="53"/>
        <v>VIGENTE</v>
      </c>
      <c r="EH11" s="13">
        <v>45750</v>
      </c>
      <c r="EI11" s="13">
        <v>46083</v>
      </c>
      <c r="EJ11" s="13">
        <v>46084</v>
      </c>
      <c r="EK11" s="13">
        <v>46085</v>
      </c>
      <c r="EL11" s="14">
        <f t="shared" si="128"/>
        <v>46450</v>
      </c>
      <c r="EM11" s="65">
        <f t="shared" ca="1" si="54"/>
        <v>319</v>
      </c>
      <c r="EN11" s="15" t="str">
        <f t="shared" ca="1" si="55"/>
        <v>VIGENTE</v>
      </c>
      <c r="EO11" s="13">
        <v>44993</v>
      </c>
      <c r="EP11" s="14">
        <v>45671</v>
      </c>
      <c r="EQ11" s="14">
        <f>DATE(YEAR(EP11)+2,MONTH(EP11),DAY(EP11)-1)</f>
        <v>46400</v>
      </c>
      <c r="ER11" s="65">
        <f t="shared" ca="1" si="56"/>
        <v>269</v>
      </c>
      <c r="ES11" s="15" t="str">
        <f t="shared" ca="1" si="57"/>
        <v>VIGENTE</v>
      </c>
      <c r="ET11" s="13">
        <v>44732</v>
      </c>
      <c r="EU11" s="14">
        <v>46094</v>
      </c>
      <c r="EV11" s="14">
        <f>DATE(YEAR(EU11)+2,MONTH(EU11),DAY(EU11))</f>
        <v>46825</v>
      </c>
      <c r="EW11" s="65">
        <f t="shared" ca="1" si="58"/>
        <v>694</v>
      </c>
      <c r="EX11" s="15" t="str">
        <f t="shared" ca="1" si="59"/>
        <v>VIGENTE</v>
      </c>
      <c r="EY11" s="13">
        <v>44595</v>
      </c>
      <c r="EZ11" s="14">
        <v>45953</v>
      </c>
      <c r="FA11" s="14">
        <f t="shared" si="142"/>
        <v>46683</v>
      </c>
      <c r="FB11" s="65">
        <f t="shared" ca="1" si="60"/>
        <v>552</v>
      </c>
      <c r="FC11" s="15" t="str">
        <f t="shared" ca="1" si="61"/>
        <v>VIGENTE</v>
      </c>
      <c r="FD11" s="13">
        <v>45280</v>
      </c>
      <c r="FE11" s="14">
        <v>45931</v>
      </c>
      <c r="FF11" s="14">
        <f>DATE(YEAR(FE11)+2,MONTH(FE11),DAY(FE11))</f>
        <v>46661</v>
      </c>
      <c r="FG11" s="65">
        <f t="shared" ca="1" si="62"/>
        <v>530</v>
      </c>
      <c r="FH11" s="15" t="str">
        <f t="shared" ca="1" si="63"/>
        <v>VIGENTE</v>
      </c>
      <c r="FI11" s="13">
        <v>45282</v>
      </c>
      <c r="FJ11" s="14">
        <v>45932</v>
      </c>
      <c r="FK11" s="14">
        <f t="shared" si="144"/>
        <v>46662</v>
      </c>
      <c r="FL11" s="65">
        <f t="shared" ca="1" si="64"/>
        <v>531</v>
      </c>
      <c r="FM11" s="15" t="str">
        <f t="shared" ca="1" si="65"/>
        <v>VIGENTE</v>
      </c>
      <c r="FN11" s="13">
        <v>45062</v>
      </c>
      <c r="FO11" s="14">
        <v>45670</v>
      </c>
      <c r="FP11" s="14">
        <f>DATE(YEAR(FO11)+2,MONTH(FO11),DAY(FO11)-1)</f>
        <v>46399</v>
      </c>
      <c r="FQ11" s="65">
        <f t="shared" ca="1" si="67"/>
        <v>268</v>
      </c>
      <c r="FR11" s="15" t="str">
        <f t="shared" ca="1" si="68"/>
        <v>VIGENTE</v>
      </c>
      <c r="FS11" s="13">
        <v>44925</v>
      </c>
      <c r="FT11" s="14">
        <v>45556</v>
      </c>
      <c r="FU11" s="14">
        <f>DATE(YEAR(FT11)+2,MONTH(FT11),DAY(FT11)-1)</f>
        <v>46285</v>
      </c>
      <c r="FV11" s="65">
        <f t="shared" ca="1" si="69"/>
        <v>154</v>
      </c>
      <c r="FW11" s="15" t="str">
        <f t="shared" ca="1" si="70"/>
        <v>VIGENTE</v>
      </c>
      <c r="FX11" s="13">
        <v>44596</v>
      </c>
      <c r="FY11" s="14">
        <v>45941</v>
      </c>
      <c r="FZ11" s="14">
        <f>DATE(YEAR(FY11)+2,MONTH(FY11),DAY(FY11))</f>
        <v>46671</v>
      </c>
      <c r="GA11" s="65">
        <f t="shared" ca="1" si="71"/>
        <v>540</v>
      </c>
      <c r="GB11" s="15" t="str">
        <f t="shared" ca="1" si="72"/>
        <v>VIGENTE</v>
      </c>
      <c r="GC11" s="13">
        <v>44735</v>
      </c>
      <c r="GD11" s="14">
        <v>46073</v>
      </c>
      <c r="GE11" s="14">
        <f>DATE(YEAR(GD11)+2,MONTH(GD11),DAY(GD11))</f>
        <v>46803</v>
      </c>
      <c r="GF11" s="65">
        <f t="shared" ca="1" si="73"/>
        <v>672</v>
      </c>
      <c r="GG11" s="15" t="str">
        <f t="shared" ca="1" si="74"/>
        <v>VIGENTE</v>
      </c>
      <c r="GH11" s="13">
        <v>45022</v>
      </c>
      <c r="GI11" s="14">
        <v>45672</v>
      </c>
      <c r="GJ11" s="14">
        <f>DATE(YEAR(GI11)+2,MONTH(GI11),DAY(GI11)-1)</f>
        <v>46401</v>
      </c>
      <c r="GK11" s="65">
        <f t="shared" ca="1" si="75"/>
        <v>270</v>
      </c>
      <c r="GL11" s="15" t="str">
        <f t="shared" ca="1" si="76"/>
        <v>VIGENTE</v>
      </c>
      <c r="GM11" s="13">
        <v>45247</v>
      </c>
      <c r="GN11" s="14">
        <v>45923</v>
      </c>
      <c r="GO11" s="14">
        <f>DATE(YEAR(GN11)+2,MONTH(GN11),DAY(GN11))</f>
        <v>46653</v>
      </c>
      <c r="GP11" s="65">
        <f t="shared" ca="1" si="77"/>
        <v>522</v>
      </c>
      <c r="GQ11" s="15" t="str">
        <f t="shared" ca="1" si="78"/>
        <v>VIGENTE</v>
      </c>
      <c r="GR11" s="14">
        <v>44572</v>
      </c>
      <c r="GS11" s="14">
        <v>45244</v>
      </c>
      <c r="GT11" s="14">
        <f t="shared" si="79"/>
        <v>47071</v>
      </c>
      <c r="GU11" s="65">
        <f t="shared" ca="1" si="80"/>
        <v>940</v>
      </c>
      <c r="GV11" s="15" t="str">
        <f t="shared" ca="1" si="81"/>
        <v>VIGENTE</v>
      </c>
      <c r="GW11" s="13">
        <v>44574</v>
      </c>
      <c r="GX11" s="14">
        <v>45245</v>
      </c>
      <c r="GY11" s="14">
        <f t="shared" si="82"/>
        <v>47072</v>
      </c>
      <c r="GZ11" s="65">
        <f t="shared" ca="1" si="83"/>
        <v>941</v>
      </c>
      <c r="HA11" s="15" t="str">
        <f t="shared" ca="1" si="84"/>
        <v>VIGENTE</v>
      </c>
      <c r="HB11" s="13">
        <v>44566</v>
      </c>
      <c r="HC11" s="14">
        <v>45251</v>
      </c>
      <c r="HD11" s="14">
        <f t="shared" si="85"/>
        <v>47078</v>
      </c>
      <c r="HE11" s="65">
        <f t="shared" ca="1" si="86"/>
        <v>947</v>
      </c>
      <c r="HF11" s="15" t="str">
        <f t="shared" ca="1" si="87"/>
        <v>VIGENTE</v>
      </c>
      <c r="HG11" s="16"/>
      <c r="HH11" s="14">
        <v>44865</v>
      </c>
      <c r="HI11" s="14">
        <f t="shared" si="88"/>
        <v>46691</v>
      </c>
      <c r="HJ11" s="65">
        <f t="shared" ca="1" si="89"/>
        <v>560</v>
      </c>
      <c r="HK11" s="15" t="str">
        <f ca="1">IF(HJ11&gt;=61,"VIGENTE",IF(HJ11&gt;=1,"POR VENCER",IF(HJ11&lt;=-1,"VENCIDA",IF(HH11=0,"NO APLICA"))))</f>
        <v>VIGENTE</v>
      </c>
      <c r="HL11" s="13">
        <v>44635</v>
      </c>
      <c r="HM11" s="14">
        <v>45370</v>
      </c>
      <c r="HN11" s="14">
        <f>DATE(YEAR(HM11)+5,MONTH(HM11),DAY(HM11))</f>
        <v>47196</v>
      </c>
      <c r="HO11" s="65">
        <f ca="1">HN11-TODAY()</f>
        <v>1065</v>
      </c>
      <c r="HP11" s="15" t="str">
        <f t="shared" ca="1" si="91"/>
        <v>VIGENTE</v>
      </c>
      <c r="HQ11" s="13">
        <v>45374</v>
      </c>
      <c r="HR11" s="13">
        <v>45698</v>
      </c>
      <c r="HS11" s="14">
        <f>DATE(YEAR(HR11)+5,MONTH(HR11),DAY(HR11))</f>
        <v>47524</v>
      </c>
      <c r="HT11" s="65">
        <f ca="1">HS11-TODAY()</f>
        <v>1393</v>
      </c>
      <c r="HU11" s="15" t="str">
        <f t="shared" ca="1" si="92"/>
        <v>VIGENTE</v>
      </c>
      <c r="HV11" s="13">
        <v>44560</v>
      </c>
      <c r="HW11" s="14">
        <v>45243</v>
      </c>
      <c r="HX11" s="14">
        <f>DATE(YEAR(HW11)+5,MONTH(HW11),DAY(HW11))</f>
        <v>47070</v>
      </c>
      <c r="HY11" s="65">
        <f ca="1">HX11-TODAY()</f>
        <v>939</v>
      </c>
      <c r="HZ11" s="15" t="str">
        <f t="shared" ca="1" si="93"/>
        <v>VIGENTE</v>
      </c>
      <c r="IA11" s="13">
        <v>44557</v>
      </c>
      <c r="IB11" s="14">
        <v>45270</v>
      </c>
      <c r="IC11" s="14">
        <f>DATE(YEAR(IB11)+5,MONTH(IB11),DAY(IB11))</f>
        <v>47097</v>
      </c>
      <c r="ID11" s="65">
        <f ca="1">IC11-TODAY()</f>
        <v>966</v>
      </c>
      <c r="IE11" s="15" t="str">
        <f t="shared" ca="1" si="94"/>
        <v>VIGENTE</v>
      </c>
      <c r="IF11" s="13">
        <v>44558</v>
      </c>
      <c r="IG11" s="14">
        <v>45236</v>
      </c>
      <c r="IH11" s="14">
        <f>DATE(YEAR(IG11)+5,MONTH(IG11),DAY(IG11))</f>
        <v>47063</v>
      </c>
      <c r="II11" s="65">
        <f ca="1">IH11-TODAY()</f>
        <v>932</v>
      </c>
      <c r="IJ11" s="15" t="str">
        <f t="shared" ca="1" si="95"/>
        <v>VIGENTE</v>
      </c>
      <c r="IK11" s="14">
        <v>44559</v>
      </c>
      <c r="IL11" s="14">
        <v>45290</v>
      </c>
      <c r="IM11" s="14">
        <f>DATE(YEAR(IL11)+5,MONTH(IL11),DAY(IL11))</f>
        <v>47117</v>
      </c>
      <c r="IN11" s="65">
        <f ca="1">IM11-TODAY()</f>
        <v>986</v>
      </c>
      <c r="IO11" s="15" t="str">
        <f t="shared" ca="1" si="96"/>
        <v>VIGENTE</v>
      </c>
      <c r="IP11" s="13">
        <v>44559</v>
      </c>
      <c r="IQ11" s="14">
        <v>45304</v>
      </c>
      <c r="IR11" s="14">
        <f>DATE(YEAR(IQ11)+5,MONTH(IQ11),DAY(IQ11))</f>
        <v>47131</v>
      </c>
      <c r="IS11" s="65">
        <f ca="1">IR11-TODAY()</f>
        <v>1000</v>
      </c>
      <c r="IT11" s="15" t="str">
        <f t="shared" ca="1" si="97"/>
        <v>VIGENTE</v>
      </c>
      <c r="IU11" s="13">
        <v>44558</v>
      </c>
      <c r="IV11" s="14">
        <v>45191</v>
      </c>
      <c r="IW11" s="14">
        <f>DATE(YEAR(IV11)+5,MONTH(IV11),DAY(IV11))</f>
        <v>47018</v>
      </c>
      <c r="IX11" s="65">
        <f ca="1">IW11-TODAY()</f>
        <v>887</v>
      </c>
      <c r="IY11" s="15" t="str">
        <f t="shared" ca="1" si="98"/>
        <v>VIGENTE</v>
      </c>
      <c r="IZ11" s="13">
        <v>44557</v>
      </c>
      <c r="JA11" s="14">
        <v>45289</v>
      </c>
      <c r="JB11" s="14">
        <f>DATE(YEAR(JA11)+5,MONTH(JA11),DAY(JA11))</f>
        <v>47116</v>
      </c>
      <c r="JC11" s="65">
        <f ca="1">JB11-TODAY()</f>
        <v>985</v>
      </c>
      <c r="JD11" s="15" t="str">
        <f t="shared" ca="1" si="99"/>
        <v>VIGENTE</v>
      </c>
      <c r="JE11" s="13"/>
      <c r="JF11" s="13"/>
      <c r="JG11" s="14"/>
      <c r="JH11" s="65"/>
      <c r="JI11" s="15" t="str">
        <f t="shared" si="100"/>
        <v>NO APLICA</v>
      </c>
      <c r="JJ11" s="16"/>
      <c r="JK11" s="16"/>
      <c r="JL11" s="16"/>
      <c r="JM11" s="15" t="str">
        <f t="shared" si="101"/>
        <v>NO APLICA</v>
      </c>
      <c r="JN11" s="16"/>
      <c r="JO11" s="16"/>
      <c r="JP11" s="16"/>
      <c r="JQ11" s="15" t="str">
        <f t="shared" si="102"/>
        <v>NO APLICA</v>
      </c>
      <c r="JR11" s="16"/>
      <c r="JS11" s="16"/>
      <c r="JT11" s="16"/>
      <c r="JU11" s="16"/>
      <c r="JV11" s="15" t="str">
        <f t="shared" si="103"/>
        <v>NO APLICA</v>
      </c>
      <c r="JW11" s="15"/>
      <c r="JX11" s="15"/>
      <c r="JY11" s="15"/>
      <c r="JZ11" s="15"/>
      <c r="KA11" s="15" t="str">
        <f t="shared" si="104"/>
        <v>NO APLICA</v>
      </c>
      <c r="KB11" s="12"/>
      <c r="KC11" s="14"/>
      <c r="KD11" s="65"/>
      <c r="KE11" s="15" t="str">
        <f t="shared" si="105"/>
        <v>NO APLICA</v>
      </c>
      <c r="KF11" s="12"/>
      <c r="KG11" s="14"/>
      <c r="KH11" s="65"/>
      <c r="KI11" s="15" t="str">
        <f t="shared" si="132"/>
        <v>NO APLICA</v>
      </c>
      <c r="KJ11" s="12"/>
      <c r="KK11" s="14"/>
      <c r="KL11" s="65"/>
      <c r="KM11" s="15" t="str">
        <f t="shared" si="106"/>
        <v>NO APLICA</v>
      </c>
      <c r="KN11" s="12"/>
      <c r="KO11" s="14"/>
      <c r="KP11" s="65"/>
      <c r="KQ11" s="15" t="str">
        <f t="shared" si="133"/>
        <v>NO APLICA</v>
      </c>
      <c r="KR11" s="14">
        <v>44652</v>
      </c>
      <c r="KS11" s="14">
        <v>44653</v>
      </c>
      <c r="KT11" s="14">
        <f>DATE(YEAR(KS11)+5,MONTH(KS11),DAY(KS11))</f>
        <v>46479</v>
      </c>
      <c r="KU11" s="65">
        <f ca="1">KT11-TODAY()</f>
        <v>348</v>
      </c>
      <c r="KV11" s="15" t="str">
        <f t="shared" ca="1" si="147"/>
        <v>VIGENTE</v>
      </c>
      <c r="KW11" s="16"/>
      <c r="KX11" s="14"/>
      <c r="KY11" s="65"/>
      <c r="KZ11" s="15" t="str">
        <f t="shared" si="134"/>
        <v>NO APLICA</v>
      </c>
      <c r="LA11" s="14">
        <v>45611</v>
      </c>
      <c r="LB11" s="14">
        <v>45615</v>
      </c>
      <c r="LC11" s="14">
        <f>DATE(YEAR(LB11)+2,MONTH(LB11),DAY(LB11))</f>
        <v>46345</v>
      </c>
      <c r="LD11" s="65">
        <f ca="1">LC11-TODAY()</f>
        <v>214</v>
      </c>
      <c r="LE11" s="15" t="str">
        <f t="shared" ca="1" si="107"/>
        <v>VIGENTE</v>
      </c>
      <c r="LF11" s="15"/>
      <c r="LG11" s="15"/>
      <c r="LH11" s="14"/>
      <c r="LI11" s="65"/>
      <c r="LJ11" s="15" t="str">
        <f t="shared" si="148"/>
        <v>NO APLICA</v>
      </c>
      <c r="LK11" s="12"/>
      <c r="LL11" s="16"/>
      <c r="LM11" s="14"/>
      <c r="LN11" s="65"/>
      <c r="LO11" s="15" t="str">
        <f t="shared" si="135"/>
        <v>NO APLICA</v>
      </c>
      <c r="LP11" s="16"/>
      <c r="LQ11" s="16"/>
      <c r="LR11" s="14"/>
      <c r="LS11" s="65"/>
      <c r="LT11" s="15" t="str">
        <f t="shared" si="136"/>
        <v>NO APLICA</v>
      </c>
      <c r="LU11" s="16"/>
      <c r="LV11" s="16"/>
      <c r="LW11" s="14"/>
      <c r="LX11" s="65"/>
      <c r="LY11" s="15" t="str">
        <f t="shared" si="137"/>
        <v>NO APLICA</v>
      </c>
      <c r="LZ11" s="12"/>
      <c r="MA11" s="12"/>
      <c r="MB11" s="14"/>
      <c r="MC11" s="65"/>
      <c r="MD11" s="15" t="str">
        <f t="shared" si="108"/>
        <v>NO APLICA</v>
      </c>
      <c r="ME11" s="12"/>
      <c r="MF11" s="12"/>
      <c r="MG11" s="14"/>
      <c r="MH11" s="65"/>
      <c r="MI11" s="15" t="str">
        <f t="shared" si="109"/>
        <v>NO APLICA</v>
      </c>
      <c r="MJ11" s="12"/>
      <c r="MK11" s="14"/>
      <c r="ML11" s="65"/>
      <c r="MM11" s="15" t="str">
        <f t="shared" si="110"/>
        <v>NO APLICA</v>
      </c>
      <c r="MN11" s="12"/>
      <c r="MO11" s="14"/>
      <c r="MP11" s="12"/>
      <c r="MQ11" s="15" t="str">
        <f t="shared" si="111"/>
        <v>NO APLICA</v>
      </c>
      <c r="MR11" s="12"/>
      <c r="MS11" s="16"/>
      <c r="MT11" s="14"/>
      <c r="MU11" s="65"/>
      <c r="MV11" s="15" t="str">
        <f t="shared" si="112"/>
        <v>NO APLICA</v>
      </c>
      <c r="MW11" s="12"/>
      <c r="MX11" s="16"/>
      <c r="MY11" s="14"/>
      <c r="MZ11" s="65"/>
      <c r="NA11" s="15" t="str">
        <f t="shared" si="113"/>
        <v>NO APLICA</v>
      </c>
      <c r="NB11" s="12"/>
      <c r="NC11" s="16"/>
      <c r="ND11" s="14"/>
      <c r="NE11" s="65"/>
      <c r="NF11" s="15" t="str">
        <f t="shared" si="114"/>
        <v>NO APLICA</v>
      </c>
      <c r="NG11" s="12"/>
      <c r="NH11" s="12"/>
      <c r="NI11" s="14"/>
      <c r="NJ11" s="65"/>
      <c r="NK11" s="15" t="str">
        <f t="shared" si="115"/>
        <v>NO APLICA</v>
      </c>
      <c r="NL11" s="12"/>
      <c r="NM11" s="12"/>
      <c r="NN11" s="12"/>
      <c r="NO11" s="12"/>
      <c r="NP11" s="15" t="str">
        <f t="shared" si="116"/>
        <v>NO APLICA</v>
      </c>
      <c r="NQ11" s="16"/>
      <c r="NR11" s="16"/>
      <c r="NS11" s="14"/>
      <c r="NT11" s="65"/>
      <c r="NU11" s="15" t="str">
        <f t="shared" si="117"/>
        <v>NO APLICA</v>
      </c>
      <c r="NV11" s="16"/>
      <c r="NW11" s="16"/>
      <c r="NX11" s="16"/>
      <c r="NY11" s="16"/>
      <c r="NZ11" s="15" t="str">
        <f t="shared" si="118"/>
        <v>NO APLICA</v>
      </c>
    </row>
    <row r="12" spans="1:390" ht="15.6" thickTop="1" thickBot="1" x14ac:dyDescent="0.35">
      <c r="A12" s="11">
        <v>1632</v>
      </c>
      <c r="B12" s="10" t="s">
        <v>134</v>
      </c>
      <c r="C12" s="21" t="s">
        <v>104</v>
      </c>
      <c r="D12" s="64" t="s">
        <v>110</v>
      </c>
      <c r="E12" s="15"/>
      <c r="F12" s="16"/>
      <c r="G12" s="14"/>
      <c r="H12" s="65"/>
      <c r="I12" s="15" t="str">
        <f t="shared" si="0"/>
        <v>NO APLICA</v>
      </c>
      <c r="J12" s="15"/>
      <c r="K12" s="16"/>
      <c r="L12" s="16"/>
      <c r="M12" s="65"/>
      <c r="N12" s="15" t="str">
        <f t="shared" si="1"/>
        <v>NO APLICA</v>
      </c>
      <c r="O12" s="16"/>
      <c r="P12" s="16"/>
      <c r="Q12" s="14"/>
      <c r="R12" s="65"/>
      <c r="S12" s="15" t="str">
        <f t="shared" si="119"/>
        <v>NO APLICA</v>
      </c>
      <c r="T12" s="12" t="s">
        <v>135</v>
      </c>
      <c r="U12" s="13">
        <v>44746</v>
      </c>
      <c r="V12" s="14">
        <v>44747</v>
      </c>
      <c r="W12" s="14">
        <f t="shared" si="2"/>
        <v>46573</v>
      </c>
      <c r="X12" s="65">
        <f t="shared" ca="1" si="3"/>
        <v>442</v>
      </c>
      <c r="Y12" s="15" t="str">
        <f t="shared" ca="1" si="4"/>
        <v>VIGENTE</v>
      </c>
      <c r="Z12" s="12" t="s">
        <v>136</v>
      </c>
      <c r="AA12" s="13">
        <v>44987</v>
      </c>
      <c r="AB12" s="14">
        <v>44988</v>
      </c>
      <c r="AC12" s="14">
        <f t="shared" si="5"/>
        <v>46815</v>
      </c>
      <c r="AD12" s="65">
        <f t="shared" ca="1" si="6"/>
        <v>684</v>
      </c>
      <c r="AE12" s="15" t="str">
        <f t="shared" ca="1" si="7"/>
        <v>VIGENTE</v>
      </c>
      <c r="AF12" s="13">
        <v>44928</v>
      </c>
      <c r="AG12" s="14">
        <v>45589</v>
      </c>
      <c r="AH12" s="14">
        <f>DATE(YEAR(AG12)+2,MONTH(AG12),DAY(AG12)-1)</f>
        <v>46318</v>
      </c>
      <c r="AI12" s="65">
        <f t="shared" ca="1" si="8"/>
        <v>187</v>
      </c>
      <c r="AJ12" s="15" t="str">
        <f t="shared" ca="1" si="9"/>
        <v>VIGENTE</v>
      </c>
      <c r="AK12" s="13">
        <v>45446</v>
      </c>
      <c r="AL12" s="14">
        <v>46084</v>
      </c>
      <c r="AM12" s="14">
        <f>DATE(YEAR(AL12)+2,MONTH(AL12),DAY(AL12))</f>
        <v>46815</v>
      </c>
      <c r="AN12" s="65">
        <f t="shared" ca="1" si="10"/>
        <v>684</v>
      </c>
      <c r="AO12" s="15" t="str">
        <f t="shared" ca="1" si="11"/>
        <v>VIGENTE</v>
      </c>
      <c r="AP12" s="13">
        <v>45453</v>
      </c>
      <c r="AQ12" s="14">
        <v>46083</v>
      </c>
      <c r="AR12" s="14">
        <f>DATE(YEAR(AQ12)+2,MONTH(AQ12),DAY(AQ12))</f>
        <v>46814</v>
      </c>
      <c r="AS12" s="65">
        <f t="shared" ca="1" si="12"/>
        <v>683</v>
      </c>
      <c r="AT12" s="15" t="str">
        <f t="shared" ca="1" si="13"/>
        <v>VIGENTE</v>
      </c>
      <c r="AU12" s="13">
        <v>44783</v>
      </c>
      <c r="AV12" s="14">
        <v>46070</v>
      </c>
      <c r="AW12" s="14">
        <f>DATE(YEAR(AV12)+2,MONTH(AV12),DAY(AV12))</f>
        <v>46800</v>
      </c>
      <c r="AX12" s="65">
        <f t="shared" ca="1" si="15"/>
        <v>669</v>
      </c>
      <c r="AY12" s="15" t="str">
        <f t="shared" ca="1" si="16"/>
        <v>VIGENTE</v>
      </c>
      <c r="AZ12" s="13">
        <v>45387</v>
      </c>
      <c r="BA12" s="14">
        <v>46041</v>
      </c>
      <c r="BB12" s="14">
        <f>DATE(YEAR(BA12)+2,MONTH(BA12),DAY(BA12))</f>
        <v>46771</v>
      </c>
      <c r="BC12" s="65">
        <f t="shared" ca="1" si="17"/>
        <v>640</v>
      </c>
      <c r="BD12" s="15" t="str">
        <f t="shared" ca="1" si="18"/>
        <v>VIGENTE</v>
      </c>
      <c r="BE12" s="13">
        <v>44824</v>
      </c>
      <c r="BF12" s="14">
        <v>45457</v>
      </c>
      <c r="BG12" s="14">
        <f>DATE(YEAR(BF12)+2,MONTH(BF12),DAY(BF12)-1)</f>
        <v>46186</v>
      </c>
      <c r="BH12" s="65">
        <f t="shared" ca="1" si="19"/>
        <v>55</v>
      </c>
      <c r="BI12" s="15" t="str">
        <f t="shared" ca="1" si="20"/>
        <v>POR VENCER</v>
      </c>
      <c r="BJ12" s="13">
        <v>44824</v>
      </c>
      <c r="BK12" s="14">
        <v>46051</v>
      </c>
      <c r="BL12" s="14">
        <f>DATE(YEAR(BK12)+2,MONTH(BK12),DAY(BK12))</f>
        <v>46781</v>
      </c>
      <c r="BM12" s="65">
        <f t="shared" ca="1" si="21"/>
        <v>650</v>
      </c>
      <c r="BN12" s="15" t="str">
        <f t="shared" ca="1" si="22"/>
        <v>VIGENTE</v>
      </c>
      <c r="BO12" s="13">
        <v>44772</v>
      </c>
      <c r="BP12" s="14">
        <v>46050</v>
      </c>
      <c r="BQ12" s="14">
        <f>DATE(YEAR(BP12)+2,MONTH(BP12),DAY(BP12))</f>
        <v>46780</v>
      </c>
      <c r="BR12" s="65">
        <f t="shared" ca="1" si="23"/>
        <v>649</v>
      </c>
      <c r="BS12" s="15" t="str">
        <f t="shared" ca="1" si="24"/>
        <v>VIGENTE</v>
      </c>
      <c r="BT12" s="13">
        <v>44778</v>
      </c>
      <c r="BU12" s="14">
        <v>45455</v>
      </c>
      <c r="BV12" s="14">
        <f>DATE(YEAR(BU12)+2,MONTH(BU12),DAY(BU12)-1)</f>
        <v>46184</v>
      </c>
      <c r="BW12" s="65">
        <f t="shared" ca="1" si="25"/>
        <v>53</v>
      </c>
      <c r="BX12" s="15" t="str">
        <f t="shared" ca="1" si="26"/>
        <v>POR VENCER</v>
      </c>
      <c r="BY12" s="13">
        <v>44774</v>
      </c>
      <c r="BZ12" s="14">
        <v>46065</v>
      </c>
      <c r="CA12" s="14">
        <f t="shared" si="169"/>
        <v>46795</v>
      </c>
      <c r="CB12" s="65">
        <f t="shared" ca="1" si="27"/>
        <v>664</v>
      </c>
      <c r="CC12" s="15" t="str">
        <f t="shared" ca="1" si="28"/>
        <v>VIGENTE</v>
      </c>
      <c r="CD12" s="16" t="s">
        <v>108</v>
      </c>
      <c r="CE12" s="14">
        <v>45240</v>
      </c>
      <c r="CF12" s="14">
        <v>45241</v>
      </c>
      <c r="CG12" s="14">
        <f t="shared" si="29"/>
        <v>46702</v>
      </c>
      <c r="CH12" s="65">
        <f t="shared" ca="1" si="30"/>
        <v>571</v>
      </c>
      <c r="CI12" s="15" t="str">
        <f t="shared" ca="1" si="31"/>
        <v>VIGENTE</v>
      </c>
      <c r="CJ12" s="14">
        <v>44813</v>
      </c>
      <c r="CK12" s="14">
        <v>46064</v>
      </c>
      <c r="CL12" s="14">
        <f>DATE(YEAR(CK12)+2,MONTH(CK12),DAY(CK12))</f>
        <v>46794</v>
      </c>
      <c r="CM12" s="65">
        <f t="shared" ca="1" si="32"/>
        <v>663</v>
      </c>
      <c r="CN12" s="15" t="str">
        <f t="shared" ca="1" si="33"/>
        <v>VIGENTE</v>
      </c>
      <c r="CO12" s="13">
        <v>45428</v>
      </c>
      <c r="CP12" s="14">
        <v>46108</v>
      </c>
      <c r="CQ12" s="14">
        <f>DATE(YEAR(CP12)+2,MONTH(CP12),DAY(CP12))</f>
        <v>46839</v>
      </c>
      <c r="CR12" s="65">
        <f t="shared" ca="1" si="34"/>
        <v>708</v>
      </c>
      <c r="CS12" s="15" t="str">
        <f t="shared" ca="1" si="35"/>
        <v>VIGENTE</v>
      </c>
      <c r="CT12" s="13">
        <v>45408</v>
      </c>
      <c r="CU12" s="14">
        <v>46043</v>
      </c>
      <c r="CV12" s="14">
        <f>DATE(YEAR(CU12)+2,MONTH(CU12),DAY(CU12))</f>
        <v>46773</v>
      </c>
      <c r="CW12" s="65">
        <f t="shared" ca="1" si="36"/>
        <v>642</v>
      </c>
      <c r="CX12" s="15" t="str">
        <f t="shared" ca="1" si="37"/>
        <v>VIGENTE</v>
      </c>
      <c r="CY12" s="13">
        <v>44995</v>
      </c>
      <c r="CZ12" s="14">
        <v>45661</v>
      </c>
      <c r="DA12" s="14">
        <f>DATE(YEAR(CZ12)+2,MONTH(CZ12),DAY(CZ12)-1)</f>
        <v>46390</v>
      </c>
      <c r="DB12" s="65">
        <f t="shared" ca="1" si="38"/>
        <v>259</v>
      </c>
      <c r="DC12" s="15" t="str">
        <f t="shared" ca="1" si="39"/>
        <v>VIGENTE</v>
      </c>
      <c r="DD12" s="13">
        <v>45026</v>
      </c>
      <c r="DE12" s="14">
        <v>45689</v>
      </c>
      <c r="DF12" s="14">
        <f>DATE(YEAR(DE12)+2,MONTH(DE12),DAY(DE12)-1)</f>
        <v>46418</v>
      </c>
      <c r="DG12" s="65">
        <f t="shared" ca="1" si="40"/>
        <v>287</v>
      </c>
      <c r="DH12" s="15" t="str">
        <f t="shared" ca="1" si="41"/>
        <v>VIGENTE</v>
      </c>
      <c r="DI12" s="13">
        <v>44799</v>
      </c>
      <c r="DJ12" s="14">
        <v>46073</v>
      </c>
      <c r="DK12" s="14">
        <f>DATE(YEAR(DJ12)+2,MONTH(DJ12),DAY(DJ12))</f>
        <v>46803</v>
      </c>
      <c r="DL12" s="65">
        <f t="shared" ca="1" si="43"/>
        <v>672</v>
      </c>
      <c r="DM12" s="15" t="str">
        <f t="shared" ca="1" si="44"/>
        <v>VIGENTE</v>
      </c>
      <c r="DN12" s="13">
        <v>44819</v>
      </c>
      <c r="DO12" s="14">
        <v>45473</v>
      </c>
      <c r="DP12" s="14">
        <f>DATE(YEAR(DO12)+2,MONTH(DO12),DAY(DO12)-1)</f>
        <v>46202</v>
      </c>
      <c r="DQ12" s="65">
        <f t="shared" ca="1" si="46"/>
        <v>71</v>
      </c>
      <c r="DR12" s="15" t="str">
        <f t="shared" ca="1" si="47"/>
        <v>POR VENCER</v>
      </c>
      <c r="DS12" s="13">
        <v>44807</v>
      </c>
      <c r="DT12" s="14">
        <v>46072</v>
      </c>
      <c r="DU12" s="14">
        <f>DATE(YEAR(DT12)+2,MONTH(DT12),DAY(DT12))</f>
        <v>46802</v>
      </c>
      <c r="DV12" s="65">
        <f t="shared" ca="1" si="48"/>
        <v>671</v>
      </c>
      <c r="DW12" s="15" t="str">
        <f t="shared" ca="1" si="49"/>
        <v>VIGENTE</v>
      </c>
      <c r="DX12" s="13">
        <v>45432</v>
      </c>
      <c r="DY12" s="14">
        <v>46099</v>
      </c>
      <c r="DZ12" s="14">
        <f>DATE(YEAR(DY12)+2,MONTH(DY12),DAY(DY12))</f>
        <v>46830</v>
      </c>
      <c r="EA12" s="65">
        <f t="shared" ca="1" si="50"/>
        <v>699</v>
      </c>
      <c r="EB12" s="15" t="str">
        <f t="shared" ca="1" si="51"/>
        <v>VIGENTE</v>
      </c>
      <c r="EC12" s="13">
        <v>45450</v>
      </c>
      <c r="ED12" s="14">
        <v>46104</v>
      </c>
      <c r="EE12" s="14">
        <f>DATE(YEAR(ED12)+2,MONTH(ED12),DAY(ED12))</f>
        <v>46835</v>
      </c>
      <c r="EF12" s="65">
        <f t="shared" ca="1" si="52"/>
        <v>704</v>
      </c>
      <c r="EG12" s="15" t="str">
        <f t="shared" ca="1" si="53"/>
        <v>VIGENTE</v>
      </c>
      <c r="EH12" s="14">
        <v>45434</v>
      </c>
      <c r="EI12" s="13">
        <v>45946</v>
      </c>
      <c r="EJ12" s="13">
        <v>45947</v>
      </c>
      <c r="EK12" s="14">
        <v>45948</v>
      </c>
      <c r="EL12" s="14">
        <f t="shared" si="128"/>
        <v>46313</v>
      </c>
      <c r="EM12" s="65">
        <f t="shared" ca="1" si="54"/>
        <v>182</v>
      </c>
      <c r="EN12" s="15" t="str">
        <f t="shared" ca="1" si="55"/>
        <v>VIGENTE</v>
      </c>
      <c r="EO12" s="13">
        <v>44777</v>
      </c>
      <c r="EP12" s="14">
        <v>46100</v>
      </c>
      <c r="EQ12" s="14">
        <f>DATE(YEAR(EP12)+2,MONTH(EP12),DAY(EP12))</f>
        <v>46831</v>
      </c>
      <c r="ER12" s="65">
        <f t="shared" ca="1" si="56"/>
        <v>700</v>
      </c>
      <c r="ES12" s="15" t="str">
        <f t="shared" ca="1" si="57"/>
        <v>VIGENTE</v>
      </c>
      <c r="ET12" s="13">
        <v>44777</v>
      </c>
      <c r="EU12" s="14">
        <v>45467</v>
      </c>
      <c r="EV12" s="14">
        <f>DATE(YEAR(EU12)+2,MONTH(EU12),DAY(EU12)-1)</f>
        <v>46196</v>
      </c>
      <c r="EW12" s="65">
        <f t="shared" ca="1" si="58"/>
        <v>65</v>
      </c>
      <c r="EX12" s="15" t="str">
        <f t="shared" ca="1" si="59"/>
        <v>POR VENCER</v>
      </c>
      <c r="EY12" s="13">
        <v>45436</v>
      </c>
      <c r="EZ12" s="14">
        <v>46063</v>
      </c>
      <c r="FA12" s="14">
        <f t="shared" si="142"/>
        <v>46793</v>
      </c>
      <c r="FB12" s="65">
        <f t="shared" ca="1" si="60"/>
        <v>662</v>
      </c>
      <c r="FC12" s="15" t="str">
        <f t="shared" ca="1" si="61"/>
        <v>VIGENTE</v>
      </c>
      <c r="FD12" s="13">
        <v>44782</v>
      </c>
      <c r="FE12" s="14">
        <v>45482</v>
      </c>
      <c r="FF12" s="14">
        <f>DATE(YEAR(FE12)+2,MONTH(FE12),DAY(FE12)-1)</f>
        <v>46211</v>
      </c>
      <c r="FG12" s="65">
        <f t="shared" ca="1" si="62"/>
        <v>80</v>
      </c>
      <c r="FH12" s="15" t="str">
        <f t="shared" ca="1" si="63"/>
        <v>POR VENCER</v>
      </c>
      <c r="FI12" s="13">
        <v>44803</v>
      </c>
      <c r="FJ12" s="14">
        <v>46066</v>
      </c>
      <c r="FK12" s="14">
        <f t="shared" si="144"/>
        <v>46796</v>
      </c>
      <c r="FL12" s="65">
        <f t="shared" ca="1" si="64"/>
        <v>665</v>
      </c>
      <c r="FM12" s="15" t="str">
        <f t="shared" ca="1" si="65"/>
        <v>VIGENTE</v>
      </c>
      <c r="FN12" s="13">
        <v>45395</v>
      </c>
      <c r="FO12" s="14">
        <v>46039</v>
      </c>
      <c r="FP12" s="14">
        <f>DATE(YEAR(FO12)+2,MONTH(FO12),DAY(FO12))</f>
        <v>46769</v>
      </c>
      <c r="FQ12" s="65">
        <f t="shared" ca="1" si="67"/>
        <v>638</v>
      </c>
      <c r="FR12" s="15" t="str">
        <f t="shared" ca="1" si="68"/>
        <v>VIGENTE</v>
      </c>
      <c r="FS12" s="13">
        <v>44784</v>
      </c>
      <c r="FT12" s="14">
        <v>45471</v>
      </c>
      <c r="FU12" s="14">
        <f>DATE(YEAR(FT12)+2,MONTH(FT12),DAY(FT12)-1)</f>
        <v>46200</v>
      </c>
      <c r="FV12" s="65">
        <f t="shared" ca="1" si="69"/>
        <v>69</v>
      </c>
      <c r="FW12" s="15" t="str">
        <f t="shared" ca="1" si="70"/>
        <v>POR VENCER</v>
      </c>
      <c r="FX12" s="14">
        <v>44974</v>
      </c>
      <c r="FY12" s="14">
        <v>45616</v>
      </c>
      <c r="FZ12" s="14">
        <f>DATE(YEAR(FY12)+2,MONTH(FY12),DAY(FY12)-1)</f>
        <v>46345</v>
      </c>
      <c r="GA12" s="65">
        <f t="shared" ca="1" si="71"/>
        <v>214</v>
      </c>
      <c r="GB12" s="15" t="str">
        <f t="shared" ca="1" si="72"/>
        <v>VIGENTE</v>
      </c>
      <c r="GC12" s="13">
        <v>45396</v>
      </c>
      <c r="GD12" s="14">
        <v>46030</v>
      </c>
      <c r="GE12" s="14">
        <f>DATE(YEAR(GD12)+2,MONTH(GD12),DAY(GD12))</f>
        <v>46760</v>
      </c>
      <c r="GF12" s="65">
        <f t="shared" ca="1" si="73"/>
        <v>629</v>
      </c>
      <c r="GG12" s="15" t="str">
        <f t="shared" ca="1" si="74"/>
        <v>VIGENTE</v>
      </c>
      <c r="GH12" s="13">
        <v>44781</v>
      </c>
      <c r="GI12" s="14">
        <v>46079</v>
      </c>
      <c r="GJ12" s="14">
        <f>DATE(YEAR(GI12)+2,MONTH(GI12),DAY(GI12))</f>
        <v>46809</v>
      </c>
      <c r="GK12" s="65">
        <f t="shared" ca="1" si="75"/>
        <v>678</v>
      </c>
      <c r="GL12" s="15" t="str">
        <f t="shared" ca="1" si="76"/>
        <v>VIGENTE</v>
      </c>
      <c r="GM12" s="13">
        <v>44784</v>
      </c>
      <c r="GN12" s="14">
        <v>45493</v>
      </c>
      <c r="GO12" s="14">
        <f>DATE(YEAR(GN12)+2,MONTH(GN12),DAY(GN12)-1)</f>
        <v>46222</v>
      </c>
      <c r="GP12" s="65">
        <f t="shared" ca="1" si="77"/>
        <v>91</v>
      </c>
      <c r="GQ12" s="15" t="str">
        <f t="shared" ca="1" si="78"/>
        <v>VIGENTE</v>
      </c>
      <c r="GR12" s="14">
        <v>44800</v>
      </c>
      <c r="GS12" s="14">
        <v>45459</v>
      </c>
      <c r="GT12" s="14">
        <f t="shared" si="79"/>
        <v>47285</v>
      </c>
      <c r="GU12" s="65">
        <f t="shared" ca="1" si="80"/>
        <v>1154</v>
      </c>
      <c r="GV12" s="15" t="str">
        <f t="shared" ca="1" si="81"/>
        <v>VIGENTE</v>
      </c>
      <c r="GW12" s="13">
        <v>44785</v>
      </c>
      <c r="GX12" s="14">
        <v>45478</v>
      </c>
      <c r="GY12" s="14">
        <f t="shared" si="82"/>
        <v>47304</v>
      </c>
      <c r="GZ12" s="65">
        <f t="shared" ca="1" si="83"/>
        <v>1173</v>
      </c>
      <c r="HA12" s="15" t="str">
        <f t="shared" ca="1" si="84"/>
        <v>VIGENTE</v>
      </c>
      <c r="HB12" s="13">
        <v>44797</v>
      </c>
      <c r="HC12" s="14">
        <v>45454</v>
      </c>
      <c r="HD12" s="14">
        <f t="shared" si="85"/>
        <v>47280</v>
      </c>
      <c r="HE12" s="65">
        <f t="shared" ca="1" si="86"/>
        <v>1149</v>
      </c>
      <c r="HF12" s="15" t="str">
        <f t="shared" ca="1" si="87"/>
        <v>VIGENTE</v>
      </c>
      <c r="HG12" s="16"/>
      <c r="HH12" s="14">
        <v>44880</v>
      </c>
      <c r="HI12" s="14">
        <f t="shared" si="88"/>
        <v>46706</v>
      </c>
      <c r="HJ12" s="65">
        <f t="shared" ca="1" si="89"/>
        <v>575</v>
      </c>
      <c r="HK12" s="15" t="str">
        <f ca="1">IF(HJ12&gt;=61,"VIGENTE",IF(HJ12&gt;=1,"POR VENCER",IF(HJ12&lt;=-1,"VENCIDA",IF(HH12=0,"NO APLICA"))))</f>
        <v>VIGENTE</v>
      </c>
      <c r="HL12" s="12"/>
      <c r="HM12" s="16"/>
      <c r="HN12" s="14"/>
      <c r="HO12" s="65"/>
      <c r="HP12" s="15" t="str">
        <f t="shared" si="91"/>
        <v>NO APLICA</v>
      </c>
      <c r="HQ12" s="12"/>
      <c r="HR12" s="12"/>
      <c r="HS12" s="14"/>
      <c r="HT12" s="12"/>
      <c r="HU12" s="15" t="str">
        <f t="shared" si="92"/>
        <v>NO APLICA</v>
      </c>
      <c r="HV12" s="12"/>
      <c r="HW12" s="14">
        <v>45469</v>
      </c>
      <c r="HX12" s="14">
        <f>DATE(YEAR(HW12)+5,MONTH(HW12),DAY(HW12))</f>
        <v>47295</v>
      </c>
      <c r="HY12" s="65">
        <f ca="1">HX12-TODAY()</f>
        <v>1164</v>
      </c>
      <c r="HZ12" s="15" t="str">
        <f t="shared" ca="1" si="93"/>
        <v>VIGENTE</v>
      </c>
      <c r="IA12" s="12"/>
      <c r="IB12" s="14">
        <v>45486</v>
      </c>
      <c r="IC12" s="14">
        <f>DATE(YEAR(IB12)+5,MONTH(IB12),DAY(IB12))</f>
        <v>47312</v>
      </c>
      <c r="ID12" s="65">
        <f ca="1">IC12-TODAY()</f>
        <v>1181</v>
      </c>
      <c r="IE12" s="15" t="str">
        <f t="shared" ca="1" si="94"/>
        <v>VIGENTE</v>
      </c>
      <c r="IF12" s="12"/>
      <c r="IG12" s="14">
        <v>45483</v>
      </c>
      <c r="IH12" s="14">
        <f>DATE(YEAR(IG12)+5,MONTH(IG12),DAY(IG12))</f>
        <v>47309</v>
      </c>
      <c r="II12" s="65">
        <f ca="1">IH12-TODAY()</f>
        <v>1178</v>
      </c>
      <c r="IJ12" s="15" t="str">
        <f t="shared" ca="1" si="95"/>
        <v>VIGENTE</v>
      </c>
      <c r="IK12" s="16"/>
      <c r="IL12" s="14">
        <v>45485</v>
      </c>
      <c r="IM12" s="14">
        <f>DATE(YEAR(IL12)+5,MONTH(IL12),DAY(IL12))</f>
        <v>47311</v>
      </c>
      <c r="IN12" s="65">
        <f ca="1">IM12-TODAY()</f>
        <v>1180</v>
      </c>
      <c r="IO12" s="15" t="str">
        <f t="shared" ca="1" si="96"/>
        <v>VIGENTE</v>
      </c>
      <c r="IP12" s="12"/>
      <c r="IQ12" s="14">
        <v>45354</v>
      </c>
      <c r="IR12" s="14">
        <f>DATE(YEAR(IQ12)+5,MONTH(IQ12),DAY(IQ12))</f>
        <v>47180</v>
      </c>
      <c r="IS12" s="65">
        <f ca="1">IR12-TODAY()</f>
        <v>1049</v>
      </c>
      <c r="IT12" s="15" t="str">
        <f t="shared" ca="1" si="97"/>
        <v>VIGENTE</v>
      </c>
      <c r="IU12" s="12"/>
      <c r="IV12" s="14">
        <v>45484</v>
      </c>
      <c r="IW12" s="14">
        <f>DATE(YEAR(IV12)+5,MONTH(IV12),DAY(IV12))</f>
        <v>47310</v>
      </c>
      <c r="IX12" s="65">
        <f ca="1">IW12-TODAY()</f>
        <v>1179</v>
      </c>
      <c r="IY12" s="15" t="str">
        <f t="shared" ca="1" si="98"/>
        <v>VIGENTE</v>
      </c>
      <c r="IZ12" s="12"/>
      <c r="JA12" s="14">
        <v>45491</v>
      </c>
      <c r="JB12" s="14">
        <f>DATE(YEAR(JA12)+5,MONTH(JA12),DAY(JA12))</f>
        <v>47317</v>
      </c>
      <c r="JC12" s="65">
        <f ca="1">JB12-TODAY()</f>
        <v>1186</v>
      </c>
      <c r="JD12" s="15" t="str">
        <f t="shared" ca="1" si="99"/>
        <v>VIGENTE</v>
      </c>
      <c r="JE12" s="13"/>
      <c r="JF12" s="13"/>
      <c r="JG12" s="14"/>
      <c r="JH12" s="65"/>
      <c r="JI12" s="15" t="str">
        <f t="shared" si="100"/>
        <v>NO APLICA</v>
      </c>
      <c r="JJ12" s="16"/>
      <c r="JK12" s="16"/>
      <c r="JL12" s="16"/>
      <c r="JM12" s="15" t="str">
        <f t="shared" si="101"/>
        <v>NO APLICA</v>
      </c>
      <c r="JN12" s="16"/>
      <c r="JO12" s="16"/>
      <c r="JP12" s="16"/>
      <c r="JQ12" s="15" t="str">
        <f t="shared" si="102"/>
        <v>NO APLICA</v>
      </c>
      <c r="JR12" s="16"/>
      <c r="JS12" s="16"/>
      <c r="JT12" s="16"/>
      <c r="JU12" s="16"/>
      <c r="JV12" s="15" t="str">
        <f t="shared" si="103"/>
        <v>NO APLICA</v>
      </c>
      <c r="JW12" s="15"/>
      <c r="JX12" s="15"/>
      <c r="JY12" s="15"/>
      <c r="JZ12" s="15"/>
      <c r="KA12" s="15" t="str">
        <f t="shared" si="104"/>
        <v>NO APLICA</v>
      </c>
      <c r="KB12" s="12"/>
      <c r="KC12" s="14"/>
      <c r="KD12" s="65"/>
      <c r="KE12" s="15" t="str">
        <f t="shared" si="105"/>
        <v>NO APLICA</v>
      </c>
      <c r="KF12" s="12"/>
      <c r="KG12" s="14"/>
      <c r="KH12" s="65"/>
      <c r="KI12" s="15" t="str">
        <f t="shared" si="132"/>
        <v>NO APLICA</v>
      </c>
      <c r="KJ12" s="12"/>
      <c r="KK12" s="14"/>
      <c r="KL12" s="65"/>
      <c r="KM12" s="15" t="str">
        <f t="shared" si="106"/>
        <v>NO APLICA</v>
      </c>
      <c r="KN12" s="12"/>
      <c r="KO12" s="14"/>
      <c r="KP12" s="65"/>
      <c r="KQ12" s="15" t="str">
        <f t="shared" si="133"/>
        <v>NO APLICA</v>
      </c>
      <c r="KR12" s="12"/>
      <c r="KS12" s="16"/>
      <c r="KT12" s="14"/>
      <c r="KU12" s="65"/>
      <c r="KV12" s="15" t="str">
        <f t="shared" si="147"/>
        <v>NO APLICA</v>
      </c>
      <c r="KW12" s="16"/>
      <c r="KX12" s="14"/>
      <c r="KY12" s="65"/>
      <c r="KZ12" s="15" t="str">
        <f t="shared" si="134"/>
        <v>NO APLICA</v>
      </c>
      <c r="LA12" s="16"/>
      <c r="LB12" s="16"/>
      <c r="LC12" s="14"/>
      <c r="LD12" s="65"/>
      <c r="LE12" s="15" t="str">
        <f t="shared" si="107"/>
        <v>NO APLICA</v>
      </c>
      <c r="LF12" s="15"/>
      <c r="LG12" s="15"/>
      <c r="LH12" s="14"/>
      <c r="LI12" s="65"/>
      <c r="LJ12" s="15" t="str">
        <f t="shared" si="148"/>
        <v>NO APLICA</v>
      </c>
      <c r="LK12" s="12"/>
      <c r="LL12" s="16"/>
      <c r="LM12" s="14"/>
      <c r="LN12" s="65"/>
      <c r="LO12" s="15" t="str">
        <f t="shared" si="135"/>
        <v>NO APLICA</v>
      </c>
      <c r="LP12" s="16"/>
      <c r="LQ12" s="16"/>
      <c r="LR12" s="14"/>
      <c r="LS12" s="65"/>
      <c r="LT12" s="15" t="str">
        <f t="shared" si="136"/>
        <v>NO APLICA</v>
      </c>
      <c r="LU12" s="16"/>
      <c r="LV12" s="16"/>
      <c r="LW12" s="14"/>
      <c r="LX12" s="65"/>
      <c r="LY12" s="15" t="str">
        <f t="shared" si="137"/>
        <v>NO APLICA</v>
      </c>
      <c r="LZ12" s="12"/>
      <c r="MA12" s="12"/>
      <c r="MB12" s="14"/>
      <c r="MC12" s="65"/>
      <c r="MD12" s="15" t="str">
        <f t="shared" si="108"/>
        <v>NO APLICA</v>
      </c>
      <c r="ME12" s="12"/>
      <c r="MF12" s="12"/>
      <c r="MG12" s="14"/>
      <c r="MH12" s="65"/>
      <c r="MI12" s="15" t="str">
        <f t="shared" si="109"/>
        <v>NO APLICA</v>
      </c>
      <c r="MJ12" s="12"/>
      <c r="MK12" s="14"/>
      <c r="ML12" s="65"/>
      <c r="MM12" s="15" t="str">
        <f t="shared" si="110"/>
        <v>NO APLICA</v>
      </c>
      <c r="MN12" s="12"/>
      <c r="MO12" s="14"/>
      <c r="MP12" s="12"/>
      <c r="MQ12" s="15" t="str">
        <f t="shared" si="111"/>
        <v>NO APLICA</v>
      </c>
      <c r="MR12" s="12"/>
      <c r="MS12" s="16"/>
      <c r="MT12" s="14"/>
      <c r="MU12" s="65"/>
      <c r="MV12" s="15" t="str">
        <f t="shared" si="112"/>
        <v>NO APLICA</v>
      </c>
      <c r="MW12" s="12"/>
      <c r="MX12" s="16"/>
      <c r="MY12" s="14"/>
      <c r="MZ12" s="65"/>
      <c r="NA12" s="15" t="str">
        <f t="shared" si="113"/>
        <v>NO APLICA</v>
      </c>
      <c r="NB12" s="12"/>
      <c r="NC12" s="16"/>
      <c r="ND12" s="14"/>
      <c r="NE12" s="65"/>
      <c r="NF12" s="15" t="str">
        <f t="shared" si="114"/>
        <v>NO APLICA</v>
      </c>
      <c r="NG12" s="12"/>
      <c r="NH12" s="12"/>
      <c r="NI12" s="14"/>
      <c r="NJ12" s="65"/>
      <c r="NK12" s="15" t="str">
        <f t="shared" si="115"/>
        <v>NO APLICA</v>
      </c>
      <c r="NL12" s="12"/>
      <c r="NM12" s="12"/>
      <c r="NN12" s="14"/>
      <c r="NO12" s="12"/>
      <c r="NP12" s="15" t="str">
        <f t="shared" si="116"/>
        <v>NO APLICA</v>
      </c>
      <c r="NQ12" s="16"/>
      <c r="NR12" s="16"/>
      <c r="NS12" s="14"/>
      <c r="NT12" s="65"/>
      <c r="NU12" s="15" t="str">
        <f t="shared" si="117"/>
        <v>NO APLICA</v>
      </c>
      <c r="NV12" s="16"/>
      <c r="NW12" s="16"/>
      <c r="NX12" s="16"/>
      <c r="NY12" s="16"/>
      <c r="NZ12" s="15" t="str">
        <f t="shared" si="118"/>
        <v>NO APLICA</v>
      </c>
    </row>
    <row r="13" spans="1:390" ht="15.6" thickTop="1" thickBot="1" x14ac:dyDescent="0.35">
      <c r="A13" s="9">
        <v>356</v>
      </c>
      <c r="B13" s="10" t="s">
        <v>137</v>
      </c>
      <c r="C13" s="21" t="s">
        <v>98</v>
      </c>
      <c r="D13" s="64" t="s">
        <v>138</v>
      </c>
      <c r="E13" s="15"/>
      <c r="F13" s="16"/>
      <c r="G13" s="14"/>
      <c r="H13" s="65"/>
      <c r="I13" s="15" t="str">
        <f t="shared" si="0"/>
        <v>NO APLICA</v>
      </c>
      <c r="J13" s="15"/>
      <c r="K13" s="16"/>
      <c r="L13" s="16"/>
      <c r="M13" s="65"/>
      <c r="N13" s="15" t="str">
        <f t="shared" si="1"/>
        <v>NO APLICA</v>
      </c>
      <c r="O13" s="14">
        <v>45821</v>
      </c>
      <c r="P13" s="14">
        <v>45822</v>
      </c>
      <c r="Q13" s="14">
        <f>DATE(YEAR(P13)+2,MONTH(P13),DAY(P13)-1)</f>
        <v>46551</v>
      </c>
      <c r="R13" s="65">
        <f ca="1">Q13-TODAY()</f>
        <v>420</v>
      </c>
      <c r="S13" s="15" t="str">
        <f t="shared" ca="1" si="119"/>
        <v>VIGENTE</v>
      </c>
      <c r="T13" s="12" t="s">
        <v>139</v>
      </c>
      <c r="U13" s="13">
        <v>45336</v>
      </c>
      <c r="V13" s="14">
        <v>45337</v>
      </c>
      <c r="W13" s="14">
        <f t="shared" si="2"/>
        <v>47164</v>
      </c>
      <c r="X13" s="65">
        <f t="shared" ca="1" si="3"/>
        <v>1033</v>
      </c>
      <c r="Y13" s="15" t="str">
        <f t="shared" ca="1" si="4"/>
        <v>VIGENTE</v>
      </c>
      <c r="Z13" s="12" t="s">
        <v>140</v>
      </c>
      <c r="AA13" s="13">
        <v>45151</v>
      </c>
      <c r="AB13" s="14">
        <v>45152</v>
      </c>
      <c r="AC13" s="14">
        <f t="shared" si="5"/>
        <v>46979</v>
      </c>
      <c r="AD13" s="65">
        <f t="shared" ca="1" si="6"/>
        <v>848</v>
      </c>
      <c r="AE13" s="15" t="str">
        <f t="shared" ca="1" si="7"/>
        <v>VIGENTE</v>
      </c>
      <c r="AF13" s="13">
        <v>44642</v>
      </c>
      <c r="AG13" s="14">
        <v>45936</v>
      </c>
      <c r="AH13" s="14">
        <f>DATE(YEAR(AG13)+2,MONTH(AG13),DAY(AG13))</f>
        <v>46666</v>
      </c>
      <c r="AI13" s="65">
        <f t="shared" ca="1" si="8"/>
        <v>535</v>
      </c>
      <c r="AJ13" s="15" t="str">
        <f t="shared" ca="1" si="9"/>
        <v>VIGENTE</v>
      </c>
      <c r="AK13" s="13">
        <v>44643</v>
      </c>
      <c r="AL13" s="14">
        <v>45937</v>
      </c>
      <c r="AM13" s="14">
        <f>DATE(YEAR(AL13)+2,MONTH(AL13),DAY(AL13))</f>
        <v>46667</v>
      </c>
      <c r="AN13" s="65">
        <f t="shared" ca="1" si="10"/>
        <v>536</v>
      </c>
      <c r="AO13" s="15" t="str">
        <f t="shared" ca="1" si="11"/>
        <v>VIGENTE</v>
      </c>
      <c r="AP13" s="13">
        <v>44582</v>
      </c>
      <c r="AQ13" s="14">
        <v>45904</v>
      </c>
      <c r="AR13" s="14">
        <f>DATE(YEAR(AQ13)+2,MONTH(AQ13),DAY(AQ13))</f>
        <v>46634</v>
      </c>
      <c r="AS13" s="65">
        <f t="shared" ca="1" si="12"/>
        <v>503</v>
      </c>
      <c r="AT13" s="15" t="str">
        <f t="shared" ca="1" si="13"/>
        <v>VIGENTE</v>
      </c>
      <c r="AU13" s="13">
        <v>44578</v>
      </c>
      <c r="AV13" s="14">
        <v>45927</v>
      </c>
      <c r="AW13" s="14">
        <f>DATE(YEAR(AV13)+2,MONTH(AV13),DAY(AV13))</f>
        <v>46657</v>
      </c>
      <c r="AX13" s="65">
        <f t="shared" ca="1" si="15"/>
        <v>526</v>
      </c>
      <c r="AY13" s="15" t="str">
        <f t="shared" ca="1" si="16"/>
        <v>VIGENTE</v>
      </c>
      <c r="AZ13" s="13">
        <v>45237</v>
      </c>
      <c r="BA13" s="14">
        <v>45901</v>
      </c>
      <c r="BB13" s="14">
        <f>DATE(YEAR(BA13)+2,MONTH(BA13),DAY(BA13))</f>
        <v>46631</v>
      </c>
      <c r="BC13" s="65">
        <f t="shared" ca="1" si="17"/>
        <v>500</v>
      </c>
      <c r="BD13" s="15" t="str">
        <f t="shared" ca="1" si="18"/>
        <v>VIGENTE</v>
      </c>
      <c r="BE13" s="13">
        <v>45302</v>
      </c>
      <c r="BF13" s="14">
        <v>45968</v>
      </c>
      <c r="BG13" s="14">
        <f>DATE(YEAR(BF13)+2,MONTH(BF13),DAY(BF13))</f>
        <v>46698</v>
      </c>
      <c r="BH13" s="65">
        <f t="shared" ca="1" si="19"/>
        <v>567</v>
      </c>
      <c r="BI13" s="15" t="str">
        <f t="shared" ca="1" si="20"/>
        <v>VIGENTE</v>
      </c>
      <c r="BJ13" s="13">
        <v>45389</v>
      </c>
      <c r="BK13" s="14">
        <v>46035</v>
      </c>
      <c r="BL13" s="14">
        <f>DATE(YEAR(BK13)+2,MONTH(BK13),DAY(BK13))</f>
        <v>46765</v>
      </c>
      <c r="BM13" s="65">
        <f t="shared" ca="1" si="21"/>
        <v>634</v>
      </c>
      <c r="BN13" s="15" t="str">
        <f t="shared" ca="1" si="22"/>
        <v>VIGENTE</v>
      </c>
      <c r="BO13" s="13">
        <v>44754</v>
      </c>
      <c r="BP13" s="14">
        <v>46050</v>
      </c>
      <c r="BQ13" s="14">
        <f>DATE(YEAR(BP13)+2,MONTH(BP13),DAY(BP13))</f>
        <v>46780</v>
      </c>
      <c r="BR13" s="65">
        <f t="shared" ca="1" si="23"/>
        <v>649</v>
      </c>
      <c r="BS13" s="15" t="str">
        <f t="shared" ca="1" si="24"/>
        <v>VIGENTE</v>
      </c>
      <c r="BT13" s="13">
        <v>44810</v>
      </c>
      <c r="BU13" s="14">
        <v>45455</v>
      </c>
      <c r="BV13" s="14">
        <f>DATE(YEAR(BU13)+2,MONTH(BU13),DAY(BU13)-1)</f>
        <v>46184</v>
      </c>
      <c r="BW13" s="65">
        <f t="shared" ca="1" si="25"/>
        <v>53</v>
      </c>
      <c r="BX13" s="15" t="str">
        <f t="shared" ca="1" si="26"/>
        <v>POR VENCER</v>
      </c>
      <c r="BY13" s="13">
        <v>44643</v>
      </c>
      <c r="BZ13" s="14">
        <v>45911</v>
      </c>
      <c r="CA13" s="14">
        <f t="shared" si="169"/>
        <v>46641</v>
      </c>
      <c r="CB13" s="65">
        <f t="shared" ca="1" si="27"/>
        <v>510</v>
      </c>
      <c r="CC13" s="15" t="str">
        <f t="shared" ca="1" si="28"/>
        <v>VIGENTE</v>
      </c>
      <c r="CD13" s="16" t="s">
        <v>108</v>
      </c>
      <c r="CE13" s="14">
        <v>45532</v>
      </c>
      <c r="CF13" s="14">
        <v>45533</v>
      </c>
      <c r="CG13" s="14">
        <f t="shared" si="29"/>
        <v>46994</v>
      </c>
      <c r="CH13" s="65">
        <f t="shared" ca="1" si="30"/>
        <v>863</v>
      </c>
      <c r="CI13" s="15" t="str">
        <f t="shared" ca="1" si="31"/>
        <v>VIGENTE</v>
      </c>
      <c r="CJ13" s="14">
        <v>44588</v>
      </c>
      <c r="CK13" s="14">
        <v>45929</v>
      </c>
      <c r="CL13" s="14">
        <f>DATE(YEAR(CK13)+2,MONTH(CK13),DAY(CK13))</f>
        <v>46659</v>
      </c>
      <c r="CM13" s="65">
        <f t="shared" ca="1" si="32"/>
        <v>528</v>
      </c>
      <c r="CN13" s="15" t="str">
        <f t="shared" ca="1" si="33"/>
        <v>VIGENTE</v>
      </c>
      <c r="CO13" s="13">
        <v>45246</v>
      </c>
      <c r="CP13" s="14">
        <v>45888</v>
      </c>
      <c r="CQ13" s="14">
        <f>DATE(YEAR(CP13)+2,MONTH(CP13),DAY(CP13))</f>
        <v>46618</v>
      </c>
      <c r="CR13" s="65">
        <f t="shared" ca="1" si="34"/>
        <v>487</v>
      </c>
      <c r="CS13" s="15" t="str">
        <f t="shared" ca="1" si="35"/>
        <v>VIGENTE</v>
      </c>
      <c r="CT13" s="13">
        <v>44569</v>
      </c>
      <c r="CU13" s="14">
        <v>45905</v>
      </c>
      <c r="CV13" s="14">
        <f>DATE(YEAR(CU13)+2,MONTH(CU13),DAY(CU13))</f>
        <v>46635</v>
      </c>
      <c r="CW13" s="65">
        <f t="shared" ca="1" si="36"/>
        <v>504</v>
      </c>
      <c r="CX13" s="15" t="str">
        <f t="shared" ca="1" si="37"/>
        <v>VIGENTE</v>
      </c>
      <c r="CY13" s="13">
        <v>45057</v>
      </c>
      <c r="CZ13" s="14">
        <v>45665</v>
      </c>
      <c r="DA13" s="14">
        <f>DATE(YEAR(CZ13)+2,MONTH(CZ13),DAY(CZ13)-1)</f>
        <v>46394</v>
      </c>
      <c r="DB13" s="65">
        <f t="shared" ca="1" si="38"/>
        <v>263</v>
      </c>
      <c r="DC13" s="15" t="str">
        <f t="shared" ca="1" si="39"/>
        <v>VIGENTE</v>
      </c>
      <c r="DD13" s="13">
        <v>45244</v>
      </c>
      <c r="DE13" s="14">
        <v>45896</v>
      </c>
      <c r="DF13" s="14">
        <f>DATE(YEAR(DE13)+2,MONTH(DE13),DAY(DE13))</f>
        <v>46626</v>
      </c>
      <c r="DG13" s="65">
        <f t="shared" ca="1" si="40"/>
        <v>495</v>
      </c>
      <c r="DH13" s="15" t="str">
        <f t="shared" ca="1" si="41"/>
        <v>VIGENTE</v>
      </c>
      <c r="DI13" s="13">
        <v>45251</v>
      </c>
      <c r="DJ13" s="14">
        <v>45899</v>
      </c>
      <c r="DK13" s="14">
        <f>DATE(YEAR(DJ13)+2,MONTH(DJ13),DAY(DJ13))</f>
        <v>46629</v>
      </c>
      <c r="DL13" s="65">
        <f t="shared" ca="1" si="43"/>
        <v>498</v>
      </c>
      <c r="DM13" s="15" t="str">
        <f t="shared" ca="1" si="44"/>
        <v>VIGENTE</v>
      </c>
      <c r="DN13" s="13">
        <v>45033</v>
      </c>
      <c r="DO13" s="14">
        <v>45731</v>
      </c>
      <c r="DP13" s="14">
        <f>DATE(YEAR(DO13)+2,MONTH(DO13),DAY(DO13)-1)</f>
        <v>46460</v>
      </c>
      <c r="DQ13" s="65">
        <f t="shared" ca="1" si="46"/>
        <v>329</v>
      </c>
      <c r="DR13" s="15" t="str">
        <f t="shared" ca="1" si="47"/>
        <v>VIGENTE</v>
      </c>
      <c r="DS13" s="13">
        <v>45250</v>
      </c>
      <c r="DT13" s="14">
        <v>45885</v>
      </c>
      <c r="DU13" s="14">
        <f>DATE(YEAR(DT13)+2,MONTH(DT13),DAY(DT13))</f>
        <v>46615</v>
      </c>
      <c r="DV13" s="65">
        <f t="shared" ca="1" si="48"/>
        <v>484</v>
      </c>
      <c r="DW13" s="15" t="str">
        <f t="shared" ca="1" si="49"/>
        <v>VIGENTE</v>
      </c>
      <c r="DX13" s="13">
        <v>45260</v>
      </c>
      <c r="DY13" s="14">
        <v>45915</v>
      </c>
      <c r="DZ13" s="14">
        <f>DATE(YEAR(DY13)+2,MONTH(DY13),DAY(DY13))</f>
        <v>46645</v>
      </c>
      <c r="EA13" s="65">
        <f t="shared" ca="1" si="50"/>
        <v>514</v>
      </c>
      <c r="EB13" s="15" t="str">
        <f t="shared" ca="1" si="51"/>
        <v>VIGENTE</v>
      </c>
      <c r="EC13" s="13">
        <v>45255</v>
      </c>
      <c r="ED13" s="14">
        <v>45913</v>
      </c>
      <c r="EE13" s="14">
        <f>DATE(YEAR(ED13)+2,MONTH(ED13),DAY(ED13))</f>
        <v>46643</v>
      </c>
      <c r="EF13" s="65">
        <f t="shared" ca="1" si="52"/>
        <v>512</v>
      </c>
      <c r="EG13" s="15" t="str">
        <f t="shared" ca="1" si="53"/>
        <v>VIGENTE</v>
      </c>
      <c r="EH13" s="13">
        <v>45059</v>
      </c>
      <c r="EI13" s="13">
        <v>46105</v>
      </c>
      <c r="EJ13" s="13">
        <v>46106</v>
      </c>
      <c r="EK13" s="13">
        <v>46107</v>
      </c>
      <c r="EL13" s="14">
        <f t="shared" si="128"/>
        <v>46472</v>
      </c>
      <c r="EM13" s="65">
        <f t="shared" ca="1" si="54"/>
        <v>341</v>
      </c>
      <c r="EN13" s="15" t="str">
        <f t="shared" ca="1" si="55"/>
        <v>VIGENTE</v>
      </c>
      <c r="EO13" s="13">
        <v>44635</v>
      </c>
      <c r="EP13" s="14">
        <v>45940</v>
      </c>
      <c r="EQ13" s="14">
        <f>DATE(YEAR(EP13)+2,MONTH(EP13),DAY(EP13))</f>
        <v>46670</v>
      </c>
      <c r="ER13" s="65">
        <f t="shared" ca="1" si="56"/>
        <v>539</v>
      </c>
      <c r="ES13" s="15" t="str">
        <f t="shared" ca="1" si="57"/>
        <v>VIGENTE</v>
      </c>
      <c r="ET13" s="13">
        <v>44635</v>
      </c>
      <c r="EU13" s="14">
        <v>45922</v>
      </c>
      <c r="EV13" s="14">
        <f>DATE(YEAR(EU13)+2,MONTH(EU13),DAY(EU13))</f>
        <v>46652</v>
      </c>
      <c r="EW13" s="65">
        <f t="shared" ca="1" si="58"/>
        <v>521</v>
      </c>
      <c r="EX13" s="15" t="str">
        <f t="shared" ca="1" si="59"/>
        <v>VIGENTE</v>
      </c>
      <c r="EY13" s="13">
        <v>45271</v>
      </c>
      <c r="EZ13" s="14">
        <v>45917</v>
      </c>
      <c r="FA13" s="14">
        <f t="shared" si="142"/>
        <v>46647</v>
      </c>
      <c r="FB13" s="65">
        <f t="shared" ca="1" si="60"/>
        <v>516</v>
      </c>
      <c r="FC13" s="15" t="str">
        <f t="shared" ca="1" si="61"/>
        <v>VIGENTE</v>
      </c>
      <c r="FD13" s="13">
        <v>44644</v>
      </c>
      <c r="FE13" s="14">
        <v>45931</v>
      </c>
      <c r="FF13" s="14">
        <f t="shared" ref="FF13:FF19" si="170">DATE(YEAR(FE13)+2,MONTH(FE13),DAY(FE13))</f>
        <v>46661</v>
      </c>
      <c r="FG13" s="65">
        <f t="shared" ca="1" si="62"/>
        <v>530</v>
      </c>
      <c r="FH13" s="15" t="str">
        <f t="shared" ca="1" si="63"/>
        <v>VIGENTE</v>
      </c>
      <c r="FI13" s="13">
        <v>44645</v>
      </c>
      <c r="FJ13" s="14">
        <v>45932</v>
      </c>
      <c r="FK13" s="14">
        <f t="shared" si="144"/>
        <v>46662</v>
      </c>
      <c r="FL13" s="65">
        <f t="shared" ca="1" si="64"/>
        <v>531</v>
      </c>
      <c r="FM13" s="15" t="str">
        <f t="shared" ca="1" si="65"/>
        <v>VIGENTE</v>
      </c>
      <c r="FN13" s="13">
        <v>45257</v>
      </c>
      <c r="FO13" s="14">
        <v>45920</v>
      </c>
      <c r="FP13" s="14">
        <f>DATE(YEAR(FO13)+2,MONTH(FO13),DAY(FO13))</f>
        <v>46650</v>
      </c>
      <c r="FQ13" s="65">
        <f t="shared" ca="1" si="67"/>
        <v>519</v>
      </c>
      <c r="FR13" s="15" t="str">
        <f t="shared" ca="1" si="68"/>
        <v>VIGENTE</v>
      </c>
      <c r="FS13" s="13">
        <v>45279</v>
      </c>
      <c r="FT13" s="14">
        <v>45957</v>
      </c>
      <c r="FU13" s="14">
        <f>DATE(YEAR(FT13)+2,MONTH(FT13),DAY(FT13))</f>
        <v>46687</v>
      </c>
      <c r="FV13" s="65">
        <f t="shared" ca="1" si="69"/>
        <v>556</v>
      </c>
      <c r="FW13" s="15" t="str">
        <f t="shared" ca="1" si="70"/>
        <v>VIGENTE</v>
      </c>
      <c r="FX13" s="13">
        <v>45210</v>
      </c>
      <c r="FY13" s="14">
        <v>45908</v>
      </c>
      <c r="FZ13" s="14">
        <f>DATE(YEAR(FY13)+2,MONTH(FY13),DAY(FY13))</f>
        <v>46638</v>
      </c>
      <c r="GA13" s="65">
        <f t="shared" ca="1" si="71"/>
        <v>507</v>
      </c>
      <c r="GB13" s="15" t="str">
        <f t="shared" ca="1" si="72"/>
        <v>VIGENTE</v>
      </c>
      <c r="GC13" s="13">
        <v>44566</v>
      </c>
      <c r="GD13" s="14">
        <v>45925</v>
      </c>
      <c r="GE13" s="14">
        <f>DATE(YEAR(GD13)+2,MONTH(GD13),DAY(GD13))</f>
        <v>46655</v>
      </c>
      <c r="GF13" s="65">
        <f t="shared" ca="1" si="73"/>
        <v>524</v>
      </c>
      <c r="GG13" s="15" t="str">
        <f t="shared" ca="1" si="74"/>
        <v>VIGENTE</v>
      </c>
      <c r="GH13" s="13">
        <v>44575</v>
      </c>
      <c r="GI13" s="14">
        <v>45912</v>
      </c>
      <c r="GJ13" s="14">
        <f>DATE(YEAR(GI13)+2,MONTH(GI13),DAY(GI13))</f>
        <v>46642</v>
      </c>
      <c r="GK13" s="65">
        <f t="shared" ca="1" si="75"/>
        <v>511</v>
      </c>
      <c r="GL13" s="15" t="str">
        <f t="shared" ca="1" si="76"/>
        <v>VIGENTE</v>
      </c>
      <c r="GM13" s="13">
        <v>44945</v>
      </c>
      <c r="GN13" s="14">
        <v>45608</v>
      </c>
      <c r="GO13" s="14">
        <f>DATE(YEAR(GN13)+2,MONTH(GN13),DAY(GN13)-1)</f>
        <v>46337</v>
      </c>
      <c r="GP13" s="65">
        <f t="shared" ca="1" si="77"/>
        <v>206</v>
      </c>
      <c r="GQ13" s="15" t="str">
        <f t="shared" ca="1" si="78"/>
        <v>VIGENTE</v>
      </c>
      <c r="GR13" s="14"/>
      <c r="GS13" s="16"/>
      <c r="GT13" s="14">
        <f t="shared" si="79"/>
        <v>1827</v>
      </c>
      <c r="GU13" s="65"/>
      <c r="GV13" s="15" t="str">
        <f t="shared" si="81"/>
        <v>NO APLICA</v>
      </c>
      <c r="GW13" s="13"/>
      <c r="GX13" s="14">
        <v>44979</v>
      </c>
      <c r="GY13" s="14">
        <f t="shared" si="82"/>
        <v>46805</v>
      </c>
      <c r="GZ13" s="65">
        <f t="shared" ca="1" si="83"/>
        <v>674</v>
      </c>
      <c r="HA13" s="15" t="str">
        <f t="shared" ca="1" si="84"/>
        <v>VIGENTE</v>
      </c>
      <c r="HB13" s="13">
        <v>44565</v>
      </c>
      <c r="HC13" s="14">
        <v>45252</v>
      </c>
      <c r="HD13" s="14">
        <f t="shared" si="85"/>
        <v>47079</v>
      </c>
      <c r="HE13" s="65">
        <f t="shared" ca="1" si="86"/>
        <v>948</v>
      </c>
      <c r="HF13" s="15" t="str">
        <f t="shared" ca="1" si="87"/>
        <v>VIGENTE</v>
      </c>
      <c r="HG13" s="16"/>
      <c r="HH13" s="16"/>
      <c r="HI13" s="14">
        <f t="shared" si="88"/>
        <v>1827</v>
      </c>
      <c r="HJ13" s="65">
        <f t="shared" ca="1" si="89"/>
        <v>-44304</v>
      </c>
      <c r="HK13" s="15" t="str">
        <f ca="1">IF(HJ13&gt;=61,"VIGENTE",IF(HJ13&gt;=1,"POR VENCER",IF(HJ13&lt;=-1,"PROGRAMAR",IF(HH13=0,"NO APLICA"))))</f>
        <v>PROGRAMAR</v>
      </c>
      <c r="HL13" s="12"/>
      <c r="HM13" s="16"/>
      <c r="HN13" s="14"/>
      <c r="HO13" s="65"/>
      <c r="HP13" s="15" t="str">
        <f t="shared" si="91"/>
        <v>NO APLICA</v>
      </c>
      <c r="HQ13" s="12"/>
      <c r="HR13" s="15"/>
      <c r="HS13" s="14"/>
      <c r="HT13" s="15"/>
      <c r="HU13" s="15" t="str">
        <f t="shared" si="92"/>
        <v>NO APLICA</v>
      </c>
      <c r="HV13" s="12"/>
      <c r="HW13" s="14">
        <v>44939</v>
      </c>
      <c r="HX13" s="14">
        <f>DATE(YEAR(HW13)+5,MONTH(HW13),DAY(HW13))</f>
        <v>46765</v>
      </c>
      <c r="HY13" s="65">
        <f ca="1">HX13-TODAY()</f>
        <v>634</v>
      </c>
      <c r="HZ13" s="15" t="str">
        <f t="shared" ca="1" si="93"/>
        <v>VIGENTE</v>
      </c>
      <c r="IA13" s="12"/>
      <c r="IB13" s="14">
        <v>44978</v>
      </c>
      <c r="IC13" s="14">
        <f>DATE(YEAR(IB13)+5,MONTH(IB13),DAY(IB13))</f>
        <v>46804</v>
      </c>
      <c r="ID13" s="65">
        <f ca="1">IC13-TODAY()</f>
        <v>673</v>
      </c>
      <c r="IE13" s="15" t="str">
        <f t="shared" ca="1" si="94"/>
        <v>VIGENTE</v>
      </c>
      <c r="IF13" s="12"/>
      <c r="IG13" s="14">
        <v>45024</v>
      </c>
      <c r="IH13" s="14">
        <f>DATE(YEAR(IG13)+5,MONTH(IG13),DAY(IG13))</f>
        <v>46851</v>
      </c>
      <c r="II13" s="65">
        <f ca="1">IH13-TODAY()</f>
        <v>720</v>
      </c>
      <c r="IJ13" s="15" t="str">
        <f t="shared" ca="1" si="95"/>
        <v>VIGENTE</v>
      </c>
      <c r="IK13" s="16"/>
      <c r="IL13" s="14">
        <v>45058</v>
      </c>
      <c r="IM13" s="14">
        <f>DATE(YEAR(IL13)+5,MONTH(IL13),DAY(IL13))</f>
        <v>46885</v>
      </c>
      <c r="IN13" s="65">
        <f ca="1">IM13-TODAY()</f>
        <v>754</v>
      </c>
      <c r="IO13" s="15" t="str">
        <f t="shared" ca="1" si="96"/>
        <v>VIGENTE</v>
      </c>
      <c r="IP13" s="12"/>
      <c r="IQ13" s="14">
        <v>44977</v>
      </c>
      <c r="IR13" s="14">
        <f>DATE(YEAR(IQ13)+5,MONTH(IQ13),DAY(IQ13))</f>
        <v>46803</v>
      </c>
      <c r="IS13" s="65">
        <f ca="1">IR13-TODAY()</f>
        <v>672</v>
      </c>
      <c r="IT13" s="15" t="str">
        <f t="shared" ca="1" si="97"/>
        <v>VIGENTE</v>
      </c>
      <c r="IU13" s="12"/>
      <c r="IV13" s="14">
        <v>45062</v>
      </c>
      <c r="IW13" s="14">
        <f>DATE(YEAR(IV13)+5,MONTH(IV13),DAY(IV13))</f>
        <v>46889</v>
      </c>
      <c r="IX13" s="65">
        <f ca="1">IW13-TODAY()</f>
        <v>758</v>
      </c>
      <c r="IY13" s="15" t="str">
        <f t="shared" ca="1" si="98"/>
        <v>VIGENTE</v>
      </c>
      <c r="IZ13" s="12"/>
      <c r="JA13" s="14">
        <v>44996</v>
      </c>
      <c r="JB13" s="14">
        <f>DATE(YEAR(JA13)+5,MONTH(JA13),DAY(JA13))</f>
        <v>46823</v>
      </c>
      <c r="JC13" s="65">
        <f ca="1">JB13-TODAY()</f>
        <v>692</v>
      </c>
      <c r="JD13" s="15" t="str">
        <f t="shared" ca="1" si="99"/>
        <v>VIGENTE</v>
      </c>
      <c r="JE13" s="13"/>
      <c r="JF13" s="13"/>
      <c r="JG13" s="14"/>
      <c r="JH13" s="65"/>
      <c r="JI13" s="15" t="str">
        <f t="shared" si="100"/>
        <v>NO APLICA</v>
      </c>
      <c r="JJ13" s="16"/>
      <c r="JK13" s="16"/>
      <c r="JL13" s="16"/>
      <c r="JM13" s="15" t="str">
        <f t="shared" si="101"/>
        <v>NO APLICA</v>
      </c>
      <c r="JN13" s="16"/>
      <c r="JO13" s="16"/>
      <c r="JP13" s="16"/>
      <c r="JQ13" s="15" t="str">
        <f t="shared" si="102"/>
        <v>NO APLICA</v>
      </c>
      <c r="JR13" s="16"/>
      <c r="JS13" s="16"/>
      <c r="JT13" s="16"/>
      <c r="JU13" s="16"/>
      <c r="JV13" s="15" t="str">
        <f t="shared" si="103"/>
        <v>NO APLICA</v>
      </c>
      <c r="JW13" s="15"/>
      <c r="JX13" s="15"/>
      <c r="JY13" s="15"/>
      <c r="JZ13" s="15"/>
      <c r="KA13" s="15" t="str">
        <f t="shared" si="104"/>
        <v>NO APLICA</v>
      </c>
      <c r="KB13" s="15"/>
      <c r="KC13" s="14"/>
      <c r="KD13" s="65"/>
      <c r="KE13" s="15" t="str">
        <f t="shared" si="105"/>
        <v>NO APLICA</v>
      </c>
      <c r="KF13" s="15"/>
      <c r="KG13" s="14"/>
      <c r="KH13" s="65"/>
      <c r="KI13" s="15" t="str">
        <f t="shared" si="132"/>
        <v>NO APLICA</v>
      </c>
      <c r="KJ13" s="13">
        <v>45364</v>
      </c>
      <c r="KK13" s="14">
        <f>DATE(YEAR(KJ13)+5,MONTH(KJ13),DAY(KJ13))</f>
        <v>47190</v>
      </c>
      <c r="KL13" s="65">
        <f ca="1">KK13-TODAY()</f>
        <v>1059</v>
      </c>
      <c r="KM13" s="15" t="str">
        <f t="shared" ca="1" si="106"/>
        <v>VIGENTE</v>
      </c>
      <c r="KN13" s="13">
        <v>45346</v>
      </c>
      <c r="KO13" s="14">
        <f>DATE(YEAR(KN13)+5,MONTH(KN13),DAY(KN13))</f>
        <v>47173</v>
      </c>
      <c r="KP13" s="65">
        <f ca="1">KO13-TODAY()</f>
        <v>1042</v>
      </c>
      <c r="KQ13" s="15" t="str">
        <f t="shared" ca="1" si="133"/>
        <v>VIGENTE</v>
      </c>
      <c r="KR13" s="13">
        <v>44657</v>
      </c>
      <c r="KS13" s="14">
        <v>44658</v>
      </c>
      <c r="KT13" s="14">
        <f>DATE(YEAR(KS13)+5,MONTH(KS13),DAY(KS13))</f>
        <v>46484</v>
      </c>
      <c r="KU13" s="65">
        <f ca="1">KT13-TODAY()</f>
        <v>353</v>
      </c>
      <c r="KV13" s="15" t="str">
        <f t="shared" ca="1" si="147"/>
        <v>VIGENTE</v>
      </c>
      <c r="KW13" s="14"/>
      <c r="KX13" s="14"/>
      <c r="KY13" s="65"/>
      <c r="KZ13" s="15" t="str">
        <f t="shared" si="134"/>
        <v>NO APLICA</v>
      </c>
      <c r="LA13" s="16"/>
      <c r="LB13" s="16"/>
      <c r="LC13" s="14"/>
      <c r="LD13" s="65"/>
      <c r="LE13" s="15" t="str">
        <f t="shared" si="107"/>
        <v>NO APLICA</v>
      </c>
      <c r="LF13" s="15"/>
      <c r="LG13" s="13">
        <v>44218</v>
      </c>
      <c r="LH13" s="14">
        <f>DATE(YEAR(LG13)+5,MONTH(LG13),DAY(LG13))</f>
        <v>46044</v>
      </c>
      <c r="LI13" s="65">
        <f ca="1">LH13-TODAY()</f>
        <v>-87</v>
      </c>
      <c r="LJ13" s="15" t="str">
        <f t="shared" ca="1" si="148"/>
        <v>VENCIDA</v>
      </c>
      <c r="LK13" s="13">
        <v>44375</v>
      </c>
      <c r="LL13" s="14">
        <v>44377</v>
      </c>
      <c r="LM13" s="14">
        <f>DATE(YEAR(LL13)+5,MONTH(LL13),DAY(LL13))</f>
        <v>46203</v>
      </c>
      <c r="LN13" s="65">
        <f ca="1">LM13-TODAY()</f>
        <v>72</v>
      </c>
      <c r="LO13" s="15" t="str">
        <f t="shared" ca="1" si="135"/>
        <v>VIGENTE</v>
      </c>
      <c r="LP13" s="14">
        <v>44984</v>
      </c>
      <c r="LQ13" s="14">
        <v>44986</v>
      </c>
      <c r="LR13" s="14">
        <f>DATE(YEAR(LQ13)+5,MONTH(LQ13),DAY(LQ13))</f>
        <v>46813</v>
      </c>
      <c r="LS13" s="65">
        <f ca="1">LR13-TODAY()</f>
        <v>682</v>
      </c>
      <c r="LT13" s="15" t="str">
        <f t="shared" ca="1" si="136"/>
        <v>VIGENTE</v>
      </c>
      <c r="LU13" s="14">
        <v>44987</v>
      </c>
      <c r="LV13" s="14">
        <v>44988</v>
      </c>
      <c r="LW13" s="14">
        <f>DATE(YEAR(LV13)+5,MONTH(LV13),DAY(LV13))</f>
        <v>46815</v>
      </c>
      <c r="LX13" s="65">
        <f ca="1">LW13-TODAY()</f>
        <v>684</v>
      </c>
      <c r="LY13" s="15" t="str">
        <f t="shared" ca="1" si="137"/>
        <v>VIGENTE</v>
      </c>
      <c r="LZ13" s="14">
        <v>44998</v>
      </c>
      <c r="MA13" s="14">
        <v>45010</v>
      </c>
      <c r="MB13" s="14">
        <f>DATE(YEAR(MA13)+5,MONTH(MA13),DAY(MA13))</f>
        <v>46837</v>
      </c>
      <c r="MC13" s="65">
        <f ca="1">MB13-TODAY()</f>
        <v>706</v>
      </c>
      <c r="MD13" s="15" t="str">
        <f t="shared" ca="1" si="108"/>
        <v>VIGENTE</v>
      </c>
      <c r="ME13" s="15"/>
      <c r="MF13" s="15"/>
      <c r="MG13" s="14"/>
      <c r="MH13" s="65"/>
      <c r="MI13" s="15" t="str">
        <f t="shared" si="109"/>
        <v>NO APLICA</v>
      </c>
      <c r="MJ13" s="13">
        <v>45154</v>
      </c>
      <c r="MK13" s="14">
        <f>DATE(YEAR(MJ13)+5,MONTH(MJ13),DAY(MJ13))</f>
        <v>46981</v>
      </c>
      <c r="ML13" s="65">
        <f ca="1">MK13-TODAY()</f>
        <v>850</v>
      </c>
      <c r="MM13" s="15" t="str">
        <f t="shared" ca="1" si="110"/>
        <v>VIGENTE</v>
      </c>
      <c r="MN13" s="13">
        <v>45155</v>
      </c>
      <c r="MO13" s="14">
        <f>DATE(YEAR(MN13)+5,MONTH(MN13),DAY(MN13))</f>
        <v>46982</v>
      </c>
      <c r="MP13" s="65">
        <f ca="1">MO13-TODAY()</f>
        <v>851</v>
      </c>
      <c r="MQ13" s="15" t="str">
        <f t="shared" ca="1" si="111"/>
        <v>VIGENTE</v>
      </c>
      <c r="MR13" s="15"/>
      <c r="MS13" s="16"/>
      <c r="MT13" s="14"/>
      <c r="MU13" s="65"/>
      <c r="MV13" s="15" t="str">
        <f t="shared" si="112"/>
        <v>NO APLICA</v>
      </c>
      <c r="MW13" s="15"/>
      <c r="MX13" s="16"/>
      <c r="MY13" s="14"/>
      <c r="MZ13" s="65"/>
      <c r="NA13" s="15" t="str">
        <f t="shared" si="113"/>
        <v>NO APLICA</v>
      </c>
      <c r="NB13" s="15"/>
      <c r="NC13" s="16"/>
      <c r="ND13" s="14"/>
      <c r="NE13" s="65"/>
      <c r="NF13" s="15" t="str">
        <f t="shared" si="114"/>
        <v>NO APLICA</v>
      </c>
      <c r="NG13" s="15"/>
      <c r="NH13" s="15"/>
      <c r="NI13" s="14"/>
      <c r="NJ13" s="65"/>
      <c r="NK13" s="15" t="str">
        <f t="shared" si="115"/>
        <v>NO APLICA</v>
      </c>
      <c r="NL13" s="15"/>
      <c r="NM13" s="15"/>
      <c r="NN13" s="15"/>
      <c r="NO13" s="15"/>
      <c r="NP13" s="15" t="str">
        <f t="shared" si="116"/>
        <v>NO APLICA</v>
      </c>
      <c r="NQ13" s="16"/>
      <c r="NR13" s="14"/>
      <c r="NS13" s="14"/>
      <c r="NT13" s="65"/>
      <c r="NU13" s="15" t="str">
        <f t="shared" si="117"/>
        <v>NO APLICA</v>
      </c>
      <c r="NV13" s="16"/>
      <c r="NW13" s="16"/>
      <c r="NX13" s="16"/>
      <c r="NY13" s="16"/>
      <c r="NZ13" s="15" t="str">
        <f t="shared" si="118"/>
        <v>NO APLICA</v>
      </c>
    </row>
    <row r="14" spans="1:390" ht="15.6" thickTop="1" thickBot="1" x14ac:dyDescent="0.35">
      <c r="A14" s="9">
        <v>580</v>
      </c>
      <c r="B14" s="10" t="s">
        <v>141</v>
      </c>
      <c r="C14" s="21" t="s">
        <v>104</v>
      </c>
      <c r="D14" s="64" t="s">
        <v>110</v>
      </c>
      <c r="E14" s="15"/>
      <c r="F14" s="16"/>
      <c r="G14" s="14"/>
      <c r="H14" s="65"/>
      <c r="I14" s="15" t="str">
        <f t="shared" si="0"/>
        <v>NO APLICA</v>
      </c>
      <c r="J14" s="15"/>
      <c r="K14" s="16"/>
      <c r="L14" s="16"/>
      <c r="M14" s="65"/>
      <c r="N14" s="15" t="str">
        <f t="shared" si="1"/>
        <v>NO APLICA</v>
      </c>
      <c r="O14" s="14">
        <v>45603</v>
      </c>
      <c r="P14" s="14">
        <v>45604</v>
      </c>
      <c r="Q14" s="14">
        <f>DATE(YEAR(P14)+2,MONTH(P14),DAY(P14)-1)</f>
        <v>46333</v>
      </c>
      <c r="R14" s="65">
        <f ca="1">Q14-TODAY()</f>
        <v>202</v>
      </c>
      <c r="S14" s="15" t="str">
        <f t="shared" ca="1" si="119"/>
        <v>VIGENTE</v>
      </c>
      <c r="T14" s="12" t="s">
        <v>142</v>
      </c>
      <c r="U14" s="13">
        <v>45281</v>
      </c>
      <c r="V14" s="14">
        <v>45282</v>
      </c>
      <c r="W14" s="14">
        <f t="shared" si="2"/>
        <v>47109</v>
      </c>
      <c r="X14" s="65">
        <f t="shared" ca="1" si="3"/>
        <v>978</v>
      </c>
      <c r="Y14" s="15" t="str">
        <f t="shared" ca="1" si="4"/>
        <v>VIGENTE</v>
      </c>
      <c r="Z14" s="12" t="s">
        <v>143</v>
      </c>
      <c r="AA14" s="13">
        <v>45189</v>
      </c>
      <c r="AB14" s="14">
        <v>45190</v>
      </c>
      <c r="AC14" s="14">
        <f t="shared" si="5"/>
        <v>47017</v>
      </c>
      <c r="AD14" s="65">
        <f t="shared" ca="1" si="6"/>
        <v>886</v>
      </c>
      <c r="AE14" s="15" t="str">
        <f t="shared" ca="1" si="7"/>
        <v>VIGENTE</v>
      </c>
      <c r="AF14" s="13">
        <v>45234</v>
      </c>
      <c r="AG14" s="14">
        <v>45902</v>
      </c>
      <c r="AH14" s="14">
        <f>DATE(YEAR(AG14)+2,MONTH(AG14),DAY(AG14))</f>
        <v>46632</v>
      </c>
      <c r="AI14" s="65">
        <f t="shared" ca="1" si="8"/>
        <v>501</v>
      </c>
      <c r="AJ14" s="15" t="str">
        <f t="shared" ca="1" si="9"/>
        <v>VIGENTE</v>
      </c>
      <c r="AK14" s="13">
        <v>45108</v>
      </c>
      <c r="AL14" s="14">
        <v>45748</v>
      </c>
      <c r="AM14" s="14">
        <f>DATE(YEAR(AL14)+2,MONTH(AL14),DAY(AL14)-1)</f>
        <v>46477</v>
      </c>
      <c r="AN14" s="65">
        <f t="shared" ca="1" si="10"/>
        <v>346</v>
      </c>
      <c r="AO14" s="15" t="str">
        <f t="shared" ca="1" si="11"/>
        <v>VIGENTE</v>
      </c>
      <c r="AP14" s="13">
        <v>45226</v>
      </c>
      <c r="AQ14" s="14">
        <v>45904</v>
      </c>
      <c r="AR14" s="14">
        <f>DATE(YEAR(AQ14)+2,MONTH(AQ14),DAY(AQ14))</f>
        <v>46634</v>
      </c>
      <c r="AS14" s="65">
        <f t="shared" ca="1" si="12"/>
        <v>503</v>
      </c>
      <c r="AT14" s="15" t="str">
        <f t="shared" ca="1" si="13"/>
        <v>VIGENTE</v>
      </c>
      <c r="AU14" s="13">
        <v>45227</v>
      </c>
      <c r="AV14" s="14">
        <v>45906</v>
      </c>
      <c r="AW14" s="14">
        <f>DATE(YEAR(AV14)+2,MONTH(AV14),DAY(AV14))</f>
        <v>46636</v>
      </c>
      <c r="AX14" s="65">
        <f t="shared" ca="1" si="15"/>
        <v>505</v>
      </c>
      <c r="AY14" s="15" t="str">
        <f t="shared" ca="1" si="16"/>
        <v>VIGENTE</v>
      </c>
      <c r="AZ14" s="13">
        <v>45237</v>
      </c>
      <c r="BA14" s="14">
        <v>45901</v>
      </c>
      <c r="BB14" s="14">
        <f>DATE(YEAR(BA14)+2,MONTH(BA14),DAY(BA14))</f>
        <v>46631</v>
      </c>
      <c r="BC14" s="65">
        <f t="shared" ca="1" si="17"/>
        <v>500</v>
      </c>
      <c r="BD14" s="15" t="str">
        <f t="shared" ca="1" si="18"/>
        <v>VIGENTE</v>
      </c>
      <c r="BE14" s="13">
        <v>45177</v>
      </c>
      <c r="BF14" s="14">
        <v>45842</v>
      </c>
      <c r="BG14" s="14">
        <f>DATE(YEAR(BF14)+2,MONTH(BF14),DAY(BF14))</f>
        <v>46572</v>
      </c>
      <c r="BH14" s="65">
        <f t="shared" ca="1" si="19"/>
        <v>441</v>
      </c>
      <c r="BI14" s="15" t="str">
        <f t="shared" ca="1" si="20"/>
        <v>VIGENTE</v>
      </c>
      <c r="BJ14" s="13">
        <v>45118</v>
      </c>
      <c r="BK14" s="14">
        <v>45759</v>
      </c>
      <c r="BL14" s="14">
        <f>DATE(YEAR(BK14)+2,MONTH(BK14),DAY(BK14)-1)</f>
        <v>46488</v>
      </c>
      <c r="BM14" s="65">
        <f t="shared" ca="1" si="21"/>
        <v>357</v>
      </c>
      <c r="BN14" s="15" t="str">
        <f t="shared" ca="1" si="22"/>
        <v>VIGENTE</v>
      </c>
      <c r="BO14" s="13">
        <v>45126</v>
      </c>
      <c r="BP14" s="14">
        <v>45750</v>
      </c>
      <c r="BQ14" s="14">
        <f>DATE(YEAR(BP14)+2,MONTH(BP14),DAY(BP14)-1)</f>
        <v>46479</v>
      </c>
      <c r="BR14" s="65">
        <f t="shared" ca="1" si="23"/>
        <v>348</v>
      </c>
      <c r="BS14" s="15" t="str">
        <f t="shared" ca="1" si="24"/>
        <v>VIGENTE</v>
      </c>
      <c r="BT14" s="13">
        <v>45183</v>
      </c>
      <c r="BU14" s="14">
        <v>45853</v>
      </c>
      <c r="BV14" s="14">
        <f>DATE(YEAR(BU14)+2,MONTH(BU14),DAY(BU14))</f>
        <v>46583</v>
      </c>
      <c r="BW14" s="65">
        <f t="shared" ca="1" si="25"/>
        <v>452</v>
      </c>
      <c r="BX14" s="15" t="str">
        <f t="shared" ca="1" si="26"/>
        <v>VIGENTE</v>
      </c>
      <c r="BY14" s="12">
        <v>45111</v>
      </c>
      <c r="BZ14" s="14">
        <v>45770</v>
      </c>
      <c r="CA14" s="14">
        <f t="shared" si="169"/>
        <v>46500</v>
      </c>
      <c r="CB14" s="65">
        <f t="shared" ca="1" si="27"/>
        <v>369</v>
      </c>
      <c r="CC14" s="15" t="str">
        <f t="shared" ca="1" si="28"/>
        <v>VIGENTE</v>
      </c>
      <c r="CD14" s="16" t="s">
        <v>108</v>
      </c>
      <c r="CE14" s="14">
        <v>45532</v>
      </c>
      <c r="CF14" s="14">
        <v>45533</v>
      </c>
      <c r="CG14" s="14">
        <f t="shared" si="29"/>
        <v>46994</v>
      </c>
      <c r="CH14" s="65">
        <f t="shared" ca="1" si="30"/>
        <v>863</v>
      </c>
      <c r="CI14" s="15" t="str">
        <f t="shared" ca="1" si="31"/>
        <v>VIGENTE</v>
      </c>
      <c r="CJ14" s="14">
        <v>45156</v>
      </c>
      <c r="CK14" s="14">
        <v>45801</v>
      </c>
      <c r="CL14" s="14">
        <f t="shared" ref="CL14:CL20" si="171">DATE(YEAR(CK14)+2,MONTH(CK14),DAY(CK14)-1)</f>
        <v>46530</v>
      </c>
      <c r="CM14" s="65">
        <f t="shared" ca="1" si="32"/>
        <v>399</v>
      </c>
      <c r="CN14" s="15" t="str">
        <f t="shared" ca="1" si="33"/>
        <v>VIGENTE</v>
      </c>
      <c r="CO14" s="13">
        <v>45246</v>
      </c>
      <c r="CP14" s="14">
        <v>45888</v>
      </c>
      <c r="CQ14" s="14">
        <f>DATE(YEAR(CP14)+2,MONTH(CP14),DAY(CP14))</f>
        <v>46618</v>
      </c>
      <c r="CR14" s="65">
        <f t="shared" ca="1" si="34"/>
        <v>487</v>
      </c>
      <c r="CS14" s="15" t="str">
        <f t="shared" ca="1" si="35"/>
        <v>VIGENTE</v>
      </c>
      <c r="CT14" s="13">
        <v>45142</v>
      </c>
      <c r="CU14" s="14">
        <v>45805</v>
      </c>
      <c r="CV14" s="14">
        <f>DATE(YEAR(CU14)+2,MONTH(CU14),DAY(CU14))</f>
        <v>46535</v>
      </c>
      <c r="CW14" s="65">
        <f t="shared" ca="1" si="36"/>
        <v>404</v>
      </c>
      <c r="CX14" s="15" t="str">
        <f t="shared" ca="1" si="37"/>
        <v>VIGENTE</v>
      </c>
      <c r="CY14" s="13">
        <v>45171</v>
      </c>
      <c r="CZ14" s="14">
        <v>45843</v>
      </c>
      <c r="DA14" s="14">
        <f>DATE(YEAR(CZ14)+2,MONTH(CZ14),DAY(CZ14))</f>
        <v>46573</v>
      </c>
      <c r="DB14" s="65">
        <f t="shared" ca="1" si="38"/>
        <v>442</v>
      </c>
      <c r="DC14" s="15" t="str">
        <f t="shared" ca="1" si="39"/>
        <v>VIGENTE</v>
      </c>
      <c r="DD14" s="13">
        <v>45129</v>
      </c>
      <c r="DE14" s="14">
        <v>45761</v>
      </c>
      <c r="DF14" s="14">
        <f>DATE(YEAR(DE14)+2,MONTH(DE14),DAY(DE14))</f>
        <v>46491</v>
      </c>
      <c r="DG14" s="65">
        <f t="shared" ca="1" si="40"/>
        <v>360</v>
      </c>
      <c r="DH14" s="15" t="str">
        <f t="shared" ca="1" si="41"/>
        <v>VIGENTE</v>
      </c>
      <c r="DI14" s="13">
        <v>45167</v>
      </c>
      <c r="DJ14" s="14">
        <v>45779</v>
      </c>
      <c r="DK14" s="14">
        <f>DATE(YEAR(DJ14)+2,MONTH(DJ14),DAY(DJ14))</f>
        <v>46509</v>
      </c>
      <c r="DL14" s="65">
        <f t="shared" ca="1" si="43"/>
        <v>378</v>
      </c>
      <c r="DM14" s="15" t="str">
        <f t="shared" ca="1" si="44"/>
        <v>VIGENTE</v>
      </c>
      <c r="DN14" s="13">
        <v>45198</v>
      </c>
      <c r="DO14" s="14">
        <v>45857</v>
      </c>
      <c r="DP14" s="14">
        <f>DATE(YEAR(DO14)+2,MONTH(DO14),DAY(DO14))</f>
        <v>46587</v>
      </c>
      <c r="DQ14" s="65">
        <f t="shared" ca="1" si="46"/>
        <v>456</v>
      </c>
      <c r="DR14" s="15" t="str">
        <f t="shared" ca="1" si="47"/>
        <v>VIGENTE</v>
      </c>
      <c r="DS14" s="13">
        <v>45131</v>
      </c>
      <c r="DT14" s="14">
        <v>45800</v>
      </c>
      <c r="DU14" s="14">
        <f>DATE(YEAR(DT14)+2,MONTH(DT14),DAY(DT14)-1)</f>
        <v>46529</v>
      </c>
      <c r="DV14" s="65">
        <f t="shared" ca="1" si="48"/>
        <v>398</v>
      </c>
      <c r="DW14" s="15" t="str">
        <f t="shared" ca="1" si="49"/>
        <v>VIGENTE</v>
      </c>
      <c r="DX14" s="13">
        <v>45149</v>
      </c>
      <c r="DY14" s="14">
        <v>45804</v>
      </c>
      <c r="DZ14" s="14">
        <f>DATE(YEAR(DY14)+2,MONTH(DY14),DAY(DY14))</f>
        <v>46534</v>
      </c>
      <c r="EA14" s="65">
        <f t="shared" ca="1" si="50"/>
        <v>403</v>
      </c>
      <c r="EB14" s="15" t="str">
        <f t="shared" ca="1" si="51"/>
        <v>VIGENTE</v>
      </c>
      <c r="EC14" s="13">
        <v>45157</v>
      </c>
      <c r="ED14" s="14">
        <v>45787</v>
      </c>
      <c r="EE14" s="14">
        <f>DATE(YEAR(ED14)+2,MONTH(ED14),DAY(ED14))</f>
        <v>46517</v>
      </c>
      <c r="EF14" s="65">
        <f t="shared" ca="1" si="52"/>
        <v>386</v>
      </c>
      <c r="EG14" s="15" t="str">
        <f t="shared" ca="1" si="53"/>
        <v>VIGENTE</v>
      </c>
      <c r="EH14" s="14">
        <v>45253</v>
      </c>
      <c r="EI14" s="13">
        <v>45946</v>
      </c>
      <c r="EJ14" s="13">
        <v>45947</v>
      </c>
      <c r="EK14" s="14">
        <v>45948</v>
      </c>
      <c r="EL14" s="14">
        <f t="shared" si="128"/>
        <v>46313</v>
      </c>
      <c r="EM14" s="65">
        <f t="shared" ca="1" si="54"/>
        <v>182</v>
      </c>
      <c r="EN14" s="15" t="str">
        <f t="shared" ca="1" si="55"/>
        <v>VIGENTE</v>
      </c>
      <c r="EO14" s="13">
        <v>45175</v>
      </c>
      <c r="EP14" s="14">
        <v>45840</v>
      </c>
      <c r="EQ14" s="14">
        <f>DATE(YEAR(EP14)+2,MONTH(EP14),DAY(EP14))</f>
        <v>46570</v>
      </c>
      <c r="ER14" s="65">
        <f t="shared" ca="1" si="56"/>
        <v>439</v>
      </c>
      <c r="ES14" s="15" t="str">
        <f t="shared" ca="1" si="57"/>
        <v>VIGENTE</v>
      </c>
      <c r="ET14" s="13">
        <v>45178</v>
      </c>
      <c r="EU14" s="14">
        <v>45824</v>
      </c>
      <c r="EV14" s="14">
        <f>DATE(YEAR(EU14)+2,MONTH(EU14),DAY(EU14))</f>
        <v>46554</v>
      </c>
      <c r="EW14" s="65">
        <f t="shared" ca="1" si="58"/>
        <v>423</v>
      </c>
      <c r="EX14" s="15" t="str">
        <f t="shared" ca="1" si="59"/>
        <v>VIGENTE</v>
      </c>
      <c r="EY14" s="13">
        <v>45143</v>
      </c>
      <c r="EZ14" s="14">
        <v>45794</v>
      </c>
      <c r="FA14" s="14">
        <f t="shared" si="142"/>
        <v>46524</v>
      </c>
      <c r="FB14" s="65">
        <f t="shared" ca="1" si="60"/>
        <v>393</v>
      </c>
      <c r="FC14" s="15" t="str">
        <f t="shared" ca="1" si="61"/>
        <v>VIGENTE</v>
      </c>
      <c r="FD14" s="13">
        <v>45241</v>
      </c>
      <c r="FE14" s="14">
        <v>45922</v>
      </c>
      <c r="FF14" s="14">
        <f t="shared" si="170"/>
        <v>46652</v>
      </c>
      <c r="FG14" s="65">
        <f t="shared" ca="1" si="62"/>
        <v>521</v>
      </c>
      <c r="FH14" s="15" t="str">
        <f t="shared" ca="1" si="63"/>
        <v>VIGENTE</v>
      </c>
      <c r="FI14" s="13">
        <v>45145</v>
      </c>
      <c r="FJ14" s="14">
        <v>45790</v>
      </c>
      <c r="FK14" s="14">
        <f t="shared" si="144"/>
        <v>46520</v>
      </c>
      <c r="FL14" s="65">
        <f t="shared" ca="1" si="64"/>
        <v>389</v>
      </c>
      <c r="FM14" s="15" t="str">
        <f t="shared" ca="1" si="65"/>
        <v>VIGENTE</v>
      </c>
      <c r="FN14" s="13">
        <v>45197</v>
      </c>
      <c r="FO14" s="14">
        <v>45850</v>
      </c>
      <c r="FP14" s="14">
        <f>DATE(YEAR(FO14)+2,MONTH(FO14),DAY(FO14))</f>
        <v>46580</v>
      </c>
      <c r="FQ14" s="65">
        <f t="shared" ca="1" si="67"/>
        <v>449</v>
      </c>
      <c r="FR14" s="15" t="str">
        <f t="shared" ca="1" si="68"/>
        <v>VIGENTE</v>
      </c>
      <c r="FS14" s="13">
        <v>45211</v>
      </c>
      <c r="FT14" s="14">
        <v>45884</v>
      </c>
      <c r="FU14" s="14">
        <f>DATE(YEAR(FT14)+2,MONTH(FT14),DAY(FT14))</f>
        <v>46614</v>
      </c>
      <c r="FV14" s="65">
        <f t="shared" ca="1" si="69"/>
        <v>483</v>
      </c>
      <c r="FW14" s="15" t="str">
        <f t="shared" ca="1" si="70"/>
        <v>VIGENTE</v>
      </c>
      <c r="FX14" s="13">
        <v>45128</v>
      </c>
      <c r="FY14" s="14">
        <v>45758</v>
      </c>
      <c r="FZ14" s="14">
        <f>DATE(YEAR(FY14)+2,MONTH(FY14),DAY(FY14)-1)</f>
        <v>46487</v>
      </c>
      <c r="GA14" s="65">
        <f t="shared" ca="1" si="71"/>
        <v>356</v>
      </c>
      <c r="GB14" s="15" t="str">
        <f t="shared" ca="1" si="72"/>
        <v>VIGENTE</v>
      </c>
      <c r="GC14" s="13">
        <v>45202</v>
      </c>
      <c r="GD14" s="14">
        <v>45874</v>
      </c>
      <c r="GE14" s="14">
        <f>DATE(YEAR(GD14)+2,MONTH(GD14),DAY(GD14))</f>
        <v>46604</v>
      </c>
      <c r="GF14" s="65">
        <f t="shared" ca="1" si="73"/>
        <v>473</v>
      </c>
      <c r="GG14" s="15" t="str">
        <f t="shared" ca="1" si="74"/>
        <v>VIGENTE</v>
      </c>
      <c r="GH14" s="13">
        <v>45252</v>
      </c>
      <c r="GI14" s="14">
        <v>45912</v>
      </c>
      <c r="GJ14" s="14">
        <f>DATE(YEAR(GI14)+2,MONTH(GI14),DAY(GI14))</f>
        <v>46642</v>
      </c>
      <c r="GK14" s="65">
        <f t="shared" ca="1" si="75"/>
        <v>511</v>
      </c>
      <c r="GL14" s="15" t="str">
        <f t="shared" ca="1" si="76"/>
        <v>VIGENTE</v>
      </c>
      <c r="GM14" s="13">
        <v>45923</v>
      </c>
      <c r="GN14" s="14">
        <v>45945</v>
      </c>
      <c r="GO14" s="14">
        <f>DATE(YEAR(GN14)+2,MONTH(GN14),DAY(GN14))</f>
        <v>46675</v>
      </c>
      <c r="GP14" s="65">
        <f t="shared" ca="1" si="77"/>
        <v>544</v>
      </c>
      <c r="GQ14" s="15" t="str">
        <f t="shared" ca="1" si="78"/>
        <v>VIGENTE</v>
      </c>
      <c r="GR14" s="14"/>
      <c r="GS14" s="14">
        <v>45219</v>
      </c>
      <c r="GT14" s="14">
        <f t="shared" si="79"/>
        <v>47046</v>
      </c>
      <c r="GU14" s="65">
        <f t="shared" ref="GU14:GU77" ca="1" si="172">GT14-TODAY()</f>
        <v>915</v>
      </c>
      <c r="GV14" s="15" t="str">
        <f t="shared" ca="1" si="81"/>
        <v>VIGENTE</v>
      </c>
      <c r="GW14" s="13"/>
      <c r="GX14" s="14">
        <v>45203</v>
      </c>
      <c r="GY14" s="14">
        <f t="shared" si="82"/>
        <v>47030</v>
      </c>
      <c r="GZ14" s="65">
        <f t="shared" ca="1" si="83"/>
        <v>899</v>
      </c>
      <c r="HA14" s="15" t="str">
        <f t="shared" ca="1" si="84"/>
        <v>VIGENTE</v>
      </c>
      <c r="HB14" s="12"/>
      <c r="HC14" s="14">
        <v>45174</v>
      </c>
      <c r="HD14" s="14">
        <f t="shared" si="85"/>
        <v>47001</v>
      </c>
      <c r="HE14" s="65">
        <f t="shared" ca="1" si="86"/>
        <v>870</v>
      </c>
      <c r="HF14" s="15" t="str">
        <f t="shared" ca="1" si="87"/>
        <v>VIGENTE</v>
      </c>
      <c r="HG14" s="16"/>
      <c r="HH14" s="14">
        <v>45196</v>
      </c>
      <c r="HI14" s="14">
        <f t="shared" si="88"/>
        <v>47023</v>
      </c>
      <c r="HJ14" s="65">
        <f t="shared" ca="1" si="89"/>
        <v>892</v>
      </c>
      <c r="HK14" s="15" t="str">
        <f t="shared" ref="HK14:HK21" ca="1" si="173">IF(HJ14&gt;=61,"VIGENTE",IF(HJ14&gt;=1,"POR VENCER",IF(HJ14&lt;=-1,"VENCIDA",IF(HH14=0,"NO APLICA"))))</f>
        <v>VIGENTE</v>
      </c>
      <c r="HL14" s="12"/>
      <c r="HM14" s="16"/>
      <c r="HN14" s="14"/>
      <c r="HO14" s="65"/>
      <c r="HP14" s="15" t="str">
        <f t="shared" si="91"/>
        <v>NO APLICA</v>
      </c>
      <c r="HQ14" s="12"/>
      <c r="HR14" s="15"/>
      <c r="HS14" s="14"/>
      <c r="HT14" s="15"/>
      <c r="HU14" s="15" t="str">
        <f t="shared" si="92"/>
        <v>NO APLICA</v>
      </c>
      <c r="HV14" s="12"/>
      <c r="HW14" s="16"/>
      <c r="HX14" s="14"/>
      <c r="HY14" s="65"/>
      <c r="HZ14" s="15" t="str">
        <f t="shared" si="93"/>
        <v>NO APLICA</v>
      </c>
      <c r="IA14" s="12"/>
      <c r="IB14" s="16"/>
      <c r="IC14" s="14"/>
      <c r="ID14" s="65"/>
      <c r="IE14" s="15" t="str">
        <f t="shared" si="94"/>
        <v>NO APLICA</v>
      </c>
      <c r="IF14" s="12"/>
      <c r="IG14" s="16"/>
      <c r="IH14" s="14"/>
      <c r="II14" s="65"/>
      <c r="IJ14" s="15" t="str">
        <f t="shared" si="95"/>
        <v>NO APLICA</v>
      </c>
      <c r="IK14" s="16"/>
      <c r="IL14" s="16"/>
      <c r="IM14" s="14"/>
      <c r="IN14" s="65"/>
      <c r="IO14" s="15" t="str">
        <f t="shared" si="96"/>
        <v>NO APLICA</v>
      </c>
      <c r="IP14" s="12"/>
      <c r="IQ14" s="16"/>
      <c r="IR14" s="14"/>
      <c r="IS14" s="65"/>
      <c r="IT14" s="15" t="str">
        <f t="shared" si="97"/>
        <v>NO APLICA</v>
      </c>
      <c r="IU14" s="12"/>
      <c r="IV14" s="16"/>
      <c r="IW14" s="14"/>
      <c r="IX14" s="65"/>
      <c r="IY14" s="15" t="str">
        <f t="shared" si="98"/>
        <v>NO APLICA</v>
      </c>
      <c r="IZ14" s="12"/>
      <c r="JA14" s="16"/>
      <c r="JB14" s="14"/>
      <c r="JC14" s="65"/>
      <c r="JD14" s="15" t="str">
        <f t="shared" si="99"/>
        <v>NO APLICA</v>
      </c>
      <c r="JE14" s="13"/>
      <c r="JF14" s="13"/>
      <c r="JG14" s="14"/>
      <c r="JH14" s="65"/>
      <c r="JI14" s="15" t="str">
        <f t="shared" si="100"/>
        <v>NO APLICA</v>
      </c>
      <c r="JJ14" s="16"/>
      <c r="JK14" s="16"/>
      <c r="JL14" s="16"/>
      <c r="JM14" s="15" t="str">
        <f t="shared" si="101"/>
        <v>NO APLICA</v>
      </c>
      <c r="JN14" s="16"/>
      <c r="JO14" s="16"/>
      <c r="JP14" s="16"/>
      <c r="JQ14" s="15" t="str">
        <f t="shared" si="102"/>
        <v>NO APLICA</v>
      </c>
      <c r="JR14" s="16"/>
      <c r="JS14" s="16"/>
      <c r="JT14" s="16"/>
      <c r="JU14" s="16"/>
      <c r="JV14" s="15" t="str">
        <f t="shared" si="103"/>
        <v>NO APLICA</v>
      </c>
      <c r="JW14" s="15"/>
      <c r="JX14" s="15"/>
      <c r="JY14" s="15"/>
      <c r="JZ14" s="15"/>
      <c r="KA14" s="15" t="str">
        <f t="shared" si="104"/>
        <v>NO APLICA</v>
      </c>
      <c r="KB14" s="15"/>
      <c r="KC14" s="14"/>
      <c r="KD14" s="65"/>
      <c r="KE14" s="15" t="str">
        <f t="shared" si="105"/>
        <v>NO APLICA</v>
      </c>
      <c r="KF14" s="13">
        <v>45328</v>
      </c>
      <c r="KG14" s="14">
        <f>DATE(YEAR(KF14)+5,MONTH(KF14),DAY(KF14)-1)</f>
        <v>47154</v>
      </c>
      <c r="KH14" s="65">
        <f ca="1">KG14-TODAY()</f>
        <v>1023</v>
      </c>
      <c r="KI14" s="15" t="str">
        <f t="shared" ca="1" si="132"/>
        <v>VIGENTE</v>
      </c>
      <c r="KJ14" s="15"/>
      <c r="KK14" s="14"/>
      <c r="KL14" s="65"/>
      <c r="KM14" s="15" t="str">
        <f t="shared" si="106"/>
        <v>NO APLICA</v>
      </c>
      <c r="KN14" s="12"/>
      <c r="KO14" s="14"/>
      <c r="KP14" s="65"/>
      <c r="KQ14" s="15" t="str">
        <f t="shared" si="133"/>
        <v>NO APLICA</v>
      </c>
      <c r="KR14" s="13">
        <v>44652</v>
      </c>
      <c r="KS14" s="14">
        <v>44653</v>
      </c>
      <c r="KT14" s="14">
        <f>DATE(YEAR(KS14)+5,MONTH(KS14),DAY(KS14))</f>
        <v>46479</v>
      </c>
      <c r="KU14" s="65">
        <f ca="1">KT14-TODAY()</f>
        <v>348</v>
      </c>
      <c r="KV14" s="15" t="str">
        <f t="shared" ca="1" si="147"/>
        <v>VIGENTE</v>
      </c>
      <c r="KW14" s="16"/>
      <c r="KX14" s="14"/>
      <c r="KY14" s="65"/>
      <c r="KZ14" s="15" t="str">
        <f t="shared" si="134"/>
        <v>NO APLICA</v>
      </c>
      <c r="LA14" s="16"/>
      <c r="LB14" s="16"/>
      <c r="LC14" s="14"/>
      <c r="LD14" s="65"/>
      <c r="LE14" s="15" t="str">
        <f t="shared" si="107"/>
        <v>NO APLICA</v>
      </c>
      <c r="LF14" s="15"/>
      <c r="LG14" s="15"/>
      <c r="LH14" s="14"/>
      <c r="LI14" s="65"/>
      <c r="LJ14" s="15" t="str">
        <f t="shared" si="148"/>
        <v>NO APLICA</v>
      </c>
      <c r="LK14" s="15"/>
      <c r="LL14" s="16"/>
      <c r="LM14" s="14"/>
      <c r="LN14" s="65"/>
      <c r="LO14" s="15" t="str">
        <f t="shared" si="135"/>
        <v>NO APLICA</v>
      </c>
      <c r="LP14" s="16"/>
      <c r="LQ14" s="16"/>
      <c r="LR14" s="14"/>
      <c r="LS14" s="65"/>
      <c r="LT14" s="15" t="str">
        <f t="shared" si="136"/>
        <v>NO APLICA</v>
      </c>
      <c r="LU14" s="16"/>
      <c r="LV14" s="16"/>
      <c r="LW14" s="14"/>
      <c r="LX14" s="65"/>
      <c r="LY14" s="15" t="str">
        <f t="shared" si="137"/>
        <v>NO APLICA</v>
      </c>
      <c r="LZ14" s="15"/>
      <c r="MA14" s="15"/>
      <c r="MB14" s="14"/>
      <c r="MC14" s="65"/>
      <c r="MD14" s="15" t="str">
        <f t="shared" si="108"/>
        <v>NO APLICA</v>
      </c>
      <c r="ME14" s="15"/>
      <c r="MF14" s="15"/>
      <c r="MG14" s="14"/>
      <c r="MH14" s="65"/>
      <c r="MI14" s="15" t="str">
        <f t="shared" si="109"/>
        <v>NO APLICA</v>
      </c>
      <c r="MJ14" s="15"/>
      <c r="MK14" s="14"/>
      <c r="ML14" s="65"/>
      <c r="MM14" s="15" t="str">
        <f t="shared" si="110"/>
        <v>NO APLICA</v>
      </c>
      <c r="MN14" s="15"/>
      <c r="MO14" s="14"/>
      <c r="MP14" s="15"/>
      <c r="MQ14" s="15" t="str">
        <f t="shared" si="111"/>
        <v>NO APLICA</v>
      </c>
      <c r="MR14" s="15"/>
      <c r="MS14" s="16"/>
      <c r="MT14" s="14"/>
      <c r="MU14" s="65"/>
      <c r="MV14" s="15" t="str">
        <f t="shared" si="112"/>
        <v>NO APLICA</v>
      </c>
      <c r="MW14" s="15"/>
      <c r="MX14" s="16"/>
      <c r="MY14" s="14"/>
      <c r="MZ14" s="65"/>
      <c r="NA14" s="15" t="str">
        <f t="shared" si="113"/>
        <v>NO APLICA</v>
      </c>
      <c r="NB14" s="15"/>
      <c r="NC14" s="16"/>
      <c r="ND14" s="14"/>
      <c r="NE14" s="65"/>
      <c r="NF14" s="15" t="str">
        <f t="shared" si="114"/>
        <v>NO APLICA</v>
      </c>
      <c r="NG14" s="15"/>
      <c r="NH14" s="15"/>
      <c r="NI14" s="14"/>
      <c r="NJ14" s="65"/>
      <c r="NK14" s="15" t="str">
        <f t="shared" si="115"/>
        <v>NO APLICA</v>
      </c>
      <c r="NL14" s="15"/>
      <c r="NM14" s="15"/>
      <c r="NN14" s="15"/>
      <c r="NO14" s="15"/>
      <c r="NP14" s="15" t="str">
        <f t="shared" si="116"/>
        <v>NO APLICA</v>
      </c>
      <c r="NQ14" s="16"/>
      <c r="NR14" s="16"/>
      <c r="NS14" s="14"/>
      <c r="NT14" s="65"/>
      <c r="NU14" s="15" t="str">
        <f t="shared" si="117"/>
        <v>NO APLICA</v>
      </c>
      <c r="NV14" s="16"/>
      <c r="NW14" s="16"/>
      <c r="NX14" s="16"/>
      <c r="NY14" s="16"/>
      <c r="NZ14" s="15" t="str">
        <f t="shared" si="118"/>
        <v>NO APLICA</v>
      </c>
    </row>
    <row r="15" spans="1:390" ht="15.6" thickTop="1" thickBot="1" x14ac:dyDescent="0.35">
      <c r="A15" s="9">
        <v>1363</v>
      </c>
      <c r="B15" s="10" t="s">
        <v>144</v>
      </c>
      <c r="C15" s="21" t="s">
        <v>104</v>
      </c>
      <c r="D15" s="64" t="s">
        <v>105</v>
      </c>
      <c r="E15" s="15"/>
      <c r="F15" s="16"/>
      <c r="G15" s="14"/>
      <c r="H15" s="65"/>
      <c r="I15" s="15" t="str">
        <f t="shared" si="0"/>
        <v>NO APLICA</v>
      </c>
      <c r="J15" s="12"/>
      <c r="K15" s="16"/>
      <c r="L15" s="16"/>
      <c r="M15" s="65"/>
      <c r="N15" s="15" t="str">
        <f t="shared" si="1"/>
        <v>NO APLICA</v>
      </c>
      <c r="O15" s="16"/>
      <c r="P15" s="16"/>
      <c r="Q15" s="14"/>
      <c r="R15" s="65"/>
      <c r="S15" s="15" t="str">
        <f t="shared" si="119"/>
        <v>NO APLICA</v>
      </c>
      <c r="T15" s="12" t="s">
        <v>145</v>
      </c>
      <c r="U15" s="13">
        <v>45544</v>
      </c>
      <c r="V15" s="14">
        <v>45545</v>
      </c>
      <c r="W15" s="14">
        <f t="shared" si="2"/>
        <v>47371</v>
      </c>
      <c r="X15" s="65">
        <f t="shared" ca="1" si="3"/>
        <v>1240</v>
      </c>
      <c r="Y15" s="15" t="str">
        <f t="shared" ca="1" si="4"/>
        <v>VIGENTE</v>
      </c>
      <c r="Z15" s="12" t="s">
        <v>146</v>
      </c>
      <c r="AA15" s="13">
        <v>44381</v>
      </c>
      <c r="AB15" s="14">
        <v>44382</v>
      </c>
      <c r="AC15" s="14">
        <f t="shared" si="5"/>
        <v>46208</v>
      </c>
      <c r="AD15" s="65">
        <f t="shared" ca="1" si="6"/>
        <v>77</v>
      </c>
      <c r="AE15" s="15" t="str">
        <f t="shared" ca="1" si="7"/>
        <v>POR VENCER</v>
      </c>
      <c r="AF15" s="13">
        <v>44948</v>
      </c>
      <c r="AG15" s="14">
        <v>45617</v>
      </c>
      <c r="AH15" s="14">
        <f>DATE(YEAR(AG15)+2,MONTH(AG15),DAY(AG15)-1)</f>
        <v>46346</v>
      </c>
      <c r="AI15" s="65">
        <f t="shared" ca="1" si="8"/>
        <v>215</v>
      </c>
      <c r="AJ15" s="15" t="str">
        <f t="shared" ca="1" si="9"/>
        <v>VIGENTE</v>
      </c>
      <c r="AK15" s="13">
        <v>45315</v>
      </c>
      <c r="AL15" s="14">
        <v>45959</v>
      </c>
      <c r="AM15" s="14">
        <f>DATE(YEAR(AL15)+2,MONTH(AL15),DAY(AL15))</f>
        <v>46689</v>
      </c>
      <c r="AN15" s="65">
        <f t="shared" ca="1" si="10"/>
        <v>558</v>
      </c>
      <c r="AO15" s="15" t="str">
        <f t="shared" ca="1" si="11"/>
        <v>VIGENTE</v>
      </c>
      <c r="AP15" s="13">
        <v>45074</v>
      </c>
      <c r="AQ15" s="14">
        <v>45703</v>
      </c>
      <c r="AR15" s="14">
        <f>DATE(YEAR(AQ15)+2,MONTH(AQ15),DAY(AQ15)-1)</f>
        <v>46432</v>
      </c>
      <c r="AS15" s="65">
        <f t="shared" ca="1" si="12"/>
        <v>301</v>
      </c>
      <c r="AT15" s="15" t="str">
        <f t="shared" ca="1" si="13"/>
        <v>VIGENTE</v>
      </c>
      <c r="AU15" s="13">
        <v>45072</v>
      </c>
      <c r="AV15" s="14">
        <v>45702</v>
      </c>
      <c r="AW15" s="14">
        <f>DATE(YEAR(AV15)+2,MONTH(AV15),DAY(AV15)-1)</f>
        <v>46431</v>
      </c>
      <c r="AX15" s="65">
        <f t="shared" ca="1" si="15"/>
        <v>300</v>
      </c>
      <c r="AY15" s="15" t="str">
        <f t="shared" ca="1" si="16"/>
        <v>VIGENTE</v>
      </c>
      <c r="AZ15" s="14">
        <v>45030</v>
      </c>
      <c r="BA15" s="14">
        <v>45708</v>
      </c>
      <c r="BB15" s="14">
        <f>DATE(YEAR(BA15)+2,MONTH(BA15),DAY(BA15)-1)</f>
        <v>46437</v>
      </c>
      <c r="BC15" s="65">
        <f t="shared" ca="1" si="17"/>
        <v>306</v>
      </c>
      <c r="BD15" s="15" t="str">
        <f t="shared" ca="1" si="18"/>
        <v>VIGENTE</v>
      </c>
      <c r="BE15" s="13">
        <v>44688</v>
      </c>
      <c r="BF15" s="14">
        <v>45987</v>
      </c>
      <c r="BG15" s="14">
        <f>DATE(YEAR(BF15)+2,MONTH(BF15),DAY(BF15))</f>
        <v>46717</v>
      </c>
      <c r="BH15" s="65">
        <f t="shared" ca="1" si="19"/>
        <v>586</v>
      </c>
      <c r="BI15" s="15" t="str">
        <f t="shared" ca="1" si="20"/>
        <v>VIGENTE</v>
      </c>
      <c r="BJ15" s="13">
        <v>45389</v>
      </c>
      <c r="BK15" s="14">
        <v>46035</v>
      </c>
      <c r="BL15" s="14">
        <f>DATE(YEAR(BK15)+2,MONTH(BK15),DAY(BK15))</f>
        <v>46765</v>
      </c>
      <c r="BM15" s="65">
        <f t="shared" ca="1" si="21"/>
        <v>634</v>
      </c>
      <c r="BN15" s="15" t="str">
        <f t="shared" ca="1" si="22"/>
        <v>VIGENTE</v>
      </c>
      <c r="BO15" s="14">
        <v>45040</v>
      </c>
      <c r="BP15" s="14">
        <v>45701</v>
      </c>
      <c r="BQ15" s="14">
        <f>DATE(YEAR(BP15)+2,MONTH(BP15),DAY(BP15)-1)</f>
        <v>46430</v>
      </c>
      <c r="BR15" s="65">
        <f t="shared" ca="1" si="23"/>
        <v>299</v>
      </c>
      <c r="BS15" s="15" t="str">
        <f t="shared" ca="1" si="24"/>
        <v>VIGENTE</v>
      </c>
      <c r="BT15" s="14">
        <v>45086</v>
      </c>
      <c r="BU15" s="14">
        <v>45736</v>
      </c>
      <c r="BV15" s="14">
        <f>DATE(YEAR(BU15)+2,MONTH(BU15),DAY(BU15)-1)</f>
        <v>46465</v>
      </c>
      <c r="BW15" s="65">
        <f t="shared" ca="1" si="25"/>
        <v>334</v>
      </c>
      <c r="BX15" s="15" t="str">
        <f t="shared" ca="1" si="26"/>
        <v>VIGENTE</v>
      </c>
      <c r="BY15" s="13">
        <v>45300</v>
      </c>
      <c r="BZ15" s="14">
        <v>45954</v>
      </c>
      <c r="CA15" s="14">
        <f t="shared" si="169"/>
        <v>46684</v>
      </c>
      <c r="CB15" s="65">
        <f t="shared" ca="1" si="27"/>
        <v>553</v>
      </c>
      <c r="CC15" s="15" t="str">
        <f t="shared" ca="1" si="28"/>
        <v>VIGENTE</v>
      </c>
      <c r="CD15" s="16" t="s">
        <v>108</v>
      </c>
      <c r="CE15" s="14">
        <v>45210</v>
      </c>
      <c r="CF15" s="14">
        <v>45211</v>
      </c>
      <c r="CG15" s="14">
        <f t="shared" si="29"/>
        <v>46672</v>
      </c>
      <c r="CH15" s="65">
        <f t="shared" ca="1" si="30"/>
        <v>541</v>
      </c>
      <c r="CI15" s="15" t="str">
        <f t="shared" ca="1" si="31"/>
        <v>VIGENTE</v>
      </c>
      <c r="CJ15" s="14">
        <v>45054</v>
      </c>
      <c r="CK15" s="14">
        <v>45688</v>
      </c>
      <c r="CL15" s="14">
        <f t="shared" si="171"/>
        <v>46417</v>
      </c>
      <c r="CM15" s="65">
        <f t="shared" ca="1" si="32"/>
        <v>286</v>
      </c>
      <c r="CN15" s="15" t="str">
        <f t="shared" ca="1" si="33"/>
        <v>VIGENTE</v>
      </c>
      <c r="CO15" s="13">
        <v>45050</v>
      </c>
      <c r="CP15" s="14">
        <v>45684</v>
      </c>
      <c r="CQ15" s="14">
        <f>DATE(YEAR(CP15)+2,MONTH(CP15),DAY(CP15)-1)</f>
        <v>46413</v>
      </c>
      <c r="CR15" s="65">
        <f t="shared" ca="1" si="34"/>
        <v>282</v>
      </c>
      <c r="CS15" s="15" t="str">
        <f t="shared" ca="1" si="35"/>
        <v>VIGENTE</v>
      </c>
      <c r="CT15" s="13">
        <v>44964</v>
      </c>
      <c r="CU15" s="14">
        <v>45631</v>
      </c>
      <c r="CV15" s="14">
        <f>DATE(YEAR(CU15)+2,MONTH(CU15),DAY(CU15)-1)</f>
        <v>46360</v>
      </c>
      <c r="CW15" s="65">
        <f t="shared" ca="1" si="36"/>
        <v>229</v>
      </c>
      <c r="CX15" s="15" t="str">
        <f t="shared" ca="1" si="37"/>
        <v>VIGENTE</v>
      </c>
      <c r="CY15" s="13">
        <v>45057</v>
      </c>
      <c r="CZ15" s="14">
        <v>45681</v>
      </c>
      <c r="DA15" s="14">
        <f>DATE(YEAR(CZ15)+2,MONTH(CZ15),DAY(CZ15)-1)</f>
        <v>46410</v>
      </c>
      <c r="DB15" s="65">
        <f t="shared" ca="1" si="38"/>
        <v>279</v>
      </c>
      <c r="DC15" s="15" t="str">
        <f t="shared" ca="1" si="39"/>
        <v>VIGENTE</v>
      </c>
      <c r="DD15" s="13">
        <v>45027</v>
      </c>
      <c r="DE15" s="14">
        <v>45689</v>
      </c>
      <c r="DF15" s="14">
        <f>DATE(YEAR(DE15)+2,MONTH(DE15),DAY(DE15)-1)</f>
        <v>46418</v>
      </c>
      <c r="DG15" s="65">
        <f t="shared" ca="1" si="40"/>
        <v>287</v>
      </c>
      <c r="DH15" s="15" t="str">
        <f t="shared" ca="1" si="41"/>
        <v>VIGENTE</v>
      </c>
      <c r="DI15" s="14">
        <v>45058</v>
      </c>
      <c r="DJ15" s="14">
        <v>45696</v>
      </c>
      <c r="DK15" s="14">
        <f>DATE(YEAR(DJ15)+2,MONTH(DJ15),DAY(DJ15)-1)</f>
        <v>46425</v>
      </c>
      <c r="DL15" s="65">
        <f t="shared" ca="1" si="43"/>
        <v>294</v>
      </c>
      <c r="DM15" s="15" t="str">
        <f t="shared" ca="1" si="44"/>
        <v>VIGENTE</v>
      </c>
      <c r="DN15" s="13">
        <v>45316</v>
      </c>
      <c r="DO15" s="14">
        <v>45982</v>
      </c>
      <c r="DP15" s="14">
        <f>DATE(YEAR(DO15)+2,MONTH(DO15),DAY(DO15))</f>
        <v>46712</v>
      </c>
      <c r="DQ15" s="65">
        <f t="shared" ca="1" si="46"/>
        <v>581</v>
      </c>
      <c r="DR15" s="15" t="str">
        <f t="shared" ca="1" si="47"/>
        <v>VIGENTE</v>
      </c>
      <c r="DS15" s="13">
        <v>45079</v>
      </c>
      <c r="DT15" s="14">
        <v>45728</v>
      </c>
      <c r="DU15" s="14">
        <f>DATE(YEAR(DT15)+2,MONTH(DT15),DAY(DT15)-1)</f>
        <v>46457</v>
      </c>
      <c r="DV15" s="65">
        <f t="shared" ca="1" si="48"/>
        <v>326</v>
      </c>
      <c r="DW15" s="15" t="str">
        <f t="shared" ca="1" si="49"/>
        <v>VIGENTE</v>
      </c>
      <c r="DX15" s="13">
        <v>45064</v>
      </c>
      <c r="DY15" s="14">
        <v>45682</v>
      </c>
      <c r="DZ15" s="14">
        <f>DATE(YEAR(DY15)+2,MONTH(DY15),DAY(DY15)-1)</f>
        <v>46411</v>
      </c>
      <c r="EA15" s="65">
        <f t="shared" ca="1" si="50"/>
        <v>280</v>
      </c>
      <c r="EB15" s="15" t="str">
        <f t="shared" ca="1" si="51"/>
        <v>VIGENTE</v>
      </c>
      <c r="EC15" s="13">
        <v>45070</v>
      </c>
      <c r="ED15" s="14">
        <v>45674</v>
      </c>
      <c r="EE15" s="14">
        <f>DATE(YEAR(ED15)+2,MONTH(ED15),DAY(ED15)-1)</f>
        <v>46403</v>
      </c>
      <c r="EF15" s="65">
        <f t="shared" ca="1" si="52"/>
        <v>272</v>
      </c>
      <c r="EG15" s="15" t="str">
        <f t="shared" ca="1" si="53"/>
        <v>VIGENTE</v>
      </c>
      <c r="EH15" s="13">
        <v>45750</v>
      </c>
      <c r="EI15" s="13">
        <v>46083</v>
      </c>
      <c r="EJ15" s="13">
        <v>46084</v>
      </c>
      <c r="EK15" s="13">
        <v>46085</v>
      </c>
      <c r="EL15" s="14">
        <f t="shared" si="128"/>
        <v>46450</v>
      </c>
      <c r="EM15" s="65">
        <f t="shared" ca="1" si="54"/>
        <v>319</v>
      </c>
      <c r="EN15" s="15" t="str">
        <f t="shared" ca="1" si="55"/>
        <v>VIGENTE</v>
      </c>
      <c r="EO15" s="14">
        <v>45042</v>
      </c>
      <c r="EP15" s="14">
        <v>45671</v>
      </c>
      <c r="EQ15" s="14">
        <f>DATE(YEAR(EP15)+2,MONTH(EP15),DAY(EP15)-1)</f>
        <v>46400</v>
      </c>
      <c r="ER15" s="65">
        <f t="shared" ca="1" si="56"/>
        <v>269</v>
      </c>
      <c r="ES15" s="15" t="str">
        <f t="shared" ca="1" si="57"/>
        <v>VIGENTE</v>
      </c>
      <c r="ET15" s="14">
        <v>45043</v>
      </c>
      <c r="EU15" s="14">
        <v>45677</v>
      </c>
      <c r="EV15" s="14">
        <f>DATE(YEAR(EU15)+2,MONTH(EU15),DAY(EU15)-1)</f>
        <v>46406</v>
      </c>
      <c r="EW15" s="65">
        <f t="shared" ca="1" si="58"/>
        <v>275</v>
      </c>
      <c r="EX15" s="15" t="str">
        <f t="shared" ca="1" si="59"/>
        <v>VIGENTE</v>
      </c>
      <c r="EY15" s="13">
        <v>45299</v>
      </c>
      <c r="EZ15" s="14">
        <v>45953</v>
      </c>
      <c r="FA15" s="14">
        <f t="shared" si="142"/>
        <v>46683</v>
      </c>
      <c r="FB15" s="65">
        <f t="shared" ca="1" si="60"/>
        <v>552</v>
      </c>
      <c r="FC15" s="15" t="str">
        <f t="shared" ca="1" si="61"/>
        <v>VIGENTE</v>
      </c>
      <c r="FD15" s="13">
        <v>44629</v>
      </c>
      <c r="FE15" s="14">
        <v>45951</v>
      </c>
      <c r="FF15" s="14">
        <f t="shared" si="170"/>
        <v>46681</v>
      </c>
      <c r="FG15" s="65">
        <f t="shared" ca="1" si="62"/>
        <v>550</v>
      </c>
      <c r="FH15" s="15" t="str">
        <f t="shared" ca="1" si="63"/>
        <v>VIGENTE</v>
      </c>
      <c r="FI15" s="13">
        <v>44632</v>
      </c>
      <c r="FJ15" s="14">
        <v>45992</v>
      </c>
      <c r="FK15" s="14">
        <f t="shared" si="144"/>
        <v>46722</v>
      </c>
      <c r="FL15" s="65">
        <f t="shared" ca="1" si="64"/>
        <v>591</v>
      </c>
      <c r="FM15" s="15" t="str">
        <f t="shared" ca="1" si="65"/>
        <v>VIGENTE</v>
      </c>
      <c r="FN15" s="13">
        <v>45055</v>
      </c>
      <c r="FO15" s="14">
        <v>45670</v>
      </c>
      <c r="FP15" s="14">
        <f>DATE(YEAR(FO15)+2,MONTH(FO15),DAY(FO15)-1)</f>
        <v>46399</v>
      </c>
      <c r="FQ15" s="65">
        <f t="shared" ca="1" si="67"/>
        <v>268</v>
      </c>
      <c r="FR15" s="15" t="str">
        <f t="shared" ca="1" si="68"/>
        <v>VIGENTE</v>
      </c>
      <c r="FS15" s="13">
        <v>45015</v>
      </c>
      <c r="FT15" s="14">
        <v>45664</v>
      </c>
      <c r="FU15" s="14">
        <f>DATE(YEAR(FT15)+2,MONTH(FT15),DAY(FT15)-1)</f>
        <v>46393</v>
      </c>
      <c r="FV15" s="65">
        <f t="shared" ca="1" si="69"/>
        <v>262</v>
      </c>
      <c r="FW15" s="15" t="str">
        <f t="shared" ca="1" si="70"/>
        <v>VIGENTE</v>
      </c>
      <c r="FX15" s="14">
        <v>44924</v>
      </c>
      <c r="FY15" s="14">
        <v>45581</v>
      </c>
      <c r="FZ15" s="14">
        <f>DATE(YEAR(FY15)+2,MONTH(FY15),DAY(FY15)-1)</f>
        <v>46310</v>
      </c>
      <c r="GA15" s="65">
        <f t="shared" ca="1" si="71"/>
        <v>179</v>
      </c>
      <c r="GB15" s="15" t="str">
        <f t="shared" ca="1" si="72"/>
        <v>VIGENTE</v>
      </c>
      <c r="GC15" s="13">
        <v>45049</v>
      </c>
      <c r="GD15" s="14">
        <v>45667</v>
      </c>
      <c r="GE15" s="14">
        <f>DATE(YEAR(GD15)+2,MONTH(GD15),DAY(GD15)-1)</f>
        <v>46396</v>
      </c>
      <c r="GF15" s="65">
        <f t="shared" ca="1" si="73"/>
        <v>265</v>
      </c>
      <c r="GG15" s="15" t="str">
        <f t="shared" ca="1" si="74"/>
        <v>VIGENTE</v>
      </c>
      <c r="GH15" s="13">
        <v>45391</v>
      </c>
      <c r="GI15" s="14">
        <v>46036</v>
      </c>
      <c r="GJ15" s="14">
        <f>DATE(YEAR(GI15)+2,MONTH(GI15),DAY(GI15))</f>
        <v>46766</v>
      </c>
      <c r="GK15" s="65">
        <f t="shared" ca="1" si="75"/>
        <v>635</v>
      </c>
      <c r="GL15" s="15" t="str">
        <f t="shared" ca="1" si="76"/>
        <v>VIGENTE</v>
      </c>
      <c r="GM15" s="13">
        <v>44571</v>
      </c>
      <c r="GN15" s="14">
        <v>45945</v>
      </c>
      <c r="GO15" s="14">
        <f>DATE(YEAR(GN15)+2,MONTH(GN15),DAY(GN15))</f>
        <v>46675</v>
      </c>
      <c r="GP15" s="65">
        <f t="shared" ca="1" si="77"/>
        <v>544</v>
      </c>
      <c r="GQ15" s="15" t="str">
        <f t="shared" ca="1" si="78"/>
        <v>VIGENTE</v>
      </c>
      <c r="GR15" s="14">
        <v>44293</v>
      </c>
      <c r="GS15" s="14">
        <v>45017</v>
      </c>
      <c r="GT15" s="14">
        <f t="shared" si="79"/>
        <v>46844</v>
      </c>
      <c r="GU15" s="65">
        <f t="shared" ca="1" si="172"/>
        <v>713</v>
      </c>
      <c r="GV15" s="15" t="str">
        <f t="shared" ca="1" si="81"/>
        <v>VIGENTE</v>
      </c>
      <c r="GW15" s="13">
        <v>44599</v>
      </c>
      <c r="GX15" s="14">
        <v>45277</v>
      </c>
      <c r="GY15" s="14">
        <f t="shared" si="82"/>
        <v>47104</v>
      </c>
      <c r="GZ15" s="65">
        <f t="shared" ca="1" si="83"/>
        <v>973</v>
      </c>
      <c r="HA15" s="15" t="str">
        <f t="shared" ca="1" si="84"/>
        <v>VIGENTE</v>
      </c>
      <c r="HB15" s="13">
        <v>44265</v>
      </c>
      <c r="HC15" s="14">
        <v>44980</v>
      </c>
      <c r="HD15" s="14">
        <f t="shared" si="85"/>
        <v>46806</v>
      </c>
      <c r="HE15" s="65">
        <f t="shared" ca="1" si="86"/>
        <v>675</v>
      </c>
      <c r="HF15" s="15" t="str">
        <f t="shared" ca="1" si="87"/>
        <v>VIGENTE</v>
      </c>
      <c r="HG15" s="16"/>
      <c r="HH15" s="14">
        <v>44879</v>
      </c>
      <c r="HI15" s="14">
        <f t="shared" si="88"/>
        <v>46705</v>
      </c>
      <c r="HJ15" s="65">
        <f t="shared" ca="1" si="89"/>
        <v>574</v>
      </c>
      <c r="HK15" s="15" t="str">
        <f t="shared" ca="1" si="173"/>
        <v>VIGENTE</v>
      </c>
      <c r="HL15" s="13">
        <v>44635</v>
      </c>
      <c r="HM15" s="14">
        <v>45368</v>
      </c>
      <c r="HN15" s="14">
        <f>DATE(YEAR(HM15)+5,MONTH(HM15),DAY(HM15))</f>
        <v>47194</v>
      </c>
      <c r="HO15" s="65">
        <f ca="1">HN15-TODAY()</f>
        <v>1063</v>
      </c>
      <c r="HP15" s="15" t="str">
        <f t="shared" ca="1" si="91"/>
        <v>VIGENTE</v>
      </c>
      <c r="HQ15" s="12"/>
      <c r="HR15" s="12"/>
      <c r="HS15" s="14"/>
      <c r="HT15" s="12"/>
      <c r="HU15" s="15" t="str">
        <f t="shared" si="92"/>
        <v>NO APLICA</v>
      </c>
      <c r="HV15" s="13">
        <v>44782</v>
      </c>
      <c r="HW15" s="14">
        <v>45420</v>
      </c>
      <c r="HX15" s="14">
        <f>DATE(YEAR(HW15)+5,MONTH(HW15),DAY(HW15))</f>
        <v>47246</v>
      </c>
      <c r="HY15" s="65">
        <f ca="1">HX15-TODAY()</f>
        <v>1115</v>
      </c>
      <c r="HZ15" s="15" t="str">
        <f t="shared" ca="1" si="93"/>
        <v>VIGENTE</v>
      </c>
      <c r="IA15" s="13">
        <v>44265</v>
      </c>
      <c r="IB15" s="14">
        <v>44981</v>
      </c>
      <c r="IC15" s="14">
        <f>DATE(YEAR(IB15)+5,MONTH(IB15),DAY(IB15))</f>
        <v>46807</v>
      </c>
      <c r="ID15" s="65">
        <f ca="1">IC15-TODAY()</f>
        <v>676</v>
      </c>
      <c r="IE15" s="15" t="str">
        <f t="shared" ca="1" si="94"/>
        <v>VIGENTE</v>
      </c>
      <c r="IF15" s="13">
        <v>44510</v>
      </c>
      <c r="IG15" s="14">
        <v>45192</v>
      </c>
      <c r="IH15" s="14">
        <f>DATE(YEAR(IG15)+5,MONTH(IG15),DAY(IG15))</f>
        <v>47019</v>
      </c>
      <c r="II15" s="65">
        <f ca="1">IH15-TODAY()</f>
        <v>888</v>
      </c>
      <c r="IJ15" s="15" t="str">
        <f t="shared" ca="1" si="95"/>
        <v>VIGENTE</v>
      </c>
      <c r="IK15" s="14">
        <v>44559</v>
      </c>
      <c r="IL15" s="14">
        <v>45262</v>
      </c>
      <c r="IM15" s="14">
        <f>DATE(YEAR(IL15)+5,MONTH(IL15),DAY(IL15))</f>
        <v>47089</v>
      </c>
      <c r="IN15" s="65">
        <f ca="1">IM15-TODAY()</f>
        <v>958</v>
      </c>
      <c r="IO15" s="15" t="str">
        <f t="shared" ca="1" si="96"/>
        <v>VIGENTE</v>
      </c>
      <c r="IP15" s="13">
        <v>44559</v>
      </c>
      <c r="IQ15" s="14">
        <v>45273</v>
      </c>
      <c r="IR15" s="14">
        <f>DATE(YEAR(IQ15)+5,MONTH(IQ15),DAY(IQ15))</f>
        <v>47100</v>
      </c>
      <c r="IS15" s="65">
        <f ca="1">IR15-TODAY()</f>
        <v>969</v>
      </c>
      <c r="IT15" s="15" t="str">
        <f t="shared" ca="1" si="97"/>
        <v>VIGENTE</v>
      </c>
      <c r="IU15" s="13">
        <v>44510</v>
      </c>
      <c r="IV15" s="14">
        <v>45240</v>
      </c>
      <c r="IW15" s="14">
        <f>DATE(YEAR(IV15)+5,MONTH(IV15),DAY(IV15))</f>
        <v>47067</v>
      </c>
      <c r="IX15" s="65">
        <f ca="1">IW15-TODAY()</f>
        <v>936</v>
      </c>
      <c r="IY15" s="15" t="str">
        <f t="shared" ca="1" si="98"/>
        <v>VIGENTE</v>
      </c>
      <c r="IZ15" s="13">
        <v>44781</v>
      </c>
      <c r="JA15" s="14">
        <v>45461</v>
      </c>
      <c r="JB15" s="14">
        <f>DATE(YEAR(JA15)+5,MONTH(JA15),DAY(JA15))</f>
        <v>47287</v>
      </c>
      <c r="JC15" s="65">
        <f ca="1">JB15-TODAY()</f>
        <v>1156</v>
      </c>
      <c r="JD15" s="15" t="str">
        <f t="shared" ca="1" si="99"/>
        <v>VIGENTE</v>
      </c>
      <c r="JE15" s="13"/>
      <c r="JF15" s="13"/>
      <c r="JG15" s="14"/>
      <c r="JH15" s="65"/>
      <c r="JI15" s="15" t="str">
        <f t="shared" si="100"/>
        <v>NO APLICA</v>
      </c>
      <c r="JJ15" s="16"/>
      <c r="JK15" s="16"/>
      <c r="JL15" s="16"/>
      <c r="JM15" s="15" t="str">
        <f t="shared" si="101"/>
        <v>NO APLICA</v>
      </c>
      <c r="JN15" s="16"/>
      <c r="JO15" s="16"/>
      <c r="JP15" s="16"/>
      <c r="JQ15" s="15" t="str">
        <f t="shared" si="102"/>
        <v>NO APLICA</v>
      </c>
      <c r="JR15" s="16"/>
      <c r="JS15" s="16"/>
      <c r="JT15" s="16"/>
      <c r="JU15" s="16"/>
      <c r="JV15" s="15" t="str">
        <f t="shared" si="103"/>
        <v>NO APLICA</v>
      </c>
      <c r="JW15" s="15"/>
      <c r="JX15" s="15"/>
      <c r="JY15" s="15"/>
      <c r="JZ15" s="15"/>
      <c r="KA15" s="15" t="str">
        <f t="shared" si="104"/>
        <v>NO APLICA</v>
      </c>
      <c r="KB15" s="12"/>
      <c r="KC15" s="14"/>
      <c r="KD15" s="65"/>
      <c r="KE15" s="15" t="str">
        <f t="shared" si="105"/>
        <v>NO APLICA</v>
      </c>
      <c r="KF15" s="12"/>
      <c r="KG15" s="14"/>
      <c r="KH15" s="65"/>
      <c r="KI15" s="15" t="str">
        <f t="shared" si="132"/>
        <v>NO APLICA</v>
      </c>
      <c r="KJ15" s="13">
        <v>45364</v>
      </c>
      <c r="KK15" s="14">
        <f>DATE(YEAR(KJ15)+5,MONTH(KJ15),DAY(KJ15))</f>
        <v>47190</v>
      </c>
      <c r="KL15" s="65">
        <f ca="1">KK15-TODAY()</f>
        <v>1059</v>
      </c>
      <c r="KM15" s="15" t="str">
        <f t="shared" ca="1" si="106"/>
        <v>VIGENTE</v>
      </c>
      <c r="KN15" s="12"/>
      <c r="KO15" s="14"/>
      <c r="KP15" s="65"/>
      <c r="KQ15" s="15" t="str">
        <f t="shared" si="133"/>
        <v>NO APLICA</v>
      </c>
      <c r="KR15" s="13">
        <v>44657</v>
      </c>
      <c r="KS15" s="14">
        <v>44658</v>
      </c>
      <c r="KT15" s="14">
        <f>DATE(YEAR(KS15)+5,MONTH(KS15),DAY(KS15))</f>
        <v>46484</v>
      </c>
      <c r="KU15" s="65">
        <f ca="1">KT15-TODAY()</f>
        <v>353</v>
      </c>
      <c r="KV15" s="15" t="str">
        <f t="shared" ca="1" si="147"/>
        <v>VIGENTE</v>
      </c>
      <c r="KW15" s="14">
        <v>44615</v>
      </c>
      <c r="KX15" s="14">
        <f>DATE(YEAR(KW15)+5,MONTH(KW15),DAY(KW15))</f>
        <v>46441</v>
      </c>
      <c r="KY15" s="65">
        <f ca="1">KX15-TODAY()</f>
        <v>310</v>
      </c>
      <c r="KZ15" s="15" t="str">
        <f t="shared" ca="1" si="134"/>
        <v>VIGENTE</v>
      </c>
      <c r="LA15" s="14">
        <v>44487</v>
      </c>
      <c r="LB15" s="14">
        <v>45516</v>
      </c>
      <c r="LC15" s="14">
        <f>DATE(YEAR(LB15)+2,MONTH(LB15),DAY(LB15))</f>
        <v>46246</v>
      </c>
      <c r="LD15" s="65">
        <f ca="1">LC15-TODAY()</f>
        <v>115</v>
      </c>
      <c r="LE15" s="15" t="str">
        <f t="shared" ca="1" si="107"/>
        <v>VIGENTE</v>
      </c>
      <c r="LF15" s="15"/>
      <c r="LG15" s="66">
        <v>44086</v>
      </c>
      <c r="LH15" s="14">
        <f>DATE(YEAR(LG15)+5,MONTH(LG15),DAY(LG15))</f>
        <v>45912</v>
      </c>
      <c r="LI15" s="65">
        <f ca="1">LH15-TODAY()</f>
        <v>-219</v>
      </c>
      <c r="LJ15" s="15" t="str">
        <f t="shared" ca="1" si="148"/>
        <v>VENCIDA</v>
      </c>
      <c r="LK15" s="12"/>
      <c r="LL15" s="16"/>
      <c r="LM15" s="14"/>
      <c r="LN15" s="65"/>
      <c r="LO15" s="15" t="str">
        <f t="shared" si="135"/>
        <v>NO APLICA</v>
      </c>
      <c r="LP15" s="14">
        <v>44984</v>
      </c>
      <c r="LQ15" s="14">
        <v>44986</v>
      </c>
      <c r="LR15" s="14">
        <f>DATE(YEAR(LQ15)+5,MONTH(LQ15),DAY(LQ15))</f>
        <v>46813</v>
      </c>
      <c r="LS15" s="65">
        <f ca="1">LR15-TODAY()</f>
        <v>682</v>
      </c>
      <c r="LT15" s="15" t="str">
        <f t="shared" ca="1" si="136"/>
        <v>VIGENTE</v>
      </c>
      <c r="LU15" s="14">
        <v>44987</v>
      </c>
      <c r="LV15" s="14">
        <v>44988</v>
      </c>
      <c r="LW15" s="14">
        <f>DATE(YEAR(LV15)+5,MONTH(LV15),DAY(LV15))</f>
        <v>46815</v>
      </c>
      <c r="LX15" s="65">
        <f ca="1">LW15-TODAY()</f>
        <v>684</v>
      </c>
      <c r="LY15" s="15" t="str">
        <f t="shared" ca="1" si="137"/>
        <v>VIGENTE</v>
      </c>
      <c r="LZ15" s="14">
        <v>44998</v>
      </c>
      <c r="MA15" s="14">
        <v>45010</v>
      </c>
      <c r="MB15" s="14">
        <f>DATE(YEAR(MA15)+5,MONTH(MA15),DAY(MA15))</f>
        <v>46837</v>
      </c>
      <c r="MC15" s="65">
        <f ca="1">MB15-TODAY()</f>
        <v>706</v>
      </c>
      <c r="MD15" s="15" t="str">
        <f t="shared" ca="1" si="108"/>
        <v>VIGENTE</v>
      </c>
      <c r="ME15" s="12"/>
      <c r="MF15" s="12"/>
      <c r="MG15" s="14"/>
      <c r="MH15" s="65"/>
      <c r="MI15" s="15" t="str">
        <f t="shared" si="109"/>
        <v>NO APLICA</v>
      </c>
      <c r="MJ15" s="12"/>
      <c r="MK15" s="14"/>
      <c r="ML15" s="65"/>
      <c r="MM15" s="15" t="str">
        <f t="shared" si="110"/>
        <v>NO APLICA</v>
      </c>
      <c r="MN15" s="12"/>
      <c r="MO15" s="14"/>
      <c r="MP15" s="12"/>
      <c r="MQ15" s="15" t="str">
        <f t="shared" si="111"/>
        <v>NO APLICA</v>
      </c>
      <c r="MR15" s="12"/>
      <c r="MS15" s="14">
        <v>44834</v>
      </c>
      <c r="MT15" s="14">
        <f>DATE(YEAR(MS15)+5,MONTH(MS15),DAY(MS15))</f>
        <v>46660</v>
      </c>
      <c r="MU15" s="65">
        <f ca="1">MT15-TODAY()</f>
        <v>529</v>
      </c>
      <c r="MV15" s="15" t="str">
        <f t="shared" ca="1" si="112"/>
        <v>VIGENTE</v>
      </c>
      <c r="MW15" s="12"/>
      <c r="MX15" s="14">
        <v>44835</v>
      </c>
      <c r="MY15" s="14">
        <f>DATE(YEAR(MX15)+5,MONTH(MX15),DAY(MX15))</f>
        <v>46661</v>
      </c>
      <c r="MZ15" s="65">
        <f ca="1">MY15-TODAY()</f>
        <v>530</v>
      </c>
      <c r="NA15" s="15" t="str">
        <f t="shared" ca="1" si="113"/>
        <v>VIGENTE</v>
      </c>
      <c r="NB15" s="12"/>
      <c r="NC15" s="16"/>
      <c r="ND15" s="14"/>
      <c r="NE15" s="65"/>
      <c r="NF15" s="15" t="str">
        <f t="shared" si="114"/>
        <v>NO APLICA</v>
      </c>
      <c r="NG15" s="12"/>
      <c r="NH15" s="12"/>
      <c r="NI15" s="14"/>
      <c r="NJ15" s="65"/>
      <c r="NK15" s="15" t="str">
        <f t="shared" si="115"/>
        <v>NO APLICA</v>
      </c>
      <c r="NL15" s="12"/>
      <c r="NM15" s="12"/>
      <c r="NN15" s="14"/>
      <c r="NO15" s="12"/>
      <c r="NP15" s="15" t="str">
        <f t="shared" si="116"/>
        <v>NO APLICA</v>
      </c>
      <c r="NQ15" s="16"/>
      <c r="NR15" s="16"/>
      <c r="NS15" s="14"/>
      <c r="NT15" s="65"/>
      <c r="NU15" s="15" t="str">
        <f t="shared" si="117"/>
        <v>NO APLICA</v>
      </c>
      <c r="NV15" s="16"/>
      <c r="NW15" s="16"/>
      <c r="NX15" s="16"/>
      <c r="NY15" s="16"/>
      <c r="NZ15" s="15" t="str">
        <f t="shared" si="118"/>
        <v>NO APLICA</v>
      </c>
    </row>
    <row r="16" spans="1:390" ht="15.6" thickTop="1" thickBot="1" x14ac:dyDescent="0.35">
      <c r="A16" s="9">
        <v>1545</v>
      </c>
      <c r="B16" s="10" t="s">
        <v>147</v>
      </c>
      <c r="C16" s="21" t="s">
        <v>98</v>
      </c>
      <c r="D16" s="64" t="s">
        <v>99</v>
      </c>
      <c r="E16" s="15"/>
      <c r="F16" s="16"/>
      <c r="G16" s="14"/>
      <c r="H16" s="65"/>
      <c r="I16" s="15" t="str">
        <f t="shared" si="0"/>
        <v>NO APLICA</v>
      </c>
      <c r="J16" s="12"/>
      <c r="K16" s="16"/>
      <c r="L16" s="16"/>
      <c r="M16" s="65"/>
      <c r="N16" s="15" t="str">
        <f t="shared" si="1"/>
        <v>NO APLICA</v>
      </c>
      <c r="O16" s="14">
        <v>45757</v>
      </c>
      <c r="P16" s="14">
        <v>45758</v>
      </c>
      <c r="Q16" s="14">
        <f>DATE(YEAR(P16)+2,MONTH(P16),DAY(P16)-1)</f>
        <v>46487</v>
      </c>
      <c r="R16" s="65">
        <f ca="1">Q16-TODAY()</f>
        <v>356</v>
      </c>
      <c r="S16" s="15" t="str">
        <f t="shared" ca="1" si="119"/>
        <v>VIGENTE</v>
      </c>
      <c r="T16" s="12" t="s">
        <v>148</v>
      </c>
      <c r="U16" s="13">
        <v>45425</v>
      </c>
      <c r="V16" s="14">
        <v>45426</v>
      </c>
      <c r="W16" s="14">
        <f t="shared" si="2"/>
        <v>47252</v>
      </c>
      <c r="X16" s="65">
        <f t="shared" ca="1" si="3"/>
        <v>1121</v>
      </c>
      <c r="Y16" s="15" t="str">
        <f t="shared" ca="1" si="4"/>
        <v>VIGENTE</v>
      </c>
      <c r="Z16" s="12" t="s">
        <v>149</v>
      </c>
      <c r="AA16" s="13">
        <v>45189</v>
      </c>
      <c r="AB16" s="14">
        <v>45190</v>
      </c>
      <c r="AC16" s="14">
        <f t="shared" si="5"/>
        <v>47017</v>
      </c>
      <c r="AD16" s="65">
        <f t="shared" ca="1" si="6"/>
        <v>886</v>
      </c>
      <c r="AE16" s="15" t="str">
        <f t="shared" ca="1" si="7"/>
        <v>VIGENTE</v>
      </c>
      <c r="AF16" s="13">
        <v>44593</v>
      </c>
      <c r="AG16" s="14">
        <v>45936</v>
      </c>
      <c r="AH16" s="14">
        <f>DATE(YEAR(AG16)+2,MONTH(AG16),DAY(AG16))</f>
        <v>46666</v>
      </c>
      <c r="AI16" s="65">
        <f t="shared" ca="1" si="8"/>
        <v>535</v>
      </c>
      <c r="AJ16" s="15" t="str">
        <f t="shared" ca="1" si="9"/>
        <v>VIGENTE</v>
      </c>
      <c r="AK16" s="13">
        <v>44594</v>
      </c>
      <c r="AL16" s="14">
        <v>45937</v>
      </c>
      <c r="AM16" s="14">
        <f>DATE(YEAR(AL16)+2,MONTH(AL16),DAY(AL16))</f>
        <v>46667</v>
      </c>
      <c r="AN16" s="65">
        <f t="shared" ca="1" si="10"/>
        <v>536</v>
      </c>
      <c r="AO16" s="15" t="str">
        <f t="shared" ca="1" si="11"/>
        <v>VIGENTE</v>
      </c>
      <c r="AP16" s="13">
        <v>45258</v>
      </c>
      <c r="AQ16" s="14">
        <v>45887</v>
      </c>
      <c r="AR16" s="14">
        <f t="shared" ref="AR16:AR25" si="174">DATE(YEAR(AQ16)+2,MONTH(AQ16),DAY(AQ16))</f>
        <v>46617</v>
      </c>
      <c r="AS16" s="65">
        <f t="shared" ca="1" si="12"/>
        <v>486</v>
      </c>
      <c r="AT16" s="15" t="str">
        <f t="shared" ca="1" si="13"/>
        <v>VIGENTE</v>
      </c>
      <c r="AU16" s="13">
        <v>44665</v>
      </c>
      <c r="AV16" s="14">
        <v>45927</v>
      </c>
      <c r="AW16" s="14">
        <f>DATE(YEAR(AV16)+2,MONTH(AV16),DAY(AV16))</f>
        <v>46657</v>
      </c>
      <c r="AX16" s="65">
        <f t="shared" ca="1" si="15"/>
        <v>526</v>
      </c>
      <c r="AY16" s="15" t="str">
        <f t="shared" ca="1" si="16"/>
        <v>VIGENTE</v>
      </c>
      <c r="AZ16" s="13">
        <v>45093</v>
      </c>
      <c r="BA16" s="14">
        <v>45742</v>
      </c>
      <c r="BB16" s="14">
        <f>DATE(YEAR(BA16)+2,MONTH(BA16),DAY(BA16)-1)</f>
        <v>46471</v>
      </c>
      <c r="BC16" s="65">
        <f t="shared" ca="1" si="17"/>
        <v>340</v>
      </c>
      <c r="BD16" s="15" t="str">
        <f t="shared" ca="1" si="18"/>
        <v>VIGENTE</v>
      </c>
      <c r="BE16" s="13">
        <v>44691</v>
      </c>
      <c r="BF16" s="14">
        <v>45987</v>
      </c>
      <c r="BG16" s="14">
        <f>DATE(YEAR(BF16)+2,MONTH(BF16),DAY(BF16))</f>
        <v>46717</v>
      </c>
      <c r="BH16" s="65">
        <f t="shared" ca="1" si="19"/>
        <v>586</v>
      </c>
      <c r="BI16" s="15" t="str">
        <f t="shared" ca="1" si="20"/>
        <v>VIGENTE</v>
      </c>
      <c r="BJ16" s="13">
        <v>45389</v>
      </c>
      <c r="BK16" s="14">
        <v>46035</v>
      </c>
      <c r="BL16" s="14">
        <f>DATE(YEAR(BK16)+2,MONTH(BK16),DAY(BK16))</f>
        <v>46765</v>
      </c>
      <c r="BM16" s="65">
        <f t="shared" ca="1" si="21"/>
        <v>634</v>
      </c>
      <c r="BN16" s="15" t="str">
        <f t="shared" ca="1" si="22"/>
        <v>VIGENTE</v>
      </c>
      <c r="BO16" s="13">
        <v>44753</v>
      </c>
      <c r="BP16" s="14">
        <v>46050</v>
      </c>
      <c r="BQ16" s="14">
        <f>DATE(YEAR(BP16)+2,MONTH(BP16),DAY(BP16))</f>
        <v>46780</v>
      </c>
      <c r="BR16" s="65">
        <f t="shared" ca="1" si="23"/>
        <v>649</v>
      </c>
      <c r="BS16" s="15" t="str">
        <f t="shared" ca="1" si="24"/>
        <v>VIGENTE</v>
      </c>
      <c r="BT16" s="13">
        <v>44812</v>
      </c>
      <c r="BU16" s="14">
        <v>45449</v>
      </c>
      <c r="BV16" s="14">
        <f>DATE(YEAR(BU16)+2,MONTH(BU16),DAY(BU16)-1)</f>
        <v>46178</v>
      </c>
      <c r="BW16" s="65">
        <f t="shared" ca="1" si="25"/>
        <v>47</v>
      </c>
      <c r="BX16" s="15" t="str">
        <f t="shared" ca="1" si="26"/>
        <v>POR VENCER</v>
      </c>
      <c r="BY16" s="13">
        <v>44594</v>
      </c>
      <c r="BZ16" s="14">
        <v>45944</v>
      </c>
      <c r="CA16" s="14">
        <f t="shared" si="169"/>
        <v>46674</v>
      </c>
      <c r="CB16" s="65">
        <f t="shared" ca="1" si="27"/>
        <v>543</v>
      </c>
      <c r="CC16" s="15" t="str">
        <f t="shared" ca="1" si="28"/>
        <v>VIGENTE</v>
      </c>
      <c r="CD16" s="16" t="s">
        <v>108</v>
      </c>
      <c r="CE16" s="14">
        <v>45615</v>
      </c>
      <c r="CF16" s="14">
        <v>45616</v>
      </c>
      <c r="CG16" s="14">
        <f t="shared" si="29"/>
        <v>47077</v>
      </c>
      <c r="CH16" s="65">
        <f t="shared" ca="1" si="30"/>
        <v>946</v>
      </c>
      <c r="CI16" s="15" t="str">
        <f t="shared" ca="1" si="31"/>
        <v>VIGENTE</v>
      </c>
      <c r="CJ16" s="14">
        <v>44881</v>
      </c>
      <c r="CK16" s="14">
        <v>45504</v>
      </c>
      <c r="CL16" s="14">
        <f t="shared" si="171"/>
        <v>46233</v>
      </c>
      <c r="CM16" s="65">
        <f t="shared" ca="1" si="32"/>
        <v>102</v>
      </c>
      <c r="CN16" s="15" t="str">
        <f t="shared" ca="1" si="33"/>
        <v>VIGENTE</v>
      </c>
      <c r="CO16" s="13">
        <v>44900</v>
      </c>
      <c r="CP16" s="14">
        <v>45517</v>
      </c>
      <c r="CQ16" s="14">
        <f>DATE(YEAR(CP16)+2,MONTH(CP16),DAY(CP16)-1)</f>
        <v>46246</v>
      </c>
      <c r="CR16" s="65">
        <f t="shared" ca="1" si="34"/>
        <v>115</v>
      </c>
      <c r="CS16" s="15" t="str">
        <f t="shared" ca="1" si="35"/>
        <v>VIGENTE</v>
      </c>
      <c r="CT16" s="13">
        <v>44980</v>
      </c>
      <c r="CU16" s="14">
        <v>45624</v>
      </c>
      <c r="CV16" s="14">
        <f>DATE(YEAR(CU16)+2,MONTH(CU16),DAY(CU16)-1)</f>
        <v>46353</v>
      </c>
      <c r="CW16" s="65">
        <f t="shared" ca="1" si="36"/>
        <v>222</v>
      </c>
      <c r="CX16" s="15" t="str">
        <f t="shared" ca="1" si="37"/>
        <v>VIGENTE</v>
      </c>
      <c r="CY16" s="13">
        <v>45422</v>
      </c>
      <c r="CZ16" s="14">
        <v>46098</v>
      </c>
      <c r="DA16" s="14">
        <f>DATE(YEAR(CZ16)+2,MONTH(CZ16),DAY(CZ16))</f>
        <v>46829</v>
      </c>
      <c r="DB16" s="65">
        <f t="shared" ca="1" si="38"/>
        <v>698</v>
      </c>
      <c r="DC16" s="15" t="str">
        <f t="shared" ca="1" si="39"/>
        <v>VIGENTE</v>
      </c>
      <c r="DD16" s="13">
        <v>45079</v>
      </c>
      <c r="DE16" s="14">
        <v>45761</v>
      </c>
      <c r="DF16" s="14">
        <f>DATE(YEAR(DE16)+2,MONTH(DE16),DAY(DE16))</f>
        <v>46491</v>
      </c>
      <c r="DG16" s="65">
        <f t="shared" ca="1" si="40"/>
        <v>360</v>
      </c>
      <c r="DH16" s="15" t="str">
        <f t="shared" ca="1" si="41"/>
        <v>VIGENTE</v>
      </c>
      <c r="DI16" s="12">
        <v>45080</v>
      </c>
      <c r="DJ16" s="14">
        <v>45734</v>
      </c>
      <c r="DK16" s="14">
        <f>DATE(YEAR(DJ16)+2,MONTH(DJ16),DAY(DJ16)-1)</f>
        <v>46463</v>
      </c>
      <c r="DL16" s="65">
        <f t="shared" ca="1" si="43"/>
        <v>332</v>
      </c>
      <c r="DM16" s="15" t="str">
        <f t="shared" ca="1" si="44"/>
        <v>VIGENTE</v>
      </c>
      <c r="DN16" s="13">
        <v>45054</v>
      </c>
      <c r="DO16" s="14">
        <v>45731</v>
      </c>
      <c r="DP16" s="14">
        <f>DATE(YEAR(DO16)+2,MONTH(DO16),DAY(DO16)-1)</f>
        <v>46460</v>
      </c>
      <c r="DQ16" s="65">
        <f t="shared" ca="1" si="46"/>
        <v>329</v>
      </c>
      <c r="DR16" s="15" t="str">
        <f t="shared" ca="1" si="47"/>
        <v>VIGENTE</v>
      </c>
      <c r="DS16" s="13">
        <v>45066</v>
      </c>
      <c r="DT16" s="14">
        <v>45685</v>
      </c>
      <c r="DU16" s="14">
        <f>DATE(YEAR(DT16)+2,MONTH(DT16),DAY(DT16)-1)</f>
        <v>46414</v>
      </c>
      <c r="DV16" s="65">
        <f t="shared" ca="1" si="48"/>
        <v>283</v>
      </c>
      <c r="DW16" s="15" t="str">
        <f t="shared" ca="1" si="49"/>
        <v>VIGENTE</v>
      </c>
      <c r="DX16" s="13">
        <v>45063</v>
      </c>
      <c r="DY16" s="14">
        <v>45663</v>
      </c>
      <c r="DZ16" s="14">
        <f>DATE(YEAR(DY16)+2,MONTH(DY16),DAY(DY16)-1)</f>
        <v>46392</v>
      </c>
      <c r="EA16" s="65">
        <f t="shared" ca="1" si="50"/>
        <v>261</v>
      </c>
      <c r="EB16" s="15" t="str">
        <f t="shared" ca="1" si="51"/>
        <v>VIGENTE</v>
      </c>
      <c r="EC16" s="13">
        <v>45070</v>
      </c>
      <c r="ED16" s="14">
        <v>45674</v>
      </c>
      <c r="EE16" s="14">
        <f>DATE(YEAR(ED16)+2,MONTH(ED16),DAY(ED16)-1)</f>
        <v>46403</v>
      </c>
      <c r="EF16" s="65">
        <f t="shared" ca="1" si="52"/>
        <v>272</v>
      </c>
      <c r="EG16" s="15" t="str">
        <f t="shared" ca="1" si="53"/>
        <v>VIGENTE</v>
      </c>
      <c r="EH16" s="13">
        <v>45059</v>
      </c>
      <c r="EI16" s="13">
        <v>46105</v>
      </c>
      <c r="EJ16" s="13">
        <v>46106</v>
      </c>
      <c r="EK16" s="13">
        <v>46107</v>
      </c>
      <c r="EL16" s="14">
        <f t="shared" si="128"/>
        <v>46472</v>
      </c>
      <c r="EM16" s="65">
        <f t="shared" ca="1" si="54"/>
        <v>341</v>
      </c>
      <c r="EN16" s="15" t="str">
        <f t="shared" ca="1" si="55"/>
        <v>VIGENTE</v>
      </c>
      <c r="EO16" s="13">
        <v>44981</v>
      </c>
      <c r="EP16" s="13">
        <v>45596</v>
      </c>
      <c r="EQ16" s="14">
        <f>DATE(YEAR(EP16)+2,MONTH(EP16),DAY(EP16)-1)</f>
        <v>46325</v>
      </c>
      <c r="ER16" s="65">
        <f t="shared" ca="1" si="56"/>
        <v>194</v>
      </c>
      <c r="ES16" s="15" t="str">
        <f t="shared" ca="1" si="57"/>
        <v>VIGENTE</v>
      </c>
      <c r="ET16" s="13">
        <v>45003</v>
      </c>
      <c r="EU16" s="14">
        <v>45623</v>
      </c>
      <c r="EV16" s="14">
        <f>DATE(YEAR(EU16)+2,MONTH(EU16),DAY(EU16)-1)</f>
        <v>46352</v>
      </c>
      <c r="EW16" s="65">
        <f t="shared" ca="1" si="58"/>
        <v>221</v>
      </c>
      <c r="EX16" s="15" t="str">
        <f t="shared" ca="1" si="59"/>
        <v>VIGENTE</v>
      </c>
      <c r="EY16" s="13">
        <v>45271</v>
      </c>
      <c r="EZ16" s="14">
        <v>45917</v>
      </c>
      <c r="FA16" s="14">
        <f t="shared" si="142"/>
        <v>46647</v>
      </c>
      <c r="FB16" s="65">
        <f t="shared" ca="1" si="60"/>
        <v>516</v>
      </c>
      <c r="FC16" s="15" t="str">
        <f t="shared" ca="1" si="61"/>
        <v>VIGENTE</v>
      </c>
      <c r="FD16" s="13">
        <v>44595</v>
      </c>
      <c r="FE16" s="14">
        <v>45931</v>
      </c>
      <c r="FF16" s="14">
        <f t="shared" si="170"/>
        <v>46661</v>
      </c>
      <c r="FG16" s="65">
        <f t="shared" ca="1" si="62"/>
        <v>530</v>
      </c>
      <c r="FH16" s="15" t="str">
        <f t="shared" ca="1" si="63"/>
        <v>VIGENTE</v>
      </c>
      <c r="FI16" s="13">
        <v>44596</v>
      </c>
      <c r="FJ16" s="14">
        <v>45932</v>
      </c>
      <c r="FK16" s="14">
        <f t="shared" si="144"/>
        <v>46662</v>
      </c>
      <c r="FL16" s="65">
        <f t="shared" ca="1" si="64"/>
        <v>531</v>
      </c>
      <c r="FM16" s="15" t="str">
        <f t="shared" ca="1" si="65"/>
        <v>VIGENTE</v>
      </c>
      <c r="FN16" s="13">
        <v>45062</v>
      </c>
      <c r="FO16" s="14">
        <v>45670</v>
      </c>
      <c r="FP16" s="14">
        <f>DATE(YEAR(FO16)+2,MONTH(FO16),DAY(FO16)-1)</f>
        <v>46399</v>
      </c>
      <c r="FQ16" s="65">
        <f t="shared" ca="1" si="67"/>
        <v>268</v>
      </c>
      <c r="FR16" s="15" t="str">
        <f t="shared" ca="1" si="68"/>
        <v>VIGENTE</v>
      </c>
      <c r="FS16" s="13">
        <v>45078</v>
      </c>
      <c r="FT16" s="14">
        <v>45724</v>
      </c>
      <c r="FU16" s="14">
        <f>DATE(YEAR(FT16)+2,MONTH(FT16),DAY(FT16)-1)</f>
        <v>46453</v>
      </c>
      <c r="FV16" s="65">
        <f t="shared" ca="1" si="69"/>
        <v>322</v>
      </c>
      <c r="FW16" s="15" t="str">
        <f t="shared" ca="1" si="70"/>
        <v>VIGENTE</v>
      </c>
      <c r="FX16" s="13">
        <v>44596</v>
      </c>
      <c r="FY16" s="14">
        <v>45941</v>
      </c>
      <c r="FZ16" s="14">
        <f>DATE(YEAR(FY16)+2,MONTH(FY16),DAY(FY16))</f>
        <v>46671</v>
      </c>
      <c r="GA16" s="65">
        <f t="shared" ca="1" si="71"/>
        <v>540</v>
      </c>
      <c r="GB16" s="15" t="str">
        <f t="shared" ca="1" si="72"/>
        <v>VIGENTE</v>
      </c>
      <c r="GC16" s="13">
        <v>44995</v>
      </c>
      <c r="GD16" s="14">
        <v>45715</v>
      </c>
      <c r="GE16" s="14">
        <f>DATE(YEAR(GD16)+2,MONTH(GD16),DAY(GD16)-1)</f>
        <v>46444</v>
      </c>
      <c r="GF16" s="65">
        <f t="shared" ca="1" si="73"/>
        <v>313</v>
      </c>
      <c r="GG16" s="15" t="str">
        <f t="shared" ca="1" si="74"/>
        <v>VIGENTE</v>
      </c>
      <c r="GH16" s="13">
        <v>44996</v>
      </c>
      <c r="GI16" s="14">
        <v>45672</v>
      </c>
      <c r="GJ16" s="14">
        <f>DATE(YEAR(GI16)+2,MONTH(GI16),DAY(GI16)-1)</f>
        <v>46401</v>
      </c>
      <c r="GK16" s="65">
        <f t="shared" ca="1" si="75"/>
        <v>270</v>
      </c>
      <c r="GL16" s="15" t="str">
        <f t="shared" ca="1" si="76"/>
        <v>VIGENTE</v>
      </c>
      <c r="GM16" s="13">
        <v>44572</v>
      </c>
      <c r="GN16" s="14">
        <v>45945</v>
      </c>
      <c r="GO16" s="14">
        <f>DATE(YEAR(GN16)+2,MONTH(GN16),DAY(GN16))</f>
        <v>46675</v>
      </c>
      <c r="GP16" s="65">
        <f t="shared" ca="1" si="77"/>
        <v>544</v>
      </c>
      <c r="GQ16" s="15" t="str">
        <f t="shared" ca="1" si="78"/>
        <v>VIGENTE</v>
      </c>
      <c r="GR16" s="14"/>
      <c r="GS16" s="14">
        <v>44952</v>
      </c>
      <c r="GT16" s="14">
        <f t="shared" si="79"/>
        <v>46778</v>
      </c>
      <c r="GU16" s="65">
        <f t="shared" ca="1" si="172"/>
        <v>647</v>
      </c>
      <c r="GV16" s="15" t="str">
        <f t="shared" ca="1" si="81"/>
        <v>VIGENTE</v>
      </c>
      <c r="GW16" s="13">
        <v>44571</v>
      </c>
      <c r="GX16" s="14">
        <v>45252</v>
      </c>
      <c r="GY16" s="14">
        <f t="shared" si="82"/>
        <v>47079</v>
      </c>
      <c r="GZ16" s="65">
        <f t="shared" ca="1" si="83"/>
        <v>948</v>
      </c>
      <c r="HA16" s="15" t="str">
        <f t="shared" ca="1" si="84"/>
        <v>VIGENTE</v>
      </c>
      <c r="HB16" s="13">
        <v>44565</v>
      </c>
      <c r="HC16" s="14">
        <v>45251</v>
      </c>
      <c r="HD16" s="14">
        <f t="shared" si="85"/>
        <v>47078</v>
      </c>
      <c r="HE16" s="65">
        <f t="shared" ca="1" si="86"/>
        <v>947</v>
      </c>
      <c r="HF16" s="15" t="str">
        <f t="shared" ca="1" si="87"/>
        <v>VIGENTE</v>
      </c>
      <c r="HG16" s="16"/>
      <c r="HH16" s="14">
        <v>45094</v>
      </c>
      <c r="HI16" s="14">
        <f t="shared" si="88"/>
        <v>46921</v>
      </c>
      <c r="HJ16" s="65">
        <f t="shared" ca="1" si="89"/>
        <v>790</v>
      </c>
      <c r="HK16" s="15" t="str">
        <f t="shared" ca="1" si="173"/>
        <v>VIGENTE</v>
      </c>
      <c r="HL16" s="12"/>
      <c r="HM16" s="16"/>
      <c r="HN16" s="14"/>
      <c r="HO16" s="65"/>
      <c r="HP16" s="15" t="str">
        <f t="shared" si="91"/>
        <v>NO APLICA</v>
      </c>
      <c r="HQ16" s="12"/>
      <c r="HR16" s="12"/>
      <c r="HS16" s="14"/>
      <c r="HT16" s="12"/>
      <c r="HU16" s="15" t="str">
        <f t="shared" si="92"/>
        <v>NO APLICA</v>
      </c>
      <c r="HV16" s="12"/>
      <c r="HW16" s="14">
        <v>45089</v>
      </c>
      <c r="HX16" s="14">
        <f>DATE(YEAR(HW16)+5,MONTH(HW16),DAY(HW16))</f>
        <v>46916</v>
      </c>
      <c r="HY16" s="65">
        <f ca="1">HX16-TODAY()</f>
        <v>785</v>
      </c>
      <c r="HZ16" s="15" t="str">
        <f t="shared" ca="1" si="93"/>
        <v>VIGENTE</v>
      </c>
      <c r="IA16" s="12"/>
      <c r="IB16" s="14">
        <v>45092</v>
      </c>
      <c r="IC16" s="14">
        <f>DATE(YEAR(IB16)+5,MONTH(IB16),DAY(IB16))</f>
        <v>46919</v>
      </c>
      <c r="ID16" s="65">
        <f ca="1">IC16-TODAY()</f>
        <v>788</v>
      </c>
      <c r="IE16" s="15" t="str">
        <f t="shared" ca="1" si="94"/>
        <v>VIGENTE</v>
      </c>
      <c r="IF16" s="12"/>
      <c r="IG16" s="14">
        <v>44972</v>
      </c>
      <c r="IH16" s="14">
        <f>DATE(YEAR(IG16)+5,MONTH(IG16),DAY(IG16))</f>
        <v>46798</v>
      </c>
      <c r="II16" s="65">
        <f ca="1">IH16-TODAY()</f>
        <v>667</v>
      </c>
      <c r="IJ16" s="15" t="str">
        <f t="shared" ca="1" si="95"/>
        <v>VIGENTE</v>
      </c>
      <c r="IK16" s="16"/>
      <c r="IL16" s="14">
        <v>45009</v>
      </c>
      <c r="IM16" s="14">
        <f>DATE(YEAR(IL16)+5,MONTH(IL16),DAY(IL16))</f>
        <v>46836</v>
      </c>
      <c r="IN16" s="65">
        <f ca="1">IM16-TODAY()</f>
        <v>705</v>
      </c>
      <c r="IO16" s="15" t="str">
        <f t="shared" ca="1" si="96"/>
        <v>VIGENTE</v>
      </c>
      <c r="IP16" s="12"/>
      <c r="IQ16" s="14">
        <v>44977</v>
      </c>
      <c r="IR16" s="14">
        <f>DATE(YEAR(IQ16)+5,MONTH(IQ16),DAY(IQ16))</f>
        <v>46803</v>
      </c>
      <c r="IS16" s="65">
        <f ca="1">IR16-TODAY()</f>
        <v>672</v>
      </c>
      <c r="IT16" s="15" t="str">
        <f t="shared" ca="1" si="97"/>
        <v>VIGENTE</v>
      </c>
      <c r="IU16" s="12"/>
      <c r="IV16" s="14">
        <v>45013</v>
      </c>
      <c r="IW16" s="14">
        <f>DATE(YEAR(IV16)+5,MONTH(IV16),DAY(IV16))</f>
        <v>46840</v>
      </c>
      <c r="IX16" s="65">
        <f ca="1">IW16-TODAY()</f>
        <v>709</v>
      </c>
      <c r="IY16" s="15" t="str">
        <f t="shared" ca="1" si="98"/>
        <v>VIGENTE</v>
      </c>
      <c r="IZ16" s="12"/>
      <c r="JA16" s="14">
        <v>44973</v>
      </c>
      <c r="JB16" s="14">
        <f>DATE(YEAR(JA16)+5,MONTH(JA16),DAY(JA16))</f>
        <v>46799</v>
      </c>
      <c r="JC16" s="65">
        <f ca="1">JB16-TODAY()</f>
        <v>668</v>
      </c>
      <c r="JD16" s="15" t="str">
        <f t="shared" ca="1" si="99"/>
        <v>VIGENTE</v>
      </c>
      <c r="JE16" s="13"/>
      <c r="JF16" s="13"/>
      <c r="JG16" s="14"/>
      <c r="JH16" s="65"/>
      <c r="JI16" s="15" t="str">
        <f t="shared" si="100"/>
        <v>NO APLICA</v>
      </c>
      <c r="JJ16" s="16"/>
      <c r="JK16" s="16"/>
      <c r="JL16" s="16"/>
      <c r="JM16" s="15" t="str">
        <f t="shared" si="101"/>
        <v>NO APLICA</v>
      </c>
      <c r="JN16" s="16"/>
      <c r="JO16" s="16"/>
      <c r="JP16" s="16"/>
      <c r="JQ16" s="15" t="str">
        <f t="shared" si="102"/>
        <v>NO APLICA</v>
      </c>
      <c r="JR16" s="16"/>
      <c r="JS16" s="16"/>
      <c r="JT16" s="16"/>
      <c r="JU16" s="16"/>
      <c r="JV16" s="15" t="str">
        <f t="shared" si="103"/>
        <v>NO APLICA</v>
      </c>
      <c r="JW16" s="15"/>
      <c r="JX16" s="15"/>
      <c r="JY16" s="15"/>
      <c r="JZ16" s="15"/>
      <c r="KA16" s="15" t="str">
        <f t="shared" si="104"/>
        <v>NO APLICA</v>
      </c>
      <c r="KB16" s="12"/>
      <c r="KC16" s="14"/>
      <c r="KD16" s="65"/>
      <c r="KE16" s="15" t="str">
        <f t="shared" si="105"/>
        <v>NO APLICA</v>
      </c>
      <c r="KF16" s="12"/>
      <c r="KG16" s="14"/>
      <c r="KH16" s="65"/>
      <c r="KI16" s="15" t="str">
        <f t="shared" si="132"/>
        <v>NO APLICA</v>
      </c>
      <c r="KJ16" s="12"/>
      <c r="KK16" s="14"/>
      <c r="KL16" s="65"/>
      <c r="KM16" s="15" t="str">
        <f t="shared" si="106"/>
        <v>NO APLICA</v>
      </c>
      <c r="KN16" s="12"/>
      <c r="KO16" s="14"/>
      <c r="KP16" s="65"/>
      <c r="KQ16" s="15" t="str">
        <f t="shared" si="133"/>
        <v>NO APLICA</v>
      </c>
      <c r="KR16" s="12"/>
      <c r="KS16" s="16"/>
      <c r="KT16" s="14"/>
      <c r="KU16" s="65"/>
      <c r="KV16" s="15" t="str">
        <f t="shared" si="147"/>
        <v>NO APLICA</v>
      </c>
      <c r="KW16" s="14">
        <v>44608</v>
      </c>
      <c r="KX16" s="14">
        <f>DATE(YEAR(KW16)+5,MONTH(KW16),DAY(KW16))</f>
        <v>46434</v>
      </c>
      <c r="KY16" s="65">
        <f ca="1">KX16-TODAY()</f>
        <v>303</v>
      </c>
      <c r="KZ16" s="15" t="str">
        <f t="shared" ca="1" si="134"/>
        <v>VIGENTE</v>
      </c>
      <c r="LA16" s="16"/>
      <c r="LB16" s="16"/>
      <c r="LC16" s="14"/>
      <c r="LD16" s="65"/>
      <c r="LE16" s="15" t="str">
        <f t="shared" si="107"/>
        <v>NO APLICA</v>
      </c>
      <c r="LF16" s="15"/>
      <c r="LG16" s="15"/>
      <c r="LH16" s="14"/>
      <c r="LI16" s="65"/>
      <c r="LJ16" s="15" t="str">
        <f t="shared" si="148"/>
        <v>NO APLICA</v>
      </c>
      <c r="LK16" s="12"/>
      <c r="LL16" s="16"/>
      <c r="LM16" s="14"/>
      <c r="LN16" s="65"/>
      <c r="LO16" s="15" t="str">
        <f t="shared" si="135"/>
        <v>NO APLICA</v>
      </c>
      <c r="LP16" s="14">
        <v>44984</v>
      </c>
      <c r="LQ16" s="14">
        <v>44986</v>
      </c>
      <c r="LR16" s="14">
        <f>DATE(YEAR(LQ16)+5,MONTH(LQ16),DAY(LQ16))</f>
        <v>46813</v>
      </c>
      <c r="LS16" s="65">
        <f ca="1">LR16-TODAY()</f>
        <v>682</v>
      </c>
      <c r="LT16" s="15" t="str">
        <f t="shared" ca="1" si="136"/>
        <v>VIGENTE</v>
      </c>
      <c r="LU16" s="14">
        <v>44987</v>
      </c>
      <c r="LV16" s="14">
        <v>44988</v>
      </c>
      <c r="LW16" s="14">
        <f>DATE(YEAR(LV16)+5,MONTH(LV16),DAY(LV16))</f>
        <v>46815</v>
      </c>
      <c r="LX16" s="65">
        <f ca="1">LW16-TODAY()</f>
        <v>684</v>
      </c>
      <c r="LY16" s="15" t="str">
        <f t="shared" ca="1" si="137"/>
        <v>VIGENTE</v>
      </c>
      <c r="LZ16" s="13">
        <v>44998</v>
      </c>
      <c r="MA16" s="14">
        <v>44998</v>
      </c>
      <c r="MB16" s="14">
        <f>DATE(YEAR(MA16)+5,MONTH(MA16),DAY(MA16))</f>
        <v>46825</v>
      </c>
      <c r="MC16" s="65">
        <f ca="1">MB16-TODAY()</f>
        <v>694</v>
      </c>
      <c r="MD16" s="15" t="str">
        <f t="shared" ca="1" si="108"/>
        <v>VIGENTE</v>
      </c>
      <c r="ME16" s="12"/>
      <c r="MF16" s="12"/>
      <c r="MG16" s="14"/>
      <c r="MH16" s="65"/>
      <c r="MI16" s="15" t="str">
        <f t="shared" si="109"/>
        <v>NO APLICA</v>
      </c>
      <c r="MJ16" s="13">
        <v>45154</v>
      </c>
      <c r="MK16" s="14">
        <f>DATE(YEAR(MJ16)+5,MONTH(MJ16),DAY(MJ16))</f>
        <v>46981</v>
      </c>
      <c r="ML16" s="65">
        <f ca="1">MK16-TODAY()</f>
        <v>850</v>
      </c>
      <c r="MM16" s="15" t="str">
        <f t="shared" ca="1" si="110"/>
        <v>VIGENTE</v>
      </c>
      <c r="MN16" s="13">
        <v>45155</v>
      </c>
      <c r="MO16" s="14">
        <f>DATE(YEAR(MN16)+5,MONTH(MN16),DAY(MN16))</f>
        <v>46982</v>
      </c>
      <c r="MP16" s="65">
        <f ca="1">MO16-TODAY()</f>
        <v>851</v>
      </c>
      <c r="MQ16" s="15" t="str">
        <f t="shared" ca="1" si="111"/>
        <v>VIGENTE</v>
      </c>
      <c r="MR16" s="12"/>
      <c r="MS16" s="16"/>
      <c r="MT16" s="14"/>
      <c r="MU16" s="65"/>
      <c r="MV16" s="15" t="str">
        <f t="shared" si="112"/>
        <v>NO APLICA</v>
      </c>
      <c r="MW16" s="12"/>
      <c r="MX16" s="16"/>
      <c r="MY16" s="14"/>
      <c r="MZ16" s="65"/>
      <c r="NA16" s="15" t="str">
        <f t="shared" si="113"/>
        <v>NO APLICA</v>
      </c>
      <c r="NB16" s="12"/>
      <c r="NC16" s="16"/>
      <c r="ND16" s="14"/>
      <c r="NE16" s="65"/>
      <c r="NF16" s="15" t="str">
        <f t="shared" si="114"/>
        <v>NO APLICA</v>
      </c>
      <c r="NG16" s="12"/>
      <c r="NH16" s="12"/>
      <c r="NI16" s="14"/>
      <c r="NJ16" s="65"/>
      <c r="NK16" s="15" t="str">
        <f t="shared" si="115"/>
        <v>NO APLICA</v>
      </c>
      <c r="NL16" s="12"/>
      <c r="NM16" s="12"/>
      <c r="NN16" s="14"/>
      <c r="NO16" s="12"/>
      <c r="NP16" s="15" t="str">
        <f t="shared" si="116"/>
        <v>NO APLICA</v>
      </c>
      <c r="NQ16" s="16"/>
      <c r="NR16" s="16"/>
      <c r="NS16" s="14"/>
      <c r="NT16" s="65"/>
      <c r="NU16" s="15" t="str">
        <f t="shared" si="117"/>
        <v>NO APLICA</v>
      </c>
      <c r="NV16" s="16"/>
      <c r="NW16" s="16"/>
      <c r="NX16" s="16"/>
      <c r="NY16" s="16"/>
      <c r="NZ16" s="15" t="str">
        <f t="shared" si="118"/>
        <v>NO APLICA</v>
      </c>
    </row>
    <row r="17" spans="1:390" ht="15.6" thickTop="1" thickBot="1" x14ac:dyDescent="0.35">
      <c r="A17" s="9">
        <v>142</v>
      </c>
      <c r="B17" s="10" t="s">
        <v>150</v>
      </c>
      <c r="C17" s="21" t="s">
        <v>151</v>
      </c>
      <c r="D17" s="64" t="s">
        <v>152</v>
      </c>
      <c r="E17" s="15"/>
      <c r="F17" s="16"/>
      <c r="G17" s="14"/>
      <c r="H17" s="65"/>
      <c r="I17" s="15" t="str">
        <f t="shared" si="0"/>
        <v>NO APLICA</v>
      </c>
      <c r="J17" s="15"/>
      <c r="K17" s="16"/>
      <c r="L17" s="16"/>
      <c r="M17" s="65"/>
      <c r="N17" s="15" t="str">
        <f t="shared" si="1"/>
        <v>NO APLICA</v>
      </c>
      <c r="O17" s="16"/>
      <c r="P17" s="16"/>
      <c r="Q17" s="14"/>
      <c r="R17" s="65"/>
      <c r="S17" s="15" t="str">
        <f t="shared" si="119"/>
        <v>NO APLICA</v>
      </c>
      <c r="T17" s="12" t="s">
        <v>153</v>
      </c>
      <c r="U17" s="13">
        <v>45336</v>
      </c>
      <c r="V17" s="14">
        <v>45337</v>
      </c>
      <c r="W17" s="14">
        <f t="shared" si="2"/>
        <v>47164</v>
      </c>
      <c r="X17" s="65">
        <f t="shared" ca="1" si="3"/>
        <v>1033</v>
      </c>
      <c r="Y17" s="15" t="str">
        <f t="shared" ca="1" si="4"/>
        <v>VIGENTE</v>
      </c>
      <c r="Z17" s="12"/>
      <c r="AA17" s="12"/>
      <c r="AB17" s="16"/>
      <c r="AC17" s="14"/>
      <c r="AD17" s="65"/>
      <c r="AE17" s="15" t="str">
        <f t="shared" si="7"/>
        <v>NO APLICA</v>
      </c>
      <c r="AF17" s="13">
        <v>45234</v>
      </c>
      <c r="AG17" s="14">
        <v>45902</v>
      </c>
      <c r="AH17" s="14">
        <f>DATE(YEAR(AG17)+2,MONTH(AG17),DAY(AG17))</f>
        <v>46632</v>
      </c>
      <c r="AI17" s="65">
        <f t="shared" ca="1" si="8"/>
        <v>501</v>
      </c>
      <c r="AJ17" s="15" t="str">
        <f t="shared" ca="1" si="9"/>
        <v>VIGENTE</v>
      </c>
      <c r="AK17" s="13">
        <v>45108</v>
      </c>
      <c r="AL17" s="14">
        <v>45748</v>
      </c>
      <c r="AM17" s="14">
        <f>DATE(YEAR(AL17)+2,MONTH(AL17),DAY(AL17)-1)</f>
        <v>46477</v>
      </c>
      <c r="AN17" s="65">
        <f t="shared" ca="1" si="10"/>
        <v>346</v>
      </c>
      <c r="AO17" s="15" t="str">
        <f t="shared" ca="1" si="11"/>
        <v>VIGENTE</v>
      </c>
      <c r="AP17" s="13">
        <v>45226</v>
      </c>
      <c r="AQ17" s="14">
        <v>45904</v>
      </c>
      <c r="AR17" s="14">
        <f t="shared" si="174"/>
        <v>46634</v>
      </c>
      <c r="AS17" s="65">
        <f t="shared" ca="1" si="12"/>
        <v>503</v>
      </c>
      <c r="AT17" s="15" t="str">
        <f t="shared" ca="1" si="13"/>
        <v>VIGENTE</v>
      </c>
      <c r="AU17" s="13">
        <v>45227</v>
      </c>
      <c r="AV17" s="14">
        <v>45906</v>
      </c>
      <c r="AW17" s="14">
        <f>DATE(YEAR(AV17)+2,MONTH(AV17),DAY(AV17))</f>
        <v>46636</v>
      </c>
      <c r="AX17" s="65">
        <f t="shared" ca="1" si="15"/>
        <v>505</v>
      </c>
      <c r="AY17" s="15" t="str">
        <f t="shared" ca="1" si="16"/>
        <v>VIGENTE</v>
      </c>
      <c r="AZ17" s="13">
        <v>45237</v>
      </c>
      <c r="BA17" s="14">
        <v>45901</v>
      </c>
      <c r="BB17" s="14">
        <f>DATE(YEAR(BA17)+2,MONTH(BA17),DAY(BA17))</f>
        <v>46631</v>
      </c>
      <c r="BC17" s="65">
        <f t="shared" ca="1" si="17"/>
        <v>500</v>
      </c>
      <c r="BD17" s="15" t="str">
        <f t="shared" ca="1" si="18"/>
        <v>VIGENTE</v>
      </c>
      <c r="BE17" s="13">
        <v>45177</v>
      </c>
      <c r="BF17" s="14">
        <v>45826</v>
      </c>
      <c r="BG17" s="14">
        <f>DATE(YEAR(BF17)+2,MONTH(BF17),DAY(BF17))</f>
        <v>46556</v>
      </c>
      <c r="BH17" s="65">
        <f t="shared" ca="1" si="19"/>
        <v>425</v>
      </c>
      <c r="BI17" s="15" t="str">
        <f t="shared" ca="1" si="20"/>
        <v>VIGENTE</v>
      </c>
      <c r="BJ17" s="13">
        <v>45118</v>
      </c>
      <c r="BK17" s="14">
        <v>45759</v>
      </c>
      <c r="BL17" s="14">
        <f>DATE(YEAR(BK17)+2,MONTH(BK17),DAY(BK17)-1)</f>
        <v>46488</v>
      </c>
      <c r="BM17" s="65">
        <f t="shared" ca="1" si="21"/>
        <v>357</v>
      </c>
      <c r="BN17" s="15" t="str">
        <f t="shared" ca="1" si="22"/>
        <v>VIGENTE</v>
      </c>
      <c r="BO17" s="13">
        <v>45190</v>
      </c>
      <c r="BP17" s="14">
        <v>45841</v>
      </c>
      <c r="BQ17" s="14">
        <f>DATE(YEAR(BP17)+2,MONTH(BP17),DAY(BP17))</f>
        <v>46571</v>
      </c>
      <c r="BR17" s="65">
        <f t="shared" ca="1" si="23"/>
        <v>440</v>
      </c>
      <c r="BS17" s="15" t="str">
        <f t="shared" ca="1" si="24"/>
        <v>VIGENTE</v>
      </c>
      <c r="BT17" s="13">
        <v>45183</v>
      </c>
      <c r="BU17" s="14">
        <v>45853</v>
      </c>
      <c r="BV17" s="14">
        <f>DATE(YEAR(BU17)+2,MONTH(BU17),DAY(BU17))</f>
        <v>46583</v>
      </c>
      <c r="BW17" s="65">
        <f t="shared" ca="1" si="25"/>
        <v>452</v>
      </c>
      <c r="BX17" s="15" t="str">
        <f t="shared" ca="1" si="26"/>
        <v>VIGENTE</v>
      </c>
      <c r="BY17" s="12">
        <v>45111</v>
      </c>
      <c r="BZ17" s="14">
        <v>45770</v>
      </c>
      <c r="CA17" s="14">
        <f t="shared" si="169"/>
        <v>46500</v>
      </c>
      <c r="CB17" s="65">
        <f t="shared" ca="1" si="27"/>
        <v>369</v>
      </c>
      <c r="CC17" s="15" t="str">
        <f t="shared" ca="1" si="28"/>
        <v>VIGENTE</v>
      </c>
      <c r="CD17" s="16" t="s">
        <v>102</v>
      </c>
      <c r="CE17" s="14">
        <v>45827</v>
      </c>
      <c r="CF17" s="14">
        <v>45828</v>
      </c>
      <c r="CG17" s="14">
        <f t="shared" si="29"/>
        <v>47289</v>
      </c>
      <c r="CH17" s="65">
        <f t="shared" ca="1" si="30"/>
        <v>1158</v>
      </c>
      <c r="CI17" s="15" t="str">
        <f t="shared" ca="1" si="31"/>
        <v>VIGENTE</v>
      </c>
      <c r="CJ17" s="14">
        <v>45156</v>
      </c>
      <c r="CK17" s="14">
        <v>45801</v>
      </c>
      <c r="CL17" s="14">
        <f t="shared" si="171"/>
        <v>46530</v>
      </c>
      <c r="CM17" s="65">
        <f t="shared" ca="1" si="32"/>
        <v>399</v>
      </c>
      <c r="CN17" s="15" t="str">
        <f t="shared" ca="1" si="33"/>
        <v>VIGENTE</v>
      </c>
      <c r="CO17" s="13">
        <v>45246</v>
      </c>
      <c r="CP17" s="14">
        <v>45888</v>
      </c>
      <c r="CQ17" s="14">
        <f>DATE(YEAR(CP17)+2,MONTH(CP17),DAY(CP17))</f>
        <v>46618</v>
      </c>
      <c r="CR17" s="65">
        <f t="shared" ca="1" si="34"/>
        <v>487</v>
      </c>
      <c r="CS17" s="15" t="str">
        <f t="shared" ca="1" si="35"/>
        <v>VIGENTE</v>
      </c>
      <c r="CT17" s="13">
        <v>45142</v>
      </c>
      <c r="CU17" s="14">
        <v>45805</v>
      </c>
      <c r="CV17" s="14">
        <f>DATE(YEAR(CU17)+2,MONTH(CU17),DAY(CU17))</f>
        <v>46535</v>
      </c>
      <c r="CW17" s="65">
        <f t="shared" ca="1" si="36"/>
        <v>404</v>
      </c>
      <c r="CX17" s="15" t="str">
        <f t="shared" ca="1" si="37"/>
        <v>VIGENTE</v>
      </c>
      <c r="CY17" s="13">
        <v>45171</v>
      </c>
      <c r="CZ17" s="14">
        <v>45835</v>
      </c>
      <c r="DA17" s="14">
        <f>DATE(YEAR(CZ17)+2,MONTH(CZ17),DAY(CZ17))</f>
        <v>46565</v>
      </c>
      <c r="DB17" s="65">
        <f t="shared" ca="1" si="38"/>
        <v>434</v>
      </c>
      <c r="DC17" s="15" t="str">
        <f t="shared" ca="1" si="39"/>
        <v>VIGENTE</v>
      </c>
      <c r="DD17" s="13">
        <v>45129</v>
      </c>
      <c r="DE17" s="14">
        <v>45761</v>
      </c>
      <c r="DF17" s="14">
        <f>DATE(YEAR(DE17)+2,MONTH(DE17),DAY(DE17))</f>
        <v>46491</v>
      </c>
      <c r="DG17" s="65">
        <f t="shared" ca="1" si="40"/>
        <v>360</v>
      </c>
      <c r="DH17" s="15" t="str">
        <f t="shared" ca="1" si="41"/>
        <v>VIGENTE</v>
      </c>
      <c r="DI17" s="13">
        <v>45167</v>
      </c>
      <c r="DJ17" s="14">
        <v>45798</v>
      </c>
      <c r="DK17" s="14">
        <f>DATE(YEAR(DJ17)+2,MONTH(DJ17),DAY(DJ17))</f>
        <v>46528</v>
      </c>
      <c r="DL17" s="65">
        <f t="shared" ca="1" si="43"/>
        <v>397</v>
      </c>
      <c r="DM17" s="15" t="str">
        <f t="shared" ca="1" si="44"/>
        <v>VIGENTE</v>
      </c>
      <c r="DN17" s="14">
        <v>45198</v>
      </c>
      <c r="DO17" s="14">
        <v>45873</v>
      </c>
      <c r="DP17" s="14">
        <f>DATE(YEAR(DO17)+2,MONTH(DO17),DAY(DO17))</f>
        <v>46603</v>
      </c>
      <c r="DQ17" s="65">
        <f t="shared" ca="1" si="46"/>
        <v>472</v>
      </c>
      <c r="DR17" s="15" t="str">
        <f t="shared" ca="1" si="47"/>
        <v>VIGENTE</v>
      </c>
      <c r="DS17" s="13">
        <v>45131</v>
      </c>
      <c r="DT17" s="14">
        <v>45800</v>
      </c>
      <c r="DU17" s="14">
        <f>DATE(YEAR(DT17)+2,MONTH(DT17),DAY(DT17)-1)</f>
        <v>46529</v>
      </c>
      <c r="DV17" s="65">
        <f t="shared" ca="1" si="48"/>
        <v>398</v>
      </c>
      <c r="DW17" s="15" t="str">
        <f t="shared" ca="1" si="49"/>
        <v>VIGENTE</v>
      </c>
      <c r="DX17" s="13">
        <v>45149</v>
      </c>
      <c r="DY17" s="14">
        <v>45804</v>
      </c>
      <c r="DZ17" s="14">
        <f>DATE(YEAR(DY17)+2,MONTH(DY17),DAY(DY17))</f>
        <v>46534</v>
      </c>
      <c r="EA17" s="65">
        <f t="shared" ca="1" si="50"/>
        <v>403</v>
      </c>
      <c r="EB17" s="15" t="str">
        <f t="shared" ca="1" si="51"/>
        <v>VIGENTE</v>
      </c>
      <c r="EC17" s="13">
        <v>45157</v>
      </c>
      <c r="ED17" s="14">
        <v>45787</v>
      </c>
      <c r="EE17" s="14">
        <f>DATE(YEAR(ED17)+2,MONTH(ED17),DAY(ED17))</f>
        <v>46517</v>
      </c>
      <c r="EF17" s="65">
        <f t="shared" ca="1" si="52"/>
        <v>386</v>
      </c>
      <c r="EG17" s="15" t="str">
        <f t="shared" ca="1" si="53"/>
        <v>VIGENTE</v>
      </c>
      <c r="EH17" s="13">
        <v>45253</v>
      </c>
      <c r="EI17" s="13">
        <v>45909</v>
      </c>
      <c r="EJ17" s="13">
        <v>45910</v>
      </c>
      <c r="EK17" s="13">
        <v>45911</v>
      </c>
      <c r="EL17" s="14">
        <f t="shared" si="128"/>
        <v>46276</v>
      </c>
      <c r="EM17" s="65">
        <f t="shared" ca="1" si="54"/>
        <v>145</v>
      </c>
      <c r="EN17" s="15" t="str">
        <f t="shared" ca="1" si="55"/>
        <v>VIGENTE</v>
      </c>
      <c r="EO17" s="13">
        <v>45175</v>
      </c>
      <c r="EP17" s="14">
        <v>45840</v>
      </c>
      <c r="EQ17" s="14">
        <f>DATE(YEAR(EP17)+2,MONTH(EP17),DAY(EP17))</f>
        <v>46570</v>
      </c>
      <c r="ER17" s="65">
        <f t="shared" ca="1" si="56"/>
        <v>439</v>
      </c>
      <c r="ES17" s="15" t="str">
        <f t="shared" ca="1" si="57"/>
        <v>VIGENTE</v>
      </c>
      <c r="ET17" s="13">
        <v>45178</v>
      </c>
      <c r="EU17" s="14">
        <v>45824</v>
      </c>
      <c r="EV17" s="14">
        <f>DATE(YEAR(EU17)+2,MONTH(EU17),DAY(EU17))</f>
        <v>46554</v>
      </c>
      <c r="EW17" s="65">
        <f t="shared" ca="1" si="58"/>
        <v>423</v>
      </c>
      <c r="EX17" s="15" t="str">
        <f t="shared" ca="1" si="59"/>
        <v>VIGENTE</v>
      </c>
      <c r="EY17" s="13">
        <v>45143</v>
      </c>
      <c r="EZ17" s="14">
        <v>45794</v>
      </c>
      <c r="FA17" s="14">
        <f t="shared" si="142"/>
        <v>46524</v>
      </c>
      <c r="FB17" s="65">
        <f t="shared" ca="1" si="60"/>
        <v>393</v>
      </c>
      <c r="FC17" s="15" t="str">
        <f t="shared" ca="1" si="61"/>
        <v>VIGENTE</v>
      </c>
      <c r="FD17" s="13">
        <v>45223</v>
      </c>
      <c r="FE17" s="14">
        <v>45922</v>
      </c>
      <c r="FF17" s="14">
        <f t="shared" si="170"/>
        <v>46652</v>
      </c>
      <c r="FG17" s="65">
        <f t="shared" ca="1" si="62"/>
        <v>521</v>
      </c>
      <c r="FH17" s="15" t="str">
        <f t="shared" ca="1" si="63"/>
        <v>VIGENTE</v>
      </c>
      <c r="FI17" s="13">
        <v>45145</v>
      </c>
      <c r="FJ17" s="14">
        <v>45790</v>
      </c>
      <c r="FK17" s="14">
        <f t="shared" si="144"/>
        <v>46520</v>
      </c>
      <c r="FL17" s="65">
        <f t="shared" ca="1" si="64"/>
        <v>389</v>
      </c>
      <c r="FM17" s="15" t="str">
        <f t="shared" ca="1" si="65"/>
        <v>VIGENTE</v>
      </c>
      <c r="FN17" s="13">
        <v>45197</v>
      </c>
      <c r="FO17" s="14">
        <v>45850</v>
      </c>
      <c r="FP17" s="14">
        <f>DATE(YEAR(FO17)+2,MONTH(FO17),DAY(FO17))</f>
        <v>46580</v>
      </c>
      <c r="FQ17" s="65">
        <f t="shared" ca="1" si="67"/>
        <v>449</v>
      </c>
      <c r="FR17" s="15" t="str">
        <f t="shared" ca="1" si="68"/>
        <v>VIGENTE</v>
      </c>
      <c r="FS17" s="13">
        <v>45211</v>
      </c>
      <c r="FT17" s="14">
        <v>45884</v>
      </c>
      <c r="FU17" s="14">
        <f>DATE(YEAR(FT17)+2,MONTH(FT17),DAY(FT17))</f>
        <v>46614</v>
      </c>
      <c r="FV17" s="65">
        <f t="shared" ca="1" si="69"/>
        <v>483</v>
      </c>
      <c r="FW17" s="15" t="str">
        <f t="shared" ca="1" si="70"/>
        <v>VIGENTE</v>
      </c>
      <c r="FX17" s="13">
        <v>45128</v>
      </c>
      <c r="FY17" s="14">
        <v>45758</v>
      </c>
      <c r="FZ17" s="14">
        <f>DATE(YEAR(FY17)+2,MONTH(FY17),DAY(FY17)-1)</f>
        <v>46487</v>
      </c>
      <c r="GA17" s="65">
        <f t="shared" ca="1" si="71"/>
        <v>356</v>
      </c>
      <c r="GB17" s="15" t="str">
        <f t="shared" ca="1" si="72"/>
        <v>VIGENTE</v>
      </c>
      <c r="GC17" s="13">
        <v>45202</v>
      </c>
      <c r="GD17" s="14">
        <v>45874</v>
      </c>
      <c r="GE17" s="14">
        <f>DATE(YEAR(GD17)+2,MONTH(GD17),DAY(GD17))</f>
        <v>46604</v>
      </c>
      <c r="GF17" s="65">
        <f t="shared" ca="1" si="73"/>
        <v>473</v>
      </c>
      <c r="GG17" s="15" t="str">
        <f t="shared" ca="1" si="74"/>
        <v>VIGENTE</v>
      </c>
      <c r="GH17" s="13">
        <v>45252</v>
      </c>
      <c r="GI17" s="14">
        <v>45912</v>
      </c>
      <c r="GJ17" s="14">
        <f>DATE(YEAR(GI17)+2,MONTH(GI17),DAY(GI17))</f>
        <v>46642</v>
      </c>
      <c r="GK17" s="65">
        <f t="shared" ca="1" si="75"/>
        <v>511</v>
      </c>
      <c r="GL17" s="15" t="str">
        <f t="shared" ca="1" si="76"/>
        <v>VIGENTE</v>
      </c>
      <c r="GM17" s="13"/>
      <c r="GN17" s="14">
        <v>45945</v>
      </c>
      <c r="GO17" s="14">
        <f>DATE(YEAR(GN17)+2,MONTH(GN17),DAY(GN17))</f>
        <v>46675</v>
      </c>
      <c r="GP17" s="65">
        <f t="shared" ca="1" si="77"/>
        <v>544</v>
      </c>
      <c r="GQ17" s="15" t="str">
        <f t="shared" ca="1" si="78"/>
        <v>VIGENTE</v>
      </c>
      <c r="GR17" s="14"/>
      <c r="GS17" s="14">
        <v>45219</v>
      </c>
      <c r="GT17" s="14">
        <f t="shared" si="79"/>
        <v>47046</v>
      </c>
      <c r="GU17" s="65">
        <f t="shared" ca="1" si="172"/>
        <v>915</v>
      </c>
      <c r="GV17" s="15" t="str">
        <f t="shared" ca="1" si="81"/>
        <v>VIGENTE</v>
      </c>
      <c r="GW17" s="13"/>
      <c r="GX17" s="14">
        <v>45203</v>
      </c>
      <c r="GY17" s="14">
        <f t="shared" si="82"/>
        <v>47030</v>
      </c>
      <c r="GZ17" s="65">
        <f t="shared" ca="1" si="83"/>
        <v>899</v>
      </c>
      <c r="HA17" s="15" t="str">
        <f t="shared" ca="1" si="84"/>
        <v>VIGENTE</v>
      </c>
      <c r="HB17" s="12"/>
      <c r="HC17" s="14">
        <v>45174</v>
      </c>
      <c r="HD17" s="14">
        <f t="shared" si="85"/>
        <v>47001</v>
      </c>
      <c r="HE17" s="65">
        <f t="shared" ca="1" si="86"/>
        <v>870</v>
      </c>
      <c r="HF17" s="15" t="str">
        <f t="shared" ca="1" si="87"/>
        <v>VIGENTE</v>
      </c>
      <c r="HG17" s="16"/>
      <c r="HH17" s="16"/>
      <c r="HI17" s="14"/>
      <c r="HJ17" s="65"/>
      <c r="HK17" s="15" t="str">
        <f t="shared" si="173"/>
        <v>NO APLICA</v>
      </c>
      <c r="HL17" s="12"/>
      <c r="HM17" s="16"/>
      <c r="HN17" s="14"/>
      <c r="HO17" s="65"/>
      <c r="HP17" s="15" t="str">
        <f t="shared" si="91"/>
        <v>NO APLICA</v>
      </c>
      <c r="HQ17" s="12"/>
      <c r="HR17" s="15"/>
      <c r="HS17" s="15"/>
      <c r="HT17" s="15"/>
      <c r="HU17" s="15" t="str">
        <f t="shared" si="92"/>
        <v>NO APLICA</v>
      </c>
      <c r="HV17" s="12"/>
      <c r="HW17" s="16"/>
      <c r="HX17" s="14"/>
      <c r="HY17" s="65"/>
      <c r="HZ17" s="15" t="str">
        <f t="shared" si="93"/>
        <v>NO APLICA</v>
      </c>
      <c r="IA17" s="12"/>
      <c r="IB17" s="16"/>
      <c r="IC17" s="14"/>
      <c r="ID17" s="65"/>
      <c r="IE17" s="15" t="str">
        <f t="shared" si="94"/>
        <v>NO APLICA</v>
      </c>
      <c r="IF17" s="12"/>
      <c r="IG17" s="16"/>
      <c r="IH17" s="14"/>
      <c r="II17" s="65"/>
      <c r="IJ17" s="15" t="str">
        <f t="shared" si="95"/>
        <v>NO APLICA</v>
      </c>
      <c r="IK17" s="16"/>
      <c r="IL17" s="16"/>
      <c r="IM17" s="14"/>
      <c r="IN17" s="65"/>
      <c r="IO17" s="15" t="str">
        <f t="shared" si="96"/>
        <v>NO APLICA</v>
      </c>
      <c r="IP17" s="12"/>
      <c r="IQ17" s="16"/>
      <c r="IR17" s="14"/>
      <c r="IS17" s="65"/>
      <c r="IT17" s="15" t="str">
        <f t="shared" si="97"/>
        <v>NO APLICA</v>
      </c>
      <c r="IU17" s="12"/>
      <c r="IV17" s="16"/>
      <c r="IW17" s="14"/>
      <c r="IX17" s="65"/>
      <c r="IY17" s="15" t="str">
        <f t="shared" si="98"/>
        <v>NO APLICA</v>
      </c>
      <c r="IZ17" s="12"/>
      <c r="JA17" s="16"/>
      <c r="JB17" s="14"/>
      <c r="JC17" s="65"/>
      <c r="JD17" s="15" t="str">
        <f t="shared" si="99"/>
        <v>NO APLICA</v>
      </c>
      <c r="JE17" s="13"/>
      <c r="JF17" s="13"/>
      <c r="JG17" s="14"/>
      <c r="JH17" s="65"/>
      <c r="JI17" s="15" t="str">
        <f t="shared" si="100"/>
        <v>NO APLICA</v>
      </c>
      <c r="JJ17" s="16"/>
      <c r="JK17" s="16"/>
      <c r="JL17" s="16"/>
      <c r="JM17" s="15" t="str">
        <f t="shared" si="101"/>
        <v>NO APLICA</v>
      </c>
      <c r="JN17" s="16"/>
      <c r="JO17" s="16"/>
      <c r="JP17" s="16"/>
      <c r="JQ17" s="15" t="str">
        <f t="shared" si="102"/>
        <v>NO APLICA</v>
      </c>
      <c r="JR17" s="16"/>
      <c r="JS17" s="16"/>
      <c r="JT17" s="16"/>
      <c r="JU17" s="16"/>
      <c r="JV17" s="15" t="str">
        <f t="shared" si="103"/>
        <v>NO APLICA</v>
      </c>
      <c r="JW17" s="15"/>
      <c r="JX17" s="15"/>
      <c r="JY17" s="15"/>
      <c r="JZ17" s="15"/>
      <c r="KA17" s="15" t="str">
        <f t="shared" si="104"/>
        <v>NO APLICA</v>
      </c>
      <c r="KB17" s="15"/>
      <c r="KC17" s="14"/>
      <c r="KD17" s="65"/>
      <c r="KE17" s="15" t="str">
        <f t="shared" si="105"/>
        <v>NO APLICA</v>
      </c>
      <c r="KF17" s="15"/>
      <c r="KG17" s="14"/>
      <c r="KH17" s="65"/>
      <c r="KI17" s="15" t="str">
        <f t="shared" si="132"/>
        <v>NO APLICA</v>
      </c>
      <c r="KJ17" s="15"/>
      <c r="KK17" s="14"/>
      <c r="KL17" s="65"/>
      <c r="KM17" s="15" t="str">
        <f t="shared" si="106"/>
        <v>NO APLICA</v>
      </c>
      <c r="KN17" s="12"/>
      <c r="KO17" s="14"/>
      <c r="KP17" s="65"/>
      <c r="KQ17" s="15" t="str">
        <f t="shared" si="133"/>
        <v>NO APLICA</v>
      </c>
      <c r="KR17" s="12"/>
      <c r="KS17" s="16"/>
      <c r="KT17" s="14"/>
      <c r="KU17" s="65"/>
      <c r="KV17" s="15" t="str">
        <f t="shared" si="147"/>
        <v>NO APLICA</v>
      </c>
      <c r="KW17" s="16"/>
      <c r="KX17" s="14"/>
      <c r="KY17" s="65"/>
      <c r="KZ17" s="15" t="str">
        <f t="shared" si="134"/>
        <v>NO APLICA</v>
      </c>
      <c r="LA17" s="16"/>
      <c r="LB17" s="16"/>
      <c r="LC17" s="14"/>
      <c r="LD17" s="65"/>
      <c r="LE17" s="15" t="str">
        <f t="shared" si="107"/>
        <v>NO APLICA</v>
      </c>
      <c r="LF17" s="15"/>
      <c r="LG17" s="15"/>
      <c r="LH17" s="14"/>
      <c r="LI17" s="65"/>
      <c r="LJ17" s="15" t="str">
        <f t="shared" si="148"/>
        <v>NO APLICA</v>
      </c>
      <c r="LK17" s="15"/>
      <c r="LL17" s="16"/>
      <c r="LM17" s="14"/>
      <c r="LN17" s="65"/>
      <c r="LO17" s="15" t="str">
        <f t="shared" si="135"/>
        <v>NO APLICA</v>
      </c>
      <c r="LP17" s="16"/>
      <c r="LQ17" s="16"/>
      <c r="LR17" s="14"/>
      <c r="LS17" s="65"/>
      <c r="LT17" s="15" t="str">
        <f t="shared" si="136"/>
        <v>NO APLICA</v>
      </c>
      <c r="LU17" s="16"/>
      <c r="LV17" s="16"/>
      <c r="LW17" s="14"/>
      <c r="LX17" s="65"/>
      <c r="LY17" s="15" t="str">
        <f t="shared" si="137"/>
        <v>NO APLICA</v>
      </c>
      <c r="LZ17" s="15"/>
      <c r="MA17" s="15"/>
      <c r="MB17" s="14"/>
      <c r="MC17" s="65"/>
      <c r="MD17" s="15" t="str">
        <f t="shared" si="108"/>
        <v>NO APLICA</v>
      </c>
      <c r="ME17" s="15"/>
      <c r="MF17" s="15"/>
      <c r="MG17" s="14"/>
      <c r="MH17" s="65"/>
      <c r="MI17" s="15" t="str">
        <f t="shared" si="109"/>
        <v>NO APLICA</v>
      </c>
      <c r="MJ17" s="15"/>
      <c r="MK17" s="14"/>
      <c r="ML17" s="65"/>
      <c r="MM17" s="15" t="str">
        <f t="shared" si="110"/>
        <v>NO APLICA</v>
      </c>
      <c r="MN17" s="15"/>
      <c r="MO17" s="14"/>
      <c r="MP17" s="15"/>
      <c r="MQ17" s="15" t="str">
        <f t="shared" si="111"/>
        <v>NO APLICA</v>
      </c>
      <c r="MR17" s="15"/>
      <c r="MS17" s="16"/>
      <c r="MT17" s="14"/>
      <c r="MU17" s="65"/>
      <c r="MV17" s="15" t="str">
        <f t="shared" si="112"/>
        <v>NO APLICA</v>
      </c>
      <c r="MW17" s="15"/>
      <c r="MX17" s="16"/>
      <c r="MY17" s="14"/>
      <c r="MZ17" s="65"/>
      <c r="NA17" s="15" t="str">
        <f t="shared" si="113"/>
        <v>NO APLICA</v>
      </c>
      <c r="NB17" s="15"/>
      <c r="NC17" s="16"/>
      <c r="ND17" s="14"/>
      <c r="NE17" s="65"/>
      <c r="NF17" s="15" t="str">
        <f t="shared" si="114"/>
        <v>NO APLICA</v>
      </c>
      <c r="NG17" s="15"/>
      <c r="NH17" s="15"/>
      <c r="NI17" s="14"/>
      <c r="NJ17" s="65"/>
      <c r="NK17" s="15" t="str">
        <f t="shared" si="115"/>
        <v>NO APLICA</v>
      </c>
      <c r="NL17" s="15"/>
      <c r="NM17" s="15"/>
      <c r="NN17" s="15"/>
      <c r="NO17" s="15"/>
      <c r="NP17" s="15" t="str">
        <f t="shared" si="116"/>
        <v>NO APLICA</v>
      </c>
      <c r="NQ17" s="16"/>
      <c r="NR17" s="16"/>
      <c r="NS17" s="16"/>
      <c r="NT17" s="16"/>
      <c r="NU17" s="15" t="str">
        <f t="shared" si="117"/>
        <v>NO APLICA</v>
      </c>
      <c r="NV17" s="16"/>
      <c r="NW17" s="16"/>
      <c r="NX17" s="16"/>
      <c r="NY17" s="16"/>
      <c r="NZ17" s="15" t="str">
        <f t="shared" si="118"/>
        <v>NO APLICA</v>
      </c>
    </row>
    <row r="18" spans="1:390" ht="15.6" thickTop="1" thickBot="1" x14ac:dyDescent="0.35">
      <c r="A18" s="11">
        <v>1740</v>
      </c>
      <c r="B18" s="10" t="s">
        <v>154</v>
      </c>
      <c r="C18" s="21" t="s">
        <v>155</v>
      </c>
      <c r="D18" s="64" t="s">
        <v>156</v>
      </c>
      <c r="E18" s="16"/>
      <c r="F18" s="16"/>
      <c r="G18" s="16"/>
      <c r="H18" s="16"/>
      <c r="I18" s="15" t="str">
        <f t="shared" si="0"/>
        <v>NO APLICA</v>
      </c>
      <c r="J18" s="16"/>
      <c r="K18" s="16"/>
      <c r="L18" s="16"/>
      <c r="M18" s="16"/>
      <c r="N18" s="15" t="str">
        <f t="shared" si="1"/>
        <v>NO APLICA</v>
      </c>
      <c r="O18" s="16"/>
      <c r="P18" s="16"/>
      <c r="Q18" s="16"/>
      <c r="R18" s="16"/>
      <c r="S18" s="15" t="str">
        <f t="shared" si="119"/>
        <v>NO APLICA</v>
      </c>
      <c r="T18" s="16" t="s">
        <v>157</v>
      </c>
      <c r="U18" s="14">
        <v>45134</v>
      </c>
      <c r="V18" s="14">
        <v>45135</v>
      </c>
      <c r="W18" s="14">
        <f t="shared" si="2"/>
        <v>46962</v>
      </c>
      <c r="X18" s="65">
        <f t="shared" ca="1" si="3"/>
        <v>831</v>
      </c>
      <c r="Y18" s="15" t="str">
        <f t="shared" ca="1" si="4"/>
        <v>VIGENTE</v>
      </c>
      <c r="Z18" s="16" t="s">
        <v>158</v>
      </c>
      <c r="AA18" s="14">
        <v>45498</v>
      </c>
      <c r="AB18" s="14">
        <v>45499</v>
      </c>
      <c r="AC18" s="14">
        <f>DATE(YEAR(AB18)+5,MONTH(AB18),DAY(AB18))</f>
        <v>47325</v>
      </c>
      <c r="AD18" s="65">
        <f ca="1">AC18-TODAY()</f>
        <v>1194</v>
      </c>
      <c r="AE18" s="15" t="str">
        <f t="shared" ca="1" si="7"/>
        <v>VIGENTE</v>
      </c>
      <c r="AF18" s="14">
        <v>45053</v>
      </c>
      <c r="AG18" s="14">
        <v>45721</v>
      </c>
      <c r="AH18" s="14">
        <f>DATE(YEAR(AG18)+2,MONTH(AG18),DAY(AG18)-1)</f>
        <v>46450</v>
      </c>
      <c r="AI18" s="65">
        <f t="shared" ca="1" si="8"/>
        <v>319</v>
      </c>
      <c r="AJ18" s="15" t="str">
        <f t="shared" ca="1" si="9"/>
        <v>VIGENTE</v>
      </c>
      <c r="AK18" s="16"/>
      <c r="AL18" s="14">
        <v>45490</v>
      </c>
      <c r="AM18" s="14">
        <f>DATE(YEAR(AL18)+2,MONTH(AL18),DAY(AL18)-1)</f>
        <v>46219</v>
      </c>
      <c r="AN18" s="65">
        <f t="shared" ca="1" si="10"/>
        <v>88</v>
      </c>
      <c r="AO18" s="15" t="str">
        <f t="shared" ca="1" si="11"/>
        <v>POR VENCER</v>
      </c>
      <c r="AP18" s="14">
        <v>45063</v>
      </c>
      <c r="AQ18" s="14">
        <v>45775</v>
      </c>
      <c r="AR18" s="14">
        <f t="shared" si="174"/>
        <v>46505</v>
      </c>
      <c r="AS18" s="65">
        <f t="shared" ca="1" si="12"/>
        <v>374</v>
      </c>
      <c r="AT18" s="15" t="str">
        <f t="shared" ca="1" si="13"/>
        <v>VIGENTE</v>
      </c>
      <c r="AU18" s="14">
        <v>45062</v>
      </c>
      <c r="AV18" s="14">
        <v>45720</v>
      </c>
      <c r="AW18" s="14">
        <f>DATE(YEAR(AV18)+2,MONTH(AV18),DAY(AV18)-1)</f>
        <v>46449</v>
      </c>
      <c r="AX18" s="65">
        <f t="shared" ca="1" si="15"/>
        <v>318</v>
      </c>
      <c r="AY18" s="15" t="str">
        <f t="shared" ca="1" si="16"/>
        <v>VIGENTE</v>
      </c>
      <c r="AZ18" s="14">
        <v>45054</v>
      </c>
      <c r="BA18" s="14">
        <v>45773</v>
      </c>
      <c r="BB18" s="14">
        <f>DATE(YEAR(BA18)+2,MONTH(BA18),DAY(BA18))</f>
        <v>46503</v>
      </c>
      <c r="BC18" s="65">
        <f t="shared" ca="1" si="17"/>
        <v>372</v>
      </c>
      <c r="BD18" s="15" t="str">
        <f t="shared" ca="1" si="18"/>
        <v>VIGENTE</v>
      </c>
      <c r="BE18" s="14">
        <v>45069</v>
      </c>
      <c r="BF18" s="14">
        <v>45692</v>
      </c>
      <c r="BG18" s="14">
        <f>DATE(YEAR(BF18)+2,MONTH(BF18),DAY(BF18)-1)</f>
        <v>46421</v>
      </c>
      <c r="BH18" s="65">
        <f t="shared" ca="1" si="19"/>
        <v>290</v>
      </c>
      <c r="BI18" s="15" t="str">
        <f t="shared" ca="1" si="20"/>
        <v>VIGENTE</v>
      </c>
      <c r="BJ18" s="14">
        <v>45064</v>
      </c>
      <c r="BK18" s="14">
        <v>45693</v>
      </c>
      <c r="BL18" s="14">
        <f>DATE(YEAR(BK18)+2,MONTH(BK18),DAY(BK18)-1)</f>
        <v>46422</v>
      </c>
      <c r="BM18" s="65">
        <f t="shared" ca="1" si="21"/>
        <v>291</v>
      </c>
      <c r="BN18" s="15" t="str">
        <f t="shared" ca="1" si="22"/>
        <v>VIGENTE</v>
      </c>
      <c r="BO18" s="14">
        <v>45075</v>
      </c>
      <c r="BP18" s="14">
        <v>45772</v>
      </c>
      <c r="BQ18" s="14">
        <f>DATE(YEAR(BP18)+2,MONTH(BP18),DAY(BP18))</f>
        <v>46502</v>
      </c>
      <c r="BR18" s="65">
        <f t="shared" ca="1" si="23"/>
        <v>371</v>
      </c>
      <c r="BS18" s="15" t="str">
        <f t="shared" ca="1" si="24"/>
        <v>VIGENTE</v>
      </c>
      <c r="BT18" s="14">
        <v>45056</v>
      </c>
      <c r="BU18" s="14">
        <v>45776</v>
      </c>
      <c r="BV18" s="14">
        <f>DATE(YEAR(BU18)+2,MONTH(BU18),DAY(BU18))</f>
        <v>46506</v>
      </c>
      <c r="BW18" s="65">
        <f t="shared" ca="1" si="25"/>
        <v>375</v>
      </c>
      <c r="BX18" s="15" t="str">
        <f t="shared" ca="1" si="26"/>
        <v>VIGENTE</v>
      </c>
      <c r="BY18" s="14">
        <v>45071</v>
      </c>
      <c r="BZ18" s="14">
        <v>45730</v>
      </c>
      <c r="CA18" s="14">
        <f>DATE(YEAR(BZ18)+2,MONTH(BZ18),DAY(BZ18)-1)</f>
        <v>46459</v>
      </c>
      <c r="CB18" s="65">
        <f t="shared" ca="1" si="27"/>
        <v>328</v>
      </c>
      <c r="CC18" s="15" t="str">
        <f t="shared" ca="1" si="28"/>
        <v>VIGENTE</v>
      </c>
      <c r="CD18" s="16" t="s">
        <v>108</v>
      </c>
      <c r="CE18" s="14">
        <v>45488</v>
      </c>
      <c r="CF18" s="14">
        <v>45489</v>
      </c>
      <c r="CG18" s="14">
        <f t="shared" si="29"/>
        <v>46950</v>
      </c>
      <c r="CH18" s="65">
        <f t="shared" ca="1" si="30"/>
        <v>819</v>
      </c>
      <c r="CI18" s="15" t="str">
        <f t="shared" ca="1" si="31"/>
        <v>VIGENTE</v>
      </c>
      <c r="CJ18" s="14">
        <v>45052</v>
      </c>
      <c r="CK18" s="14">
        <v>45723</v>
      </c>
      <c r="CL18" s="14">
        <f t="shared" si="171"/>
        <v>46452</v>
      </c>
      <c r="CM18" s="65">
        <f t="shared" ca="1" si="32"/>
        <v>321</v>
      </c>
      <c r="CN18" s="15" t="str">
        <f t="shared" ca="1" si="33"/>
        <v>VIGENTE</v>
      </c>
      <c r="CO18" s="14">
        <v>45074</v>
      </c>
      <c r="CP18" s="14">
        <v>45726</v>
      </c>
      <c r="CQ18" s="14">
        <f>DATE(YEAR(CP18)+2,MONTH(CP18),DAY(CP18)-1)</f>
        <v>46455</v>
      </c>
      <c r="CR18" s="65">
        <f t="shared" ca="1" si="34"/>
        <v>324</v>
      </c>
      <c r="CS18" s="15" t="str">
        <f t="shared" ca="1" si="35"/>
        <v>VIGENTE</v>
      </c>
      <c r="CT18" s="14">
        <v>45067</v>
      </c>
      <c r="CU18" s="14">
        <v>45727</v>
      </c>
      <c r="CV18" s="14">
        <f>DATE(YEAR(CU18)+2,MONTH(CU18),DAY(CU18)-1)</f>
        <v>46456</v>
      </c>
      <c r="CW18" s="65">
        <f t="shared" ca="1" si="36"/>
        <v>325</v>
      </c>
      <c r="CX18" s="15" t="str">
        <f t="shared" ca="1" si="37"/>
        <v>VIGENTE</v>
      </c>
      <c r="CY18" s="14">
        <v>45057</v>
      </c>
      <c r="CZ18" s="14">
        <v>45744</v>
      </c>
      <c r="DA18" s="14">
        <f>DATE(YEAR(CZ18)+2,MONTH(CZ18),DAY(CZ18)-1)</f>
        <v>46473</v>
      </c>
      <c r="DB18" s="65">
        <f t="shared" ca="1" si="38"/>
        <v>342</v>
      </c>
      <c r="DC18" s="15" t="str">
        <f t="shared" ca="1" si="39"/>
        <v>VIGENTE</v>
      </c>
      <c r="DD18" s="14">
        <v>45072</v>
      </c>
      <c r="DE18" s="14">
        <v>45713</v>
      </c>
      <c r="DF18" s="14">
        <f>DATE(YEAR(DE18)+2,MONTH(DE18),DAY(DE18)-1)</f>
        <v>46442</v>
      </c>
      <c r="DG18" s="65">
        <f t="shared" ca="1" si="40"/>
        <v>311</v>
      </c>
      <c r="DH18" s="15" t="str">
        <f t="shared" ca="1" si="41"/>
        <v>VIGENTE</v>
      </c>
      <c r="DI18" s="14">
        <v>45061</v>
      </c>
      <c r="DJ18" s="14">
        <v>45798</v>
      </c>
      <c r="DK18" s="14">
        <f>DATE(YEAR(DJ18)+2,MONTH(DJ18),DAY(DJ18))</f>
        <v>46528</v>
      </c>
      <c r="DL18" s="65">
        <f t="shared" ca="1" si="43"/>
        <v>397</v>
      </c>
      <c r="DM18" s="15" t="str">
        <f t="shared" ca="1" si="44"/>
        <v>VIGENTE</v>
      </c>
      <c r="DN18" s="14">
        <v>45059</v>
      </c>
      <c r="DO18" s="14">
        <v>45799</v>
      </c>
      <c r="DP18" s="14">
        <f>DATE(YEAR(DO18)+2,MONTH(DO18),DAY(DO18))</f>
        <v>46529</v>
      </c>
      <c r="DQ18" s="65">
        <f t="shared" ca="1" si="46"/>
        <v>398</v>
      </c>
      <c r="DR18" s="15" t="str">
        <f t="shared" ca="1" si="47"/>
        <v>VIGENTE</v>
      </c>
      <c r="DS18" s="14">
        <v>45066</v>
      </c>
      <c r="DT18" s="14">
        <v>45728</v>
      </c>
      <c r="DU18" s="14">
        <f>DATE(YEAR(DT18)+2,MONTH(DT18),DAY(DT18)-1)</f>
        <v>46457</v>
      </c>
      <c r="DV18" s="65">
        <f t="shared" ca="1" si="48"/>
        <v>326</v>
      </c>
      <c r="DW18" s="15" t="str">
        <f t="shared" ca="1" si="49"/>
        <v>VIGENTE</v>
      </c>
      <c r="DX18" s="14">
        <v>45068</v>
      </c>
      <c r="DY18" s="14">
        <v>45751</v>
      </c>
      <c r="DZ18" s="14">
        <f>DATE(YEAR(DY18)+2,MONTH(DY18),DAY(DY18)-1)</f>
        <v>46480</v>
      </c>
      <c r="EA18" s="65">
        <f t="shared" ca="1" si="50"/>
        <v>349</v>
      </c>
      <c r="EB18" s="15" t="str">
        <f t="shared" ca="1" si="51"/>
        <v>VIGENTE</v>
      </c>
      <c r="EC18" s="14">
        <v>45070</v>
      </c>
      <c r="ED18" s="14">
        <v>45768</v>
      </c>
      <c r="EE18" s="14">
        <f>DATE(YEAR(ED18)+2,MONTH(ED18),DAY(ED18))</f>
        <v>46498</v>
      </c>
      <c r="EF18" s="65">
        <f t="shared" ca="1" si="52"/>
        <v>367</v>
      </c>
      <c r="EG18" s="15" t="str">
        <f t="shared" ca="1" si="53"/>
        <v>VIGENTE</v>
      </c>
      <c r="EH18" s="14">
        <v>45051</v>
      </c>
      <c r="EI18" s="14">
        <v>46113</v>
      </c>
      <c r="EJ18" s="14">
        <v>46114</v>
      </c>
      <c r="EK18" s="14">
        <v>46115</v>
      </c>
      <c r="EL18" s="14">
        <f t="shared" si="128"/>
        <v>46480</v>
      </c>
      <c r="EM18" s="65">
        <f t="shared" ca="1" si="54"/>
        <v>349</v>
      </c>
      <c r="EN18" s="15" t="str">
        <f t="shared" ca="1" si="55"/>
        <v>VIGENTE</v>
      </c>
      <c r="EO18" s="14">
        <v>45065</v>
      </c>
      <c r="EP18" s="14">
        <v>45737</v>
      </c>
      <c r="EQ18" s="14">
        <f t="shared" ref="EQ18:EQ23" si="175">DATE(YEAR(EP18)+2,MONTH(EP18),DAY(EP18)-1)</f>
        <v>46466</v>
      </c>
      <c r="ER18" s="65">
        <f t="shared" ca="1" si="56"/>
        <v>335</v>
      </c>
      <c r="ES18" s="15" t="str">
        <f t="shared" ca="1" si="57"/>
        <v>VIGENTE</v>
      </c>
      <c r="ET18" s="14">
        <v>45058</v>
      </c>
      <c r="EU18" s="14">
        <v>45735</v>
      </c>
      <c r="EV18" s="14">
        <f t="shared" ref="EV18:EV23" si="176">DATE(YEAR(EU18)+2,MONTH(EU18),DAY(EU18)-1)</f>
        <v>46464</v>
      </c>
      <c r="EW18" s="65">
        <f t="shared" ca="1" si="58"/>
        <v>333</v>
      </c>
      <c r="EX18" s="15" t="str">
        <f t="shared" ca="1" si="59"/>
        <v>VIGENTE</v>
      </c>
      <c r="EY18" s="14">
        <v>45055</v>
      </c>
      <c r="EZ18" s="14">
        <v>45719</v>
      </c>
      <c r="FA18" s="14">
        <f>DATE(YEAR(EZ18)+2,MONTH(EZ18),DAY(EZ18)-1)</f>
        <v>46448</v>
      </c>
      <c r="FB18" s="65">
        <f t="shared" ca="1" si="60"/>
        <v>317</v>
      </c>
      <c r="FC18" s="15" t="str">
        <f t="shared" ca="1" si="61"/>
        <v>VIGENTE</v>
      </c>
      <c r="FD18" s="14">
        <v>45050</v>
      </c>
      <c r="FE18" s="14">
        <v>45803</v>
      </c>
      <c r="FF18" s="14">
        <f t="shared" si="170"/>
        <v>46533</v>
      </c>
      <c r="FG18" s="65">
        <f t="shared" ca="1" si="62"/>
        <v>402</v>
      </c>
      <c r="FH18" s="15" t="str">
        <f t="shared" ca="1" si="63"/>
        <v>VIGENTE</v>
      </c>
      <c r="FI18" s="14">
        <v>45049</v>
      </c>
      <c r="FJ18" s="14">
        <v>45668</v>
      </c>
      <c r="FK18" s="14">
        <f>DATE(YEAR(FJ18)+2,MONTH(FJ18),DAY(FJ18)-1)</f>
        <v>46397</v>
      </c>
      <c r="FL18" s="65">
        <f t="shared" ca="1" si="64"/>
        <v>266</v>
      </c>
      <c r="FM18" s="15" t="str">
        <f t="shared" ca="1" si="65"/>
        <v>VIGENTE</v>
      </c>
      <c r="FN18" s="14"/>
      <c r="FO18" s="14">
        <v>45479</v>
      </c>
      <c r="FP18" s="14">
        <f>DATE(YEAR(FO18)+2,MONTH(FO18),DAY(FO18)-1)</f>
        <v>46208</v>
      </c>
      <c r="FQ18" s="65">
        <f t="shared" ca="1" si="67"/>
        <v>77</v>
      </c>
      <c r="FR18" s="15" t="str">
        <f t="shared" ca="1" si="68"/>
        <v>POR VENCER</v>
      </c>
      <c r="FS18" s="14"/>
      <c r="FT18" s="14">
        <v>45483</v>
      </c>
      <c r="FU18" s="14">
        <f>DATE(YEAR(FT18)+2,MONTH(FT18),DAY(FT18)-1)</f>
        <v>46212</v>
      </c>
      <c r="FV18" s="65">
        <f t="shared" ca="1" si="69"/>
        <v>81</v>
      </c>
      <c r="FW18" s="15" t="str">
        <f t="shared" ca="1" si="70"/>
        <v>POR VENCER</v>
      </c>
      <c r="FX18" s="14"/>
      <c r="FY18" s="14">
        <v>45491</v>
      </c>
      <c r="FZ18" s="14">
        <f>DATE(YEAR(FY18)+2,MONTH(FY18),DAY(FY18)-1)</f>
        <v>46220</v>
      </c>
      <c r="GA18" s="65">
        <f t="shared" ca="1" si="71"/>
        <v>89</v>
      </c>
      <c r="GB18" s="15" t="str">
        <f t="shared" ca="1" si="72"/>
        <v>POR VENCER</v>
      </c>
      <c r="GC18" s="14"/>
      <c r="GD18" s="14">
        <v>45492</v>
      </c>
      <c r="GE18" s="14">
        <f t="shared" ref="GE18:GE23" si="177">DATE(YEAR(GD18)+2,MONTH(GD18),DAY(GD18)-1)</f>
        <v>46221</v>
      </c>
      <c r="GF18" s="65">
        <f t="shared" ca="1" si="73"/>
        <v>90</v>
      </c>
      <c r="GG18" s="15" t="str">
        <f t="shared" ca="1" si="74"/>
        <v>POR VENCER</v>
      </c>
      <c r="GH18" s="14"/>
      <c r="GI18" s="14">
        <v>45475</v>
      </c>
      <c r="GJ18" s="14">
        <f>DATE(YEAR(GI18)+2,MONTH(GI18),DAY(GI18)-1)</f>
        <v>46204</v>
      </c>
      <c r="GK18" s="65">
        <f t="shared" ca="1" si="75"/>
        <v>73</v>
      </c>
      <c r="GL18" s="15" t="str">
        <f t="shared" ca="1" si="76"/>
        <v>POR VENCER</v>
      </c>
      <c r="GM18" s="14"/>
      <c r="GN18" s="14">
        <v>45493</v>
      </c>
      <c r="GO18" s="14">
        <f>DATE(YEAR(GN18)+2,MONTH(GN18),DAY(GN18)-1)</f>
        <v>46222</v>
      </c>
      <c r="GP18" s="65">
        <f t="shared" ca="1" si="77"/>
        <v>91</v>
      </c>
      <c r="GQ18" s="15" t="str">
        <f t="shared" ca="1" si="78"/>
        <v>VIGENTE</v>
      </c>
      <c r="GR18" s="14"/>
      <c r="GS18" s="14">
        <v>45495</v>
      </c>
      <c r="GT18" s="14">
        <f t="shared" si="79"/>
        <v>47321</v>
      </c>
      <c r="GU18" s="65">
        <f t="shared" ca="1" si="172"/>
        <v>1190</v>
      </c>
      <c r="GV18" s="15" t="str">
        <f t="shared" ca="1" si="81"/>
        <v>VIGENTE</v>
      </c>
      <c r="GW18" s="14"/>
      <c r="GX18" s="14">
        <v>45478</v>
      </c>
      <c r="GY18" s="14">
        <f t="shared" si="82"/>
        <v>47304</v>
      </c>
      <c r="GZ18" s="65">
        <f t="shared" ca="1" si="83"/>
        <v>1173</v>
      </c>
      <c r="HA18" s="15" t="str">
        <f t="shared" ca="1" si="84"/>
        <v>VIGENTE</v>
      </c>
      <c r="HB18" s="16"/>
      <c r="HC18" s="14">
        <v>45497</v>
      </c>
      <c r="HD18" s="14">
        <f t="shared" si="85"/>
        <v>47323</v>
      </c>
      <c r="HE18" s="65">
        <f t="shared" ca="1" si="86"/>
        <v>1192</v>
      </c>
      <c r="HF18" s="15" t="str">
        <f t="shared" ca="1" si="87"/>
        <v>VIGENTE</v>
      </c>
      <c r="HG18" s="16"/>
      <c r="HH18" s="14">
        <v>45496</v>
      </c>
      <c r="HI18" s="14">
        <f>DATE(YEAR(HH18)+5,MONTH(HH18),DAY(HH18))</f>
        <v>47322</v>
      </c>
      <c r="HJ18" s="65">
        <f ca="1">HI18-TODAY()</f>
        <v>1191</v>
      </c>
      <c r="HK18" s="15" t="str">
        <f t="shared" ca="1" si="173"/>
        <v>VIGENTE</v>
      </c>
      <c r="HL18" s="16"/>
      <c r="HM18" s="16"/>
      <c r="HN18" s="14"/>
      <c r="HO18" s="65"/>
      <c r="HP18" s="15" t="str">
        <f t="shared" si="91"/>
        <v>NO APLICA</v>
      </c>
      <c r="HQ18" s="16"/>
      <c r="HR18" s="16"/>
      <c r="HS18" s="14"/>
      <c r="HT18" s="16"/>
      <c r="HU18" s="15" t="str">
        <f t="shared" si="92"/>
        <v>NO APLICA</v>
      </c>
      <c r="HV18" s="16"/>
      <c r="HW18" s="16"/>
      <c r="HX18" s="14"/>
      <c r="HY18" s="16"/>
      <c r="HZ18" s="15" t="str">
        <f t="shared" si="93"/>
        <v>NO APLICA</v>
      </c>
      <c r="IA18" s="16"/>
      <c r="IB18" s="16"/>
      <c r="IC18" s="14"/>
      <c r="ID18" s="16"/>
      <c r="IE18" s="15" t="str">
        <f t="shared" si="94"/>
        <v>NO APLICA</v>
      </c>
      <c r="IF18" s="16"/>
      <c r="IG18" s="16"/>
      <c r="IH18" s="14"/>
      <c r="II18" s="16"/>
      <c r="IJ18" s="15" t="str">
        <f t="shared" si="95"/>
        <v>NO APLICA</v>
      </c>
      <c r="IK18" s="16"/>
      <c r="IL18" s="16"/>
      <c r="IM18" s="14"/>
      <c r="IN18" s="16"/>
      <c r="IO18" s="15" t="str">
        <f t="shared" si="96"/>
        <v>NO APLICA</v>
      </c>
      <c r="IP18" s="16"/>
      <c r="IQ18" s="16"/>
      <c r="IR18" s="14"/>
      <c r="IS18" s="65"/>
      <c r="IT18" s="15" t="str">
        <f t="shared" si="97"/>
        <v>NO APLICA</v>
      </c>
      <c r="IU18" s="16"/>
      <c r="IV18" s="16"/>
      <c r="IW18" s="14"/>
      <c r="IX18" s="16"/>
      <c r="IY18" s="15" t="str">
        <f t="shared" si="98"/>
        <v>NO APLICA</v>
      </c>
      <c r="IZ18" s="16"/>
      <c r="JA18" s="16"/>
      <c r="JB18" s="14"/>
      <c r="JC18" s="16"/>
      <c r="JD18" s="15" t="str">
        <f t="shared" si="99"/>
        <v>NO APLICA</v>
      </c>
      <c r="JE18" s="16"/>
      <c r="JF18" s="16"/>
      <c r="JG18" s="16"/>
      <c r="JH18" s="16"/>
      <c r="JI18" s="15" t="str">
        <f t="shared" si="100"/>
        <v>NO APLICA</v>
      </c>
      <c r="JJ18" s="16"/>
      <c r="JK18" s="16"/>
      <c r="JL18" s="16"/>
      <c r="JM18" s="15" t="str">
        <f t="shared" si="101"/>
        <v>NO APLICA</v>
      </c>
      <c r="JN18" s="14">
        <v>45948</v>
      </c>
      <c r="JO18" s="16"/>
      <c r="JP18" s="16"/>
      <c r="JQ18" s="15" t="b">
        <f t="shared" si="102"/>
        <v>0</v>
      </c>
      <c r="JR18" s="16"/>
      <c r="JS18" s="16"/>
      <c r="JT18" s="16"/>
      <c r="JU18" s="16"/>
      <c r="JV18" s="15" t="str">
        <f t="shared" si="103"/>
        <v>NO APLICA</v>
      </c>
      <c r="JW18" s="15"/>
      <c r="JX18" s="13">
        <v>45948</v>
      </c>
      <c r="JY18" s="14">
        <f>DATE(YEAR(JX18)+2,MONTH(JX18),DAY(JX18))</f>
        <v>46678</v>
      </c>
      <c r="JZ18" s="65">
        <f ca="1">JY18-TODAY()</f>
        <v>547</v>
      </c>
      <c r="KA18" s="15" t="str">
        <f t="shared" ca="1" si="104"/>
        <v>VIGENTE</v>
      </c>
      <c r="KB18" s="16"/>
      <c r="KC18" s="14"/>
      <c r="KD18" s="16"/>
      <c r="KE18" s="15" t="str">
        <f t="shared" si="105"/>
        <v>NO APLICA</v>
      </c>
      <c r="KF18" s="16"/>
      <c r="KG18" s="14"/>
      <c r="KH18" s="16"/>
      <c r="KI18" s="15" t="str">
        <f t="shared" si="132"/>
        <v>NO APLICA</v>
      </c>
      <c r="KJ18" s="16"/>
      <c r="KK18" s="14"/>
      <c r="KL18" s="16"/>
      <c r="KM18" s="15" t="str">
        <f t="shared" si="106"/>
        <v>NO APLICA</v>
      </c>
      <c r="KN18" s="12"/>
      <c r="KO18" s="12"/>
      <c r="KP18" s="12"/>
      <c r="KQ18" s="15" t="str">
        <f t="shared" si="133"/>
        <v>NO APLICA</v>
      </c>
      <c r="KR18" s="16"/>
      <c r="KS18" s="16"/>
      <c r="KT18" s="14"/>
      <c r="KU18" s="16"/>
      <c r="KV18" s="15" t="str">
        <f t="shared" si="147"/>
        <v>NO APLICA</v>
      </c>
      <c r="KW18" s="16"/>
      <c r="KX18" s="14"/>
      <c r="KY18" s="16"/>
      <c r="KZ18" s="15" t="str">
        <f t="shared" si="134"/>
        <v>NO APLICA</v>
      </c>
      <c r="LA18" s="16"/>
      <c r="LB18" s="16"/>
      <c r="LC18" s="16"/>
      <c r="LD18" s="16"/>
      <c r="LE18" s="15" t="str">
        <f t="shared" si="107"/>
        <v>NO APLICA</v>
      </c>
      <c r="LF18" s="15"/>
      <c r="LG18" s="15"/>
      <c r="LH18" s="15"/>
      <c r="LI18" s="15"/>
      <c r="LJ18" s="15" t="str">
        <f t="shared" si="148"/>
        <v>NO APLICA</v>
      </c>
      <c r="LK18" s="16"/>
      <c r="LL18" s="16"/>
      <c r="LM18" s="14"/>
      <c r="LN18" s="65"/>
      <c r="LO18" s="15" t="str">
        <f t="shared" si="135"/>
        <v>NO APLICA</v>
      </c>
      <c r="LP18" s="16"/>
      <c r="LQ18" s="16"/>
      <c r="LR18" s="14"/>
      <c r="LS18" s="16"/>
      <c r="LT18" s="15" t="str">
        <f t="shared" si="136"/>
        <v>NO APLICA</v>
      </c>
      <c r="LU18" s="16"/>
      <c r="LV18" s="16"/>
      <c r="LW18" s="14"/>
      <c r="LX18" s="16"/>
      <c r="LY18" s="15" t="str">
        <f t="shared" si="137"/>
        <v>NO APLICA</v>
      </c>
      <c r="LZ18" s="16"/>
      <c r="MA18" s="16"/>
      <c r="MB18" s="14"/>
      <c r="MC18" s="16"/>
      <c r="MD18" s="15" t="str">
        <f t="shared" si="108"/>
        <v>NO APLICA</v>
      </c>
      <c r="ME18" s="16"/>
      <c r="MF18" s="16"/>
      <c r="MG18" s="14"/>
      <c r="MH18" s="16"/>
      <c r="MI18" s="15" t="str">
        <f t="shared" si="109"/>
        <v>NO APLICA</v>
      </c>
      <c r="MJ18" s="16"/>
      <c r="MK18" s="14"/>
      <c r="ML18" s="16"/>
      <c r="MM18" s="15" t="str">
        <f t="shared" si="110"/>
        <v>NO APLICA</v>
      </c>
      <c r="MN18" s="16"/>
      <c r="MO18" s="16"/>
      <c r="MP18" s="16"/>
      <c r="MQ18" s="15" t="str">
        <f t="shared" si="111"/>
        <v>NO APLICA</v>
      </c>
      <c r="MR18" s="16"/>
      <c r="MS18" s="16"/>
      <c r="MT18" s="14"/>
      <c r="MU18" s="16"/>
      <c r="MV18" s="15" t="str">
        <f t="shared" si="112"/>
        <v>NO APLICA</v>
      </c>
      <c r="MW18" s="16"/>
      <c r="MX18" s="16"/>
      <c r="MY18" s="14"/>
      <c r="MZ18" s="16"/>
      <c r="NA18" s="15" t="str">
        <f t="shared" si="113"/>
        <v>NO APLICA</v>
      </c>
      <c r="NB18" s="16"/>
      <c r="NC18" s="16"/>
      <c r="ND18" s="14"/>
      <c r="NE18" s="16"/>
      <c r="NF18" s="15" t="str">
        <f t="shared" si="114"/>
        <v>NO APLICA</v>
      </c>
      <c r="NG18" s="16"/>
      <c r="NH18" s="16"/>
      <c r="NI18" s="14"/>
      <c r="NJ18" s="16"/>
      <c r="NK18" s="15" t="str">
        <f t="shared" si="115"/>
        <v>NO APLICA</v>
      </c>
      <c r="NL18" s="16"/>
      <c r="NM18" s="16"/>
      <c r="NN18" s="14"/>
      <c r="NO18" s="16"/>
      <c r="NP18" s="15" t="str">
        <f t="shared" si="116"/>
        <v>NO APLICA</v>
      </c>
      <c r="NQ18" s="16"/>
      <c r="NR18" s="16"/>
      <c r="NS18" s="14"/>
      <c r="NT18" s="65"/>
      <c r="NU18" s="15" t="str">
        <f t="shared" si="117"/>
        <v>NO APLICA</v>
      </c>
      <c r="NV18" s="16"/>
      <c r="NW18" s="16"/>
      <c r="NX18" s="16"/>
      <c r="NY18" s="16"/>
      <c r="NZ18" s="15" t="str">
        <f t="shared" si="118"/>
        <v>NO APLICA</v>
      </c>
    </row>
    <row r="19" spans="1:390" ht="15.6" thickTop="1" thickBot="1" x14ac:dyDescent="0.35">
      <c r="A19" s="9">
        <v>1481</v>
      </c>
      <c r="B19" s="10" t="s">
        <v>159</v>
      </c>
      <c r="C19" s="21" t="s">
        <v>104</v>
      </c>
      <c r="D19" s="64" t="s">
        <v>160</v>
      </c>
      <c r="E19" s="15"/>
      <c r="F19" s="16"/>
      <c r="G19" s="14"/>
      <c r="H19" s="65"/>
      <c r="I19" s="15" t="str">
        <f t="shared" si="0"/>
        <v>NO APLICA</v>
      </c>
      <c r="J19" s="15"/>
      <c r="K19" s="16"/>
      <c r="L19" s="16"/>
      <c r="M19" s="65"/>
      <c r="N19" s="15" t="str">
        <f t="shared" si="1"/>
        <v>NO APLICA</v>
      </c>
      <c r="O19" s="16"/>
      <c r="P19" s="16"/>
      <c r="Q19" s="14"/>
      <c r="R19" s="65"/>
      <c r="S19" s="15" t="str">
        <f t="shared" si="119"/>
        <v>NO APLICA</v>
      </c>
      <c r="T19" s="12" t="s">
        <v>161</v>
      </c>
      <c r="U19" s="14">
        <v>45499</v>
      </c>
      <c r="V19" s="14">
        <v>45500</v>
      </c>
      <c r="W19" s="14">
        <f t="shared" si="2"/>
        <v>47326</v>
      </c>
      <c r="X19" s="65">
        <f t="shared" ca="1" si="3"/>
        <v>1195</v>
      </c>
      <c r="Y19" s="15" t="str">
        <f t="shared" ca="1" si="4"/>
        <v>VIGENTE</v>
      </c>
      <c r="Z19" s="12" t="s">
        <v>162</v>
      </c>
      <c r="AA19" s="14">
        <v>44823</v>
      </c>
      <c r="AB19" s="14">
        <v>44824</v>
      </c>
      <c r="AC19" s="14">
        <f>DATE(YEAR(AB19)+5,MONTH(AB19),DAY(AB19))</f>
        <v>46650</v>
      </c>
      <c r="AD19" s="65">
        <f ca="1">AC19-TODAY()</f>
        <v>519</v>
      </c>
      <c r="AE19" s="15" t="str">
        <f t="shared" ca="1" si="7"/>
        <v>VIGENTE</v>
      </c>
      <c r="AF19" s="13">
        <v>44948</v>
      </c>
      <c r="AG19" s="14">
        <v>45594</v>
      </c>
      <c r="AH19" s="14">
        <f>DATE(YEAR(AG19)+2,MONTH(AG19),DAY(AG19)-1)</f>
        <v>46323</v>
      </c>
      <c r="AI19" s="65">
        <f t="shared" ca="1" si="8"/>
        <v>192</v>
      </c>
      <c r="AJ19" s="15" t="str">
        <f t="shared" ca="1" si="9"/>
        <v>VIGENTE</v>
      </c>
      <c r="AK19" s="13">
        <v>45286</v>
      </c>
      <c r="AL19" s="14">
        <v>45959</v>
      </c>
      <c r="AM19" s="14">
        <f t="shared" ref="AM19:AM25" si="178">DATE(YEAR(AL19)+2,MONTH(AL19),DAY(AL19))</f>
        <v>46689</v>
      </c>
      <c r="AN19" s="65">
        <f t="shared" ca="1" si="10"/>
        <v>558</v>
      </c>
      <c r="AO19" s="15" t="str">
        <f t="shared" ca="1" si="11"/>
        <v>VIGENTE</v>
      </c>
      <c r="AP19" s="13">
        <v>44568</v>
      </c>
      <c r="AQ19" s="14">
        <v>45967</v>
      </c>
      <c r="AR19" s="14">
        <f t="shared" si="174"/>
        <v>46697</v>
      </c>
      <c r="AS19" s="65">
        <f t="shared" ca="1" si="12"/>
        <v>566</v>
      </c>
      <c r="AT19" s="15" t="str">
        <f t="shared" ca="1" si="13"/>
        <v>VIGENTE</v>
      </c>
      <c r="AU19" s="13">
        <v>44655</v>
      </c>
      <c r="AV19" s="14">
        <v>45927</v>
      </c>
      <c r="AW19" s="14">
        <f>DATE(YEAR(AV19)+2,MONTH(AV19),DAY(AV19))</f>
        <v>46657</v>
      </c>
      <c r="AX19" s="65">
        <f t="shared" ca="1" si="15"/>
        <v>526</v>
      </c>
      <c r="AY19" s="15" t="str">
        <f t="shared" ca="1" si="16"/>
        <v>VIGENTE</v>
      </c>
      <c r="AZ19" s="13">
        <v>45263</v>
      </c>
      <c r="BA19" s="14">
        <v>45930</v>
      </c>
      <c r="BB19" s="14">
        <f>DATE(YEAR(BA19)+2,MONTH(BA19),DAY(BA19))</f>
        <v>46660</v>
      </c>
      <c r="BC19" s="65">
        <f t="shared" ca="1" si="17"/>
        <v>529</v>
      </c>
      <c r="BD19" s="15" t="str">
        <f t="shared" ca="1" si="18"/>
        <v>VIGENTE</v>
      </c>
      <c r="BE19" s="13">
        <v>45302</v>
      </c>
      <c r="BF19" s="14">
        <v>45968</v>
      </c>
      <c r="BG19" s="14">
        <f>DATE(YEAR(BF19)+2,MONTH(BF19),DAY(BF19))</f>
        <v>46698</v>
      </c>
      <c r="BH19" s="65">
        <f t="shared" ca="1" si="19"/>
        <v>567</v>
      </c>
      <c r="BI19" s="15" t="str">
        <f t="shared" ca="1" si="20"/>
        <v>VIGENTE</v>
      </c>
      <c r="BJ19" s="13">
        <v>44718</v>
      </c>
      <c r="BK19" s="14">
        <v>46051</v>
      </c>
      <c r="BL19" s="14">
        <f>DATE(YEAR(BK19)+2,MONTH(BK19),DAY(BK19))</f>
        <v>46781</v>
      </c>
      <c r="BM19" s="65">
        <f t="shared" ca="1" si="21"/>
        <v>650</v>
      </c>
      <c r="BN19" s="15" t="str">
        <f t="shared" ca="1" si="22"/>
        <v>VIGENTE</v>
      </c>
      <c r="BO19" s="13">
        <v>44743</v>
      </c>
      <c r="BP19" s="14">
        <v>46069</v>
      </c>
      <c r="BQ19" s="14">
        <f>DATE(YEAR(BP19)+2,MONTH(BP19),DAY(BP19))</f>
        <v>46799</v>
      </c>
      <c r="BR19" s="65">
        <f t="shared" ca="1" si="23"/>
        <v>668</v>
      </c>
      <c r="BS19" s="15" t="str">
        <f t="shared" ca="1" si="24"/>
        <v>VIGENTE</v>
      </c>
      <c r="BT19" s="13">
        <v>44809</v>
      </c>
      <c r="BU19" s="14">
        <v>45484</v>
      </c>
      <c r="BV19" s="14">
        <f t="shared" ref="BV19:BV29" si="179">DATE(YEAR(BU19)+2,MONTH(BU19),DAY(BU19)-1)</f>
        <v>46213</v>
      </c>
      <c r="BW19" s="65">
        <f t="shared" ca="1" si="25"/>
        <v>82</v>
      </c>
      <c r="BX19" s="15" t="str">
        <f t="shared" ca="1" si="26"/>
        <v>POR VENCER</v>
      </c>
      <c r="BY19" s="13">
        <v>44634</v>
      </c>
      <c r="BZ19" s="14">
        <v>45944</v>
      </c>
      <c r="CA19" s="14">
        <f t="shared" ref="CA19:CA24" si="180">DATE(YEAR(BZ19)+2,MONTH(BZ19),DAY(BZ19))</f>
        <v>46674</v>
      </c>
      <c r="CB19" s="65">
        <f t="shared" ca="1" si="27"/>
        <v>543</v>
      </c>
      <c r="CC19" s="15" t="str">
        <f t="shared" ca="1" si="28"/>
        <v>VIGENTE</v>
      </c>
      <c r="CD19" s="16" t="s">
        <v>108</v>
      </c>
      <c r="CE19" s="14">
        <v>45300</v>
      </c>
      <c r="CF19" s="14">
        <v>45301</v>
      </c>
      <c r="CG19" s="14">
        <f t="shared" si="29"/>
        <v>46762</v>
      </c>
      <c r="CH19" s="65">
        <f t="shared" ca="1" si="30"/>
        <v>631</v>
      </c>
      <c r="CI19" s="15" t="str">
        <f t="shared" ca="1" si="31"/>
        <v>VIGENTE</v>
      </c>
      <c r="CJ19" s="14">
        <v>44872</v>
      </c>
      <c r="CK19" s="14">
        <v>45511</v>
      </c>
      <c r="CL19" s="14">
        <f t="shared" si="171"/>
        <v>46240</v>
      </c>
      <c r="CM19" s="65">
        <f t="shared" ca="1" si="32"/>
        <v>109</v>
      </c>
      <c r="CN19" s="15" t="str">
        <f t="shared" ca="1" si="33"/>
        <v>VIGENTE</v>
      </c>
      <c r="CO19" s="13">
        <v>45305</v>
      </c>
      <c r="CP19" s="14">
        <v>45979</v>
      </c>
      <c r="CQ19" s="14">
        <f>DATE(YEAR(CP19)+2,MONTH(CP19),DAY(CP19))</f>
        <v>46709</v>
      </c>
      <c r="CR19" s="65">
        <f t="shared" ca="1" si="34"/>
        <v>578</v>
      </c>
      <c r="CS19" s="15" t="str">
        <f t="shared" ca="1" si="35"/>
        <v>VIGENTE</v>
      </c>
      <c r="CT19" s="13">
        <v>44978</v>
      </c>
      <c r="CU19" s="14">
        <v>45645</v>
      </c>
      <c r="CV19" s="14">
        <f>DATE(YEAR(CU19)+2,MONTH(CU19),DAY(CU19)-1)</f>
        <v>46374</v>
      </c>
      <c r="CW19" s="65">
        <f t="shared" ca="1" si="36"/>
        <v>243</v>
      </c>
      <c r="CX19" s="15" t="str">
        <f t="shared" ca="1" si="37"/>
        <v>VIGENTE</v>
      </c>
      <c r="CY19" s="13">
        <v>44992</v>
      </c>
      <c r="CZ19" s="14">
        <v>45661</v>
      </c>
      <c r="DA19" s="14">
        <f>DATE(YEAR(CZ19)+2,MONTH(CZ19),DAY(CZ19)-1)</f>
        <v>46390</v>
      </c>
      <c r="DB19" s="65">
        <f t="shared" ca="1" si="38"/>
        <v>259</v>
      </c>
      <c r="DC19" s="15" t="str">
        <f t="shared" ca="1" si="39"/>
        <v>VIGENTE</v>
      </c>
      <c r="DD19" s="13">
        <v>45019</v>
      </c>
      <c r="DE19" s="14">
        <v>45689</v>
      </c>
      <c r="DF19" s="14">
        <f>DATE(YEAR(DE19)+2,MONTH(DE19),DAY(DE19)-1)</f>
        <v>46418</v>
      </c>
      <c r="DG19" s="65">
        <f t="shared" ca="1" si="40"/>
        <v>287</v>
      </c>
      <c r="DH19" s="15" t="str">
        <f t="shared" ca="1" si="41"/>
        <v>VIGENTE</v>
      </c>
      <c r="DI19" s="13" t="s">
        <v>163</v>
      </c>
      <c r="DJ19" s="14">
        <v>45924</v>
      </c>
      <c r="DK19" s="14">
        <f>DATE(YEAR(DJ19)+2,MONTH(DJ19),DAY(DJ19))</f>
        <v>46654</v>
      </c>
      <c r="DL19" s="65">
        <f t="shared" ca="1" si="43"/>
        <v>523</v>
      </c>
      <c r="DM19" s="15" t="str">
        <f t="shared" ca="1" si="44"/>
        <v>VIGENTE</v>
      </c>
      <c r="DN19" s="13">
        <v>44613</v>
      </c>
      <c r="DO19" s="14">
        <v>46008</v>
      </c>
      <c r="DP19" s="14">
        <f>DATE(YEAR(DO19)+2,MONTH(DO19),DAY(DO19))</f>
        <v>46738</v>
      </c>
      <c r="DQ19" s="65">
        <f t="shared" ca="1" si="46"/>
        <v>607</v>
      </c>
      <c r="DR19" s="15" t="str">
        <f t="shared" ca="1" si="47"/>
        <v>VIGENTE</v>
      </c>
      <c r="DS19" s="13">
        <v>45250</v>
      </c>
      <c r="DT19" s="14">
        <v>45918</v>
      </c>
      <c r="DU19" s="14">
        <f>DATE(YEAR(DT19)+2,MONTH(DT19),DAY(DT19))</f>
        <v>46648</v>
      </c>
      <c r="DV19" s="65">
        <f t="shared" ca="1" si="48"/>
        <v>517</v>
      </c>
      <c r="DW19" s="15" t="str">
        <f t="shared" ca="1" si="49"/>
        <v>VIGENTE</v>
      </c>
      <c r="DX19" s="13">
        <v>45267</v>
      </c>
      <c r="DY19" s="14">
        <v>45934</v>
      </c>
      <c r="DZ19" s="14">
        <f>DATE(YEAR(DY19)+2,MONTH(DY19),DAY(DY19))</f>
        <v>46664</v>
      </c>
      <c r="EA19" s="65">
        <f t="shared" ca="1" si="50"/>
        <v>533</v>
      </c>
      <c r="EB19" s="15" t="str">
        <f t="shared" ca="1" si="51"/>
        <v>VIGENTE</v>
      </c>
      <c r="EC19" s="13">
        <v>45174</v>
      </c>
      <c r="ED19" s="14">
        <v>45829</v>
      </c>
      <c r="EE19" s="14">
        <f>DATE(YEAR(ED19)+2,MONTH(ED19),DAY(ED19))</f>
        <v>46559</v>
      </c>
      <c r="EF19" s="65">
        <f t="shared" ca="1" si="52"/>
        <v>428</v>
      </c>
      <c r="EG19" s="15" t="str">
        <f t="shared" ca="1" si="53"/>
        <v>VIGENTE</v>
      </c>
      <c r="EH19" s="14">
        <v>45253</v>
      </c>
      <c r="EI19" s="13">
        <v>45946</v>
      </c>
      <c r="EJ19" s="13">
        <v>45947</v>
      </c>
      <c r="EK19" s="14">
        <v>45948</v>
      </c>
      <c r="EL19" s="14">
        <f t="shared" si="128"/>
        <v>46313</v>
      </c>
      <c r="EM19" s="65">
        <f t="shared" ca="1" si="54"/>
        <v>182</v>
      </c>
      <c r="EN19" s="15" t="str">
        <f t="shared" ca="1" si="55"/>
        <v>VIGENTE</v>
      </c>
      <c r="EO19" s="13">
        <v>45083</v>
      </c>
      <c r="EP19" s="14">
        <v>45737</v>
      </c>
      <c r="EQ19" s="14">
        <f t="shared" si="175"/>
        <v>46466</v>
      </c>
      <c r="ER19" s="65">
        <f t="shared" ca="1" si="56"/>
        <v>335</v>
      </c>
      <c r="ES19" s="15" t="str">
        <f t="shared" ca="1" si="57"/>
        <v>VIGENTE</v>
      </c>
      <c r="ET19" s="13">
        <v>45085</v>
      </c>
      <c r="EU19" s="14">
        <v>45755</v>
      </c>
      <c r="EV19" s="14">
        <f t="shared" si="176"/>
        <v>46484</v>
      </c>
      <c r="EW19" s="65">
        <f t="shared" ca="1" si="58"/>
        <v>353</v>
      </c>
      <c r="EX19" s="15" t="str">
        <f t="shared" ca="1" si="59"/>
        <v>VIGENTE</v>
      </c>
      <c r="EY19" s="13">
        <v>44636</v>
      </c>
      <c r="EZ19" s="14">
        <v>45953</v>
      </c>
      <c r="FA19" s="14">
        <f>DATE(YEAR(EZ19)+2,MONTH(EZ19),DAY(EZ19))</f>
        <v>46683</v>
      </c>
      <c r="FB19" s="65">
        <f t="shared" ca="1" si="60"/>
        <v>552</v>
      </c>
      <c r="FC19" s="15" t="str">
        <f t="shared" ca="1" si="61"/>
        <v>VIGENTE</v>
      </c>
      <c r="FD19" s="13">
        <v>44636</v>
      </c>
      <c r="FE19" s="14">
        <v>45951</v>
      </c>
      <c r="FF19" s="14">
        <f t="shared" si="170"/>
        <v>46681</v>
      </c>
      <c r="FG19" s="65">
        <f t="shared" ca="1" si="62"/>
        <v>550</v>
      </c>
      <c r="FH19" s="15" t="str">
        <f t="shared" ca="1" si="63"/>
        <v>VIGENTE</v>
      </c>
      <c r="FI19" s="13">
        <v>45317</v>
      </c>
      <c r="FJ19" s="14">
        <v>45969</v>
      </c>
      <c r="FK19" s="14">
        <f>DATE(YEAR(FJ19)+2,MONTH(FJ19),DAY(FJ19))</f>
        <v>46699</v>
      </c>
      <c r="FL19" s="65">
        <f t="shared" ca="1" si="64"/>
        <v>568</v>
      </c>
      <c r="FM19" s="15" t="str">
        <f t="shared" ca="1" si="65"/>
        <v>VIGENTE</v>
      </c>
      <c r="FN19" s="13">
        <v>44770</v>
      </c>
      <c r="FO19" s="14">
        <v>46049</v>
      </c>
      <c r="FP19" s="14">
        <f>DATE(YEAR(FO19)+2,MONTH(FO19),DAY(FO19))</f>
        <v>46779</v>
      </c>
      <c r="FQ19" s="65">
        <f t="shared" ca="1" si="67"/>
        <v>648</v>
      </c>
      <c r="FR19" s="15" t="str">
        <f t="shared" ca="1" si="68"/>
        <v>VIGENTE</v>
      </c>
      <c r="FS19" s="13">
        <v>45304</v>
      </c>
      <c r="FT19" s="14">
        <v>46013</v>
      </c>
      <c r="FU19" s="14">
        <f>DATE(YEAR(FT19)+2,MONTH(FT19),DAY(FT19))</f>
        <v>46743</v>
      </c>
      <c r="FV19" s="65">
        <f t="shared" ca="1" si="69"/>
        <v>612</v>
      </c>
      <c r="FW19" s="15" t="str">
        <f t="shared" ca="1" si="70"/>
        <v>VIGENTE</v>
      </c>
      <c r="FX19" s="14">
        <v>44921</v>
      </c>
      <c r="FY19" s="14">
        <v>45536</v>
      </c>
      <c r="FZ19" s="14">
        <f>DATE(YEAR(FY19)+2,MONTH(FY19),DAY(FY19)-1)</f>
        <v>46265</v>
      </c>
      <c r="GA19" s="65">
        <f t="shared" ca="1" si="71"/>
        <v>134</v>
      </c>
      <c r="GB19" s="15" t="str">
        <f t="shared" ca="1" si="72"/>
        <v>VIGENTE</v>
      </c>
      <c r="GC19" s="13">
        <v>44770</v>
      </c>
      <c r="GD19" s="14">
        <v>45469</v>
      </c>
      <c r="GE19" s="14">
        <f t="shared" si="177"/>
        <v>46198</v>
      </c>
      <c r="GF19" s="65">
        <f t="shared" ca="1" si="73"/>
        <v>67</v>
      </c>
      <c r="GG19" s="15" t="str">
        <f t="shared" ca="1" si="74"/>
        <v>POR VENCER</v>
      </c>
      <c r="GH19" s="13">
        <v>45332</v>
      </c>
      <c r="GI19" s="14">
        <v>45960</v>
      </c>
      <c r="GJ19" s="14">
        <f>DATE(YEAR(GI19)+2,MONTH(GI19),DAY(GI19))</f>
        <v>46690</v>
      </c>
      <c r="GK19" s="65">
        <f t="shared" ca="1" si="75"/>
        <v>559</v>
      </c>
      <c r="GL19" s="15" t="str">
        <f t="shared" ca="1" si="76"/>
        <v>VIGENTE</v>
      </c>
      <c r="GM19" s="13">
        <v>44565</v>
      </c>
      <c r="GN19" s="14">
        <v>45945</v>
      </c>
      <c r="GO19" s="14">
        <f>DATE(YEAR(GN19)+2,MONTH(GN19),DAY(GN19))</f>
        <v>46675</v>
      </c>
      <c r="GP19" s="65">
        <f t="shared" ca="1" si="77"/>
        <v>544</v>
      </c>
      <c r="GQ19" s="15" t="str">
        <f t="shared" ca="1" si="78"/>
        <v>VIGENTE</v>
      </c>
      <c r="GR19" s="14">
        <v>44571</v>
      </c>
      <c r="GS19" s="14">
        <v>45283</v>
      </c>
      <c r="GT19" s="14">
        <f t="shared" si="79"/>
        <v>47110</v>
      </c>
      <c r="GU19" s="65">
        <f t="shared" ca="1" si="172"/>
        <v>979</v>
      </c>
      <c r="GV19" s="15" t="str">
        <f t="shared" ca="1" si="81"/>
        <v>VIGENTE</v>
      </c>
      <c r="GW19" s="13">
        <v>44571</v>
      </c>
      <c r="GX19" s="14">
        <v>45195</v>
      </c>
      <c r="GY19" s="14">
        <f t="shared" si="82"/>
        <v>47022</v>
      </c>
      <c r="GZ19" s="65">
        <f t="shared" ca="1" si="83"/>
        <v>891</v>
      </c>
      <c r="HA19" s="15" t="str">
        <f t="shared" ca="1" si="84"/>
        <v>VIGENTE</v>
      </c>
      <c r="HB19" s="13">
        <v>44565</v>
      </c>
      <c r="HC19" s="14">
        <v>45268</v>
      </c>
      <c r="HD19" s="14">
        <f t="shared" si="85"/>
        <v>47095</v>
      </c>
      <c r="HE19" s="65">
        <f t="shared" ca="1" si="86"/>
        <v>964</v>
      </c>
      <c r="HF19" s="15" t="str">
        <f t="shared" ca="1" si="87"/>
        <v>VIGENTE</v>
      </c>
      <c r="HG19" s="16"/>
      <c r="HH19" s="14">
        <v>44900</v>
      </c>
      <c r="HI19" s="14">
        <f>DATE(YEAR(HH19)+5,MONTH(HH19),DAY(HH19))</f>
        <v>46726</v>
      </c>
      <c r="HJ19" s="65">
        <f ca="1">HI19-TODAY()</f>
        <v>595</v>
      </c>
      <c r="HK19" s="15" t="str">
        <f t="shared" ca="1" si="173"/>
        <v>VIGENTE</v>
      </c>
      <c r="HL19" s="12"/>
      <c r="HM19" s="14">
        <v>45331</v>
      </c>
      <c r="HN19" s="14">
        <f>DATE(YEAR(HM19)+5,MONTH(HM19),DAY(HM19))</f>
        <v>47158</v>
      </c>
      <c r="HO19" s="65">
        <f ca="1">HN19-TODAY()</f>
        <v>1027</v>
      </c>
      <c r="HP19" s="15" t="str">
        <f t="shared" ca="1" si="91"/>
        <v>VIGENTE</v>
      </c>
      <c r="HQ19" s="12"/>
      <c r="HR19" s="13">
        <v>45374</v>
      </c>
      <c r="HS19" s="14">
        <f>DATE(YEAR(HR19)+5,MONTH(HR19),DAY(HR19))</f>
        <v>47200</v>
      </c>
      <c r="HT19" s="65">
        <f ca="1">HS19-TODAY()</f>
        <v>1069</v>
      </c>
      <c r="HU19" s="15" t="str">
        <f t="shared" ca="1" si="92"/>
        <v>VIGENTE</v>
      </c>
      <c r="HV19" s="13">
        <v>44782</v>
      </c>
      <c r="HW19" s="14">
        <v>45440</v>
      </c>
      <c r="HX19" s="14">
        <f>DATE(YEAR(HW19)+5,MONTH(HW19),DAY(HW19))</f>
        <v>47266</v>
      </c>
      <c r="HY19" s="65">
        <f ca="1">HX19-TODAY()</f>
        <v>1135</v>
      </c>
      <c r="HZ19" s="15" t="str">
        <f t="shared" ca="1" si="93"/>
        <v>VIGENTE</v>
      </c>
      <c r="IA19" s="13">
        <v>44523</v>
      </c>
      <c r="IB19" s="14">
        <v>45194</v>
      </c>
      <c r="IC19" s="14">
        <f>DATE(YEAR(IB19)+5,MONTH(IB19),DAY(IB19))</f>
        <v>47021</v>
      </c>
      <c r="ID19" s="65">
        <f ca="1">IC19-TODAY()</f>
        <v>890</v>
      </c>
      <c r="IE19" s="15" t="str">
        <f t="shared" ca="1" si="94"/>
        <v>VIGENTE</v>
      </c>
      <c r="IF19" s="13">
        <v>44510</v>
      </c>
      <c r="IG19" s="14">
        <v>45230</v>
      </c>
      <c r="IH19" s="14">
        <f>DATE(YEAR(IG19)+5,MONTH(IG19),DAY(IG19))</f>
        <v>47057</v>
      </c>
      <c r="II19" s="65">
        <f ca="1">IH19-TODAY()</f>
        <v>926</v>
      </c>
      <c r="IJ19" s="15" t="str">
        <f t="shared" ca="1" si="95"/>
        <v>VIGENTE</v>
      </c>
      <c r="IK19" s="14">
        <v>44559</v>
      </c>
      <c r="IL19" s="14">
        <v>45266</v>
      </c>
      <c r="IM19" s="14">
        <f>DATE(YEAR(IL19)+5,MONTH(IL19),DAY(IL19))</f>
        <v>47093</v>
      </c>
      <c r="IN19" s="65">
        <f ca="1">IM19-TODAY()</f>
        <v>962</v>
      </c>
      <c r="IO19" s="15" t="str">
        <f t="shared" ca="1" si="96"/>
        <v>VIGENTE</v>
      </c>
      <c r="IP19" s="13">
        <v>44559</v>
      </c>
      <c r="IQ19" s="14">
        <v>45259</v>
      </c>
      <c r="IR19" s="14">
        <f>DATE(YEAR(IQ19)+5,MONTH(IQ19),DAY(IQ19))</f>
        <v>47086</v>
      </c>
      <c r="IS19" s="65">
        <f ca="1">IR19-TODAY()</f>
        <v>955</v>
      </c>
      <c r="IT19" s="15" t="str">
        <f t="shared" ca="1" si="97"/>
        <v>VIGENTE</v>
      </c>
      <c r="IU19" s="13">
        <v>44510</v>
      </c>
      <c r="IV19" s="14">
        <v>45199</v>
      </c>
      <c r="IW19" s="14">
        <f>DATE(YEAR(IV19)+5,MONTH(IV19),DAY(IV19))</f>
        <v>47026</v>
      </c>
      <c r="IX19" s="65">
        <f ca="1">IW19-TODAY()</f>
        <v>895</v>
      </c>
      <c r="IY19" s="15" t="str">
        <f t="shared" ca="1" si="98"/>
        <v>VIGENTE</v>
      </c>
      <c r="IZ19" s="13">
        <v>44522</v>
      </c>
      <c r="JA19" s="14">
        <v>45198</v>
      </c>
      <c r="JB19" s="14">
        <f>DATE(YEAR(JA19)+5,MONTH(JA19),DAY(JA19))</f>
        <v>47025</v>
      </c>
      <c r="JC19" s="65">
        <f ca="1">JB19-TODAY()</f>
        <v>894</v>
      </c>
      <c r="JD19" s="15" t="str">
        <f t="shared" ca="1" si="99"/>
        <v>VIGENTE</v>
      </c>
      <c r="JE19" s="13"/>
      <c r="JF19" s="13"/>
      <c r="JG19" s="14"/>
      <c r="JH19" s="65"/>
      <c r="JI19" s="15" t="str">
        <f t="shared" si="100"/>
        <v>NO APLICA</v>
      </c>
      <c r="JJ19" s="16"/>
      <c r="JK19" s="16"/>
      <c r="JL19" s="16"/>
      <c r="JM19" s="15" t="str">
        <f t="shared" si="101"/>
        <v>NO APLICA</v>
      </c>
      <c r="JN19" s="16"/>
      <c r="JO19" s="16"/>
      <c r="JP19" s="16"/>
      <c r="JQ19" s="15" t="str">
        <f t="shared" si="102"/>
        <v>NO APLICA</v>
      </c>
      <c r="JR19" s="16"/>
      <c r="JS19" s="16"/>
      <c r="JT19" s="16"/>
      <c r="JU19" s="16"/>
      <c r="JV19" s="15" t="str">
        <f t="shared" si="103"/>
        <v>NO APLICA</v>
      </c>
      <c r="JW19" s="15"/>
      <c r="JX19" s="15"/>
      <c r="JY19" s="15"/>
      <c r="JZ19" s="15"/>
      <c r="KA19" s="15" t="str">
        <f t="shared" si="104"/>
        <v>NO APLICA</v>
      </c>
      <c r="KB19" s="12"/>
      <c r="KC19" s="14"/>
      <c r="KD19" s="65"/>
      <c r="KE19" s="15" t="str">
        <f t="shared" si="105"/>
        <v>NO APLICA</v>
      </c>
      <c r="KF19" s="12"/>
      <c r="KG19" s="14"/>
      <c r="KH19" s="65"/>
      <c r="KI19" s="15" t="str">
        <f t="shared" si="132"/>
        <v>NO APLICA</v>
      </c>
      <c r="KJ19" s="12"/>
      <c r="KK19" s="14"/>
      <c r="KL19" s="65"/>
      <c r="KM19" s="15" t="str">
        <f t="shared" si="106"/>
        <v>NO APLICA</v>
      </c>
      <c r="KN19" s="12"/>
      <c r="KO19" s="14"/>
      <c r="KP19" s="65"/>
      <c r="KQ19" s="15" t="str">
        <f t="shared" si="133"/>
        <v>NO APLICA</v>
      </c>
      <c r="KR19" s="12"/>
      <c r="KS19" s="16"/>
      <c r="KT19" s="14"/>
      <c r="KU19" s="65"/>
      <c r="KV19" s="15" t="str">
        <f t="shared" si="147"/>
        <v>NO APLICA</v>
      </c>
      <c r="KW19" s="14">
        <v>44613</v>
      </c>
      <c r="KX19" s="14">
        <f>DATE(YEAR(KW19)+5,MONTH(KW19),DAY(KW19))</f>
        <v>46439</v>
      </c>
      <c r="KY19" s="65">
        <f ca="1">KX19-TODAY()</f>
        <v>308</v>
      </c>
      <c r="KZ19" s="15" t="str">
        <f t="shared" ca="1" si="134"/>
        <v>VIGENTE</v>
      </c>
      <c r="LA19" s="16"/>
      <c r="LB19" s="14">
        <v>45516</v>
      </c>
      <c r="LC19" s="14">
        <f>DATE(YEAR(LB19)+2,MONTH(LB19),DAY(LB19))</f>
        <v>46246</v>
      </c>
      <c r="LD19" s="65">
        <f ca="1">LC19-TODAY()</f>
        <v>115</v>
      </c>
      <c r="LE19" s="15" t="str">
        <f t="shared" ca="1" si="107"/>
        <v>VIGENTE</v>
      </c>
      <c r="LF19" s="15"/>
      <c r="LG19" s="15"/>
      <c r="LH19" s="15"/>
      <c r="LI19" s="15"/>
      <c r="LJ19" s="15" t="str">
        <f t="shared" si="148"/>
        <v>NO APLICA</v>
      </c>
      <c r="LK19" s="12"/>
      <c r="LL19" s="16"/>
      <c r="LM19" s="14"/>
      <c r="LN19" s="65"/>
      <c r="LO19" s="15" t="str">
        <f t="shared" si="135"/>
        <v>NO APLICA</v>
      </c>
      <c r="LP19" s="14">
        <v>44984</v>
      </c>
      <c r="LQ19" s="14">
        <v>44986</v>
      </c>
      <c r="LR19" s="14">
        <f>DATE(YEAR(LQ19)+5,MONTH(LQ19),DAY(LQ19))</f>
        <v>46813</v>
      </c>
      <c r="LS19" s="65">
        <f ca="1">LR19-TODAY()</f>
        <v>682</v>
      </c>
      <c r="LT19" s="15" t="str">
        <f t="shared" ca="1" si="136"/>
        <v>VIGENTE</v>
      </c>
      <c r="LU19" s="14">
        <v>44987</v>
      </c>
      <c r="LV19" s="14">
        <v>44988</v>
      </c>
      <c r="LW19" s="14">
        <f>DATE(YEAR(LV19)+5,MONTH(LV19),DAY(LV19))</f>
        <v>46815</v>
      </c>
      <c r="LX19" s="65">
        <f ca="1">LW19-TODAY()</f>
        <v>684</v>
      </c>
      <c r="LY19" s="15" t="str">
        <f t="shared" ca="1" si="137"/>
        <v>VIGENTE</v>
      </c>
      <c r="LZ19" s="12"/>
      <c r="MA19" s="12"/>
      <c r="MB19" s="14"/>
      <c r="MC19" s="65"/>
      <c r="MD19" s="15" t="str">
        <f t="shared" si="108"/>
        <v>NO APLICA</v>
      </c>
      <c r="ME19" s="12"/>
      <c r="MF19" s="12"/>
      <c r="MG19" s="14"/>
      <c r="MH19" s="65"/>
      <c r="MI19" s="15" t="str">
        <f t="shared" si="109"/>
        <v>NO APLICA</v>
      </c>
      <c r="MJ19" s="12"/>
      <c r="MK19" s="14"/>
      <c r="ML19" s="65"/>
      <c r="MM19" s="15" t="str">
        <f t="shared" si="110"/>
        <v>NO APLICA</v>
      </c>
      <c r="MN19" s="12"/>
      <c r="MO19" s="14"/>
      <c r="MP19" s="12"/>
      <c r="MQ19" s="15" t="str">
        <f t="shared" si="111"/>
        <v>NO APLICA</v>
      </c>
      <c r="MR19" s="12"/>
      <c r="MS19" s="16"/>
      <c r="MT19" s="14"/>
      <c r="MU19" s="65"/>
      <c r="MV19" s="15" t="str">
        <f t="shared" si="112"/>
        <v>NO APLICA</v>
      </c>
      <c r="MW19" s="12"/>
      <c r="MX19" s="16"/>
      <c r="MY19" s="14"/>
      <c r="MZ19" s="65"/>
      <c r="NA19" s="15" t="str">
        <f t="shared" si="113"/>
        <v>NO APLICA</v>
      </c>
      <c r="NB19" s="12"/>
      <c r="NC19" s="16"/>
      <c r="ND19" s="14"/>
      <c r="NE19" s="65"/>
      <c r="NF19" s="15" t="str">
        <f t="shared" si="114"/>
        <v>NO APLICA</v>
      </c>
      <c r="NG19" s="12"/>
      <c r="NH19" s="12"/>
      <c r="NI19" s="14"/>
      <c r="NJ19" s="12"/>
      <c r="NK19" s="15" t="str">
        <f t="shared" si="115"/>
        <v>NO APLICA</v>
      </c>
      <c r="NL19" s="12"/>
      <c r="NM19" s="12"/>
      <c r="NN19" s="14"/>
      <c r="NO19" s="12"/>
      <c r="NP19" s="15" t="str">
        <f t="shared" si="116"/>
        <v>NO APLICA</v>
      </c>
      <c r="NQ19" s="16"/>
      <c r="NR19" s="16"/>
      <c r="NS19" s="14"/>
      <c r="NT19" s="65"/>
      <c r="NU19" s="15" t="str">
        <f t="shared" si="117"/>
        <v>NO APLICA</v>
      </c>
      <c r="NV19" s="16"/>
      <c r="NW19" s="16"/>
      <c r="NX19" s="16"/>
      <c r="NY19" s="16"/>
      <c r="NZ19" s="15" t="str">
        <f t="shared" si="118"/>
        <v>NO APLICA</v>
      </c>
    </row>
    <row r="20" spans="1:390" ht="15.6" thickTop="1" thickBot="1" x14ac:dyDescent="0.35">
      <c r="A20" s="11">
        <v>1641</v>
      </c>
      <c r="B20" s="10" t="s">
        <v>164</v>
      </c>
      <c r="C20" s="21" t="s">
        <v>151</v>
      </c>
      <c r="D20" s="64" t="s">
        <v>165</v>
      </c>
      <c r="E20" s="13">
        <v>46057</v>
      </c>
      <c r="F20" s="14">
        <v>46058</v>
      </c>
      <c r="G20" s="14">
        <f>DATE(YEAR(F20)+2,MONTH(F20),DAY(F20))</f>
        <v>46788</v>
      </c>
      <c r="H20" s="65">
        <f ca="1">G20-TODAY()</f>
        <v>657</v>
      </c>
      <c r="I20" s="15" t="str">
        <f t="shared" ca="1" si="0"/>
        <v>VIGENTE</v>
      </c>
      <c r="J20" s="15"/>
      <c r="K20" s="16"/>
      <c r="L20" s="16"/>
      <c r="M20" s="65"/>
      <c r="N20" s="15" t="str">
        <f t="shared" si="1"/>
        <v>NO APLICA</v>
      </c>
      <c r="O20" s="16"/>
      <c r="P20" s="16"/>
      <c r="Q20" s="14"/>
      <c r="R20" s="65"/>
      <c r="S20" s="15" t="str">
        <f t="shared" si="119"/>
        <v>NO APLICA</v>
      </c>
      <c r="T20" s="12" t="s">
        <v>166</v>
      </c>
      <c r="U20" s="13">
        <v>44943</v>
      </c>
      <c r="V20" s="14">
        <v>44944</v>
      </c>
      <c r="W20" s="14">
        <f t="shared" si="2"/>
        <v>46770</v>
      </c>
      <c r="X20" s="65">
        <f t="shared" ca="1" si="3"/>
        <v>639</v>
      </c>
      <c r="Y20" s="15" t="str">
        <f t="shared" ca="1" si="4"/>
        <v>VIGENTE</v>
      </c>
      <c r="Z20" s="12"/>
      <c r="AA20" s="12"/>
      <c r="AB20" s="16"/>
      <c r="AC20" s="14"/>
      <c r="AD20" s="65"/>
      <c r="AE20" s="15" t="str">
        <f t="shared" si="7"/>
        <v>NO APLICA</v>
      </c>
      <c r="AF20" s="13">
        <v>45014</v>
      </c>
      <c r="AG20" s="14">
        <v>45680</v>
      </c>
      <c r="AH20" s="14">
        <f>DATE(YEAR(AG20)+2,MONTH(AG20),DAY(AG20)-1)</f>
        <v>46409</v>
      </c>
      <c r="AI20" s="65">
        <f t="shared" ca="1" si="8"/>
        <v>278</v>
      </c>
      <c r="AJ20" s="15" t="str">
        <f t="shared" ca="1" si="9"/>
        <v>VIGENTE</v>
      </c>
      <c r="AK20" s="13">
        <v>45189</v>
      </c>
      <c r="AL20" s="14">
        <v>45838</v>
      </c>
      <c r="AM20" s="14">
        <f t="shared" si="178"/>
        <v>46568</v>
      </c>
      <c r="AN20" s="65">
        <f t="shared" ca="1" si="10"/>
        <v>437</v>
      </c>
      <c r="AO20" s="15" t="str">
        <f t="shared" ca="1" si="11"/>
        <v>VIGENTE</v>
      </c>
      <c r="AP20" s="13">
        <v>45168</v>
      </c>
      <c r="AQ20" s="14">
        <v>45845</v>
      </c>
      <c r="AR20" s="14">
        <f t="shared" si="174"/>
        <v>46575</v>
      </c>
      <c r="AS20" s="65">
        <f t="shared" ca="1" si="12"/>
        <v>444</v>
      </c>
      <c r="AT20" s="15" t="str">
        <f t="shared" ca="1" si="13"/>
        <v>VIGENTE</v>
      </c>
      <c r="AU20" s="13">
        <v>44893</v>
      </c>
      <c r="AV20" s="14">
        <v>45514</v>
      </c>
      <c r="AW20" s="14">
        <f>DATE(YEAR(AV20)+2,MONTH(AV20),DAY(AV20)-1)</f>
        <v>46243</v>
      </c>
      <c r="AX20" s="65">
        <f t="shared" ca="1" si="15"/>
        <v>112</v>
      </c>
      <c r="AY20" s="15" t="str">
        <f t="shared" ca="1" si="16"/>
        <v>VIGENTE</v>
      </c>
      <c r="AZ20" s="13">
        <v>45122</v>
      </c>
      <c r="BA20" s="14">
        <v>45742</v>
      </c>
      <c r="BB20" s="14">
        <f>DATE(YEAR(BA20)+2,MONTH(BA20),DAY(BA20)-1)</f>
        <v>46471</v>
      </c>
      <c r="BC20" s="65">
        <f t="shared" ca="1" si="17"/>
        <v>340</v>
      </c>
      <c r="BD20" s="15" t="str">
        <f t="shared" ca="1" si="18"/>
        <v>VIGENTE</v>
      </c>
      <c r="BE20" s="13">
        <v>44886</v>
      </c>
      <c r="BF20" s="14">
        <v>45495</v>
      </c>
      <c r="BG20" s="14">
        <f>DATE(YEAR(BF20)+2,MONTH(BF20),DAY(BF20)-1)</f>
        <v>46224</v>
      </c>
      <c r="BH20" s="65">
        <f t="shared" ca="1" si="19"/>
        <v>93</v>
      </c>
      <c r="BI20" s="15" t="str">
        <f t="shared" ca="1" si="20"/>
        <v>VIGENTE</v>
      </c>
      <c r="BJ20" s="13">
        <v>45140</v>
      </c>
      <c r="BK20" s="14">
        <v>45819</v>
      </c>
      <c r="BL20" s="14">
        <f>DATE(YEAR(BK20)+2,MONTH(BK20),DAY(BK20))</f>
        <v>46549</v>
      </c>
      <c r="BM20" s="65">
        <f t="shared" ca="1" si="21"/>
        <v>418</v>
      </c>
      <c r="BN20" s="15" t="str">
        <f t="shared" ca="1" si="22"/>
        <v>VIGENTE</v>
      </c>
      <c r="BO20" s="13">
        <v>44951</v>
      </c>
      <c r="BP20" s="14">
        <v>45604</v>
      </c>
      <c r="BQ20" s="14">
        <f>DATE(YEAR(BP20)+2,MONTH(BP20),DAY(BP20)-1)</f>
        <v>46333</v>
      </c>
      <c r="BR20" s="65">
        <f t="shared" ca="1" si="23"/>
        <v>202</v>
      </c>
      <c r="BS20" s="15" t="str">
        <f t="shared" ca="1" si="24"/>
        <v>VIGENTE</v>
      </c>
      <c r="BT20" s="12">
        <v>45086</v>
      </c>
      <c r="BU20" s="14">
        <v>45736</v>
      </c>
      <c r="BV20" s="14">
        <f t="shared" si="179"/>
        <v>46465</v>
      </c>
      <c r="BW20" s="65">
        <f t="shared" ca="1" si="25"/>
        <v>334</v>
      </c>
      <c r="BX20" s="15" t="str">
        <f t="shared" ca="1" si="26"/>
        <v>VIGENTE</v>
      </c>
      <c r="BY20" s="13">
        <v>45124</v>
      </c>
      <c r="BZ20" s="14">
        <v>45818</v>
      </c>
      <c r="CA20" s="14">
        <f t="shared" si="180"/>
        <v>46548</v>
      </c>
      <c r="CB20" s="65">
        <f t="shared" ca="1" si="27"/>
        <v>417</v>
      </c>
      <c r="CC20" s="15" t="str">
        <f t="shared" ca="1" si="28"/>
        <v>VIGENTE</v>
      </c>
      <c r="CD20" s="16" t="s">
        <v>102</v>
      </c>
      <c r="CE20" s="14">
        <v>45831</v>
      </c>
      <c r="CF20" s="14">
        <v>45832</v>
      </c>
      <c r="CG20" s="14">
        <f t="shared" si="29"/>
        <v>47293</v>
      </c>
      <c r="CH20" s="65">
        <f t="shared" ca="1" si="30"/>
        <v>1162</v>
      </c>
      <c r="CI20" s="15" t="str">
        <f t="shared" ca="1" si="31"/>
        <v>VIGENTE</v>
      </c>
      <c r="CJ20" s="14">
        <v>45006</v>
      </c>
      <c r="CK20" s="14">
        <v>45688</v>
      </c>
      <c r="CL20" s="14">
        <f t="shared" si="171"/>
        <v>46417</v>
      </c>
      <c r="CM20" s="65">
        <f t="shared" ca="1" si="32"/>
        <v>286</v>
      </c>
      <c r="CN20" s="15" t="str">
        <f t="shared" ca="1" si="33"/>
        <v>VIGENTE</v>
      </c>
      <c r="CO20" s="13">
        <v>45132</v>
      </c>
      <c r="CP20" s="14">
        <v>45817</v>
      </c>
      <c r="CQ20" s="14">
        <f>DATE(YEAR(CP20)+2,MONTH(CP20),DAY(CP20))</f>
        <v>46547</v>
      </c>
      <c r="CR20" s="65">
        <f t="shared" ca="1" si="34"/>
        <v>416</v>
      </c>
      <c r="CS20" s="15" t="str">
        <f t="shared" ca="1" si="35"/>
        <v>VIGENTE</v>
      </c>
      <c r="CT20" s="13">
        <v>45142</v>
      </c>
      <c r="CU20" s="14">
        <v>45813</v>
      </c>
      <c r="CV20" s="14">
        <f>DATE(YEAR(CU20)+2,MONTH(CU20),DAY(CU20))</f>
        <v>46543</v>
      </c>
      <c r="CW20" s="65">
        <f t="shared" ca="1" si="36"/>
        <v>412</v>
      </c>
      <c r="CX20" s="15" t="str">
        <f t="shared" ca="1" si="37"/>
        <v>VIGENTE</v>
      </c>
      <c r="CY20" s="13">
        <v>44998</v>
      </c>
      <c r="CZ20" s="14">
        <v>45665</v>
      </c>
      <c r="DA20" s="14">
        <f>DATE(YEAR(CZ20)+2,MONTH(CZ20),DAY(CZ20)-1)</f>
        <v>46394</v>
      </c>
      <c r="DB20" s="65">
        <f t="shared" ca="1" si="38"/>
        <v>263</v>
      </c>
      <c r="DC20" s="15" t="str">
        <f t="shared" ca="1" si="39"/>
        <v>VIGENTE</v>
      </c>
      <c r="DD20" s="13">
        <v>44968</v>
      </c>
      <c r="DE20" s="14">
        <v>45607</v>
      </c>
      <c r="DF20" s="14">
        <f>DATE(YEAR(DE20)+2,MONTH(DE20),DAY(DE20)-1)</f>
        <v>46336</v>
      </c>
      <c r="DG20" s="65">
        <f t="shared" ca="1" si="40"/>
        <v>205</v>
      </c>
      <c r="DH20" s="15" t="str">
        <f t="shared" ca="1" si="41"/>
        <v>VIGENTE</v>
      </c>
      <c r="DI20" s="13">
        <v>44914</v>
      </c>
      <c r="DJ20" s="14">
        <v>45580</v>
      </c>
      <c r="DK20" s="14">
        <f>DATE(YEAR(DJ20)+2,MONTH(DJ20),DAY(DJ20)-1)</f>
        <v>46309</v>
      </c>
      <c r="DL20" s="65">
        <f t="shared" ca="1" si="43"/>
        <v>178</v>
      </c>
      <c r="DM20" s="15" t="str">
        <f t="shared" ca="1" si="44"/>
        <v>VIGENTE</v>
      </c>
      <c r="DN20" s="14">
        <v>45198</v>
      </c>
      <c r="DO20" s="14">
        <v>45873</v>
      </c>
      <c r="DP20" s="14">
        <f>DATE(YEAR(DO20)+2,MONTH(DO20),DAY(DO20))</f>
        <v>46603</v>
      </c>
      <c r="DQ20" s="65">
        <f t="shared" ca="1" si="46"/>
        <v>472</v>
      </c>
      <c r="DR20" s="15" t="str">
        <f t="shared" ca="1" si="47"/>
        <v>VIGENTE</v>
      </c>
      <c r="DS20" s="13">
        <v>44935</v>
      </c>
      <c r="DT20" s="14">
        <v>45608</v>
      </c>
      <c r="DU20" s="14">
        <f>DATE(YEAR(DT20)+2,MONTH(DT20),DAY(DT20)-1)</f>
        <v>46337</v>
      </c>
      <c r="DV20" s="65">
        <f t="shared" ca="1" si="48"/>
        <v>206</v>
      </c>
      <c r="DW20" s="15" t="str">
        <f t="shared" ca="1" si="49"/>
        <v>VIGENTE</v>
      </c>
      <c r="DX20" s="13">
        <v>45063</v>
      </c>
      <c r="DY20" s="14">
        <v>45663</v>
      </c>
      <c r="DZ20" s="14">
        <f>DATE(YEAR(DY20)+2,MONTH(DY20),DAY(DY20)-1)</f>
        <v>46392</v>
      </c>
      <c r="EA20" s="65">
        <f t="shared" ca="1" si="50"/>
        <v>261</v>
      </c>
      <c r="EB20" s="15" t="str">
        <f t="shared" ca="1" si="51"/>
        <v>VIGENTE</v>
      </c>
      <c r="EC20" s="13">
        <v>44940</v>
      </c>
      <c r="ED20" s="14">
        <v>45602</v>
      </c>
      <c r="EE20" s="14">
        <f>DATE(YEAR(ED20)+2,MONTH(ED20),DAY(ED20)-1)</f>
        <v>46331</v>
      </c>
      <c r="EF20" s="65">
        <f t="shared" ca="1" si="52"/>
        <v>200</v>
      </c>
      <c r="EG20" s="15" t="str">
        <f t="shared" ca="1" si="53"/>
        <v>VIGENTE</v>
      </c>
      <c r="EH20" s="13">
        <v>45748</v>
      </c>
      <c r="EI20" s="13">
        <v>46058</v>
      </c>
      <c r="EJ20" s="13">
        <v>46059</v>
      </c>
      <c r="EK20" s="13">
        <v>46060</v>
      </c>
      <c r="EL20" s="14">
        <f t="shared" si="128"/>
        <v>46425</v>
      </c>
      <c r="EM20" s="65">
        <f t="shared" ca="1" si="54"/>
        <v>294</v>
      </c>
      <c r="EN20" s="15" t="str">
        <f t="shared" ca="1" si="55"/>
        <v>VIGENTE</v>
      </c>
      <c r="EO20" s="13">
        <v>45070</v>
      </c>
      <c r="EP20" s="14">
        <v>45671</v>
      </c>
      <c r="EQ20" s="14">
        <f t="shared" si="175"/>
        <v>46400</v>
      </c>
      <c r="ER20" s="65">
        <f t="shared" ca="1" si="56"/>
        <v>269</v>
      </c>
      <c r="ES20" s="15" t="str">
        <f t="shared" ca="1" si="57"/>
        <v>VIGENTE</v>
      </c>
      <c r="ET20" s="12">
        <v>45096</v>
      </c>
      <c r="EU20" s="14">
        <v>45735</v>
      </c>
      <c r="EV20" s="14">
        <f t="shared" si="176"/>
        <v>46464</v>
      </c>
      <c r="EW20" s="65">
        <f t="shared" ca="1" si="58"/>
        <v>333</v>
      </c>
      <c r="EX20" s="15" t="str">
        <f t="shared" ca="1" si="59"/>
        <v>VIGENTE</v>
      </c>
      <c r="EY20" s="13">
        <v>45010</v>
      </c>
      <c r="EZ20" s="14">
        <v>45694</v>
      </c>
      <c r="FA20" s="14">
        <f>DATE(YEAR(EZ20)+2,MONTH(EZ20),DAY(EZ20)-1)</f>
        <v>46423</v>
      </c>
      <c r="FB20" s="65">
        <f t="shared" ca="1" si="60"/>
        <v>292</v>
      </c>
      <c r="FC20" s="15" t="str">
        <f t="shared" ca="1" si="61"/>
        <v>VIGENTE</v>
      </c>
      <c r="FD20" s="13">
        <v>44936</v>
      </c>
      <c r="FE20" s="14">
        <v>45611</v>
      </c>
      <c r="FF20" s="14">
        <f>DATE(YEAR(FE20)+2,MONTH(FE20),DAY(FE20)-1)</f>
        <v>46340</v>
      </c>
      <c r="FG20" s="65">
        <f t="shared" ca="1" si="62"/>
        <v>209</v>
      </c>
      <c r="FH20" s="15" t="str">
        <f t="shared" ca="1" si="63"/>
        <v>VIGENTE</v>
      </c>
      <c r="FI20" s="13">
        <v>45145</v>
      </c>
      <c r="FJ20" s="14">
        <v>45790</v>
      </c>
      <c r="FK20" s="14">
        <f>DATE(YEAR(FJ20)+2,MONTH(FJ20),DAY(FJ20))</f>
        <v>46520</v>
      </c>
      <c r="FL20" s="65">
        <f t="shared" ca="1" si="64"/>
        <v>389</v>
      </c>
      <c r="FM20" s="15" t="str">
        <f t="shared" ca="1" si="65"/>
        <v>VIGENTE</v>
      </c>
      <c r="FN20" s="13">
        <v>45134</v>
      </c>
      <c r="FO20" s="14">
        <v>45771</v>
      </c>
      <c r="FP20" s="14">
        <f>DATE(YEAR(FO20)+2,MONTH(FO20),DAY(FO20))</f>
        <v>46501</v>
      </c>
      <c r="FQ20" s="65">
        <f t="shared" ca="1" si="67"/>
        <v>370</v>
      </c>
      <c r="FR20" s="15" t="str">
        <f t="shared" ca="1" si="68"/>
        <v>VIGENTE</v>
      </c>
      <c r="FS20" s="13">
        <v>44925</v>
      </c>
      <c r="FT20" s="14">
        <v>45605</v>
      </c>
      <c r="FU20" s="14">
        <f>DATE(YEAR(FT20)+2,MONTH(FT20),DAY(FT20)-1)</f>
        <v>46334</v>
      </c>
      <c r="FV20" s="65">
        <f t="shared" ca="1" si="69"/>
        <v>203</v>
      </c>
      <c r="FW20" s="15" t="str">
        <f t="shared" ca="1" si="70"/>
        <v>VIGENTE</v>
      </c>
      <c r="FX20" s="13">
        <v>44938</v>
      </c>
      <c r="FY20" s="14">
        <v>45581</v>
      </c>
      <c r="FZ20" s="14">
        <f>DATE(YEAR(FY20)+2,MONTH(FY20),DAY(FY20)-1)</f>
        <v>46310</v>
      </c>
      <c r="GA20" s="65">
        <f t="shared" ca="1" si="71"/>
        <v>179</v>
      </c>
      <c r="GB20" s="15" t="str">
        <f t="shared" ca="1" si="72"/>
        <v>VIGENTE</v>
      </c>
      <c r="GC20" s="13">
        <v>44923</v>
      </c>
      <c r="GD20" s="14">
        <v>45595</v>
      </c>
      <c r="GE20" s="14">
        <f t="shared" si="177"/>
        <v>46324</v>
      </c>
      <c r="GF20" s="65">
        <f t="shared" ca="1" si="73"/>
        <v>193</v>
      </c>
      <c r="GG20" s="15" t="str">
        <f t="shared" ca="1" si="74"/>
        <v>VIGENTE</v>
      </c>
      <c r="GH20" s="13">
        <v>44918</v>
      </c>
      <c r="GI20" s="14">
        <v>45579</v>
      </c>
      <c r="GJ20" s="14">
        <f>DATE(YEAR(GI20)+2,MONTH(GI20),DAY(GI20)-1)</f>
        <v>46308</v>
      </c>
      <c r="GK20" s="65">
        <f t="shared" ca="1" si="75"/>
        <v>177</v>
      </c>
      <c r="GL20" s="15" t="str">
        <f t="shared" ca="1" si="76"/>
        <v>VIGENTE</v>
      </c>
      <c r="GM20" s="13">
        <v>45182</v>
      </c>
      <c r="GN20" s="14">
        <v>45848</v>
      </c>
      <c r="GO20" s="14">
        <f>DATE(YEAR(GN20)+2,MONTH(GN20),DAY(GN20))</f>
        <v>46578</v>
      </c>
      <c r="GP20" s="65">
        <f t="shared" ca="1" si="77"/>
        <v>447</v>
      </c>
      <c r="GQ20" s="15" t="str">
        <f t="shared" ca="1" si="78"/>
        <v>VIGENTE</v>
      </c>
      <c r="GR20" s="14"/>
      <c r="GS20" s="14">
        <v>44952</v>
      </c>
      <c r="GT20" s="14">
        <f t="shared" si="79"/>
        <v>46778</v>
      </c>
      <c r="GU20" s="65">
        <f t="shared" ca="1" si="172"/>
        <v>647</v>
      </c>
      <c r="GV20" s="15" t="str">
        <f t="shared" ca="1" si="81"/>
        <v>VIGENTE</v>
      </c>
      <c r="GW20" s="13"/>
      <c r="GX20" s="14">
        <v>45138</v>
      </c>
      <c r="GY20" s="14">
        <f t="shared" si="82"/>
        <v>46965</v>
      </c>
      <c r="GZ20" s="65">
        <f t="shared" ca="1" si="83"/>
        <v>834</v>
      </c>
      <c r="HA20" s="15" t="str">
        <f t="shared" ca="1" si="84"/>
        <v>VIGENTE</v>
      </c>
      <c r="HB20" s="12"/>
      <c r="HC20" s="14">
        <v>45174</v>
      </c>
      <c r="HD20" s="14">
        <f t="shared" si="85"/>
        <v>47001</v>
      </c>
      <c r="HE20" s="65">
        <f t="shared" ca="1" si="86"/>
        <v>870</v>
      </c>
      <c r="HF20" s="15" t="str">
        <f t="shared" ca="1" si="87"/>
        <v>VIGENTE</v>
      </c>
      <c r="HG20" s="16"/>
      <c r="HH20" s="14"/>
      <c r="HI20" s="14"/>
      <c r="HJ20" s="65"/>
      <c r="HK20" s="15" t="str">
        <f t="shared" si="173"/>
        <v>NO APLICA</v>
      </c>
      <c r="HL20" s="12"/>
      <c r="HM20" s="16"/>
      <c r="HN20" s="14"/>
      <c r="HO20" s="65"/>
      <c r="HP20" s="15" t="str">
        <f t="shared" si="91"/>
        <v>NO APLICA</v>
      </c>
      <c r="HQ20" s="12"/>
      <c r="HR20" s="12"/>
      <c r="HS20" s="14"/>
      <c r="HT20" s="12"/>
      <c r="HU20" s="15" t="str">
        <f t="shared" si="92"/>
        <v>NO APLICA</v>
      </c>
      <c r="HV20" s="12"/>
      <c r="HW20" s="16"/>
      <c r="HX20" s="14"/>
      <c r="HY20" s="65"/>
      <c r="HZ20" s="15" t="str">
        <f t="shared" si="93"/>
        <v>NO APLICA</v>
      </c>
      <c r="IA20" s="12"/>
      <c r="IB20" s="16"/>
      <c r="IC20" s="14"/>
      <c r="ID20" s="65"/>
      <c r="IE20" s="15" t="str">
        <f t="shared" si="94"/>
        <v>NO APLICA</v>
      </c>
      <c r="IF20" s="12"/>
      <c r="IG20" s="16"/>
      <c r="IH20" s="14"/>
      <c r="II20" s="65"/>
      <c r="IJ20" s="15" t="str">
        <f t="shared" si="95"/>
        <v>NO APLICA</v>
      </c>
      <c r="IK20" s="16"/>
      <c r="IL20" s="16"/>
      <c r="IM20" s="14"/>
      <c r="IN20" s="65"/>
      <c r="IO20" s="15" t="str">
        <f t="shared" si="96"/>
        <v>NO APLICA</v>
      </c>
      <c r="IP20" s="12"/>
      <c r="IQ20" s="16"/>
      <c r="IR20" s="14"/>
      <c r="IS20" s="65"/>
      <c r="IT20" s="15" t="str">
        <f t="shared" si="97"/>
        <v>NO APLICA</v>
      </c>
      <c r="IU20" s="12"/>
      <c r="IV20" s="16"/>
      <c r="IW20" s="14"/>
      <c r="IX20" s="65"/>
      <c r="IY20" s="15" t="str">
        <f t="shared" si="98"/>
        <v>NO APLICA</v>
      </c>
      <c r="IZ20" s="12"/>
      <c r="JA20" s="16"/>
      <c r="JB20" s="14"/>
      <c r="JC20" s="65"/>
      <c r="JD20" s="15" t="str">
        <f t="shared" si="99"/>
        <v>NO APLICA</v>
      </c>
      <c r="JE20" s="13"/>
      <c r="JF20" s="13"/>
      <c r="JG20" s="14"/>
      <c r="JH20" s="65"/>
      <c r="JI20" s="15" t="str">
        <f t="shared" si="100"/>
        <v>NO APLICA</v>
      </c>
      <c r="JJ20" s="16"/>
      <c r="JK20" s="16"/>
      <c r="JL20" s="16"/>
      <c r="JM20" s="15" t="str">
        <f t="shared" si="101"/>
        <v>NO APLICA</v>
      </c>
      <c r="JN20" s="16"/>
      <c r="JO20" s="16"/>
      <c r="JP20" s="16"/>
      <c r="JQ20" s="15" t="str">
        <f t="shared" si="102"/>
        <v>NO APLICA</v>
      </c>
      <c r="JR20" s="16"/>
      <c r="JS20" s="16"/>
      <c r="JT20" s="16"/>
      <c r="JU20" s="16"/>
      <c r="JV20" s="15" t="str">
        <f t="shared" si="103"/>
        <v>NO APLICA</v>
      </c>
      <c r="JW20" s="15"/>
      <c r="JX20" s="15"/>
      <c r="JY20" s="15"/>
      <c r="JZ20" s="15"/>
      <c r="KA20" s="15" t="str">
        <f t="shared" si="104"/>
        <v>NO APLICA</v>
      </c>
      <c r="KB20" s="12"/>
      <c r="KC20" s="14"/>
      <c r="KD20" s="65"/>
      <c r="KE20" s="15" t="str">
        <f t="shared" si="105"/>
        <v>NO APLICA</v>
      </c>
      <c r="KF20" s="12"/>
      <c r="KG20" s="14"/>
      <c r="KH20" s="65"/>
      <c r="KI20" s="15" t="str">
        <f t="shared" si="132"/>
        <v>NO APLICA</v>
      </c>
      <c r="KJ20" s="12"/>
      <c r="KK20" s="14"/>
      <c r="KL20" s="65"/>
      <c r="KM20" s="15" t="str">
        <f t="shared" si="106"/>
        <v>NO APLICA</v>
      </c>
      <c r="KN20" s="12"/>
      <c r="KO20" s="14"/>
      <c r="KP20" s="65"/>
      <c r="KQ20" s="15" t="str">
        <f t="shared" si="133"/>
        <v>NO APLICA</v>
      </c>
      <c r="KR20" s="12"/>
      <c r="KS20" s="16"/>
      <c r="KT20" s="14"/>
      <c r="KU20" s="65"/>
      <c r="KV20" s="15" t="str">
        <f t="shared" si="147"/>
        <v>NO APLICA</v>
      </c>
      <c r="KW20" s="16"/>
      <c r="KX20" s="14"/>
      <c r="KY20" s="65"/>
      <c r="KZ20" s="15" t="str">
        <f t="shared" si="134"/>
        <v>NO APLICA</v>
      </c>
      <c r="LA20" s="16"/>
      <c r="LB20" s="16"/>
      <c r="LC20" s="14"/>
      <c r="LD20" s="65"/>
      <c r="LE20" s="15" t="str">
        <f t="shared" si="107"/>
        <v>NO APLICA</v>
      </c>
      <c r="LF20" s="15"/>
      <c r="LG20" s="15"/>
      <c r="LH20" s="14"/>
      <c r="LI20" s="65"/>
      <c r="LJ20" s="15" t="str">
        <f t="shared" si="148"/>
        <v>NO APLICA</v>
      </c>
      <c r="LK20" s="12"/>
      <c r="LL20" s="16"/>
      <c r="LM20" s="14"/>
      <c r="LN20" s="65"/>
      <c r="LO20" s="15" t="str">
        <f t="shared" si="135"/>
        <v>NO APLICA</v>
      </c>
      <c r="LP20" s="16"/>
      <c r="LQ20" s="16"/>
      <c r="LR20" s="14"/>
      <c r="LS20" s="65"/>
      <c r="LT20" s="15" t="str">
        <f t="shared" si="136"/>
        <v>NO APLICA</v>
      </c>
      <c r="LU20" s="16"/>
      <c r="LV20" s="16"/>
      <c r="LW20" s="14"/>
      <c r="LX20" s="65"/>
      <c r="LY20" s="15" t="str">
        <f t="shared" si="137"/>
        <v>NO APLICA</v>
      </c>
      <c r="LZ20" s="12"/>
      <c r="MA20" s="12"/>
      <c r="MB20" s="14"/>
      <c r="MC20" s="65"/>
      <c r="MD20" s="15" t="str">
        <f t="shared" si="108"/>
        <v>NO APLICA</v>
      </c>
      <c r="ME20" s="12"/>
      <c r="MF20" s="12"/>
      <c r="MG20" s="14"/>
      <c r="MH20" s="65"/>
      <c r="MI20" s="15" t="str">
        <f t="shared" si="109"/>
        <v>NO APLICA</v>
      </c>
      <c r="MJ20" s="12"/>
      <c r="MK20" s="14"/>
      <c r="ML20" s="65"/>
      <c r="MM20" s="15" t="str">
        <f t="shared" si="110"/>
        <v>NO APLICA</v>
      </c>
      <c r="MN20" s="12"/>
      <c r="MO20" s="14"/>
      <c r="MP20" s="12"/>
      <c r="MQ20" s="15" t="str">
        <f t="shared" si="111"/>
        <v>NO APLICA</v>
      </c>
      <c r="MR20" s="12"/>
      <c r="MS20" s="16"/>
      <c r="MT20" s="14"/>
      <c r="MU20" s="65"/>
      <c r="MV20" s="15" t="str">
        <f t="shared" si="112"/>
        <v>NO APLICA</v>
      </c>
      <c r="MW20" s="12"/>
      <c r="MX20" s="16"/>
      <c r="MY20" s="14"/>
      <c r="MZ20" s="65"/>
      <c r="NA20" s="15" t="str">
        <f t="shared" si="113"/>
        <v>NO APLICA</v>
      </c>
      <c r="NB20" s="12"/>
      <c r="NC20" s="16"/>
      <c r="ND20" s="14"/>
      <c r="NE20" s="65"/>
      <c r="NF20" s="15" t="str">
        <f t="shared" si="114"/>
        <v>NO APLICA</v>
      </c>
      <c r="NG20" s="12"/>
      <c r="NH20" s="12"/>
      <c r="NI20" s="14"/>
      <c r="NJ20" s="12"/>
      <c r="NK20" s="15" t="str">
        <f t="shared" si="115"/>
        <v>NO APLICA</v>
      </c>
      <c r="NL20" s="12"/>
      <c r="NM20" s="12"/>
      <c r="NN20" s="14"/>
      <c r="NO20" s="12"/>
      <c r="NP20" s="15" t="str">
        <f t="shared" si="116"/>
        <v>NO APLICA</v>
      </c>
      <c r="NQ20" s="16"/>
      <c r="NR20" s="16"/>
      <c r="NS20" s="14"/>
      <c r="NT20" s="65"/>
      <c r="NU20" s="15" t="str">
        <f t="shared" si="117"/>
        <v>NO APLICA</v>
      </c>
      <c r="NV20" s="16"/>
      <c r="NW20" s="16"/>
      <c r="NX20" s="16"/>
      <c r="NY20" s="16"/>
      <c r="NZ20" s="15" t="str">
        <f t="shared" si="118"/>
        <v>NO APLICA</v>
      </c>
    </row>
    <row r="21" spans="1:390" ht="15.6" thickTop="1" thickBot="1" x14ac:dyDescent="0.35">
      <c r="A21" s="9">
        <v>730</v>
      </c>
      <c r="B21" s="10" t="s">
        <v>167</v>
      </c>
      <c r="C21" s="21" t="s">
        <v>104</v>
      </c>
      <c r="D21" s="64" t="s">
        <v>168</v>
      </c>
      <c r="E21" s="15"/>
      <c r="F21" s="16"/>
      <c r="G21" s="14"/>
      <c r="H21" s="65"/>
      <c r="I21" s="15" t="str">
        <f t="shared" si="0"/>
        <v>NO APLICA</v>
      </c>
      <c r="J21" s="15"/>
      <c r="K21" s="16"/>
      <c r="L21" s="16"/>
      <c r="M21" s="65"/>
      <c r="N21" s="15" t="str">
        <f t="shared" si="1"/>
        <v>NO APLICA</v>
      </c>
      <c r="O21" s="16"/>
      <c r="P21" s="16"/>
      <c r="Q21" s="14"/>
      <c r="R21" s="65"/>
      <c r="S21" s="15" t="str">
        <f t="shared" si="119"/>
        <v>NO APLICA</v>
      </c>
      <c r="T21" s="12" t="s">
        <v>169</v>
      </c>
      <c r="U21" s="13">
        <v>45400</v>
      </c>
      <c r="V21" s="14">
        <v>45401</v>
      </c>
      <c r="W21" s="14">
        <f t="shared" si="2"/>
        <v>47227</v>
      </c>
      <c r="X21" s="65">
        <f t="shared" ca="1" si="3"/>
        <v>1096</v>
      </c>
      <c r="Y21" s="15" t="str">
        <f t="shared" ca="1" si="4"/>
        <v>VIGENTE</v>
      </c>
      <c r="Z21" s="12" t="s">
        <v>170</v>
      </c>
      <c r="AA21" s="13">
        <v>44602</v>
      </c>
      <c r="AB21" s="14">
        <v>44603</v>
      </c>
      <c r="AC21" s="14">
        <f>DATE(YEAR(AB21)+5,MONTH(AB21),DAY(AB21))</f>
        <v>46429</v>
      </c>
      <c r="AD21" s="65">
        <f ca="1">AC21-TODAY()</f>
        <v>298</v>
      </c>
      <c r="AE21" s="15" t="str">
        <f t="shared" ca="1" si="7"/>
        <v>VIGENTE</v>
      </c>
      <c r="AF21" s="13">
        <v>44948</v>
      </c>
      <c r="AG21" s="14">
        <v>45594</v>
      </c>
      <c r="AH21" s="14">
        <f>DATE(YEAR(AG21)+2,MONTH(AG21),DAY(AG21)-1)</f>
        <v>46323</v>
      </c>
      <c r="AI21" s="65">
        <f t="shared" ca="1" si="8"/>
        <v>192</v>
      </c>
      <c r="AJ21" s="15" t="str">
        <f t="shared" ca="1" si="9"/>
        <v>VIGENTE</v>
      </c>
      <c r="AK21" s="13">
        <v>45269</v>
      </c>
      <c r="AL21" s="14">
        <v>45959</v>
      </c>
      <c r="AM21" s="14">
        <f t="shared" si="178"/>
        <v>46689</v>
      </c>
      <c r="AN21" s="65">
        <f t="shared" ca="1" si="10"/>
        <v>558</v>
      </c>
      <c r="AO21" s="15" t="str">
        <f t="shared" ca="1" si="11"/>
        <v>VIGENTE</v>
      </c>
      <c r="AP21" s="13">
        <v>45298</v>
      </c>
      <c r="AQ21" s="14">
        <v>45967</v>
      </c>
      <c r="AR21" s="14">
        <f t="shared" si="174"/>
        <v>46697</v>
      </c>
      <c r="AS21" s="65">
        <f t="shared" ca="1" si="12"/>
        <v>566</v>
      </c>
      <c r="AT21" s="15" t="str">
        <f t="shared" ca="1" si="13"/>
        <v>VIGENTE</v>
      </c>
      <c r="AU21" s="13">
        <v>45323</v>
      </c>
      <c r="AV21" s="14">
        <v>45972</v>
      </c>
      <c r="AW21" s="14">
        <f>DATE(YEAR(AV21)+2,MONTH(AV21),DAY(AV21))</f>
        <v>46702</v>
      </c>
      <c r="AX21" s="65">
        <f t="shared" ca="1" si="15"/>
        <v>571</v>
      </c>
      <c r="AY21" s="15" t="str">
        <f t="shared" ca="1" si="16"/>
        <v>VIGENTE</v>
      </c>
      <c r="AZ21" s="13">
        <v>45038</v>
      </c>
      <c r="BA21" s="14">
        <v>45708</v>
      </c>
      <c r="BB21" s="14">
        <f>DATE(YEAR(BA21)+2,MONTH(BA21),DAY(BA21)-1)</f>
        <v>46437</v>
      </c>
      <c r="BC21" s="65">
        <f t="shared" ca="1" si="17"/>
        <v>306</v>
      </c>
      <c r="BD21" s="15" t="str">
        <f t="shared" ca="1" si="18"/>
        <v>VIGENTE</v>
      </c>
      <c r="BE21" s="13">
        <v>45302</v>
      </c>
      <c r="BF21" s="14">
        <v>45968</v>
      </c>
      <c r="BG21" s="14">
        <f>DATE(YEAR(BF21)+2,MONTH(BF21),DAY(BF21))</f>
        <v>46698</v>
      </c>
      <c r="BH21" s="65">
        <f t="shared" ca="1" si="19"/>
        <v>567</v>
      </c>
      <c r="BI21" s="15" t="str">
        <f t="shared" ca="1" si="20"/>
        <v>VIGENTE</v>
      </c>
      <c r="BJ21" s="13">
        <v>45348</v>
      </c>
      <c r="BK21" s="14">
        <v>46017</v>
      </c>
      <c r="BL21" s="14">
        <f>DATE(YEAR(BK21)+2,MONTH(BK21),DAY(BK21))</f>
        <v>46747</v>
      </c>
      <c r="BM21" s="65">
        <f t="shared" ca="1" si="21"/>
        <v>616</v>
      </c>
      <c r="BN21" s="15" t="str">
        <f t="shared" ca="1" si="22"/>
        <v>VIGENTE</v>
      </c>
      <c r="BO21" s="13">
        <v>44747</v>
      </c>
      <c r="BP21" s="14">
        <v>46069</v>
      </c>
      <c r="BQ21" s="14">
        <f>DATE(YEAR(BP21)+2,MONTH(BP21),DAY(BP21))</f>
        <v>46799</v>
      </c>
      <c r="BR21" s="65">
        <f t="shared" ca="1" si="23"/>
        <v>668</v>
      </c>
      <c r="BS21" s="15" t="str">
        <f t="shared" ca="1" si="24"/>
        <v>VIGENTE</v>
      </c>
      <c r="BT21" s="13">
        <v>44811</v>
      </c>
      <c r="BU21" s="14">
        <v>45484</v>
      </c>
      <c r="BV21" s="14">
        <f t="shared" si="179"/>
        <v>46213</v>
      </c>
      <c r="BW21" s="65">
        <f t="shared" ca="1" si="25"/>
        <v>82</v>
      </c>
      <c r="BX21" s="15" t="str">
        <f t="shared" ca="1" si="26"/>
        <v>POR VENCER</v>
      </c>
      <c r="BY21" s="13">
        <v>44613</v>
      </c>
      <c r="BZ21" s="14">
        <v>45944</v>
      </c>
      <c r="CA21" s="14">
        <f t="shared" si="180"/>
        <v>46674</v>
      </c>
      <c r="CB21" s="65">
        <f t="shared" ca="1" si="27"/>
        <v>543</v>
      </c>
      <c r="CC21" s="15" t="str">
        <f t="shared" ca="1" si="28"/>
        <v>VIGENTE</v>
      </c>
      <c r="CD21" s="16" t="s">
        <v>108</v>
      </c>
      <c r="CE21" s="14">
        <v>45240</v>
      </c>
      <c r="CF21" s="14">
        <v>45241</v>
      </c>
      <c r="CG21" s="14">
        <f t="shared" si="29"/>
        <v>46702</v>
      </c>
      <c r="CH21" s="65">
        <f t="shared" ca="1" si="30"/>
        <v>571</v>
      </c>
      <c r="CI21" s="15" t="str">
        <f t="shared" ca="1" si="31"/>
        <v>VIGENTE</v>
      </c>
      <c r="CJ21" s="16">
        <v>45103</v>
      </c>
      <c r="CK21" s="14">
        <v>45763</v>
      </c>
      <c r="CL21" s="14">
        <f>DATE(YEAR(CK21)+2,MONTH(CK21),DAY(CK21))</f>
        <v>46493</v>
      </c>
      <c r="CM21" s="65">
        <f t="shared" ca="1" si="32"/>
        <v>362</v>
      </c>
      <c r="CN21" s="15" t="str">
        <f t="shared" ca="1" si="33"/>
        <v>VIGENTE</v>
      </c>
      <c r="CO21" s="13">
        <v>44900</v>
      </c>
      <c r="CP21" s="14">
        <v>45517</v>
      </c>
      <c r="CQ21" s="14">
        <f>DATE(YEAR(CP21)+2,MONTH(CP21),DAY(CP21)-1)</f>
        <v>46246</v>
      </c>
      <c r="CR21" s="65">
        <f t="shared" ca="1" si="34"/>
        <v>115</v>
      </c>
      <c r="CS21" s="15" t="str">
        <f t="shared" ca="1" si="35"/>
        <v>VIGENTE</v>
      </c>
      <c r="CT21" s="13">
        <v>44970</v>
      </c>
      <c r="CU21" s="14">
        <v>45645</v>
      </c>
      <c r="CV21" s="14">
        <f>DATE(YEAR(CU21)+2,MONTH(CU21),DAY(CU21)-1)</f>
        <v>46374</v>
      </c>
      <c r="CW21" s="65">
        <f t="shared" ca="1" si="36"/>
        <v>243</v>
      </c>
      <c r="CX21" s="15" t="str">
        <f t="shared" ca="1" si="37"/>
        <v>VIGENTE</v>
      </c>
      <c r="CY21" s="13">
        <v>44991</v>
      </c>
      <c r="CZ21" s="14">
        <v>45661</v>
      </c>
      <c r="DA21" s="14">
        <f>DATE(YEAR(CZ21)+2,MONTH(CZ21),DAY(CZ21)-1)</f>
        <v>46390</v>
      </c>
      <c r="DB21" s="65">
        <f t="shared" ca="1" si="38"/>
        <v>259</v>
      </c>
      <c r="DC21" s="15" t="str">
        <f t="shared" ca="1" si="39"/>
        <v>VIGENTE</v>
      </c>
      <c r="DD21" s="13">
        <v>45027</v>
      </c>
      <c r="DE21" s="14">
        <v>45689</v>
      </c>
      <c r="DF21" s="14">
        <f>DATE(YEAR(DE21)+2,MONTH(DE21),DAY(DE21)-1)</f>
        <v>46418</v>
      </c>
      <c r="DG21" s="65">
        <f t="shared" ca="1" si="40"/>
        <v>287</v>
      </c>
      <c r="DH21" s="15" t="str">
        <f t="shared" ca="1" si="41"/>
        <v>VIGENTE</v>
      </c>
      <c r="DI21" s="13">
        <v>45058</v>
      </c>
      <c r="DJ21" s="14">
        <v>45696</v>
      </c>
      <c r="DK21" s="14">
        <f>DATE(YEAR(DJ21)+2,MONTH(DJ21),DAY(DJ21)-1)</f>
        <v>46425</v>
      </c>
      <c r="DL21" s="65">
        <f t="shared" ca="1" si="43"/>
        <v>294</v>
      </c>
      <c r="DM21" s="15" t="str">
        <f t="shared" ca="1" si="44"/>
        <v>VIGENTE</v>
      </c>
      <c r="DN21" s="13">
        <v>45127</v>
      </c>
      <c r="DO21" s="14">
        <v>45731</v>
      </c>
      <c r="DP21" s="14">
        <f>DATE(YEAR(DO21)+2,MONTH(DO21),DAY(DO21)-1)</f>
        <v>46460</v>
      </c>
      <c r="DQ21" s="65">
        <f t="shared" ca="1" si="46"/>
        <v>329</v>
      </c>
      <c r="DR21" s="15" t="str">
        <f t="shared" ca="1" si="47"/>
        <v>VIGENTE</v>
      </c>
      <c r="DS21" s="13">
        <v>45079</v>
      </c>
      <c r="DT21" s="14">
        <v>45728</v>
      </c>
      <c r="DU21" s="14">
        <f>DATE(YEAR(DT21)+2,MONTH(DT21),DAY(DT21)-1)</f>
        <v>46457</v>
      </c>
      <c r="DV21" s="65">
        <f t="shared" ca="1" si="48"/>
        <v>326</v>
      </c>
      <c r="DW21" s="15" t="str">
        <f t="shared" ca="1" si="49"/>
        <v>VIGENTE</v>
      </c>
      <c r="DX21" s="13">
        <v>45089</v>
      </c>
      <c r="DY21" s="14">
        <v>45751</v>
      </c>
      <c r="DZ21" s="14">
        <f>DATE(YEAR(DY21)+2,MONTH(DY21),DAY(DY21)-1)</f>
        <v>46480</v>
      </c>
      <c r="EA21" s="65">
        <f t="shared" ca="1" si="50"/>
        <v>349</v>
      </c>
      <c r="EB21" s="15" t="str">
        <f t="shared" ca="1" si="51"/>
        <v>VIGENTE</v>
      </c>
      <c r="EC21" s="13">
        <v>44994</v>
      </c>
      <c r="ED21" s="14">
        <v>45674</v>
      </c>
      <c r="EE21" s="14">
        <f>DATE(YEAR(ED21)+2,MONTH(ED21),DAY(ED21)-1)</f>
        <v>46403</v>
      </c>
      <c r="EF21" s="65">
        <f t="shared" ca="1" si="52"/>
        <v>272</v>
      </c>
      <c r="EG21" s="15" t="str">
        <f t="shared" ca="1" si="53"/>
        <v>VIGENTE</v>
      </c>
      <c r="EH21" s="13">
        <v>45675</v>
      </c>
      <c r="EI21" s="13">
        <v>45806</v>
      </c>
      <c r="EJ21" s="13">
        <v>45807</v>
      </c>
      <c r="EK21" s="14">
        <v>45808</v>
      </c>
      <c r="EL21" s="14">
        <f t="shared" si="128"/>
        <v>46173</v>
      </c>
      <c r="EM21" s="65">
        <f t="shared" ca="1" si="54"/>
        <v>42</v>
      </c>
      <c r="EN21" s="15" t="str">
        <f t="shared" ca="1" si="55"/>
        <v>POR VENCER</v>
      </c>
      <c r="EO21" s="13">
        <v>44993</v>
      </c>
      <c r="EP21" s="14">
        <v>45660</v>
      </c>
      <c r="EQ21" s="14">
        <f t="shared" si="175"/>
        <v>46389</v>
      </c>
      <c r="ER21" s="65">
        <f t="shared" ca="1" si="56"/>
        <v>258</v>
      </c>
      <c r="ES21" s="15" t="str">
        <f t="shared" ca="1" si="57"/>
        <v>VIGENTE</v>
      </c>
      <c r="ET21" s="13">
        <v>45003</v>
      </c>
      <c r="EU21" s="14">
        <v>45677</v>
      </c>
      <c r="EV21" s="14">
        <f t="shared" si="176"/>
        <v>46406</v>
      </c>
      <c r="EW21" s="65">
        <f t="shared" ca="1" si="58"/>
        <v>275</v>
      </c>
      <c r="EX21" s="15" t="str">
        <f t="shared" ca="1" si="59"/>
        <v>VIGENTE</v>
      </c>
      <c r="EY21" s="13">
        <v>45299</v>
      </c>
      <c r="EZ21" s="14">
        <v>45973</v>
      </c>
      <c r="FA21" s="14">
        <f>DATE(YEAR(EZ21)+2,MONTH(EZ21),DAY(EZ21))</f>
        <v>46703</v>
      </c>
      <c r="FB21" s="65">
        <f t="shared" ca="1" si="60"/>
        <v>572</v>
      </c>
      <c r="FC21" s="15" t="str">
        <f t="shared" ca="1" si="61"/>
        <v>VIGENTE</v>
      </c>
      <c r="FD21" s="13">
        <v>44615</v>
      </c>
      <c r="FE21" s="14">
        <v>45951</v>
      </c>
      <c r="FF21" s="14">
        <f>DATE(YEAR(FE21)+2,MONTH(FE21),DAY(FE21))</f>
        <v>46681</v>
      </c>
      <c r="FG21" s="65">
        <f t="shared" ca="1" si="62"/>
        <v>550</v>
      </c>
      <c r="FH21" s="15" t="str">
        <f t="shared" ca="1" si="63"/>
        <v>VIGENTE</v>
      </c>
      <c r="FI21" s="13">
        <v>45282</v>
      </c>
      <c r="FJ21" s="14">
        <v>45932</v>
      </c>
      <c r="FK21" s="14">
        <f>DATE(YEAR(FJ21)+2,MONTH(FJ21),DAY(FJ21))</f>
        <v>46662</v>
      </c>
      <c r="FL21" s="65">
        <f t="shared" ca="1" si="64"/>
        <v>531</v>
      </c>
      <c r="FM21" s="15" t="str">
        <f t="shared" ca="1" si="65"/>
        <v>VIGENTE</v>
      </c>
      <c r="FN21" s="13">
        <v>44567</v>
      </c>
      <c r="FO21" s="14">
        <v>45933</v>
      </c>
      <c r="FP21" s="14">
        <f>DATE(YEAR(FO21)+2,MONTH(FO21),DAY(FO21))</f>
        <v>46663</v>
      </c>
      <c r="FQ21" s="65">
        <f t="shared" ca="1" si="67"/>
        <v>532</v>
      </c>
      <c r="FR21" s="15" t="str">
        <f t="shared" ca="1" si="68"/>
        <v>VIGENTE</v>
      </c>
      <c r="FS21" s="13">
        <v>45338</v>
      </c>
      <c r="FT21" s="14">
        <v>45957</v>
      </c>
      <c r="FU21" s="14">
        <f>DATE(YEAR(FT21)+2,MONTH(FT21),DAY(FT21))</f>
        <v>46687</v>
      </c>
      <c r="FV21" s="65">
        <f t="shared" ca="1" si="69"/>
        <v>556</v>
      </c>
      <c r="FW21" s="15" t="str">
        <f t="shared" ca="1" si="70"/>
        <v>VIGENTE</v>
      </c>
      <c r="FX21" s="13">
        <v>44616</v>
      </c>
      <c r="FY21" s="14">
        <v>46014</v>
      </c>
      <c r="FZ21" s="14">
        <f>DATE(YEAR(FY21)+2,MONTH(FY21),DAY(FY21))</f>
        <v>46744</v>
      </c>
      <c r="GA21" s="65">
        <f t="shared" ca="1" si="71"/>
        <v>613</v>
      </c>
      <c r="GB21" s="15" t="str">
        <f t="shared" ca="1" si="72"/>
        <v>VIGENTE</v>
      </c>
      <c r="GC21" s="13">
        <v>45036</v>
      </c>
      <c r="GD21" s="14">
        <v>45667</v>
      </c>
      <c r="GE21" s="14">
        <f t="shared" si="177"/>
        <v>46396</v>
      </c>
      <c r="GF21" s="65">
        <f t="shared" ca="1" si="73"/>
        <v>265</v>
      </c>
      <c r="GG21" s="15" t="str">
        <f t="shared" ca="1" si="74"/>
        <v>VIGENTE</v>
      </c>
      <c r="GH21" s="13">
        <v>44996</v>
      </c>
      <c r="GI21" s="14">
        <v>45672</v>
      </c>
      <c r="GJ21" s="14">
        <f>DATE(YEAR(GI21)+2,MONTH(GI21),DAY(GI21)-1)</f>
        <v>46401</v>
      </c>
      <c r="GK21" s="65">
        <f t="shared" ca="1" si="75"/>
        <v>270</v>
      </c>
      <c r="GL21" s="15" t="str">
        <f t="shared" ca="1" si="76"/>
        <v>VIGENTE</v>
      </c>
      <c r="GM21" s="13">
        <v>44567</v>
      </c>
      <c r="GN21" s="14">
        <v>45945</v>
      </c>
      <c r="GO21" s="14">
        <f>DATE(YEAR(GN21)+2,MONTH(GN21),DAY(GN21))</f>
        <v>46675</v>
      </c>
      <c r="GP21" s="65">
        <f t="shared" ca="1" si="77"/>
        <v>544</v>
      </c>
      <c r="GQ21" s="15" t="str">
        <f t="shared" ca="1" si="78"/>
        <v>VIGENTE</v>
      </c>
      <c r="GR21" s="14">
        <v>44571</v>
      </c>
      <c r="GS21" s="14">
        <v>45295</v>
      </c>
      <c r="GT21" s="14">
        <f t="shared" si="79"/>
        <v>47122</v>
      </c>
      <c r="GU21" s="65">
        <f t="shared" ca="1" si="172"/>
        <v>991</v>
      </c>
      <c r="GV21" s="15" t="str">
        <f t="shared" ca="1" si="81"/>
        <v>VIGENTE</v>
      </c>
      <c r="GW21" s="13">
        <v>44573</v>
      </c>
      <c r="GX21" s="14">
        <v>45254</v>
      </c>
      <c r="GY21" s="14">
        <f t="shared" si="82"/>
        <v>47081</v>
      </c>
      <c r="GZ21" s="65">
        <f t="shared" ca="1" si="83"/>
        <v>950</v>
      </c>
      <c r="HA21" s="15" t="str">
        <f t="shared" ca="1" si="84"/>
        <v>VIGENTE</v>
      </c>
      <c r="HB21" s="13">
        <v>44565</v>
      </c>
      <c r="HC21" s="14">
        <v>45268</v>
      </c>
      <c r="HD21" s="14">
        <f t="shared" si="85"/>
        <v>47095</v>
      </c>
      <c r="HE21" s="65">
        <f t="shared" ca="1" si="86"/>
        <v>964</v>
      </c>
      <c r="HF21" s="15" t="str">
        <f t="shared" ca="1" si="87"/>
        <v>VIGENTE</v>
      </c>
      <c r="HG21" s="16"/>
      <c r="HH21" s="14">
        <v>44879</v>
      </c>
      <c r="HI21" s="14">
        <f>DATE(YEAR(HH21)+5,MONTH(HH21),DAY(HH21))</f>
        <v>46705</v>
      </c>
      <c r="HJ21" s="65">
        <f ca="1">HI21-TODAY()</f>
        <v>574</v>
      </c>
      <c r="HK21" s="15" t="str">
        <f t="shared" ca="1" si="173"/>
        <v>VIGENTE</v>
      </c>
      <c r="HL21" s="12"/>
      <c r="HM21" s="14">
        <v>45331</v>
      </c>
      <c r="HN21" s="14">
        <f>DATE(YEAR(HM21)+5,MONTH(HM21),DAY(HM21))</f>
        <v>47158</v>
      </c>
      <c r="HO21" s="65">
        <f ca="1">HN21-TODAY()</f>
        <v>1027</v>
      </c>
      <c r="HP21" s="15" t="str">
        <f t="shared" ca="1" si="91"/>
        <v>VIGENTE</v>
      </c>
      <c r="HQ21" s="12"/>
      <c r="HR21" s="13">
        <v>45374</v>
      </c>
      <c r="HS21" s="14">
        <f>DATE(YEAR(HR21)+5,MONTH(HR21),DAY(HR21))</f>
        <v>47200</v>
      </c>
      <c r="HT21" s="65">
        <f ca="1">HS21-TODAY()</f>
        <v>1069</v>
      </c>
      <c r="HU21" s="15" t="str">
        <f t="shared" ca="1" si="92"/>
        <v>VIGENTE</v>
      </c>
      <c r="HV21" s="13">
        <v>44634</v>
      </c>
      <c r="HW21" s="14">
        <v>45243</v>
      </c>
      <c r="HX21" s="14">
        <f>DATE(YEAR(HW21)+5,MONTH(HW21),DAY(HW21))</f>
        <v>47070</v>
      </c>
      <c r="HY21" s="65">
        <f ca="1">HX21-TODAY()</f>
        <v>939</v>
      </c>
      <c r="HZ21" s="15" t="str">
        <f t="shared" ca="1" si="93"/>
        <v>VIGENTE</v>
      </c>
      <c r="IA21" s="13">
        <v>44793</v>
      </c>
      <c r="IB21" s="14">
        <v>45428</v>
      </c>
      <c r="IC21" s="14">
        <f>DATE(YEAR(IB21)+5,MONTH(IB21),DAY(IB21))</f>
        <v>47254</v>
      </c>
      <c r="ID21" s="65">
        <f ca="1">IC21-TODAY()</f>
        <v>1123</v>
      </c>
      <c r="IE21" s="15" t="str">
        <f t="shared" ca="1" si="94"/>
        <v>VIGENTE</v>
      </c>
      <c r="IF21" s="13">
        <v>44792</v>
      </c>
      <c r="IG21" s="14">
        <v>45470</v>
      </c>
      <c r="IH21" s="14">
        <f>DATE(YEAR(IG21)+5,MONTH(IG21),DAY(IG21))</f>
        <v>47296</v>
      </c>
      <c r="II21" s="65">
        <f ca="1">IH21-TODAY()</f>
        <v>1165</v>
      </c>
      <c r="IJ21" s="15" t="str">
        <f t="shared" ca="1" si="95"/>
        <v>VIGENTE</v>
      </c>
      <c r="IK21" s="14">
        <v>44791</v>
      </c>
      <c r="IL21" s="14">
        <v>45452</v>
      </c>
      <c r="IM21" s="14">
        <f>DATE(YEAR(IL21)+5,MONTH(IL21),DAY(IL21))</f>
        <v>47278</v>
      </c>
      <c r="IN21" s="65">
        <f ca="1">IM21-TODAY()</f>
        <v>1147</v>
      </c>
      <c r="IO21" s="15" t="str">
        <f t="shared" ca="1" si="96"/>
        <v>VIGENTE</v>
      </c>
      <c r="IP21" s="13">
        <v>44793</v>
      </c>
      <c r="IQ21" s="14">
        <v>45453</v>
      </c>
      <c r="IR21" s="14">
        <f>DATE(YEAR(IQ21)+5,MONTH(IQ21),DAY(IQ21))</f>
        <v>47279</v>
      </c>
      <c r="IS21" s="65">
        <f ca="1">IR21-TODAY()</f>
        <v>1148</v>
      </c>
      <c r="IT21" s="15" t="str">
        <f t="shared" ca="1" si="97"/>
        <v>VIGENTE</v>
      </c>
      <c r="IU21" s="13">
        <v>44792</v>
      </c>
      <c r="IV21" s="14">
        <v>45489</v>
      </c>
      <c r="IW21" s="14">
        <f>DATE(YEAR(IV21)+5,MONTH(IV21),DAY(IV21))</f>
        <v>47315</v>
      </c>
      <c r="IX21" s="65">
        <f ca="1">IW21-TODAY()</f>
        <v>1184</v>
      </c>
      <c r="IY21" s="15" t="str">
        <f t="shared" ca="1" si="98"/>
        <v>VIGENTE</v>
      </c>
      <c r="IZ21" s="13">
        <v>44791</v>
      </c>
      <c r="JA21" s="14">
        <v>45477</v>
      </c>
      <c r="JB21" s="14">
        <f>DATE(YEAR(JA21)+5,MONTH(JA21),DAY(JA21))</f>
        <v>47303</v>
      </c>
      <c r="JC21" s="65">
        <f ca="1">JB21-TODAY()</f>
        <v>1172</v>
      </c>
      <c r="JD21" s="15" t="str">
        <f t="shared" ca="1" si="99"/>
        <v>VIGENTE</v>
      </c>
      <c r="JE21" s="13"/>
      <c r="JF21" s="13"/>
      <c r="JG21" s="14"/>
      <c r="JH21" s="65"/>
      <c r="JI21" s="15" t="str">
        <f t="shared" si="100"/>
        <v>NO APLICA</v>
      </c>
      <c r="JJ21" s="16"/>
      <c r="JK21" s="16"/>
      <c r="JL21" s="16"/>
      <c r="JM21" s="15" t="str">
        <f t="shared" si="101"/>
        <v>NO APLICA</v>
      </c>
      <c r="JN21" s="16"/>
      <c r="JO21" s="16"/>
      <c r="JP21" s="16"/>
      <c r="JQ21" s="15" t="str">
        <f t="shared" si="102"/>
        <v>NO APLICA</v>
      </c>
      <c r="JR21" s="16"/>
      <c r="JS21" s="16"/>
      <c r="JT21" s="16"/>
      <c r="JU21" s="16"/>
      <c r="JV21" s="15" t="str">
        <f t="shared" si="103"/>
        <v>NO APLICA</v>
      </c>
      <c r="JW21" s="15"/>
      <c r="JX21" s="13">
        <v>45948</v>
      </c>
      <c r="JY21" s="14">
        <f>DATE(YEAR(JX21)+2,MONTH(JX21),DAY(JX21))</f>
        <v>46678</v>
      </c>
      <c r="JZ21" s="65">
        <f ca="1">JY21-TODAY()</f>
        <v>547</v>
      </c>
      <c r="KA21" s="15" t="str">
        <f t="shared" ca="1" si="104"/>
        <v>VIGENTE</v>
      </c>
      <c r="KB21" s="15"/>
      <c r="KC21" s="14"/>
      <c r="KD21" s="65"/>
      <c r="KE21" s="15" t="str">
        <f t="shared" si="105"/>
        <v>NO APLICA</v>
      </c>
      <c r="KF21" s="15"/>
      <c r="KG21" s="14"/>
      <c r="KH21" s="65"/>
      <c r="KI21" s="15" t="str">
        <f t="shared" si="132"/>
        <v>NO APLICA</v>
      </c>
      <c r="KJ21" s="15"/>
      <c r="KK21" s="14"/>
      <c r="KL21" s="65"/>
      <c r="KM21" s="15" t="str">
        <f t="shared" si="106"/>
        <v>NO APLICA</v>
      </c>
      <c r="KN21" s="12"/>
      <c r="KO21" s="14"/>
      <c r="KP21" s="65"/>
      <c r="KQ21" s="15" t="str">
        <f t="shared" si="133"/>
        <v>NO APLICA</v>
      </c>
      <c r="KR21" s="13">
        <v>44652</v>
      </c>
      <c r="KS21" s="14">
        <v>44653</v>
      </c>
      <c r="KT21" s="14">
        <f>DATE(YEAR(KS21)+5,MONTH(KS21),DAY(KS21))</f>
        <v>46479</v>
      </c>
      <c r="KU21" s="65">
        <f ca="1">KT21-TODAY()</f>
        <v>348</v>
      </c>
      <c r="KV21" s="15" t="str">
        <f t="shared" ca="1" si="147"/>
        <v>VIGENTE</v>
      </c>
      <c r="KW21" s="16"/>
      <c r="KX21" s="14"/>
      <c r="KY21" s="65"/>
      <c r="KZ21" s="15" t="str">
        <f t="shared" si="134"/>
        <v>NO APLICA</v>
      </c>
      <c r="LA21" s="16"/>
      <c r="LB21" s="14">
        <v>45509</v>
      </c>
      <c r="LC21" s="14">
        <f>DATE(YEAR(LB21)+2,MONTH(LB21),DAY(LB21))</f>
        <v>46239</v>
      </c>
      <c r="LD21" s="65">
        <f ca="1">LC21-TODAY()</f>
        <v>108</v>
      </c>
      <c r="LE21" s="15" t="str">
        <f t="shared" ca="1" si="107"/>
        <v>VIGENTE</v>
      </c>
      <c r="LF21" s="15"/>
      <c r="LG21" s="15"/>
      <c r="LH21" s="14"/>
      <c r="LI21" s="65"/>
      <c r="LJ21" s="15" t="str">
        <f t="shared" si="148"/>
        <v>NO APLICA</v>
      </c>
      <c r="LK21" s="15"/>
      <c r="LL21" s="16"/>
      <c r="LM21" s="14"/>
      <c r="LN21" s="65"/>
      <c r="LO21" s="15" t="str">
        <f t="shared" si="135"/>
        <v>NO APLICA</v>
      </c>
      <c r="LP21" s="16"/>
      <c r="LQ21" s="16"/>
      <c r="LR21" s="14"/>
      <c r="LS21" s="65"/>
      <c r="LT21" s="15" t="str">
        <f t="shared" si="136"/>
        <v>NO APLICA</v>
      </c>
      <c r="LU21" s="16"/>
      <c r="LV21" s="16"/>
      <c r="LW21" s="14"/>
      <c r="LX21" s="65"/>
      <c r="LY21" s="15" t="str">
        <f t="shared" si="137"/>
        <v>NO APLICA</v>
      </c>
      <c r="LZ21" s="15"/>
      <c r="MA21" s="15"/>
      <c r="MB21" s="14"/>
      <c r="MC21" s="65"/>
      <c r="MD21" s="15" t="str">
        <f t="shared" si="108"/>
        <v>NO APLICA</v>
      </c>
      <c r="ME21" s="15"/>
      <c r="MF21" s="15"/>
      <c r="MG21" s="14"/>
      <c r="MH21" s="65"/>
      <c r="MI21" s="15" t="str">
        <f t="shared" si="109"/>
        <v>NO APLICA</v>
      </c>
      <c r="MJ21" s="15"/>
      <c r="MK21" s="14"/>
      <c r="ML21" s="65"/>
      <c r="MM21" s="15" t="str">
        <f t="shared" si="110"/>
        <v>NO APLICA</v>
      </c>
      <c r="MN21" s="15"/>
      <c r="MO21" s="14"/>
      <c r="MP21" s="15"/>
      <c r="MQ21" s="15" t="str">
        <f t="shared" si="111"/>
        <v>NO APLICA</v>
      </c>
      <c r="MR21" s="15"/>
      <c r="MS21" s="16"/>
      <c r="MT21" s="14"/>
      <c r="MU21" s="65"/>
      <c r="MV21" s="15" t="str">
        <f t="shared" si="112"/>
        <v>NO APLICA</v>
      </c>
      <c r="MW21" s="15"/>
      <c r="MX21" s="16"/>
      <c r="MY21" s="14"/>
      <c r="MZ21" s="65"/>
      <c r="NA21" s="15" t="str">
        <f t="shared" si="113"/>
        <v>NO APLICA</v>
      </c>
      <c r="NB21" s="15"/>
      <c r="NC21" s="16"/>
      <c r="ND21" s="14"/>
      <c r="NE21" s="65"/>
      <c r="NF21" s="15" t="str">
        <f t="shared" si="114"/>
        <v>NO APLICA</v>
      </c>
      <c r="NG21" s="15"/>
      <c r="NH21" s="15"/>
      <c r="NI21" s="14"/>
      <c r="NJ21" s="15"/>
      <c r="NK21" s="15" t="str">
        <f t="shared" si="115"/>
        <v>NO APLICA</v>
      </c>
      <c r="NL21" s="15"/>
      <c r="NM21" s="15"/>
      <c r="NN21" s="15"/>
      <c r="NO21" s="15"/>
      <c r="NP21" s="15" t="str">
        <f t="shared" si="116"/>
        <v>NO APLICA</v>
      </c>
      <c r="NQ21" s="16"/>
      <c r="NR21" s="16"/>
      <c r="NS21" s="14"/>
      <c r="NT21" s="65"/>
      <c r="NU21" s="15" t="str">
        <f t="shared" si="117"/>
        <v>NO APLICA</v>
      </c>
      <c r="NV21" s="16"/>
      <c r="NW21" s="16"/>
      <c r="NX21" s="16"/>
      <c r="NY21" s="16"/>
      <c r="NZ21" s="15" t="str">
        <f t="shared" si="118"/>
        <v>NO APLICA</v>
      </c>
    </row>
    <row r="22" spans="1:390" ht="15.6" thickTop="1" thickBot="1" x14ac:dyDescent="0.35">
      <c r="A22" s="9">
        <v>252</v>
      </c>
      <c r="B22" s="10" t="s">
        <v>171</v>
      </c>
      <c r="C22" s="21" t="s">
        <v>98</v>
      </c>
      <c r="D22" s="64" t="s">
        <v>172</v>
      </c>
      <c r="E22" s="15"/>
      <c r="F22" s="16"/>
      <c r="G22" s="14"/>
      <c r="H22" s="65"/>
      <c r="I22" s="15" t="str">
        <f t="shared" si="0"/>
        <v>NO APLICA</v>
      </c>
      <c r="J22" s="15"/>
      <c r="K22" s="16"/>
      <c r="L22" s="16"/>
      <c r="M22" s="65"/>
      <c r="N22" s="15" t="str">
        <f t="shared" si="1"/>
        <v>NO APLICA</v>
      </c>
      <c r="O22" s="14">
        <v>45603</v>
      </c>
      <c r="P22" s="14">
        <v>45604</v>
      </c>
      <c r="Q22" s="14">
        <f>DATE(YEAR(P22)+2,MONTH(P22),DAY(P22)-1)</f>
        <v>46333</v>
      </c>
      <c r="R22" s="65">
        <f ca="1">Q22-TODAY()</f>
        <v>202</v>
      </c>
      <c r="S22" s="15" t="str">
        <f t="shared" ca="1" si="119"/>
        <v>VIGENTE</v>
      </c>
      <c r="T22" s="12" t="s">
        <v>173</v>
      </c>
      <c r="U22" s="13">
        <v>45390</v>
      </c>
      <c r="V22" s="14">
        <v>45391</v>
      </c>
      <c r="W22" s="14">
        <f t="shared" si="2"/>
        <v>47217</v>
      </c>
      <c r="X22" s="65">
        <f t="shared" ca="1" si="3"/>
        <v>1086</v>
      </c>
      <c r="Y22" s="15" t="str">
        <f t="shared" ca="1" si="4"/>
        <v>VIGENTE</v>
      </c>
      <c r="Z22" s="12" t="s">
        <v>174</v>
      </c>
      <c r="AA22" s="13">
        <v>45189</v>
      </c>
      <c r="AB22" s="14">
        <v>45190</v>
      </c>
      <c r="AC22" s="14">
        <f>DATE(YEAR(AB22)+5,MONTH(AB22),DAY(AB22))</f>
        <v>47017</v>
      </c>
      <c r="AD22" s="65">
        <f ca="1">AC22-TODAY()</f>
        <v>886</v>
      </c>
      <c r="AE22" s="15" t="str">
        <f t="shared" ca="1" si="7"/>
        <v>VIGENTE</v>
      </c>
      <c r="AF22" s="13">
        <v>45243</v>
      </c>
      <c r="AG22" s="14">
        <v>45902</v>
      </c>
      <c r="AH22" s="14">
        <f>DATE(YEAR(AG22)+2,MONTH(AG22),DAY(AG22))</f>
        <v>46632</v>
      </c>
      <c r="AI22" s="65">
        <f t="shared" ca="1" si="8"/>
        <v>501</v>
      </c>
      <c r="AJ22" s="15" t="str">
        <f t="shared" ca="1" si="9"/>
        <v>VIGENTE</v>
      </c>
      <c r="AK22" s="13">
        <v>44627</v>
      </c>
      <c r="AL22" s="14">
        <v>45937</v>
      </c>
      <c r="AM22" s="14">
        <f t="shared" si="178"/>
        <v>46667</v>
      </c>
      <c r="AN22" s="65">
        <f t="shared" ca="1" si="10"/>
        <v>536</v>
      </c>
      <c r="AO22" s="15" t="str">
        <f t="shared" ca="1" si="11"/>
        <v>VIGENTE</v>
      </c>
      <c r="AP22" s="13">
        <v>45326</v>
      </c>
      <c r="AQ22" s="14">
        <v>45989</v>
      </c>
      <c r="AR22" s="14">
        <f t="shared" si="174"/>
        <v>46719</v>
      </c>
      <c r="AS22" s="65">
        <f t="shared" ca="1" si="12"/>
        <v>588</v>
      </c>
      <c r="AT22" s="15" t="str">
        <f t="shared" ca="1" si="13"/>
        <v>VIGENTE</v>
      </c>
      <c r="AU22" s="13">
        <v>44680</v>
      </c>
      <c r="AV22" s="14">
        <v>45990</v>
      </c>
      <c r="AW22" s="14">
        <f>DATE(YEAR(AV22)+2,MONTH(AV22),DAY(AV22))</f>
        <v>46720</v>
      </c>
      <c r="AX22" s="65">
        <f t="shared" ca="1" si="15"/>
        <v>589</v>
      </c>
      <c r="AY22" s="15" t="str">
        <f t="shared" ca="1" si="16"/>
        <v>VIGENTE</v>
      </c>
      <c r="AZ22" s="13">
        <v>44930</v>
      </c>
      <c r="BA22" s="14">
        <v>45622</v>
      </c>
      <c r="BB22" s="14">
        <f>DATE(YEAR(BA22)+2,MONTH(BA22),DAY(BA22)-1)</f>
        <v>46351</v>
      </c>
      <c r="BC22" s="65">
        <f t="shared" ca="1" si="17"/>
        <v>220</v>
      </c>
      <c r="BD22" s="15" t="str">
        <f t="shared" ca="1" si="18"/>
        <v>VIGENTE</v>
      </c>
      <c r="BE22" s="13">
        <v>45071</v>
      </c>
      <c r="BF22" s="14">
        <v>45698</v>
      </c>
      <c r="BG22" s="14">
        <f>DATE(YEAR(BF22)+2,MONTH(BF22),DAY(BF22)-1)</f>
        <v>46427</v>
      </c>
      <c r="BH22" s="65">
        <f t="shared" ca="1" si="19"/>
        <v>296</v>
      </c>
      <c r="BI22" s="15" t="str">
        <f t="shared" ca="1" si="20"/>
        <v>VIGENTE</v>
      </c>
      <c r="BJ22" s="13">
        <v>44937</v>
      </c>
      <c r="BK22" s="14">
        <v>45600</v>
      </c>
      <c r="BL22" s="14">
        <f>DATE(YEAR(BK22)+2,MONTH(BK22),DAY(BK22)-1)</f>
        <v>46329</v>
      </c>
      <c r="BM22" s="65">
        <f t="shared" ca="1" si="21"/>
        <v>198</v>
      </c>
      <c r="BN22" s="15" t="str">
        <f t="shared" ca="1" si="22"/>
        <v>VIGENTE</v>
      </c>
      <c r="BO22" s="13">
        <v>44870</v>
      </c>
      <c r="BP22" s="14">
        <v>45478</v>
      </c>
      <c r="BQ22" s="14">
        <f>DATE(YEAR(BP22)+2,MONTH(BP22),DAY(BP22)-1)</f>
        <v>46207</v>
      </c>
      <c r="BR22" s="65">
        <f t="shared" ca="1" si="23"/>
        <v>76</v>
      </c>
      <c r="BS22" s="15" t="str">
        <f t="shared" ca="1" si="24"/>
        <v>POR VENCER</v>
      </c>
      <c r="BT22" s="13">
        <v>44874</v>
      </c>
      <c r="BU22" s="14">
        <v>45484</v>
      </c>
      <c r="BV22" s="14">
        <f t="shared" si="179"/>
        <v>46213</v>
      </c>
      <c r="BW22" s="65">
        <f t="shared" ca="1" si="25"/>
        <v>82</v>
      </c>
      <c r="BX22" s="15" t="str">
        <f t="shared" ca="1" si="26"/>
        <v>POR VENCER</v>
      </c>
      <c r="BY22" s="13">
        <v>44629</v>
      </c>
      <c r="BZ22" s="14">
        <v>45944</v>
      </c>
      <c r="CA22" s="14">
        <f t="shared" si="180"/>
        <v>46674</v>
      </c>
      <c r="CB22" s="65">
        <f t="shared" ca="1" si="27"/>
        <v>543</v>
      </c>
      <c r="CC22" s="15" t="str">
        <f t="shared" ca="1" si="28"/>
        <v>VIGENTE</v>
      </c>
      <c r="CD22" s="16" t="s">
        <v>102</v>
      </c>
      <c r="CE22" s="14">
        <v>45827</v>
      </c>
      <c r="CF22" s="14">
        <v>45828</v>
      </c>
      <c r="CG22" s="14">
        <f t="shared" si="29"/>
        <v>47289</v>
      </c>
      <c r="CH22" s="65">
        <f t="shared" ca="1" si="30"/>
        <v>1158</v>
      </c>
      <c r="CI22" s="15" t="str">
        <f t="shared" ca="1" si="31"/>
        <v>VIGENTE</v>
      </c>
      <c r="CJ22" s="14">
        <v>44896</v>
      </c>
      <c r="CK22" s="14">
        <v>45601</v>
      </c>
      <c r="CL22" s="14">
        <f>DATE(YEAR(CK22)+2,MONTH(CK22),DAY(CK22)-1)</f>
        <v>46330</v>
      </c>
      <c r="CM22" s="65">
        <f t="shared" ca="1" si="32"/>
        <v>199</v>
      </c>
      <c r="CN22" s="15" t="str">
        <f t="shared" ca="1" si="33"/>
        <v>VIGENTE</v>
      </c>
      <c r="CO22" s="13">
        <v>44909</v>
      </c>
      <c r="CP22" s="14">
        <v>45597</v>
      </c>
      <c r="CQ22" s="14">
        <f>DATE(YEAR(CP22)+2,MONTH(CP22),DAY(CP22)-1)</f>
        <v>46326</v>
      </c>
      <c r="CR22" s="65">
        <f t="shared" ca="1" si="34"/>
        <v>195</v>
      </c>
      <c r="CS22" s="15" t="str">
        <f t="shared" ca="1" si="35"/>
        <v>VIGENTE</v>
      </c>
      <c r="CT22" s="13">
        <v>44679</v>
      </c>
      <c r="CU22" s="14">
        <v>45905</v>
      </c>
      <c r="CV22" s="14">
        <f>DATE(YEAR(CU22)+2,MONTH(CU22),DAY(CU22))</f>
        <v>46635</v>
      </c>
      <c r="CW22" s="65">
        <f t="shared" ca="1" si="36"/>
        <v>504</v>
      </c>
      <c r="CX22" s="15" t="str">
        <f t="shared" ca="1" si="37"/>
        <v>VIGENTE</v>
      </c>
      <c r="CY22" s="13">
        <v>44681</v>
      </c>
      <c r="CZ22" s="14">
        <v>46000</v>
      </c>
      <c r="DA22" s="14">
        <f>DATE(YEAR(CZ22)+2,MONTH(CZ22),DAY(CZ22))</f>
        <v>46730</v>
      </c>
      <c r="DB22" s="65">
        <f t="shared" ca="1" si="38"/>
        <v>599</v>
      </c>
      <c r="DC22" s="15" t="str">
        <f t="shared" ca="1" si="39"/>
        <v>VIGENTE</v>
      </c>
      <c r="DD22" s="13">
        <v>44910</v>
      </c>
      <c r="DE22" s="14">
        <v>45596</v>
      </c>
      <c r="DF22" s="14">
        <f>DATE(YEAR(DE22)+2,MONTH(DE22),DAY(DE22)-1)</f>
        <v>46325</v>
      </c>
      <c r="DG22" s="65">
        <f t="shared" ca="1" si="40"/>
        <v>194</v>
      </c>
      <c r="DH22" s="15" t="str">
        <f t="shared" ca="1" si="41"/>
        <v>VIGENTE</v>
      </c>
      <c r="DI22" s="13">
        <v>45312</v>
      </c>
      <c r="DJ22" s="14">
        <v>45975</v>
      </c>
      <c r="DK22" s="14">
        <f>DATE(YEAR(DJ22)+2,MONTH(DJ22),DAY(DJ22))</f>
        <v>46705</v>
      </c>
      <c r="DL22" s="65">
        <f t="shared" ca="1" si="43"/>
        <v>574</v>
      </c>
      <c r="DM22" s="15" t="str">
        <f t="shared" ca="1" si="44"/>
        <v>VIGENTE</v>
      </c>
      <c r="DN22" s="13">
        <v>45325</v>
      </c>
      <c r="DO22" s="14">
        <v>45982</v>
      </c>
      <c r="DP22" s="14">
        <f>DATE(YEAR(DO22)+2,MONTH(DO22),DAY(DO22))</f>
        <v>46712</v>
      </c>
      <c r="DQ22" s="65">
        <f t="shared" ca="1" si="46"/>
        <v>581</v>
      </c>
      <c r="DR22" s="15" t="str">
        <f t="shared" ca="1" si="47"/>
        <v>VIGENTE</v>
      </c>
      <c r="DS22" s="13">
        <v>44935</v>
      </c>
      <c r="DT22" s="14">
        <v>45608</v>
      </c>
      <c r="DU22" s="14">
        <f>DATE(YEAR(DT22)+2,MONTH(DT22),DAY(DT22)-1)</f>
        <v>46337</v>
      </c>
      <c r="DV22" s="65">
        <f t="shared" ca="1" si="48"/>
        <v>206</v>
      </c>
      <c r="DW22" s="15" t="str">
        <f t="shared" ca="1" si="49"/>
        <v>VIGENTE</v>
      </c>
      <c r="DX22" s="13">
        <v>44931</v>
      </c>
      <c r="DY22" s="14">
        <v>45582</v>
      </c>
      <c r="DZ22" s="14">
        <f>DATE(YEAR(DY22)+2,MONTH(DY22),DAY(DY22)-1)</f>
        <v>46311</v>
      </c>
      <c r="EA22" s="65">
        <f t="shared" ca="1" si="50"/>
        <v>180</v>
      </c>
      <c r="EB22" s="15" t="str">
        <f t="shared" ca="1" si="51"/>
        <v>VIGENTE</v>
      </c>
      <c r="EC22" s="13">
        <v>44982</v>
      </c>
      <c r="ED22" s="14">
        <v>45602</v>
      </c>
      <c r="EE22" s="14">
        <f>DATE(YEAR(ED22)+2,MONTH(ED22),DAY(ED22)-1)</f>
        <v>46331</v>
      </c>
      <c r="EF22" s="65">
        <f t="shared" ca="1" si="52"/>
        <v>200</v>
      </c>
      <c r="EG22" s="15" t="str">
        <f t="shared" ca="1" si="53"/>
        <v>VIGENTE</v>
      </c>
      <c r="EH22" s="13">
        <v>44889</v>
      </c>
      <c r="EI22" s="13">
        <v>46105</v>
      </c>
      <c r="EJ22" s="13">
        <v>46106</v>
      </c>
      <c r="EK22" s="13">
        <v>46107</v>
      </c>
      <c r="EL22" s="14">
        <f t="shared" si="128"/>
        <v>46472</v>
      </c>
      <c r="EM22" s="65">
        <f t="shared" ca="1" si="54"/>
        <v>341</v>
      </c>
      <c r="EN22" s="15" t="str">
        <f t="shared" ca="1" si="55"/>
        <v>VIGENTE</v>
      </c>
      <c r="EO22" s="13">
        <v>44918</v>
      </c>
      <c r="EP22" s="14">
        <v>45584</v>
      </c>
      <c r="EQ22" s="14">
        <f t="shared" si="175"/>
        <v>46313</v>
      </c>
      <c r="ER22" s="65">
        <f t="shared" ca="1" si="56"/>
        <v>182</v>
      </c>
      <c r="ES22" s="15" t="str">
        <f t="shared" ca="1" si="57"/>
        <v>VIGENTE</v>
      </c>
      <c r="ET22" s="13">
        <v>44929</v>
      </c>
      <c r="EU22" s="14">
        <v>45575</v>
      </c>
      <c r="EV22" s="14">
        <f t="shared" si="176"/>
        <v>46304</v>
      </c>
      <c r="EW22" s="65">
        <f t="shared" ca="1" si="58"/>
        <v>173</v>
      </c>
      <c r="EX22" s="15" t="str">
        <f t="shared" ca="1" si="59"/>
        <v>VIGENTE</v>
      </c>
      <c r="EY22" s="13">
        <v>45271</v>
      </c>
      <c r="EZ22" s="14">
        <v>45917</v>
      </c>
      <c r="FA22" s="14">
        <f>DATE(YEAR(EZ22)+2,MONTH(EZ22),DAY(EZ22))</f>
        <v>46647</v>
      </c>
      <c r="FB22" s="65">
        <f t="shared" ca="1" si="60"/>
        <v>516</v>
      </c>
      <c r="FC22" s="15" t="str">
        <f t="shared" ca="1" si="61"/>
        <v>VIGENTE</v>
      </c>
      <c r="FD22" s="13">
        <v>44629</v>
      </c>
      <c r="FE22" s="14">
        <v>45931</v>
      </c>
      <c r="FF22" s="14">
        <f>DATE(YEAR(FE22)+2,MONTH(FE22),DAY(FE22))</f>
        <v>46661</v>
      </c>
      <c r="FG22" s="65">
        <f t="shared" ca="1" si="62"/>
        <v>530</v>
      </c>
      <c r="FH22" s="15" t="str">
        <f t="shared" ca="1" si="63"/>
        <v>VIGENTE</v>
      </c>
      <c r="FI22" s="13">
        <v>45248</v>
      </c>
      <c r="FJ22" s="14">
        <v>45919</v>
      </c>
      <c r="FK22" s="14">
        <f>DATE(YEAR(FJ22)+2,MONTH(FJ22),DAY(FJ22))</f>
        <v>46649</v>
      </c>
      <c r="FL22" s="65">
        <f t="shared" ca="1" si="64"/>
        <v>518</v>
      </c>
      <c r="FM22" s="15" t="str">
        <f t="shared" ca="1" si="65"/>
        <v>VIGENTE</v>
      </c>
      <c r="FN22" s="13">
        <v>44905</v>
      </c>
      <c r="FO22" s="14">
        <v>45588</v>
      </c>
      <c r="FP22" s="14">
        <f>DATE(YEAR(FO22)+2,MONTH(FO22),DAY(FO22)-1)</f>
        <v>46317</v>
      </c>
      <c r="FQ22" s="65">
        <f t="shared" ca="1" si="67"/>
        <v>186</v>
      </c>
      <c r="FR22" s="15" t="str">
        <f t="shared" ca="1" si="68"/>
        <v>VIGENTE</v>
      </c>
      <c r="FS22" s="13">
        <v>44998</v>
      </c>
      <c r="FT22" s="14">
        <v>45664</v>
      </c>
      <c r="FU22" s="14">
        <f>DATE(YEAR(FT22)+2,MONTH(FT22),DAY(FT22)-1)</f>
        <v>46393</v>
      </c>
      <c r="FV22" s="65">
        <f t="shared" ca="1" si="69"/>
        <v>262</v>
      </c>
      <c r="FW22" s="15" t="str">
        <f t="shared" ca="1" si="70"/>
        <v>VIGENTE</v>
      </c>
      <c r="FX22" s="13">
        <v>44630</v>
      </c>
      <c r="FY22" s="14">
        <v>45941</v>
      </c>
      <c r="FZ22" s="14">
        <f>DATE(YEAR(FY22)+2,MONTH(FY22),DAY(FY22))</f>
        <v>46671</v>
      </c>
      <c r="GA22" s="65">
        <f t="shared" ca="1" si="71"/>
        <v>540</v>
      </c>
      <c r="GB22" s="15" t="str">
        <f t="shared" ca="1" si="72"/>
        <v>VIGENTE</v>
      </c>
      <c r="GC22" s="13">
        <v>44922</v>
      </c>
      <c r="GD22" s="14">
        <v>45595</v>
      </c>
      <c r="GE22" s="14">
        <f t="shared" si="177"/>
        <v>46324</v>
      </c>
      <c r="GF22" s="65">
        <f t="shared" ca="1" si="73"/>
        <v>193</v>
      </c>
      <c r="GG22" s="15" t="str">
        <f t="shared" ca="1" si="74"/>
        <v>VIGENTE</v>
      </c>
      <c r="GH22" s="13">
        <v>44924</v>
      </c>
      <c r="GI22" s="14">
        <v>45579</v>
      </c>
      <c r="GJ22" s="14">
        <f>DATE(YEAR(GI22)+2,MONTH(GI22),DAY(GI22)-1)</f>
        <v>46308</v>
      </c>
      <c r="GK22" s="65">
        <f t="shared" ca="1" si="75"/>
        <v>177</v>
      </c>
      <c r="GL22" s="15" t="str">
        <f t="shared" ca="1" si="76"/>
        <v>VIGENTE</v>
      </c>
      <c r="GM22" s="13">
        <v>44875</v>
      </c>
      <c r="GN22" s="14">
        <v>45567</v>
      </c>
      <c r="GO22" s="14">
        <f>DATE(YEAR(GN22)+2,MONTH(GN22),DAY(GN22)-1)</f>
        <v>46296</v>
      </c>
      <c r="GP22" s="65">
        <f t="shared" ca="1" si="77"/>
        <v>165</v>
      </c>
      <c r="GQ22" s="15" t="str">
        <f t="shared" ca="1" si="78"/>
        <v>VIGENTE</v>
      </c>
      <c r="GR22" s="14">
        <v>44873</v>
      </c>
      <c r="GS22" s="14">
        <v>45495</v>
      </c>
      <c r="GT22" s="14">
        <f t="shared" si="79"/>
        <v>47321</v>
      </c>
      <c r="GU22" s="65">
        <f t="shared" ca="1" si="172"/>
        <v>1190</v>
      </c>
      <c r="GV22" s="15" t="str">
        <f t="shared" ca="1" si="81"/>
        <v>VIGENTE</v>
      </c>
      <c r="GW22" s="13">
        <v>44886</v>
      </c>
      <c r="GX22" s="14">
        <v>45507</v>
      </c>
      <c r="GY22" s="14">
        <f t="shared" si="82"/>
        <v>47333</v>
      </c>
      <c r="GZ22" s="65">
        <f t="shared" ca="1" si="83"/>
        <v>1202</v>
      </c>
      <c r="HA22" s="15" t="str">
        <f t="shared" ca="1" si="84"/>
        <v>VIGENTE</v>
      </c>
      <c r="HB22" s="13">
        <v>44567</v>
      </c>
      <c r="HC22" s="14">
        <v>45294</v>
      </c>
      <c r="HD22" s="14">
        <f t="shared" si="85"/>
        <v>47121</v>
      </c>
      <c r="HE22" s="65">
        <f t="shared" ca="1" si="86"/>
        <v>990</v>
      </c>
      <c r="HF22" s="15" t="str">
        <f t="shared" ca="1" si="87"/>
        <v>VIGENTE</v>
      </c>
      <c r="HG22" s="16"/>
      <c r="HH22" s="16"/>
      <c r="HI22" s="14">
        <f>DATE(YEAR(HH22)+5,MONTH(HH22),DAY(HH22))</f>
        <v>1827</v>
      </c>
      <c r="HJ22" s="65">
        <f ca="1">HI22-TODAY()</f>
        <v>-44304</v>
      </c>
      <c r="HK22" s="15" t="str">
        <f ca="1">IF(HJ22&gt;=61,"VIGENTE",IF(HJ22&gt;=1,"POR VENCER",IF(HJ22&lt;=-1,"PROGRAMAR",IF(HH22=0,"NO APLICA"))))</f>
        <v>PROGRAMAR</v>
      </c>
      <c r="HL22" s="12"/>
      <c r="HM22" s="16"/>
      <c r="HN22" s="14"/>
      <c r="HO22" s="65"/>
      <c r="HP22" s="15" t="str">
        <f t="shared" si="91"/>
        <v>NO APLICA</v>
      </c>
      <c r="HQ22" s="12"/>
      <c r="HR22" s="15"/>
      <c r="HS22" s="15"/>
      <c r="HT22" s="15"/>
      <c r="HU22" s="15" t="str">
        <f t="shared" si="92"/>
        <v>NO APLICA</v>
      </c>
      <c r="HV22" s="12"/>
      <c r="HW22" s="16"/>
      <c r="HX22" s="14"/>
      <c r="HY22" s="65"/>
      <c r="HZ22" s="15" t="str">
        <f t="shared" si="93"/>
        <v>NO APLICA</v>
      </c>
      <c r="IA22" s="12"/>
      <c r="IB22" s="16"/>
      <c r="IC22" s="14"/>
      <c r="ID22" s="65"/>
      <c r="IE22" s="15" t="str">
        <f t="shared" si="94"/>
        <v>NO APLICA</v>
      </c>
      <c r="IF22" s="12"/>
      <c r="IG22" s="16"/>
      <c r="IH22" s="14"/>
      <c r="II22" s="65"/>
      <c r="IJ22" s="15" t="str">
        <f t="shared" si="95"/>
        <v>NO APLICA</v>
      </c>
      <c r="IK22" s="16"/>
      <c r="IL22" s="16"/>
      <c r="IM22" s="14"/>
      <c r="IN22" s="65"/>
      <c r="IO22" s="15" t="str">
        <f t="shared" si="96"/>
        <v>NO APLICA</v>
      </c>
      <c r="IP22" s="12"/>
      <c r="IQ22" s="16"/>
      <c r="IR22" s="14"/>
      <c r="IS22" s="65"/>
      <c r="IT22" s="15" t="str">
        <f t="shared" si="97"/>
        <v>NO APLICA</v>
      </c>
      <c r="IU22" s="12"/>
      <c r="IV22" s="16"/>
      <c r="IW22" s="14"/>
      <c r="IX22" s="65"/>
      <c r="IY22" s="15" t="str">
        <f t="shared" si="98"/>
        <v>NO APLICA</v>
      </c>
      <c r="IZ22" s="12"/>
      <c r="JA22" s="16"/>
      <c r="JB22" s="14"/>
      <c r="JC22" s="65"/>
      <c r="JD22" s="15" t="str">
        <f t="shared" si="99"/>
        <v>NO APLICA</v>
      </c>
      <c r="JE22" s="13"/>
      <c r="JF22" s="13"/>
      <c r="JG22" s="14"/>
      <c r="JH22" s="65"/>
      <c r="JI22" s="15" t="str">
        <f t="shared" si="100"/>
        <v>NO APLICA</v>
      </c>
      <c r="JJ22" s="16"/>
      <c r="JK22" s="16"/>
      <c r="JL22" s="16"/>
      <c r="JM22" s="15" t="str">
        <f t="shared" si="101"/>
        <v>NO APLICA</v>
      </c>
      <c r="JN22" s="16"/>
      <c r="JO22" s="16"/>
      <c r="JP22" s="16"/>
      <c r="JQ22" s="15" t="str">
        <f t="shared" si="102"/>
        <v>NO APLICA</v>
      </c>
      <c r="JR22" s="16"/>
      <c r="JS22" s="16"/>
      <c r="JT22" s="16"/>
      <c r="JU22" s="16"/>
      <c r="JV22" s="15" t="str">
        <f t="shared" si="103"/>
        <v>NO APLICA</v>
      </c>
      <c r="JW22" s="15"/>
      <c r="JX22" s="15"/>
      <c r="JY22" s="15"/>
      <c r="JZ22" s="15"/>
      <c r="KA22" s="15" t="str">
        <f t="shared" si="104"/>
        <v>NO APLICA</v>
      </c>
      <c r="KB22" s="15"/>
      <c r="KC22" s="14"/>
      <c r="KD22" s="65"/>
      <c r="KE22" s="15" t="str">
        <f t="shared" si="105"/>
        <v>NO APLICA</v>
      </c>
      <c r="KF22" s="15"/>
      <c r="KG22" s="14"/>
      <c r="KH22" s="65"/>
      <c r="KI22" s="15" t="str">
        <f t="shared" si="132"/>
        <v>NO APLICA</v>
      </c>
      <c r="KJ22" s="15"/>
      <c r="KK22" s="14"/>
      <c r="KL22" s="65"/>
      <c r="KM22" s="15" t="str">
        <f t="shared" si="106"/>
        <v>NO APLICA</v>
      </c>
      <c r="KN22" s="12"/>
      <c r="KO22" s="14"/>
      <c r="KP22" s="65"/>
      <c r="KQ22" s="15" t="str">
        <f t="shared" si="133"/>
        <v>NO APLICA</v>
      </c>
      <c r="KR22" s="13">
        <v>44657</v>
      </c>
      <c r="KS22" s="14">
        <v>44658</v>
      </c>
      <c r="KT22" s="14">
        <f>DATE(YEAR(KS22)+5,MONTH(KS22),DAY(KS22))</f>
        <v>46484</v>
      </c>
      <c r="KU22" s="65">
        <f ca="1">KT22-TODAY()</f>
        <v>353</v>
      </c>
      <c r="KV22" s="15" t="str">
        <f t="shared" ca="1" si="147"/>
        <v>VIGENTE</v>
      </c>
      <c r="KW22" s="14">
        <v>44545</v>
      </c>
      <c r="KX22" s="14">
        <f>DATE(YEAR(KW22)+5,MONTH(KW22),DAY(KW22))</f>
        <v>46371</v>
      </c>
      <c r="KY22" s="65">
        <f ca="1">KX22-TODAY()</f>
        <v>240</v>
      </c>
      <c r="KZ22" s="15" t="str">
        <f t="shared" ca="1" si="134"/>
        <v>VIGENTE</v>
      </c>
      <c r="LA22" s="16"/>
      <c r="LB22" s="16"/>
      <c r="LC22" s="14"/>
      <c r="LD22" s="65"/>
      <c r="LE22" s="15" t="str">
        <f t="shared" si="107"/>
        <v>NO APLICA</v>
      </c>
      <c r="LF22" s="15"/>
      <c r="LG22" s="15"/>
      <c r="LH22" s="14"/>
      <c r="LI22" s="65"/>
      <c r="LJ22" s="15" t="str">
        <f t="shared" si="148"/>
        <v>NO APLICA</v>
      </c>
      <c r="LK22" s="15"/>
      <c r="LL22" s="16"/>
      <c r="LM22" s="14"/>
      <c r="LN22" s="65"/>
      <c r="LO22" s="15" t="str">
        <f t="shared" si="135"/>
        <v>NO APLICA</v>
      </c>
      <c r="LP22" s="16"/>
      <c r="LQ22" s="16"/>
      <c r="LR22" s="14"/>
      <c r="LS22" s="65"/>
      <c r="LT22" s="15" t="str">
        <f t="shared" si="136"/>
        <v>NO APLICA</v>
      </c>
      <c r="LU22" s="16"/>
      <c r="LV22" s="16"/>
      <c r="LW22" s="14"/>
      <c r="LX22" s="65"/>
      <c r="LY22" s="15" t="str">
        <f t="shared" si="137"/>
        <v>NO APLICA</v>
      </c>
      <c r="LZ22" s="15"/>
      <c r="MA22" s="15"/>
      <c r="MB22" s="14"/>
      <c r="MC22" s="65"/>
      <c r="MD22" s="15" t="str">
        <f t="shared" si="108"/>
        <v>NO APLICA</v>
      </c>
      <c r="ME22" s="15"/>
      <c r="MF22" s="15"/>
      <c r="MG22" s="14"/>
      <c r="MH22" s="65"/>
      <c r="MI22" s="15" t="str">
        <f t="shared" si="109"/>
        <v>NO APLICA</v>
      </c>
      <c r="MJ22" s="15"/>
      <c r="MK22" s="14"/>
      <c r="ML22" s="65"/>
      <c r="MM22" s="15" t="str">
        <f t="shared" si="110"/>
        <v>NO APLICA</v>
      </c>
      <c r="MN22" s="15"/>
      <c r="MO22" s="14"/>
      <c r="MP22" s="15"/>
      <c r="MQ22" s="15" t="str">
        <f t="shared" si="111"/>
        <v>NO APLICA</v>
      </c>
      <c r="MR22" s="15"/>
      <c r="MS22" s="16"/>
      <c r="MT22" s="14"/>
      <c r="MU22" s="65"/>
      <c r="MV22" s="15" t="str">
        <f t="shared" si="112"/>
        <v>NO APLICA</v>
      </c>
      <c r="MW22" s="15"/>
      <c r="MX22" s="16"/>
      <c r="MY22" s="14"/>
      <c r="MZ22" s="65"/>
      <c r="NA22" s="15" t="str">
        <f t="shared" si="113"/>
        <v>NO APLICA</v>
      </c>
      <c r="NB22" s="15"/>
      <c r="NC22" s="16"/>
      <c r="ND22" s="14"/>
      <c r="NE22" s="65"/>
      <c r="NF22" s="15" t="str">
        <f t="shared" si="114"/>
        <v>NO APLICA</v>
      </c>
      <c r="NG22" s="15"/>
      <c r="NH22" s="15"/>
      <c r="NI22" s="14"/>
      <c r="NJ22" s="65"/>
      <c r="NK22" s="15" t="str">
        <f t="shared" si="115"/>
        <v>NO APLICA</v>
      </c>
      <c r="NL22" s="15"/>
      <c r="NM22" s="15"/>
      <c r="NN22" s="15"/>
      <c r="NO22" s="15"/>
      <c r="NP22" s="15" t="str">
        <f t="shared" si="116"/>
        <v>NO APLICA</v>
      </c>
      <c r="NQ22" s="16"/>
      <c r="NR22" s="16"/>
      <c r="NS22" s="16"/>
      <c r="NT22" s="16"/>
      <c r="NU22" s="15" t="str">
        <f t="shared" si="117"/>
        <v>NO APLICA</v>
      </c>
      <c r="NV22" s="16"/>
      <c r="NW22" s="16"/>
      <c r="NX22" s="16"/>
      <c r="NY22" s="16"/>
      <c r="NZ22" s="15" t="str">
        <f t="shared" si="118"/>
        <v>NO APLICA</v>
      </c>
    </row>
    <row r="23" spans="1:390" ht="15.6" thickTop="1" thickBot="1" x14ac:dyDescent="0.35">
      <c r="A23" s="9">
        <v>1549</v>
      </c>
      <c r="B23" s="10" t="s">
        <v>175</v>
      </c>
      <c r="C23" s="21" t="s">
        <v>98</v>
      </c>
      <c r="D23" s="64" t="s">
        <v>99</v>
      </c>
      <c r="E23" s="15"/>
      <c r="F23" s="16"/>
      <c r="G23" s="14"/>
      <c r="H23" s="65"/>
      <c r="I23" s="15" t="str">
        <f t="shared" si="0"/>
        <v>NO APLICA</v>
      </c>
      <c r="J23" s="12"/>
      <c r="K23" s="16"/>
      <c r="L23" s="16"/>
      <c r="M23" s="65"/>
      <c r="N23" s="15" t="str">
        <f t="shared" si="1"/>
        <v>NO APLICA</v>
      </c>
      <c r="O23" s="14">
        <v>45757</v>
      </c>
      <c r="P23" s="14">
        <v>45758</v>
      </c>
      <c r="Q23" s="14">
        <f>DATE(YEAR(P23)+2,MONTH(P23),DAY(P23)-1)</f>
        <v>46487</v>
      </c>
      <c r="R23" s="65">
        <f ca="1">Q23-TODAY()</f>
        <v>356</v>
      </c>
      <c r="S23" s="15" t="str">
        <f t="shared" ca="1" si="119"/>
        <v>VIGENTE</v>
      </c>
      <c r="T23" s="12" t="s">
        <v>176</v>
      </c>
      <c r="U23" s="13">
        <v>45497</v>
      </c>
      <c r="V23" s="14">
        <v>45498</v>
      </c>
      <c r="W23" s="14">
        <f t="shared" si="2"/>
        <v>47324</v>
      </c>
      <c r="X23" s="65">
        <f t="shared" ca="1" si="3"/>
        <v>1193</v>
      </c>
      <c r="Y23" s="15" t="str">
        <f t="shared" ca="1" si="4"/>
        <v>VIGENTE</v>
      </c>
      <c r="Z23" s="12" t="s">
        <v>177</v>
      </c>
      <c r="AA23" s="13">
        <v>45189</v>
      </c>
      <c r="AB23" s="14">
        <v>45190</v>
      </c>
      <c r="AC23" s="14">
        <f>DATE(YEAR(AB23)+5,MONTH(AB23),DAY(AB23))</f>
        <v>47017</v>
      </c>
      <c r="AD23" s="65">
        <f ca="1">AC23-TODAY()</f>
        <v>886</v>
      </c>
      <c r="AE23" s="15" t="str">
        <f t="shared" ca="1" si="7"/>
        <v>VIGENTE</v>
      </c>
      <c r="AF23" s="13">
        <v>44929</v>
      </c>
      <c r="AG23" s="14">
        <v>45609</v>
      </c>
      <c r="AH23" s="14">
        <f>DATE(YEAR(AG23)+2,MONTH(AG23),DAY(AG23)-1)</f>
        <v>46338</v>
      </c>
      <c r="AI23" s="65">
        <f t="shared" ca="1" si="8"/>
        <v>207</v>
      </c>
      <c r="AJ23" s="15" t="str">
        <f t="shared" ca="1" si="9"/>
        <v>VIGENTE</v>
      </c>
      <c r="AK23" s="13">
        <v>44583</v>
      </c>
      <c r="AL23" s="14">
        <v>45937</v>
      </c>
      <c r="AM23" s="14">
        <f t="shared" si="178"/>
        <v>46667</v>
      </c>
      <c r="AN23" s="65">
        <f t="shared" ca="1" si="10"/>
        <v>536</v>
      </c>
      <c r="AO23" s="15" t="str">
        <f t="shared" ca="1" si="11"/>
        <v>VIGENTE</v>
      </c>
      <c r="AP23" s="13">
        <v>44582</v>
      </c>
      <c r="AQ23" s="14">
        <v>45904</v>
      </c>
      <c r="AR23" s="14">
        <f t="shared" si="174"/>
        <v>46634</v>
      </c>
      <c r="AS23" s="65">
        <f t="shared" ca="1" si="12"/>
        <v>503</v>
      </c>
      <c r="AT23" s="15" t="str">
        <f t="shared" ca="1" si="13"/>
        <v>VIGENTE</v>
      </c>
      <c r="AU23" s="13">
        <v>44578</v>
      </c>
      <c r="AV23" s="14">
        <v>45927</v>
      </c>
      <c r="AW23" s="14">
        <f>DATE(YEAR(AV23)+2,MONTH(AV23),DAY(AV23))</f>
        <v>46657</v>
      </c>
      <c r="AX23" s="65">
        <f t="shared" ca="1" si="15"/>
        <v>526</v>
      </c>
      <c r="AY23" s="15" t="str">
        <f t="shared" ca="1" si="16"/>
        <v>VIGENTE</v>
      </c>
      <c r="AZ23" s="13">
        <v>45237</v>
      </c>
      <c r="BA23" s="14">
        <v>45901</v>
      </c>
      <c r="BB23" s="14">
        <f>DATE(YEAR(BA23)+2,MONTH(BA23),DAY(BA23))</f>
        <v>46631</v>
      </c>
      <c r="BC23" s="65">
        <f t="shared" ca="1" si="17"/>
        <v>500</v>
      </c>
      <c r="BD23" s="15" t="str">
        <f t="shared" ca="1" si="18"/>
        <v>VIGENTE</v>
      </c>
      <c r="BE23" s="13">
        <v>44585</v>
      </c>
      <c r="BF23" s="14">
        <v>45997</v>
      </c>
      <c r="BG23" s="14">
        <f>DATE(YEAR(BF23)+2,MONTH(BF23),DAY(BF23))</f>
        <v>46727</v>
      </c>
      <c r="BH23" s="65">
        <f t="shared" ca="1" si="19"/>
        <v>596</v>
      </c>
      <c r="BI23" s="15" t="str">
        <f t="shared" ca="1" si="20"/>
        <v>VIGENTE</v>
      </c>
      <c r="BJ23" s="13">
        <v>45389</v>
      </c>
      <c r="BK23" s="14">
        <v>46035</v>
      </c>
      <c r="BL23" s="14">
        <f>DATE(YEAR(BK23)+2,MONTH(BK23),DAY(BK23))</f>
        <v>46765</v>
      </c>
      <c r="BM23" s="65">
        <f t="shared" ca="1" si="21"/>
        <v>634</v>
      </c>
      <c r="BN23" s="15" t="str">
        <f t="shared" ca="1" si="22"/>
        <v>VIGENTE</v>
      </c>
      <c r="BO23" s="13">
        <v>44753</v>
      </c>
      <c r="BP23" s="14">
        <v>46050</v>
      </c>
      <c r="BQ23" s="14">
        <f>DATE(YEAR(BP23)+2,MONTH(BP23),DAY(BP23))</f>
        <v>46780</v>
      </c>
      <c r="BR23" s="65">
        <f t="shared" ca="1" si="23"/>
        <v>649</v>
      </c>
      <c r="BS23" s="15" t="str">
        <f t="shared" ca="1" si="24"/>
        <v>VIGENTE</v>
      </c>
      <c r="BT23" s="13">
        <v>44810</v>
      </c>
      <c r="BU23" s="14">
        <v>45455</v>
      </c>
      <c r="BV23" s="14">
        <f t="shared" si="179"/>
        <v>46184</v>
      </c>
      <c r="BW23" s="65">
        <f t="shared" ca="1" si="25"/>
        <v>53</v>
      </c>
      <c r="BX23" s="15" t="str">
        <f t="shared" ca="1" si="26"/>
        <v>POR VENCER</v>
      </c>
      <c r="BY23" s="13">
        <v>45293</v>
      </c>
      <c r="BZ23" s="14">
        <v>45944</v>
      </c>
      <c r="CA23" s="14">
        <f t="shared" si="180"/>
        <v>46674</v>
      </c>
      <c r="CB23" s="65">
        <f t="shared" ca="1" si="27"/>
        <v>543</v>
      </c>
      <c r="CC23" s="15" t="str">
        <f t="shared" ca="1" si="28"/>
        <v>VIGENTE</v>
      </c>
      <c r="CD23" s="16" t="s">
        <v>108</v>
      </c>
      <c r="CE23" s="14">
        <v>45615</v>
      </c>
      <c r="CF23" s="14">
        <v>45616</v>
      </c>
      <c r="CG23" s="14">
        <f t="shared" si="29"/>
        <v>47077</v>
      </c>
      <c r="CH23" s="65">
        <f t="shared" ca="1" si="30"/>
        <v>946</v>
      </c>
      <c r="CI23" s="15" t="str">
        <f t="shared" ca="1" si="31"/>
        <v>VIGENTE</v>
      </c>
      <c r="CJ23" s="14">
        <v>44588</v>
      </c>
      <c r="CK23" s="14">
        <v>45929</v>
      </c>
      <c r="CL23" s="14">
        <f>DATE(YEAR(CK23)+2,MONTH(CK23),DAY(CK23))</f>
        <v>46659</v>
      </c>
      <c r="CM23" s="65">
        <f t="shared" ca="1" si="32"/>
        <v>528</v>
      </c>
      <c r="CN23" s="15" t="str">
        <f t="shared" ca="1" si="33"/>
        <v>VIGENTE</v>
      </c>
      <c r="CO23" s="13">
        <v>45240</v>
      </c>
      <c r="CP23" s="14">
        <v>45888</v>
      </c>
      <c r="CQ23" s="14">
        <f>DATE(YEAR(CP23)+2,MONTH(CP23),DAY(CP23))</f>
        <v>46618</v>
      </c>
      <c r="CR23" s="65">
        <f t="shared" ca="1" si="34"/>
        <v>487</v>
      </c>
      <c r="CS23" s="15" t="str">
        <f t="shared" ca="1" si="35"/>
        <v>VIGENTE</v>
      </c>
      <c r="CT23" s="13">
        <v>44569</v>
      </c>
      <c r="CU23" s="14">
        <v>45905</v>
      </c>
      <c r="CV23" s="14">
        <f>DATE(YEAR(CU23)+2,MONTH(CU23),DAY(CU23))</f>
        <v>46635</v>
      </c>
      <c r="CW23" s="65">
        <f t="shared" ca="1" si="36"/>
        <v>504</v>
      </c>
      <c r="CX23" s="15" t="str">
        <f t="shared" ca="1" si="37"/>
        <v>VIGENTE</v>
      </c>
      <c r="CY23" s="13">
        <v>44991</v>
      </c>
      <c r="CZ23" s="14">
        <v>45665</v>
      </c>
      <c r="DA23" s="14">
        <f>DATE(YEAR(CZ23)+2,MONTH(CZ23),DAY(CZ23)-1)</f>
        <v>46394</v>
      </c>
      <c r="DB23" s="65">
        <f t="shared" ca="1" si="38"/>
        <v>263</v>
      </c>
      <c r="DC23" s="15" t="str">
        <f t="shared" ca="1" si="39"/>
        <v>VIGENTE</v>
      </c>
      <c r="DD23" s="13">
        <v>45244</v>
      </c>
      <c r="DE23" s="14">
        <v>45896</v>
      </c>
      <c r="DF23" s="14">
        <f>DATE(YEAR(DE23)+2,MONTH(DE23),DAY(DE23))</f>
        <v>46626</v>
      </c>
      <c r="DG23" s="65">
        <f t="shared" ca="1" si="40"/>
        <v>495</v>
      </c>
      <c r="DH23" s="15" t="str">
        <f t="shared" ca="1" si="41"/>
        <v>VIGENTE</v>
      </c>
      <c r="DI23" s="13">
        <v>45251</v>
      </c>
      <c r="DJ23" s="14">
        <v>45899</v>
      </c>
      <c r="DK23" s="14">
        <f>DATE(YEAR(DJ23)+2,MONTH(DJ23),DAY(DJ23))</f>
        <v>46629</v>
      </c>
      <c r="DL23" s="65">
        <f t="shared" ca="1" si="43"/>
        <v>498</v>
      </c>
      <c r="DM23" s="15" t="str">
        <f t="shared" ca="1" si="44"/>
        <v>VIGENTE</v>
      </c>
      <c r="DN23" s="13">
        <v>44918</v>
      </c>
      <c r="DO23" s="14">
        <v>45577</v>
      </c>
      <c r="DP23" s="14">
        <f>DATE(YEAR(DO23)+2,MONTH(DO23),DAY(DO23)-1)</f>
        <v>46306</v>
      </c>
      <c r="DQ23" s="65">
        <f t="shared" ca="1" si="46"/>
        <v>175</v>
      </c>
      <c r="DR23" s="15" t="str">
        <f t="shared" ca="1" si="47"/>
        <v>VIGENTE</v>
      </c>
      <c r="DS23" s="13">
        <v>45200</v>
      </c>
      <c r="DT23" s="14">
        <v>45852</v>
      </c>
      <c r="DU23" s="14">
        <f>DATE(YEAR(DT23)+2,MONTH(DT23),DAY(DT23))</f>
        <v>46582</v>
      </c>
      <c r="DV23" s="65">
        <f t="shared" ca="1" si="48"/>
        <v>451</v>
      </c>
      <c r="DW23" s="15" t="str">
        <f t="shared" ca="1" si="49"/>
        <v>VIGENTE</v>
      </c>
      <c r="DX23" s="13">
        <v>44993</v>
      </c>
      <c r="DY23" s="14">
        <v>45663</v>
      </c>
      <c r="DZ23" s="14">
        <f>DATE(YEAR(DY23)+2,MONTH(DY23),DAY(DY23)-1)</f>
        <v>46392</v>
      </c>
      <c r="EA23" s="65">
        <f t="shared" ca="1" si="50"/>
        <v>261</v>
      </c>
      <c r="EB23" s="15" t="str">
        <f t="shared" ca="1" si="51"/>
        <v>VIGENTE</v>
      </c>
      <c r="EC23" s="13">
        <v>44940</v>
      </c>
      <c r="ED23" s="14">
        <v>45583</v>
      </c>
      <c r="EE23" s="14">
        <f>DATE(YEAR(ED23)+2,MONTH(ED23),DAY(ED23)-1)</f>
        <v>46312</v>
      </c>
      <c r="EF23" s="65">
        <f t="shared" ca="1" si="52"/>
        <v>181</v>
      </c>
      <c r="EG23" s="15" t="str">
        <f t="shared" ca="1" si="53"/>
        <v>VIGENTE</v>
      </c>
      <c r="EH23" s="13">
        <v>45253</v>
      </c>
      <c r="EI23" s="13">
        <v>45909</v>
      </c>
      <c r="EJ23" s="13">
        <v>45910</v>
      </c>
      <c r="EK23" s="13">
        <v>45911</v>
      </c>
      <c r="EL23" s="14">
        <f t="shared" si="128"/>
        <v>46276</v>
      </c>
      <c r="EM23" s="65">
        <f t="shared" ca="1" si="54"/>
        <v>145</v>
      </c>
      <c r="EN23" s="15" t="str">
        <f t="shared" ca="1" si="55"/>
        <v>VIGENTE</v>
      </c>
      <c r="EO23" s="13">
        <v>44985</v>
      </c>
      <c r="EP23" s="14">
        <v>45636</v>
      </c>
      <c r="EQ23" s="14">
        <f t="shared" si="175"/>
        <v>46365</v>
      </c>
      <c r="ER23" s="65">
        <f t="shared" ca="1" si="56"/>
        <v>234</v>
      </c>
      <c r="ES23" s="15" t="str">
        <f t="shared" ca="1" si="57"/>
        <v>VIGENTE</v>
      </c>
      <c r="ET23" s="13">
        <v>45012</v>
      </c>
      <c r="EU23" s="14">
        <v>45677</v>
      </c>
      <c r="EV23" s="14">
        <f t="shared" si="176"/>
        <v>46406</v>
      </c>
      <c r="EW23" s="65">
        <f t="shared" ca="1" si="58"/>
        <v>275</v>
      </c>
      <c r="EX23" s="15" t="str">
        <f t="shared" ca="1" si="59"/>
        <v>VIGENTE</v>
      </c>
      <c r="EY23" s="13">
        <v>45010</v>
      </c>
      <c r="EZ23" s="14">
        <v>45694</v>
      </c>
      <c r="FA23" s="14">
        <f>DATE(YEAR(EZ23)+2,MONTH(EZ23),DAY(EZ23)-1)</f>
        <v>46423</v>
      </c>
      <c r="FB23" s="65">
        <f t="shared" ca="1" si="60"/>
        <v>292</v>
      </c>
      <c r="FC23" s="15" t="str">
        <f t="shared" ca="1" si="61"/>
        <v>VIGENTE</v>
      </c>
      <c r="FD23" s="13">
        <v>45041</v>
      </c>
      <c r="FE23" s="14">
        <v>45666</v>
      </c>
      <c r="FF23" s="14">
        <f>DATE(YEAR(FE23)+2,MONTH(FE23),DAY(FE23)-1)</f>
        <v>46395</v>
      </c>
      <c r="FG23" s="65">
        <f t="shared" ca="1" si="62"/>
        <v>264</v>
      </c>
      <c r="FH23" s="15" t="str">
        <f t="shared" ca="1" si="63"/>
        <v>VIGENTE</v>
      </c>
      <c r="FI23" s="13">
        <v>45045</v>
      </c>
      <c r="FJ23" s="14">
        <v>45668</v>
      </c>
      <c r="FK23" s="14">
        <f>DATE(YEAR(FJ23)+2,MONTH(FJ23),DAY(FJ23)-1)</f>
        <v>46397</v>
      </c>
      <c r="FL23" s="65">
        <f t="shared" ca="1" si="64"/>
        <v>266</v>
      </c>
      <c r="FM23" s="15" t="str">
        <f t="shared" ca="1" si="65"/>
        <v>VIGENTE</v>
      </c>
      <c r="FN23" s="13">
        <v>45062</v>
      </c>
      <c r="FO23" s="14">
        <v>45670</v>
      </c>
      <c r="FP23" s="14">
        <f>DATE(YEAR(FO23)+2,MONTH(FO23),DAY(FO23)-1)</f>
        <v>46399</v>
      </c>
      <c r="FQ23" s="65">
        <f t="shared" ca="1" si="67"/>
        <v>268</v>
      </c>
      <c r="FR23" s="15" t="str">
        <f t="shared" ca="1" si="68"/>
        <v>VIGENTE</v>
      </c>
      <c r="FS23" s="13">
        <v>45279</v>
      </c>
      <c r="FT23" s="14">
        <v>45957</v>
      </c>
      <c r="FU23" s="14">
        <f>DATE(YEAR(FT23)+2,MONTH(FT23),DAY(FT23))</f>
        <v>46687</v>
      </c>
      <c r="FV23" s="65">
        <f t="shared" ca="1" si="69"/>
        <v>556</v>
      </c>
      <c r="FW23" s="15" t="str">
        <f t="shared" ca="1" si="70"/>
        <v>VIGENTE</v>
      </c>
      <c r="FX23" s="13">
        <v>44921</v>
      </c>
      <c r="FY23" s="14">
        <v>45587</v>
      </c>
      <c r="FZ23" s="14">
        <f>DATE(YEAR(FY23)+2,MONTH(FY23),DAY(FY23)-1)</f>
        <v>46316</v>
      </c>
      <c r="GA23" s="65">
        <f t="shared" ca="1" si="71"/>
        <v>185</v>
      </c>
      <c r="GB23" s="15" t="str">
        <f t="shared" ca="1" si="72"/>
        <v>VIGENTE</v>
      </c>
      <c r="GC23" s="13">
        <v>44923</v>
      </c>
      <c r="GD23" s="14">
        <v>45595</v>
      </c>
      <c r="GE23" s="14">
        <f t="shared" si="177"/>
        <v>46324</v>
      </c>
      <c r="GF23" s="65">
        <f t="shared" ca="1" si="73"/>
        <v>193</v>
      </c>
      <c r="GG23" s="15" t="str">
        <f t="shared" ca="1" si="74"/>
        <v>VIGENTE</v>
      </c>
      <c r="GH23" s="13">
        <v>45001</v>
      </c>
      <c r="GI23" s="14">
        <v>45672</v>
      </c>
      <c r="GJ23" s="14">
        <f>DATE(YEAR(GI23)+2,MONTH(GI23),DAY(GI23)-1)</f>
        <v>46401</v>
      </c>
      <c r="GK23" s="65">
        <f t="shared" ca="1" si="75"/>
        <v>270</v>
      </c>
      <c r="GL23" s="15" t="str">
        <f t="shared" ca="1" si="76"/>
        <v>VIGENTE</v>
      </c>
      <c r="GM23" s="13">
        <v>45256</v>
      </c>
      <c r="GN23" s="14">
        <v>45923</v>
      </c>
      <c r="GO23" s="14">
        <f>DATE(YEAR(GN23)+2,MONTH(GN23),DAY(GN23))</f>
        <v>46653</v>
      </c>
      <c r="GP23" s="65">
        <f t="shared" ca="1" si="77"/>
        <v>522</v>
      </c>
      <c r="GQ23" s="15" t="str">
        <f t="shared" ca="1" si="78"/>
        <v>VIGENTE</v>
      </c>
      <c r="GR23" s="14"/>
      <c r="GS23" s="14">
        <v>44912</v>
      </c>
      <c r="GT23" s="14">
        <f t="shared" si="79"/>
        <v>46738</v>
      </c>
      <c r="GU23" s="65">
        <f t="shared" ca="1" si="172"/>
        <v>607</v>
      </c>
      <c r="GV23" s="15" t="str">
        <f t="shared" ca="1" si="81"/>
        <v>VIGENTE</v>
      </c>
      <c r="GW23" s="13"/>
      <c r="GX23" s="14">
        <v>44984</v>
      </c>
      <c r="GY23" s="14">
        <f t="shared" si="82"/>
        <v>46810</v>
      </c>
      <c r="GZ23" s="65">
        <f t="shared" ca="1" si="83"/>
        <v>679</v>
      </c>
      <c r="HA23" s="15" t="str">
        <f t="shared" ca="1" si="84"/>
        <v>VIGENTE</v>
      </c>
      <c r="HB23" s="13">
        <v>44566</v>
      </c>
      <c r="HC23" s="14">
        <v>45268</v>
      </c>
      <c r="HD23" s="14">
        <f t="shared" si="85"/>
        <v>47095</v>
      </c>
      <c r="HE23" s="65">
        <f t="shared" ca="1" si="86"/>
        <v>964</v>
      </c>
      <c r="HF23" s="15" t="str">
        <f t="shared" ca="1" si="87"/>
        <v>VIGENTE</v>
      </c>
      <c r="HG23" s="16"/>
      <c r="HH23" s="14">
        <v>44900</v>
      </c>
      <c r="HI23" s="14">
        <f>DATE(YEAR(HH23)+5,MONTH(HH23),DAY(HH23))</f>
        <v>46726</v>
      </c>
      <c r="HJ23" s="65">
        <f ca="1">HI23-TODAY()</f>
        <v>595</v>
      </c>
      <c r="HK23" s="15" t="str">
        <f t="shared" ref="HK23:HK43" ca="1" si="181">IF(HJ23&gt;=61,"VIGENTE",IF(HJ23&gt;=1,"POR VENCER",IF(HJ23&lt;=-1,"VENCIDA",IF(HH23=0,"NO APLICA"))))</f>
        <v>VIGENTE</v>
      </c>
      <c r="HL23" s="13">
        <v>44631</v>
      </c>
      <c r="HM23" s="14">
        <v>45414</v>
      </c>
      <c r="HN23" s="14">
        <f>DATE(YEAR(HM23)+5,MONTH(HM23),DAY(HM23))</f>
        <v>47240</v>
      </c>
      <c r="HO23" s="65">
        <f ca="1">HN23-TODAY()</f>
        <v>1109</v>
      </c>
      <c r="HP23" s="15" t="str">
        <f t="shared" ca="1" si="91"/>
        <v>VIGENTE</v>
      </c>
      <c r="HQ23" s="12"/>
      <c r="HR23" s="12"/>
      <c r="HS23" s="14"/>
      <c r="HT23" s="12"/>
      <c r="HU23" s="15" t="str">
        <f t="shared" si="92"/>
        <v>NO APLICA</v>
      </c>
      <c r="HV23" s="12"/>
      <c r="HW23" s="14">
        <v>44987</v>
      </c>
      <c r="HX23" s="14">
        <f>DATE(YEAR(HW23)+5,MONTH(HW23),DAY(HW23))</f>
        <v>46814</v>
      </c>
      <c r="HY23" s="65">
        <f ca="1">HX23-TODAY()</f>
        <v>683</v>
      </c>
      <c r="HZ23" s="15" t="str">
        <f t="shared" ca="1" si="93"/>
        <v>VIGENTE</v>
      </c>
      <c r="IA23" s="12"/>
      <c r="IB23" s="14">
        <v>44981</v>
      </c>
      <c r="IC23" s="14">
        <f>DATE(YEAR(IB23)+5,MONTH(IB23),DAY(IB23))</f>
        <v>46807</v>
      </c>
      <c r="ID23" s="65">
        <f ca="1">IC23-TODAY()</f>
        <v>676</v>
      </c>
      <c r="IE23" s="15" t="str">
        <f t="shared" ca="1" si="94"/>
        <v>VIGENTE</v>
      </c>
      <c r="IF23" s="12"/>
      <c r="IG23" s="14">
        <v>45024</v>
      </c>
      <c r="IH23" s="14">
        <f>DATE(YEAR(IG23)+5,MONTH(IG23),DAY(IG23))</f>
        <v>46851</v>
      </c>
      <c r="II23" s="65">
        <f ca="1">IH23-TODAY()</f>
        <v>720</v>
      </c>
      <c r="IJ23" s="15" t="str">
        <f t="shared" ca="1" si="95"/>
        <v>VIGENTE</v>
      </c>
      <c r="IK23" s="16"/>
      <c r="IL23" s="14">
        <v>45009</v>
      </c>
      <c r="IM23" s="14">
        <f>DATE(YEAR(IL23)+5,MONTH(IL23),DAY(IL23))</f>
        <v>46836</v>
      </c>
      <c r="IN23" s="65">
        <f ca="1">IM23-TODAY()</f>
        <v>705</v>
      </c>
      <c r="IO23" s="15" t="str">
        <f t="shared" ca="1" si="96"/>
        <v>VIGENTE</v>
      </c>
      <c r="IP23" s="12"/>
      <c r="IQ23" s="14">
        <v>44977</v>
      </c>
      <c r="IR23" s="14">
        <f>DATE(YEAR(IQ23)+5,MONTH(IQ23),DAY(IQ23))</f>
        <v>46803</v>
      </c>
      <c r="IS23" s="65">
        <f ca="1">IR23-TODAY()</f>
        <v>672</v>
      </c>
      <c r="IT23" s="15" t="str">
        <f t="shared" ca="1" si="97"/>
        <v>VIGENTE</v>
      </c>
      <c r="IU23" s="12"/>
      <c r="IV23" s="14">
        <v>45013</v>
      </c>
      <c r="IW23" s="14">
        <f>DATE(YEAR(IV23)+5,MONTH(IV23),DAY(IV23))</f>
        <v>46840</v>
      </c>
      <c r="IX23" s="65">
        <f ca="1">IW23-TODAY()</f>
        <v>709</v>
      </c>
      <c r="IY23" s="15" t="str">
        <f t="shared" ca="1" si="98"/>
        <v>VIGENTE</v>
      </c>
      <c r="IZ23" s="12"/>
      <c r="JA23" s="14">
        <v>44996</v>
      </c>
      <c r="JB23" s="14">
        <f>DATE(YEAR(JA23)+5,MONTH(JA23),DAY(JA23))</f>
        <v>46823</v>
      </c>
      <c r="JC23" s="65">
        <f ca="1">JB23-TODAY()</f>
        <v>692</v>
      </c>
      <c r="JD23" s="15" t="str">
        <f t="shared" ca="1" si="99"/>
        <v>VIGENTE</v>
      </c>
      <c r="JE23" s="13"/>
      <c r="JF23" s="13"/>
      <c r="JG23" s="14"/>
      <c r="JH23" s="65"/>
      <c r="JI23" s="15" t="str">
        <f t="shared" si="100"/>
        <v>NO APLICA</v>
      </c>
      <c r="JJ23" s="16"/>
      <c r="JK23" s="16"/>
      <c r="JL23" s="16"/>
      <c r="JM23" s="15" t="str">
        <f t="shared" si="101"/>
        <v>NO APLICA</v>
      </c>
      <c r="JN23" s="16"/>
      <c r="JO23" s="16"/>
      <c r="JP23" s="16"/>
      <c r="JQ23" s="15" t="str">
        <f t="shared" si="102"/>
        <v>NO APLICA</v>
      </c>
      <c r="JR23" s="16"/>
      <c r="JS23" s="16"/>
      <c r="JT23" s="16"/>
      <c r="JU23" s="16"/>
      <c r="JV23" s="15" t="str">
        <f t="shared" si="103"/>
        <v>NO APLICA</v>
      </c>
      <c r="JW23" s="15"/>
      <c r="JX23" s="15"/>
      <c r="JY23" s="15"/>
      <c r="JZ23" s="15"/>
      <c r="KA23" s="15" t="str">
        <f t="shared" si="104"/>
        <v>NO APLICA</v>
      </c>
      <c r="KB23" s="12"/>
      <c r="KC23" s="14"/>
      <c r="KD23" s="65"/>
      <c r="KE23" s="15" t="str">
        <f t="shared" si="105"/>
        <v>NO APLICA</v>
      </c>
      <c r="KF23" s="12"/>
      <c r="KG23" s="14"/>
      <c r="KH23" s="65"/>
      <c r="KI23" s="15" t="str">
        <f t="shared" si="132"/>
        <v>NO APLICA</v>
      </c>
      <c r="KJ23" s="12"/>
      <c r="KK23" s="14"/>
      <c r="KL23" s="65"/>
      <c r="KM23" s="15" t="str">
        <f t="shared" si="106"/>
        <v>NO APLICA</v>
      </c>
      <c r="KN23" s="12"/>
      <c r="KO23" s="14"/>
      <c r="KP23" s="65"/>
      <c r="KQ23" s="15" t="str">
        <f t="shared" si="133"/>
        <v>NO APLICA</v>
      </c>
      <c r="KR23" s="13">
        <v>44652</v>
      </c>
      <c r="KS23" s="14">
        <v>44653</v>
      </c>
      <c r="KT23" s="14">
        <f>DATE(YEAR(KS23)+5,MONTH(KS23),DAY(KS23))</f>
        <v>46479</v>
      </c>
      <c r="KU23" s="65">
        <f ca="1">KT23-TODAY()</f>
        <v>348</v>
      </c>
      <c r="KV23" s="15" t="str">
        <f t="shared" ca="1" si="147"/>
        <v>VIGENTE</v>
      </c>
      <c r="KW23" s="14">
        <v>44614</v>
      </c>
      <c r="KX23" s="14">
        <f>DATE(YEAR(KW23)+5,MONTH(KW23),DAY(KW23))</f>
        <v>46440</v>
      </c>
      <c r="KY23" s="65">
        <f ca="1">KX23-TODAY()</f>
        <v>309</v>
      </c>
      <c r="KZ23" s="15" t="str">
        <f t="shared" ca="1" si="134"/>
        <v>VIGENTE</v>
      </c>
      <c r="LA23" s="16"/>
      <c r="LB23" s="16"/>
      <c r="LC23" s="14"/>
      <c r="LD23" s="65"/>
      <c r="LE23" s="15" t="str">
        <f t="shared" si="107"/>
        <v>NO APLICA</v>
      </c>
      <c r="LF23" s="15"/>
      <c r="LG23" s="13">
        <v>44218</v>
      </c>
      <c r="LH23" s="14">
        <f>DATE(YEAR(LG23)+5,MONTH(LG23),DAY(LG23))</f>
        <v>46044</v>
      </c>
      <c r="LI23" s="65">
        <f ca="1">LH23-TODAY()</f>
        <v>-87</v>
      </c>
      <c r="LJ23" s="15" t="str">
        <f t="shared" ca="1" si="148"/>
        <v>VENCIDA</v>
      </c>
      <c r="LK23" s="12"/>
      <c r="LL23" s="16"/>
      <c r="LM23" s="14"/>
      <c r="LN23" s="65"/>
      <c r="LO23" s="15" t="str">
        <f t="shared" si="135"/>
        <v>NO APLICA</v>
      </c>
      <c r="LP23" s="16"/>
      <c r="LQ23" s="16"/>
      <c r="LR23" s="14"/>
      <c r="LS23" s="65"/>
      <c r="LT23" s="15" t="str">
        <f t="shared" si="136"/>
        <v>NO APLICA</v>
      </c>
      <c r="LU23" s="16"/>
      <c r="LV23" s="16"/>
      <c r="LW23" s="14"/>
      <c r="LX23" s="65"/>
      <c r="LY23" s="15" t="str">
        <f t="shared" si="137"/>
        <v>NO APLICA</v>
      </c>
      <c r="LZ23" s="12"/>
      <c r="MA23" s="12"/>
      <c r="MB23" s="14"/>
      <c r="MC23" s="65"/>
      <c r="MD23" s="15" t="str">
        <f t="shared" si="108"/>
        <v>NO APLICA</v>
      </c>
      <c r="ME23" s="12"/>
      <c r="MF23" s="12"/>
      <c r="MG23" s="14"/>
      <c r="MH23" s="65"/>
      <c r="MI23" s="15" t="str">
        <f t="shared" si="109"/>
        <v>NO APLICA</v>
      </c>
      <c r="MJ23" s="12"/>
      <c r="MK23" s="14"/>
      <c r="ML23" s="65"/>
      <c r="MM23" s="15" t="str">
        <f t="shared" si="110"/>
        <v>NO APLICA</v>
      </c>
      <c r="MN23" s="12"/>
      <c r="MO23" s="14"/>
      <c r="MP23" s="12"/>
      <c r="MQ23" s="15" t="str">
        <f t="shared" si="111"/>
        <v>NO APLICA</v>
      </c>
      <c r="MR23" s="12"/>
      <c r="MS23" s="16"/>
      <c r="MT23" s="14"/>
      <c r="MU23" s="65"/>
      <c r="MV23" s="15" t="str">
        <f t="shared" si="112"/>
        <v>NO APLICA</v>
      </c>
      <c r="MW23" s="12"/>
      <c r="MX23" s="16"/>
      <c r="MY23" s="14"/>
      <c r="MZ23" s="65"/>
      <c r="NA23" s="15" t="str">
        <f t="shared" si="113"/>
        <v>NO APLICA</v>
      </c>
      <c r="NB23" s="12"/>
      <c r="NC23" s="16"/>
      <c r="ND23" s="14"/>
      <c r="NE23" s="65"/>
      <c r="NF23" s="15" t="str">
        <f t="shared" si="114"/>
        <v>NO APLICA</v>
      </c>
      <c r="NG23" s="12"/>
      <c r="NH23" s="12"/>
      <c r="NI23" s="14"/>
      <c r="NJ23" s="65"/>
      <c r="NK23" s="15" t="str">
        <f t="shared" si="115"/>
        <v>NO APLICA</v>
      </c>
      <c r="NL23" s="12"/>
      <c r="NM23" s="12"/>
      <c r="NN23" s="14"/>
      <c r="NO23" s="12"/>
      <c r="NP23" s="15" t="str">
        <f t="shared" si="116"/>
        <v>NO APLICA</v>
      </c>
      <c r="NQ23" s="16"/>
      <c r="NR23" s="16"/>
      <c r="NS23" s="14"/>
      <c r="NT23" s="65"/>
      <c r="NU23" s="15" t="str">
        <f t="shared" si="117"/>
        <v>NO APLICA</v>
      </c>
      <c r="NV23" s="16"/>
      <c r="NW23" s="16"/>
      <c r="NX23" s="16"/>
      <c r="NY23" s="16"/>
      <c r="NZ23" s="15" t="str">
        <f t="shared" si="118"/>
        <v>NO APLICA</v>
      </c>
    </row>
    <row r="24" spans="1:390" ht="15.6" thickTop="1" thickBot="1" x14ac:dyDescent="0.35">
      <c r="A24" s="11">
        <v>1682</v>
      </c>
      <c r="B24" s="10" t="s">
        <v>178</v>
      </c>
      <c r="C24" s="21" t="s">
        <v>104</v>
      </c>
      <c r="D24" s="64" t="s">
        <v>110</v>
      </c>
      <c r="E24" s="15"/>
      <c r="F24" s="16"/>
      <c r="G24" s="14"/>
      <c r="H24" s="65"/>
      <c r="I24" s="15" t="str">
        <f t="shared" si="0"/>
        <v>NO APLICA</v>
      </c>
      <c r="J24" s="12"/>
      <c r="K24" s="16"/>
      <c r="L24" s="16"/>
      <c r="M24" s="65"/>
      <c r="N24" s="15" t="str">
        <f t="shared" si="1"/>
        <v>NO APLICA</v>
      </c>
      <c r="O24" s="16"/>
      <c r="P24" s="16"/>
      <c r="Q24" s="14"/>
      <c r="R24" s="65"/>
      <c r="S24" s="15" t="str">
        <f t="shared" si="119"/>
        <v>NO APLICA</v>
      </c>
      <c r="T24" s="12" t="s">
        <v>179</v>
      </c>
      <c r="U24" s="13">
        <v>45141</v>
      </c>
      <c r="V24" s="14">
        <v>45142</v>
      </c>
      <c r="W24" s="14">
        <f t="shared" si="2"/>
        <v>46969</v>
      </c>
      <c r="X24" s="65">
        <f t="shared" ca="1" si="3"/>
        <v>838</v>
      </c>
      <c r="Y24" s="15" t="str">
        <f t="shared" ca="1" si="4"/>
        <v>VIGENTE</v>
      </c>
      <c r="Z24" s="12" t="s">
        <v>180</v>
      </c>
      <c r="AA24" s="13">
        <v>45148</v>
      </c>
      <c r="AB24" s="14">
        <v>45149</v>
      </c>
      <c r="AC24" s="14">
        <f>DATE(YEAR(AB24)+5,MONTH(AB24),DAY(AB24))</f>
        <v>46976</v>
      </c>
      <c r="AD24" s="65">
        <f ca="1">AC24-TODAY()</f>
        <v>845</v>
      </c>
      <c r="AE24" s="15" t="str">
        <f t="shared" ca="1" si="7"/>
        <v>VIGENTE</v>
      </c>
      <c r="AF24" s="13">
        <v>45228</v>
      </c>
      <c r="AG24" s="14">
        <v>45902</v>
      </c>
      <c r="AH24" s="14">
        <f>DATE(YEAR(AG24)+2,MONTH(AG24),DAY(AG24))</f>
        <v>46632</v>
      </c>
      <c r="AI24" s="65">
        <f t="shared" ca="1" si="8"/>
        <v>501</v>
      </c>
      <c r="AJ24" s="15" t="str">
        <f t="shared" ca="1" si="9"/>
        <v>VIGENTE</v>
      </c>
      <c r="AK24" s="12"/>
      <c r="AL24" s="14">
        <v>45937</v>
      </c>
      <c r="AM24" s="14">
        <f t="shared" si="178"/>
        <v>46667</v>
      </c>
      <c r="AN24" s="65">
        <f t="shared" ca="1" si="10"/>
        <v>536</v>
      </c>
      <c r="AO24" s="15" t="str">
        <f t="shared" ca="1" si="11"/>
        <v>VIGENTE</v>
      </c>
      <c r="AP24" s="13">
        <v>45172</v>
      </c>
      <c r="AQ24" s="14">
        <v>45820</v>
      </c>
      <c r="AR24" s="14">
        <f t="shared" si="174"/>
        <v>46550</v>
      </c>
      <c r="AS24" s="65">
        <f t="shared" ca="1" si="12"/>
        <v>419</v>
      </c>
      <c r="AT24" s="15" t="str">
        <f t="shared" ca="1" si="13"/>
        <v>VIGENTE</v>
      </c>
      <c r="AU24" s="13">
        <v>45128</v>
      </c>
      <c r="AV24" s="14">
        <v>45765</v>
      </c>
      <c r="AW24" s="14">
        <f>DATE(YEAR(AV24)+2,MONTH(AV24),DAY(AV24))</f>
        <v>46495</v>
      </c>
      <c r="AX24" s="65">
        <f t="shared" ca="1" si="15"/>
        <v>364</v>
      </c>
      <c r="AY24" s="15" t="str">
        <f t="shared" ca="1" si="16"/>
        <v>VIGENTE</v>
      </c>
      <c r="AZ24" s="13">
        <v>45245</v>
      </c>
      <c r="BA24" s="14">
        <v>45901</v>
      </c>
      <c r="BB24" s="14">
        <f>DATE(YEAR(BA24)+2,MONTH(BA24),DAY(BA24))</f>
        <v>46631</v>
      </c>
      <c r="BC24" s="65">
        <f t="shared" ca="1" si="17"/>
        <v>500</v>
      </c>
      <c r="BD24" s="15" t="str">
        <f t="shared" ca="1" si="18"/>
        <v>VIGENTE</v>
      </c>
      <c r="BE24" s="13">
        <v>45177</v>
      </c>
      <c r="BF24" s="14">
        <v>45842</v>
      </c>
      <c r="BG24" s="14">
        <f>DATE(YEAR(BF24)+2,MONTH(BF24),DAY(BF24))</f>
        <v>46572</v>
      </c>
      <c r="BH24" s="65">
        <f t="shared" ca="1" si="19"/>
        <v>441</v>
      </c>
      <c r="BI24" s="15" t="str">
        <f t="shared" ca="1" si="20"/>
        <v>VIGENTE</v>
      </c>
      <c r="BJ24" s="13">
        <v>45140</v>
      </c>
      <c r="BK24" s="14">
        <v>45797</v>
      </c>
      <c r="BL24" s="14">
        <f>DATE(YEAR(BK24)+2,MONTH(BK24),DAY(BK24))</f>
        <v>46527</v>
      </c>
      <c r="BM24" s="65">
        <f t="shared" ca="1" si="21"/>
        <v>396</v>
      </c>
      <c r="BN24" s="15" t="str">
        <f t="shared" ca="1" si="22"/>
        <v>VIGENTE</v>
      </c>
      <c r="BO24" s="13">
        <v>45126</v>
      </c>
      <c r="BP24" s="14">
        <v>45750</v>
      </c>
      <c r="BQ24" s="14">
        <f>DATE(YEAR(BP24)+2,MONTH(BP24),DAY(BP24)-1)</f>
        <v>46479</v>
      </c>
      <c r="BR24" s="65">
        <f t="shared" ca="1" si="23"/>
        <v>348</v>
      </c>
      <c r="BS24" s="15" t="str">
        <f t="shared" ca="1" si="24"/>
        <v>VIGENTE</v>
      </c>
      <c r="BT24" s="13">
        <v>45153</v>
      </c>
      <c r="BU24" s="14">
        <v>45813</v>
      </c>
      <c r="BV24" s="14">
        <f t="shared" si="179"/>
        <v>46542</v>
      </c>
      <c r="BW24" s="65">
        <f t="shared" ca="1" si="25"/>
        <v>411</v>
      </c>
      <c r="BX24" s="15" t="str">
        <f t="shared" ca="1" si="26"/>
        <v>VIGENTE</v>
      </c>
      <c r="BY24" s="13">
        <v>45293</v>
      </c>
      <c r="BZ24" s="14">
        <v>45954</v>
      </c>
      <c r="CA24" s="14">
        <f t="shared" si="180"/>
        <v>46684</v>
      </c>
      <c r="CB24" s="65">
        <f t="shared" ca="1" si="27"/>
        <v>553</v>
      </c>
      <c r="CC24" s="15" t="str">
        <f t="shared" ca="1" si="28"/>
        <v>VIGENTE</v>
      </c>
      <c r="CD24" s="16" t="s">
        <v>108</v>
      </c>
      <c r="CE24" s="14">
        <v>45226</v>
      </c>
      <c r="CF24" s="14">
        <v>45227</v>
      </c>
      <c r="CG24" s="14">
        <f t="shared" si="29"/>
        <v>46688</v>
      </c>
      <c r="CH24" s="65">
        <f t="shared" ca="1" si="30"/>
        <v>557</v>
      </c>
      <c r="CI24" s="15" t="str">
        <f t="shared" ca="1" si="31"/>
        <v>VIGENTE</v>
      </c>
      <c r="CJ24" s="14">
        <v>45156</v>
      </c>
      <c r="CK24" s="14">
        <v>45801</v>
      </c>
      <c r="CL24" s="14">
        <f>DATE(YEAR(CK24)+2,MONTH(CK24),DAY(CK24)-1)</f>
        <v>46530</v>
      </c>
      <c r="CM24" s="65">
        <f t="shared" ca="1" si="32"/>
        <v>399</v>
      </c>
      <c r="CN24" s="15" t="str">
        <f t="shared" ca="1" si="33"/>
        <v>VIGENTE</v>
      </c>
      <c r="CO24" s="12">
        <v>45132</v>
      </c>
      <c r="CP24" s="14">
        <v>45769</v>
      </c>
      <c r="CQ24" s="14">
        <f>DATE(YEAR(CP24)+2,MONTH(CP24),DAY(CP24))</f>
        <v>46499</v>
      </c>
      <c r="CR24" s="65">
        <f t="shared" ca="1" si="34"/>
        <v>368</v>
      </c>
      <c r="CS24" s="15" t="str">
        <f t="shared" ca="1" si="35"/>
        <v>VIGENTE</v>
      </c>
      <c r="CT24" s="13">
        <v>45287</v>
      </c>
      <c r="CU24" s="14">
        <v>45965</v>
      </c>
      <c r="CV24" s="14">
        <f>DATE(YEAR(CU24)+2,MONTH(CU24),DAY(CU24))</f>
        <v>46695</v>
      </c>
      <c r="CW24" s="65">
        <f t="shared" ca="1" si="36"/>
        <v>564</v>
      </c>
      <c r="CX24" s="15" t="str">
        <f t="shared" ca="1" si="37"/>
        <v>VIGENTE</v>
      </c>
      <c r="CY24" s="13">
        <v>45194</v>
      </c>
      <c r="CZ24" s="14">
        <v>45835</v>
      </c>
      <c r="DA24" s="14">
        <f>DATE(YEAR(CZ24)+2,MONTH(CZ24),DAY(CZ24))</f>
        <v>46565</v>
      </c>
      <c r="DB24" s="65">
        <f t="shared" ca="1" si="38"/>
        <v>434</v>
      </c>
      <c r="DC24" s="15" t="str">
        <f t="shared" ca="1" si="39"/>
        <v>VIGENTE</v>
      </c>
      <c r="DD24" s="13">
        <v>45181</v>
      </c>
      <c r="DE24" s="14">
        <v>45836</v>
      </c>
      <c r="DF24" s="14">
        <f>DATE(YEAR(DE24)+2,MONTH(DE24),DAY(DE24))</f>
        <v>46566</v>
      </c>
      <c r="DG24" s="65">
        <f t="shared" ca="1" si="40"/>
        <v>435</v>
      </c>
      <c r="DH24" s="15" t="str">
        <f t="shared" ca="1" si="41"/>
        <v>VIGENTE</v>
      </c>
      <c r="DI24" s="13">
        <v>45251</v>
      </c>
      <c r="DJ24" s="14">
        <v>45899</v>
      </c>
      <c r="DK24" s="14">
        <f>DATE(YEAR(DJ24)+2,MONTH(DJ24),DAY(DJ24))</f>
        <v>46629</v>
      </c>
      <c r="DL24" s="65">
        <f t="shared" ca="1" si="43"/>
        <v>498</v>
      </c>
      <c r="DM24" s="15" t="str">
        <f t="shared" ca="1" si="44"/>
        <v>VIGENTE</v>
      </c>
      <c r="DN24" s="13">
        <v>45196</v>
      </c>
      <c r="DO24" s="14">
        <v>45857</v>
      </c>
      <c r="DP24" s="14">
        <f>DATE(YEAR(DO24)+2,MONTH(DO24),DAY(DO24))</f>
        <v>46587</v>
      </c>
      <c r="DQ24" s="65">
        <f t="shared" ca="1" si="46"/>
        <v>456</v>
      </c>
      <c r="DR24" s="15" t="str">
        <f t="shared" ca="1" si="47"/>
        <v>VIGENTE</v>
      </c>
      <c r="DS24" s="13">
        <v>45180</v>
      </c>
      <c r="DT24" s="14">
        <v>45852</v>
      </c>
      <c r="DU24" s="14">
        <f>DATE(YEAR(DT24)+2,MONTH(DT24),DAY(DT24))</f>
        <v>46582</v>
      </c>
      <c r="DV24" s="65">
        <f t="shared" ca="1" si="48"/>
        <v>451</v>
      </c>
      <c r="DW24" s="15" t="str">
        <f t="shared" ca="1" si="49"/>
        <v>VIGENTE</v>
      </c>
      <c r="DX24" s="13">
        <v>45254</v>
      </c>
      <c r="DY24" s="14">
        <v>45915</v>
      </c>
      <c r="DZ24" s="14">
        <f>DATE(YEAR(DY24)+2,MONTH(DY24),DAY(DY24))</f>
        <v>46645</v>
      </c>
      <c r="EA24" s="65">
        <f t="shared" ca="1" si="50"/>
        <v>514</v>
      </c>
      <c r="EB24" s="15" t="str">
        <f t="shared" ca="1" si="51"/>
        <v>VIGENTE</v>
      </c>
      <c r="EC24" s="13">
        <v>45255</v>
      </c>
      <c r="ED24" s="14">
        <v>45913</v>
      </c>
      <c r="EE24" s="14">
        <f>DATE(YEAR(ED24)+2,MONTH(ED24),DAY(ED24))</f>
        <v>46643</v>
      </c>
      <c r="EF24" s="65">
        <f t="shared" ca="1" si="52"/>
        <v>512</v>
      </c>
      <c r="EG24" s="15" t="str">
        <f t="shared" ca="1" si="53"/>
        <v>VIGENTE</v>
      </c>
      <c r="EH24" s="13">
        <v>45229</v>
      </c>
      <c r="EI24" s="13">
        <v>45810</v>
      </c>
      <c r="EJ24" s="13">
        <v>45811</v>
      </c>
      <c r="EK24" s="14">
        <v>45812</v>
      </c>
      <c r="EL24" s="14">
        <f t="shared" si="128"/>
        <v>46177</v>
      </c>
      <c r="EM24" s="65">
        <f t="shared" ca="1" si="54"/>
        <v>46</v>
      </c>
      <c r="EN24" s="15" t="str">
        <f t="shared" ca="1" si="55"/>
        <v>POR VENCER</v>
      </c>
      <c r="EO24" s="13">
        <v>45262</v>
      </c>
      <c r="EP24" s="14">
        <v>45966</v>
      </c>
      <c r="EQ24" s="14">
        <f>DATE(YEAR(EP24)+2,MONTH(EP24),DAY(EP24))</f>
        <v>46696</v>
      </c>
      <c r="ER24" s="65">
        <f t="shared" ca="1" si="56"/>
        <v>565</v>
      </c>
      <c r="ES24" s="15" t="str">
        <f t="shared" ca="1" si="57"/>
        <v>VIGENTE</v>
      </c>
      <c r="ET24" s="13">
        <v>45178</v>
      </c>
      <c r="EU24" s="14">
        <v>45824</v>
      </c>
      <c r="EV24" s="14">
        <f>DATE(YEAR(EU24)+2,MONTH(EU24),DAY(EU24))</f>
        <v>46554</v>
      </c>
      <c r="EW24" s="65">
        <f t="shared" ca="1" si="58"/>
        <v>423</v>
      </c>
      <c r="EX24" s="15" t="str">
        <f t="shared" ca="1" si="59"/>
        <v>VIGENTE</v>
      </c>
      <c r="EY24" s="12"/>
      <c r="EZ24" s="14">
        <v>45953</v>
      </c>
      <c r="FA24" s="14">
        <f>DATE(YEAR(EZ24)+2,MONTH(EZ24),DAY(EZ24))</f>
        <v>46683</v>
      </c>
      <c r="FB24" s="65">
        <f t="shared" ca="1" si="60"/>
        <v>552</v>
      </c>
      <c r="FC24" s="15" t="str">
        <f t="shared" ca="1" si="61"/>
        <v>VIGENTE</v>
      </c>
      <c r="FD24" s="13">
        <v>45136</v>
      </c>
      <c r="FE24" s="14">
        <v>45783</v>
      </c>
      <c r="FF24" s="14">
        <f>DATE(YEAR(FE24)+2,MONTH(FE24),DAY(FE24))</f>
        <v>46513</v>
      </c>
      <c r="FG24" s="65">
        <f t="shared" ca="1" si="62"/>
        <v>382</v>
      </c>
      <c r="FH24" s="15" t="str">
        <f t="shared" ca="1" si="63"/>
        <v>VIGENTE</v>
      </c>
      <c r="FI24" s="13">
        <v>45145</v>
      </c>
      <c r="FJ24" s="14">
        <v>45790</v>
      </c>
      <c r="FK24" s="14">
        <f>DATE(YEAR(FJ24)+2,MONTH(FJ24),DAY(FJ24))</f>
        <v>46520</v>
      </c>
      <c r="FL24" s="65">
        <f t="shared" ca="1" si="64"/>
        <v>389</v>
      </c>
      <c r="FM24" s="15" t="str">
        <f t="shared" ca="1" si="65"/>
        <v>VIGENTE</v>
      </c>
      <c r="FN24" s="13">
        <v>45197</v>
      </c>
      <c r="FO24" s="14">
        <v>45850</v>
      </c>
      <c r="FP24" s="14">
        <f>DATE(YEAR(FO24)+2,MONTH(FO24),DAY(FO24))</f>
        <v>46580</v>
      </c>
      <c r="FQ24" s="65">
        <f t="shared" ca="1" si="67"/>
        <v>449</v>
      </c>
      <c r="FR24" s="15" t="str">
        <f t="shared" ca="1" si="68"/>
        <v>VIGENTE</v>
      </c>
      <c r="FS24" s="13">
        <v>45304</v>
      </c>
      <c r="FT24" s="14">
        <v>45957</v>
      </c>
      <c r="FU24" s="14">
        <f>DATE(YEAR(FT24)+2,MONTH(FT24),DAY(FT24))</f>
        <v>46687</v>
      </c>
      <c r="FV24" s="65">
        <f t="shared" ca="1" si="69"/>
        <v>556</v>
      </c>
      <c r="FW24" s="15" t="str">
        <f t="shared" ca="1" si="70"/>
        <v>VIGENTE</v>
      </c>
      <c r="FX24" s="13">
        <v>45146</v>
      </c>
      <c r="FY24" s="14">
        <v>45822</v>
      </c>
      <c r="FZ24" s="14">
        <f>DATE(YEAR(FY24)+2,MONTH(FY24),DAY(FY24))</f>
        <v>46552</v>
      </c>
      <c r="GA24" s="65">
        <f t="shared" ca="1" si="71"/>
        <v>421</v>
      </c>
      <c r="GB24" s="15" t="str">
        <f t="shared" ca="1" si="72"/>
        <v>VIGENTE</v>
      </c>
      <c r="GC24" s="13">
        <v>45173</v>
      </c>
      <c r="GD24" s="14">
        <v>45821</v>
      </c>
      <c r="GE24" s="14">
        <f>DATE(YEAR(GD24)+2,MONTH(GD24),DAY(GD24))</f>
        <v>46551</v>
      </c>
      <c r="GF24" s="65">
        <f t="shared" ca="1" si="73"/>
        <v>420</v>
      </c>
      <c r="GG24" s="15" t="str">
        <f t="shared" ca="1" si="74"/>
        <v>VIGENTE</v>
      </c>
      <c r="GH24" s="13">
        <v>45139</v>
      </c>
      <c r="GI24" s="14">
        <v>45814</v>
      </c>
      <c r="GJ24" s="14">
        <f>DATE(YEAR(GI24)+2,MONTH(GI24),DAY(GI24))</f>
        <v>46544</v>
      </c>
      <c r="GK24" s="65">
        <f t="shared" ca="1" si="75"/>
        <v>413</v>
      </c>
      <c r="GL24" s="15" t="str">
        <f t="shared" ca="1" si="76"/>
        <v>VIGENTE</v>
      </c>
      <c r="GM24" s="13">
        <v>45264</v>
      </c>
      <c r="GN24" s="14">
        <v>45958</v>
      </c>
      <c r="GO24" s="14">
        <f>DATE(YEAR(GN24)+2,MONTH(GN24),DAY(GN24))</f>
        <v>46688</v>
      </c>
      <c r="GP24" s="65">
        <f t="shared" ca="1" si="77"/>
        <v>557</v>
      </c>
      <c r="GQ24" s="15" t="str">
        <f t="shared" ca="1" si="78"/>
        <v>VIGENTE</v>
      </c>
      <c r="GR24" s="14"/>
      <c r="GS24" s="14">
        <v>45164</v>
      </c>
      <c r="GT24" s="14">
        <f t="shared" si="79"/>
        <v>46991</v>
      </c>
      <c r="GU24" s="65">
        <f t="shared" ca="1" si="172"/>
        <v>860</v>
      </c>
      <c r="GV24" s="15" t="str">
        <f t="shared" ca="1" si="81"/>
        <v>VIGENTE</v>
      </c>
      <c r="GW24" s="13"/>
      <c r="GX24" s="14">
        <v>45252</v>
      </c>
      <c r="GY24" s="14">
        <f t="shared" si="82"/>
        <v>47079</v>
      </c>
      <c r="GZ24" s="65">
        <f t="shared" ca="1" si="83"/>
        <v>948</v>
      </c>
      <c r="HA24" s="15" t="str">
        <f t="shared" ca="1" si="84"/>
        <v>VIGENTE</v>
      </c>
      <c r="HB24" s="12"/>
      <c r="HC24" s="14">
        <v>45127</v>
      </c>
      <c r="HD24" s="14">
        <f t="shared" si="85"/>
        <v>46954</v>
      </c>
      <c r="HE24" s="65">
        <f t="shared" ca="1" si="86"/>
        <v>823</v>
      </c>
      <c r="HF24" s="15" t="str">
        <f t="shared" ca="1" si="87"/>
        <v>VIGENTE</v>
      </c>
      <c r="HG24" s="16"/>
      <c r="HH24" s="14">
        <v>45150</v>
      </c>
      <c r="HI24" s="14">
        <f>DATE(YEAR(HH24)+5,MONTH(HH24),DAY(HH24))</f>
        <v>46977</v>
      </c>
      <c r="HJ24" s="65">
        <f ca="1">HI24-TODAY()</f>
        <v>846</v>
      </c>
      <c r="HK24" s="15" t="str">
        <f t="shared" ca="1" si="181"/>
        <v>VIGENTE</v>
      </c>
      <c r="HL24" s="12"/>
      <c r="HM24" s="16"/>
      <c r="HN24" s="14"/>
      <c r="HO24" s="65"/>
      <c r="HP24" s="15" t="str">
        <f t="shared" si="91"/>
        <v>NO APLICA</v>
      </c>
      <c r="HQ24" s="12"/>
      <c r="HR24" s="12"/>
      <c r="HS24" s="14"/>
      <c r="HT24" s="12"/>
      <c r="HU24" s="15" t="str">
        <f t="shared" si="92"/>
        <v>NO APLICA</v>
      </c>
      <c r="HV24" s="12"/>
      <c r="HW24" s="16"/>
      <c r="HX24" s="14"/>
      <c r="HY24" s="65"/>
      <c r="HZ24" s="15" t="str">
        <f t="shared" si="93"/>
        <v>NO APLICA</v>
      </c>
      <c r="IA24" s="12"/>
      <c r="IB24" s="16"/>
      <c r="IC24" s="14"/>
      <c r="ID24" s="65"/>
      <c r="IE24" s="15" t="str">
        <f t="shared" si="94"/>
        <v>NO APLICA</v>
      </c>
      <c r="IF24" s="12"/>
      <c r="IG24" s="14">
        <v>45355</v>
      </c>
      <c r="IH24" s="14">
        <f>DATE(YEAR(IG24)+5,MONTH(IG24),DAY(IG24))</f>
        <v>47181</v>
      </c>
      <c r="II24" s="65">
        <f ca="1">IH24-TODAY()</f>
        <v>1050</v>
      </c>
      <c r="IJ24" s="15" t="str">
        <f t="shared" ca="1" si="95"/>
        <v>VIGENTE</v>
      </c>
      <c r="IK24" s="16"/>
      <c r="IL24" s="16"/>
      <c r="IM24" s="14"/>
      <c r="IN24" s="65"/>
      <c r="IO24" s="15" t="str">
        <f t="shared" si="96"/>
        <v>NO APLICA</v>
      </c>
      <c r="IP24" s="12"/>
      <c r="IQ24" s="14">
        <v>45354</v>
      </c>
      <c r="IR24" s="14">
        <f>DATE(YEAR(IQ24)+5,MONTH(IQ24),DAY(IQ24))</f>
        <v>47180</v>
      </c>
      <c r="IS24" s="65">
        <f ca="1">IR24-TODAY()</f>
        <v>1049</v>
      </c>
      <c r="IT24" s="15" t="str">
        <f t="shared" ca="1" si="97"/>
        <v>VIGENTE</v>
      </c>
      <c r="IU24" s="12"/>
      <c r="IV24" s="14">
        <v>45350</v>
      </c>
      <c r="IW24" s="14">
        <f>DATE(YEAR(IV24)+5,MONTH(IV24),DAY(IV24))</f>
        <v>47177</v>
      </c>
      <c r="IX24" s="65">
        <f ca="1">IW24-TODAY()</f>
        <v>1046</v>
      </c>
      <c r="IY24" s="15" t="str">
        <f t="shared" ca="1" si="98"/>
        <v>VIGENTE</v>
      </c>
      <c r="IZ24" s="12"/>
      <c r="JA24" s="14">
        <v>45339</v>
      </c>
      <c r="JB24" s="14">
        <f>DATE(YEAR(JA24)+5,MONTH(JA24),DAY(JA24))</f>
        <v>47166</v>
      </c>
      <c r="JC24" s="65">
        <f ca="1">JB24-TODAY()</f>
        <v>1035</v>
      </c>
      <c r="JD24" s="15" t="str">
        <f t="shared" ca="1" si="99"/>
        <v>VIGENTE</v>
      </c>
      <c r="JE24" s="13"/>
      <c r="JF24" s="13"/>
      <c r="JG24" s="14"/>
      <c r="JH24" s="65"/>
      <c r="JI24" s="15" t="str">
        <f t="shared" si="100"/>
        <v>NO APLICA</v>
      </c>
      <c r="JJ24" s="16"/>
      <c r="JK24" s="16"/>
      <c r="JL24" s="16"/>
      <c r="JM24" s="15" t="str">
        <f t="shared" si="101"/>
        <v>NO APLICA</v>
      </c>
      <c r="JN24" s="16"/>
      <c r="JO24" s="16"/>
      <c r="JP24" s="16"/>
      <c r="JQ24" s="15" t="str">
        <f t="shared" si="102"/>
        <v>NO APLICA</v>
      </c>
      <c r="JR24" s="16"/>
      <c r="JS24" s="16"/>
      <c r="JT24" s="16"/>
      <c r="JU24" s="16"/>
      <c r="JV24" s="15" t="str">
        <f t="shared" si="103"/>
        <v>NO APLICA</v>
      </c>
      <c r="JW24" s="15"/>
      <c r="JX24" s="15"/>
      <c r="JY24" s="15"/>
      <c r="JZ24" s="15"/>
      <c r="KA24" s="15" t="str">
        <f t="shared" si="104"/>
        <v>NO APLICA</v>
      </c>
      <c r="KB24" s="12"/>
      <c r="KC24" s="14"/>
      <c r="KD24" s="65"/>
      <c r="KE24" s="15" t="str">
        <f t="shared" si="105"/>
        <v>NO APLICA</v>
      </c>
      <c r="KF24" s="12"/>
      <c r="KG24" s="14"/>
      <c r="KH24" s="65"/>
      <c r="KI24" s="15" t="str">
        <f t="shared" si="132"/>
        <v>NO APLICA</v>
      </c>
      <c r="KJ24" s="12"/>
      <c r="KK24" s="14"/>
      <c r="KL24" s="65"/>
      <c r="KM24" s="15" t="str">
        <f t="shared" si="106"/>
        <v>NO APLICA</v>
      </c>
      <c r="KN24" s="12"/>
      <c r="KO24" s="14"/>
      <c r="KP24" s="65"/>
      <c r="KQ24" s="15" t="str">
        <f t="shared" si="133"/>
        <v>NO APLICA</v>
      </c>
      <c r="KR24" s="12"/>
      <c r="KS24" s="16"/>
      <c r="KT24" s="14"/>
      <c r="KU24" s="65"/>
      <c r="KV24" s="15" t="str">
        <f t="shared" si="147"/>
        <v>NO APLICA</v>
      </c>
      <c r="KW24" s="16"/>
      <c r="KX24" s="14"/>
      <c r="KY24" s="65"/>
      <c r="KZ24" s="15" t="str">
        <f t="shared" si="134"/>
        <v>NO APLICA</v>
      </c>
      <c r="LA24" s="16"/>
      <c r="LB24" s="16"/>
      <c r="LC24" s="14"/>
      <c r="LD24" s="65"/>
      <c r="LE24" s="15" t="str">
        <f t="shared" si="107"/>
        <v>NO APLICA</v>
      </c>
      <c r="LF24" s="15"/>
      <c r="LG24" s="15"/>
      <c r="LH24" s="14"/>
      <c r="LI24" s="65"/>
      <c r="LJ24" s="15" t="str">
        <f t="shared" si="148"/>
        <v>NO APLICA</v>
      </c>
      <c r="LK24" s="12"/>
      <c r="LL24" s="16"/>
      <c r="LM24" s="14"/>
      <c r="LN24" s="65"/>
      <c r="LO24" s="15" t="str">
        <f t="shared" si="135"/>
        <v>NO APLICA</v>
      </c>
      <c r="LP24" s="16"/>
      <c r="LQ24" s="16"/>
      <c r="LR24" s="14"/>
      <c r="LS24" s="65"/>
      <c r="LT24" s="15" t="str">
        <f t="shared" si="136"/>
        <v>NO APLICA</v>
      </c>
      <c r="LU24" s="16"/>
      <c r="LV24" s="16"/>
      <c r="LW24" s="14"/>
      <c r="LX24" s="65"/>
      <c r="LY24" s="15" t="str">
        <f t="shared" si="137"/>
        <v>NO APLICA</v>
      </c>
      <c r="LZ24" s="12"/>
      <c r="MA24" s="12"/>
      <c r="MB24" s="14"/>
      <c r="MC24" s="65"/>
      <c r="MD24" s="15" t="str">
        <f t="shared" si="108"/>
        <v>NO APLICA</v>
      </c>
      <c r="ME24" s="12"/>
      <c r="MF24" s="12"/>
      <c r="MG24" s="14"/>
      <c r="MH24" s="65"/>
      <c r="MI24" s="15" t="str">
        <f t="shared" si="109"/>
        <v>NO APLICA</v>
      </c>
      <c r="MJ24" s="13">
        <v>45154</v>
      </c>
      <c r="MK24" s="14">
        <f>DATE(YEAR(MJ24)+5,MONTH(MJ24),DAY(MJ24))</f>
        <v>46981</v>
      </c>
      <c r="ML24" s="65">
        <f ca="1">MK24-TODAY()</f>
        <v>850</v>
      </c>
      <c r="MM24" s="15" t="str">
        <f t="shared" ca="1" si="110"/>
        <v>VIGENTE</v>
      </c>
      <c r="MN24" s="13">
        <v>45155</v>
      </c>
      <c r="MO24" s="14">
        <f>DATE(YEAR(MN24)+5,MONTH(MN24),DAY(MN24))</f>
        <v>46982</v>
      </c>
      <c r="MP24" s="65">
        <f ca="1">MO24-TODAY()</f>
        <v>851</v>
      </c>
      <c r="MQ24" s="15" t="str">
        <f t="shared" ca="1" si="111"/>
        <v>VIGENTE</v>
      </c>
      <c r="MR24" s="12"/>
      <c r="MS24" s="16"/>
      <c r="MT24" s="14"/>
      <c r="MU24" s="65"/>
      <c r="MV24" s="15" t="str">
        <f t="shared" si="112"/>
        <v>NO APLICA</v>
      </c>
      <c r="MW24" s="12"/>
      <c r="MX24" s="16"/>
      <c r="MY24" s="14"/>
      <c r="MZ24" s="65"/>
      <c r="NA24" s="15" t="str">
        <f t="shared" si="113"/>
        <v>NO APLICA</v>
      </c>
      <c r="NB24" s="12"/>
      <c r="NC24" s="16"/>
      <c r="ND24" s="14"/>
      <c r="NE24" s="65"/>
      <c r="NF24" s="15" t="str">
        <f t="shared" si="114"/>
        <v>NO APLICA</v>
      </c>
      <c r="NG24" s="12"/>
      <c r="NH24" s="12"/>
      <c r="NI24" s="14"/>
      <c r="NJ24" s="65"/>
      <c r="NK24" s="15" t="str">
        <f t="shared" si="115"/>
        <v>NO APLICA</v>
      </c>
      <c r="NL24" s="12"/>
      <c r="NM24" s="12"/>
      <c r="NN24" s="14"/>
      <c r="NO24" s="12"/>
      <c r="NP24" s="15" t="str">
        <f t="shared" si="116"/>
        <v>NO APLICA</v>
      </c>
      <c r="NQ24" s="16"/>
      <c r="NR24" s="16"/>
      <c r="NS24" s="14"/>
      <c r="NT24" s="65"/>
      <c r="NU24" s="15" t="str">
        <f t="shared" si="117"/>
        <v>NO APLICA</v>
      </c>
      <c r="NV24" s="16"/>
      <c r="NW24" s="16"/>
      <c r="NX24" s="16"/>
      <c r="NY24" s="16"/>
      <c r="NZ24" s="15" t="str">
        <f t="shared" si="118"/>
        <v>NO APLICA</v>
      </c>
    </row>
    <row r="25" spans="1:390" ht="15.6" thickTop="1" thickBot="1" x14ac:dyDescent="0.35">
      <c r="A25" s="9">
        <v>607</v>
      </c>
      <c r="B25" s="10" t="s">
        <v>181</v>
      </c>
      <c r="C25" s="21" t="s">
        <v>151</v>
      </c>
      <c r="D25" s="64" t="s">
        <v>165</v>
      </c>
      <c r="E25" s="13">
        <v>46057</v>
      </c>
      <c r="F25" s="14">
        <v>46058</v>
      </c>
      <c r="G25" s="14">
        <f>DATE(YEAR(F25)+2,MONTH(F25),DAY(F25))</f>
        <v>46788</v>
      </c>
      <c r="H25" s="65">
        <f ca="1">G25-TODAY()</f>
        <v>657</v>
      </c>
      <c r="I25" s="15" t="str">
        <f t="shared" ca="1" si="0"/>
        <v>VIGENTE</v>
      </c>
      <c r="J25" s="15"/>
      <c r="K25" s="16"/>
      <c r="L25" s="16"/>
      <c r="M25" s="65"/>
      <c r="N25" s="15" t="str">
        <f t="shared" si="1"/>
        <v>NO APLICA</v>
      </c>
      <c r="O25" s="14"/>
      <c r="P25" s="14"/>
      <c r="Q25" s="14"/>
      <c r="R25" s="65"/>
      <c r="S25" s="15" t="str">
        <f t="shared" si="119"/>
        <v>NO APLICA</v>
      </c>
      <c r="T25" s="12" t="s">
        <v>182</v>
      </c>
      <c r="U25" s="14">
        <v>45734</v>
      </c>
      <c r="V25" s="14">
        <v>45735</v>
      </c>
      <c r="W25" s="14">
        <f t="shared" si="2"/>
        <v>47561</v>
      </c>
      <c r="X25" s="65">
        <f t="shared" ca="1" si="3"/>
        <v>1430</v>
      </c>
      <c r="Y25" s="15" t="str">
        <f t="shared" ca="1" si="4"/>
        <v>VIGENTE</v>
      </c>
      <c r="Z25" s="12"/>
      <c r="AA25" s="12"/>
      <c r="AB25" s="14"/>
      <c r="AC25" s="14"/>
      <c r="AD25" s="65"/>
      <c r="AE25" s="15" t="str">
        <f t="shared" si="7"/>
        <v>NO APLICA</v>
      </c>
      <c r="AF25" s="13">
        <v>45061</v>
      </c>
      <c r="AG25" s="14">
        <v>45680</v>
      </c>
      <c r="AH25" s="14">
        <f>DATE(YEAR(AG25)+2,MONTH(AG25),DAY(AG25)-1)</f>
        <v>46409</v>
      </c>
      <c r="AI25" s="65">
        <f t="shared" ca="1" si="8"/>
        <v>278</v>
      </c>
      <c r="AJ25" s="15" t="str">
        <f t="shared" ca="1" si="9"/>
        <v>VIGENTE</v>
      </c>
      <c r="AK25" s="13">
        <v>44613</v>
      </c>
      <c r="AL25" s="14">
        <v>45937</v>
      </c>
      <c r="AM25" s="14">
        <f t="shared" si="178"/>
        <v>46667</v>
      </c>
      <c r="AN25" s="65">
        <f t="shared" ca="1" si="10"/>
        <v>536</v>
      </c>
      <c r="AO25" s="15" t="str">
        <f t="shared" ca="1" si="11"/>
        <v>VIGENTE</v>
      </c>
      <c r="AP25" s="13">
        <v>45226</v>
      </c>
      <c r="AQ25" s="14">
        <v>45904</v>
      </c>
      <c r="AR25" s="14">
        <f t="shared" si="174"/>
        <v>46634</v>
      </c>
      <c r="AS25" s="65">
        <f t="shared" ca="1" si="12"/>
        <v>503</v>
      </c>
      <c r="AT25" s="15" t="str">
        <f t="shared" ca="1" si="13"/>
        <v>VIGENTE</v>
      </c>
      <c r="AU25" s="13">
        <v>44664</v>
      </c>
      <c r="AV25" s="14">
        <v>45927</v>
      </c>
      <c r="AW25" s="14">
        <f>DATE(YEAR(AV25)+2,MONTH(AV25),DAY(AV25))</f>
        <v>46657</v>
      </c>
      <c r="AX25" s="65">
        <f t="shared" ca="1" si="15"/>
        <v>526</v>
      </c>
      <c r="AY25" s="15" t="str">
        <f t="shared" ca="1" si="16"/>
        <v>VIGENTE</v>
      </c>
      <c r="AZ25" s="13">
        <v>45075</v>
      </c>
      <c r="BA25" s="14">
        <v>45717</v>
      </c>
      <c r="BB25" s="14">
        <f>DATE(YEAR(BA25)+2,MONTH(BA25),DAY(BA25)-1)</f>
        <v>46446</v>
      </c>
      <c r="BC25" s="65">
        <f t="shared" ca="1" si="17"/>
        <v>315</v>
      </c>
      <c r="BD25" s="15" t="str">
        <f t="shared" ca="1" si="18"/>
        <v>VIGENTE</v>
      </c>
      <c r="BE25" s="13">
        <v>45310</v>
      </c>
      <c r="BF25" s="14">
        <v>45968</v>
      </c>
      <c r="BG25" s="14">
        <f>DATE(YEAR(BF25)+2,MONTH(BF25),DAY(BF25))</f>
        <v>46698</v>
      </c>
      <c r="BH25" s="65">
        <f t="shared" ca="1" si="19"/>
        <v>567</v>
      </c>
      <c r="BI25" s="15" t="str">
        <f t="shared" ca="1" si="20"/>
        <v>VIGENTE</v>
      </c>
      <c r="BJ25" s="13">
        <v>44722</v>
      </c>
      <c r="BK25" s="14">
        <v>46051</v>
      </c>
      <c r="BL25" s="14">
        <f>DATE(YEAR(BK25)+2,MONTH(BK25),DAY(BK25))</f>
        <v>46781</v>
      </c>
      <c r="BM25" s="65">
        <f t="shared" ca="1" si="21"/>
        <v>650</v>
      </c>
      <c r="BN25" s="15" t="str">
        <f t="shared" ca="1" si="22"/>
        <v>VIGENTE</v>
      </c>
      <c r="BO25" s="13">
        <v>44749</v>
      </c>
      <c r="BP25" s="14">
        <v>46050</v>
      </c>
      <c r="BQ25" s="14">
        <f>DATE(YEAR(BP25)+2,MONTH(BP25),DAY(BP25))</f>
        <v>46780</v>
      </c>
      <c r="BR25" s="65">
        <f t="shared" ca="1" si="23"/>
        <v>649</v>
      </c>
      <c r="BS25" s="15" t="str">
        <f t="shared" ca="1" si="24"/>
        <v>VIGENTE</v>
      </c>
      <c r="BT25" s="13">
        <v>45048</v>
      </c>
      <c r="BU25" s="14">
        <v>45695</v>
      </c>
      <c r="BV25" s="14">
        <f t="shared" si="179"/>
        <v>46424</v>
      </c>
      <c r="BW25" s="65">
        <f t="shared" ca="1" si="25"/>
        <v>293</v>
      </c>
      <c r="BX25" s="15" t="str">
        <f t="shared" ca="1" si="26"/>
        <v>VIGENTE</v>
      </c>
      <c r="BY25" s="13">
        <v>44975</v>
      </c>
      <c r="BZ25" s="14">
        <v>45600</v>
      </c>
      <c r="CA25" s="14">
        <f>DATE(YEAR(BZ25)+2,MONTH(BZ25),DAY(BZ25)-1)</f>
        <v>46329</v>
      </c>
      <c r="CB25" s="65">
        <f t="shared" ca="1" si="27"/>
        <v>198</v>
      </c>
      <c r="CC25" s="15" t="str">
        <f t="shared" ca="1" si="28"/>
        <v>VIGENTE</v>
      </c>
      <c r="CD25" s="16" t="s">
        <v>183</v>
      </c>
      <c r="CE25" s="14">
        <v>44540</v>
      </c>
      <c r="CF25" s="14">
        <v>44541</v>
      </c>
      <c r="CG25" s="14">
        <f t="shared" si="29"/>
        <v>46002</v>
      </c>
      <c r="CH25" s="65">
        <f t="shared" ca="1" si="30"/>
        <v>-129</v>
      </c>
      <c r="CI25" s="15" t="str">
        <f t="shared" ca="1" si="31"/>
        <v>VENCIDA</v>
      </c>
      <c r="CJ25" s="14">
        <v>44875</v>
      </c>
      <c r="CK25" s="14">
        <v>45504</v>
      </c>
      <c r="CL25" s="14">
        <f>DATE(YEAR(CK25)+2,MONTH(CK25),DAY(CK25)-1)</f>
        <v>46233</v>
      </c>
      <c r="CM25" s="65">
        <f t="shared" ca="1" si="32"/>
        <v>102</v>
      </c>
      <c r="CN25" s="15" t="str">
        <f t="shared" ca="1" si="33"/>
        <v>VIGENTE</v>
      </c>
      <c r="CO25" s="13">
        <v>44900</v>
      </c>
      <c r="CP25" s="14">
        <v>45513</v>
      </c>
      <c r="CQ25" s="14">
        <f>DATE(YEAR(CP25)+2,MONTH(CP25),DAY(CP25)-1)</f>
        <v>46242</v>
      </c>
      <c r="CR25" s="65">
        <f t="shared" ca="1" si="34"/>
        <v>111</v>
      </c>
      <c r="CS25" s="15" t="str">
        <f t="shared" ca="1" si="35"/>
        <v>VIGENTE</v>
      </c>
      <c r="CT25" s="13">
        <v>44970</v>
      </c>
      <c r="CU25" s="14">
        <v>45624</v>
      </c>
      <c r="CV25" s="14">
        <f>DATE(YEAR(CU25)+2,MONTH(CU25),DAY(CU25)-1)</f>
        <v>46353</v>
      </c>
      <c r="CW25" s="65">
        <f t="shared" ca="1" si="36"/>
        <v>222</v>
      </c>
      <c r="CX25" s="15" t="str">
        <f t="shared" ca="1" si="37"/>
        <v>VIGENTE</v>
      </c>
      <c r="CY25" s="13">
        <v>45057</v>
      </c>
      <c r="CZ25" s="14">
        <v>45744</v>
      </c>
      <c r="DA25" s="14">
        <f>DATE(YEAR(CZ25)+2,MONTH(CZ25),DAY(CZ25)-1)</f>
        <v>46473</v>
      </c>
      <c r="DB25" s="65">
        <f t="shared" ca="1" si="38"/>
        <v>342</v>
      </c>
      <c r="DC25" s="15" t="str">
        <f t="shared" ca="1" si="39"/>
        <v>VIGENTE</v>
      </c>
      <c r="DD25" s="13">
        <v>45079</v>
      </c>
      <c r="DE25" s="14">
        <v>45723</v>
      </c>
      <c r="DF25" s="14">
        <f t="shared" ref="DF25:DF33" si="182">DATE(YEAR(DE25)+2,MONTH(DE25),DAY(DE25)-1)</f>
        <v>46452</v>
      </c>
      <c r="DG25" s="65">
        <f t="shared" ca="1" si="40"/>
        <v>321</v>
      </c>
      <c r="DH25" s="15" t="str">
        <f t="shared" ca="1" si="41"/>
        <v>VIGENTE</v>
      </c>
      <c r="DI25" s="13">
        <v>45027</v>
      </c>
      <c r="DJ25" s="14">
        <v>45696</v>
      </c>
      <c r="DK25" s="14">
        <f>DATE(YEAR(DJ25)+2,MONTH(DJ25),DAY(DJ25)-1)</f>
        <v>46425</v>
      </c>
      <c r="DL25" s="65">
        <f t="shared" ca="1" si="43"/>
        <v>294</v>
      </c>
      <c r="DM25" s="15" t="str">
        <f t="shared" ca="1" si="44"/>
        <v>VIGENTE</v>
      </c>
      <c r="DN25" s="13">
        <v>45054</v>
      </c>
      <c r="DO25" s="14">
        <v>45731</v>
      </c>
      <c r="DP25" s="14">
        <f>DATE(YEAR(DO25)+2,MONTH(DO25),DAY(DO25)-1)</f>
        <v>46460</v>
      </c>
      <c r="DQ25" s="65">
        <f t="shared" ca="1" si="46"/>
        <v>329</v>
      </c>
      <c r="DR25" s="15" t="str">
        <f t="shared" ca="1" si="47"/>
        <v>VIGENTE</v>
      </c>
      <c r="DS25" s="13">
        <v>44935</v>
      </c>
      <c r="DT25" s="14">
        <v>45608</v>
      </c>
      <c r="DU25" s="14">
        <f>DATE(YEAR(DT25)+2,MONTH(DT25),DAY(DT25)-1)</f>
        <v>46337</v>
      </c>
      <c r="DV25" s="65">
        <f t="shared" ca="1" si="48"/>
        <v>206</v>
      </c>
      <c r="DW25" s="15" t="str">
        <f t="shared" ca="1" si="49"/>
        <v>VIGENTE</v>
      </c>
      <c r="DX25" s="13">
        <v>44992</v>
      </c>
      <c r="DY25" s="14">
        <v>45663</v>
      </c>
      <c r="DZ25" s="14">
        <f>DATE(YEAR(DY25)+2,MONTH(DY25),DAY(DY25)-1)</f>
        <v>46392</v>
      </c>
      <c r="EA25" s="65">
        <f t="shared" ca="1" si="50"/>
        <v>261</v>
      </c>
      <c r="EB25" s="15" t="str">
        <f t="shared" ca="1" si="51"/>
        <v>VIGENTE</v>
      </c>
      <c r="EC25" s="13">
        <v>44940</v>
      </c>
      <c r="ED25" s="14">
        <v>45602</v>
      </c>
      <c r="EE25" s="14">
        <f>DATE(YEAR(ED25)+2,MONTH(ED25),DAY(ED25)-1)</f>
        <v>46331</v>
      </c>
      <c r="EF25" s="65">
        <f t="shared" ca="1" si="52"/>
        <v>200</v>
      </c>
      <c r="EG25" s="15" t="str">
        <f t="shared" ca="1" si="53"/>
        <v>VIGENTE</v>
      </c>
      <c r="EH25" s="13">
        <v>44928</v>
      </c>
      <c r="EI25" s="13">
        <v>46083</v>
      </c>
      <c r="EJ25" s="13">
        <v>46084</v>
      </c>
      <c r="EK25" s="13">
        <v>46085</v>
      </c>
      <c r="EL25" s="14">
        <f t="shared" si="128"/>
        <v>46450</v>
      </c>
      <c r="EM25" s="65">
        <f t="shared" ca="1" si="54"/>
        <v>319</v>
      </c>
      <c r="EN25" s="15" t="str">
        <f t="shared" ca="1" si="55"/>
        <v>VIGENTE</v>
      </c>
      <c r="EO25" s="13">
        <v>45016</v>
      </c>
      <c r="EP25" s="14">
        <v>45671</v>
      </c>
      <c r="EQ25" s="14">
        <f>DATE(YEAR(EP25)+2,MONTH(EP25),DAY(EP25)-1)</f>
        <v>46400</v>
      </c>
      <c r="ER25" s="65">
        <f t="shared" ca="1" si="56"/>
        <v>269</v>
      </c>
      <c r="ES25" s="15" t="str">
        <f t="shared" ca="1" si="57"/>
        <v>VIGENTE</v>
      </c>
      <c r="ET25" s="13">
        <v>45003</v>
      </c>
      <c r="EU25" s="14">
        <v>45623</v>
      </c>
      <c r="EV25" s="14">
        <f>DATE(YEAR(EU25)+2,MONTH(EU25),DAY(EU25)-1)</f>
        <v>46352</v>
      </c>
      <c r="EW25" s="65">
        <f t="shared" ca="1" si="58"/>
        <v>221</v>
      </c>
      <c r="EX25" s="15" t="str">
        <f t="shared" ca="1" si="59"/>
        <v>VIGENTE</v>
      </c>
      <c r="EY25" s="13">
        <v>45017</v>
      </c>
      <c r="EZ25" s="14">
        <v>45694</v>
      </c>
      <c r="FA25" s="14">
        <f>DATE(YEAR(EZ25)+2,MONTH(EZ25),DAY(EZ25)-1)</f>
        <v>46423</v>
      </c>
      <c r="FB25" s="65">
        <f t="shared" ca="1" si="60"/>
        <v>292</v>
      </c>
      <c r="FC25" s="15" t="str">
        <f t="shared" ca="1" si="61"/>
        <v>VIGENTE</v>
      </c>
      <c r="FD25" s="13">
        <v>45041</v>
      </c>
      <c r="FE25" s="14">
        <v>45666</v>
      </c>
      <c r="FF25" s="14">
        <f>DATE(YEAR(FE25)+2,MONTH(FE25),DAY(FE25)-1)</f>
        <v>46395</v>
      </c>
      <c r="FG25" s="65">
        <f t="shared" ca="1" si="62"/>
        <v>264</v>
      </c>
      <c r="FH25" s="15" t="str">
        <f t="shared" ca="1" si="63"/>
        <v>VIGENTE</v>
      </c>
      <c r="FI25" s="13">
        <v>45006</v>
      </c>
      <c r="FJ25" s="14">
        <v>45668</v>
      </c>
      <c r="FK25" s="14">
        <f>DATE(YEAR(FJ25)+2,MONTH(FJ25),DAY(FJ25)-1)</f>
        <v>46397</v>
      </c>
      <c r="FL25" s="65">
        <f t="shared" ca="1" si="64"/>
        <v>266</v>
      </c>
      <c r="FM25" s="15" t="str">
        <f t="shared" ca="1" si="65"/>
        <v>VIGENTE</v>
      </c>
      <c r="FN25" s="13">
        <v>45002</v>
      </c>
      <c r="FO25" s="14">
        <v>45670</v>
      </c>
      <c r="FP25" s="14">
        <f>DATE(YEAR(FO25)+2,MONTH(FO25),DAY(FO25)-1)</f>
        <v>46399</v>
      </c>
      <c r="FQ25" s="65">
        <f t="shared" ca="1" si="67"/>
        <v>268</v>
      </c>
      <c r="FR25" s="15" t="str">
        <f t="shared" ca="1" si="68"/>
        <v>VIGENTE</v>
      </c>
      <c r="FS25" s="13">
        <v>45069</v>
      </c>
      <c r="FT25" s="14">
        <v>45678</v>
      </c>
      <c r="FU25" s="14">
        <f>DATE(YEAR(FT25)+2,MONTH(FT25),DAY(FT25)-1)</f>
        <v>46407</v>
      </c>
      <c r="FV25" s="65">
        <f t="shared" ca="1" si="69"/>
        <v>276</v>
      </c>
      <c r="FW25" s="15" t="str">
        <f t="shared" ca="1" si="70"/>
        <v>VIGENTE</v>
      </c>
      <c r="FX25" s="13">
        <v>45028</v>
      </c>
      <c r="FY25" s="14">
        <v>45700</v>
      </c>
      <c r="FZ25" s="14">
        <f>DATE(YEAR(FY25)+2,MONTH(FY25),DAY(FY25)-1)</f>
        <v>46429</v>
      </c>
      <c r="GA25" s="65">
        <f t="shared" ca="1" si="71"/>
        <v>298</v>
      </c>
      <c r="GB25" s="15" t="str">
        <f t="shared" ca="1" si="72"/>
        <v>VIGENTE</v>
      </c>
      <c r="GC25" s="13">
        <v>45015</v>
      </c>
      <c r="GD25" s="14">
        <v>45667</v>
      </c>
      <c r="GE25" s="14">
        <f>DATE(YEAR(GD25)+2,MONTH(GD25),DAY(GD25)-1)</f>
        <v>46396</v>
      </c>
      <c r="GF25" s="65">
        <f t="shared" ca="1" si="73"/>
        <v>265</v>
      </c>
      <c r="GG25" s="15" t="str">
        <f t="shared" ca="1" si="74"/>
        <v>VIGENTE</v>
      </c>
      <c r="GH25" s="13">
        <v>44996</v>
      </c>
      <c r="GI25" s="14">
        <v>45672</v>
      </c>
      <c r="GJ25" s="14">
        <f t="shared" ref="GJ25:GJ30" si="183">DATE(YEAR(GI25)+2,MONTH(GI25),DAY(GI25)-1)</f>
        <v>46401</v>
      </c>
      <c r="GK25" s="65">
        <f t="shared" ca="1" si="75"/>
        <v>270</v>
      </c>
      <c r="GL25" s="15" t="str">
        <f t="shared" ca="1" si="76"/>
        <v>VIGENTE</v>
      </c>
      <c r="GM25" s="13">
        <v>45242</v>
      </c>
      <c r="GN25" s="14">
        <v>45923</v>
      </c>
      <c r="GO25" s="14">
        <f>DATE(YEAR(GN25)+2,MONTH(GN25),DAY(GN25))</f>
        <v>46653</v>
      </c>
      <c r="GP25" s="65">
        <f t="shared" ca="1" si="77"/>
        <v>522</v>
      </c>
      <c r="GQ25" s="15" t="str">
        <f t="shared" ca="1" si="78"/>
        <v>VIGENTE</v>
      </c>
      <c r="GR25" s="14"/>
      <c r="GS25" s="14">
        <v>45013</v>
      </c>
      <c r="GT25" s="14">
        <f t="shared" si="79"/>
        <v>46840</v>
      </c>
      <c r="GU25" s="65">
        <f t="shared" ca="1" si="172"/>
        <v>709</v>
      </c>
      <c r="GV25" s="15" t="str">
        <f t="shared" ca="1" si="81"/>
        <v>VIGENTE</v>
      </c>
      <c r="GW25" s="13"/>
      <c r="GX25" s="14">
        <v>45010</v>
      </c>
      <c r="GY25" s="14">
        <f t="shared" si="82"/>
        <v>46837</v>
      </c>
      <c r="GZ25" s="65">
        <f t="shared" ca="1" si="83"/>
        <v>706</v>
      </c>
      <c r="HA25" s="15" t="str">
        <f t="shared" ca="1" si="84"/>
        <v>VIGENTE</v>
      </c>
      <c r="HB25" s="12"/>
      <c r="HC25" s="14">
        <v>44980</v>
      </c>
      <c r="HD25" s="14">
        <f t="shared" si="85"/>
        <v>46806</v>
      </c>
      <c r="HE25" s="65">
        <f t="shared" ca="1" si="86"/>
        <v>675</v>
      </c>
      <c r="HF25" s="15" t="str">
        <f t="shared" ca="1" si="87"/>
        <v>VIGENTE</v>
      </c>
      <c r="HG25" s="16"/>
      <c r="HH25" s="16"/>
      <c r="HI25" s="14"/>
      <c r="HJ25" s="65"/>
      <c r="HK25" s="15" t="str">
        <f t="shared" si="181"/>
        <v>NO APLICA</v>
      </c>
      <c r="HL25" s="12"/>
      <c r="HM25" s="14"/>
      <c r="HN25" s="14"/>
      <c r="HO25" s="65"/>
      <c r="HP25" s="15" t="str">
        <f t="shared" si="91"/>
        <v>NO APLICA</v>
      </c>
      <c r="HQ25" s="12"/>
      <c r="HR25" s="15"/>
      <c r="HS25" s="14"/>
      <c r="HT25" s="15"/>
      <c r="HU25" s="15" t="str">
        <f t="shared" si="92"/>
        <v>NO APLICA</v>
      </c>
      <c r="HV25" s="12"/>
      <c r="HW25" s="16"/>
      <c r="HX25" s="14"/>
      <c r="HY25" s="65"/>
      <c r="HZ25" s="15" t="str">
        <f t="shared" si="93"/>
        <v>NO APLICA</v>
      </c>
      <c r="IA25" s="12"/>
      <c r="IB25" s="16"/>
      <c r="IC25" s="14"/>
      <c r="ID25" s="65"/>
      <c r="IE25" s="15" t="str">
        <f t="shared" si="94"/>
        <v>NO APLICA</v>
      </c>
      <c r="IF25" s="12"/>
      <c r="IG25" s="16"/>
      <c r="IH25" s="14"/>
      <c r="II25" s="65"/>
      <c r="IJ25" s="15" t="str">
        <f t="shared" si="95"/>
        <v>NO APLICA</v>
      </c>
      <c r="IK25" s="16"/>
      <c r="IL25" s="16"/>
      <c r="IM25" s="14"/>
      <c r="IN25" s="65"/>
      <c r="IO25" s="15" t="str">
        <f t="shared" si="96"/>
        <v>NO APLICA</v>
      </c>
      <c r="IP25" s="12"/>
      <c r="IQ25" s="16"/>
      <c r="IR25" s="14"/>
      <c r="IS25" s="65"/>
      <c r="IT25" s="15" t="str">
        <f t="shared" si="97"/>
        <v>NO APLICA</v>
      </c>
      <c r="IU25" s="12"/>
      <c r="IV25" s="16"/>
      <c r="IW25" s="14"/>
      <c r="IX25" s="65"/>
      <c r="IY25" s="15" t="str">
        <f t="shared" si="98"/>
        <v>NO APLICA</v>
      </c>
      <c r="IZ25" s="12"/>
      <c r="JA25" s="16"/>
      <c r="JB25" s="14"/>
      <c r="JC25" s="65"/>
      <c r="JD25" s="15" t="str">
        <f t="shared" si="99"/>
        <v>NO APLICA</v>
      </c>
      <c r="JE25" s="13"/>
      <c r="JF25" s="13"/>
      <c r="JG25" s="14"/>
      <c r="JH25" s="65"/>
      <c r="JI25" s="15" t="str">
        <f t="shared" si="100"/>
        <v>NO APLICA</v>
      </c>
      <c r="JJ25" s="16"/>
      <c r="JK25" s="16"/>
      <c r="JL25" s="16"/>
      <c r="JM25" s="15" t="str">
        <f t="shared" si="101"/>
        <v>NO APLICA</v>
      </c>
      <c r="JN25" s="16"/>
      <c r="JO25" s="16"/>
      <c r="JP25" s="16"/>
      <c r="JQ25" s="15" t="str">
        <f t="shared" si="102"/>
        <v>NO APLICA</v>
      </c>
      <c r="JR25" s="16"/>
      <c r="JS25" s="16"/>
      <c r="JT25" s="16"/>
      <c r="JU25" s="16"/>
      <c r="JV25" s="15" t="str">
        <f t="shared" si="103"/>
        <v>NO APLICA</v>
      </c>
      <c r="JW25" s="15"/>
      <c r="JX25" s="13">
        <v>45948</v>
      </c>
      <c r="JY25" s="14">
        <f>DATE(YEAR(JX25)+2,MONTH(JX25),DAY(JX25))</f>
        <v>46678</v>
      </c>
      <c r="JZ25" s="65">
        <f ca="1">JY25-TODAY()</f>
        <v>547</v>
      </c>
      <c r="KA25" s="15" t="str">
        <f t="shared" ca="1" si="104"/>
        <v>VIGENTE</v>
      </c>
      <c r="KB25" s="15"/>
      <c r="KC25" s="14"/>
      <c r="KD25" s="65"/>
      <c r="KE25" s="15" t="str">
        <f t="shared" si="105"/>
        <v>NO APLICA</v>
      </c>
      <c r="KF25" s="15"/>
      <c r="KG25" s="14"/>
      <c r="KH25" s="65"/>
      <c r="KI25" s="15" t="str">
        <f t="shared" si="132"/>
        <v>NO APLICA</v>
      </c>
      <c r="KJ25" s="15"/>
      <c r="KK25" s="14"/>
      <c r="KL25" s="65"/>
      <c r="KM25" s="15" t="str">
        <f t="shared" si="106"/>
        <v>NO APLICA</v>
      </c>
      <c r="KN25" s="12"/>
      <c r="KO25" s="14"/>
      <c r="KP25" s="65"/>
      <c r="KQ25" s="15" t="str">
        <f t="shared" si="133"/>
        <v>NO APLICA</v>
      </c>
      <c r="KR25" s="12"/>
      <c r="KS25" s="16"/>
      <c r="KT25" s="14"/>
      <c r="KU25" s="65"/>
      <c r="KV25" s="15" t="str">
        <f t="shared" si="147"/>
        <v>NO APLICA</v>
      </c>
      <c r="KW25" s="16"/>
      <c r="KX25" s="14"/>
      <c r="KY25" s="65"/>
      <c r="KZ25" s="15" t="str">
        <f t="shared" si="134"/>
        <v>NO APLICA</v>
      </c>
      <c r="LA25" s="16"/>
      <c r="LB25" s="16"/>
      <c r="LC25" s="14"/>
      <c r="LD25" s="65"/>
      <c r="LE25" s="15" t="str">
        <f t="shared" si="107"/>
        <v>NO APLICA</v>
      </c>
      <c r="LF25" s="15"/>
      <c r="LG25" s="15"/>
      <c r="LH25" s="14"/>
      <c r="LI25" s="65"/>
      <c r="LJ25" s="15" t="str">
        <f t="shared" si="148"/>
        <v>NO APLICA</v>
      </c>
      <c r="LK25" s="15"/>
      <c r="LL25" s="16"/>
      <c r="LM25" s="14"/>
      <c r="LN25" s="65"/>
      <c r="LO25" s="15" t="str">
        <f t="shared" si="135"/>
        <v>NO APLICA</v>
      </c>
      <c r="LP25" s="16"/>
      <c r="LQ25" s="16"/>
      <c r="LR25" s="14"/>
      <c r="LS25" s="65"/>
      <c r="LT25" s="15" t="str">
        <f t="shared" si="136"/>
        <v>NO APLICA</v>
      </c>
      <c r="LU25" s="16"/>
      <c r="LV25" s="16"/>
      <c r="LW25" s="14"/>
      <c r="LX25" s="65"/>
      <c r="LY25" s="15" t="str">
        <f t="shared" si="137"/>
        <v>NO APLICA</v>
      </c>
      <c r="LZ25" s="15"/>
      <c r="MA25" s="15"/>
      <c r="MB25" s="14"/>
      <c r="MC25" s="65"/>
      <c r="MD25" s="15" t="str">
        <f t="shared" si="108"/>
        <v>NO APLICA</v>
      </c>
      <c r="ME25" s="15"/>
      <c r="MF25" s="15"/>
      <c r="MG25" s="14"/>
      <c r="MH25" s="65"/>
      <c r="MI25" s="15" t="str">
        <f t="shared" si="109"/>
        <v>NO APLICA</v>
      </c>
      <c r="MJ25" s="15"/>
      <c r="MK25" s="14"/>
      <c r="ML25" s="65"/>
      <c r="MM25" s="15" t="str">
        <f t="shared" si="110"/>
        <v>NO APLICA</v>
      </c>
      <c r="MN25" s="15"/>
      <c r="MO25" s="14"/>
      <c r="MP25" s="15"/>
      <c r="MQ25" s="15" t="str">
        <f t="shared" si="111"/>
        <v>NO APLICA</v>
      </c>
      <c r="MR25" s="15"/>
      <c r="MS25" s="16"/>
      <c r="MT25" s="14"/>
      <c r="MU25" s="65"/>
      <c r="MV25" s="15" t="str">
        <f t="shared" si="112"/>
        <v>NO APLICA</v>
      </c>
      <c r="MW25" s="15"/>
      <c r="MX25" s="16"/>
      <c r="MY25" s="14"/>
      <c r="MZ25" s="65"/>
      <c r="NA25" s="15" t="str">
        <f t="shared" si="113"/>
        <v>NO APLICA</v>
      </c>
      <c r="NB25" s="15"/>
      <c r="NC25" s="16"/>
      <c r="ND25" s="14"/>
      <c r="NE25" s="65"/>
      <c r="NF25" s="15" t="str">
        <f t="shared" si="114"/>
        <v>NO APLICA</v>
      </c>
      <c r="NG25" s="15"/>
      <c r="NH25" s="15"/>
      <c r="NI25" s="14"/>
      <c r="NJ25" s="65"/>
      <c r="NK25" s="15" t="str">
        <f t="shared" si="115"/>
        <v>NO APLICA</v>
      </c>
      <c r="NL25" s="15"/>
      <c r="NM25" s="15"/>
      <c r="NN25" s="15"/>
      <c r="NO25" s="15"/>
      <c r="NP25" s="15" t="str">
        <f t="shared" si="116"/>
        <v>NO APLICA</v>
      </c>
      <c r="NQ25" s="16"/>
      <c r="NR25" s="16"/>
      <c r="NS25" s="14"/>
      <c r="NT25" s="65"/>
      <c r="NU25" s="15" t="str">
        <f t="shared" si="117"/>
        <v>NO APLICA</v>
      </c>
      <c r="NV25" s="16"/>
      <c r="NW25" s="16"/>
      <c r="NX25" s="16"/>
      <c r="NY25" s="16"/>
      <c r="NZ25" s="15" t="str">
        <f t="shared" si="118"/>
        <v>NO APLICA</v>
      </c>
    </row>
    <row r="26" spans="1:390" ht="15.6" thickTop="1" thickBot="1" x14ac:dyDescent="0.35">
      <c r="A26" s="11">
        <v>886</v>
      </c>
      <c r="B26" s="10" t="s">
        <v>184</v>
      </c>
      <c r="C26" s="21" t="s">
        <v>104</v>
      </c>
      <c r="D26" s="64" t="s">
        <v>114</v>
      </c>
      <c r="E26" s="16"/>
      <c r="F26" s="16"/>
      <c r="G26" s="16"/>
      <c r="H26" s="65"/>
      <c r="I26" s="15" t="str">
        <f t="shared" si="0"/>
        <v>NO APLICA</v>
      </c>
      <c r="J26" s="16"/>
      <c r="K26" s="16"/>
      <c r="L26" s="16"/>
      <c r="M26" s="65"/>
      <c r="N26" s="15" t="str">
        <f t="shared" si="1"/>
        <v>NO APLICA</v>
      </c>
      <c r="O26" s="16"/>
      <c r="P26" s="16"/>
      <c r="Q26" s="14"/>
      <c r="R26" s="65"/>
      <c r="S26" s="15" t="str">
        <f t="shared" si="119"/>
        <v>NO APLICA</v>
      </c>
      <c r="T26" s="12" t="s">
        <v>185</v>
      </c>
      <c r="U26" s="14">
        <v>44836</v>
      </c>
      <c r="V26" s="14">
        <v>44837</v>
      </c>
      <c r="W26" s="14">
        <f t="shared" si="2"/>
        <v>46663</v>
      </c>
      <c r="X26" s="65">
        <f t="shared" ca="1" si="3"/>
        <v>532</v>
      </c>
      <c r="Y26" s="15" t="str">
        <f t="shared" ca="1" si="4"/>
        <v>VIGENTE</v>
      </c>
      <c r="Z26" s="12" t="s">
        <v>186</v>
      </c>
      <c r="AA26" s="14">
        <v>44838</v>
      </c>
      <c r="AB26" s="14">
        <v>44839</v>
      </c>
      <c r="AC26" s="14">
        <f>DATE(YEAR(AB26)+5,MONTH(AB26),DAY(AB26))</f>
        <v>46665</v>
      </c>
      <c r="AD26" s="65">
        <f ca="1">AC26-TODAY()</f>
        <v>534</v>
      </c>
      <c r="AE26" s="15" t="str">
        <f t="shared" ca="1" si="7"/>
        <v>VIGENTE</v>
      </c>
      <c r="AF26" s="14">
        <v>45062</v>
      </c>
      <c r="AG26" s="14">
        <v>45680</v>
      </c>
      <c r="AH26" s="14">
        <f>DATE(YEAR(AG26)+2,MONTH(AG26),DAY(AG26)-1)</f>
        <v>46409</v>
      </c>
      <c r="AI26" s="65">
        <f t="shared" ca="1" si="8"/>
        <v>278</v>
      </c>
      <c r="AJ26" s="15" t="str">
        <f t="shared" ca="1" si="9"/>
        <v>VIGENTE</v>
      </c>
      <c r="AK26" s="14">
        <v>44908</v>
      </c>
      <c r="AL26" s="14">
        <v>45516</v>
      </c>
      <c r="AM26" s="14">
        <f>DATE(YEAR(AL26)+2,MONTH(AL26),DAY(AL26)-1)</f>
        <v>46245</v>
      </c>
      <c r="AN26" s="65">
        <f t="shared" ca="1" si="10"/>
        <v>114</v>
      </c>
      <c r="AO26" s="15" t="str">
        <f t="shared" ca="1" si="11"/>
        <v>VIGENTE</v>
      </c>
      <c r="AP26" s="14">
        <v>45640</v>
      </c>
      <c r="AQ26" s="14">
        <v>45529</v>
      </c>
      <c r="AR26" s="14">
        <f>DATE(YEAR(AQ26)+2,MONTH(AQ26),DAY(AQ26)-1)</f>
        <v>46258</v>
      </c>
      <c r="AS26" s="65">
        <f t="shared" ca="1" si="12"/>
        <v>127</v>
      </c>
      <c r="AT26" s="15" t="str">
        <f t="shared" ca="1" si="13"/>
        <v>VIGENTE</v>
      </c>
      <c r="AU26" s="14">
        <v>44910</v>
      </c>
      <c r="AV26" s="14">
        <v>45514</v>
      </c>
      <c r="AW26" s="14">
        <f>DATE(YEAR(AV26)+2,MONTH(AV26),DAY(AV26)-1)</f>
        <v>46243</v>
      </c>
      <c r="AX26" s="65">
        <f t="shared" ca="1" si="15"/>
        <v>112</v>
      </c>
      <c r="AY26" s="15" t="str">
        <f t="shared" ca="1" si="16"/>
        <v>VIGENTE</v>
      </c>
      <c r="AZ26" s="14">
        <v>44918</v>
      </c>
      <c r="BA26" s="14">
        <v>45603</v>
      </c>
      <c r="BB26" s="14">
        <f>DATE(YEAR(BA26)+2,MONTH(BA26),DAY(BA26)-1)</f>
        <v>46332</v>
      </c>
      <c r="BC26" s="65">
        <f t="shared" ca="1" si="17"/>
        <v>201</v>
      </c>
      <c r="BD26" s="15" t="str">
        <f t="shared" ca="1" si="18"/>
        <v>VIGENTE</v>
      </c>
      <c r="BE26" s="14">
        <v>44911</v>
      </c>
      <c r="BF26" s="14">
        <v>45531</v>
      </c>
      <c r="BG26" s="14">
        <f>DATE(YEAR(BF26)+2,MONTH(BF26),DAY(BF26)-1)</f>
        <v>46260</v>
      </c>
      <c r="BH26" s="65">
        <f t="shared" ca="1" si="19"/>
        <v>129</v>
      </c>
      <c r="BI26" s="15" t="str">
        <f t="shared" ca="1" si="20"/>
        <v>VIGENTE</v>
      </c>
      <c r="BJ26" s="14">
        <v>44912</v>
      </c>
      <c r="BK26" s="14">
        <v>45548</v>
      </c>
      <c r="BL26" s="14">
        <f>DATE(YEAR(BK26)+2,MONTH(BK26),DAY(BK26)-1)</f>
        <v>46277</v>
      </c>
      <c r="BM26" s="65">
        <f t="shared" ca="1" si="21"/>
        <v>146</v>
      </c>
      <c r="BN26" s="15" t="str">
        <f t="shared" ca="1" si="22"/>
        <v>VIGENTE</v>
      </c>
      <c r="BO26" s="14">
        <v>44914</v>
      </c>
      <c r="BP26" s="14">
        <v>45604</v>
      </c>
      <c r="BQ26" s="14">
        <f>DATE(YEAR(BP26)+2,MONTH(BP26),DAY(BP26)-1)</f>
        <v>46333</v>
      </c>
      <c r="BR26" s="65">
        <f t="shared" ca="1" si="23"/>
        <v>202</v>
      </c>
      <c r="BS26" s="15" t="str">
        <f t="shared" ca="1" si="24"/>
        <v>VIGENTE</v>
      </c>
      <c r="BT26" s="14">
        <v>44948</v>
      </c>
      <c r="BU26" s="14">
        <v>45572</v>
      </c>
      <c r="BV26" s="14">
        <f t="shared" si="179"/>
        <v>46301</v>
      </c>
      <c r="BW26" s="65">
        <f t="shared" ca="1" si="25"/>
        <v>170</v>
      </c>
      <c r="BX26" s="15" t="str">
        <f t="shared" ca="1" si="26"/>
        <v>VIGENTE</v>
      </c>
      <c r="BY26" s="14">
        <v>45148</v>
      </c>
      <c r="BZ26" s="14">
        <v>45818</v>
      </c>
      <c r="CA26" s="14">
        <f>DATE(YEAR(BZ26)+2,MONTH(BZ26),DAY(BZ26))</f>
        <v>46548</v>
      </c>
      <c r="CB26" s="65">
        <f t="shared" ca="1" si="27"/>
        <v>417</v>
      </c>
      <c r="CC26" s="15" t="str">
        <f t="shared" ca="1" si="28"/>
        <v>VIGENTE</v>
      </c>
      <c r="CD26" s="16" t="s">
        <v>108</v>
      </c>
      <c r="CE26" s="14">
        <v>45226</v>
      </c>
      <c r="CF26" s="14">
        <v>45227</v>
      </c>
      <c r="CG26" s="14">
        <f t="shared" si="29"/>
        <v>46688</v>
      </c>
      <c r="CH26" s="65">
        <f t="shared" ca="1" si="30"/>
        <v>557</v>
      </c>
      <c r="CI26" s="15" t="str">
        <f t="shared" ca="1" si="31"/>
        <v>VIGENTE</v>
      </c>
      <c r="CJ26" s="14">
        <v>45112</v>
      </c>
      <c r="CK26" s="14">
        <v>45777</v>
      </c>
      <c r="CL26" s="14">
        <f>DATE(YEAR(CK26)+2,MONTH(CK26),DAY(CK26))</f>
        <v>46507</v>
      </c>
      <c r="CM26" s="65">
        <f t="shared" ca="1" si="32"/>
        <v>376</v>
      </c>
      <c r="CN26" s="15" t="str">
        <f t="shared" ca="1" si="33"/>
        <v>VIGENTE</v>
      </c>
      <c r="CO26" s="14">
        <v>44938</v>
      </c>
      <c r="CP26" s="14">
        <v>45597</v>
      </c>
      <c r="CQ26" s="14">
        <f>DATE(YEAR(CP26)+2,MONTH(CP26),DAY(CP26)-1)</f>
        <v>46326</v>
      </c>
      <c r="CR26" s="65">
        <f t="shared" ca="1" si="34"/>
        <v>195</v>
      </c>
      <c r="CS26" s="15" t="str">
        <f t="shared" ca="1" si="35"/>
        <v>VIGENTE</v>
      </c>
      <c r="CT26" s="14">
        <v>44919</v>
      </c>
      <c r="CU26" s="14">
        <v>45631</v>
      </c>
      <c r="CV26" s="14">
        <f>DATE(YEAR(CU26)+2,MONTH(CU26),DAY(CU26)-1)</f>
        <v>46360</v>
      </c>
      <c r="CW26" s="65">
        <f t="shared" ca="1" si="36"/>
        <v>229</v>
      </c>
      <c r="CX26" s="15" t="str">
        <f t="shared" ca="1" si="37"/>
        <v>VIGENTE</v>
      </c>
      <c r="CY26" s="14">
        <v>44921</v>
      </c>
      <c r="CZ26" s="14">
        <v>45593</v>
      </c>
      <c r="DA26" s="14">
        <f>DATE(YEAR(CZ26)+2,MONTH(CZ26),DAY(CZ26)-1)</f>
        <v>46322</v>
      </c>
      <c r="DB26" s="65">
        <f t="shared" ca="1" si="38"/>
        <v>191</v>
      </c>
      <c r="DC26" s="15" t="str">
        <f t="shared" ca="1" si="39"/>
        <v>VIGENTE</v>
      </c>
      <c r="DD26" s="14">
        <v>44913</v>
      </c>
      <c r="DE26" s="14">
        <v>45596</v>
      </c>
      <c r="DF26" s="14">
        <f t="shared" si="182"/>
        <v>46325</v>
      </c>
      <c r="DG26" s="65">
        <f t="shared" ca="1" si="40"/>
        <v>194</v>
      </c>
      <c r="DH26" s="15" t="str">
        <f t="shared" ca="1" si="41"/>
        <v>VIGENTE</v>
      </c>
      <c r="DI26" s="14">
        <v>44923</v>
      </c>
      <c r="DJ26" s="14">
        <v>45580</v>
      </c>
      <c r="DK26" s="14">
        <f>DATE(YEAR(DJ26)+2,MONTH(DJ26),DAY(DJ26)-1)</f>
        <v>46309</v>
      </c>
      <c r="DL26" s="65">
        <f t="shared" ca="1" si="43"/>
        <v>178</v>
      </c>
      <c r="DM26" s="15" t="str">
        <f t="shared" ca="1" si="44"/>
        <v>VIGENTE</v>
      </c>
      <c r="DN26" s="14">
        <v>44924</v>
      </c>
      <c r="DO26" s="14">
        <v>45577</v>
      </c>
      <c r="DP26" s="14">
        <f>DATE(YEAR(DO26)+2,MONTH(DO26),DAY(DO26)-1)</f>
        <v>46306</v>
      </c>
      <c r="DQ26" s="65">
        <f t="shared" ca="1" si="46"/>
        <v>175</v>
      </c>
      <c r="DR26" s="15" t="str">
        <f t="shared" ca="1" si="47"/>
        <v>VIGENTE</v>
      </c>
      <c r="DS26" s="14">
        <v>44915</v>
      </c>
      <c r="DT26" s="14">
        <v>45619</v>
      </c>
      <c r="DU26" s="14">
        <f>DATE(YEAR(DT26)+2,MONTH(DT26),DAY(DT26)-1)</f>
        <v>46348</v>
      </c>
      <c r="DV26" s="65">
        <f t="shared" ca="1" si="48"/>
        <v>217</v>
      </c>
      <c r="DW26" s="15" t="str">
        <f t="shared" ca="1" si="49"/>
        <v>VIGENTE</v>
      </c>
      <c r="DX26" s="14">
        <v>44939</v>
      </c>
      <c r="DY26" s="14">
        <v>45582</v>
      </c>
      <c r="DZ26" s="14">
        <f>DATE(YEAR(DY26)+2,MONTH(DY26),DAY(DY26)-1)</f>
        <v>46311</v>
      </c>
      <c r="EA26" s="65">
        <f t="shared" ca="1" si="50"/>
        <v>180</v>
      </c>
      <c r="EB26" s="15" t="str">
        <f t="shared" ca="1" si="51"/>
        <v>VIGENTE</v>
      </c>
      <c r="EC26" s="14">
        <v>44941</v>
      </c>
      <c r="ED26" s="14">
        <v>45583</v>
      </c>
      <c r="EE26" s="14">
        <f>DATE(YEAR(ED26)+2,MONTH(ED26),DAY(ED26)-1)</f>
        <v>46312</v>
      </c>
      <c r="EF26" s="65">
        <f t="shared" ca="1" si="52"/>
        <v>181</v>
      </c>
      <c r="EG26" s="15" t="str">
        <f t="shared" ca="1" si="53"/>
        <v>VIGENTE</v>
      </c>
      <c r="EH26" s="14">
        <v>45576</v>
      </c>
      <c r="EI26" s="14">
        <v>45806</v>
      </c>
      <c r="EJ26" s="14">
        <v>45807</v>
      </c>
      <c r="EK26" s="14">
        <v>45808</v>
      </c>
      <c r="EL26" s="14">
        <f t="shared" si="128"/>
        <v>46173</v>
      </c>
      <c r="EM26" s="65">
        <f t="shared" ca="1" si="54"/>
        <v>42</v>
      </c>
      <c r="EN26" s="15" t="str">
        <f t="shared" ca="1" si="55"/>
        <v>POR VENCER</v>
      </c>
      <c r="EO26" s="14">
        <v>44930</v>
      </c>
      <c r="EP26" s="14">
        <v>45584</v>
      </c>
      <c r="EQ26" s="14">
        <f>DATE(YEAR(EP26)+2,MONTH(EP26),DAY(EP26)-1)</f>
        <v>46313</v>
      </c>
      <c r="ER26" s="65">
        <f t="shared" ca="1" si="56"/>
        <v>182</v>
      </c>
      <c r="ES26" s="15" t="str">
        <f t="shared" ca="1" si="57"/>
        <v>VIGENTE</v>
      </c>
      <c r="ET26" s="14">
        <v>44931</v>
      </c>
      <c r="EU26" s="14">
        <v>45575</v>
      </c>
      <c r="EV26" s="14">
        <f>DATE(YEAR(EU26)+2,MONTH(EU26),DAY(EU26)-1)</f>
        <v>46304</v>
      </c>
      <c r="EW26" s="65">
        <f t="shared" ca="1" si="58"/>
        <v>173</v>
      </c>
      <c r="EX26" s="15" t="str">
        <f t="shared" ca="1" si="59"/>
        <v>VIGENTE</v>
      </c>
      <c r="EY26" s="14">
        <v>44932</v>
      </c>
      <c r="EZ26" s="14">
        <v>45610</v>
      </c>
      <c r="FA26" s="14">
        <f>DATE(YEAR(EZ26)+2,MONTH(EZ26),DAY(EZ26)-1)</f>
        <v>46339</v>
      </c>
      <c r="FB26" s="65">
        <f t="shared" ca="1" si="60"/>
        <v>208</v>
      </c>
      <c r="FC26" s="15" t="str">
        <f t="shared" ca="1" si="61"/>
        <v>VIGENTE</v>
      </c>
      <c r="FD26" s="14">
        <v>44935</v>
      </c>
      <c r="FE26" s="14">
        <v>45611</v>
      </c>
      <c r="FF26" s="14">
        <f>DATE(YEAR(FE26)+2,MONTH(FE26),DAY(FE26)-1)</f>
        <v>46340</v>
      </c>
      <c r="FG26" s="65">
        <f t="shared" ca="1" si="62"/>
        <v>209</v>
      </c>
      <c r="FH26" s="15" t="str">
        <f t="shared" ca="1" si="63"/>
        <v>VIGENTE</v>
      </c>
      <c r="FI26" s="16"/>
      <c r="FJ26" s="14">
        <v>45542</v>
      </c>
      <c r="FK26" s="14">
        <f>DATE(YEAR(FJ26)+2,MONTH(FJ26),DAY(FJ26)-1)</f>
        <v>46271</v>
      </c>
      <c r="FL26" s="65">
        <f t="shared" ca="1" si="64"/>
        <v>140</v>
      </c>
      <c r="FM26" s="15" t="str">
        <f t="shared" ca="1" si="65"/>
        <v>VIGENTE</v>
      </c>
      <c r="FN26" s="14">
        <v>45061</v>
      </c>
      <c r="FO26" s="14">
        <v>45670</v>
      </c>
      <c r="FP26" s="14">
        <f>DATE(YEAR(FO26)+2,MONTH(FO26),DAY(FO26)-1)</f>
        <v>46399</v>
      </c>
      <c r="FQ26" s="65">
        <f t="shared" ca="1" si="67"/>
        <v>268</v>
      </c>
      <c r="FR26" s="15" t="str">
        <f t="shared" ca="1" si="68"/>
        <v>VIGENTE</v>
      </c>
      <c r="FS26" s="14">
        <v>45121</v>
      </c>
      <c r="FT26" s="14">
        <v>45782</v>
      </c>
      <c r="FU26" s="14">
        <f>DATE(YEAR(FT26)+2,MONTH(FT26),DAY(FT26))</f>
        <v>46512</v>
      </c>
      <c r="FV26" s="65">
        <f t="shared" ca="1" si="69"/>
        <v>381</v>
      </c>
      <c r="FW26" s="15" t="str">
        <f t="shared" ca="1" si="70"/>
        <v>VIGENTE</v>
      </c>
      <c r="FX26" s="14">
        <v>45068</v>
      </c>
      <c r="FY26" s="14">
        <v>45700</v>
      </c>
      <c r="FZ26" s="14">
        <f>DATE(YEAR(FY26)+2,MONTH(FY26),DAY(FY26)-1)</f>
        <v>46429</v>
      </c>
      <c r="GA26" s="65">
        <f t="shared" ca="1" si="71"/>
        <v>298</v>
      </c>
      <c r="GB26" s="15" t="str">
        <f t="shared" ca="1" si="72"/>
        <v>VIGENTE</v>
      </c>
      <c r="GC26" s="14">
        <v>45116</v>
      </c>
      <c r="GD26" s="14">
        <v>45757</v>
      </c>
      <c r="GE26" s="14">
        <f>DATE(YEAR(GD26)+2,MONTH(GD26),DAY(GD26)-1)</f>
        <v>46486</v>
      </c>
      <c r="GF26" s="65">
        <f t="shared" ca="1" si="73"/>
        <v>355</v>
      </c>
      <c r="GG26" s="15" t="str">
        <f t="shared" ca="1" si="74"/>
        <v>VIGENTE</v>
      </c>
      <c r="GH26" s="14">
        <v>45114</v>
      </c>
      <c r="GI26" s="14">
        <v>45752</v>
      </c>
      <c r="GJ26" s="14">
        <f t="shared" si="183"/>
        <v>46481</v>
      </c>
      <c r="GK26" s="65">
        <f t="shared" ca="1" si="75"/>
        <v>350</v>
      </c>
      <c r="GL26" s="15" t="str">
        <f t="shared" ca="1" si="76"/>
        <v>VIGENTE</v>
      </c>
      <c r="GM26" s="14">
        <v>44949</v>
      </c>
      <c r="GN26" s="14">
        <v>45608</v>
      </c>
      <c r="GO26" s="14">
        <f>DATE(YEAR(GN26)+2,MONTH(GN26),DAY(GN26)-1)</f>
        <v>46337</v>
      </c>
      <c r="GP26" s="65">
        <f t="shared" ca="1" si="77"/>
        <v>206</v>
      </c>
      <c r="GQ26" s="15" t="str">
        <f t="shared" ca="1" si="78"/>
        <v>VIGENTE</v>
      </c>
      <c r="GR26" s="14"/>
      <c r="GS26" s="14">
        <v>45120</v>
      </c>
      <c r="GT26" s="14">
        <f t="shared" si="79"/>
        <v>46947</v>
      </c>
      <c r="GU26" s="65">
        <f t="shared" ca="1" si="172"/>
        <v>816</v>
      </c>
      <c r="GV26" s="15" t="str">
        <f t="shared" ca="1" si="81"/>
        <v>VIGENTE</v>
      </c>
      <c r="GW26" s="14"/>
      <c r="GX26" s="14">
        <v>45117</v>
      </c>
      <c r="GY26" s="14">
        <f t="shared" si="82"/>
        <v>46944</v>
      </c>
      <c r="GZ26" s="65">
        <f t="shared" ca="1" si="83"/>
        <v>813</v>
      </c>
      <c r="HA26" s="15" t="str">
        <f t="shared" ca="1" si="84"/>
        <v>VIGENTE</v>
      </c>
      <c r="HB26" s="16"/>
      <c r="HC26" s="14">
        <v>45119</v>
      </c>
      <c r="HD26" s="14">
        <f t="shared" si="85"/>
        <v>46946</v>
      </c>
      <c r="HE26" s="65">
        <f t="shared" ca="1" si="86"/>
        <v>815</v>
      </c>
      <c r="HF26" s="15" t="str">
        <f t="shared" ca="1" si="87"/>
        <v>VIGENTE</v>
      </c>
      <c r="HG26" s="16"/>
      <c r="HH26" s="14">
        <v>45115</v>
      </c>
      <c r="HI26" s="14">
        <f>DATE(YEAR(HH26)+5,MONTH(HH26),DAY(HH26))</f>
        <v>46942</v>
      </c>
      <c r="HJ26" s="65">
        <f ca="1">HI26-TODAY()</f>
        <v>811</v>
      </c>
      <c r="HK26" s="15" t="str">
        <f t="shared" ca="1" si="181"/>
        <v>VIGENTE</v>
      </c>
      <c r="HL26" s="16"/>
      <c r="HM26" s="16"/>
      <c r="HN26" s="14"/>
      <c r="HO26" s="65"/>
      <c r="HP26" s="15" t="str">
        <f t="shared" si="91"/>
        <v>NO APLICA</v>
      </c>
      <c r="HQ26" s="12"/>
      <c r="HR26" s="12"/>
      <c r="HS26" s="14"/>
      <c r="HT26" s="12"/>
      <c r="HU26" s="15" t="str">
        <f t="shared" si="92"/>
        <v>NO APLICA</v>
      </c>
      <c r="HV26" s="16"/>
      <c r="HW26" s="14">
        <v>45149</v>
      </c>
      <c r="HX26" s="14">
        <f>DATE(YEAR(HW26)+5,MONTH(HW26),DAY(HW26))</f>
        <v>46976</v>
      </c>
      <c r="HY26" s="65">
        <f ca="1">HX26-TODAY()</f>
        <v>845</v>
      </c>
      <c r="HZ26" s="15" t="str">
        <f t="shared" ca="1" si="93"/>
        <v>VIGENTE</v>
      </c>
      <c r="IA26" s="16"/>
      <c r="IB26" s="14">
        <v>45162</v>
      </c>
      <c r="IC26" s="14">
        <f>DATE(YEAR(IB26)+5,MONTH(IB26),DAY(IB26))</f>
        <v>46989</v>
      </c>
      <c r="ID26" s="65">
        <f ca="1">IC26-TODAY()</f>
        <v>858</v>
      </c>
      <c r="IE26" s="15" t="str">
        <f t="shared" ca="1" si="94"/>
        <v>VIGENTE</v>
      </c>
      <c r="IF26" s="16"/>
      <c r="IG26" s="14">
        <v>45147</v>
      </c>
      <c r="IH26" s="14">
        <f>DATE(YEAR(IG26)+5,MONTH(IG26),DAY(IG26))</f>
        <v>46974</v>
      </c>
      <c r="II26" s="65">
        <f ca="1">IH26-TODAY()</f>
        <v>843</v>
      </c>
      <c r="IJ26" s="15" t="str">
        <f t="shared" ca="1" si="95"/>
        <v>VIGENTE</v>
      </c>
      <c r="IK26" s="16"/>
      <c r="IL26" s="14">
        <v>45399</v>
      </c>
      <c r="IM26" s="14">
        <f>DATE(YEAR(IL26)+5,MONTH(IL26),DAY(IL26))</f>
        <v>47225</v>
      </c>
      <c r="IN26" s="65">
        <f ca="1">IM26-TODAY()</f>
        <v>1094</v>
      </c>
      <c r="IO26" s="15" t="str">
        <f t="shared" ca="1" si="96"/>
        <v>VIGENTE</v>
      </c>
      <c r="IP26" s="16"/>
      <c r="IQ26" s="14">
        <v>45354</v>
      </c>
      <c r="IR26" s="14">
        <f>DATE(YEAR(IQ26)+5,MONTH(IQ26),DAY(IQ26))</f>
        <v>47180</v>
      </c>
      <c r="IS26" s="65">
        <f ca="1">IR26-TODAY()</f>
        <v>1049</v>
      </c>
      <c r="IT26" s="15" t="str">
        <f t="shared" ca="1" si="97"/>
        <v>VIGENTE</v>
      </c>
      <c r="IU26" s="16"/>
      <c r="IV26" s="14">
        <v>45146</v>
      </c>
      <c r="IW26" s="14">
        <f>DATE(YEAR(IV26)+5,MONTH(IV26),DAY(IV26))</f>
        <v>46973</v>
      </c>
      <c r="IX26" s="65">
        <f ca="1">IW26-TODAY()</f>
        <v>842</v>
      </c>
      <c r="IY26" s="15" t="str">
        <f t="shared" ca="1" si="98"/>
        <v>VIGENTE</v>
      </c>
      <c r="IZ26" s="16"/>
      <c r="JA26" s="14">
        <v>45161</v>
      </c>
      <c r="JB26" s="14">
        <f>DATE(YEAR(JA26)+5,MONTH(JA26),DAY(JA26))</f>
        <v>46988</v>
      </c>
      <c r="JC26" s="65">
        <f ca="1">JB26-TODAY()</f>
        <v>857</v>
      </c>
      <c r="JD26" s="15" t="str">
        <f t="shared" ca="1" si="99"/>
        <v>VIGENTE</v>
      </c>
      <c r="JE26" s="13"/>
      <c r="JF26" s="13"/>
      <c r="JG26" s="14"/>
      <c r="JH26" s="65"/>
      <c r="JI26" s="15" t="str">
        <f t="shared" si="100"/>
        <v>NO APLICA</v>
      </c>
      <c r="JJ26" s="16"/>
      <c r="JK26" s="16"/>
      <c r="JL26" s="16"/>
      <c r="JM26" s="15" t="str">
        <f t="shared" si="101"/>
        <v>NO APLICA</v>
      </c>
      <c r="JN26" s="16"/>
      <c r="JO26" s="16"/>
      <c r="JP26" s="16"/>
      <c r="JQ26" s="15" t="str">
        <f t="shared" si="102"/>
        <v>NO APLICA</v>
      </c>
      <c r="JR26" s="16"/>
      <c r="JS26" s="16"/>
      <c r="JT26" s="16"/>
      <c r="JU26" s="16"/>
      <c r="JV26" s="15" t="str">
        <f t="shared" si="103"/>
        <v>NO APLICA</v>
      </c>
      <c r="JW26" s="15"/>
      <c r="JX26" s="13">
        <v>45948</v>
      </c>
      <c r="JY26" s="14">
        <f>DATE(YEAR(JX26)+2,MONTH(JX26),DAY(JX26))</f>
        <v>46678</v>
      </c>
      <c r="JZ26" s="65">
        <f ca="1">JY26-TODAY()</f>
        <v>547</v>
      </c>
      <c r="KA26" s="15" t="str">
        <f t="shared" ca="1" si="104"/>
        <v>VIGENTE</v>
      </c>
      <c r="KB26" s="12"/>
      <c r="KC26" s="14"/>
      <c r="KD26" s="65"/>
      <c r="KE26" s="15" t="str">
        <f t="shared" si="105"/>
        <v>NO APLICA</v>
      </c>
      <c r="KF26" s="12"/>
      <c r="KG26" s="14"/>
      <c r="KH26" s="65"/>
      <c r="KI26" s="15" t="str">
        <f t="shared" si="132"/>
        <v>NO APLICA</v>
      </c>
      <c r="KJ26" s="12"/>
      <c r="KK26" s="14"/>
      <c r="KL26" s="65"/>
      <c r="KM26" s="15" t="str">
        <f t="shared" si="106"/>
        <v>NO APLICA</v>
      </c>
      <c r="KN26" s="12"/>
      <c r="KO26" s="14"/>
      <c r="KP26" s="65"/>
      <c r="KQ26" s="15" t="str">
        <f t="shared" si="133"/>
        <v>NO APLICA</v>
      </c>
      <c r="KR26" s="16"/>
      <c r="KS26" s="16"/>
      <c r="KT26" s="14"/>
      <c r="KU26" s="65"/>
      <c r="KV26" s="15" t="str">
        <f t="shared" si="147"/>
        <v>NO APLICA</v>
      </c>
      <c r="KW26" s="16"/>
      <c r="KX26" s="14"/>
      <c r="KY26" s="65"/>
      <c r="KZ26" s="15" t="str">
        <f t="shared" si="134"/>
        <v>NO APLICA</v>
      </c>
      <c r="LA26" s="16"/>
      <c r="LB26" s="16"/>
      <c r="LC26" s="14"/>
      <c r="LD26" s="65"/>
      <c r="LE26" s="15" t="str">
        <f t="shared" si="107"/>
        <v>NO APLICA</v>
      </c>
      <c r="LF26" s="15"/>
      <c r="LG26" s="15"/>
      <c r="LH26" s="15"/>
      <c r="LI26" s="15"/>
      <c r="LJ26" s="15" t="str">
        <f t="shared" si="148"/>
        <v>NO APLICA</v>
      </c>
      <c r="LK26" s="16"/>
      <c r="LL26" s="16"/>
      <c r="LM26" s="14"/>
      <c r="LN26" s="65"/>
      <c r="LO26" s="15" t="str">
        <f t="shared" si="135"/>
        <v>NO APLICA</v>
      </c>
      <c r="LP26" s="16"/>
      <c r="LQ26" s="16"/>
      <c r="LR26" s="14"/>
      <c r="LS26" s="65"/>
      <c r="LT26" s="15" t="str">
        <f t="shared" si="136"/>
        <v>NO APLICA</v>
      </c>
      <c r="LU26" s="16"/>
      <c r="LV26" s="16"/>
      <c r="LW26" s="14"/>
      <c r="LX26" s="65"/>
      <c r="LY26" s="15" t="str">
        <f t="shared" si="137"/>
        <v>NO APLICA</v>
      </c>
      <c r="LZ26" s="12"/>
      <c r="MA26" s="12"/>
      <c r="MB26" s="14"/>
      <c r="MC26" s="65"/>
      <c r="MD26" s="15" t="str">
        <f t="shared" si="108"/>
        <v>NO APLICA</v>
      </c>
      <c r="ME26" s="12"/>
      <c r="MF26" s="12"/>
      <c r="MG26" s="14"/>
      <c r="MH26" s="65"/>
      <c r="MI26" s="15" t="str">
        <f t="shared" si="109"/>
        <v>NO APLICA</v>
      </c>
      <c r="MJ26" s="12"/>
      <c r="MK26" s="14"/>
      <c r="ML26" s="65"/>
      <c r="MM26" s="15" t="str">
        <f t="shared" si="110"/>
        <v>NO APLICA</v>
      </c>
      <c r="MN26" s="12"/>
      <c r="MO26" s="14"/>
      <c r="MP26" s="12"/>
      <c r="MQ26" s="15" t="str">
        <f t="shared" si="111"/>
        <v>NO APLICA</v>
      </c>
      <c r="MR26" s="16"/>
      <c r="MS26" s="16"/>
      <c r="MT26" s="14"/>
      <c r="MU26" s="65"/>
      <c r="MV26" s="15" t="str">
        <f t="shared" si="112"/>
        <v>NO APLICA</v>
      </c>
      <c r="MW26" s="16"/>
      <c r="MX26" s="16"/>
      <c r="MY26" s="14"/>
      <c r="MZ26" s="65"/>
      <c r="NA26" s="15" t="str">
        <f t="shared" si="113"/>
        <v>NO APLICA</v>
      </c>
      <c r="NB26" s="16"/>
      <c r="NC26" s="16"/>
      <c r="ND26" s="14"/>
      <c r="NE26" s="65"/>
      <c r="NF26" s="15" t="str">
        <f t="shared" si="114"/>
        <v>NO APLICA</v>
      </c>
      <c r="NG26" s="12"/>
      <c r="NH26" s="12"/>
      <c r="NI26" s="14"/>
      <c r="NJ26" s="12"/>
      <c r="NK26" s="15" t="str">
        <f t="shared" si="115"/>
        <v>NO APLICA</v>
      </c>
      <c r="NL26" s="12"/>
      <c r="NM26" s="12"/>
      <c r="NN26" s="12"/>
      <c r="NO26" s="12"/>
      <c r="NP26" s="15" t="str">
        <f t="shared" si="116"/>
        <v>NO APLICA</v>
      </c>
      <c r="NQ26" s="16"/>
      <c r="NR26" s="16"/>
      <c r="NS26" s="14"/>
      <c r="NT26" s="65"/>
      <c r="NU26" s="15" t="str">
        <f t="shared" si="117"/>
        <v>NO APLICA</v>
      </c>
      <c r="NV26" s="16"/>
      <c r="NW26" s="16"/>
      <c r="NX26" s="16"/>
      <c r="NY26" s="16"/>
      <c r="NZ26" s="15" t="str">
        <f t="shared" si="118"/>
        <v>NO APLICA</v>
      </c>
    </row>
    <row r="27" spans="1:390" ht="15.6" thickTop="1" thickBot="1" x14ac:dyDescent="0.35">
      <c r="A27" s="9">
        <v>1408</v>
      </c>
      <c r="B27" s="10" t="s">
        <v>187</v>
      </c>
      <c r="C27" s="21" t="s">
        <v>151</v>
      </c>
      <c r="D27" s="64" t="s">
        <v>188</v>
      </c>
      <c r="E27" s="13">
        <v>46057</v>
      </c>
      <c r="F27" s="14">
        <v>46058</v>
      </c>
      <c r="G27" s="14">
        <f>DATE(YEAR(F27)+2,MONTH(F27),DAY(F27))</f>
        <v>46788</v>
      </c>
      <c r="H27" s="65">
        <f ca="1">G27-TODAY()</f>
        <v>657</v>
      </c>
      <c r="I27" s="15" t="str">
        <f t="shared" ca="1" si="0"/>
        <v>VIGENTE</v>
      </c>
      <c r="J27" s="13"/>
      <c r="K27" s="14"/>
      <c r="L27" s="16"/>
      <c r="M27" s="65"/>
      <c r="N27" s="15" t="str">
        <f t="shared" si="1"/>
        <v>NO APLICA</v>
      </c>
      <c r="O27" s="16"/>
      <c r="P27" s="16"/>
      <c r="Q27" s="14"/>
      <c r="R27" s="65"/>
      <c r="S27" s="15" t="str">
        <f t="shared" si="119"/>
        <v>NO APLICA</v>
      </c>
      <c r="T27" s="12" t="s">
        <v>189</v>
      </c>
      <c r="U27" s="13">
        <v>46068</v>
      </c>
      <c r="V27" s="14">
        <v>46069</v>
      </c>
      <c r="W27" s="14">
        <f t="shared" si="2"/>
        <v>47895</v>
      </c>
      <c r="X27" s="65">
        <f t="shared" ca="1" si="3"/>
        <v>1764</v>
      </c>
      <c r="Y27" s="15" t="str">
        <f t="shared" ca="1" si="4"/>
        <v>VIGENTE</v>
      </c>
      <c r="Z27" s="12"/>
      <c r="AA27" s="12"/>
      <c r="AB27" s="16"/>
      <c r="AC27" s="14"/>
      <c r="AD27" s="65"/>
      <c r="AE27" s="15" t="str">
        <f t="shared" si="7"/>
        <v>NO APLICA</v>
      </c>
      <c r="AF27" s="13">
        <v>44621</v>
      </c>
      <c r="AG27" s="14">
        <v>45936</v>
      </c>
      <c r="AH27" s="14">
        <f>DATE(YEAR(AG27)+2,MONTH(AG27),DAY(AG27))</f>
        <v>46666</v>
      </c>
      <c r="AI27" s="65">
        <f t="shared" ca="1" si="8"/>
        <v>535</v>
      </c>
      <c r="AJ27" s="15" t="str">
        <f t="shared" ca="1" si="9"/>
        <v>VIGENTE</v>
      </c>
      <c r="AK27" s="13">
        <v>44620</v>
      </c>
      <c r="AL27" s="14">
        <v>45926</v>
      </c>
      <c r="AM27" s="14">
        <f>DATE(YEAR(AL27)+2,MONTH(AL27),DAY(AL27))</f>
        <v>46656</v>
      </c>
      <c r="AN27" s="65">
        <f t="shared" ca="1" si="10"/>
        <v>525</v>
      </c>
      <c r="AO27" s="15" t="str">
        <f t="shared" ca="1" si="11"/>
        <v>VIGENTE</v>
      </c>
      <c r="AP27" s="13">
        <v>44652</v>
      </c>
      <c r="AQ27" s="14">
        <v>45904</v>
      </c>
      <c r="AR27" s="14">
        <f>DATE(YEAR(AQ27)+2,MONTH(AQ27),DAY(AQ27))</f>
        <v>46634</v>
      </c>
      <c r="AS27" s="65">
        <f t="shared" ca="1" si="12"/>
        <v>503</v>
      </c>
      <c r="AT27" s="15" t="str">
        <f t="shared" ca="1" si="13"/>
        <v>VIGENTE</v>
      </c>
      <c r="AU27" s="13">
        <v>44652</v>
      </c>
      <c r="AV27" s="14">
        <v>45927</v>
      </c>
      <c r="AW27" s="14">
        <f>DATE(YEAR(AV27)+2,MONTH(AV27),DAY(AV27))</f>
        <v>46657</v>
      </c>
      <c r="AX27" s="65">
        <f t="shared" ca="1" si="15"/>
        <v>526</v>
      </c>
      <c r="AY27" s="15" t="str">
        <f t="shared" ca="1" si="16"/>
        <v>VIGENTE</v>
      </c>
      <c r="AZ27" s="13">
        <v>44930</v>
      </c>
      <c r="BA27" s="14">
        <v>45603</v>
      </c>
      <c r="BB27" s="14">
        <f>DATE(YEAR(BA27)+2,MONTH(BA27),DAY(BA27)-1)</f>
        <v>46332</v>
      </c>
      <c r="BC27" s="65">
        <f t="shared" ca="1" si="17"/>
        <v>201</v>
      </c>
      <c r="BD27" s="15" t="str">
        <f t="shared" ca="1" si="18"/>
        <v>VIGENTE</v>
      </c>
      <c r="BE27" s="13">
        <v>45052</v>
      </c>
      <c r="BF27" s="14">
        <v>45698</v>
      </c>
      <c r="BG27" s="14">
        <f>DATE(YEAR(BF27)+2,MONTH(BF27),DAY(BF27)-1)</f>
        <v>46427</v>
      </c>
      <c r="BH27" s="65">
        <f t="shared" ca="1" si="19"/>
        <v>296</v>
      </c>
      <c r="BI27" s="15" t="str">
        <f t="shared" ca="1" si="20"/>
        <v>VIGENTE</v>
      </c>
      <c r="BJ27" s="13">
        <v>44937</v>
      </c>
      <c r="BK27" s="14">
        <v>45570</v>
      </c>
      <c r="BL27" s="14">
        <f>DATE(YEAR(BK27)+2,MONTH(BK27),DAY(BK27)-1)</f>
        <v>46299</v>
      </c>
      <c r="BM27" s="65">
        <f t="shared" ca="1" si="21"/>
        <v>168</v>
      </c>
      <c r="BN27" s="15" t="str">
        <f t="shared" ca="1" si="22"/>
        <v>VIGENTE</v>
      </c>
      <c r="BO27" s="13">
        <v>44870</v>
      </c>
      <c r="BP27" s="14">
        <v>45478</v>
      </c>
      <c r="BQ27" s="14">
        <f>DATE(YEAR(BP27)+2,MONTH(BP27),DAY(BP27)-1)</f>
        <v>46207</v>
      </c>
      <c r="BR27" s="65">
        <f t="shared" ca="1" si="23"/>
        <v>76</v>
      </c>
      <c r="BS27" s="15" t="str">
        <f t="shared" ca="1" si="24"/>
        <v>POR VENCER</v>
      </c>
      <c r="BT27" s="13">
        <v>44874</v>
      </c>
      <c r="BU27" s="14">
        <v>45484</v>
      </c>
      <c r="BV27" s="14">
        <f t="shared" si="179"/>
        <v>46213</v>
      </c>
      <c r="BW27" s="65">
        <f t="shared" ca="1" si="25"/>
        <v>82</v>
      </c>
      <c r="BX27" s="15" t="str">
        <f t="shared" ca="1" si="26"/>
        <v>POR VENCER</v>
      </c>
      <c r="BY27" s="13">
        <v>44622</v>
      </c>
      <c r="BZ27" s="14">
        <v>45911</v>
      </c>
      <c r="CA27" s="14">
        <f>DATE(YEAR(BZ27)+2,MONTH(BZ27),DAY(BZ27))</f>
        <v>46641</v>
      </c>
      <c r="CB27" s="65">
        <f t="shared" ca="1" si="27"/>
        <v>510</v>
      </c>
      <c r="CC27" s="15" t="str">
        <f t="shared" ca="1" si="28"/>
        <v>VIGENTE</v>
      </c>
      <c r="CD27" s="16" t="s">
        <v>102</v>
      </c>
      <c r="CE27" s="14">
        <v>45722</v>
      </c>
      <c r="CF27" s="14">
        <v>45723</v>
      </c>
      <c r="CG27" s="14">
        <f t="shared" si="29"/>
        <v>47184</v>
      </c>
      <c r="CH27" s="65">
        <f t="shared" ca="1" si="30"/>
        <v>1053</v>
      </c>
      <c r="CI27" s="15" t="str">
        <f t="shared" ca="1" si="31"/>
        <v>VIGENTE</v>
      </c>
      <c r="CJ27" s="14">
        <v>45051</v>
      </c>
      <c r="CK27" s="14">
        <v>45688</v>
      </c>
      <c r="CL27" s="14">
        <f>DATE(YEAR(CK27)+2,MONTH(CK27),DAY(CK27)-1)</f>
        <v>46417</v>
      </c>
      <c r="CM27" s="65">
        <f t="shared" ca="1" si="32"/>
        <v>286</v>
      </c>
      <c r="CN27" s="15" t="str">
        <f t="shared" ca="1" si="33"/>
        <v>VIGENTE</v>
      </c>
      <c r="CO27" s="13">
        <v>45011</v>
      </c>
      <c r="CP27" s="14">
        <v>45684</v>
      </c>
      <c r="CQ27" s="14">
        <f>DATE(YEAR(CP27)+2,MONTH(CP27),DAY(CP27)-1)</f>
        <v>46413</v>
      </c>
      <c r="CR27" s="65">
        <f t="shared" ca="1" si="34"/>
        <v>282</v>
      </c>
      <c r="CS27" s="15" t="str">
        <f t="shared" ca="1" si="35"/>
        <v>VIGENTE</v>
      </c>
      <c r="CT27" s="13">
        <v>44651</v>
      </c>
      <c r="CU27" s="14">
        <v>45905</v>
      </c>
      <c r="CV27" s="14">
        <f>DATE(YEAR(CU27)+2,MONTH(CU27),DAY(CU27))</f>
        <v>46635</v>
      </c>
      <c r="CW27" s="65">
        <f t="shared" ca="1" si="36"/>
        <v>504</v>
      </c>
      <c r="CX27" s="15" t="str">
        <f t="shared" ca="1" si="37"/>
        <v>VIGENTE</v>
      </c>
      <c r="CY27" s="13">
        <v>44653</v>
      </c>
      <c r="CZ27" s="14">
        <v>45924</v>
      </c>
      <c r="DA27" s="14">
        <f>DATE(YEAR(CZ27)+2,MONTH(CZ27),DAY(CZ27))</f>
        <v>46654</v>
      </c>
      <c r="DB27" s="65">
        <f t="shared" ca="1" si="38"/>
        <v>523</v>
      </c>
      <c r="DC27" s="15" t="str">
        <f t="shared" ca="1" si="39"/>
        <v>VIGENTE</v>
      </c>
      <c r="DD27" s="13">
        <v>45036</v>
      </c>
      <c r="DE27" s="14">
        <v>45689</v>
      </c>
      <c r="DF27" s="14">
        <f t="shared" si="182"/>
        <v>46418</v>
      </c>
      <c r="DG27" s="65">
        <f t="shared" ca="1" si="40"/>
        <v>287</v>
      </c>
      <c r="DH27" s="15" t="str">
        <f t="shared" ca="1" si="41"/>
        <v>VIGENTE</v>
      </c>
      <c r="DI27" s="13">
        <v>45196</v>
      </c>
      <c r="DJ27" s="14">
        <v>45834</v>
      </c>
      <c r="DK27" s="14">
        <f>DATE(YEAR(DJ27)+2,MONTH(DJ27),DAY(DJ27))</f>
        <v>46564</v>
      </c>
      <c r="DL27" s="65">
        <f t="shared" ca="1" si="43"/>
        <v>433</v>
      </c>
      <c r="DM27" s="15" t="str">
        <f t="shared" ca="1" si="44"/>
        <v>VIGENTE</v>
      </c>
      <c r="DN27" s="13">
        <v>44650</v>
      </c>
      <c r="DO27" s="14">
        <v>46008</v>
      </c>
      <c r="DP27" s="14">
        <f>DATE(YEAR(DO27)+2,MONTH(DO27),DAY(DO27))</f>
        <v>46738</v>
      </c>
      <c r="DQ27" s="65">
        <f t="shared" ca="1" si="46"/>
        <v>607</v>
      </c>
      <c r="DR27" s="15" t="str">
        <f t="shared" ca="1" si="47"/>
        <v>VIGENTE</v>
      </c>
      <c r="DS27" s="13">
        <v>44935</v>
      </c>
      <c r="DT27" s="14">
        <v>45608</v>
      </c>
      <c r="DU27" s="14">
        <f>DATE(YEAR(DT27)+2,MONTH(DT27),DAY(DT27)-1)</f>
        <v>46337</v>
      </c>
      <c r="DV27" s="65">
        <f t="shared" ca="1" si="48"/>
        <v>206</v>
      </c>
      <c r="DW27" s="15" t="str">
        <f t="shared" ca="1" si="49"/>
        <v>VIGENTE</v>
      </c>
      <c r="DX27" s="13">
        <v>44992</v>
      </c>
      <c r="DY27" s="14">
        <v>45663</v>
      </c>
      <c r="DZ27" s="14">
        <f>DATE(YEAR(DY27)+2,MONTH(DY27),DAY(DY27)-1)</f>
        <v>46392</v>
      </c>
      <c r="EA27" s="65">
        <f t="shared" ca="1" si="50"/>
        <v>261</v>
      </c>
      <c r="EB27" s="15" t="str">
        <f t="shared" ca="1" si="51"/>
        <v>VIGENTE</v>
      </c>
      <c r="EC27" s="13">
        <v>45040</v>
      </c>
      <c r="ED27" s="14">
        <v>45674</v>
      </c>
      <c r="EE27" s="14">
        <f>DATE(YEAR(ED27)+2,MONTH(ED27),DAY(ED27)-1)</f>
        <v>46403</v>
      </c>
      <c r="EF27" s="65">
        <f t="shared" ca="1" si="52"/>
        <v>272</v>
      </c>
      <c r="EG27" s="15" t="str">
        <f t="shared" ca="1" si="53"/>
        <v>VIGENTE</v>
      </c>
      <c r="EH27" s="13">
        <v>45059</v>
      </c>
      <c r="EI27" s="13">
        <v>46083</v>
      </c>
      <c r="EJ27" s="13">
        <v>46084</v>
      </c>
      <c r="EK27" s="13">
        <v>46085</v>
      </c>
      <c r="EL27" s="14">
        <f t="shared" si="128"/>
        <v>46450</v>
      </c>
      <c r="EM27" s="65">
        <f t="shared" ca="1" si="54"/>
        <v>319</v>
      </c>
      <c r="EN27" s="15" t="str">
        <f t="shared" ca="1" si="55"/>
        <v>VIGENTE</v>
      </c>
      <c r="EO27" s="13">
        <v>44993</v>
      </c>
      <c r="EP27" s="14">
        <v>45671</v>
      </c>
      <c r="EQ27" s="14">
        <f>DATE(YEAR(EP27)+2,MONTH(EP27),DAY(EP27)-1)</f>
        <v>46400</v>
      </c>
      <c r="ER27" s="65">
        <f t="shared" ca="1" si="56"/>
        <v>269</v>
      </c>
      <c r="ES27" s="15" t="str">
        <f t="shared" ca="1" si="57"/>
        <v>VIGENTE</v>
      </c>
      <c r="ET27" s="13">
        <v>44929</v>
      </c>
      <c r="EU27" s="14">
        <v>45575</v>
      </c>
      <c r="EV27" s="14">
        <f>DATE(YEAR(EU27)+2,MONTH(EU27),DAY(EU27)-1)</f>
        <v>46304</v>
      </c>
      <c r="EW27" s="65">
        <f t="shared" ca="1" si="58"/>
        <v>173</v>
      </c>
      <c r="EX27" s="15" t="str">
        <f t="shared" ca="1" si="59"/>
        <v>VIGENTE</v>
      </c>
      <c r="EY27" s="13">
        <v>45294</v>
      </c>
      <c r="EZ27" s="14">
        <v>45917</v>
      </c>
      <c r="FA27" s="14">
        <f>DATE(YEAR(EZ27)+2,MONTH(EZ27),DAY(EZ27))</f>
        <v>46647</v>
      </c>
      <c r="FB27" s="65">
        <f t="shared" ca="1" si="60"/>
        <v>516</v>
      </c>
      <c r="FC27" s="15" t="str">
        <f t="shared" ca="1" si="61"/>
        <v>VIGENTE</v>
      </c>
      <c r="FD27" s="13">
        <v>44622</v>
      </c>
      <c r="FE27" s="14">
        <v>45931</v>
      </c>
      <c r="FF27" s="14">
        <f>DATE(YEAR(FE27)+2,MONTH(FE27),DAY(FE27))</f>
        <v>46661</v>
      </c>
      <c r="FG27" s="65">
        <f t="shared" ca="1" si="62"/>
        <v>530</v>
      </c>
      <c r="FH27" s="15" t="str">
        <f t="shared" ca="1" si="63"/>
        <v>VIGENTE</v>
      </c>
      <c r="FI27" s="13">
        <v>45176</v>
      </c>
      <c r="FJ27" s="14">
        <v>45832</v>
      </c>
      <c r="FK27" s="14">
        <f>DATE(YEAR(FJ27)+2,MONTH(FJ27),DAY(FJ27))</f>
        <v>46562</v>
      </c>
      <c r="FL27" s="65">
        <f t="shared" ca="1" si="64"/>
        <v>431</v>
      </c>
      <c r="FM27" s="15" t="str">
        <f t="shared" ca="1" si="65"/>
        <v>VIGENTE</v>
      </c>
      <c r="FN27" s="13">
        <v>44972</v>
      </c>
      <c r="FO27" s="14">
        <v>45588</v>
      </c>
      <c r="FP27" s="14">
        <f>DATE(YEAR(FO27)+2,MONTH(FO27),DAY(FO27)-1)</f>
        <v>46317</v>
      </c>
      <c r="FQ27" s="65">
        <f t="shared" ca="1" si="67"/>
        <v>186</v>
      </c>
      <c r="FR27" s="15" t="str">
        <f t="shared" ca="1" si="68"/>
        <v>VIGENTE</v>
      </c>
      <c r="FS27" s="13">
        <v>45014</v>
      </c>
      <c r="FT27" s="14">
        <v>45664</v>
      </c>
      <c r="FU27" s="14">
        <f t="shared" ref="FU27:FU32" si="184">DATE(YEAR(FT27)+2,MONTH(FT27),DAY(FT27)-1)</f>
        <v>46393</v>
      </c>
      <c r="FV27" s="65">
        <f t="shared" ca="1" si="69"/>
        <v>262</v>
      </c>
      <c r="FW27" s="15" t="str">
        <f t="shared" ca="1" si="70"/>
        <v>VIGENTE</v>
      </c>
      <c r="FX27" s="13">
        <v>44623</v>
      </c>
      <c r="FY27" s="14">
        <v>45941</v>
      </c>
      <c r="FZ27" s="14">
        <f>DATE(YEAR(FY27)+2,MONTH(FY27),DAY(FY27))</f>
        <v>46671</v>
      </c>
      <c r="GA27" s="65">
        <f t="shared" ca="1" si="71"/>
        <v>540</v>
      </c>
      <c r="GB27" s="15" t="str">
        <f t="shared" ca="1" si="72"/>
        <v>VIGENTE</v>
      </c>
      <c r="GC27" s="13">
        <v>44922</v>
      </c>
      <c r="GD27" s="14">
        <v>45626</v>
      </c>
      <c r="GE27" s="14">
        <f>DATE(YEAR(GD27)+2,MONTH(GD27),DAY(GD27)-1)</f>
        <v>46355</v>
      </c>
      <c r="GF27" s="65">
        <f t="shared" ca="1" si="73"/>
        <v>224</v>
      </c>
      <c r="GG27" s="15" t="str">
        <f t="shared" ca="1" si="74"/>
        <v>VIGENTE</v>
      </c>
      <c r="GH27" s="13">
        <v>44918</v>
      </c>
      <c r="GI27" s="14">
        <v>45579</v>
      </c>
      <c r="GJ27" s="14">
        <f t="shared" si="183"/>
        <v>46308</v>
      </c>
      <c r="GK27" s="65">
        <f t="shared" ca="1" si="75"/>
        <v>177</v>
      </c>
      <c r="GL27" s="15" t="str">
        <f t="shared" ca="1" si="76"/>
        <v>VIGENTE</v>
      </c>
      <c r="GM27" s="13">
        <v>44875</v>
      </c>
      <c r="GN27" s="14">
        <v>45567</v>
      </c>
      <c r="GO27" s="14">
        <f>DATE(YEAR(GN27)+2,MONTH(GN27),DAY(GN27)-1)</f>
        <v>46296</v>
      </c>
      <c r="GP27" s="65">
        <f t="shared" ca="1" si="77"/>
        <v>165</v>
      </c>
      <c r="GQ27" s="15" t="str">
        <f t="shared" ca="1" si="78"/>
        <v>VIGENTE</v>
      </c>
      <c r="GR27" s="14"/>
      <c r="GS27" s="14">
        <v>44873</v>
      </c>
      <c r="GT27" s="14">
        <f t="shared" si="79"/>
        <v>46699</v>
      </c>
      <c r="GU27" s="65">
        <f t="shared" ca="1" si="172"/>
        <v>568</v>
      </c>
      <c r="GV27" s="15" t="str">
        <f t="shared" ca="1" si="81"/>
        <v>VIGENTE</v>
      </c>
      <c r="GW27" s="13"/>
      <c r="GX27" s="14">
        <v>44886</v>
      </c>
      <c r="GY27" s="14">
        <f t="shared" si="82"/>
        <v>46712</v>
      </c>
      <c r="GZ27" s="65">
        <f t="shared" ca="1" si="83"/>
        <v>581</v>
      </c>
      <c r="HA27" s="15" t="str">
        <f t="shared" ca="1" si="84"/>
        <v>VIGENTE</v>
      </c>
      <c r="HB27" s="12"/>
      <c r="HC27" s="14">
        <v>44883</v>
      </c>
      <c r="HD27" s="14">
        <f t="shared" si="85"/>
        <v>46709</v>
      </c>
      <c r="HE27" s="65">
        <f t="shared" ca="1" si="86"/>
        <v>578</v>
      </c>
      <c r="HF27" s="15" t="str">
        <f t="shared" ca="1" si="87"/>
        <v>VIGENTE</v>
      </c>
      <c r="HG27" s="16"/>
      <c r="HH27" s="16"/>
      <c r="HI27" s="14"/>
      <c r="HJ27" s="65"/>
      <c r="HK27" s="15" t="str">
        <f t="shared" si="181"/>
        <v>NO APLICA</v>
      </c>
      <c r="HL27" s="12"/>
      <c r="HM27" s="16"/>
      <c r="HN27" s="14"/>
      <c r="HO27" s="65"/>
      <c r="HP27" s="15" t="str">
        <f t="shared" si="91"/>
        <v>NO APLICA</v>
      </c>
      <c r="HQ27" s="12"/>
      <c r="HR27" s="12"/>
      <c r="HS27" s="14"/>
      <c r="HT27" s="12"/>
      <c r="HU27" s="15" t="str">
        <f t="shared" si="92"/>
        <v>NO APLICA</v>
      </c>
      <c r="HV27" s="12"/>
      <c r="HW27" s="16"/>
      <c r="HX27" s="14"/>
      <c r="HY27" s="65"/>
      <c r="HZ27" s="15" t="str">
        <f t="shared" si="93"/>
        <v>NO APLICA</v>
      </c>
      <c r="IA27" s="12"/>
      <c r="IB27" s="16"/>
      <c r="IC27" s="14"/>
      <c r="ID27" s="65"/>
      <c r="IE27" s="15" t="str">
        <f t="shared" si="94"/>
        <v>NO APLICA</v>
      </c>
      <c r="IF27" s="12"/>
      <c r="IG27" s="16"/>
      <c r="IH27" s="14"/>
      <c r="II27" s="65"/>
      <c r="IJ27" s="15" t="str">
        <f t="shared" si="95"/>
        <v>NO APLICA</v>
      </c>
      <c r="IK27" s="16"/>
      <c r="IL27" s="16"/>
      <c r="IM27" s="14"/>
      <c r="IN27" s="65"/>
      <c r="IO27" s="15" t="str">
        <f t="shared" si="96"/>
        <v>NO APLICA</v>
      </c>
      <c r="IP27" s="12"/>
      <c r="IQ27" s="16"/>
      <c r="IR27" s="14"/>
      <c r="IS27" s="65"/>
      <c r="IT27" s="15" t="str">
        <f t="shared" si="97"/>
        <v>NO APLICA</v>
      </c>
      <c r="IU27" s="12"/>
      <c r="IV27" s="16"/>
      <c r="IW27" s="14"/>
      <c r="IX27" s="65"/>
      <c r="IY27" s="15" t="str">
        <f t="shared" si="98"/>
        <v>NO APLICA</v>
      </c>
      <c r="IZ27" s="12"/>
      <c r="JA27" s="16"/>
      <c r="JB27" s="14"/>
      <c r="JC27" s="65"/>
      <c r="JD27" s="15" t="str">
        <f t="shared" si="99"/>
        <v>NO APLICA</v>
      </c>
      <c r="JE27" s="13"/>
      <c r="JF27" s="13"/>
      <c r="JG27" s="14"/>
      <c r="JH27" s="65"/>
      <c r="JI27" s="15" t="str">
        <f t="shared" si="100"/>
        <v>NO APLICA</v>
      </c>
      <c r="JJ27" s="16"/>
      <c r="JK27" s="16"/>
      <c r="JL27" s="16"/>
      <c r="JM27" s="15" t="str">
        <f t="shared" si="101"/>
        <v>NO APLICA</v>
      </c>
      <c r="JN27" s="16"/>
      <c r="JO27" s="16"/>
      <c r="JP27" s="16"/>
      <c r="JQ27" s="15" t="str">
        <f t="shared" si="102"/>
        <v>NO APLICA</v>
      </c>
      <c r="JR27" s="16"/>
      <c r="JS27" s="16"/>
      <c r="JT27" s="16"/>
      <c r="JU27" s="16"/>
      <c r="JV27" s="15" t="str">
        <f t="shared" si="103"/>
        <v>NO APLICA</v>
      </c>
      <c r="JW27" s="15"/>
      <c r="JX27" s="15"/>
      <c r="JY27" s="15"/>
      <c r="JZ27" s="15"/>
      <c r="KA27" s="15" t="str">
        <f t="shared" si="104"/>
        <v>NO APLICA</v>
      </c>
      <c r="KB27" s="12"/>
      <c r="KC27" s="14"/>
      <c r="KD27" s="65"/>
      <c r="KE27" s="15" t="str">
        <f t="shared" si="105"/>
        <v>NO APLICA</v>
      </c>
      <c r="KF27" s="12"/>
      <c r="KG27" s="14"/>
      <c r="KH27" s="65"/>
      <c r="KI27" s="15" t="str">
        <f t="shared" si="132"/>
        <v>NO APLICA</v>
      </c>
      <c r="KJ27" s="12"/>
      <c r="KK27" s="14"/>
      <c r="KL27" s="65"/>
      <c r="KM27" s="15" t="str">
        <f t="shared" si="106"/>
        <v>NO APLICA</v>
      </c>
      <c r="KN27" s="12"/>
      <c r="KO27" s="14"/>
      <c r="KP27" s="65"/>
      <c r="KQ27" s="15" t="str">
        <f t="shared" si="133"/>
        <v>NO APLICA</v>
      </c>
      <c r="KR27" s="12"/>
      <c r="KS27" s="16"/>
      <c r="KT27" s="14"/>
      <c r="KU27" s="65"/>
      <c r="KV27" s="15" t="str">
        <f t="shared" si="147"/>
        <v>NO APLICA</v>
      </c>
      <c r="KW27" s="16"/>
      <c r="KX27" s="14"/>
      <c r="KY27" s="65"/>
      <c r="KZ27" s="15" t="str">
        <f t="shared" si="134"/>
        <v>NO APLICA</v>
      </c>
      <c r="LA27" s="16"/>
      <c r="LB27" s="16"/>
      <c r="LC27" s="14"/>
      <c r="LD27" s="65"/>
      <c r="LE27" s="15" t="str">
        <f t="shared" si="107"/>
        <v>NO APLICA</v>
      </c>
      <c r="LF27" s="15"/>
      <c r="LG27" s="15"/>
      <c r="LH27" s="15"/>
      <c r="LI27" s="15"/>
      <c r="LJ27" s="15" t="str">
        <f t="shared" si="148"/>
        <v>NO APLICA</v>
      </c>
      <c r="LK27" s="12"/>
      <c r="LL27" s="16"/>
      <c r="LM27" s="14"/>
      <c r="LN27" s="65"/>
      <c r="LO27" s="15" t="str">
        <f t="shared" si="135"/>
        <v>NO APLICA</v>
      </c>
      <c r="LP27" s="16"/>
      <c r="LQ27" s="16"/>
      <c r="LR27" s="14"/>
      <c r="LS27" s="65"/>
      <c r="LT27" s="15" t="str">
        <f t="shared" si="136"/>
        <v>NO APLICA</v>
      </c>
      <c r="LU27" s="16"/>
      <c r="LV27" s="16"/>
      <c r="LW27" s="14"/>
      <c r="LX27" s="65"/>
      <c r="LY27" s="15" t="str">
        <f t="shared" si="137"/>
        <v>NO APLICA</v>
      </c>
      <c r="LZ27" s="12"/>
      <c r="MA27" s="12"/>
      <c r="MB27" s="14"/>
      <c r="MC27" s="65"/>
      <c r="MD27" s="15" t="str">
        <f t="shared" si="108"/>
        <v>NO APLICA</v>
      </c>
      <c r="ME27" s="12"/>
      <c r="MF27" s="12"/>
      <c r="MG27" s="14"/>
      <c r="MH27" s="65"/>
      <c r="MI27" s="15" t="str">
        <f t="shared" si="109"/>
        <v>NO APLICA</v>
      </c>
      <c r="MJ27" s="12"/>
      <c r="MK27" s="14"/>
      <c r="ML27" s="65"/>
      <c r="MM27" s="15" t="str">
        <f t="shared" si="110"/>
        <v>NO APLICA</v>
      </c>
      <c r="MN27" s="12"/>
      <c r="MO27" s="14"/>
      <c r="MP27" s="12"/>
      <c r="MQ27" s="15" t="str">
        <f t="shared" si="111"/>
        <v>NO APLICA</v>
      </c>
      <c r="MR27" s="12"/>
      <c r="MS27" s="16"/>
      <c r="MT27" s="14"/>
      <c r="MU27" s="65"/>
      <c r="MV27" s="15" t="str">
        <f t="shared" si="112"/>
        <v>NO APLICA</v>
      </c>
      <c r="MW27" s="12"/>
      <c r="MX27" s="16"/>
      <c r="MY27" s="14"/>
      <c r="MZ27" s="65"/>
      <c r="NA27" s="15" t="str">
        <f t="shared" si="113"/>
        <v>NO APLICA</v>
      </c>
      <c r="NB27" s="12"/>
      <c r="NC27" s="16"/>
      <c r="ND27" s="14"/>
      <c r="NE27" s="65"/>
      <c r="NF27" s="15" t="str">
        <f t="shared" si="114"/>
        <v>NO APLICA</v>
      </c>
      <c r="NG27" s="12"/>
      <c r="NH27" s="12"/>
      <c r="NI27" s="14"/>
      <c r="NJ27" s="12"/>
      <c r="NK27" s="15" t="str">
        <f t="shared" si="115"/>
        <v>NO APLICA</v>
      </c>
      <c r="NL27" s="12"/>
      <c r="NM27" s="12"/>
      <c r="NN27" s="14"/>
      <c r="NO27" s="12"/>
      <c r="NP27" s="15" t="str">
        <f t="shared" si="116"/>
        <v>NO APLICA</v>
      </c>
      <c r="NQ27" s="16"/>
      <c r="NR27" s="16"/>
      <c r="NS27" s="14"/>
      <c r="NT27" s="65"/>
      <c r="NU27" s="15" t="str">
        <f t="shared" si="117"/>
        <v>NO APLICA</v>
      </c>
      <c r="NV27" s="16"/>
      <c r="NW27" s="16"/>
      <c r="NX27" s="16"/>
      <c r="NY27" s="16"/>
      <c r="NZ27" s="15" t="str">
        <f t="shared" si="118"/>
        <v>NO APLICA</v>
      </c>
    </row>
    <row r="28" spans="1:390" ht="15.6" thickTop="1" thickBot="1" x14ac:dyDescent="0.35">
      <c r="A28" s="11">
        <v>1642</v>
      </c>
      <c r="B28" s="10" t="s">
        <v>190</v>
      </c>
      <c r="C28" s="21" t="s">
        <v>151</v>
      </c>
      <c r="D28" s="64" t="s">
        <v>165</v>
      </c>
      <c r="E28" s="13">
        <v>46059</v>
      </c>
      <c r="F28" s="14">
        <v>46060</v>
      </c>
      <c r="G28" s="14">
        <f>DATE(YEAR(F28)+2,MONTH(F28),DAY(F28))</f>
        <v>46790</v>
      </c>
      <c r="H28" s="65">
        <f ca="1">G28-TODAY()</f>
        <v>659</v>
      </c>
      <c r="I28" s="15" t="str">
        <f t="shared" ca="1" si="0"/>
        <v>VIGENTE</v>
      </c>
      <c r="J28" s="12"/>
      <c r="K28" s="16"/>
      <c r="L28" s="16"/>
      <c r="M28" s="65"/>
      <c r="N28" s="15" t="str">
        <f t="shared" si="1"/>
        <v>NO APLICA</v>
      </c>
      <c r="O28" s="14"/>
      <c r="P28" s="14"/>
      <c r="Q28" s="14"/>
      <c r="R28" s="65"/>
      <c r="S28" s="15" t="str">
        <f t="shared" si="119"/>
        <v>NO APLICA</v>
      </c>
      <c r="T28" s="12" t="s">
        <v>191</v>
      </c>
      <c r="U28" s="13">
        <v>44931</v>
      </c>
      <c r="V28" s="14">
        <v>44932</v>
      </c>
      <c r="W28" s="14">
        <f t="shared" si="2"/>
        <v>46758</v>
      </c>
      <c r="X28" s="65">
        <f t="shared" ca="1" si="3"/>
        <v>627</v>
      </c>
      <c r="Y28" s="15" t="str">
        <f t="shared" ca="1" si="4"/>
        <v>VIGENTE</v>
      </c>
      <c r="Z28" s="12"/>
      <c r="AA28" s="12"/>
      <c r="AB28" s="16"/>
      <c r="AC28" s="14"/>
      <c r="AD28" s="65"/>
      <c r="AE28" s="15" t="str">
        <f t="shared" si="7"/>
        <v>NO APLICA</v>
      </c>
      <c r="AF28" s="13">
        <v>45008</v>
      </c>
      <c r="AG28" s="14">
        <v>45680</v>
      </c>
      <c r="AH28" s="14">
        <f>DATE(YEAR(AG28)+2,MONTH(AG28),DAY(AG28)-1)</f>
        <v>46409</v>
      </c>
      <c r="AI28" s="65">
        <f t="shared" ca="1" si="8"/>
        <v>278</v>
      </c>
      <c r="AJ28" s="15" t="str">
        <f t="shared" ca="1" si="9"/>
        <v>VIGENTE</v>
      </c>
      <c r="AK28" s="13">
        <v>44963</v>
      </c>
      <c r="AL28" s="14">
        <v>45602</v>
      </c>
      <c r="AM28" s="14">
        <f>DATE(YEAR(AL28)+2,MONTH(AL28),DAY(AL28)-1)</f>
        <v>46331</v>
      </c>
      <c r="AN28" s="65">
        <f t="shared" ca="1" si="10"/>
        <v>200</v>
      </c>
      <c r="AO28" s="15" t="str">
        <f t="shared" ca="1" si="11"/>
        <v>VIGENTE</v>
      </c>
      <c r="AP28" s="13">
        <v>44967</v>
      </c>
      <c r="AQ28" s="14">
        <v>45591</v>
      </c>
      <c r="AR28" s="14">
        <f>DATE(YEAR(AQ28)+2,MONTH(AQ28),DAY(AQ28)-1)</f>
        <v>46320</v>
      </c>
      <c r="AS28" s="65">
        <f t="shared" ca="1" si="12"/>
        <v>189</v>
      </c>
      <c r="AT28" s="15" t="str">
        <f t="shared" ca="1" si="13"/>
        <v>VIGENTE</v>
      </c>
      <c r="AU28" s="13">
        <v>44879</v>
      </c>
      <c r="AV28" s="14">
        <v>45496</v>
      </c>
      <c r="AW28" s="14">
        <f>DATE(YEAR(AV28)+2,MONTH(AV28),DAY(AV28)-1)</f>
        <v>46225</v>
      </c>
      <c r="AX28" s="65">
        <f t="shared" ca="1" si="15"/>
        <v>94</v>
      </c>
      <c r="AY28" s="15" t="str">
        <f t="shared" ca="1" si="16"/>
        <v>VIGENTE</v>
      </c>
      <c r="AZ28" s="13">
        <v>44894</v>
      </c>
      <c r="BA28" s="14">
        <v>45534</v>
      </c>
      <c r="BB28" s="14">
        <f>DATE(YEAR(BA28)+2,MONTH(BA28),DAY(BA28)-1)</f>
        <v>46263</v>
      </c>
      <c r="BC28" s="65">
        <f t="shared" ca="1" si="17"/>
        <v>132</v>
      </c>
      <c r="BD28" s="15" t="str">
        <f t="shared" ca="1" si="18"/>
        <v>VIGENTE</v>
      </c>
      <c r="BE28" s="13">
        <v>45010</v>
      </c>
      <c r="BF28" s="14">
        <v>45698</v>
      </c>
      <c r="BG28" s="14">
        <f>DATE(YEAR(BF28)+2,MONTH(BF28),DAY(BF28)-1)</f>
        <v>46427</v>
      </c>
      <c r="BH28" s="65">
        <f t="shared" ca="1" si="19"/>
        <v>296</v>
      </c>
      <c r="BI28" s="15" t="str">
        <f t="shared" ca="1" si="20"/>
        <v>VIGENTE</v>
      </c>
      <c r="BJ28" s="13">
        <v>44974</v>
      </c>
      <c r="BK28" s="14">
        <v>45600</v>
      </c>
      <c r="BL28" s="14">
        <f>DATE(YEAR(BK28)+2,MONTH(BK28),DAY(BK28)-1)</f>
        <v>46329</v>
      </c>
      <c r="BM28" s="65">
        <f t="shared" ca="1" si="21"/>
        <v>198</v>
      </c>
      <c r="BN28" s="15" t="str">
        <f t="shared" ca="1" si="22"/>
        <v>VIGENTE</v>
      </c>
      <c r="BO28" s="13">
        <v>44951</v>
      </c>
      <c r="BP28" s="14">
        <v>45604</v>
      </c>
      <c r="BQ28" s="14">
        <f>DATE(YEAR(BP28)+2,MONTH(BP28),DAY(BP28)-1)</f>
        <v>46333</v>
      </c>
      <c r="BR28" s="65">
        <f t="shared" ca="1" si="23"/>
        <v>202</v>
      </c>
      <c r="BS28" s="15" t="str">
        <f t="shared" ca="1" si="24"/>
        <v>VIGENTE</v>
      </c>
      <c r="BT28" s="12">
        <v>45086</v>
      </c>
      <c r="BU28" s="14">
        <v>45736</v>
      </c>
      <c r="BV28" s="14">
        <f t="shared" si="179"/>
        <v>46465</v>
      </c>
      <c r="BW28" s="65">
        <f t="shared" ca="1" si="25"/>
        <v>334</v>
      </c>
      <c r="BX28" s="15" t="str">
        <f t="shared" ca="1" si="26"/>
        <v>VIGENTE</v>
      </c>
      <c r="BY28" s="13">
        <v>44975</v>
      </c>
      <c r="BZ28" s="14">
        <v>45629</v>
      </c>
      <c r="CA28" s="14">
        <f>DATE(YEAR(BZ28)+2,MONTH(BZ28),DAY(BZ28)-1)</f>
        <v>46358</v>
      </c>
      <c r="CB28" s="65">
        <f t="shared" ca="1" si="27"/>
        <v>227</v>
      </c>
      <c r="CC28" s="15" t="str">
        <f t="shared" ca="1" si="28"/>
        <v>VIGENTE</v>
      </c>
      <c r="CD28" s="16" t="s">
        <v>102</v>
      </c>
      <c r="CE28" s="14">
        <v>45831</v>
      </c>
      <c r="CF28" s="14">
        <v>45832</v>
      </c>
      <c r="CG28" s="14">
        <f t="shared" si="29"/>
        <v>47293</v>
      </c>
      <c r="CH28" s="65">
        <f t="shared" ca="1" si="30"/>
        <v>1162</v>
      </c>
      <c r="CI28" s="15" t="str">
        <f t="shared" ca="1" si="31"/>
        <v>VIGENTE</v>
      </c>
      <c r="CJ28" s="14">
        <v>45054</v>
      </c>
      <c r="CK28" s="14">
        <v>45688</v>
      </c>
      <c r="CL28" s="14">
        <f>DATE(YEAR(CK28)+2,MONTH(CK28),DAY(CK28)-1)</f>
        <v>46417</v>
      </c>
      <c r="CM28" s="65">
        <f t="shared" ca="1" si="32"/>
        <v>286</v>
      </c>
      <c r="CN28" s="15" t="str">
        <f t="shared" ca="1" si="33"/>
        <v>VIGENTE</v>
      </c>
      <c r="CO28" s="13">
        <v>45026</v>
      </c>
      <c r="CP28" s="14">
        <v>45684</v>
      </c>
      <c r="CQ28" s="14">
        <f>DATE(YEAR(CP28)+2,MONTH(CP28),DAY(CP28)-1)</f>
        <v>46413</v>
      </c>
      <c r="CR28" s="65">
        <f t="shared" ca="1" si="34"/>
        <v>282</v>
      </c>
      <c r="CS28" s="15" t="str">
        <f t="shared" ca="1" si="35"/>
        <v>VIGENTE</v>
      </c>
      <c r="CT28" s="13">
        <v>44970</v>
      </c>
      <c r="CU28" s="14">
        <v>45624</v>
      </c>
      <c r="CV28" s="14">
        <f>DATE(YEAR(CU28)+2,MONTH(CU28),DAY(CU28)-1)</f>
        <v>46353</v>
      </c>
      <c r="CW28" s="65">
        <f t="shared" ca="1" si="36"/>
        <v>222</v>
      </c>
      <c r="CX28" s="15" t="str">
        <f t="shared" ca="1" si="37"/>
        <v>VIGENTE</v>
      </c>
      <c r="CY28" s="13">
        <v>44991</v>
      </c>
      <c r="CZ28" s="14">
        <v>45665</v>
      </c>
      <c r="DA28" s="14">
        <f>DATE(YEAR(CZ28)+2,MONTH(CZ28),DAY(CZ28)-1)</f>
        <v>46394</v>
      </c>
      <c r="DB28" s="65">
        <f t="shared" ca="1" si="38"/>
        <v>263</v>
      </c>
      <c r="DC28" s="15" t="str">
        <f t="shared" ca="1" si="39"/>
        <v>VIGENTE</v>
      </c>
      <c r="DD28" s="13">
        <v>45019</v>
      </c>
      <c r="DE28" s="14">
        <v>45689</v>
      </c>
      <c r="DF28" s="14">
        <f t="shared" si="182"/>
        <v>46418</v>
      </c>
      <c r="DG28" s="65">
        <f t="shared" ca="1" si="40"/>
        <v>287</v>
      </c>
      <c r="DH28" s="15" t="str">
        <f t="shared" ca="1" si="41"/>
        <v>VIGENTE</v>
      </c>
      <c r="DI28" s="13">
        <v>44877</v>
      </c>
      <c r="DJ28" s="14">
        <v>45497</v>
      </c>
      <c r="DK28" s="14">
        <f>DATE(YEAR(DJ28)+2,MONTH(DJ28),DAY(DJ28)-1)</f>
        <v>46226</v>
      </c>
      <c r="DL28" s="65">
        <f t="shared" ca="1" si="43"/>
        <v>95</v>
      </c>
      <c r="DM28" s="15" t="str">
        <f t="shared" ca="1" si="44"/>
        <v>VIGENTE</v>
      </c>
      <c r="DN28" s="13">
        <v>44918</v>
      </c>
      <c r="DO28" s="14">
        <v>45577</v>
      </c>
      <c r="DP28" s="14">
        <f>DATE(YEAR(DO28)+2,MONTH(DO28),DAY(DO28)-1)</f>
        <v>46306</v>
      </c>
      <c r="DQ28" s="65">
        <f t="shared" ca="1" si="46"/>
        <v>175</v>
      </c>
      <c r="DR28" s="15" t="str">
        <f t="shared" ca="1" si="47"/>
        <v>VIGENTE</v>
      </c>
      <c r="DS28" s="13">
        <v>44935</v>
      </c>
      <c r="DT28" s="14">
        <v>45625</v>
      </c>
      <c r="DU28" s="14">
        <f>DATE(YEAR(DT28)+2,MONTH(DT28),DAY(DT28)-1)</f>
        <v>46354</v>
      </c>
      <c r="DV28" s="65">
        <f t="shared" ca="1" si="48"/>
        <v>223</v>
      </c>
      <c r="DW28" s="15" t="str">
        <f t="shared" ca="1" si="49"/>
        <v>VIGENTE</v>
      </c>
      <c r="DX28" s="13">
        <v>44931</v>
      </c>
      <c r="DY28" s="14">
        <v>45612</v>
      </c>
      <c r="DZ28" s="14">
        <f>DATE(YEAR(DY28)+2,MONTH(DY28),DAY(DY28)-1)</f>
        <v>46341</v>
      </c>
      <c r="EA28" s="65">
        <f t="shared" ca="1" si="50"/>
        <v>210</v>
      </c>
      <c r="EB28" s="15" t="str">
        <f t="shared" ca="1" si="51"/>
        <v>VIGENTE</v>
      </c>
      <c r="EC28" s="13">
        <v>45040</v>
      </c>
      <c r="ED28" s="14">
        <v>45674</v>
      </c>
      <c r="EE28" s="14">
        <f>DATE(YEAR(ED28)+2,MONTH(ED28),DAY(ED28)-1)</f>
        <v>46403</v>
      </c>
      <c r="EF28" s="65">
        <f t="shared" ca="1" si="52"/>
        <v>272</v>
      </c>
      <c r="EG28" s="15" t="str">
        <f t="shared" ca="1" si="53"/>
        <v>VIGENTE</v>
      </c>
      <c r="EH28" s="13">
        <v>45012</v>
      </c>
      <c r="EI28" s="13">
        <v>46083</v>
      </c>
      <c r="EJ28" s="13">
        <v>46084</v>
      </c>
      <c r="EK28" s="13">
        <v>46085</v>
      </c>
      <c r="EL28" s="14">
        <f t="shared" si="128"/>
        <v>46450</v>
      </c>
      <c r="EM28" s="65">
        <f t="shared" ca="1" si="54"/>
        <v>319</v>
      </c>
      <c r="EN28" s="15" t="str">
        <f t="shared" ca="1" si="55"/>
        <v>VIGENTE</v>
      </c>
      <c r="EO28" s="13">
        <v>44942</v>
      </c>
      <c r="EP28" s="13">
        <v>45596</v>
      </c>
      <c r="EQ28" s="14">
        <f>DATE(YEAR(EP28)+2,MONTH(EP28),DAY(EP28)-1)</f>
        <v>46325</v>
      </c>
      <c r="ER28" s="65">
        <f t="shared" ca="1" si="56"/>
        <v>194</v>
      </c>
      <c r="ES28" s="15" t="str">
        <f t="shared" ca="1" si="57"/>
        <v>VIGENTE</v>
      </c>
      <c r="ET28" s="12">
        <v>45085</v>
      </c>
      <c r="EU28" s="14">
        <v>45735</v>
      </c>
      <c r="EV28" s="14">
        <f>DATE(YEAR(EU28)+2,MONTH(EU28),DAY(EU28)-1)</f>
        <v>46464</v>
      </c>
      <c r="EW28" s="65">
        <f t="shared" ca="1" si="58"/>
        <v>333</v>
      </c>
      <c r="EX28" s="15" t="str">
        <f t="shared" ca="1" si="59"/>
        <v>VIGENTE</v>
      </c>
      <c r="EY28" s="13">
        <v>44917</v>
      </c>
      <c r="EZ28" s="14">
        <v>45610</v>
      </c>
      <c r="FA28" s="14">
        <f>DATE(YEAR(EZ28)+2,MONTH(EZ28),DAY(EZ28)-1)</f>
        <v>46339</v>
      </c>
      <c r="FB28" s="65">
        <f t="shared" ca="1" si="60"/>
        <v>208</v>
      </c>
      <c r="FC28" s="15" t="str">
        <f t="shared" ca="1" si="61"/>
        <v>VIGENTE</v>
      </c>
      <c r="FD28" s="13">
        <v>45009</v>
      </c>
      <c r="FE28" s="14">
        <v>45666</v>
      </c>
      <c r="FF28" s="14">
        <f>DATE(YEAR(FE28)+2,MONTH(FE28),DAY(FE28)-1)</f>
        <v>46395</v>
      </c>
      <c r="FG28" s="65">
        <f t="shared" ca="1" si="62"/>
        <v>264</v>
      </c>
      <c r="FH28" s="15" t="str">
        <f t="shared" ca="1" si="63"/>
        <v>VIGENTE</v>
      </c>
      <c r="FI28" s="13">
        <v>45008</v>
      </c>
      <c r="FJ28" s="14">
        <v>45668</v>
      </c>
      <c r="FK28" s="14">
        <f>DATE(YEAR(FJ28)+2,MONTH(FJ28),DAY(FJ28)-1)</f>
        <v>46397</v>
      </c>
      <c r="FL28" s="65">
        <f t="shared" ca="1" si="64"/>
        <v>266</v>
      </c>
      <c r="FM28" s="15" t="str">
        <f t="shared" ca="1" si="65"/>
        <v>VIGENTE</v>
      </c>
      <c r="FN28" s="13">
        <v>45084</v>
      </c>
      <c r="FO28" s="14">
        <v>45738</v>
      </c>
      <c r="FP28" s="14">
        <f>DATE(YEAR(FO28)+2,MONTH(FO28),DAY(FO28)-1)</f>
        <v>46467</v>
      </c>
      <c r="FQ28" s="65">
        <f t="shared" ca="1" si="67"/>
        <v>336</v>
      </c>
      <c r="FR28" s="15" t="str">
        <f t="shared" ca="1" si="68"/>
        <v>VIGENTE</v>
      </c>
      <c r="FS28" s="13">
        <v>44998</v>
      </c>
      <c r="FT28" s="14">
        <v>45664</v>
      </c>
      <c r="FU28" s="14">
        <f t="shared" si="184"/>
        <v>46393</v>
      </c>
      <c r="FV28" s="65">
        <f t="shared" ca="1" si="69"/>
        <v>262</v>
      </c>
      <c r="FW28" s="15" t="str">
        <f t="shared" ca="1" si="70"/>
        <v>VIGENTE</v>
      </c>
      <c r="FX28" s="13">
        <v>44938</v>
      </c>
      <c r="FY28" s="14">
        <v>45587</v>
      </c>
      <c r="FZ28" s="14">
        <f>DATE(YEAR(FY28)+2,MONTH(FY28),DAY(FY28)-1)</f>
        <v>46316</v>
      </c>
      <c r="GA28" s="65">
        <f t="shared" ca="1" si="71"/>
        <v>185</v>
      </c>
      <c r="GB28" s="15" t="str">
        <f t="shared" ca="1" si="72"/>
        <v>VIGENTE</v>
      </c>
      <c r="GC28" s="13">
        <v>44922</v>
      </c>
      <c r="GD28" s="14">
        <v>45595</v>
      </c>
      <c r="GE28" s="14">
        <f>DATE(YEAR(GD28)+2,MONTH(GD28),DAY(GD28)-1)</f>
        <v>46324</v>
      </c>
      <c r="GF28" s="65">
        <f t="shared" ca="1" si="73"/>
        <v>193</v>
      </c>
      <c r="GG28" s="15" t="str">
        <f t="shared" ca="1" si="74"/>
        <v>VIGENTE</v>
      </c>
      <c r="GH28" s="13">
        <v>44924</v>
      </c>
      <c r="GI28" s="14">
        <v>45579</v>
      </c>
      <c r="GJ28" s="14">
        <f t="shared" si="183"/>
        <v>46308</v>
      </c>
      <c r="GK28" s="65">
        <f t="shared" ca="1" si="75"/>
        <v>177</v>
      </c>
      <c r="GL28" s="15" t="str">
        <f t="shared" ca="1" si="76"/>
        <v>VIGENTE</v>
      </c>
      <c r="GM28" s="13">
        <v>44915</v>
      </c>
      <c r="GN28" s="14">
        <v>45608</v>
      </c>
      <c r="GO28" s="14">
        <f>DATE(YEAR(GN28)+2,MONTH(GN28),DAY(GN28)-1)</f>
        <v>46337</v>
      </c>
      <c r="GP28" s="65">
        <f t="shared" ca="1" si="77"/>
        <v>206</v>
      </c>
      <c r="GQ28" s="15" t="str">
        <f t="shared" ca="1" si="78"/>
        <v>VIGENTE</v>
      </c>
      <c r="GR28" s="14">
        <v>44873</v>
      </c>
      <c r="GS28" s="14">
        <v>45495</v>
      </c>
      <c r="GT28" s="14">
        <f t="shared" si="79"/>
        <v>47321</v>
      </c>
      <c r="GU28" s="65">
        <f t="shared" ca="1" si="172"/>
        <v>1190</v>
      </c>
      <c r="GV28" s="15" t="str">
        <f t="shared" ca="1" si="81"/>
        <v>VIGENTE</v>
      </c>
      <c r="GW28" s="13"/>
      <c r="GX28" s="14">
        <v>44984</v>
      </c>
      <c r="GY28" s="14">
        <f t="shared" si="82"/>
        <v>46810</v>
      </c>
      <c r="GZ28" s="65">
        <f t="shared" ca="1" si="83"/>
        <v>679</v>
      </c>
      <c r="HA28" s="15" t="str">
        <f t="shared" ca="1" si="84"/>
        <v>VIGENTE</v>
      </c>
      <c r="HB28" s="12"/>
      <c r="HC28" s="14">
        <v>45016</v>
      </c>
      <c r="HD28" s="14">
        <f t="shared" si="85"/>
        <v>46843</v>
      </c>
      <c r="HE28" s="65">
        <f t="shared" ca="1" si="86"/>
        <v>712</v>
      </c>
      <c r="HF28" s="15" t="str">
        <f t="shared" ca="1" si="87"/>
        <v>VIGENTE</v>
      </c>
      <c r="HG28" s="16"/>
      <c r="HH28" s="16"/>
      <c r="HI28" s="14"/>
      <c r="HJ28" s="65"/>
      <c r="HK28" s="15" t="str">
        <f t="shared" si="181"/>
        <v>NO APLICA</v>
      </c>
      <c r="HL28" s="12"/>
      <c r="HM28" s="16"/>
      <c r="HN28" s="14"/>
      <c r="HO28" s="65"/>
      <c r="HP28" s="15" t="str">
        <f t="shared" si="91"/>
        <v>NO APLICA</v>
      </c>
      <c r="HQ28" s="12"/>
      <c r="HR28" s="12"/>
      <c r="HS28" s="14"/>
      <c r="HT28" s="12"/>
      <c r="HU28" s="15" t="str">
        <f t="shared" si="92"/>
        <v>NO APLICA</v>
      </c>
      <c r="HV28" s="12"/>
      <c r="HW28" s="16"/>
      <c r="HX28" s="14"/>
      <c r="HY28" s="65"/>
      <c r="HZ28" s="15" t="str">
        <f t="shared" si="93"/>
        <v>NO APLICA</v>
      </c>
      <c r="IA28" s="12"/>
      <c r="IB28" s="16"/>
      <c r="IC28" s="14"/>
      <c r="ID28" s="65"/>
      <c r="IE28" s="15" t="str">
        <f t="shared" si="94"/>
        <v>NO APLICA</v>
      </c>
      <c r="IF28" s="12"/>
      <c r="IG28" s="16"/>
      <c r="IH28" s="14"/>
      <c r="II28" s="65"/>
      <c r="IJ28" s="15" t="str">
        <f t="shared" si="95"/>
        <v>NO APLICA</v>
      </c>
      <c r="IK28" s="16"/>
      <c r="IL28" s="16"/>
      <c r="IM28" s="14"/>
      <c r="IN28" s="65"/>
      <c r="IO28" s="15" t="str">
        <f t="shared" si="96"/>
        <v>NO APLICA</v>
      </c>
      <c r="IP28" s="12"/>
      <c r="IQ28" s="16"/>
      <c r="IR28" s="14"/>
      <c r="IS28" s="65"/>
      <c r="IT28" s="15" t="str">
        <f t="shared" si="97"/>
        <v>NO APLICA</v>
      </c>
      <c r="IU28" s="12"/>
      <c r="IV28" s="16"/>
      <c r="IW28" s="14"/>
      <c r="IX28" s="65"/>
      <c r="IY28" s="15" t="str">
        <f t="shared" si="98"/>
        <v>NO APLICA</v>
      </c>
      <c r="IZ28" s="12"/>
      <c r="JA28" s="16"/>
      <c r="JB28" s="14"/>
      <c r="JC28" s="65"/>
      <c r="JD28" s="15" t="str">
        <f t="shared" si="99"/>
        <v>NO APLICA</v>
      </c>
      <c r="JE28" s="13"/>
      <c r="JF28" s="13"/>
      <c r="JG28" s="14"/>
      <c r="JH28" s="65"/>
      <c r="JI28" s="15" t="str">
        <f t="shared" si="100"/>
        <v>NO APLICA</v>
      </c>
      <c r="JJ28" s="16"/>
      <c r="JK28" s="16"/>
      <c r="JL28" s="16"/>
      <c r="JM28" s="15" t="str">
        <f t="shared" si="101"/>
        <v>NO APLICA</v>
      </c>
      <c r="JN28" s="16"/>
      <c r="JO28" s="16"/>
      <c r="JP28" s="16"/>
      <c r="JQ28" s="15" t="str">
        <f t="shared" si="102"/>
        <v>NO APLICA</v>
      </c>
      <c r="JR28" s="16"/>
      <c r="JS28" s="16"/>
      <c r="JT28" s="16"/>
      <c r="JU28" s="16"/>
      <c r="JV28" s="15" t="str">
        <f t="shared" si="103"/>
        <v>NO APLICA</v>
      </c>
      <c r="JW28" s="15"/>
      <c r="JX28" s="15"/>
      <c r="JY28" s="15"/>
      <c r="JZ28" s="15"/>
      <c r="KA28" s="15" t="str">
        <f t="shared" si="104"/>
        <v>NO APLICA</v>
      </c>
      <c r="KB28" s="12"/>
      <c r="KC28" s="14"/>
      <c r="KD28" s="65"/>
      <c r="KE28" s="15" t="str">
        <f t="shared" si="105"/>
        <v>NO APLICA</v>
      </c>
      <c r="KF28" s="12"/>
      <c r="KG28" s="14"/>
      <c r="KH28" s="65"/>
      <c r="KI28" s="15" t="str">
        <f t="shared" si="132"/>
        <v>NO APLICA</v>
      </c>
      <c r="KJ28" s="12"/>
      <c r="KK28" s="14"/>
      <c r="KL28" s="65"/>
      <c r="KM28" s="15" t="str">
        <f t="shared" si="106"/>
        <v>NO APLICA</v>
      </c>
      <c r="KN28" s="12"/>
      <c r="KO28" s="14"/>
      <c r="KP28" s="65"/>
      <c r="KQ28" s="15" t="str">
        <f t="shared" si="133"/>
        <v>NO APLICA</v>
      </c>
      <c r="KR28" s="12"/>
      <c r="KS28" s="16"/>
      <c r="KT28" s="14"/>
      <c r="KU28" s="65"/>
      <c r="KV28" s="15" t="str">
        <f t="shared" si="147"/>
        <v>NO APLICA</v>
      </c>
      <c r="KW28" s="16"/>
      <c r="KX28" s="14"/>
      <c r="KY28" s="65"/>
      <c r="KZ28" s="15" t="str">
        <f t="shared" si="134"/>
        <v>NO APLICA</v>
      </c>
      <c r="LA28" s="16"/>
      <c r="LB28" s="16"/>
      <c r="LC28" s="14"/>
      <c r="LD28" s="65"/>
      <c r="LE28" s="15" t="str">
        <f t="shared" si="107"/>
        <v>NO APLICA</v>
      </c>
      <c r="LF28" s="15"/>
      <c r="LG28" s="15"/>
      <c r="LH28" s="14"/>
      <c r="LI28" s="65"/>
      <c r="LJ28" s="15" t="str">
        <f t="shared" si="148"/>
        <v>NO APLICA</v>
      </c>
      <c r="LK28" s="12"/>
      <c r="LL28" s="16"/>
      <c r="LM28" s="14"/>
      <c r="LN28" s="65"/>
      <c r="LO28" s="15" t="str">
        <f t="shared" si="135"/>
        <v>NO APLICA</v>
      </c>
      <c r="LP28" s="16"/>
      <c r="LQ28" s="16"/>
      <c r="LR28" s="14"/>
      <c r="LS28" s="65"/>
      <c r="LT28" s="15" t="str">
        <f t="shared" si="136"/>
        <v>NO APLICA</v>
      </c>
      <c r="LU28" s="16"/>
      <c r="LV28" s="16"/>
      <c r="LW28" s="14"/>
      <c r="LX28" s="65"/>
      <c r="LY28" s="15" t="str">
        <f t="shared" si="137"/>
        <v>NO APLICA</v>
      </c>
      <c r="LZ28" s="12"/>
      <c r="MA28" s="12"/>
      <c r="MB28" s="14"/>
      <c r="MC28" s="65"/>
      <c r="MD28" s="15" t="str">
        <f t="shared" si="108"/>
        <v>NO APLICA</v>
      </c>
      <c r="ME28" s="12"/>
      <c r="MF28" s="12"/>
      <c r="MG28" s="14"/>
      <c r="MH28" s="65"/>
      <c r="MI28" s="15" t="str">
        <f t="shared" si="109"/>
        <v>NO APLICA</v>
      </c>
      <c r="MJ28" s="12"/>
      <c r="MK28" s="14"/>
      <c r="ML28" s="65"/>
      <c r="MM28" s="15" t="str">
        <f t="shared" si="110"/>
        <v>NO APLICA</v>
      </c>
      <c r="MN28" s="12"/>
      <c r="MO28" s="14"/>
      <c r="MP28" s="12"/>
      <c r="MQ28" s="15" t="str">
        <f t="shared" si="111"/>
        <v>NO APLICA</v>
      </c>
      <c r="MR28" s="12"/>
      <c r="MS28" s="16"/>
      <c r="MT28" s="14"/>
      <c r="MU28" s="65"/>
      <c r="MV28" s="15" t="str">
        <f t="shared" si="112"/>
        <v>NO APLICA</v>
      </c>
      <c r="MW28" s="12"/>
      <c r="MX28" s="16"/>
      <c r="MY28" s="14"/>
      <c r="MZ28" s="65"/>
      <c r="NA28" s="15" t="str">
        <f t="shared" si="113"/>
        <v>NO APLICA</v>
      </c>
      <c r="NB28" s="12"/>
      <c r="NC28" s="16"/>
      <c r="ND28" s="14"/>
      <c r="NE28" s="65"/>
      <c r="NF28" s="15" t="str">
        <f t="shared" si="114"/>
        <v>NO APLICA</v>
      </c>
      <c r="NG28" s="12"/>
      <c r="NH28" s="12"/>
      <c r="NI28" s="14"/>
      <c r="NJ28" s="65"/>
      <c r="NK28" s="15" t="str">
        <f t="shared" si="115"/>
        <v>NO APLICA</v>
      </c>
      <c r="NL28" s="12"/>
      <c r="NM28" s="12"/>
      <c r="NN28" s="14"/>
      <c r="NO28" s="12"/>
      <c r="NP28" s="15" t="str">
        <f t="shared" si="116"/>
        <v>NO APLICA</v>
      </c>
      <c r="NQ28" s="16"/>
      <c r="NR28" s="16"/>
      <c r="NS28" s="14"/>
      <c r="NT28" s="65"/>
      <c r="NU28" s="15" t="str">
        <f t="shared" si="117"/>
        <v>NO APLICA</v>
      </c>
      <c r="NV28" s="16"/>
      <c r="NW28" s="16"/>
      <c r="NX28" s="16"/>
      <c r="NY28" s="16"/>
      <c r="NZ28" s="15" t="str">
        <f t="shared" si="118"/>
        <v>NO APLICA</v>
      </c>
    </row>
    <row r="29" spans="1:390" ht="15.6" thickTop="1" thickBot="1" x14ac:dyDescent="0.35">
      <c r="A29" s="9">
        <v>685</v>
      </c>
      <c r="B29" s="10" t="s">
        <v>192</v>
      </c>
      <c r="C29" s="21" t="s">
        <v>104</v>
      </c>
      <c r="D29" s="64" t="s">
        <v>193</v>
      </c>
      <c r="E29" s="15"/>
      <c r="F29" s="16"/>
      <c r="G29" s="14"/>
      <c r="H29" s="65"/>
      <c r="I29" s="15" t="str">
        <f t="shared" si="0"/>
        <v>NO APLICA</v>
      </c>
      <c r="J29" s="15"/>
      <c r="K29" s="16"/>
      <c r="L29" s="16"/>
      <c r="M29" s="65"/>
      <c r="N29" s="15" t="str">
        <f t="shared" si="1"/>
        <v>NO APLICA</v>
      </c>
      <c r="O29" s="14">
        <v>45596</v>
      </c>
      <c r="P29" s="14">
        <v>45597</v>
      </c>
      <c r="Q29" s="14">
        <f>DATE(YEAR(P29)+2,MONTH(P29),DAY(P29)-1)</f>
        <v>46326</v>
      </c>
      <c r="R29" s="65">
        <f ca="1">Q29-TODAY()</f>
        <v>195</v>
      </c>
      <c r="S29" s="15" t="str">
        <f t="shared" ca="1" si="119"/>
        <v>VIGENTE</v>
      </c>
      <c r="T29" s="12" t="s">
        <v>194</v>
      </c>
      <c r="U29" s="13">
        <v>45390</v>
      </c>
      <c r="V29" s="14">
        <v>45391</v>
      </c>
      <c r="W29" s="14">
        <f t="shared" si="2"/>
        <v>47217</v>
      </c>
      <c r="X29" s="65">
        <f t="shared" ca="1" si="3"/>
        <v>1086</v>
      </c>
      <c r="Y29" s="15" t="str">
        <f t="shared" ca="1" si="4"/>
        <v>VIGENTE</v>
      </c>
      <c r="Z29" s="12" t="s">
        <v>195</v>
      </c>
      <c r="AA29" s="13">
        <v>44825</v>
      </c>
      <c r="AB29" s="14">
        <v>44826</v>
      </c>
      <c r="AC29" s="14">
        <f t="shared" ref="AC29:AC34" si="185">DATE(YEAR(AB29)+5,MONTH(AB29),DAY(AB29))</f>
        <v>46652</v>
      </c>
      <c r="AD29" s="65">
        <f t="shared" ref="AD29:AD34" ca="1" si="186">AC29-TODAY()</f>
        <v>521</v>
      </c>
      <c r="AE29" s="15" t="str">
        <f t="shared" ca="1" si="7"/>
        <v>VIGENTE</v>
      </c>
      <c r="AF29" s="13">
        <v>44928</v>
      </c>
      <c r="AG29" s="14">
        <v>45589</v>
      </c>
      <c r="AH29" s="14">
        <f>DATE(YEAR(AG29)+2,MONTH(AG29),DAY(AG29)-1)</f>
        <v>46318</v>
      </c>
      <c r="AI29" s="65">
        <f t="shared" ca="1" si="8"/>
        <v>187</v>
      </c>
      <c r="AJ29" s="15" t="str">
        <f t="shared" ca="1" si="9"/>
        <v>VIGENTE</v>
      </c>
      <c r="AK29" s="13">
        <v>45269</v>
      </c>
      <c r="AL29" s="14">
        <v>45926</v>
      </c>
      <c r="AM29" s="14">
        <f t="shared" ref="AM29:AM37" si="187">DATE(YEAR(AL29)+2,MONTH(AL29),DAY(AL29))</f>
        <v>46656</v>
      </c>
      <c r="AN29" s="65">
        <f t="shared" ca="1" si="10"/>
        <v>525</v>
      </c>
      <c r="AO29" s="15" t="str">
        <f t="shared" ca="1" si="11"/>
        <v>VIGENTE</v>
      </c>
      <c r="AP29" s="13">
        <v>45357</v>
      </c>
      <c r="AQ29" s="14">
        <v>45989</v>
      </c>
      <c r="AR29" s="14">
        <f>DATE(YEAR(AQ29)+2,MONTH(AQ29),DAY(AQ29))</f>
        <v>46719</v>
      </c>
      <c r="AS29" s="65">
        <f t="shared" ca="1" si="12"/>
        <v>588</v>
      </c>
      <c r="AT29" s="15" t="str">
        <f t="shared" ca="1" si="13"/>
        <v>VIGENTE</v>
      </c>
      <c r="AU29" s="13">
        <v>45323</v>
      </c>
      <c r="AV29" s="14">
        <v>45972</v>
      </c>
      <c r="AW29" s="14">
        <f t="shared" ref="AW29:AW37" si="188">DATE(YEAR(AV29)+2,MONTH(AV29),DAY(AV29))</f>
        <v>46702</v>
      </c>
      <c r="AX29" s="65">
        <f t="shared" ca="1" si="15"/>
        <v>571</v>
      </c>
      <c r="AY29" s="15" t="str">
        <f t="shared" ca="1" si="16"/>
        <v>VIGENTE</v>
      </c>
      <c r="AZ29" s="13">
        <v>45387</v>
      </c>
      <c r="BA29" s="14">
        <v>46041</v>
      </c>
      <c r="BB29" s="14">
        <f>DATE(YEAR(BA29)+2,MONTH(BA29),DAY(BA29))</f>
        <v>46771</v>
      </c>
      <c r="BC29" s="65">
        <f t="shared" ca="1" si="17"/>
        <v>640</v>
      </c>
      <c r="BD29" s="15" t="str">
        <f t="shared" ca="1" si="18"/>
        <v>VIGENTE</v>
      </c>
      <c r="BE29" s="13">
        <v>45369</v>
      </c>
      <c r="BF29" s="14">
        <v>46027</v>
      </c>
      <c r="BG29" s="14">
        <f t="shared" ref="BG29:BG37" si="189">DATE(YEAR(BF29)+2,MONTH(BF29),DAY(BF29))</f>
        <v>46757</v>
      </c>
      <c r="BH29" s="65">
        <f t="shared" ca="1" si="19"/>
        <v>626</v>
      </c>
      <c r="BI29" s="15" t="str">
        <f t="shared" ca="1" si="20"/>
        <v>VIGENTE</v>
      </c>
      <c r="BJ29" s="13">
        <v>45306</v>
      </c>
      <c r="BK29" s="14">
        <v>45976</v>
      </c>
      <c r="BL29" s="14">
        <f t="shared" ref="BL29:BL37" si="190">DATE(YEAR(BK29)+2,MONTH(BK29),DAY(BK29))</f>
        <v>46706</v>
      </c>
      <c r="BM29" s="65">
        <f t="shared" ca="1" si="21"/>
        <v>575</v>
      </c>
      <c r="BN29" s="15" t="str">
        <f t="shared" ca="1" si="22"/>
        <v>VIGENTE</v>
      </c>
      <c r="BO29" s="13">
        <v>45308</v>
      </c>
      <c r="BP29" s="14">
        <v>45981</v>
      </c>
      <c r="BQ29" s="14">
        <f>DATE(YEAR(BP29)+2,MONTH(BP29),DAY(BP29))</f>
        <v>46711</v>
      </c>
      <c r="BR29" s="65">
        <f t="shared" ca="1" si="23"/>
        <v>580</v>
      </c>
      <c r="BS29" s="15" t="str">
        <f t="shared" ca="1" si="24"/>
        <v>VIGENTE</v>
      </c>
      <c r="BT29" s="13">
        <v>44733</v>
      </c>
      <c r="BU29" s="14">
        <v>45449</v>
      </c>
      <c r="BV29" s="14">
        <f t="shared" si="179"/>
        <v>46178</v>
      </c>
      <c r="BW29" s="65">
        <f t="shared" ca="1" si="25"/>
        <v>47</v>
      </c>
      <c r="BX29" s="15" t="str">
        <f t="shared" ca="1" si="26"/>
        <v>POR VENCER</v>
      </c>
      <c r="BY29" s="13">
        <v>44594</v>
      </c>
      <c r="BZ29" s="14">
        <v>45944</v>
      </c>
      <c r="CA29" s="14">
        <f>DATE(YEAR(BZ29)+2,MONTH(BZ29),DAY(BZ29))</f>
        <v>46674</v>
      </c>
      <c r="CB29" s="65">
        <f t="shared" ca="1" si="27"/>
        <v>543</v>
      </c>
      <c r="CC29" s="15" t="str">
        <f t="shared" ca="1" si="28"/>
        <v>VIGENTE</v>
      </c>
      <c r="CD29" s="16" t="s">
        <v>108</v>
      </c>
      <c r="CE29" s="14">
        <v>45240</v>
      </c>
      <c r="CF29" s="14">
        <v>45241</v>
      </c>
      <c r="CG29" s="14">
        <f t="shared" si="29"/>
        <v>46702</v>
      </c>
      <c r="CH29" s="65">
        <f t="shared" ca="1" si="30"/>
        <v>571</v>
      </c>
      <c r="CI29" s="15" t="str">
        <f t="shared" ca="1" si="31"/>
        <v>VIGENTE</v>
      </c>
      <c r="CJ29" s="14">
        <v>44875</v>
      </c>
      <c r="CK29" s="14">
        <v>45511</v>
      </c>
      <c r="CL29" s="14">
        <f>DATE(YEAR(CK29)+2,MONTH(CK29),DAY(CK29)-1)</f>
        <v>46240</v>
      </c>
      <c r="CM29" s="65">
        <f t="shared" ca="1" si="32"/>
        <v>109</v>
      </c>
      <c r="CN29" s="15" t="str">
        <f t="shared" ca="1" si="33"/>
        <v>VIGENTE</v>
      </c>
      <c r="CO29" s="13">
        <v>45246</v>
      </c>
      <c r="CP29" s="14">
        <v>45888</v>
      </c>
      <c r="CQ29" s="14">
        <f>DATE(YEAR(CP29)+2,MONTH(CP29),DAY(CP29))</f>
        <v>46618</v>
      </c>
      <c r="CR29" s="65">
        <f t="shared" ca="1" si="34"/>
        <v>487</v>
      </c>
      <c r="CS29" s="15" t="str">
        <f t="shared" ca="1" si="35"/>
        <v>VIGENTE</v>
      </c>
      <c r="CT29" s="13">
        <v>44970</v>
      </c>
      <c r="CU29" s="14">
        <v>45631</v>
      </c>
      <c r="CV29" s="14">
        <f>DATE(YEAR(CU29)+2,MONTH(CU29),DAY(CU29)-1)</f>
        <v>46360</v>
      </c>
      <c r="CW29" s="65">
        <f t="shared" ca="1" si="36"/>
        <v>229</v>
      </c>
      <c r="CX29" s="15" t="str">
        <f t="shared" ca="1" si="37"/>
        <v>VIGENTE</v>
      </c>
      <c r="CY29" s="13">
        <v>44991</v>
      </c>
      <c r="CZ29" s="14">
        <v>45661</v>
      </c>
      <c r="DA29" s="14">
        <f>DATE(YEAR(CZ29)+2,MONTH(CZ29),DAY(CZ29)-1)</f>
        <v>46390</v>
      </c>
      <c r="DB29" s="65">
        <f t="shared" ca="1" si="38"/>
        <v>259</v>
      </c>
      <c r="DC29" s="15" t="str">
        <f t="shared" ca="1" si="39"/>
        <v>VIGENTE</v>
      </c>
      <c r="DD29" s="13">
        <v>45019</v>
      </c>
      <c r="DE29" s="14">
        <v>45689</v>
      </c>
      <c r="DF29" s="14">
        <f t="shared" si="182"/>
        <v>46418</v>
      </c>
      <c r="DG29" s="65">
        <f t="shared" ca="1" si="40"/>
        <v>287</v>
      </c>
      <c r="DH29" s="15" t="str">
        <f t="shared" ca="1" si="41"/>
        <v>VIGENTE</v>
      </c>
      <c r="DI29" s="13">
        <v>45312</v>
      </c>
      <c r="DJ29" s="14">
        <v>45955</v>
      </c>
      <c r="DK29" s="14">
        <f>DATE(YEAR(DJ29)+2,MONTH(DJ29),DAY(DJ29))</f>
        <v>46685</v>
      </c>
      <c r="DL29" s="65">
        <f t="shared" ca="1" si="43"/>
        <v>554</v>
      </c>
      <c r="DM29" s="15" t="str">
        <f t="shared" ca="1" si="44"/>
        <v>VIGENTE</v>
      </c>
      <c r="DN29" s="13">
        <v>45345</v>
      </c>
      <c r="DO29" s="14">
        <v>45982</v>
      </c>
      <c r="DP29" s="14">
        <f>DATE(YEAR(DO29)+2,MONTH(DO29),DAY(DO29))</f>
        <v>46712</v>
      </c>
      <c r="DQ29" s="65">
        <f t="shared" ca="1" si="46"/>
        <v>581</v>
      </c>
      <c r="DR29" s="15" t="str">
        <f t="shared" ca="1" si="47"/>
        <v>VIGENTE</v>
      </c>
      <c r="DS29" s="13">
        <v>44734</v>
      </c>
      <c r="DT29" s="14">
        <v>46053</v>
      </c>
      <c r="DU29" s="14">
        <f>DATE(YEAR(DT29)+2,MONTH(DT29),DAY(DT29))</f>
        <v>46783</v>
      </c>
      <c r="DV29" s="65">
        <f t="shared" ca="1" si="48"/>
        <v>652</v>
      </c>
      <c r="DW29" s="15" t="str">
        <f t="shared" ca="1" si="49"/>
        <v>VIGENTE</v>
      </c>
      <c r="DX29" s="13">
        <v>45329</v>
      </c>
      <c r="DY29" s="14">
        <v>46020</v>
      </c>
      <c r="DZ29" s="14">
        <f>DATE(YEAR(DY29)+2,MONTH(DY29),DAY(DY29))</f>
        <v>46750</v>
      </c>
      <c r="EA29" s="65">
        <f t="shared" ca="1" si="50"/>
        <v>619</v>
      </c>
      <c r="EB29" s="15" t="str">
        <f t="shared" ca="1" si="51"/>
        <v>VIGENTE</v>
      </c>
      <c r="EC29" s="13">
        <v>45255</v>
      </c>
      <c r="ED29" s="14">
        <v>45913</v>
      </c>
      <c r="EE29" s="14">
        <f>DATE(YEAR(ED29)+2,MONTH(ED29),DAY(ED29))</f>
        <v>46643</v>
      </c>
      <c r="EF29" s="65">
        <f t="shared" ca="1" si="52"/>
        <v>512</v>
      </c>
      <c r="EG29" s="15" t="str">
        <f t="shared" ca="1" si="53"/>
        <v>VIGENTE</v>
      </c>
      <c r="EH29" s="14">
        <v>44642</v>
      </c>
      <c r="EI29" s="13">
        <v>45946</v>
      </c>
      <c r="EJ29" s="13">
        <v>45947</v>
      </c>
      <c r="EK29" s="14">
        <v>45948</v>
      </c>
      <c r="EL29" s="14">
        <f t="shared" si="128"/>
        <v>46313</v>
      </c>
      <c r="EM29" s="65">
        <f t="shared" ca="1" si="54"/>
        <v>182</v>
      </c>
      <c r="EN29" s="15" t="str">
        <f t="shared" ca="1" si="55"/>
        <v>VIGENTE</v>
      </c>
      <c r="EO29" s="13">
        <v>44642</v>
      </c>
      <c r="EP29" s="14">
        <v>45940</v>
      </c>
      <c r="EQ29" s="14">
        <f>DATE(YEAR(EP29)+2,MONTH(EP29),DAY(EP29))</f>
        <v>46670</v>
      </c>
      <c r="ER29" s="65">
        <f t="shared" ca="1" si="56"/>
        <v>539</v>
      </c>
      <c r="ES29" s="15" t="str">
        <f t="shared" ca="1" si="57"/>
        <v>VIGENTE</v>
      </c>
      <c r="ET29" s="13">
        <v>44732</v>
      </c>
      <c r="EU29" s="14">
        <v>45999</v>
      </c>
      <c r="EV29" s="14">
        <f>DATE(YEAR(EU29)+2,MONTH(EU29),DAY(EU29))</f>
        <v>46729</v>
      </c>
      <c r="EW29" s="65">
        <f t="shared" ca="1" si="58"/>
        <v>598</v>
      </c>
      <c r="EX29" s="15" t="str">
        <f t="shared" ca="1" si="59"/>
        <v>VIGENTE</v>
      </c>
      <c r="EY29" s="13">
        <v>44595</v>
      </c>
      <c r="EZ29" s="14">
        <v>45953</v>
      </c>
      <c r="FA29" s="14">
        <f t="shared" ref="FA29:FA37" si="191">DATE(YEAR(EZ29)+2,MONTH(EZ29),DAY(EZ29))</f>
        <v>46683</v>
      </c>
      <c r="FB29" s="65">
        <f t="shared" ca="1" si="60"/>
        <v>552</v>
      </c>
      <c r="FC29" s="15" t="str">
        <f t="shared" ca="1" si="61"/>
        <v>VIGENTE</v>
      </c>
      <c r="FD29" s="13">
        <v>44595</v>
      </c>
      <c r="FE29" s="14">
        <v>45951</v>
      </c>
      <c r="FF29" s="14">
        <f t="shared" ref="FF29:FF37" si="192">DATE(YEAR(FE29)+2,MONTH(FE29),DAY(FE29))</f>
        <v>46681</v>
      </c>
      <c r="FG29" s="65">
        <f t="shared" ca="1" si="62"/>
        <v>550</v>
      </c>
      <c r="FH29" s="15" t="str">
        <f t="shared" ca="1" si="63"/>
        <v>VIGENTE</v>
      </c>
      <c r="FI29" s="13">
        <v>45282</v>
      </c>
      <c r="FJ29" s="14">
        <v>45932</v>
      </c>
      <c r="FK29" s="14">
        <f t="shared" ref="FK29:FK37" si="193">DATE(YEAR(FJ29)+2,MONTH(FJ29),DAY(FJ29))</f>
        <v>46662</v>
      </c>
      <c r="FL29" s="65">
        <f t="shared" ca="1" si="64"/>
        <v>531</v>
      </c>
      <c r="FM29" s="15" t="str">
        <f t="shared" ca="1" si="65"/>
        <v>VIGENTE</v>
      </c>
      <c r="FN29" s="13">
        <v>44832</v>
      </c>
      <c r="FO29" s="14">
        <v>45479</v>
      </c>
      <c r="FP29" s="14">
        <f>DATE(YEAR(FO29)+2,MONTH(FO29),DAY(FO29)-1)</f>
        <v>46208</v>
      </c>
      <c r="FQ29" s="65">
        <f t="shared" ca="1" si="67"/>
        <v>77</v>
      </c>
      <c r="FR29" s="15" t="str">
        <f t="shared" ca="1" si="68"/>
        <v>POR VENCER</v>
      </c>
      <c r="FS29" s="13">
        <v>44811</v>
      </c>
      <c r="FT29" s="14">
        <v>45458</v>
      </c>
      <c r="FU29" s="14">
        <f t="shared" si="184"/>
        <v>46187</v>
      </c>
      <c r="FV29" s="65">
        <f t="shared" ca="1" si="69"/>
        <v>56</v>
      </c>
      <c r="FW29" s="15" t="str">
        <f t="shared" ca="1" si="70"/>
        <v>POR VENCER</v>
      </c>
      <c r="FX29" s="14">
        <v>44596</v>
      </c>
      <c r="FY29" s="14">
        <v>45941</v>
      </c>
      <c r="FZ29" s="14">
        <f>DATE(YEAR(FY29)+2,MONTH(FY29),DAY(FY29))</f>
        <v>46671</v>
      </c>
      <c r="GA29" s="65">
        <f t="shared" ca="1" si="71"/>
        <v>540</v>
      </c>
      <c r="GB29" s="15" t="str">
        <f t="shared" ca="1" si="72"/>
        <v>VIGENTE</v>
      </c>
      <c r="GC29" s="13">
        <v>45396</v>
      </c>
      <c r="GD29" s="14">
        <v>46030</v>
      </c>
      <c r="GE29" s="14">
        <f>DATE(YEAR(GD29)+2,MONTH(GD29),DAY(GD29))</f>
        <v>46760</v>
      </c>
      <c r="GF29" s="65">
        <f t="shared" ca="1" si="73"/>
        <v>629</v>
      </c>
      <c r="GG29" s="15" t="str">
        <f t="shared" ca="1" si="74"/>
        <v>VIGENTE</v>
      </c>
      <c r="GH29" s="13">
        <v>44831</v>
      </c>
      <c r="GI29" s="14">
        <v>45475</v>
      </c>
      <c r="GJ29" s="14">
        <f t="shared" si="183"/>
        <v>46204</v>
      </c>
      <c r="GK29" s="65">
        <f t="shared" ca="1" si="75"/>
        <v>73</v>
      </c>
      <c r="GL29" s="15" t="str">
        <f t="shared" ca="1" si="76"/>
        <v>POR VENCER</v>
      </c>
      <c r="GM29" s="13">
        <v>44833</v>
      </c>
      <c r="GN29" s="14">
        <v>46093</v>
      </c>
      <c r="GO29" s="14">
        <f>DATE(YEAR(GN29)+2,MONTH(GN29),DAY(GN29))</f>
        <v>46824</v>
      </c>
      <c r="GP29" s="65">
        <f t="shared" ca="1" si="77"/>
        <v>693</v>
      </c>
      <c r="GQ29" s="15" t="str">
        <f t="shared" ca="1" si="78"/>
        <v>VIGENTE</v>
      </c>
      <c r="GR29" s="14">
        <v>44572</v>
      </c>
      <c r="GS29" s="14">
        <v>45265</v>
      </c>
      <c r="GT29" s="14">
        <f t="shared" si="79"/>
        <v>47092</v>
      </c>
      <c r="GU29" s="65">
        <f t="shared" ca="1" si="172"/>
        <v>961</v>
      </c>
      <c r="GV29" s="15" t="str">
        <f t="shared" ca="1" si="81"/>
        <v>VIGENTE</v>
      </c>
      <c r="GW29" s="13">
        <v>44574</v>
      </c>
      <c r="GX29" s="14">
        <v>45277</v>
      </c>
      <c r="GY29" s="14">
        <f t="shared" si="82"/>
        <v>47104</v>
      </c>
      <c r="GZ29" s="65">
        <f t="shared" ca="1" si="83"/>
        <v>973</v>
      </c>
      <c r="HA29" s="15" t="str">
        <f t="shared" ca="1" si="84"/>
        <v>VIGENTE</v>
      </c>
      <c r="HB29" s="13">
        <v>44566</v>
      </c>
      <c r="HC29" s="14">
        <v>45268</v>
      </c>
      <c r="HD29" s="14">
        <f t="shared" si="85"/>
        <v>47095</v>
      </c>
      <c r="HE29" s="65">
        <f t="shared" ca="1" si="86"/>
        <v>964</v>
      </c>
      <c r="HF29" s="15" t="str">
        <f t="shared" ca="1" si="87"/>
        <v>VIGENTE</v>
      </c>
      <c r="HG29" s="16"/>
      <c r="HH29" s="14">
        <v>45404</v>
      </c>
      <c r="HI29" s="14">
        <f t="shared" ref="HI29:HI34" si="194">DATE(YEAR(HH29)+5,MONTH(HH29),DAY(HH29))</f>
        <v>47230</v>
      </c>
      <c r="HJ29" s="65">
        <f t="shared" ref="HJ29:HJ34" ca="1" si="195">HI29-TODAY()</f>
        <v>1099</v>
      </c>
      <c r="HK29" s="15" t="str">
        <f t="shared" ca="1" si="181"/>
        <v>VIGENTE</v>
      </c>
      <c r="HL29" s="12"/>
      <c r="HM29" s="14">
        <v>45368</v>
      </c>
      <c r="HN29" s="14">
        <f>DATE(YEAR(HM29)+5,MONTH(HM29),DAY(HM29))</f>
        <v>47194</v>
      </c>
      <c r="HO29" s="65">
        <f ca="1">HN29-TODAY()</f>
        <v>1063</v>
      </c>
      <c r="HP29" s="15" t="str">
        <f t="shared" ca="1" si="91"/>
        <v>VIGENTE</v>
      </c>
      <c r="HQ29" s="12"/>
      <c r="HR29" s="15"/>
      <c r="HS29" s="14"/>
      <c r="HT29" s="15"/>
      <c r="HU29" s="15" t="str">
        <f t="shared" si="92"/>
        <v>NO APLICA</v>
      </c>
      <c r="HV29" s="13">
        <v>44782</v>
      </c>
      <c r="HW29" s="14">
        <v>45469</v>
      </c>
      <c r="HX29" s="14">
        <f>DATE(YEAR(HW29)+5,MONTH(HW29),DAY(HW29))</f>
        <v>47295</v>
      </c>
      <c r="HY29" s="65">
        <f ca="1">HX29-TODAY()</f>
        <v>1164</v>
      </c>
      <c r="HZ29" s="15" t="str">
        <f t="shared" ca="1" si="93"/>
        <v>VIGENTE</v>
      </c>
      <c r="IA29" s="13">
        <v>44557</v>
      </c>
      <c r="IB29" s="14">
        <v>45234</v>
      </c>
      <c r="IC29" s="14">
        <f>DATE(YEAR(IB29)+5,MONTH(IB29),DAY(IB29))</f>
        <v>47061</v>
      </c>
      <c r="ID29" s="65">
        <f ca="1">IC29-TODAY()</f>
        <v>930</v>
      </c>
      <c r="IE29" s="15" t="str">
        <f t="shared" ca="1" si="94"/>
        <v>VIGENTE</v>
      </c>
      <c r="IF29" s="13">
        <v>44792</v>
      </c>
      <c r="IG29" s="14">
        <v>45470</v>
      </c>
      <c r="IH29" s="14">
        <f>DATE(YEAR(IG29)+5,MONTH(IG29),DAY(IG29))</f>
        <v>47296</v>
      </c>
      <c r="II29" s="65">
        <f ca="1">IH29-TODAY()</f>
        <v>1165</v>
      </c>
      <c r="IJ29" s="15" t="str">
        <f t="shared" ca="1" si="95"/>
        <v>VIGENTE</v>
      </c>
      <c r="IK29" s="14">
        <v>44795</v>
      </c>
      <c r="IL29" s="14">
        <v>45455</v>
      </c>
      <c r="IM29" s="14">
        <f>DATE(YEAR(IL29)+5,MONTH(IL29),DAY(IL29))</f>
        <v>47281</v>
      </c>
      <c r="IN29" s="65">
        <f ca="1">IM29-TODAY()</f>
        <v>1150</v>
      </c>
      <c r="IO29" s="15" t="str">
        <f t="shared" ca="1" si="96"/>
        <v>VIGENTE</v>
      </c>
      <c r="IP29" s="13">
        <v>44795</v>
      </c>
      <c r="IQ29" s="14">
        <v>45453</v>
      </c>
      <c r="IR29" s="14">
        <f>DATE(YEAR(IQ29)+5,MONTH(IQ29),DAY(IQ29))</f>
        <v>47279</v>
      </c>
      <c r="IS29" s="65">
        <f ca="1">IR29-TODAY()</f>
        <v>1148</v>
      </c>
      <c r="IT29" s="15" t="str">
        <f t="shared" ca="1" si="97"/>
        <v>VIGENTE</v>
      </c>
      <c r="IU29" s="13">
        <v>44792</v>
      </c>
      <c r="IV29" s="14">
        <v>45435</v>
      </c>
      <c r="IW29" s="14">
        <f>DATE(YEAR(IV29)+5,MONTH(IV29),DAY(IV29))</f>
        <v>47261</v>
      </c>
      <c r="IX29" s="65">
        <f ca="1">IW29-TODAY()</f>
        <v>1130</v>
      </c>
      <c r="IY29" s="15" t="str">
        <f t="shared" ca="1" si="98"/>
        <v>VIGENTE</v>
      </c>
      <c r="IZ29" s="13">
        <v>44557</v>
      </c>
      <c r="JA29" s="14">
        <v>45251</v>
      </c>
      <c r="JB29" s="14">
        <f>DATE(YEAR(JA29)+5,MONTH(JA29),DAY(JA29))</f>
        <v>47078</v>
      </c>
      <c r="JC29" s="65">
        <f ca="1">JB29-TODAY()</f>
        <v>947</v>
      </c>
      <c r="JD29" s="15" t="str">
        <f t="shared" ca="1" si="99"/>
        <v>VIGENTE</v>
      </c>
      <c r="JE29" s="13"/>
      <c r="JF29" s="13"/>
      <c r="JG29" s="14"/>
      <c r="JH29" s="65"/>
      <c r="JI29" s="15" t="str">
        <f t="shared" si="100"/>
        <v>NO APLICA</v>
      </c>
      <c r="JJ29" s="16"/>
      <c r="JK29" s="16"/>
      <c r="JL29" s="16"/>
      <c r="JM29" s="15" t="str">
        <f t="shared" si="101"/>
        <v>NO APLICA</v>
      </c>
      <c r="JN29" s="16"/>
      <c r="JO29" s="16"/>
      <c r="JP29" s="16"/>
      <c r="JQ29" s="15" t="str">
        <f t="shared" si="102"/>
        <v>NO APLICA</v>
      </c>
      <c r="JR29" s="16"/>
      <c r="JS29" s="16"/>
      <c r="JT29" s="16"/>
      <c r="JU29" s="16"/>
      <c r="JV29" s="15" t="str">
        <f t="shared" si="103"/>
        <v>NO APLICA</v>
      </c>
      <c r="JW29" s="15"/>
      <c r="JX29" s="15"/>
      <c r="JY29" s="15"/>
      <c r="JZ29" s="15"/>
      <c r="KA29" s="15" t="str">
        <f t="shared" si="104"/>
        <v>NO APLICA</v>
      </c>
      <c r="KB29" s="13">
        <v>45362</v>
      </c>
      <c r="KC29" s="14">
        <f>DATE(YEAR(KB29)+5,MONTH(KB29),DAY(KB29))</f>
        <v>47188</v>
      </c>
      <c r="KD29" s="65">
        <f ca="1">KC29-TODAY()</f>
        <v>1057</v>
      </c>
      <c r="KE29" s="15" t="str">
        <f t="shared" ca="1" si="105"/>
        <v>VIGENTE</v>
      </c>
      <c r="KF29" s="15"/>
      <c r="KG29" s="14"/>
      <c r="KH29" s="65"/>
      <c r="KI29" s="15" t="str">
        <f t="shared" si="132"/>
        <v>NO APLICA</v>
      </c>
      <c r="KJ29" s="13">
        <v>45364</v>
      </c>
      <c r="KK29" s="14">
        <f>DATE(YEAR(KJ29)+5,MONTH(KJ29),DAY(KJ29))</f>
        <v>47190</v>
      </c>
      <c r="KL29" s="65">
        <f ca="1">KK29-TODAY()</f>
        <v>1059</v>
      </c>
      <c r="KM29" s="15" t="str">
        <f t="shared" ca="1" si="106"/>
        <v>VIGENTE</v>
      </c>
      <c r="KN29" s="13">
        <v>45346</v>
      </c>
      <c r="KO29" s="14">
        <f>DATE(YEAR(KN29)+5,MONTH(KN29),DAY(KN29))</f>
        <v>47173</v>
      </c>
      <c r="KP29" s="65">
        <f ca="1">KO29-TODAY()</f>
        <v>1042</v>
      </c>
      <c r="KQ29" s="15" t="str">
        <f t="shared" ca="1" si="133"/>
        <v>VIGENTE</v>
      </c>
      <c r="KR29" s="12"/>
      <c r="KS29" s="16"/>
      <c r="KT29" s="14"/>
      <c r="KU29" s="65"/>
      <c r="KV29" s="15" t="str">
        <f t="shared" si="147"/>
        <v>NO APLICA</v>
      </c>
      <c r="KW29" s="14">
        <v>44603</v>
      </c>
      <c r="KX29" s="14">
        <f>DATE(YEAR(KW29)+5,MONTH(KW29),DAY(KW29))</f>
        <v>46429</v>
      </c>
      <c r="KY29" s="65">
        <f ca="1">KX29-TODAY()</f>
        <v>298</v>
      </c>
      <c r="KZ29" s="15" t="str">
        <f t="shared" ca="1" si="134"/>
        <v>VIGENTE</v>
      </c>
      <c r="LA29" s="16"/>
      <c r="LB29" s="16"/>
      <c r="LC29" s="14"/>
      <c r="LD29" s="65"/>
      <c r="LE29" s="15" t="str">
        <f t="shared" si="107"/>
        <v>NO APLICA</v>
      </c>
      <c r="LF29" s="15"/>
      <c r="LG29" s="15"/>
      <c r="LH29" s="14"/>
      <c r="LI29" s="65"/>
      <c r="LJ29" s="15" t="str">
        <f t="shared" si="148"/>
        <v>NO APLICA</v>
      </c>
      <c r="LK29" s="15"/>
      <c r="LL29" s="16"/>
      <c r="LM29" s="14"/>
      <c r="LN29" s="65"/>
      <c r="LO29" s="15" t="str">
        <f t="shared" si="135"/>
        <v>NO APLICA</v>
      </c>
      <c r="LP29" s="14">
        <v>44984</v>
      </c>
      <c r="LQ29" s="14">
        <v>44986</v>
      </c>
      <c r="LR29" s="14">
        <f>DATE(YEAR(LQ29)+5,MONTH(LQ29),DAY(LQ29))</f>
        <v>46813</v>
      </c>
      <c r="LS29" s="65">
        <f ca="1">LR29-TODAY()</f>
        <v>682</v>
      </c>
      <c r="LT29" s="15" t="str">
        <f t="shared" ca="1" si="136"/>
        <v>VIGENTE</v>
      </c>
      <c r="LU29" s="14">
        <v>44987</v>
      </c>
      <c r="LV29" s="14">
        <v>44988</v>
      </c>
      <c r="LW29" s="14">
        <f>DATE(YEAR(LV29)+5,MONTH(LV29),DAY(LV29))</f>
        <v>46815</v>
      </c>
      <c r="LX29" s="65">
        <f ca="1">LW29-TODAY()</f>
        <v>684</v>
      </c>
      <c r="LY29" s="15" t="str">
        <f t="shared" ca="1" si="137"/>
        <v>VIGENTE</v>
      </c>
      <c r="LZ29" s="15"/>
      <c r="MA29" s="15"/>
      <c r="MB29" s="14"/>
      <c r="MC29" s="65"/>
      <c r="MD29" s="15" t="str">
        <f t="shared" si="108"/>
        <v>NO APLICA</v>
      </c>
      <c r="ME29" s="15"/>
      <c r="MF29" s="15"/>
      <c r="MG29" s="14"/>
      <c r="MH29" s="65"/>
      <c r="MI29" s="15" t="str">
        <f t="shared" si="109"/>
        <v>NO APLICA</v>
      </c>
      <c r="MJ29" s="15"/>
      <c r="MK29" s="14"/>
      <c r="ML29" s="65"/>
      <c r="MM29" s="15" t="str">
        <f t="shared" si="110"/>
        <v>NO APLICA</v>
      </c>
      <c r="MN29" s="15"/>
      <c r="MO29" s="14"/>
      <c r="MP29" s="15"/>
      <c r="MQ29" s="15" t="str">
        <f t="shared" si="111"/>
        <v>NO APLICA</v>
      </c>
      <c r="MR29" s="15"/>
      <c r="MS29" s="14">
        <v>44834</v>
      </c>
      <c r="MT29" s="14">
        <f>DATE(YEAR(MS29)+5,MONTH(MS29),DAY(MS29))</f>
        <v>46660</v>
      </c>
      <c r="MU29" s="65">
        <f ca="1">MT29-TODAY()</f>
        <v>529</v>
      </c>
      <c r="MV29" s="15" t="str">
        <f t="shared" ca="1" si="112"/>
        <v>VIGENTE</v>
      </c>
      <c r="MW29" s="15"/>
      <c r="MX29" s="14">
        <v>44835</v>
      </c>
      <c r="MY29" s="14">
        <f>DATE(YEAR(MX29)+5,MONTH(MX29),DAY(MX29))</f>
        <v>46661</v>
      </c>
      <c r="MZ29" s="65">
        <f ca="1">MY29-TODAY()</f>
        <v>530</v>
      </c>
      <c r="NA29" s="15" t="str">
        <f t="shared" ca="1" si="113"/>
        <v>VIGENTE</v>
      </c>
      <c r="NB29" s="15"/>
      <c r="NC29" s="16"/>
      <c r="ND29" s="14"/>
      <c r="NE29" s="65"/>
      <c r="NF29" s="15" t="str">
        <f t="shared" si="114"/>
        <v>NO APLICA</v>
      </c>
      <c r="NG29" s="13">
        <v>45001</v>
      </c>
      <c r="NH29" s="14">
        <v>45001</v>
      </c>
      <c r="NI29" s="14">
        <f>DATE(YEAR(NH29)+5,MONTH(NH29),DAY(NH29))</f>
        <v>46828</v>
      </c>
      <c r="NJ29" s="65">
        <f ca="1">NI29-TODAY()</f>
        <v>697</v>
      </c>
      <c r="NK29" s="15" t="str">
        <f t="shared" ca="1" si="115"/>
        <v>VIGENTE</v>
      </c>
      <c r="NL29" s="15"/>
      <c r="NM29" s="15"/>
      <c r="NN29" s="15"/>
      <c r="NO29" s="15"/>
      <c r="NP29" s="15" t="str">
        <f t="shared" si="116"/>
        <v>NO APLICA</v>
      </c>
      <c r="NQ29" s="16"/>
      <c r="NR29" s="16"/>
      <c r="NS29" s="14"/>
      <c r="NT29" s="65"/>
      <c r="NU29" s="15" t="str">
        <f t="shared" si="117"/>
        <v>NO APLICA</v>
      </c>
      <c r="NV29" s="14"/>
      <c r="NW29" s="14"/>
      <c r="NX29" s="14"/>
      <c r="NY29" s="65"/>
      <c r="NZ29" s="15" t="str">
        <f t="shared" si="118"/>
        <v>NO APLICA</v>
      </c>
    </row>
    <row r="30" spans="1:390" ht="15.6" thickTop="1" thickBot="1" x14ac:dyDescent="0.35">
      <c r="A30" s="9">
        <v>1593</v>
      </c>
      <c r="B30" s="10" t="s">
        <v>196</v>
      </c>
      <c r="C30" s="21" t="s">
        <v>197</v>
      </c>
      <c r="D30" s="64" t="s">
        <v>198</v>
      </c>
      <c r="E30" s="15"/>
      <c r="F30" s="16"/>
      <c r="G30" s="14"/>
      <c r="H30" s="65"/>
      <c r="I30" s="15" t="str">
        <f t="shared" si="0"/>
        <v>NO APLICA</v>
      </c>
      <c r="J30" s="15"/>
      <c r="K30" s="16"/>
      <c r="L30" s="16"/>
      <c r="M30" s="65"/>
      <c r="N30" s="15" t="str">
        <f t="shared" si="1"/>
        <v>NO APLICA</v>
      </c>
      <c r="O30" s="16"/>
      <c r="P30" s="16"/>
      <c r="Q30" s="14"/>
      <c r="R30" s="65"/>
      <c r="S30" s="15" t="str">
        <f t="shared" si="119"/>
        <v>NO APLICA</v>
      </c>
      <c r="T30" s="12" t="s">
        <v>199</v>
      </c>
      <c r="U30" s="13">
        <v>44589</v>
      </c>
      <c r="V30" s="14">
        <v>44590</v>
      </c>
      <c r="W30" s="14">
        <f t="shared" si="2"/>
        <v>46416</v>
      </c>
      <c r="X30" s="65">
        <f t="shared" ca="1" si="3"/>
        <v>285</v>
      </c>
      <c r="Y30" s="15" t="str">
        <f t="shared" ca="1" si="4"/>
        <v>VIGENTE</v>
      </c>
      <c r="Z30" s="12" t="s">
        <v>200</v>
      </c>
      <c r="AA30" s="13">
        <v>45191</v>
      </c>
      <c r="AB30" s="14">
        <v>45192</v>
      </c>
      <c r="AC30" s="14">
        <f t="shared" si="185"/>
        <v>47019</v>
      </c>
      <c r="AD30" s="65">
        <f t="shared" ca="1" si="186"/>
        <v>888</v>
      </c>
      <c r="AE30" s="15" t="str">
        <f t="shared" ca="1" si="7"/>
        <v>VIGENTE</v>
      </c>
      <c r="AF30" s="13">
        <v>45243</v>
      </c>
      <c r="AG30" s="14">
        <v>45902</v>
      </c>
      <c r="AH30" s="14">
        <f>DATE(YEAR(AG30)+2,MONTH(AG30),DAY(AG30))</f>
        <v>46632</v>
      </c>
      <c r="AI30" s="65">
        <f t="shared" ca="1" si="8"/>
        <v>501</v>
      </c>
      <c r="AJ30" s="15" t="str">
        <f t="shared" ca="1" si="9"/>
        <v>VIGENTE</v>
      </c>
      <c r="AK30" s="13">
        <v>44634</v>
      </c>
      <c r="AL30" s="14">
        <v>45937</v>
      </c>
      <c r="AM30" s="14">
        <f t="shared" si="187"/>
        <v>46667</v>
      </c>
      <c r="AN30" s="65">
        <f t="shared" ca="1" si="10"/>
        <v>536</v>
      </c>
      <c r="AO30" s="15" t="str">
        <f t="shared" ca="1" si="11"/>
        <v>VIGENTE</v>
      </c>
      <c r="AP30" s="13">
        <v>45258</v>
      </c>
      <c r="AQ30" s="14">
        <v>45887</v>
      </c>
      <c r="AR30" s="14">
        <f>DATE(YEAR(AQ30)+2,MONTH(AQ30),DAY(AQ30))</f>
        <v>46617</v>
      </c>
      <c r="AS30" s="65">
        <f t="shared" ca="1" si="12"/>
        <v>486</v>
      </c>
      <c r="AT30" s="15" t="str">
        <f t="shared" ca="1" si="13"/>
        <v>VIGENTE</v>
      </c>
      <c r="AU30" s="13">
        <v>44578</v>
      </c>
      <c r="AV30" s="14">
        <v>45927</v>
      </c>
      <c r="AW30" s="14">
        <f t="shared" si="188"/>
        <v>46657</v>
      </c>
      <c r="AX30" s="65">
        <f t="shared" ca="1" si="15"/>
        <v>526</v>
      </c>
      <c r="AY30" s="15" t="str">
        <f t="shared" ca="1" si="16"/>
        <v>VIGENTE</v>
      </c>
      <c r="AZ30" s="13">
        <v>44585</v>
      </c>
      <c r="BA30" s="14">
        <v>45943</v>
      </c>
      <c r="BB30" s="14">
        <f>DATE(YEAR(BA30)+2,MONTH(BA30),DAY(BA30))</f>
        <v>46673</v>
      </c>
      <c r="BC30" s="65">
        <f t="shared" ca="1" si="17"/>
        <v>542</v>
      </c>
      <c r="BD30" s="15" t="str">
        <f t="shared" ca="1" si="18"/>
        <v>VIGENTE</v>
      </c>
      <c r="BE30" s="13">
        <v>44585</v>
      </c>
      <c r="BF30" s="14">
        <v>45997</v>
      </c>
      <c r="BG30" s="14">
        <f t="shared" si="189"/>
        <v>46727</v>
      </c>
      <c r="BH30" s="65">
        <f t="shared" ca="1" si="19"/>
        <v>596</v>
      </c>
      <c r="BI30" s="15" t="str">
        <f t="shared" ca="1" si="20"/>
        <v>VIGENTE</v>
      </c>
      <c r="BJ30" s="13">
        <v>44795</v>
      </c>
      <c r="BK30" s="14">
        <v>46051</v>
      </c>
      <c r="BL30" s="14">
        <f t="shared" si="190"/>
        <v>46781</v>
      </c>
      <c r="BM30" s="65">
        <f t="shared" ca="1" si="21"/>
        <v>650</v>
      </c>
      <c r="BN30" s="15" t="str">
        <f t="shared" ca="1" si="22"/>
        <v>VIGENTE</v>
      </c>
      <c r="BO30" s="13">
        <v>44798</v>
      </c>
      <c r="BP30" s="14">
        <v>45470</v>
      </c>
      <c r="BQ30" s="14">
        <f>DATE(YEAR(BP30)+2,MONTH(BP30),DAY(BP30)-1)</f>
        <v>46199</v>
      </c>
      <c r="BR30" s="65">
        <f t="shared" ca="1" si="23"/>
        <v>68</v>
      </c>
      <c r="BS30" s="15" t="str">
        <f t="shared" ca="1" si="24"/>
        <v>POR VENCER</v>
      </c>
      <c r="BT30" s="13">
        <v>44575</v>
      </c>
      <c r="BU30" s="14">
        <v>45950</v>
      </c>
      <c r="BV30" s="14">
        <f>DATE(YEAR(BU30)+2,MONTH(BU30),DAY(BU30))</f>
        <v>46680</v>
      </c>
      <c r="BW30" s="65">
        <f t="shared" ca="1" si="25"/>
        <v>549</v>
      </c>
      <c r="BX30" s="15" t="str">
        <f t="shared" ca="1" si="26"/>
        <v>VIGENTE</v>
      </c>
      <c r="BY30" s="13">
        <v>44634</v>
      </c>
      <c r="BZ30" s="14">
        <v>45944</v>
      </c>
      <c r="CA30" s="14">
        <f>DATE(YEAR(BZ30)+2,MONTH(BZ30),DAY(BZ30))</f>
        <v>46674</v>
      </c>
      <c r="CB30" s="65">
        <f t="shared" ca="1" si="27"/>
        <v>543</v>
      </c>
      <c r="CC30" s="15" t="str">
        <f t="shared" ca="1" si="28"/>
        <v>VIGENTE</v>
      </c>
      <c r="CD30" s="16" t="s">
        <v>102</v>
      </c>
      <c r="CE30" s="14">
        <v>45827</v>
      </c>
      <c r="CF30" s="14">
        <v>45828</v>
      </c>
      <c r="CG30" s="14">
        <f t="shared" si="29"/>
        <v>47289</v>
      </c>
      <c r="CH30" s="65">
        <f t="shared" ca="1" si="30"/>
        <v>1158</v>
      </c>
      <c r="CI30" s="15" t="str">
        <f t="shared" ca="1" si="31"/>
        <v>VIGENTE</v>
      </c>
      <c r="CJ30" s="14">
        <v>44588</v>
      </c>
      <c r="CK30" s="14">
        <v>45929</v>
      </c>
      <c r="CL30" s="14">
        <f>DATE(YEAR(CK30)+2,MONTH(CK30),DAY(CK30))</f>
        <v>46659</v>
      </c>
      <c r="CM30" s="65">
        <f t="shared" ca="1" si="32"/>
        <v>528</v>
      </c>
      <c r="CN30" s="15" t="str">
        <f t="shared" ca="1" si="33"/>
        <v>VIGENTE</v>
      </c>
      <c r="CO30" s="13">
        <v>45246</v>
      </c>
      <c r="CP30" s="14">
        <v>45888</v>
      </c>
      <c r="CQ30" s="14">
        <f>DATE(YEAR(CP30)+2,MONTH(CP30),DAY(CP30))</f>
        <v>46618</v>
      </c>
      <c r="CR30" s="65">
        <f t="shared" ca="1" si="34"/>
        <v>487</v>
      </c>
      <c r="CS30" s="15" t="str">
        <f t="shared" ca="1" si="35"/>
        <v>VIGENTE</v>
      </c>
      <c r="CT30" s="13">
        <v>44569</v>
      </c>
      <c r="CU30" s="14">
        <v>45905</v>
      </c>
      <c r="CV30" s="14">
        <f>DATE(YEAR(CU30)+2,MONTH(CU30),DAY(CU30))</f>
        <v>46635</v>
      </c>
      <c r="CW30" s="65">
        <f t="shared" ca="1" si="36"/>
        <v>504</v>
      </c>
      <c r="CX30" s="15" t="str">
        <f t="shared" ca="1" si="37"/>
        <v>VIGENTE</v>
      </c>
      <c r="CY30" s="13">
        <v>44571</v>
      </c>
      <c r="CZ30" s="14">
        <v>45924</v>
      </c>
      <c r="DA30" s="14">
        <f>DATE(YEAR(CZ30)+2,MONTH(CZ30),DAY(CZ30))</f>
        <v>46654</v>
      </c>
      <c r="DB30" s="65">
        <f t="shared" ca="1" si="38"/>
        <v>523</v>
      </c>
      <c r="DC30" s="15" t="str">
        <f t="shared" ca="1" si="39"/>
        <v>VIGENTE</v>
      </c>
      <c r="DD30" s="13">
        <v>44798</v>
      </c>
      <c r="DE30" s="14">
        <v>45463</v>
      </c>
      <c r="DF30" s="14">
        <f t="shared" si="182"/>
        <v>46192</v>
      </c>
      <c r="DG30" s="65">
        <f t="shared" ca="1" si="40"/>
        <v>61</v>
      </c>
      <c r="DH30" s="15" t="str">
        <f t="shared" ca="1" si="41"/>
        <v>POR VENCER</v>
      </c>
      <c r="DI30" s="13">
        <v>45296</v>
      </c>
      <c r="DJ30" s="14">
        <v>45975</v>
      </c>
      <c r="DK30" s="14">
        <f>DATE(YEAR(DJ30)+2,MONTH(DJ30),DAY(DJ30))</f>
        <v>46705</v>
      </c>
      <c r="DL30" s="65">
        <f t="shared" ca="1" si="43"/>
        <v>574</v>
      </c>
      <c r="DM30" s="15" t="str">
        <f t="shared" ca="1" si="44"/>
        <v>VIGENTE</v>
      </c>
      <c r="DN30" s="13">
        <v>45033</v>
      </c>
      <c r="DO30" s="14">
        <v>45731</v>
      </c>
      <c r="DP30" s="14">
        <f>DATE(YEAR(DO30)+2,MONTH(DO30),DAY(DO30)-1)</f>
        <v>46460</v>
      </c>
      <c r="DQ30" s="65">
        <f t="shared" ca="1" si="46"/>
        <v>329</v>
      </c>
      <c r="DR30" s="15" t="str">
        <f t="shared" ca="1" si="47"/>
        <v>VIGENTE</v>
      </c>
      <c r="DS30" s="13">
        <v>45250</v>
      </c>
      <c r="DT30" s="14">
        <v>45885</v>
      </c>
      <c r="DU30" s="14">
        <f>DATE(YEAR(DT30)+2,MONTH(DT30),DAY(DT30))</f>
        <v>46615</v>
      </c>
      <c r="DV30" s="65">
        <f t="shared" ca="1" si="48"/>
        <v>484</v>
      </c>
      <c r="DW30" s="15" t="str">
        <f t="shared" ca="1" si="49"/>
        <v>VIGENTE</v>
      </c>
      <c r="DX30" s="13">
        <v>44572</v>
      </c>
      <c r="DY30" s="14">
        <v>45934</v>
      </c>
      <c r="DZ30" s="14">
        <f>DATE(YEAR(DY30)+2,MONTH(DY30),DAY(DY30))</f>
        <v>46664</v>
      </c>
      <c r="EA30" s="65">
        <f t="shared" ca="1" si="50"/>
        <v>533</v>
      </c>
      <c r="EB30" s="15" t="str">
        <f t="shared" ca="1" si="51"/>
        <v>VIGENTE</v>
      </c>
      <c r="EC30" s="13">
        <v>44572</v>
      </c>
      <c r="ED30" s="14">
        <v>45938</v>
      </c>
      <c r="EE30" s="14">
        <f>DATE(YEAR(ED30)+2,MONTH(ED30),DAY(ED30))</f>
        <v>46668</v>
      </c>
      <c r="EF30" s="65">
        <f t="shared" ca="1" si="52"/>
        <v>537</v>
      </c>
      <c r="EG30" s="15" t="str">
        <f t="shared" ca="1" si="53"/>
        <v>VIGENTE</v>
      </c>
      <c r="EH30" s="13">
        <v>45253</v>
      </c>
      <c r="EI30" s="13">
        <v>45909</v>
      </c>
      <c r="EJ30" s="13">
        <v>45910</v>
      </c>
      <c r="EK30" s="13">
        <v>45911</v>
      </c>
      <c r="EL30" s="14">
        <f t="shared" si="128"/>
        <v>46276</v>
      </c>
      <c r="EM30" s="65">
        <f t="shared" ca="1" si="54"/>
        <v>145</v>
      </c>
      <c r="EN30" s="15" t="str">
        <f t="shared" ca="1" si="55"/>
        <v>VIGENTE</v>
      </c>
      <c r="EO30" s="13">
        <v>44796</v>
      </c>
      <c r="EP30" s="14">
        <v>46100</v>
      </c>
      <c r="EQ30" s="14">
        <f>DATE(YEAR(EP30)+2,MONTH(EP30),DAY(EP30))</f>
        <v>46831</v>
      </c>
      <c r="ER30" s="65">
        <f t="shared" ca="1" si="56"/>
        <v>700</v>
      </c>
      <c r="ES30" s="15" t="str">
        <f t="shared" ca="1" si="57"/>
        <v>VIGENTE</v>
      </c>
      <c r="ET30" s="13">
        <v>44573</v>
      </c>
      <c r="EU30" s="14">
        <v>45922</v>
      </c>
      <c r="EV30" s="14">
        <f>DATE(YEAR(EU30)+2,MONTH(EU30),DAY(EU30))</f>
        <v>46652</v>
      </c>
      <c r="EW30" s="65">
        <f t="shared" ca="1" si="58"/>
        <v>521</v>
      </c>
      <c r="EX30" s="15" t="str">
        <f t="shared" ca="1" si="59"/>
        <v>VIGENTE</v>
      </c>
      <c r="EY30" s="13">
        <v>44636</v>
      </c>
      <c r="EZ30" s="14">
        <v>45917</v>
      </c>
      <c r="FA30" s="14">
        <f t="shared" si="191"/>
        <v>46647</v>
      </c>
      <c r="FB30" s="65">
        <f t="shared" ca="1" si="60"/>
        <v>516</v>
      </c>
      <c r="FC30" s="15" t="str">
        <f t="shared" ca="1" si="61"/>
        <v>VIGENTE</v>
      </c>
      <c r="FD30" s="13">
        <v>44636</v>
      </c>
      <c r="FE30" s="14">
        <v>45931</v>
      </c>
      <c r="FF30" s="14">
        <f t="shared" si="192"/>
        <v>46661</v>
      </c>
      <c r="FG30" s="65">
        <f t="shared" ca="1" si="62"/>
        <v>530</v>
      </c>
      <c r="FH30" s="15" t="str">
        <f t="shared" ca="1" si="63"/>
        <v>VIGENTE</v>
      </c>
      <c r="FI30" s="13">
        <v>44637</v>
      </c>
      <c r="FJ30" s="14">
        <v>45932</v>
      </c>
      <c r="FK30" s="14">
        <f t="shared" si="193"/>
        <v>46662</v>
      </c>
      <c r="FL30" s="65">
        <f t="shared" ca="1" si="64"/>
        <v>531</v>
      </c>
      <c r="FM30" s="15" t="str">
        <f t="shared" ca="1" si="65"/>
        <v>VIGENTE</v>
      </c>
      <c r="FN30" s="13">
        <v>45257</v>
      </c>
      <c r="FO30" s="14">
        <v>45920</v>
      </c>
      <c r="FP30" s="14">
        <f>DATE(YEAR(FO30)+2,MONTH(FO30),DAY(FO30))</f>
        <v>46650</v>
      </c>
      <c r="FQ30" s="65">
        <f t="shared" ca="1" si="67"/>
        <v>519</v>
      </c>
      <c r="FR30" s="15" t="str">
        <f t="shared" ca="1" si="68"/>
        <v>VIGENTE</v>
      </c>
      <c r="FS30" s="13">
        <v>44797</v>
      </c>
      <c r="FT30" s="14">
        <v>45458</v>
      </c>
      <c r="FU30" s="14">
        <f t="shared" si="184"/>
        <v>46187</v>
      </c>
      <c r="FV30" s="65">
        <f t="shared" ca="1" si="69"/>
        <v>56</v>
      </c>
      <c r="FW30" s="15" t="str">
        <f t="shared" ca="1" si="70"/>
        <v>POR VENCER</v>
      </c>
      <c r="FX30" s="13">
        <v>44637</v>
      </c>
      <c r="FY30" s="14">
        <v>45941</v>
      </c>
      <c r="FZ30" s="14">
        <f>DATE(YEAR(FY30)+2,MONTH(FY30),DAY(FY30))</f>
        <v>46671</v>
      </c>
      <c r="GA30" s="65">
        <f t="shared" ca="1" si="71"/>
        <v>540</v>
      </c>
      <c r="GB30" s="15" t="str">
        <f t="shared" ca="1" si="72"/>
        <v>VIGENTE</v>
      </c>
      <c r="GC30" s="13">
        <v>44566</v>
      </c>
      <c r="GD30" s="14">
        <v>45925</v>
      </c>
      <c r="GE30" s="14">
        <f>DATE(YEAR(GD30)+2,MONTH(GD30),DAY(GD30))</f>
        <v>46655</v>
      </c>
      <c r="GF30" s="65">
        <f t="shared" ca="1" si="73"/>
        <v>524</v>
      </c>
      <c r="GG30" s="15" t="str">
        <f t="shared" ca="1" si="74"/>
        <v>VIGENTE</v>
      </c>
      <c r="GH30" s="13">
        <v>44775</v>
      </c>
      <c r="GI30" s="14">
        <v>45472</v>
      </c>
      <c r="GJ30" s="14">
        <f t="shared" si="183"/>
        <v>46201</v>
      </c>
      <c r="GK30" s="65">
        <f t="shared" ca="1" si="75"/>
        <v>70</v>
      </c>
      <c r="GL30" s="15" t="str">
        <f t="shared" ca="1" si="76"/>
        <v>POR VENCER</v>
      </c>
      <c r="GM30" s="13">
        <v>44580</v>
      </c>
      <c r="GN30" s="14">
        <v>45945</v>
      </c>
      <c r="GO30" s="14">
        <f>DATE(YEAR(GN30)+2,MONTH(GN30),DAY(GN30))</f>
        <v>46675</v>
      </c>
      <c r="GP30" s="65">
        <f t="shared" ca="1" si="77"/>
        <v>544</v>
      </c>
      <c r="GQ30" s="15" t="str">
        <f t="shared" ca="1" si="78"/>
        <v>VIGENTE</v>
      </c>
      <c r="GR30" s="14"/>
      <c r="GS30" s="14">
        <v>45017</v>
      </c>
      <c r="GT30" s="14">
        <f t="shared" si="79"/>
        <v>46844</v>
      </c>
      <c r="GU30" s="65">
        <f t="shared" ca="1" si="172"/>
        <v>713</v>
      </c>
      <c r="GV30" s="15" t="str">
        <f t="shared" ca="1" si="81"/>
        <v>VIGENTE</v>
      </c>
      <c r="GW30" s="13"/>
      <c r="GX30" s="14">
        <v>45010</v>
      </c>
      <c r="GY30" s="14">
        <f t="shared" si="82"/>
        <v>46837</v>
      </c>
      <c r="GZ30" s="65">
        <f t="shared" ca="1" si="83"/>
        <v>706</v>
      </c>
      <c r="HA30" s="15" t="str">
        <f t="shared" ca="1" si="84"/>
        <v>VIGENTE</v>
      </c>
      <c r="HB30" s="12"/>
      <c r="HC30" s="14">
        <v>45016</v>
      </c>
      <c r="HD30" s="14">
        <f t="shared" si="85"/>
        <v>46843</v>
      </c>
      <c r="HE30" s="65">
        <f t="shared" ca="1" si="86"/>
        <v>712</v>
      </c>
      <c r="HF30" s="15" t="str">
        <f t="shared" ca="1" si="87"/>
        <v>VIGENTE</v>
      </c>
      <c r="HG30" s="16"/>
      <c r="HH30" s="14">
        <v>44956</v>
      </c>
      <c r="HI30" s="14">
        <f t="shared" si="194"/>
        <v>46782</v>
      </c>
      <c r="HJ30" s="65">
        <f t="shared" ca="1" si="195"/>
        <v>651</v>
      </c>
      <c r="HK30" s="15" t="str">
        <f t="shared" ca="1" si="181"/>
        <v>VIGENTE</v>
      </c>
      <c r="HL30" s="12"/>
      <c r="HM30" s="16"/>
      <c r="HN30" s="14">
        <f>DATE(YEAR(HM30)+5,MONTH(HM30),DAY(HM30))</f>
        <v>1827</v>
      </c>
      <c r="HO30" s="65">
        <f ca="1">HN30-TODAY()</f>
        <v>-44304</v>
      </c>
      <c r="HP30" s="15" t="str">
        <f ca="1">IF(HO30&gt;=61,"VIGENTE",IF(HO30&gt;=1,"POR VENCER",IF(HO30&lt;=-1,"PROGRAMAR",IF(HM30=0,"NO APLICA"))))</f>
        <v>PROGRAMAR</v>
      </c>
      <c r="HQ30" s="12"/>
      <c r="HR30" s="12"/>
      <c r="HS30" s="14"/>
      <c r="HT30" s="12"/>
      <c r="HU30" s="15" t="str">
        <f t="shared" si="92"/>
        <v>NO APLICA</v>
      </c>
      <c r="HV30" s="12"/>
      <c r="HW30" s="16"/>
      <c r="HX30" s="14"/>
      <c r="HY30" s="65"/>
      <c r="HZ30" s="15" t="str">
        <f t="shared" si="93"/>
        <v>NO APLICA</v>
      </c>
      <c r="IA30" s="12"/>
      <c r="IB30" s="16"/>
      <c r="IC30" s="14"/>
      <c r="ID30" s="65"/>
      <c r="IE30" s="15" t="str">
        <f t="shared" si="94"/>
        <v>NO APLICA</v>
      </c>
      <c r="IF30" s="12"/>
      <c r="IG30" s="16"/>
      <c r="IH30" s="14"/>
      <c r="II30" s="65"/>
      <c r="IJ30" s="15" t="str">
        <f t="shared" si="95"/>
        <v>NO APLICA</v>
      </c>
      <c r="IK30" s="16"/>
      <c r="IL30" s="16"/>
      <c r="IM30" s="14"/>
      <c r="IN30" s="65"/>
      <c r="IO30" s="15" t="str">
        <f t="shared" si="96"/>
        <v>NO APLICA</v>
      </c>
      <c r="IP30" s="12"/>
      <c r="IQ30" s="16"/>
      <c r="IR30" s="14"/>
      <c r="IS30" s="65"/>
      <c r="IT30" s="15" t="str">
        <f t="shared" si="97"/>
        <v>NO APLICA</v>
      </c>
      <c r="IU30" s="12"/>
      <c r="IV30" s="16"/>
      <c r="IW30" s="14"/>
      <c r="IX30" s="65"/>
      <c r="IY30" s="15" t="str">
        <f t="shared" si="98"/>
        <v>NO APLICA</v>
      </c>
      <c r="IZ30" s="12"/>
      <c r="JA30" s="16"/>
      <c r="JB30" s="14"/>
      <c r="JC30" s="65"/>
      <c r="JD30" s="15" t="str">
        <f t="shared" si="99"/>
        <v>NO APLICA</v>
      </c>
      <c r="JE30" s="13"/>
      <c r="JF30" s="13"/>
      <c r="JG30" s="14"/>
      <c r="JH30" s="65"/>
      <c r="JI30" s="15" t="str">
        <f t="shared" si="100"/>
        <v>NO APLICA</v>
      </c>
      <c r="JJ30" s="16"/>
      <c r="JK30" s="16"/>
      <c r="JL30" s="16"/>
      <c r="JM30" s="15" t="str">
        <f t="shared" si="101"/>
        <v>NO APLICA</v>
      </c>
      <c r="JN30" s="16"/>
      <c r="JO30" s="16"/>
      <c r="JP30" s="16"/>
      <c r="JQ30" s="15" t="str">
        <f t="shared" si="102"/>
        <v>NO APLICA</v>
      </c>
      <c r="JR30" s="16"/>
      <c r="JS30" s="16"/>
      <c r="JT30" s="16"/>
      <c r="JU30" s="16"/>
      <c r="JV30" s="15" t="str">
        <f t="shared" si="103"/>
        <v>NO APLICA</v>
      </c>
      <c r="JW30" s="15"/>
      <c r="JX30" s="15"/>
      <c r="JY30" s="15"/>
      <c r="JZ30" s="15"/>
      <c r="KA30" s="15" t="str">
        <f t="shared" si="104"/>
        <v>NO APLICA</v>
      </c>
      <c r="KB30" s="12"/>
      <c r="KC30" s="14"/>
      <c r="KD30" s="65"/>
      <c r="KE30" s="15" t="str">
        <f t="shared" si="105"/>
        <v>NO APLICA</v>
      </c>
      <c r="KF30" s="12"/>
      <c r="KG30" s="14"/>
      <c r="KH30" s="65"/>
      <c r="KI30" s="15" t="str">
        <f t="shared" si="132"/>
        <v>NO APLICA</v>
      </c>
      <c r="KJ30" s="12"/>
      <c r="KK30" s="14"/>
      <c r="KL30" s="65"/>
      <c r="KM30" s="15" t="str">
        <f t="shared" si="106"/>
        <v>NO APLICA</v>
      </c>
      <c r="KN30" s="12"/>
      <c r="KO30" s="14"/>
      <c r="KP30" s="65"/>
      <c r="KQ30" s="15" t="str">
        <f t="shared" si="133"/>
        <v>NO APLICA</v>
      </c>
      <c r="KR30" s="12"/>
      <c r="KS30" s="16"/>
      <c r="KT30" s="14"/>
      <c r="KU30" s="65"/>
      <c r="KV30" s="15" t="str">
        <f t="shared" si="147"/>
        <v>NO APLICA</v>
      </c>
      <c r="KW30" s="16"/>
      <c r="KX30" s="14"/>
      <c r="KY30" s="65"/>
      <c r="KZ30" s="15" t="str">
        <f t="shared" si="134"/>
        <v>NO APLICA</v>
      </c>
      <c r="LA30" s="16"/>
      <c r="LB30" s="16"/>
      <c r="LC30" s="14"/>
      <c r="LD30" s="65"/>
      <c r="LE30" s="15" t="str">
        <f t="shared" si="107"/>
        <v>NO APLICA</v>
      </c>
      <c r="LF30" s="15"/>
      <c r="LG30" s="15"/>
      <c r="LH30" s="15"/>
      <c r="LI30" s="15"/>
      <c r="LJ30" s="15" t="str">
        <f t="shared" si="148"/>
        <v>NO APLICA</v>
      </c>
      <c r="LK30" s="12"/>
      <c r="LL30" s="16"/>
      <c r="LM30" s="14"/>
      <c r="LN30" s="65"/>
      <c r="LO30" s="15" t="str">
        <f t="shared" si="135"/>
        <v>NO APLICA</v>
      </c>
      <c r="LP30" s="16"/>
      <c r="LQ30" s="16"/>
      <c r="LR30" s="14"/>
      <c r="LS30" s="65"/>
      <c r="LT30" s="15" t="str">
        <f t="shared" si="136"/>
        <v>NO APLICA</v>
      </c>
      <c r="LU30" s="16"/>
      <c r="LV30" s="16"/>
      <c r="LW30" s="14"/>
      <c r="LX30" s="65"/>
      <c r="LY30" s="15" t="str">
        <f t="shared" si="137"/>
        <v>NO APLICA</v>
      </c>
      <c r="LZ30" s="12"/>
      <c r="MA30" s="12"/>
      <c r="MB30" s="14"/>
      <c r="MC30" s="65"/>
      <c r="MD30" s="15" t="str">
        <f t="shared" si="108"/>
        <v>NO APLICA</v>
      </c>
      <c r="ME30" s="12"/>
      <c r="MF30" s="12"/>
      <c r="MG30" s="14"/>
      <c r="MH30" s="65"/>
      <c r="MI30" s="15" t="str">
        <f t="shared" si="109"/>
        <v>NO APLICA</v>
      </c>
      <c r="MJ30" s="12"/>
      <c r="MK30" s="14"/>
      <c r="ML30" s="65"/>
      <c r="MM30" s="15" t="str">
        <f t="shared" si="110"/>
        <v>NO APLICA</v>
      </c>
      <c r="MN30" s="12"/>
      <c r="MO30" s="14"/>
      <c r="MP30" s="12"/>
      <c r="MQ30" s="15" t="str">
        <f t="shared" si="111"/>
        <v>NO APLICA</v>
      </c>
      <c r="MR30" s="12"/>
      <c r="MS30" s="14">
        <v>44834</v>
      </c>
      <c r="MT30" s="14">
        <f>DATE(YEAR(MS30)+5,MONTH(MS30),DAY(MS30))</f>
        <v>46660</v>
      </c>
      <c r="MU30" s="65">
        <f ca="1">MT30-TODAY()</f>
        <v>529</v>
      </c>
      <c r="MV30" s="15" t="str">
        <f t="shared" ca="1" si="112"/>
        <v>VIGENTE</v>
      </c>
      <c r="MW30" s="12"/>
      <c r="MX30" s="14">
        <v>44835</v>
      </c>
      <c r="MY30" s="14">
        <f>DATE(YEAR(MX30)+5,MONTH(MX30),DAY(MX30))</f>
        <v>46661</v>
      </c>
      <c r="MZ30" s="65">
        <f ca="1">MY30-TODAY()</f>
        <v>530</v>
      </c>
      <c r="NA30" s="15" t="str">
        <f t="shared" ca="1" si="113"/>
        <v>VIGENTE</v>
      </c>
      <c r="NB30" s="12"/>
      <c r="NC30" s="16"/>
      <c r="ND30" s="14"/>
      <c r="NE30" s="65"/>
      <c r="NF30" s="15" t="str">
        <f t="shared" si="114"/>
        <v>NO APLICA</v>
      </c>
      <c r="NG30" s="13">
        <v>45001</v>
      </c>
      <c r="NH30" s="13">
        <v>45002</v>
      </c>
      <c r="NI30" s="14">
        <f>DATE(YEAR(NH30)+5,MONTH(NH30),DAY(NH30))</f>
        <v>46829</v>
      </c>
      <c r="NJ30" s="65">
        <f ca="1">NI30-TODAY()</f>
        <v>698</v>
      </c>
      <c r="NK30" s="15" t="str">
        <f t="shared" ca="1" si="115"/>
        <v>VIGENTE</v>
      </c>
      <c r="NL30" s="14">
        <v>45102</v>
      </c>
      <c r="NM30" s="14">
        <v>45103</v>
      </c>
      <c r="NN30" s="14">
        <f>DATE(YEAR(NM30)+5,MONTH(NM30),DAY(NM30))</f>
        <v>46930</v>
      </c>
      <c r="NO30" s="65">
        <f ca="1">NN30-TODAY()</f>
        <v>799</v>
      </c>
      <c r="NP30" s="15" t="str">
        <f t="shared" ca="1" si="116"/>
        <v>VIGENTE</v>
      </c>
      <c r="NQ30" s="16"/>
      <c r="NR30" s="16"/>
      <c r="NS30" s="14"/>
      <c r="NT30" s="65"/>
      <c r="NU30" s="15" t="str">
        <f t="shared" si="117"/>
        <v>NO APLICA</v>
      </c>
      <c r="NV30" s="16"/>
      <c r="NW30" s="16"/>
      <c r="NX30" s="16"/>
      <c r="NY30" s="16"/>
      <c r="NZ30" s="15" t="str">
        <f t="shared" si="118"/>
        <v>NO APLICA</v>
      </c>
    </row>
    <row r="31" spans="1:390" ht="15.6" thickTop="1" thickBot="1" x14ac:dyDescent="0.35">
      <c r="A31" s="9">
        <v>1157</v>
      </c>
      <c r="B31" s="10" t="s">
        <v>201</v>
      </c>
      <c r="C31" s="21" t="s">
        <v>98</v>
      </c>
      <c r="D31" s="64" t="s">
        <v>202</v>
      </c>
      <c r="E31" s="15"/>
      <c r="F31" s="16"/>
      <c r="G31" s="14"/>
      <c r="H31" s="65"/>
      <c r="I31" s="15" t="str">
        <f t="shared" si="0"/>
        <v>NO APLICA</v>
      </c>
      <c r="J31" s="13">
        <v>46274</v>
      </c>
      <c r="K31" s="14">
        <v>46083</v>
      </c>
      <c r="L31" s="14">
        <f>DATE(YEAR(K31),MONTH(K31)+6,DAY(K31)-1)</f>
        <v>46266</v>
      </c>
      <c r="M31" s="65">
        <f ca="1">L31-TODAY()</f>
        <v>135</v>
      </c>
      <c r="N31" s="15" t="str">
        <f t="shared" ca="1" si="1"/>
        <v>VIGENTE</v>
      </c>
      <c r="O31" s="14">
        <v>45589</v>
      </c>
      <c r="P31" s="14">
        <v>45590</v>
      </c>
      <c r="Q31" s="14">
        <f>DATE(YEAR(P31)+2,MONTH(P31),DAY(P31)-1)</f>
        <v>46319</v>
      </c>
      <c r="R31" s="65">
        <f ca="1">Q31-TODAY()</f>
        <v>188</v>
      </c>
      <c r="S31" s="15" t="str">
        <f t="shared" ca="1" si="119"/>
        <v>VIGENTE</v>
      </c>
      <c r="T31" s="12" t="s">
        <v>203</v>
      </c>
      <c r="U31" s="13">
        <v>44855</v>
      </c>
      <c r="V31" s="14">
        <v>44856</v>
      </c>
      <c r="W31" s="14">
        <f t="shared" si="2"/>
        <v>46682</v>
      </c>
      <c r="X31" s="65">
        <f t="shared" ca="1" si="3"/>
        <v>551</v>
      </c>
      <c r="Y31" s="15" t="str">
        <f t="shared" ca="1" si="4"/>
        <v>VIGENTE</v>
      </c>
      <c r="Z31" s="12" t="s">
        <v>204</v>
      </c>
      <c r="AA31" s="13">
        <v>45189</v>
      </c>
      <c r="AB31" s="14">
        <v>45190</v>
      </c>
      <c r="AC31" s="14">
        <f t="shared" si="185"/>
        <v>47017</v>
      </c>
      <c r="AD31" s="65">
        <f t="shared" ca="1" si="186"/>
        <v>886</v>
      </c>
      <c r="AE31" s="15" t="str">
        <f t="shared" ca="1" si="7"/>
        <v>VIGENTE</v>
      </c>
      <c r="AF31" s="13">
        <v>45394</v>
      </c>
      <c r="AG31" s="14">
        <v>46085</v>
      </c>
      <c r="AH31" s="14">
        <f>DATE(YEAR(AG31)+2,MONTH(AG31),DAY(AG31))</f>
        <v>46816</v>
      </c>
      <c r="AI31" s="65">
        <f t="shared" ca="1" si="8"/>
        <v>685</v>
      </c>
      <c r="AJ31" s="15" t="str">
        <f t="shared" ca="1" si="9"/>
        <v>VIGENTE</v>
      </c>
      <c r="AK31" s="13">
        <v>44769</v>
      </c>
      <c r="AL31" s="14">
        <v>46062</v>
      </c>
      <c r="AM31" s="14">
        <f t="shared" si="187"/>
        <v>46792</v>
      </c>
      <c r="AN31" s="65">
        <f t="shared" ca="1" si="10"/>
        <v>661</v>
      </c>
      <c r="AO31" s="15" t="str">
        <f t="shared" ca="1" si="11"/>
        <v>VIGENTE</v>
      </c>
      <c r="AP31" s="13">
        <v>44775</v>
      </c>
      <c r="AQ31" s="14">
        <v>46048</v>
      </c>
      <c r="AR31" s="14">
        <f>DATE(YEAR(AQ31)+2,MONTH(AQ31),DAY(AQ31))</f>
        <v>46778</v>
      </c>
      <c r="AS31" s="65">
        <f t="shared" ca="1" si="12"/>
        <v>647</v>
      </c>
      <c r="AT31" s="15" t="str">
        <f t="shared" ca="1" si="13"/>
        <v>VIGENTE</v>
      </c>
      <c r="AU31" s="13">
        <v>44775</v>
      </c>
      <c r="AV31" s="14">
        <v>46070</v>
      </c>
      <c r="AW31" s="14">
        <f t="shared" si="188"/>
        <v>46800</v>
      </c>
      <c r="AX31" s="65">
        <f t="shared" ca="1" si="15"/>
        <v>669</v>
      </c>
      <c r="AY31" s="15" t="str">
        <f t="shared" ca="1" si="16"/>
        <v>VIGENTE</v>
      </c>
      <c r="AZ31" s="13">
        <v>45433</v>
      </c>
      <c r="BA31" s="14">
        <v>46071</v>
      </c>
      <c r="BB31" s="14">
        <f>DATE(YEAR(BA31)+2,MONTH(BA31),DAY(BA31))</f>
        <v>46801</v>
      </c>
      <c r="BC31" s="65">
        <f t="shared" ca="1" si="17"/>
        <v>670</v>
      </c>
      <c r="BD31" s="15" t="str">
        <f t="shared" ca="1" si="18"/>
        <v>VIGENTE</v>
      </c>
      <c r="BE31" s="13">
        <v>45399</v>
      </c>
      <c r="BF31" s="14">
        <v>46027</v>
      </c>
      <c r="BG31" s="14">
        <f t="shared" si="189"/>
        <v>46757</v>
      </c>
      <c r="BH31" s="65">
        <f t="shared" ca="1" si="19"/>
        <v>626</v>
      </c>
      <c r="BI31" s="15" t="str">
        <f t="shared" ca="1" si="20"/>
        <v>VIGENTE</v>
      </c>
      <c r="BJ31" s="13">
        <v>44793</v>
      </c>
      <c r="BK31" s="14">
        <v>46051</v>
      </c>
      <c r="BL31" s="14">
        <f t="shared" si="190"/>
        <v>46781</v>
      </c>
      <c r="BM31" s="65">
        <f t="shared" ca="1" si="21"/>
        <v>650</v>
      </c>
      <c r="BN31" s="15" t="str">
        <f t="shared" ca="1" si="22"/>
        <v>VIGENTE</v>
      </c>
      <c r="BO31" s="13">
        <v>44796</v>
      </c>
      <c r="BP31" s="14">
        <v>45470</v>
      </c>
      <c r="BQ31" s="14">
        <f>DATE(YEAR(BP31)+2,MONTH(BP31),DAY(BP31)-1)</f>
        <v>46199</v>
      </c>
      <c r="BR31" s="65">
        <f t="shared" ca="1" si="23"/>
        <v>68</v>
      </c>
      <c r="BS31" s="15" t="str">
        <f t="shared" ca="1" si="24"/>
        <v>POR VENCER</v>
      </c>
      <c r="BT31" s="13">
        <v>44770</v>
      </c>
      <c r="BU31" s="14">
        <v>46063</v>
      </c>
      <c r="BV31" s="14">
        <f>DATE(YEAR(BU31)+2,MONTH(BU31),DAY(BU31))</f>
        <v>46793</v>
      </c>
      <c r="BW31" s="65">
        <f t="shared" ca="1" si="25"/>
        <v>662</v>
      </c>
      <c r="BX31" s="15" t="str">
        <f t="shared" ca="1" si="26"/>
        <v>VIGENTE</v>
      </c>
      <c r="BY31" s="13">
        <v>44771</v>
      </c>
      <c r="BZ31" s="14">
        <v>45480</v>
      </c>
      <c r="CA31" s="14">
        <f>DATE(YEAR(BZ31)+2,MONTH(BZ31),DAY(BZ31)-1)</f>
        <v>46209</v>
      </c>
      <c r="CB31" s="65">
        <f t="shared" ca="1" si="27"/>
        <v>78</v>
      </c>
      <c r="CC31" s="15" t="str">
        <f t="shared" ca="1" si="28"/>
        <v>POR VENCER</v>
      </c>
      <c r="CD31" s="16" t="s">
        <v>108</v>
      </c>
      <c r="CE31" s="14">
        <v>45392</v>
      </c>
      <c r="CF31" s="14">
        <v>45393</v>
      </c>
      <c r="CG31" s="14">
        <f t="shared" si="29"/>
        <v>46854</v>
      </c>
      <c r="CH31" s="65">
        <f t="shared" ca="1" si="30"/>
        <v>723</v>
      </c>
      <c r="CI31" s="15" t="str">
        <f t="shared" ca="1" si="31"/>
        <v>VIGENTE</v>
      </c>
      <c r="CJ31" s="14">
        <v>44804</v>
      </c>
      <c r="CK31" s="14">
        <v>45452</v>
      </c>
      <c r="CL31" s="14">
        <f>DATE(YEAR(CK31)+2,MONTH(CK31),DAY(CK31)-1)</f>
        <v>46181</v>
      </c>
      <c r="CM31" s="65">
        <f t="shared" ca="1" si="32"/>
        <v>50</v>
      </c>
      <c r="CN31" s="15" t="str">
        <f t="shared" ca="1" si="33"/>
        <v>POR VENCER</v>
      </c>
      <c r="CO31" s="13">
        <v>44803</v>
      </c>
      <c r="CP31" s="14">
        <v>45481</v>
      </c>
      <c r="CQ31" s="14">
        <f>DATE(YEAR(CP31)+2,MONTH(CP31),DAY(CP31)-1)</f>
        <v>46210</v>
      </c>
      <c r="CR31" s="65">
        <f t="shared" ca="1" si="34"/>
        <v>79</v>
      </c>
      <c r="CS31" s="15" t="str">
        <f t="shared" ca="1" si="35"/>
        <v>POR VENCER</v>
      </c>
      <c r="CT31" s="13">
        <v>45440</v>
      </c>
      <c r="CU31" s="14">
        <v>46081</v>
      </c>
      <c r="CV31" s="14">
        <f>DATE(YEAR(CU31)+2,MONTH(CU31),DAY(CU31))</f>
        <v>46811</v>
      </c>
      <c r="CW31" s="65">
        <f t="shared" ca="1" si="36"/>
        <v>680</v>
      </c>
      <c r="CX31" s="15" t="str">
        <f t="shared" ca="1" si="37"/>
        <v>VIGENTE</v>
      </c>
      <c r="CY31" s="13">
        <v>45422</v>
      </c>
      <c r="CZ31" s="14">
        <v>46098</v>
      </c>
      <c r="DA31" s="14">
        <f>DATE(YEAR(CZ31)+2,MONTH(CZ31),DAY(CZ31))</f>
        <v>46829</v>
      </c>
      <c r="DB31" s="65">
        <f t="shared" ca="1" si="38"/>
        <v>698</v>
      </c>
      <c r="DC31" s="15" t="str">
        <f t="shared" ca="1" si="39"/>
        <v>VIGENTE</v>
      </c>
      <c r="DD31" s="13">
        <v>44796</v>
      </c>
      <c r="DE31" s="14">
        <v>45463</v>
      </c>
      <c r="DF31" s="14">
        <f t="shared" si="182"/>
        <v>46192</v>
      </c>
      <c r="DG31" s="65">
        <f t="shared" ca="1" si="40"/>
        <v>61</v>
      </c>
      <c r="DH31" s="15" t="str">
        <f t="shared" ca="1" si="41"/>
        <v>POR VENCER</v>
      </c>
      <c r="DI31" s="13">
        <v>44797</v>
      </c>
      <c r="DJ31" s="14">
        <v>46073</v>
      </c>
      <c r="DK31" s="14">
        <f>DATE(YEAR(DJ31)+2,MONTH(DJ31),DAY(DJ31))</f>
        <v>46803</v>
      </c>
      <c r="DL31" s="65">
        <f t="shared" ca="1" si="43"/>
        <v>672</v>
      </c>
      <c r="DM31" s="15" t="str">
        <f t="shared" ca="1" si="44"/>
        <v>VIGENTE</v>
      </c>
      <c r="DN31" s="13">
        <v>44797</v>
      </c>
      <c r="DO31" s="14">
        <v>45473</v>
      </c>
      <c r="DP31" s="14">
        <f>DATE(YEAR(DO31)+2,MONTH(DO31),DAY(DO31)-1)</f>
        <v>46202</v>
      </c>
      <c r="DQ31" s="65">
        <f t="shared" ca="1" si="46"/>
        <v>71</v>
      </c>
      <c r="DR31" s="15" t="str">
        <f t="shared" ca="1" si="47"/>
        <v>POR VENCER</v>
      </c>
      <c r="DS31" s="13">
        <v>44772</v>
      </c>
      <c r="DT31" s="14">
        <v>46053</v>
      </c>
      <c r="DU31" s="14">
        <f>DATE(YEAR(DT31)+2,MONTH(DT31),DAY(DT31))</f>
        <v>46783</v>
      </c>
      <c r="DV31" s="65">
        <f t="shared" ca="1" si="48"/>
        <v>652</v>
      </c>
      <c r="DW31" s="15" t="str">
        <f t="shared" ca="1" si="49"/>
        <v>VIGENTE</v>
      </c>
      <c r="DX31" s="13">
        <v>45459</v>
      </c>
      <c r="DY31" s="14">
        <v>46099</v>
      </c>
      <c r="DZ31" s="14">
        <f>DATE(YEAR(DY31)+2,MONTH(DY31),DAY(DY31))</f>
        <v>46830</v>
      </c>
      <c r="EA31" s="65">
        <f t="shared" ca="1" si="50"/>
        <v>699</v>
      </c>
      <c r="EB31" s="15" t="str">
        <f t="shared" ca="1" si="51"/>
        <v>VIGENTE</v>
      </c>
      <c r="EC31" s="13">
        <v>45450</v>
      </c>
      <c r="ED31" s="14">
        <v>46104</v>
      </c>
      <c r="EE31" s="14">
        <f>DATE(YEAR(ED31)+2,MONTH(ED31),DAY(ED31))</f>
        <v>46835</v>
      </c>
      <c r="EF31" s="65">
        <f t="shared" ca="1" si="52"/>
        <v>704</v>
      </c>
      <c r="EG31" s="15" t="str">
        <f t="shared" ca="1" si="53"/>
        <v>VIGENTE</v>
      </c>
      <c r="EH31" s="13">
        <v>45423</v>
      </c>
      <c r="EI31" s="13">
        <v>46058</v>
      </c>
      <c r="EJ31" s="13">
        <v>46059</v>
      </c>
      <c r="EK31" s="13">
        <v>46060</v>
      </c>
      <c r="EL31" s="14">
        <f t="shared" si="128"/>
        <v>46425</v>
      </c>
      <c r="EM31" s="65">
        <f t="shared" ca="1" si="54"/>
        <v>294</v>
      </c>
      <c r="EN31" s="15" t="str">
        <f t="shared" ca="1" si="55"/>
        <v>VIGENTE</v>
      </c>
      <c r="EO31" s="13">
        <v>44799</v>
      </c>
      <c r="EP31" s="14">
        <v>46100</v>
      </c>
      <c r="EQ31" s="14">
        <f>DATE(YEAR(EP31)+2,MONTH(EP31),DAY(EP31))</f>
        <v>46831</v>
      </c>
      <c r="ER31" s="65">
        <f t="shared" ca="1" si="56"/>
        <v>700</v>
      </c>
      <c r="ES31" s="15" t="str">
        <f t="shared" ca="1" si="57"/>
        <v>VIGENTE</v>
      </c>
      <c r="ET31" s="13">
        <v>44800</v>
      </c>
      <c r="EU31" s="14">
        <v>46094</v>
      </c>
      <c r="EV31" s="14">
        <f>DATE(YEAR(EU31)+2,MONTH(EU31),DAY(EU31))</f>
        <v>46825</v>
      </c>
      <c r="EW31" s="65">
        <f t="shared" ca="1" si="58"/>
        <v>694</v>
      </c>
      <c r="EX31" s="15" t="str">
        <f t="shared" ca="1" si="59"/>
        <v>VIGENTE</v>
      </c>
      <c r="EY31" s="13">
        <v>44770</v>
      </c>
      <c r="EZ31" s="14">
        <v>46086</v>
      </c>
      <c r="FA31" s="14">
        <f t="shared" si="191"/>
        <v>46817</v>
      </c>
      <c r="FB31" s="65">
        <f t="shared" ca="1" si="60"/>
        <v>686</v>
      </c>
      <c r="FC31" s="15" t="str">
        <f t="shared" ca="1" si="61"/>
        <v>VIGENTE</v>
      </c>
      <c r="FD31" s="13">
        <v>44771</v>
      </c>
      <c r="FE31" s="14">
        <v>46091</v>
      </c>
      <c r="FF31" s="14">
        <f t="shared" si="192"/>
        <v>46822</v>
      </c>
      <c r="FG31" s="65">
        <f t="shared" ca="1" si="62"/>
        <v>691</v>
      </c>
      <c r="FH31" s="15" t="str">
        <f t="shared" ca="1" si="63"/>
        <v>VIGENTE</v>
      </c>
      <c r="FI31" s="13">
        <v>44772</v>
      </c>
      <c r="FJ31" s="14">
        <v>46066</v>
      </c>
      <c r="FK31" s="14">
        <f t="shared" si="193"/>
        <v>46796</v>
      </c>
      <c r="FL31" s="65">
        <f t="shared" ca="1" si="64"/>
        <v>665</v>
      </c>
      <c r="FM31" s="15" t="str">
        <f t="shared" ca="1" si="65"/>
        <v>VIGENTE</v>
      </c>
      <c r="FN31" s="13">
        <v>44803</v>
      </c>
      <c r="FO31" s="14">
        <v>45479</v>
      </c>
      <c r="FP31" s="14">
        <f>DATE(YEAR(FO31)+2,MONTH(FO31),DAY(FO31)-1)</f>
        <v>46208</v>
      </c>
      <c r="FQ31" s="65">
        <f t="shared" ca="1" si="67"/>
        <v>77</v>
      </c>
      <c r="FR31" s="15" t="str">
        <f t="shared" ca="1" si="68"/>
        <v>POR VENCER</v>
      </c>
      <c r="FS31" s="13">
        <v>44793</v>
      </c>
      <c r="FT31" s="14">
        <v>45458</v>
      </c>
      <c r="FU31" s="14">
        <f t="shared" si="184"/>
        <v>46187</v>
      </c>
      <c r="FV31" s="65">
        <f t="shared" ca="1" si="69"/>
        <v>56</v>
      </c>
      <c r="FW31" s="15" t="str">
        <f t="shared" ca="1" si="70"/>
        <v>POR VENCER</v>
      </c>
      <c r="FX31" s="13">
        <v>44942</v>
      </c>
      <c r="FY31" s="14">
        <v>45587</v>
      </c>
      <c r="FZ31" s="14">
        <f>DATE(YEAR(FY31)+2,MONTH(FY31),DAY(FY31)-1)</f>
        <v>46316</v>
      </c>
      <c r="GA31" s="65">
        <f t="shared" ca="1" si="71"/>
        <v>185</v>
      </c>
      <c r="GB31" s="15" t="str">
        <f t="shared" ca="1" si="72"/>
        <v>VIGENTE</v>
      </c>
      <c r="GC31" s="13">
        <v>44995</v>
      </c>
      <c r="GD31" s="14">
        <v>45667</v>
      </c>
      <c r="GE31" s="14">
        <f>DATE(YEAR(GD31)+2,MONTH(GD31),DAY(GD31)-1)</f>
        <v>46396</v>
      </c>
      <c r="GF31" s="65">
        <f t="shared" ca="1" si="73"/>
        <v>265</v>
      </c>
      <c r="GG31" s="15" t="str">
        <f t="shared" ca="1" si="74"/>
        <v>VIGENTE</v>
      </c>
      <c r="GH31" s="13">
        <v>45391</v>
      </c>
      <c r="GI31" s="14">
        <v>46036</v>
      </c>
      <c r="GJ31" s="14">
        <f>DATE(YEAR(GI31)+2,MONTH(GI31),DAY(GI31))</f>
        <v>46766</v>
      </c>
      <c r="GK31" s="65">
        <f t="shared" ca="1" si="75"/>
        <v>635</v>
      </c>
      <c r="GL31" s="15" t="str">
        <f t="shared" ca="1" si="76"/>
        <v>VIGENTE</v>
      </c>
      <c r="GM31" s="13">
        <v>45024</v>
      </c>
      <c r="GN31" s="14">
        <v>45687</v>
      </c>
      <c r="GO31" s="14">
        <f>DATE(YEAR(GN31)+2,MONTH(GN31),DAY(GN31)-1)</f>
        <v>46416</v>
      </c>
      <c r="GP31" s="65">
        <f t="shared" ca="1" si="77"/>
        <v>285</v>
      </c>
      <c r="GQ31" s="15" t="str">
        <f t="shared" ca="1" si="78"/>
        <v>VIGENTE</v>
      </c>
      <c r="GR31" s="14"/>
      <c r="GS31" s="14">
        <v>45013</v>
      </c>
      <c r="GT31" s="14">
        <f t="shared" si="79"/>
        <v>46840</v>
      </c>
      <c r="GU31" s="65">
        <f t="shared" ca="1" si="172"/>
        <v>709</v>
      </c>
      <c r="GV31" s="15" t="str">
        <f t="shared" ca="1" si="81"/>
        <v>VIGENTE</v>
      </c>
      <c r="GW31" s="13"/>
      <c r="GX31" s="14">
        <v>45006</v>
      </c>
      <c r="GY31" s="14">
        <f t="shared" si="82"/>
        <v>46833</v>
      </c>
      <c r="GZ31" s="65">
        <f t="shared" ca="1" si="83"/>
        <v>702</v>
      </c>
      <c r="HA31" s="15" t="str">
        <f t="shared" ca="1" si="84"/>
        <v>VIGENTE</v>
      </c>
      <c r="HB31" s="12"/>
      <c r="HC31" s="14">
        <v>45016</v>
      </c>
      <c r="HD31" s="14">
        <f t="shared" si="85"/>
        <v>46843</v>
      </c>
      <c r="HE31" s="65">
        <f t="shared" ca="1" si="86"/>
        <v>712</v>
      </c>
      <c r="HF31" s="15" t="str">
        <f t="shared" ca="1" si="87"/>
        <v>VIGENTE</v>
      </c>
      <c r="HG31" s="16"/>
      <c r="HH31" s="14">
        <v>45094</v>
      </c>
      <c r="HI31" s="14">
        <f t="shared" si="194"/>
        <v>46921</v>
      </c>
      <c r="HJ31" s="65">
        <f t="shared" ca="1" si="195"/>
        <v>790</v>
      </c>
      <c r="HK31" s="15" t="str">
        <f t="shared" ca="1" si="181"/>
        <v>VIGENTE</v>
      </c>
      <c r="HL31" s="12"/>
      <c r="HM31" s="16"/>
      <c r="HN31" s="14"/>
      <c r="HO31" s="65"/>
      <c r="HP31" s="15" t="str">
        <f t="shared" ref="HP31:HP47" si="196">IF(HO31&gt;=61,"VIGENTE",IF(HO31&gt;=1,"POR VENCER",IF(HO31&lt;=-1,"VENCIDA",IF(HM31=0,"NO APLICA"))))</f>
        <v>NO APLICA</v>
      </c>
      <c r="HQ31" s="12"/>
      <c r="HR31" s="12"/>
      <c r="HS31" s="14"/>
      <c r="HT31" s="12"/>
      <c r="HU31" s="15" t="str">
        <f t="shared" si="92"/>
        <v>NO APLICA</v>
      </c>
      <c r="HV31" s="12"/>
      <c r="HW31" s="16"/>
      <c r="HX31" s="14"/>
      <c r="HY31" s="65"/>
      <c r="HZ31" s="15" t="str">
        <f t="shared" si="93"/>
        <v>NO APLICA</v>
      </c>
      <c r="IA31" s="12"/>
      <c r="IB31" s="16"/>
      <c r="IC31" s="14"/>
      <c r="ID31" s="65"/>
      <c r="IE31" s="15" t="str">
        <f t="shared" si="94"/>
        <v>NO APLICA</v>
      </c>
      <c r="IF31" s="12"/>
      <c r="IG31" s="16"/>
      <c r="IH31" s="14"/>
      <c r="II31" s="65"/>
      <c r="IJ31" s="15" t="str">
        <f t="shared" si="95"/>
        <v>NO APLICA</v>
      </c>
      <c r="IK31" s="16"/>
      <c r="IL31" s="16"/>
      <c r="IM31" s="14"/>
      <c r="IN31" s="65"/>
      <c r="IO31" s="15" t="str">
        <f t="shared" si="96"/>
        <v>NO APLICA</v>
      </c>
      <c r="IP31" s="12"/>
      <c r="IQ31" s="16"/>
      <c r="IR31" s="14"/>
      <c r="IS31" s="65"/>
      <c r="IT31" s="15" t="str">
        <f t="shared" si="97"/>
        <v>NO APLICA</v>
      </c>
      <c r="IU31" s="12"/>
      <c r="IV31" s="16"/>
      <c r="IW31" s="14"/>
      <c r="IX31" s="65"/>
      <c r="IY31" s="15" t="str">
        <f t="shared" si="98"/>
        <v>NO APLICA</v>
      </c>
      <c r="IZ31" s="12"/>
      <c r="JA31" s="16"/>
      <c r="JB31" s="14"/>
      <c r="JC31" s="65"/>
      <c r="JD31" s="15" t="str">
        <f t="shared" si="99"/>
        <v>NO APLICA</v>
      </c>
      <c r="JE31" s="13"/>
      <c r="JF31" s="13"/>
      <c r="JG31" s="14"/>
      <c r="JH31" s="65"/>
      <c r="JI31" s="15" t="str">
        <f t="shared" si="100"/>
        <v>NO APLICA</v>
      </c>
      <c r="JJ31" s="16"/>
      <c r="JK31" s="16"/>
      <c r="JL31" s="16"/>
      <c r="JM31" s="15" t="str">
        <f t="shared" si="101"/>
        <v>NO APLICA</v>
      </c>
      <c r="JN31" s="16"/>
      <c r="JO31" s="16"/>
      <c r="JP31" s="16"/>
      <c r="JQ31" s="15" t="str">
        <f t="shared" si="102"/>
        <v>NO APLICA</v>
      </c>
      <c r="JR31" s="16"/>
      <c r="JS31" s="16"/>
      <c r="JT31" s="16"/>
      <c r="JU31" s="16"/>
      <c r="JV31" s="15" t="str">
        <f t="shared" si="103"/>
        <v>NO APLICA</v>
      </c>
      <c r="JW31" s="15"/>
      <c r="JX31" s="15"/>
      <c r="JY31" s="15"/>
      <c r="JZ31" s="15"/>
      <c r="KA31" s="15" t="str">
        <f t="shared" si="104"/>
        <v>NO APLICA</v>
      </c>
      <c r="KB31" s="12"/>
      <c r="KC31" s="14"/>
      <c r="KD31" s="65"/>
      <c r="KE31" s="15" t="str">
        <f t="shared" si="105"/>
        <v>NO APLICA</v>
      </c>
      <c r="KF31" s="12"/>
      <c r="KG31" s="14"/>
      <c r="KH31" s="65"/>
      <c r="KI31" s="15" t="str">
        <f t="shared" si="132"/>
        <v>NO APLICA</v>
      </c>
      <c r="KJ31" s="12"/>
      <c r="KK31" s="14"/>
      <c r="KL31" s="65"/>
      <c r="KM31" s="15" t="str">
        <f t="shared" si="106"/>
        <v>NO APLICA</v>
      </c>
      <c r="KN31" s="12"/>
      <c r="KO31" s="14"/>
      <c r="KP31" s="65"/>
      <c r="KQ31" s="15" t="str">
        <f t="shared" si="133"/>
        <v>NO APLICA</v>
      </c>
      <c r="KR31" s="12"/>
      <c r="KS31" s="16"/>
      <c r="KT31" s="14"/>
      <c r="KU31" s="65"/>
      <c r="KV31" s="15" t="str">
        <f t="shared" si="147"/>
        <v>NO APLICA</v>
      </c>
      <c r="KW31" s="16"/>
      <c r="KX31" s="14"/>
      <c r="KY31" s="65"/>
      <c r="KZ31" s="15" t="str">
        <f t="shared" si="134"/>
        <v>NO APLICA</v>
      </c>
      <c r="LA31" s="16"/>
      <c r="LB31" s="14">
        <v>45509</v>
      </c>
      <c r="LC31" s="14">
        <f>DATE(YEAR(LB31)+2,MONTH(LB31),DAY(LB31))</f>
        <v>46239</v>
      </c>
      <c r="LD31" s="65">
        <f ca="1">LC31-TODAY()</f>
        <v>108</v>
      </c>
      <c r="LE31" s="15" t="str">
        <f t="shared" ca="1" si="107"/>
        <v>VIGENTE</v>
      </c>
      <c r="LF31" s="15"/>
      <c r="LG31" s="15"/>
      <c r="LH31" s="15"/>
      <c r="LI31" s="15"/>
      <c r="LJ31" s="15" t="str">
        <f t="shared" si="148"/>
        <v>NO APLICA</v>
      </c>
      <c r="LK31" s="12"/>
      <c r="LL31" s="16"/>
      <c r="LM31" s="14"/>
      <c r="LN31" s="65"/>
      <c r="LO31" s="15" t="str">
        <f t="shared" si="135"/>
        <v>NO APLICA</v>
      </c>
      <c r="LP31" s="16"/>
      <c r="LQ31" s="16"/>
      <c r="LR31" s="14"/>
      <c r="LS31" s="65"/>
      <c r="LT31" s="15" t="str">
        <f t="shared" si="136"/>
        <v>NO APLICA</v>
      </c>
      <c r="LU31" s="16"/>
      <c r="LV31" s="16"/>
      <c r="LW31" s="14"/>
      <c r="LX31" s="65"/>
      <c r="LY31" s="15" t="str">
        <f t="shared" si="137"/>
        <v>NO APLICA</v>
      </c>
      <c r="LZ31" s="12"/>
      <c r="MA31" s="12"/>
      <c r="MB31" s="14"/>
      <c r="MC31" s="65"/>
      <c r="MD31" s="15" t="str">
        <f t="shared" si="108"/>
        <v>NO APLICA</v>
      </c>
      <c r="ME31" s="12"/>
      <c r="MF31" s="12"/>
      <c r="MG31" s="14"/>
      <c r="MH31" s="65"/>
      <c r="MI31" s="15" t="str">
        <f t="shared" si="109"/>
        <v>NO APLICA</v>
      </c>
      <c r="MJ31" s="12"/>
      <c r="MK31" s="14"/>
      <c r="ML31" s="65"/>
      <c r="MM31" s="15" t="str">
        <f t="shared" si="110"/>
        <v>NO APLICA</v>
      </c>
      <c r="MN31" s="12"/>
      <c r="MO31" s="14"/>
      <c r="MP31" s="12"/>
      <c r="MQ31" s="15" t="str">
        <f t="shared" si="111"/>
        <v>NO APLICA</v>
      </c>
      <c r="MR31" s="12"/>
      <c r="MS31" s="16"/>
      <c r="MT31" s="14"/>
      <c r="MU31" s="65"/>
      <c r="MV31" s="15" t="str">
        <f t="shared" si="112"/>
        <v>NO APLICA</v>
      </c>
      <c r="MW31" s="12"/>
      <c r="MX31" s="16"/>
      <c r="MY31" s="14"/>
      <c r="MZ31" s="65"/>
      <c r="NA31" s="15" t="str">
        <f t="shared" si="113"/>
        <v>NO APLICA</v>
      </c>
      <c r="NB31" s="12"/>
      <c r="NC31" s="16"/>
      <c r="ND31" s="14"/>
      <c r="NE31" s="65"/>
      <c r="NF31" s="15" t="str">
        <f t="shared" si="114"/>
        <v>NO APLICA</v>
      </c>
      <c r="NG31" s="12"/>
      <c r="NH31" s="12"/>
      <c r="NI31" s="14"/>
      <c r="NJ31" s="12"/>
      <c r="NK31" s="15" t="str">
        <f t="shared" si="115"/>
        <v>NO APLICA</v>
      </c>
      <c r="NL31" s="12"/>
      <c r="NM31" s="12"/>
      <c r="NN31" s="14"/>
      <c r="NO31" s="12"/>
      <c r="NP31" s="15" t="str">
        <f t="shared" si="116"/>
        <v>NO APLICA</v>
      </c>
      <c r="NQ31" s="16"/>
      <c r="NR31" s="16"/>
      <c r="NS31" s="14"/>
      <c r="NT31" s="65"/>
      <c r="NU31" s="15" t="str">
        <f t="shared" si="117"/>
        <v>NO APLICA</v>
      </c>
      <c r="NV31" s="16"/>
      <c r="NW31" s="16"/>
      <c r="NX31" s="16"/>
      <c r="NY31" s="16"/>
      <c r="NZ31" s="15" t="str">
        <f t="shared" si="118"/>
        <v>NO APLICA</v>
      </c>
    </row>
    <row r="32" spans="1:390" ht="15.6" thickTop="1" thickBot="1" x14ac:dyDescent="0.35">
      <c r="A32" s="9">
        <v>698</v>
      </c>
      <c r="B32" s="10" t="s">
        <v>205</v>
      </c>
      <c r="C32" s="21" t="s">
        <v>104</v>
      </c>
      <c r="D32" s="64" t="s">
        <v>206</v>
      </c>
      <c r="E32" s="15"/>
      <c r="F32" s="16"/>
      <c r="G32" s="14"/>
      <c r="H32" s="65"/>
      <c r="I32" s="15" t="str">
        <f t="shared" si="0"/>
        <v>NO APLICA</v>
      </c>
      <c r="J32" s="15"/>
      <c r="K32" s="16"/>
      <c r="L32" s="16"/>
      <c r="M32" s="65"/>
      <c r="N32" s="15" t="str">
        <f t="shared" si="1"/>
        <v>NO APLICA</v>
      </c>
      <c r="O32" s="16"/>
      <c r="P32" s="16"/>
      <c r="Q32" s="14"/>
      <c r="R32" s="65"/>
      <c r="S32" s="15" t="str">
        <f t="shared" si="119"/>
        <v>NO APLICA</v>
      </c>
      <c r="T32" s="12" t="s">
        <v>207</v>
      </c>
      <c r="U32" s="14">
        <v>45215</v>
      </c>
      <c r="V32" s="14">
        <v>45216</v>
      </c>
      <c r="W32" s="14">
        <f t="shared" si="2"/>
        <v>47043</v>
      </c>
      <c r="X32" s="65">
        <f t="shared" ca="1" si="3"/>
        <v>912</v>
      </c>
      <c r="Y32" s="15" t="str">
        <f t="shared" ca="1" si="4"/>
        <v>VIGENTE</v>
      </c>
      <c r="Z32" s="12" t="s">
        <v>208</v>
      </c>
      <c r="AA32" s="14">
        <v>44823</v>
      </c>
      <c r="AB32" s="14">
        <v>44824</v>
      </c>
      <c r="AC32" s="14">
        <f t="shared" si="185"/>
        <v>46650</v>
      </c>
      <c r="AD32" s="65">
        <f t="shared" ca="1" si="186"/>
        <v>519</v>
      </c>
      <c r="AE32" s="15" t="str">
        <f t="shared" ca="1" si="7"/>
        <v>VIGENTE</v>
      </c>
      <c r="AF32" s="13">
        <v>44939</v>
      </c>
      <c r="AG32" s="14">
        <v>45617</v>
      </c>
      <c r="AH32" s="14">
        <f>DATE(YEAR(AG32)+2,MONTH(AG32),DAY(AG32)-1)</f>
        <v>46346</v>
      </c>
      <c r="AI32" s="65">
        <f t="shared" ca="1" si="8"/>
        <v>215</v>
      </c>
      <c r="AJ32" s="15" t="str">
        <f t="shared" ca="1" si="9"/>
        <v>VIGENTE</v>
      </c>
      <c r="AK32" s="13">
        <v>45239</v>
      </c>
      <c r="AL32" s="14">
        <v>45903</v>
      </c>
      <c r="AM32" s="14">
        <f t="shared" si="187"/>
        <v>46633</v>
      </c>
      <c r="AN32" s="65">
        <f t="shared" ca="1" si="10"/>
        <v>502</v>
      </c>
      <c r="AO32" s="15" t="str">
        <f t="shared" ca="1" si="11"/>
        <v>VIGENTE</v>
      </c>
      <c r="AP32" s="13">
        <v>45074</v>
      </c>
      <c r="AQ32" s="14">
        <v>45703</v>
      </c>
      <c r="AR32" s="14">
        <f>DATE(YEAR(AQ32)+2,MONTH(AQ32),DAY(AQ32)-1)</f>
        <v>46432</v>
      </c>
      <c r="AS32" s="65">
        <f t="shared" ca="1" si="12"/>
        <v>301</v>
      </c>
      <c r="AT32" s="15" t="str">
        <f t="shared" ca="1" si="13"/>
        <v>VIGENTE</v>
      </c>
      <c r="AU32" s="13">
        <v>44659</v>
      </c>
      <c r="AV32" s="14">
        <v>45990</v>
      </c>
      <c r="AW32" s="14">
        <f t="shared" si="188"/>
        <v>46720</v>
      </c>
      <c r="AX32" s="65">
        <f t="shared" ca="1" si="15"/>
        <v>589</v>
      </c>
      <c r="AY32" s="15" t="str">
        <f t="shared" ca="1" si="16"/>
        <v>VIGENTE</v>
      </c>
      <c r="AZ32" s="13">
        <v>45075</v>
      </c>
      <c r="BA32" s="14">
        <v>45717</v>
      </c>
      <c r="BB32" s="14">
        <f>DATE(YEAR(BA32)+2,MONTH(BA32),DAY(BA32)-1)</f>
        <v>46446</v>
      </c>
      <c r="BC32" s="65">
        <f t="shared" ca="1" si="17"/>
        <v>315</v>
      </c>
      <c r="BD32" s="15" t="str">
        <f t="shared" ca="1" si="18"/>
        <v>VIGENTE</v>
      </c>
      <c r="BE32" s="13">
        <v>45399</v>
      </c>
      <c r="BF32" s="14">
        <v>46027</v>
      </c>
      <c r="BG32" s="14">
        <f t="shared" si="189"/>
        <v>46757</v>
      </c>
      <c r="BH32" s="65">
        <f t="shared" ca="1" si="19"/>
        <v>626</v>
      </c>
      <c r="BI32" s="15" t="str">
        <f t="shared" ca="1" si="20"/>
        <v>VIGENTE</v>
      </c>
      <c r="BJ32" s="13">
        <v>44719</v>
      </c>
      <c r="BK32" s="14">
        <v>46056</v>
      </c>
      <c r="BL32" s="14">
        <f t="shared" si="190"/>
        <v>46786</v>
      </c>
      <c r="BM32" s="65">
        <f t="shared" ca="1" si="21"/>
        <v>655</v>
      </c>
      <c r="BN32" s="15" t="str">
        <f t="shared" ca="1" si="22"/>
        <v>VIGENTE</v>
      </c>
      <c r="BO32" s="13">
        <v>44746</v>
      </c>
      <c r="BP32" s="14">
        <v>46069</v>
      </c>
      <c r="BQ32" s="14">
        <f>DATE(YEAR(BP32)+2,MONTH(BP32),DAY(BP32))</f>
        <v>46799</v>
      </c>
      <c r="BR32" s="65">
        <f t="shared" ca="1" si="23"/>
        <v>668</v>
      </c>
      <c r="BS32" s="15" t="str">
        <f t="shared" ca="1" si="24"/>
        <v>VIGENTE</v>
      </c>
      <c r="BT32" s="14">
        <v>45086</v>
      </c>
      <c r="BU32" s="14">
        <v>45736</v>
      </c>
      <c r="BV32" s="14">
        <f>DATE(YEAR(BU32)+2,MONTH(BU32),DAY(BU32)-1)</f>
        <v>46465</v>
      </c>
      <c r="BW32" s="65">
        <f t="shared" ca="1" si="25"/>
        <v>334</v>
      </c>
      <c r="BX32" s="15" t="str">
        <f t="shared" ca="1" si="26"/>
        <v>VIGENTE</v>
      </c>
      <c r="BY32" s="13">
        <v>45300</v>
      </c>
      <c r="BZ32" s="14">
        <v>45974</v>
      </c>
      <c r="CA32" s="14">
        <f t="shared" ref="CA32:CA37" si="197">DATE(YEAR(BZ32)+2,MONTH(BZ32),DAY(BZ32))</f>
        <v>46704</v>
      </c>
      <c r="CB32" s="65">
        <f t="shared" ca="1" si="27"/>
        <v>573</v>
      </c>
      <c r="CC32" s="15" t="str">
        <f t="shared" ca="1" si="28"/>
        <v>VIGENTE</v>
      </c>
      <c r="CD32" s="16" t="s">
        <v>108</v>
      </c>
      <c r="CE32" s="14">
        <v>45226</v>
      </c>
      <c r="CF32" s="14">
        <v>45227</v>
      </c>
      <c r="CG32" s="14">
        <f t="shared" si="29"/>
        <v>46688</v>
      </c>
      <c r="CH32" s="65">
        <f t="shared" ca="1" si="30"/>
        <v>557</v>
      </c>
      <c r="CI32" s="15" t="str">
        <f t="shared" ca="1" si="31"/>
        <v>VIGENTE</v>
      </c>
      <c r="CJ32" s="14">
        <v>45085</v>
      </c>
      <c r="CK32" s="14">
        <v>45777</v>
      </c>
      <c r="CL32" s="14">
        <f>DATE(YEAR(CK32)+2,MONTH(CK32),DAY(CK32))</f>
        <v>46507</v>
      </c>
      <c r="CM32" s="65">
        <f t="shared" ca="1" si="32"/>
        <v>376</v>
      </c>
      <c r="CN32" s="15" t="str">
        <f t="shared" ca="1" si="33"/>
        <v>VIGENTE</v>
      </c>
      <c r="CO32" s="14">
        <v>45087</v>
      </c>
      <c r="CP32" s="14">
        <v>45726</v>
      </c>
      <c r="CQ32" s="14">
        <f>DATE(YEAR(CP32)+2,MONTH(CP32),DAY(CP32)-1)</f>
        <v>46455</v>
      </c>
      <c r="CR32" s="65">
        <f t="shared" ca="1" si="34"/>
        <v>324</v>
      </c>
      <c r="CS32" s="15" t="str">
        <f t="shared" ca="1" si="35"/>
        <v>VIGENTE</v>
      </c>
      <c r="CT32" s="13">
        <v>44980</v>
      </c>
      <c r="CU32" s="14">
        <v>45639</v>
      </c>
      <c r="CV32" s="14">
        <f>DATE(YEAR(CU32)+2,MONTH(CU32),DAY(CU32)-1)</f>
        <v>46368</v>
      </c>
      <c r="CW32" s="65">
        <f t="shared" ca="1" si="36"/>
        <v>237</v>
      </c>
      <c r="CX32" s="15" t="str">
        <f t="shared" ca="1" si="37"/>
        <v>VIGENTE</v>
      </c>
      <c r="CY32" s="13">
        <v>44986</v>
      </c>
      <c r="CZ32" s="14">
        <v>45646</v>
      </c>
      <c r="DA32" s="14">
        <f>DATE(YEAR(CZ32)+2,MONTH(CZ32),DAY(CZ32)-1)</f>
        <v>46375</v>
      </c>
      <c r="DB32" s="65">
        <f t="shared" ca="1" si="38"/>
        <v>244</v>
      </c>
      <c r="DC32" s="15" t="str">
        <f t="shared" ca="1" si="39"/>
        <v>VIGENTE</v>
      </c>
      <c r="DD32" s="13">
        <v>45036</v>
      </c>
      <c r="DE32" s="14">
        <v>45689</v>
      </c>
      <c r="DF32" s="14">
        <f t="shared" si="182"/>
        <v>46418</v>
      </c>
      <c r="DG32" s="65">
        <f t="shared" ca="1" si="40"/>
        <v>287</v>
      </c>
      <c r="DH32" s="15" t="str">
        <f t="shared" ca="1" si="41"/>
        <v>VIGENTE</v>
      </c>
      <c r="DI32" s="13">
        <v>45065</v>
      </c>
      <c r="DJ32" s="14">
        <v>45696</v>
      </c>
      <c r="DK32" s="14">
        <f>DATE(YEAR(DJ32)+2,MONTH(DJ32),DAY(DJ32)-1)</f>
        <v>46425</v>
      </c>
      <c r="DL32" s="65">
        <f t="shared" ca="1" si="43"/>
        <v>294</v>
      </c>
      <c r="DM32" s="15" t="str">
        <f t="shared" ca="1" si="44"/>
        <v>VIGENTE</v>
      </c>
      <c r="DN32" s="13">
        <v>45325</v>
      </c>
      <c r="DO32" s="14">
        <v>45982</v>
      </c>
      <c r="DP32" s="14">
        <f t="shared" ref="DP32:DP37" si="198">DATE(YEAR(DO32)+2,MONTH(DO32),DAY(DO32))</f>
        <v>46712</v>
      </c>
      <c r="DQ32" s="65">
        <f t="shared" ca="1" si="46"/>
        <v>581</v>
      </c>
      <c r="DR32" s="15" t="str">
        <f t="shared" ca="1" si="47"/>
        <v>VIGENTE</v>
      </c>
      <c r="DS32" s="13">
        <v>45079</v>
      </c>
      <c r="DT32" s="14">
        <v>45728</v>
      </c>
      <c r="DU32" s="14">
        <f>DATE(YEAR(DT32)+2,MONTH(DT32),DAY(DT32)-1)</f>
        <v>46457</v>
      </c>
      <c r="DV32" s="65">
        <f t="shared" ca="1" si="48"/>
        <v>326</v>
      </c>
      <c r="DW32" s="15" t="str">
        <f t="shared" ca="1" si="49"/>
        <v>VIGENTE</v>
      </c>
      <c r="DX32" s="13">
        <v>45089</v>
      </c>
      <c r="DY32" s="14">
        <v>45751</v>
      </c>
      <c r="DZ32" s="14">
        <f>DATE(YEAR(DY32)+2,MONTH(DY32),DAY(DY32)-1)</f>
        <v>46480</v>
      </c>
      <c r="EA32" s="65">
        <f t="shared" ca="1" si="50"/>
        <v>349</v>
      </c>
      <c r="EB32" s="15" t="str">
        <f t="shared" ca="1" si="51"/>
        <v>VIGENTE</v>
      </c>
      <c r="EC32" s="13">
        <v>45070</v>
      </c>
      <c r="ED32" s="14">
        <v>45674</v>
      </c>
      <c r="EE32" s="14">
        <f>DATE(YEAR(ED32)+2,MONTH(ED32),DAY(ED32)-1)</f>
        <v>46403</v>
      </c>
      <c r="EF32" s="65">
        <f t="shared" ca="1" si="52"/>
        <v>272</v>
      </c>
      <c r="EG32" s="15" t="str">
        <f t="shared" ca="1" si="53"/>
        <v>VIGENTE</v>
      </c>
      <c r="EH32" s="13">
        <v>45750</v>
      </c>
      <c r="EI32" s="13">
        <v>46083</v>
      </c>
      <c r="EJ32" s="13">
        <v>46084</v>
      </c>
      <c r="EK32" s="13">
        <v>46085</v>
      </c>
      <c r="EL32" s="14">
        <f t="shared" si="128"/>
        <v>46450</v>
      </c>
      <c r="EM32" s="65">
        <f t="shared" ca="1" si="54"/>
        <v>319</v>
      </c>
      <c r="EN32" s="15" t="str">
        <f t="shared" ca="1" si="55"/>
        <v>VIGENTE</v>
      </c>
      <c r="EO32" s="13">
        <v>45076</v>
      </c>
      <c r="EP32" s="14">
        <v>45737</v>
      </c>
      <c r="EQ32" s="14">
        <f>DATE(YEAR(EP32)+2,MONTH(EP32),DAY(EP32)-1)</f>
        <v>46466</v>
      </c>
      <c r="ER32" s="65">
        <f t="shared" ca="1" si="56"/>
        <v>335</v>
      </c>
      <c r="ES32" s="15" t="str">
        <f t="shared" ca="1" si="57"/>
        <v>VIGENTE</v>
      </c>
      <c r="ET32" s="13">
        <v>45073</v>
      </c>
      <c r="EU32" s="14">
        <v>45677</v>
      </c>
      <c r="EV32" s="14">
        <f>DATE(YEAR(EU32)+2,MONTH(EU32),DAY(EU32)-1)</f>
        <v>46406</v>
      </c>
      <c r="EW32" s="65">
        <f t="shared" ca="1" si="58"/>
        <v>275</v>
      </c>
      <c r="EX32" s="15" t="str">
        <f t="shared" ca="1" si="59"/>
        <v>VIGENTE</v>
      </c>
      <c r="EY32" s="13">
        <v>45339</v>
      </c>
      <c r="EZ32" s="14">
        <v>46010</v>
      </c>
      <c r="FA32" s="14">
        <f t="shared" si="191"/>
        <v>46740</v>
      </c>
      <c r="FB32" s="65">
        <f t="shared" ca="1" si="60"/>
        <v>609</v>
      </c>
      <c r="FC32" s="15" t="str">
        <f t="shared" ca="1" si="61"/>
        <v>VIGENTE</v>
      </c>
      <c r="FD32" s="13">
        <v>44644</v>
      </c>
      <c r="FE32" s="14">
        <v>45988</v>
      </c>
      <c r="FF32" s="14">
        <f t="shared" si="192"/>
        <v>46718</v>
      </c>
      <c r="FG32" s="65">
        <f t="shared" ca="1" si="62"/>
        <v>587</v>
      </c>
      <c r="FH32" s="15" t="str">
        <f t="shared" ca="1" si="63"/>
        <v>VIGENTE</v>
      </c>
      <c r="FI32" s="13">
        <v>45317</v>
      </c>
      <c r="FJ32" s="14">
        <v>45969</v>
      </c>
      <c r="FK32" s="14">
        <f t="shared" si="193"/>
        <v>46699</v>
      </c>
      <c r="FL32" s="65">
        <f t="shared" ca="1" si="64"/>
        <v>568</v>
      </c>
      <c r="FM32" s="15" t="str">
        <f t="shared" ca="1" si="65"/>
        <v>VIGENTE</v>
      </c>
      <c r="FN32" s="13">
        <v>45084</v>
      </c>
      <c r="FO32" s="14">
        <v>45738</v>
      </c>
      <c r="FP32" s="14">
        <f>DATE(YEAR(FO32)+2,MONTH(FO32),DAY(FO32)-1)</f>
        <v>46467</v>
      </c>
      <c r="FQ32" s="65">
        <f t="shared" ca="1" si="67"/>
        <v>336</v>
      </c>
      <c r="FR32" s="15" t="str">
        <f t="shared" ca="1" si="68"/>
        <v>VIGENTE</v>
      </c>
      <c r="FS32" s="13">
        <v>45078</v>
      </c>
      <c r="FT32" s="14">
        <v>45747</v>
      </c>
      <c r="FU32" s="14">
        <f t="shared" si="184"/>
        <v>46476</v>
      </c>
      <c r="FV32" s="65">
        <f t="shared" ca="1" si="69"/>
        <v>345</v>
      </c>
      <c r="FW32" s="15" t="str">
        <f t="shared" ca="1" si="70"/>
        <v>VIGENTE</v>
      </c>
      <c r="FX32" s="14">
        <v>44924</v>
      </c>
      <c r="FY32" s="14">
        <v>45587</v>
      </c>
      <c r="FZ32" s="14">
        <f>DATE(YEAR(FY32)+2,MONTH(FY32),DAY(FY32)-1)</f>
        <v>46316</v>
      </c>
      <c r="GA32" s="65">
        <f t="shared" ca="1" si="71"/>
        <v>185</v>
      </c>
      <c r="GB32" s="15" t="str">
        <f t="shared" ca="1" si="72"/>
        <v>VIGENTE</v>
      </c>
      <c r="GC32" s="13">
        <v>45088</v>
      </c>
      <c r="GD32" s="14">
        <v>45757</v>
      </c>
      <c r="GE32" s="14">
        <f>DATE(YEAR(GD32)+2,MONTH(GD32),DAY(GD32)-1)</f>
        <v>46486</v>
      </c>
      <c r="GF32" s="65">
        <f t="shared" ca="1" si="73"/>
        <v>355</v>
      </c>
      <c r="GG32" s="15" t="str">
        <f t="shared" ca="1" si="74"/>
        <v>VIGENTE</v>
      </c>
      <c r="GH32" s="13">
        <v>45072</v>
      </c>
      <c r="GI32" s="14">
        <v>45672</v>
      </c>
      <c r="GJ32" s="14">
        <f>DATE(YEAR(GI32)+2,MONTH(GI32),DAY(GI32)-1)</f>
        <v>46401</v>
      </c>
      <c r="GK32" s="65">
        <f t="shared" ca="1" si="75"/>
        <v>270</v>
      </c>
      <c r="GL32" s="15" t="str">
        <f t="shared" ca="1" si="76"/>
        <v>VIGENTE</v>
      </c>
      <c r="GM32" s="13">
        <v>45191</v>
      </c>
      <c r="GN32" s="14">
        <v>45848</v>
      </c>
      <c r="GO32" s="14">
        <f>DATE(YEAR(GN32)+2,MONTH(GN32),DAY(GN32))</f>
        <v>46578</v>
      </c>
      <c r="GP32" s="65">
        <f t="shared" ca="1" si="77"/>
        <v>447</v>
      </c>
      <c r="GQ32" s="15" t="str">
        <f t="shared" ca="1" si="78"/>
        <v>VIGENTE</v>
      </c>
      <c r="GR32" s="14">
        <v>44571</v>
      </c>
      <c r="GS32" s="14">
        <v>45283</v>
      </c>
      <c r="GT32" s="14">
        <f t="shared" si="79"/>
        <v>47110</v>
      </c>
      <c r="GU32" s="65">
        <f t="shared" ca="1" si="172"/>
        <v>979</v>
      </c>
      <c r="GV32" s="15" t="str">
        <f t="shared" ca="1" si="81"/>
        <v>VIGENTE</v>
      </c>
      <c r="GW32" s="13">
        <v>44573</v>
      </c>
      <c r="GX32" s="14">
        <v>45277</v>
      </c>
      <c r="GY32" s="14">
        <f t="shared" si="82"/>
        <v>47104</v>
      </c>
      <c r="GZ32" s="65">
        <f t="shared" ca="1" si="83"/>
        <v>973</v>
      </c>
      <c r="HA32" s="15" t="str">
        <f t="shared" ca="1" si="84"/>
        <v>VIGENTE</v>
      </c>
      <c r="HB32" s="13">
        <v>44565</v>
      </c>
      <c r="HC32" s="14">
        <v>45268</v>
      </c>
      <c r="HD32" s="14">
        <f t="shared" si="85"/>
        <v>47095</v>
      </c>
      <c r="HE32" s="65">
        <f t="shared" ca="1" si="86"/>
        <v>964</v>
      </c>
      <c r="HF32" s="15" t="str">
        <f t="shared" ca="1" si="87"/>
        <v>VIGENTE</v>
      </c>
      <c r="HG32" s="16"/>
      <c r="HH32" s="14">
        <v>44862</v>
      </c>
      <c r="HI32" s="14">
        <f t="shared" si="194"/>
        <v>46688</v>
      </c>
      <c r="HJ32" s="65">
        <f t="shared" ca="1" si="195"/>
        <v>557</v>
      </c>
      <c r="HK32" s="15" t="str">
        <f t="shared" ca="1" si="181"/>
        <v>VIGENTE</v>
      </c>
      <c r="HL32" s="12"/>
      <c r="HM32" s="16"/>
      <c r="HN32" s="14"/>
      <c r="HO32" s="65"/>
      <c r="HP32" s="15" t="str">
        <f t="shared" si="196"/>
        <v>NO APLICA</v>
      </c>
      <c r="HQ32" s="12"/>
      <c r="HR32" s="15"/>
      <c r="HS32" s="14"/>
      <c r="HT32" s="15"/>
      <c r="HU32" s="15" t="str">
        <f t="shared" si="92"/>
        <v>NO APLICA</v>
      </c>
      <c r="HV32" s="13">
        <v>44560</v>
      </c>
      <c r="HW32" s="14">
        <v>45260</v>
      </c>
      <c r="HX32" s="14">
        <f>DATE(YEAR(HW32)+5,MONTH(HW32),DAY(HW32))</f>
        <v>47087</v>
      </c>
      <c r="HY32" s="65">
        <f ca="1">HX32-TODAY()</f>
        <v>956</v>
      </c>
      <c r="HZ32" s="15" t="str">
        <f t="shared" ca="1" si="93"/>
        <v>VIGENTE</v>
      </c>
      <c r="IA32" s="13">
        <v>44522</v>
      </c>
      <c r="IB32" s="14">
        <v>45234</v>
      </c>
      <c r="IC32" s="14">
        <f>DATE(YEAR(IB32)+5,MONTH(IB32),DAY(IB32))</f>
        <v>47061</v>
      </c>
      <c r="ID32" s="65">
        <f ca="1">IC32-TODAY()</f>
        <v>930</v>
      </c>
      <c r="IE32" s="15" t="str">
        <f t="shared" ca="1" si="94"/>
        <v>VIGENTE</v>
      </c>
      <c r="IF32" s="13">
        <v>44792</v>
      </c>
      <c r="IG32" s="14">
        <v>45425</v>
      </c>
      <c r="IH32" s="14">
        <f>DATE(YEAR(IG32)+5,MONTH(IG32),DAY(IG32))</f>
        <v>47251</v>
      </c>
      <c r="II32" s="65">
        <f ca="1">IH32-TODAY()</f>
        <v>1120</v>
      </c>
      <c r="IJ32" s="15" t="str">
        <f t="shared" ca="1" si="95"/>
        <v>VIGENTE</v>
      </c>
      <c r="IK32" s="14">
        <v>44559</v>
      </c>
      <c r="IL32" s="14">
        <v>45238</v>
      </c>
      <c r="IM32" s="14">
        <f>DATE(YEAR(IL32)+5,MONTH(IL32),DAY(IL32))</f>
        <v>47065</v>
      </c>
      <c r="IN32" s="65">
        <f ca="1">IM32-TODAY()</f>
        <v>934</v>
      </c>
      <c r="IO32" s="15" t="str">
        <f t="shared" ca="1" si="96"/>
        <v>VIGENTE</v>
      </c>
      <c r="IP32" s="13">
        <v>44559</v>
      </c>
      <c r="IQ32" s="14">
        <v>45259</v>
      </c>
      <c r="IR32" s="14">
        <f>DATE(YEAR(IQ32)+5,MONTH(IQ32),DAY(IQ32))</f>
        <v>47086</v>
      </c>
      <c r="IS32" s="65">
        <f ca="1">IR32-TODAY()</f>
        <v>955</v>
      </c>
      <c r="IT32" s="15" t="str">
        <f t="shared" ca="1" si="97"/>
        <v>VIGENTE</v>
      </c>
      <c r="IU32" s="13">
        <v>44792</v>
      </c>
      <c r="IV32" s="14">
        <v>45435</v>
      </c>
      <c r="IW32" s="14">
        <f>DATE(YEAR(IV32)+5,MONTH(IV32),DAY(IV32))</f>
        <v>47261</v>
      </c>
      <c r="IX32" s="65">
        <f ca="1">IW32-TODAY()</f>
        <v>1130</v>
      </c>
      <c r="IY32" s="15" t="str">
        <f t="shared" ca="1" si="98"/>
        <v>VIGENTE</v>
      </c>
      <c r="IZ32" s="13">
        <v>44522</v>
      </c>
      <c r="JA32" s="14">
        <v>45224</v>
      </c>
      <c r="JB32" s="14">
        <f>DATE(YEAR(JA32)+5,MONTH(JA32),DAY(JA32))</f>
        <v>47051</v>
      </c>
      <c r="JC32" s="65">
        <f ca="1">JB32-TODAY()</f>
        <v>920</v>
      </c>
      <c r="JD32" s="15" t="str">
        <f t="shared" ca="1" si="99"/>
        <v>VIGENTE</v>
      </c>
      <c r="JE32" s="13"/>
      <c r="JF32" s="13"/>
      <c r="JG32" s="14"/>
      <c r="JH32" s="65"/>
      <c r="JI32" s="15" t="str">
        <f t="shared" si="100"/>
        <v>NO APLICA</v>
      </c>
      <c r="JJ32" s="16"/>
      <c r="JK32" s="16"/>
      <c r="JL32" s="16"/>
      <c r="JM32" s="15" t="str">
        <f t="shared" si="101"/>
        <v>NO APLICA</v>
      </c>
      <c r="JN32" s="16"/>
      <c r="JO32" s="16"/>
      <c r="JP32" s="16"/>
      <c r="JQ32" s="15" t="str">
        <f t="shared" si="102"/>
        <v>NO APLICA</v>
      </c>
      <c r="JR32" s="16"/>
      <c r="JS32" s="16"/>
      <c r="JT32" s="16"/>
      <c r="JU32" s="16"/>
      <c r="JV32" s="15" t="str">
        <f t="shared" si="103"/>
        <v>NO APLICA</v>
      </c>
      <c r="JW32" s="15"/>
      <c r="JX32" s="15"/>
      <c r="JY32" s="15"/>
      <c r="JZ32" s="15"/>
      <c r="KA32" s="15" t="str">
        <f t="shared" si="104"/>
        <v>NO APLICA</v>
      </c>
      <c r="KB32" s="15"/>
      <c r="KC32" s="14"/>
      <c r="KD32" s="65"/>
      <c r="KE32" s="15" t="str">
        <f t="shared" si="105"/>
        <v>NO APLICA</v>
      </c>
      <c r="KF32" s="15"/>
      <c r="KG32" s="14"/>
      <c r="KH32" s="65"/>
      <c r="KI32" s="15" t="str">
        <f t="shared" si="132"/>
        <v>NO APLICA</v>
      </c>
      <c r="KJ32" s="15"/>
      <c r="KK32" s="14"/>
      <c r="KL32" s="65"/>
      <c r="KM32" s="15" t="str">
        <f t="shared" si="106"/>
        <v>NO APLICA</v>
      </c>
      <c r="KN32" s="12"/>
      <c r="KO32" s="14"/>
      <c r="KP32" s="65"/>
      <c r="KQ32" s="15" t="str">
        <f t="shared" si="133"/>
        <v>NO APLICA</v>
      </c>
      <c r="KR32" s="12"/>
      <c r="KS32" s="16"/>
      <c r="KT32" s="14"/>
      <c r="KU32" s="65"/>
      <c r="KV32" s="15" t="str">
        <f t="shared" si="147"/>
        <v>NO APLICA</v>
      </c>
      <c r="KW32" s="14">
        <v>44545</v>
      </c>
      <c r="KX32" s="14">
        <f>DATE(YEAR(KW32)+5,MONTH(KW32),DAY(KW32))</f>
        <v>46371</v>
      </c>
      <c r="KY32" s="65">
        <f ca="1">KX32-TODAY()</f>
        <v>240</v>
      </c>
      <c r="KZ32" s="15" t="str">
        <f t="shared" ca="1" si="134"/>
        <v>VIGENTE</v>
      </c>
      <c r="LA32" s="14">
        <v>45611</v>
      </c>
      <c r="LB32" s="14">
        <v>45516</v>
      </c>
      <c r="LC32" s="14">
        <f>DATE(YEAR(LB32)+2,MONTH(LB32),DAY(LB32))</f>
        <v>46246</v>
      </c>
      <c r="LD32" s="65">
        <f ca="1">LC32-TODAY()</f>
        <v>115</v>
      </c>
      <c r="LE32" s="15" t="str">
        <f t="shared" ca="1" si="107"/>
        <v>VIGENTE</v>
      </c>
      <c r="LF32" s="15"/>
      <c r="LG32" s="15"/>
      <c r="LH32" s="15"/>
      <c r="LI32" s="15"/>
      <c r="LJ32" s="15" t="str">
        <f t="shared" si="148"/>
        <v>NO APLICA</v>
      </c>
      <c r="LK32" s="15"/>
      <c r="LL32" s="16"/>
      <c r="LM32" s="14"/>
      <c r="LN32" s="65"/>
      <c r="LO32" s="15" t="str">
        <f t="shared" si="135"/>
        <v>NO APLICA</v>
      </c>
      <c r="LP32" s="16"/>
      <c r="LQ32" s="16"/>
      <c r="LR32" s="14"/>
      <c r="LS32" s="65"/>
      <c r="LT32" s="15" t="str">
        <f t="shared" si="136"/>
        <v>NO APLICA</v>
      </c>
      <c r="LU32" s="16"/>
      <c r="LV32" s="16"/>
      <c r="LW32" s="14"/>
      <c r="LX32" s="65"/>
      <c r="LY32" s="15" t="str">
        <f t="shared" si="137"/>
        <v>NO APLICA</v>
      </c>
      <c r="LZ32" s="15"/>
      <c r="MA32" s="15"/>
      <c r="MB32" s="14"/>
      <c r="MC32" s="65"/>
      <c r="MD32" s="15" t="str">
        <f t="shared" si="108"/>
        <v>NO APLICA</v>
      </c>
      <c r="ME32" s="15"/>
      <c r="MF32" s="15"/>
      <c r="MG32" s="14"/>
      <c r="MH32" s="65"/>
      <c r="MI32" s="15" t="str">
        <f t="shared" si="109"/>
        <v>NO APLICA</v>
      </c>
      <c r="MJ32" s="15"/>
      <c r="MK32" s="14"/>
      <c r="ML32" s="65"/>
      <c r="MM32" s="15" t="str">
        <f t="shared" si="110"/>
        <v>NO APLICA</v>
      </c>
      <c r="MN32" s="15"/>
      <c r="MO32" s="14"/>
      <c r="MP32" s="15"/>
      <c r="MQ32" s="15" t="str">
        <f t="shared" si="111"/>
        <v>NO APLICA</v>
      </c>
      <c r="MR32" s="15"/>
      <c r="MS32" s="16"/>
      <c r="MT32" s="14"/>
      <c r="MU32" s="65"/>
      <c r="MV32" s="15" t="str">
        <f t="shared" si="112"/>
        <v>NO APLICA</v>
      </c>
      <c r="MW32" s="15"/>
      <c r="MX32" s="16"/>
      <c r="MY32" s="14"/>
      <c r="MZ32" s="65"/>
      <c r="NA32" s="15" t="str">
        <f t="shared" si="113"/>
        <v>NO APLICA</v>
      </c>
      <c r="NB32" s="15"/>
      <c r="NC32" s="16"/>
      <c r="ND32" s="14"/>
      <c r="NE32" s="65"/>
      <c r="NF32" s="15" t="str">
        <f t="shared" si="114"/>
        <v>NO APLICA</v>
      </c>
      <c r="NG32" s="15"/>
      <c r="NH32" s="15"/>
      <c r="NI32" s="14"/>
      <c r="NJ32" s="15"/>
      <c r="NK32" s="15" t="str">
        <f t="shared" si="115"/>
        <v>NO APLICA</v>
      </c>
      <c r="NL32" s="15"/>
      <c r="NM32" s="15"/>
      <c r="NN32" s="15"/>
      <c r="NO32" s="15"/>
      <c r="NP32" s="15" t="str">
        <f t="shared" si="116"/>
        <v>NO APLICA</v>
      </c>
      <c r="NQ32" s="16"/>
      <c r="NR32" s="16"/>
      <c r="NS32" s="14"/>
      <c r="NT32" s="65"/>
      <c r="NU32" s="15" t="str">
        <f t="shared" si="117"/>
        <v>NO APLICA</v>
      </c>
      <c r="NV32" s="16"/>
      <c r="NW32" s="16"/>
      <c r="NX32" s="16"/>
      <c r="NY32" s="16"/>
      <c r="NZ32" s="15" t="str">
        <f t="shared" si="118"/>
        <v>NO APLICA</v>
      </c>
    </row>
    <row r="33" spans="1:390" ht="15.6" thickTop="1" thickBot="1" x14ac:dyDescent="0.35">
      <c r="A33" s="9">
        <v>1574</v>
      </c>
      <c r="B33" s="10" t="s">
        <v>209</v>
      </c>
      <c r="C33" s="21" t="s">
        <v>104</v>
      </c>
      <c r="D33" s="64" t="s">
        <v>193</v>
      </c>
      <c r="E33" s="15"/>
      <c r="F33" s="16"/>
      <c r="G33" s="14"/>
      <c r="H33" s="65"/>
      <c r="I33" s="15" t="str">
        <f t="shared" si="0"/>
        <v>NO APLICA</v>
      </c>
      <c r="J33" s="15"/>
      <c r="K33" s="16"/>
      <c r="L33" s="16"/>
      <c r="M33" s="65"/>
      <c r="N33" s="15" t="str">
        <f t="shared" si="1"/>
        <v>NO APLICA</v>
      </c>
      <c r="O33" s="16"/>
      <c r="P33" s="16"/>
      <c r="Q33" s="14"/>
      <c r="R33" s="65"/>
      <c r="S33" s="15" t="str">
        <f t="shared" si="119"/>
        <v>NO APLICA</v>
      </c>
      <c r="T33" s="12" t="s">
        <v>210</v>
      </c>
      <c r="U33" s="13">
        <v>45499</v>
      </c>
      <c r="V33" s="14">
        <v>45500</v>
      </c>
      <c r="W33" s="14">
        <f t="shared" si="2"/>
        <v>47326</v>
      </c>
      <c r="X33" s="65">
        <f t="shared" ca="1" si="3"/>
        <v>1195</v>
      </c>
      <c r="Y33" s="15" t="str">
        <f t="shared" ca="1" si="4"/>
        <v>VIGENTE</v>
      </c>
      <c r="Z33" s="12" t="s">
        <v>211</v>
      </c>
      <c r="AA33" s="13">
        <v>44987</v>
      </c>
      <c r="AB33" s="14">
        <v>44988</v>
      </c>
      <c r="AC33" s="14">
        <f t="shared" si="185"/>
        <v>46815</v>
      </c>
      <c r="AD33" s="65">
        <f t="shared" ca="1" si="186"/>
        <v>684</v>
      </c>
      <c r="AE33" s="15" t="str">
        <f t="shared" ca="1" si="7"/>
        <v>VIGENTE</v>
      </c>
      <c r="AF33" s="13">
        <v>44928</v>
      </c>
      <c r="AG33" s="14">
        <v>45594</v>
      </c>
      <c r="AH33" s="14">
        <f>DATE(YEAR(AG33)+2,MONTH(AG33),DAY(AG33)-1)</f>
        <v>46323</v>
      </c>
      <c r="AI33" s="65">
        <f t="shared" ca="1" si="8"/>
        <v>192</v>
      </c>
      <c r="AJ33" s="15" t="str">
        <f t="shared" ca="1" si="9"/>
        <v>VIGENTE</v>
      </c>
      <c r="AK33" s="13">
        <v>45307</v>
      </c>
      <c r="AL33" s="14">
        <v>45959</v>
      </c>
      <c r="AM33" s="14">
        <f t="shared" si="187"/>
        <v>46689</v>
      </c>
      <c r="AN33" s="65">
        <f t="shared" ca="1" si="10"/>
        <v>558</v>
      </c>
      <c r="AO33" s="15" t="str">
        <f t="shared" ca="1" si="11"/>
        <v>VIGENTE</v>
      </c>
      <c r="AP33" s="13">
        <v>45172</v>
      </c>
      <c r="AQ33" s="14">
        <v>45820</v>
      </c>
      <c r="AR33" s="14">
        <f>DATE(YEAR(AQ33)+2,MONTH(AQ33),DAY(AQ33))</f>
        <v>46550</v>
      </c>
      <c r="AS33" s="65">
        <f t="shared" ca="1" si="12"/>
        <v>419</v>
      </c>
      <c r="AT33" s="15" t="str">
        <f t="shared" ca="1" si="13"/>
        <v>VIGENTE</v>
      </c>
      <c r="AU33" s="13">
        <v>45227</v>
      </c>
      <c r="AV33" s="14">
        <v>45906</v>
      </c>
      <c r="AW33" s="14">
        <f t="shared" si="188"/>
        <v>46636</v>
      </c>
      <c r="AX33" s="65">
        <f t="shared" ca="1" si="15"/>
        <v>505</v>
      </c>
      <c r="AY33" s="15" t="str">
        <f t="shared" ca="1" si="16"/>
        <v>VIGENTE</v>
      </c>
      <c r="AZ33" s="13">
        <v>45192</v>
      </c>
      <c r="BA33" s="14">
        <v>45855</v>
      </c>
      <c r="BB33" s="14">
        <f>DATE(YEAR(BA33)+2,MONTH(BA33),DAY(BA33))</f>
        <v>46585</v>
      </c>
      <c r="BC33" s="65">
        <f t="shared" ca="1" si="17"/>
        <v>454</v>
      </c>
      <c r="BD33" s="15" t="str">
        <f t="shared" ca="1" si="18"/>
        <v>VIGENTE</v>
      </c>
      <c r="BE33" s="13">
        <v>44585</v>
      </c>
      <c r="BF33" s="14">
        <v>45987</v>
      </c>
      <c r="BG33" s="14">
        <f t="shared" si="189"/>
        <v>46717</v>
      </c>
      <c r="BH33" s="65">
        <f t="shared" ca="1" si="19"/>
        <v>586</v>
      </c>
      <c r="BI33" s="15" t="str">
        <f t="shared" ca="1" si="20"/>
        <v>VIGENTE</v>
      </c>
      <c r="BJ33" s="13">
        <v>44729</v>
      </c>
      <c r="BK33" s="14">
        <v>46051</v>
      </c>
      <c r="BL33" s="14">
        <f t="shared" si="190"/>
        <v>46781</v>
      </c>
      <c r="BM33" s="65">
        <f t="shared" ca="1" si="21"/>
        <v>650</v>
      </c>
      <c r="BN33" s="15" t="str">
        <f t="shared" ca="1" si="22"/>
        <v>VIGENTE</v>
      </c>
      <c r="BO33" s="13">
        <v>45190</v>
      </c>
      <c r="BP33" s="14">
        <v>45841</v>
      </c>
      <c r="BQ33" s="14">
        <f>DATE(YEAR(BP33)+2,MONTH(BP33),DAY(BP33))</f>
        <v>46571</v>
      </c>
      <c r="BR33" s="65">
        <f t="shared" ca="1" si="23"/>
        <v>440</v>
      </c>
      <c r="BS33" s="15" t="str">
        <f t="shared" ca="1" si="24"/>
        <v>VIGENTE</v>
      </c>
      <c r="BT33" s="13">
        <v>44575</v>
      </c>
      <c r="BU33" s="14">
        <v>45950</v>
      </c>
      <c r="BV33" s="14">
        <f>DATE(YEAR(BU33)+2,MONTH(BU33),DAY(BU33))</f>
        <v>46680</v>
      </c>
      <c r="BW33" s="65">
        <f t="shared" ca="1" si="25"/>
        <v>549</v>
      </c>
      <c r="BX33" s="15" t="str">
        <f t="shared" ca="1" si="26"/>
        <v>VIGENTE</v>
      </c>
      <c r="BY33" s="13">
        <v>44594</v>
      </c>
      <c r="BZ33" s="14">
        <v>45944</v>
      </c>
      <c r="CA33" s="14">
        <f t="shared" si="197"/>
        <v>46674</v>
      </c>
      <c r="CB33" s="65">
        <f t="shared" ca="1" si="27"/>
        <v>543</v>
      </c>
      <c r="CC33" s="15" t="str">
        <f t="shared" ca="1" si="28"/>
        <v>VIGENTE</v>
      </c>
      <c r="CD33" s="16" t="s">
        <v>108</v>
      </c>
      <c r="CE33" s="14">
        <v>45246</v>
      </c>
      <c r="CF33" s="14">
        <v>45247</v>
      </c>
      <c r="CG33" s="14">
        <f t="shared" si="29"/>
        <v>46708</v>
      </c>
      <c r="CH33" s="65">
        <f t="shared" ca="1" si="30"/>
        <v>577</v>
      </c>
      <c r="CI33" s="15" t="str">
        <f t="shared" ca="1" si="31"/>
        <v>VIGENTE</v>
      </c>
      <c r="CJ33" s="14">
        <v>45249</v>
      </c>
      <c r="CK33" s="14">
        <v>45929</v>
      </c>
      <c r="CL33" s="14">
        <f>DATE(YEAR(CK33)+2,MONTH(CK33),DAY(CK33))</f>
        <v>46659</v>
      </c>
      <c r="CM33" s="65">
        <f t="shared" ca="1" si="32"/>
        <v>528</v>
      </c>
      <c r="CN33" s="15" t="str">
        <f t="shared" ca="1" si="33"/>
        <v>VIGENTE</v>
      </c>
      <c r="CO33" s="13">
        <v>45301</v>
      </c>
      <c r="CP33" s="14">
        <v>45979</v>
      </c>
      <c r="CQ33" s="14">
        <f>DATE(YEAR(CP33)+2,MONTH(CP33),DAY(CP33))</f>
        <v>46709</v>
      </c>
      <c r="CR33" s="65">
        <f t="shared" ca="1" si="34"/>
        <v>578</v>
      </c>
      <c r="CS33" s="15" t="str">
        <f t="shared" ca="1" si="35"/>
        <v>VIGENTE</v>
      </c>
      <c r="CT33" s="13">
        <v>44970</v>
      </c>
      <c r="CU33" s="14">
        <v>45631</v>
      </c>
      <c r="CV33" s="14">
        <f>DATE(YEAR(CU33)+2,MONTH(CU33),DAY(CU33)-1)</f>
        <v>46360</v>
      </c>
      <c r="CW33" s="65">
        <f t="shared" ca="1" si="36"/>
        <v>229</v>
      </c>
      <c r="CX33" s="15" t="str">
        <f t="shared" ca="1" si="37"/>
        <v>VIGENTE</v>
      </c>
      <c r="CY33" s="13">
        <v>44996</v>
      </c>
      <c r="CZ33" s="14">
        <v>45665</v>
      </c>
      <c r="DA33" s="14">
        <f>DATE(YEAR(CZ33)+2,MONTH(CZ33),DAY(CZ33)-1)</f>
        <v>46394</v>
      </c>
      <c r="DB33" s="65">
        <f t="shared" ca="1" si="38"/>
        <v>263</v>
      </c>
      <c r="DC33" s="15" t="str">
        <f t="shared" ca="1" si="39"/>
        <v>VIGENTE</v>
      </c>
      <c r="DD33" s="13">
        <v>45029</v>
      </c>
      <c r="DE33" s="14">
        <v>45689</v>
      </c>
      <c r="DF33" s="14">
        <f t="shared" si="182"/>
        <v>46418</v>
      </c>
      <c r="DG33" s="65">
        <f t="shared" ca="1" si="40"/>
        <v>287</v>
      </c>
      <c r="DH33" s="15" t="str">
        <f t="shared" ca="1" si="41"/>
        <v>VIGENTE</v>
      </c>
      <c r="DI33" s="13">
        <v>45206</v>
      </c>
      <c r="DJ33" s="14">
        <v>45867</v>
      </c>
      <c r="DK33" s="14">
        <f>DATE(YEAR(DJ33)+2,MONTH(DJ33),DAY(DJ33))</f>
        <v>46597</v>
      </c>
      <c r="DL33" s="65">
        <f t="shared" ca="1" si="43"/>
        <v>466</v>
      </c>
      <c r="DM33" s="15" t="str">
        <f t="shared" ca="1" si="44"/>
        <v>VIGENTE</v>
      </c>
      <c r="DN33" s="13">
        <v>45345</v>
      </c>
      <c r="DO33" s="14">
        <v>45982</v>
      </c>
      <c r="DP33" s="14">
        <f t="shared" si="198"/>
        <v>46712</v>
      </c>
      <c r="DQ33" s="65">
        <f t="shared" ca="1" si="46"/>
        <v>581</v>
      </c>
      <c r="DR33" s="15" t="str">
        <f t="shared" ca="1" si="47"/>
        <v>VIGENTE</v>
      </c>
      <c r="DS33" s="13">
        <v>45200</v>
      </c>
      <c r="DT33" s="14">
        <v>45852</v>
      </c>
      <c r="DU33" s="14">
        <f>DATE(YEAR(DT33)+2,MONTH(DT33),DAY(DT33))</f>
        <v>46582</v>
      </c>
      <c r="DV33" s="65">
        <f t="shared" ca="1" si="48"/>
        <v>451</v>
      </c>
      <c r="DW33" s="15" t="str">
        <f t="shared" ca="1" si="49"/>
        <v>VIGENTE</v>
      </c>
      <c r="DX33" s="13">
        <v>45213</v>
      </c>
      <c r="DY33" s="14">
        <v>45866</v>
      </c>
      <c r="DZ33" s="14">
        <f>DATE(YEAR(DY33)+2,MONTH(DY33),DAY(DY33))</f>
        <v>46596</v>
      </c>
      <c r="EA33" s="65">
        <f t="shared" ca="1" si="50"/>
        <v>465</v>
      </c>
      <c r="EB33" s="15" t="str">
        <f t="shared" ca="1" si="51"/>
        <v>VIGENTE</v>
      </c>
      <c r="EC33" s="13">
        <v>45255</v>
      </c>
      <c r="ED33" s="14">
        <v>45938</v>
      </c>
      <c r="EE33" s="14">
        <f t="shared" ref="EE33:EE38" si="199">DATE(YEAR(ED33)+2,MONTH(ED33),DAY(ED33))</f>
        <v>46668</v>
      </c>
      <c r="EF33" s="65">
        <f t="shared" ca="1" si="52"/>
        <v>537</v>
      </c>
      <c r="EG33" s="15" t="str">
        <f t="shared" ca="1" si="53"/>
        <v>VIGENTE</v>
      </c>
      <c r="EH33" s="14">
        <v>45185</v>
      </c>
      <c r="EI33" s="13">
        <v>45946</v>
      </c>
      <c r="EJ33" s="13">
        <v>45947</v>
      </c>
      <c r="EK33" s="14">
        <v>45948</v>
      </c>
      <c r="EL33" s="14">
        <f t="shared" si="128"/>
        <v>46313</v>
      </c>
      <c r="EM33" s="65">
        <f t="shared" ca="1" si="54"/>
        <v>182</v>
      </c>
      <c r="EN33" s="15" t="str">
        <f t="shared" ca="1" si="55"/>
        <v>VIGENTE</v>
      </c>
      <c r="EO33" s="13">
        <v>45207</v>
      </c>
      <c r="EP33" s="14">
        <v>45840</v>
      </c>
      <c r="EQ33" s="14">
        <f>DATE(YEAR(EP33)+2,MONTH(EP33),DAY(EP33))</f>
        <v>46570</v>
      </c>
      <c r="ER33" s="65">
        <f t="shared" ca="1" si="56"/>
        <v>439</v>
      </c>
      <c r="ES33" s="15" t="str">
        <f t="shared" ca="1" si="57"/>
        <v>VIGENTE</v>
      </c>
      <c r="ET33" s="13">
        <v>45178</v>
      </c>
      <c r="EU33" s="14">
        <v>45824</v>
      </c>
      <c r="EV33" s="14">
        <f>DATE(YEAR(EU33)+2,MONTH(EU33),DAY(EU33))</f>
        <v>46554</v>
      </c>
      <c r="EW33" s="65">
        <f t="shared" ca="1" si="58"/>
        <v>423</v>
      </c>
      <c r="EX33" s="15" t="str">
        <f t="shared" ca="1" si="59"/>
        <v>VIGENTE</v>
      </c>
      <c r="EY33" s="13">
        <v>44595</v>
      </c>
      <c r="EZ33" s="14">
        <v>45953</v>
      </c>
      <c r="FA33" s="14">
        <f t="shared" si="191"/>
        <v>46683</v>
      </c>
      <c r="FB33" s="65">
        <f t="shared" ca="1" si="60"/>
        <v>552</v>
      </c>
      <c r="FC33" s="15" t="str">
        <f t="shared" ca="1" si="61"/>
        <v>VIGENTE</v>
      </c>
      <c r="FD33" s="13">
        <v>45280</v>
      </c>
      <c r="FE33" s="14">
        <v>45931</v>
      </c>
      <c r="FF33" s="14">
        <f t="shared" si="192"/>
        <v>46661</v>
      </c>
      <c r="FG33" s="65">
        <f t="shared" ca="1" si="62"/>
        <v>530</v>
      </c>
      <c r="FH33" s="15" t="str">
        <f t="shared" ca="1" si="63"/>
        <v>VIGENTE</v>
      </c>
      <c r="FI33" s="13">
        <v>45282</v>
      </c>
      <c r="FJ33" s="14">
        <v>45932</v>
      </c>
      <c r="FK33" s="14">
        <f t="shared" si="193"/>
        <v>46662</v>
      </c>
      <c r="FL33" s="65">
        <f t="shared" ca="1" si="64"/>
        <v>531</v>
      </c>
      <c r="FM33" s="15" t="str">
        <f t="shared" ca="1" si="65"/>
        <v>VIGENTE</v>
      </c>
      <c r="FN33" s="13">
        <v>44567</v>
      </c>
      <c r="FO33" s="14">
        <v>45933</v>
      </c>
      <c r="FP33" s="14">
        <f>DATE(YEAR(FO33)+2,MONTH(FO33),DAY(FO33))</f>
        <v>46663</v>
      </c>
      <c r="FQ33" s="65">
        <f t="shared" ca="1" si="67"/>
        <v>532</v>
      </c>
      <c r="FR33" s="15" t="str">
        <f t="shared" ca="1" si="68"/>
        <v>VIGENTE</v>
      </c>
      <c r="FS33" s="13">
        <v>45279</v>
      </c>
      <c r="FT33" s="14">
        <v>45957</v>
      </c>
      <c r="FU33" s="14">
        <f>DATE(YEAR(FT33)+2,MONTH(FT33),DAY(FT33))</f>
        <v>46687</v>
      </c>
      <c r="FV33" s="65">
        <f t="shared" ca="1" si="69"/>
        <v>556</v>
      </c>
      <c r="FW33" s="15" t="str">
        <f t="shared" ca="1" si="70"/>
        <v>VIGENTE</v>
      </c>
      <c r="FX33" s="14">
        <v>44918</v>
      </c>
      <c r="FY33" s="14">
        <v>45536</v>
      </c>
      <c r="FZ33" s="14">
        <f>DATE(YEAR(FY33)+2,MONTH(FY33),DAY(FY33)-1)</f>
        <v>46265</v>
      </c>
      <c r="GA33" s="65">
        <f t="shared" ca="1" si="71"/>
        <v>134</v>
      </c>
      <c r="GB33" s="15" t="str">
        <f t="shared" ca="1" si="72"/>
        <v>VIGENTE</v>
      </c>
      <c r="GC33" s="13">
        <v>45268</v>
      </c>
      <c r="GD33" s="14">
        <v>45925</v>
      </c>
      <c r="GE33" s="14">
        <f>DATE(YEAR(GD33)+2,MONTH(GD33),DAY(GD33))</f>
        <v>46655</v>
      </c>
      <c r="GF33" s="65">
        <f t="shared" ca="1" si="73"/>
        <v>524</v>
      </c>
      <c r="GG33" s="15" t="str">
        <f t="shared" ca="1" si="74"/>
        <v>VIGENTE</v>
      </c>
      <c r="GH33" s="13">
        <v>45270</v>
      </c>
      <c r="GI33" s="14">
        <v>45960</v>
      </c>
      <c r="GJ33" s="14">
        <f>DATE(YEAR(GI33)+2,MONTH(GI33),DAY(GI33))</f>
        <v>46690</v>
      </c>
      <c r="GK33" s="65">
        <f t="shared" ca="1" si="75"/>
        <v>559</v>
      </c>
      <c r="GL33" s="15" t="str">
        <f t="shared" ca="1" si="76"/>
        <v>VIGENTE</v>
      </c>
      <c r="GM33" s="13">
        <v>45242</v>
      </c>
      <c r="GN33" s="14">
        <v>45923</v>
      </c>
      <c r="GO33" s="14">
        <f>DATE(YEAR(GN33)+2,MONTH(GN33),DAY(GN33))</f>
        <v>46653</v>
      </c>
      <c r="GP33" s="65">
        <f t="shared" ca="1" si="77"/>
        <v>522</v>
      </c>
      <c r="GQ33" s="15" t="str">
        <f t="shared" ca="1" si="78"/>
        <v>VIGENTE</v>
      </c>
      <c r="GR33" s="14"/>
      <c r="GS33" s="14">
        <v>45048</v>
      </c>
      <c r="GT33" s="14">
        <f t="shared" si="79"/>
        <v>46875</v>
      </c>
      <c r="GU33" s="65">
        <f t="shared" ca="1" si="172"/>
        <v>744</v>
      </c>
      <c r="GV33" s="15" t="str">
        <f t="shared" ca="1" si="81"/>
        <v>VIGENTE</v>
      </c>
      <c r="GW33" s="13"/>
      <c r="GX33" s="14">
        <v>44984</v>
      </c>
      <c r="GY33" s="14">
        <f t="shared" si="82"/>
        <v>46810</v>
      </c>
      <c r="GZ33" s="65">
        <f t="shared" ca="1" si="83"/>
        <v>679</v>
      </c>
      <c r="HA33" s="15" t="str">
        <f t="shared" ca="1" si="84"/>
        <v>VIGENTE</v>
      </c>
      <c r="HB33" s="13">
        <v>44567</v>
      </c>
      <c r="HC33" s="14">
        <v>45281</v>
      </c>
      <c r="HD33" s="14">
        <f t="shared" si="85"/>
        <v>47108</v>
      </c>
      <c r="HE33" s="65">
        <f t="shared" ca="1" si="86"/>
        <v>977</v>
      </c>
      <c r="HF33" s="15" t="str">
        <f t="shared" ca="1" si="87"/>
        <v>VIGENTE</v>
      </c>
      <c r="HG33" s="16"/>
      <c r="HH33" s="14">
        <v>45094</v>
      </c>
      <c r="HI33" s="14">
        <f t="shared" si="194"/>
        <v>46921</v>
      </c>
      <c r="HJ33" s="65">
        <f t="shared" ca="1" si="195"/>
        <v>790</v>
      </c>
      <c r="HK33" s="15" t="str">
        <f t="shared" ca="1" si="181"/>
        <v>VIGENTE</v>
      </c>
      <c r="HL33" s="12"/>
      <c r="HM33" s="14">
        <v>45368</v>
      </c>
      <c r="HN33" s="14">
        <f>DATE(YEAR(HM33)+5,MONTH(HM33),DAY(HM33))</f>
        <v>47194</v>
      </c>
      <c r="HO33" s="65">
        <f ca="1">HN33-TODAY()</f>
        <v>1063</v>
      </c>
      <c r="HP33" s="15" t="str">
        <f t="shared" ca="1" si="196"/>
        <v>VIGENTE</v>
      </c>
      <c r="HQ33" s="12"/>
      <c r="HR33" s="12"/>
      <c r="HS33" s="14"/>
      <c r="HT33" s="12"/>
      <c r="HU33" s="15" t="str">
        <f t="shared" si="92"/>
        <v>NO APLICA</v>
      </c>
      <c r="HV33" s="12"/>
      <c r="HW33" s="14">
        <v>45147</v>
      </c>
      <c r="HX33" s="14">
        <f>DATE(YEAR(HW33)+5,MONTH(HW33),DAY(HW33))</f>
        <v>46974</v>
      </c>
      <c r="HY33" s="65">
        <f ca="1">HX33-TODAY()</f>
        <v>843</v>
      </c>
      <c r="HZ33" s="15" t="str">
        <f t="shared" ca="1" si="93"/>
        <v>VIGENTE</v>
      </c>
      <c r="IA33" s="13">
        <v>44781</v>
      </c>
      <c r="IB33" s="14">
        <v>45475</v>
      </c>
      <c r="IC33" s="14">
        <f>DATE(YEAR(IB33)+5,MONTH(IB33),DAY(IB33))</f>
        <v>47301</v>
      </c>
      <c r="ID33" s="65">
        <f ca="1">IC33-TODAY()</f>
        <v>1170</v>
      </c>
      <c r="IE33" s="15" t="str">
        <f t="shared" ca="1" si="94"/>
        <v>VIGENTE</v>
      </c>
      <c r="IF33" s="13">
        <v>44754</v>
      </c>
      <c r="IG33" s="14">
        <v>45483</v>
      </c>
      <c r="IH33" s="14">
        <f>DATE(YEAR(IG33)+5,MONTH(IG33),DAY(IG33))</f>
        <v>47309</v>
      </c>
      <c r="II33" s="65">
        <f ca="1">IH33-TODAY()</f>
        <v>1178</v>
      </c>
      <c r="IJ33" s="15" t="str">
        <f t="shared" ca="1" si="95"/>
        <v>VIGENTE</v>
      </c>
      <c r="IK33" s="14">
        <v>44795</v>
      </c>
      <c r="IL33" s="14">
        <v>45452</v>
      </c>
      <c r="IM33" s="14">
        <f>DATE(YEAR(IL33)+5,MONTH(IL33),DAY(IL33))</f>
        <v>47278</v>
      </c>
      <c r="IN33" s="65">
        <f ca="1">IM33-TODAY()</f>
        <v>1147</v>
      </c>
      <c r="IO33" s="15" t="str">
        <f t="shared" ca="1" si="96"/>
        <v>VIGENTE</v>
      </c>
      <c r="IP33" s="13">
        <v>44795</v>
      </c>
      <c r="IQ33" s="14">
        <v>45453</v>
      </c>
      <c r="IR33" s="14">
        <f>DATE(YEAR(IQ33)+5,MONTH(IQ33),DAY(IQ33))</f>
        <v>47279</v>
      </c>
      <c r="IS33" s="65">
        <f ca="1">IR33-TODAY()</f>
        <v>1148</v>
      </c>
      <c r="IT33" s="15" t="str">
        <f t="shared" ca="1" si="97"/>
        <v>VIGENTE</v>
      </c>
      <c r="IU33" s="13">
        <v>44792</v>
      </c>
      <c r="IV33" s="14">
        <v>45484</v>
      </c>
      <c r="IW33" s="14">
        <f>DATE(YEAR(IV33)+5,MONTH(IV33),DAY(IV33))</f>
        <v>47310</v>
      </c>
      <c r="IX33" s="65">
        <f ca="1">IW33-TODAY()</f>
        <v>1179</v>
      </c>
      <c r="IY33" s="15" t="str">
        <f t="shared" ca="1" si="98"/>
        <v>VIGENTE</v>
      </c>
      <c r="IZ33" s="13">
        <v>44781</v>
      </c>
      <c r="JA33" s="14">
        <v>45477</v>
      </c>
      <c r="JB33" s="14">
        <f>DATE(YEAR(JA33)+5,MONTH(JA33),DAY(JA33))</f>
        <v>47303</v>
      </c>
      <c r="JC33" s="65">
        <f ca="1">JB33-TODAY()</f>
        <v>1172</v>
      </c>
      <c r="JD33" s="15" t="str">
        <f t="shared" ca="1" si="99"/>
        <v>VIGENTE</v>
      </c>
      <c r="JE33" s="13"/>
      <c r="JF33" s="13"/>
      <c r="JG33" s="14"/>
      <c r="JH33" s="65"/>
      <c r="JI33" s="15" t="str">
        <f t="shared" si="100"/>
        <v>NO APLICA</v>
      </c>
      <c r="JJ33" s="16"/>
      <c r="JK33" s="16"/>
      <c r="JL33" s="16"/>
      <c r="JM33" s="15" t="str">
        <f t="shared" si="101"/>
        <v>NO APLICA</v>
      </c>
      <c r="JN33" s="16"/>
      <c r="JO33" s="16"/>
      <c r="JP33" s="16"/>
      <c r="JQ33" s="15" t="str">
        <f t="shared" si="102"/>
        <v>NO APLICA</v>
      </c>
      <c r="JR33" s="16"/>
      <c r="JS33" s="16"/>
      <c r="JT33" s="16"/>
      <c r="JU33" s="16"/>
      <c r="JV33" s="15" t="str">
        <f t="shared" si="103"/>
        <v>NO APLICA</v>
      </c>
      <c r="JW33" s="15"/>
      <c r="JX33" s="15"/>
      <c r="JY33" s="15"/>
      <c r="JZ33" s="15"/>
      <c r="KA33" s="15" t="str">
        <f t="shared" si="104"/>
        <v>NO APLICA</v>
      </c>
      <c r="KB33" s="12"/>
      <c r="KC33" s="14"/>
      <c r="KD33" s="65"/>
      <c r="KE33" s="15" t="str">
        <f t="shared" si="105"/>
        <v>NO APLICA</v>
      </c>
      <c r="KF33" s="12"/>
      <c r="KG33" s="14"/>
      <c r="KH33" s="65"/>
      <c r="KI33" s="15" t="str">
        <f t="shared" si="132"/>
        <v>NO APLICA</v>
      </c>
      <c r="KJ33" s="12"/>
      <c r="KK33" s="14"/>
      <c r="KL33" s="65"/>
      <c r="KM33" s="15" t="str">
        <f t="shared" si="106"/>
        <v>NO APLICA</v>
      </c>
      <c r="KN33" s="12"/>
      <c r="KO33" s="14"/>
      <c r="KP33" s="65"/>
      <c r="KQ33" s="15" t="str">
        <f t="shared" si="133"/>
        <v>NO APLICA</v>
      </c>
      <c r="KR33" s="12"/>
      <c r="KS33" s="16"/>
      <c r="KT33" s="14"/>
      <c r="KU33" s="65"/>
      <c r="KV33" s="15" t="str">
        <f t="shared" si="147"/>
        <v>NO APLICA</v>
      </c>
      <c r="KW33" s="14">
        <v>44613</v>
      </c>
      <c r="KX33" s="14">
        <f>DATE(YEAR(KW33)+5,MONTH(KW33),DAY(KW33))</f>
        <v>46439</v>
      </c>
      <c r="KY33" s="65">
        <f ca="1">KX33-TODAY()</f>
        <v>308</v>
      </c>
      <c r="KZ33" s="15" t="str">
        <f t="shared" ca="1" si="134"/>
        <v>VIGENTE</v>
      </c>
      <c r="LA33" s="16"/>
      <c r="LB33" s="14">
        <v>45530</v>
      </c>
      <c r="LC33" s="14">
        <f>DATE(YEAR(LB33)+2,MONTH(LB33),DAY(LB33))</f>
        <v>46260</v>
      </c>
      <c r="LD33" s="65">
        <f ca="1">LC33-TODAY()</f>
        <v>129</v>
      </c>
      <c r="LE33" s="15" t="str">
        <f t="shared" ca="1" si="107"/>
        <v>VIGENTE</v>
      </c>
      <c r="LF33" s="15"/>
      <c r="LG33" s="15"/>
      <c r="LH33" s="14"/>
      <c r="LI33" s="65"/>
      <c r="LJ33" s="15" t="str">
        <f t="shared" si="148"/>
        <v>NO APLICA</v>
      </c>
      <c r="LK33" s="12"/>
      <c r="LL33" s="16"/>
      <c r="LM33" s="14"/>
      <c r="LN33" s="65"/>
      <c r="LO33" s="15" t="str">
        <f t="shared" si="135"/>
        <v>NO APLICA</v>
      </c>
      <c r="LP33" s="16"/>
      <c r="LQ33" s="16"/>
      <c r="LR33" s="14"/>
      <c r="LS33" s="65"/>
      <c r="LT33" s="15" t="str">
        <f t="shared" si="136"/>
        <v>NO APLICA</v>
      </c>
      <c r="LU33" s="16"/>
      <c r="LV33" s="16"/>
      <c r="LW33" s="14"/>
      <c r="LX33" s="65"/>
      <c r="LY33" s="15" t="str">
        <f t="shared" si="137"/>
        <v>NO APLICA</v>
      </c>
      <c r="LZ33" s="12"/>
      <c r="MA33" s="12"/>
      <c r="MB33" s="14"/>
      <c r="MC33" s="65"/>
      <c r="MD33" s="15" t="str">
        <f t="shared" si="108"/>
        <v>NO APLICA</v>
      </c>
      <c r="ME33" s="12"/>
      <c r="MF33" s="12"/>
      <c r="MG33" s="14"/>
      <c r="MH33" s="65"/>
      <c r="MI33" s="15" t="str">
        <f t="shared" si="109"/>
        <v>NO APLICA</v>
      </c>
      <c r="MJ33" s="12"/>
      <c r="MK33" s="14"/>
      <c r="ML33" s="65"/>
      <c r="MM33" s="15" t="str">
        <f t="shared" si="110"/>
        <v>NO APLICA</v>
      </c>
      <c r="MN33" s="12"/>
      <c r="MO33" s="14"/>
      <c r="MP33" s="12"/>
      <c r="MQ33" s="15" t="str">
        <f t="shared" si="111"/>
        <v>NO APLICA</v>
      </c>
      <c r="MR33" s="12"/>
      <c r="MS33" s="16"/>
      <c r="MT33" s="14"/>
      <c r="MU33" s="65"/>
      <c r="MV33" s="15" t="str">
        <f t="shared" si="112"/>
        <v>NO APLICA</v>
      </c>
      <c r="MW33" s="12"/>
      <c r="MX33" s="16"/>
      <c r="MY33" s="14"/>
      <c r="MZ33" s="65"/>
      <c r="NA33" s="15" t="str">
        <f t="shared" si="113"/>
        <v>NO APLICA</v>
      </c>
      <c r="NB33" s="12"/>
      <c r="NC33" s="16"/>
      <c r="ND33" s="14"/>
      <c r="NE33" s="65"/>
      <c r="NF33" s="15" t="str">
        <f t="shared" si="114"/>
        <v>NO APLICA</v>
      </c>
      <c r="NG33" s="12"/>
      <c r="NH33" s="12"/>
      <c r="NI33" s="14"/>
      <c r="NJ33" s="65"/>
      <c r="NK33" s="15" t="str">
        <f t="shared" si="115"/>
        <v>NO APLICA</v>
      </c>
      <c r="NL33" s="12"/>
      <c r="NM33" s="12"/>
      <c r="NN33" s="14"/>
      <c r="NO33" s="12"/>
      <c r="NP33" s="15" t="str">
        <f t="shared" si="116"/>
        <v>NO APLICA</v>
      </c>
      <c r="NQ33" s="16"/>
      <c r="NR33" s="16"/>
      <c r="NS33" s="14"/>
      <c r="NT33" s="65"/>
      <c r="NU33" s="15" t="str">
        <f t="shared" si="117"/>
        <v>NO APLICA</v>
      </c>
      <c r="NV33" s="16"/>
      <c r="NW33" s="16"/>
      <c r="NX33" s="16"/>
      <c r="NY33" s="16"/>
      <c r="NZ33" s="15" t="str">
        <f t="shared" si="118"/>
        <v>NO APLICA</v>
      </c>
    </row>
    <row r="34" spans="1:390" ht="15.6" thickTop="1" thickBot="1" x14ac:dyDescent="0.35">
      <c r="A34" s="11">
        <v>1709</v>
      </c>
      <c r="B34" s="10" t="s">
        <v>212</v>
      </c>
      <c r="C34" s="21" t="s">
        <v>98</v>
      </c>
      <c r="D34" s="64" t="s">
        <v>118</v>
      </c>
      <c r="E34" s="15"/>
      <c r="F34" s="16"/>
      <c r="G34" s="14"/>
      <c r="H34" s="65"/>
      <c r="I34" s="15" t="str">
        <f t="shared" si="0"/>
        <v>NO APLICA</v>
      </c>
      <c r="J34" s="15"/>
      <c r="K34" s="16"/>
      <c r="L34" s="16"/>
      <c r="M34" s="65"/>
      <c r="N34" s="15" t="str">
        <f t="shared" si="1"/>
        <v>NO APLICA</v>
      </c>
      <c r="O34" s="14">
        <v>45589</v>
      </c>
      <c r="P34" s="14">
        <v>45590</v>
      </c>
      <c r="Q34" s="14">
        <f>DATE(YEAR(P34)+2,MONTH(P34),DAY(P34)-1)</f>
        <v>46319</v>
      </c>
      <c r="R34" s="65">
        <f ca="1">Q34-TODAY()</f>
        <v>188</v>
      </c>
      <c r="S34" s="15" t="str">
        <f t="shared" ca="1" si="119"/>
        <v>VIGENTE</v>
      </c>
      <c r="T34" s="12" t="s">
        <v>213</v>
      </c>
      <c r="U34" s="13">
        <v>45215</v>
      </c>
      <c r="V34" s="14">
        <v>45216</v>
      </c>
      <c r="W34" s="14">
        <f t="shared" si="2"/>
        <v>47043</v>
      </c>
      <c r="X34" s="65">
        <f t="shared" ca="1" si="3"/>
        <v>912</v>
      </c>
      <c r="Y34" s="15" t="str">
        <f t="shared" ca="1" si="4"/>
        <v>VIGENTE</v>
      </c>
      <c r="Z34" s="12" t="s">
        <v>214</v>
      </c>
      <c r="AA34" s="13">
        <v>45232</v>
      </c>
      <c r="AB34" s="14">
        <v>45233</v>
      </c>
      <c r="AC34" s="14">
        <f t="shared" si="185"/>
        <v>47060</v>
      </c>
      <c r="AD34" s="65">
        <f t="shared" ca="1" si="186"/>
        <v>929</v>
      </c>
      <c r="AE34" s="15" t="str">
        <f t="shared" ca="1" si="7"/>
        <v>VIGENTE</v>
      </c>
      <c r="AF34" s="12"/>
      <c r="AG34" s="14">
        <v>45936</v>
      </c>
      <c r="AH34" s="14">
        <f>DATE(YEAR(AG34)+2,MONTH(AG34),DAY(AG34))</f>
        <v>46666</v>
      </c>
      <c r="AI34" s="65">
        <f t="shared" ca="1" si="8"/>
        <v>535</v>
      </c>
      <c r="AJ34" s="15" t="str">
        <f t="shared" ca="1" si="9"/>
        <v>VIGENTE</v>
      </c>
      <c r="AK34" s="12"/>
      <c r="AL34" s="14">
        <v>45937</v>
      </c>
      <c r="AM34" s="14">
        <f t="shared" si="187"/>
        <v>46667</v>
      </c>
      <c r="AN34" s="65">
        <f t="shared" ca="1" si="10"/>
        <v>536</v>
      </c>
      <c r="AO34" s="15" t="str">
        <f t="shared" ca="1" si="11"/>
        <v>VIGENTE</v>
      </c>
      <c r="AP34" s="12"/>
      <c r="AQ34" s="14">
        <v>45904</v>
      </c>
      <c r="AR34" s="14">
        <f>DATE(YEAR(AQ34)+2,MONTH(AQ34),DAY(AQ34))</f>
        <v>46634</v>
      </c>
      <c r="AS34" s="65">
        <f t="shared" ca="1" si="12"/>
        <v>503</v>
      </c>
      <c r="AT34" s="15" t="str">
        <f t="shared" ca="1" si="13"/>
        <v>VIGENTE</v>
      </c>
      <c r="AU34" s="12"/>
      <c r="AV34" s="14">
        <v>45927</v>
      </c>
      <c r="AW34" s="14">
        <f t="shared" si="188"/>
        <v>46657</v>
      </c>
      <c r="AX34" s="65">
        <f t="shared" ca="1" si="15"/>
        <v>526</v>
      </c>
      <c r="AY34" s="15" t="str">
        <f t="shared" ca="1" si="16"/>
        <v>VIGENTE</v>
      </c>
      <c r="AZ34" s="13">
        <v>45387</v>
      </c>
      <c r="BA34" s="14">
        <v>46041</v>
      </c>
      <c r="BB34" s="14">
        <f>DATE(YEAR(BA34)+2,MONTH(BA34),DAY(BA34))</f>
        <v>46771</v>
      </c>
      <c r="BC34" s="65">
        <f t="shared" ca="1" si="17"/>
        <v>640</v>
      </c>
      <c r="BD34" s="15" t="str">
        <f t="shared" ca="1" si="18"/>
        <v>VIGENTE</v>
      </c>
      <c r="BE34" s="12"/>
      <c r="BF34" s="14">
        <v>45997</v>
      </c>
      <c r="BG34" s="14">
        <f t="shared" si="189"/>
        <v>46727</v>
      </c>
      <c r="BH34" s="65">
        <f t="shared" ca="1" si="19"/>
        <v>596</v>
      </c>
      <c r="BI34" s="15" t="str">
        <f t="shared" ca="1" si="20"/>
        <v>VIGENTE</v>
      </c>
      <c r="BJ34" s="13">
        <v>45348</v>
      </c>
      <c r="BK34" s="14">
        <v>46017</v>
      </c>
      <c r="BL34" s="14">
        <f t="shared" si="190"/>
        <v>46747</v>
      </c>
      <c r="BM34" s="65">
        <f t="shared" ca="1" si="21"/>
        <v>616</v>
      </c>
      <c r="BN34" s="15" t="str">
        <f t="shared" ca="1" si="22"/>
        <v>VIGENTE</v>
      </c>
      <c r="BO34" s="13"/>
      <c r="BP34" s="14">
        <v>45988</v>
      </c>
      <c r="BQ34" s="14">
        <f>DATE(YEAR(BP34)+2,MONTH(BP34),DAY(BP34))</f>
        <v>46718</v>
      </c>
      <c r="BR34" s="65">
        <f t="shared" ca="1" si="23"/>
        <v>587</v>
      </c>
      <c r="BS34" s="15" t="str">
        <f t="shared" ca="1" si="24"/>
        <v>VIGENTE</v>
      </c>
      <c r="BT34" s="13">
        <v>45362</v>
      </c>
      <c r="BU34" s="14">
        <v>46031</v>
      </c>
      <c r="BV34" s="14">
        <f>DATE(YEAR(BU34)+2,MONTH(BU34),DAY(BU34))</f>
        <v>46761</v>
      </c>
      <c r="BW34" s="65">
        <f t="shared" ca="1" si="25"/>
        <v>630</v>
      </c>
      <c r="BX34" s="15" t="str">
        <f t="shared" ca="1" si="26"/>
        <v>VIGENTE</v>
      </c>
      <c r="BY34" s="12"/>
      <c r="BZ34" s="14">
        <v>45986</v>
      </c>
      <c r="CA34" s="14">
        <f t="shared" si="197"/>
        <v>46716</v>
      </c>
      <c r="CB34" s="65">
        <f t="shared" ca="1" si="27"/>
        <v>585</v>
      </c>
      <c r="CC34" s="15" t="str">
        <f t="shared" ca="1" si="28"/>
        <v>VIGENTE</v>
      </c>
      <c r="CD34" s="16" t="s">
        <v>108</v>
      </c>
      <c r="CE34" s="14">
        <v>45454</v>
      </c>
      <c r="CF34" s="14">
        <v>45455</v>
      </c>
      <c r="CG34" s="14">
        <f t="shared" si="29"/>
        <v>46916</v>
      </c>
      <c r="CH34" s="65">
        <f t="shared" ca="1" si="30"/>
        <v>785</v>
      </c>
      <c r="CI34" s="15" t="str">
        <f t="shared" ca="1" si="31"/>
        <v>VIGENTE</v>
      </c>
      <c r="CJ34" s="14">
        <v>45353</v>
      </c>
      <c r="CK34" s="14">
        <v>46018</v>
      </c>
      <c r="CL34" s="14">
        <f>DATE(YEAR(CK34)+2,MONTH(CK34),DAY(CK34))</f>
        <v>46748</v>
      </c>
      <c r="CM34" s="65">
        <f t="shared" ca="1" si="32"/>
        <v>617</v>
      </c>
      <c r="CN34" s="15" t="str">
        <f t="shared" ca="1" si="33"/>
        <v>VIGENTE</v>
      </c>
      <c r="CO34" s="13">
        <v>45305</v>
      </c>
      <c r="CP34" s="14">
        <v>45994</v>
      </c>
      <c r="CQ34" s="14">
        <f>DATE(YEAR(CP34)+2,MONTH(CP34),DAY(CP34))</f>
        <v>46724</v>
      </c>
      <c r="CR34" s="65">
        <f t="shared" ca="1" si="34"/>
        <v>593</v>
      </c>
      <c r="CS34" s="15" t="str">
        <f t="shared" ca="1" si="35"/>
        <v>VIGENTE</v>
      </c>
      <c r="CT34" s="12"/>
      <c r="CU34" s="14">
        <v>45905</v>
      </c>
      <c r="CV34" s="14">
        <f>DATE(YEAR(CU34)+2,MONTH(CU34),DAY(CU34))</f>
        <v>46635</v>
      </c>
      <c r="CW34" s="65">
        <f t="shared" ca="1" si="36"/>
        <v>504</v>
      </c>
      <c r="CX34" s="15" t="str">
        <f t="shared" ca="1" si="37"/>
        <v>VIGENTE</v>
      </c>
      <c r="CY34" s="13"/>
      <c r="CZ34" s="14">
        <v>46000</v>
      </c>
      <c r="DA34" s="14">
        <f t="shared" ref="DA34:DA39" si="200">DATE(YEAR(CZ34)+2,MONTH(CZ34),DAY(CZ34))</f>
        <v>46730</v>
      </c>
      <c r="DB34" s="65">
        <f t="shared" ca="1" si="38"/>
        <v>599</v>
      </c>
      <c r="DC34" s="15" t="str">
        <f t="shared" ca="1" si="39"/>
        <v>VIGENTE</v>
      </c>
      <c r="DD34" s="13">
        <v>45328</v>
      </c>
      <c r="DE34" s="14">
        <v>45996</v>
      </c>
      <c r="DF34" s="14">
        <f>DATE(YEAR(DE34)+2,MONTH(DE34),DAY(DE34))</f>
        <v>46726</v>
      </c>
      <c r="DG34" s="65">
        <f t="shared" ca="1" si="40"/>
        <v>595</v>
      </c>
      <c r="DH34" s="15" t="str">
        <f t="shared" ca="1" si="41"/>
        <v>VIGENTE</v>
      </c>
      <c r="DI34" s="13">
        <v>45312</v>
      </c>
      <c r="DJ34" s="14">
        <v>45975</v>
      </c>
      <c r="DK34" s="14">
        <f>DATE(YEAR(DJ34)+2,MONTH(DJ34),DAY(DJ34))</f>
        <v>46705</v>
      </c>
      <c r="DL34" s="65">
        <f t="shared" ca="1" si="43"/>
        <v>574</v>
      </c>
      <c r="DM34" s="15" t="str">
        <f t="shared" ca="1" si="44"/>
        <v>VIGENTE</v>
      </c>
      <c r="DN34" s="13"/>
      <c r="DO34" s="14">
        <v>46008</v>
      </c>
      <c r="DP34" s="14">
        <f t="shared" si="198"/>
        <v>46738</v>
      </c>
      <c r="DQ34" s="65">
        <f t="shared" ca="1" si="46"/>
        <v>607</v>
      </c>
      <c r="DR34" s="15" t="str">
        <f t="shared" ca="1" si="47"/>
        <v>VIGENTE</v>
      </c>
      <c r="DS34" s="13">
        <v>45336</v>
      </c>
      <c r="DT34" s="13">
        <v>46009</v>
      </c>
      <c r="DU34" s="14">
        <f>DATE(YEAR(DT34)+2,MONTH(DT34),DAY(DT34))</f>
        <v>46739</v>
      </c>
      <c r="DV34" s="65">
        <f t="shared" ca="1" si="48"/>
        <v>608</v>
      </c>
      <c r="DW34" s="15" t="str">
        <f t="shared" ca="1" si="49"/>
        <v>VIGENTE</v>
      </c>
      <c r="DX34" s="14">
        <v>45355</v>
      </c>
      <c r="DY34" s="14">
        <v>46032</v>
      </c>
      <c r="DZ34" s="14">
        <f>DATE(YEAR(DY34)+2,MONTH(DY34),DAY(DY34))</f>
        <v>46762</v>
      </c>
      <c r="EA34" s="65">
        <f t="shared" ca="1" si="50"/>
        <v>631</v>
      </c>
      <c r="EB34" s="15" t="str">
        <f t="shared" ca="1" si="51"/>
        <v>VIGENTE</v>
      </c>
      <c r="EC34" s="14">
        <v>45341</v>
      </c>
      <c r="ED34" s="14">
        <v>45985</v>
      </c>
      <c r="EE34" s="14">
        <f t="shared" si="199"/>
        <v>46715</v>
      </c>
      <c r="EF34" s="65">
        <f t="shared" ca="1" si="52"/>
        <v>584</v>
      </c>
      <c r="EG34" s="15" t="str">
        <f t="shared" ca="1" si="53"/>
        <v>VIGENTE</v>
      </c>
      <c r="EH34" s="13"/>
      <c r="EI34" s="13">
        <v>46013</v>
      </c>
      <c r="EJ34" s="13">
        <v>46014</v>
      </c>
      <c r="EK34" s="13">
        <v>46015</v>
      </c>
      <c r="EL34" s="14">
        <f t="shared" si="128"/>
        <v>46380</v>
      </c>
      <c r="EM34" s="65">
        <f t="shared" ca="1" si="54"/>
        <v>249</v>
      </c>
      <c r="EN34" s="15" t="str">
        <f t="shared" ca="1" si="55"/>
        <v>VIGENTE</v>
      </c>
      <c r="EO34" s="13">
        <v>45346</v>
      </c>
      <c r="EP34" s="14">
        <v>45995</v>
      </c>
      <c r="EQ34" s="14">
        <f>DATE(YEAR(EP34)+2,MONTH(EP34),DAY(EP34))</f>
        <v>46725</v>
      </c>
      <c r="ER34" s="65">
        <f t="shared" ca="1" si="56"/>
        <v>594</v>
      </c>
      <c r="ES34" s="15" t="str">
        <f t="shared" ca="1" si="57"/>
        <v>VIGENTE</v>
      </c>
      <c r="ET34" s="12"/>
      <c r="EU34" s="14">
        <v>45999</v>
      </c>
      <c r="EV34" s="14">
        <f>DATE(YEAR(EU34)+2,MONTH(EU34),DAY(EU34))</f>
        <v>46729</v>
      </c>
      <c r="EW34" s="65">
        <f t="shared" ca="1" si="58"/>
        <v>598</v>
      </c>
      <c r="EX34" s="15" t="str">
        <f t="shared" ca="1" si="59"/>
        <v>VIGENTE</v>
      </c>
      <c r="EY34" s="13">
        <v>45360</v>
      </c>
      <c r="EZ34" s="14">
        <v>46037</v>
      </c>
      <c r="FA34" s="14">
        <f t="shared" si="191"/>
        <v>46767</v>
      </c>
      <c r="FB34" s="65">
        <f t="shared" ca="1" si="60"/>
        <v>636</v>
      </c>
      <c r="FC34" s="15" t="str">
        <f t="shared" ca="1" si="61"/>
        <v>VIGENTE</v>
      </c>
      <c r="FD34" s="14">
        <v>45354</v>
      </c>
      <c r="FE34" s="14">
        <v>46010</v>
      </c>
      <c r="FF34" s="14">
        <f t="shared" si="192"/>
        <v>46740</v>
      </c>
      <c r="FG34" s="65">
        <f t="shared" ca="1" si="62"/>
        <v>609</v>
      </c>
      <c r="FH34" s="15" t="str">
        <f t="shared" ca="1" si="63"/>
        <v>VIGENTE</v>
      </c>
      <c r="FI34" s="13">
        <v>45342</v>
      </c>
      <c r="FJ34" s="14">
        <v>45962</v>
      </c>
      <c r="FK34" s="14">
        <f t="shared" si="193"/>
        <v>46692</v>
      </c>
      <c r="FL34" s="65">
        <f t="shared" ca="1" si="64"/>
        <v>561</v>
      </c>
      <c r="FM34" s="15" t="str">
        <f t="shared" ca="1" si="65"/>
        <v>VIGENTE</v>
      </c>
      <c r="FN34" s="14">
        <v>45359</v>
      </c>
      <c r="FO34" s="14">
        <v>46039</v>
      </c>
      <c r="FP34" s="14">
        <f>DATE(YEAR(FO34)+2,MONTH(FO34),DAY(FO34))</f>
        <v>46769</v>
      </c>
      <c r="FQ34" s="65">
        <f t="shared" ca="1" si="67"/>
        <v>638</v>
      </c>
      <c r="FR34" s="15" t="str">
        <f t="shared" ca="1" si="68"/>
        <v>VIGENTE</v>
      </c>
      <c r="FS34" s="13">
        <v>45358</v>
      </c>
      <c r="FT34" s="14">
        <v>46034</v>
      </c>
      <c r="FU34" s="14">
        <f>DATE(YEAR(FT34)+2,MONTH(FT34),DAY(FT34))</f>
        <v>46764</v>
      </c>
      <c r="FV34" s="65">
        <f t="shared" ca="1" si="69"/>
        <v>633</v>
      </c>
      <c r="FW34" s="15" t="str">
        <f t="shared" ca="1" si="70"/>
        <v>VIGENTE</v>
      </c>
      <c r="FX34" s="14">
        <v>45324</v>
      </c>
      <c r="FY34" s="14">
        <v>46004</v>
      </c>
      <c r="FZ34" s="14">
        <f>DATE(YEAR(FY34)+2,MONTH(FY34),DAY(FY34))</f>
        <v>46734</v>
      </c>
      <c r="GA34" s="65">
        <f t="shared" ca="1" si="71"/>
        <v>603</v>
      </c>
      <c r="GB34" s="15" t="str">
        <f t="shared" ca="1" si="72"/>
        <v>VIGENTE</v>
      </c>
      <c r="GC34" s="13"/>
      <c r="GD34" s="14">
        <v>45925</v>
      </c>
      <c r="GE34" s="14">
        <f>DATE(YEAR(GD34)+2,MONTH(GD34),DAY(GD34))</f>
        <v>46655</v>
      </c>
      <c r="GF34" s="65">
        <f t="shared" ca="1" si="73"/>
        <v>524</v>
      </c>
      <c r="GG34" s="15" t="str">
        <f t="shared" ca="1" si="74"/>
        <v>VIGENTE</v>
      </c>
      <c r="GH34" s="13">
        <v>45332</v>
      </c>
      <c r="GI34" s="14">
        <v>45960</v>
      </c>
      <c r="GJ34" s="14">
        <f>DATE(YEAR(GI34)+2,MONTH(GI34),DAY(GI34))</f>
        <v>46690</v>
      </c>
      <c r="GK34" s="65">
        <f t="shared" ca="1" si="75"/>
        <v>559</v>
      </c>
      <c r="GL34" s="15" t="str">
        <f t="shared" ca="1" si="76"/>
        <v>VIGENTE</v>
      </c>
      <c r="GM34" s="13">
        <v>45405</v>
      </c>
      <c r="GN34" s="14">
        <v>46071</v>
      </c>
      <c r="GO34" s="14">
        <f>DATE(YEAR(GN34)+2,MONTH(GN34),DAY(GN34))</f>
        <v>46801</v>
      </c>
      <c r="GP34" s="65">
        <f t="shared" ca="1" si="77"/>
        <v>670</v>
      </c>
      <c r="GQ34" s="15" t="str">
        <f t="shared" ca="1" si="78"/>
        <v>VIGENTE</v>
      </c>
      <c r="GR34" s="14"/>
      <c r="GS34" s="14">
        <v>45299</v>
      </c>
      <c r="GT34" s="14">
        <f t="shared" si="79"/>
        <v>47126</v>
      </c>
      <c r="GU34" s="65">
        <f t="shared" ca="1" si="172"/>
        <v>995</v>
      </c>
      <c r="GV34" s="15" t="str">
        <f t="shared" ca="1" si="81"/>
        <v>VIGENTE</v>
      </c>
      <c r="GW34" s="13"/>
      <c r="GX34" s="14">
        <v>45329</v>
      </c>
      <c r="GY34" s="14">
        <f t="shared" si="82"/>
        <v>47156</v>
      </c>
      <c r="GZ34" s="65">
        <f t="shared" ca="1" si="83"/>
        <v>1025</v>
      </c>
      <c r="HA34" s="15" t="str">
        <f t="shared" ca="1" si="84"/>
        <v>VIGENTE</v>
      </c>
      <c r="HB34" s="12"/>
      <c r="HC34" s="14">
        <v>45343</v>
      </c>
      <c r="HD34" s="14">
        <f t="shared" si="85"/>
        <v>47170</v>
      </c>
      <c r="HE34" s="65">
        <f t="shared" ca="1" si="86"/>
        <v>1039</v>
      </c>
      <c r="HF34" s="15" t="str">
        <f t="shared" ca="1" si="87"/>
        <v>VIGENTE</v>
      </c>
      <c r="HG34" s="16"/>
      <c r="HH34" s="14">
        <v>45317</v>
      </c>
      <c r="HI34" s="14">
        <f t="shared" si="194"/>
        <v>47144</v>
      </c>
      <c r="HJ34" s="65">
        <f t="shared" ca="1" si="195"/>
        <v>1013</v>
      </c>
      <c r="HK34" s="15" t="str">
        <f t="shared" ca="1" si="181"/>
        <v>VIGENTE</v>
      </c>
      <c r="HL34" s="12"/>
      <c r="HM34" s="16"/>
      <c r="HN34" s="14"/>
      <c r="HO34" s="65"/>
      <c r="HP34" s="15" t="str">
        <f t="shared" si="196"/>
        <v>NO APLICA</v>
      </c>
      <c r="HQ34" s="12"/>
      <c r="HR34" s="12"/>
      <c r="HS34" s="14"/>
      <c r="HT34" s="12"/>
      <c r="HU34" s="15" t="str">
        <f t="shared" si="92"/>
        <v>NO APLICA</v>
      </c>
      <c r="HV34" s="12"/>
      <c r="HW34" s="16"/>
      <c r="HX34" s="14"/>
      <c r="HY34" s="65"/>
      <c r="HZ34" s="15" t="str">
        <f t="shared" si="93"/>
        <v>NO APLICA</v>
      </c>
      <c r="IA34" s="12"/>
      <c r="IB34" s="16"/>
      <c r="IC34" s="14"/>
      <c r="ID34" s="65"/>
      <c r="IE34" s="15" t="str">
        <f t="shared" si="94"/>
        <v>NO APLICA</v>
      </c>
      <c r="IF34" s="12"/>
      <c r="IG34" s="16"/>
      <c r="IH34" s="14"/>
      <c r="II34" s="65"/>
      <c r="IJ34" s="15" t="str">
        <f t="shared" si="95"/>
        <v>NO APLICA</v>
      </c>
      <c r="IK34" s="16"/>
      <c r="IL34" s="16"/>
      <c r="IM34" s="14"/>
      <c r="IN34" s="65"/>
      <c r="IO34" s="15" t="str">
        <f t="shared" si="96"/>
        <v>NO APLICA</v>
      </c>
      <c r="IP34" s="12"/>
      <c r="IQ34" s="16"/>
      <c r="IR34" s="14"/>
      <c r="IS34" s="65"/>
      <c r="IT34" s="15" t="str">
        <f t="shared" si="97"/>
        <v>NO APLICA</v>
      </c>
      <c r="IU34" s="12"/>
      <c r="IV34" s="16"/>
      <c r="IW34" s="14"/>
      <c r="IX34" s="65"/>
      <c r="IY34" s="15" t="str">
        <f t="shared" si="98"/>
        <v>NO APLICA</v>
      </c>
      <c r="IZ34" s="12"/>
      <c r="JA34" s="16"/>
      <c r="JB34" s="14"/>
      <c r="JC34" s="65"/>
      <c r="JD34" s="15" t="str">
        <f t="shared" si="99"/>
        <v>NO APLICA</v>
      </c>
      <c r="JE34" s="13"/>
      <c r="JF34" s="13"/>
      <c r="JG34" s="14"/>
      <c r="JH34" s="65"/>
      <c r="JI34" s="15" t="str">
        <f t="shared" si="100"/>
        <v>NO APLICA</v>
      </c>
      <c r="JJ34" s="16"/>
      <c r="JK34" s="16"/>
      <c r="JL34" s="16"/>
      <c r="JM34" s="15" t="str">
        <f t="shared" si="101"/>
        <v>NO APLICA</v>
      </c>
      <c r="JN34" s="16"/>
      <c r="JO34" s="16"/>
      <c r="JP34" s="16"/>
      <c r="JQ34" s="15" t="str">
        <f t="shared" si="102"/>
        <v>NO APLICA</v>
      </c>
      <c r="JR34" s="16"/>
      <c r="JS34" s="16"/>
      <c r="JT34" s="16"/>
      <c r="JU34" s="16"/>
      <c r="JV34" s="15" t="str">
        <f t="shared" si="103"/>
        <v>NO APLICA</v>
      </c>
      <c r="JW34" s="15"/>
      <c r="JX34" s="15"/>
      <c r="JY34" s="15"/>
      <c r="JZ34" s="15"/>
      <c r="KA34" s="15" t="str">
        <f t="shared" si="104"/>
        <v>NO APLICA</v>
      </c>
      <c r="KB34" s="12"/>
      <c r="KC34" s="14"/>
      <c r="KD34" s="65"/>
      <c r="KE34" s="15" t="str">
        <f t="shared" si="105"/>
        <v>NO APLICA</v>
      </c>
      <c r="KF34" s="12"/>
      <c r="KG34" s="14"/>
      <c r="KH34" s="65"/>
      <c r="KI34" s="15" t="str">
        <f t="shared" si="132"/>
        <v>NO APLICA</v>
      </c>
      <c r="KJ34" s="12"/>
      <c r="KK34" s="14"/>
      <c r="KL34" s="65"/>
      <c r="KM34" s="15" t="str">
        <f t="shared" si="106"/>
        <v>NO APLICA</v>
      </c>
      <c r="KN34" s="12"/>
      <c r="KO34" s="14"/>
      <c r="KP34" s="65"/>
      <c r="KQ34" s="15" t="str">
        <f t="shared" si="133"/>
        <v>NO APLICA</v>
      </c>
      <c r="KR34" s="12"/>
      <c r="KS34" s="16"/>
      <c r="KT34" s="14"/>
      <c r="KU34" s="65"/>
      <c r="KV34" s="15" t="str">
        <f t="shared" si="147"/>
        <v>NO APLICA</v>
      </c>
      <c r="KW34" s="16"/>
      <c r="KX34" s="14"/>
      <c r="KY34" s="65"/>
      <c r="KZ34" s="15" t="str">
        <f t="shared" si="134"/>
        <v>NO APLICA</v>
      </c>
      <c r="LA34" s="16"/>
      <c r="LB34" s="16"/>
      <c r="LC34" s="14"/>
      <c r="LD34" s="65"/>
      <c r="LE34" s="15" t="str">
        <f t="shared" si="107"/>
        <v>NO APLICA</v>
      </c>
      <c r="LF34" s="15"/>
      <c r="LG34" s="15"/>
      <c r="LH34" s="15"/>
      <c r="LI34" s="15"/>
      <c r="LJ34" s="15" t="str">
        <f t="shared" si="148"/>
        <v>NO APLICA</v>
      </c>
      <c r="LK34" s="12"/>
      <c r="LL34" s="16"/>
      <c r="LM34" s="14"/>
      <c r="LN34" s="65"/>
      <c r="LO34" s="15" t="str">
        <f t="shared" si="135"/>
        <v>NO APLICA</v>
      </c>
      <c r="LP34" s="16"/>
      <c r="LQ34" s="16"/>
      <c r="LR34" s="14"/>
      <c r="LS34" s="65"/>
      <c r="LT34" s="15" t="str">
        <f t="shared" si="136"/>
        <v>NO APLICA</v>
      </c>
      <c r="LU34" s="16"/>
      <c r="LV34" s="16"/>
      <c r="LW34" s="14"/>
      <c r="LX34" s="65"/>
      <c r="LY34" s="15" t="str">
        <f t="shared" si="137"/>
        <v>NO APLICA</v>
      </c>
      <c r="LZ34" s="12"/>
      <c r="MA34" s="12"/>
      <c r="MB34" s="14"/>
      <c r="MC34" s="65"/>
      <c r="MD34" s="15" t="str">
        <f t="shared" si="108"/>
        <v>NO APLICA</v>
      </c>
      <c r="ME34" s="12"/>
      <c r="MF34" s="12"/>
      <c r="MG34" s="14"/>
      <c r="MH34" s="65"/>
      <c r="MI34" s="15" t="str">
        <f t="shared" si="109"/>
        <v>NO APLICA</v>
      </c>
      <c r="MJ34" s="12"/>
      <c r="MK34" s="14"/>
      <c r="ML34" s="65"/>
      <c r="MM34" s="15" t="str">
        <f t="shared" si="110"/>
        <v>NO APLICA</v>
      </c>
      <c r="MN34" s="12"/>
      <c r="MO34" s="12"/>
      <c r="MP34" s="12"/>
      <c r="MQ34" s="15" t="str">
        <f t="shared" si="111"/>
        <v>NO APLICA</v>
      </c>
      <c r="MR34" s="12"/>
      <c r="MS34" s="16"/>
      <c r="MT34" s="14"/>
      <c r="MU34" s="65"/>
      <c r="MV34" s="15" t="str">
        <f t="shared" si="112"/>
        <v>NO APLICA</v>
      </c>
      <c r="MW34" s="12"/>
      <c r="MX34" s="16"/>
      <c r="MY34" s="14"/>
      <c r="MZ34" s="65"/>
      <c r="NA34" s="15" t="str">
        <f t="shared" si="113"/>
        <v>NO APLICA</v>
      </c>
      <c r="NB34" s="12"/>
      <c r="NC34" s="16"/>
      <c r="ND34" s="14"/>
      <c r="NE34" s="65"/>
      <c r="NF34" s="15" t="str">
        <f t="shared" si="114"/>
        <v>NO APLICA</v>
      </c>
      <c r="NG34" s="12"/>
      <c r="NH34" s="12"/>
      <c r="NI34" s="14"/>
      <c r="NJ34" s="65"/>
      <c r="NK34" s="15" t="str">
        <f t="shared" si="115"/>
        <v>NO APLICA</v>
      </c>
      <c r="NL34" s="12"/>
      <c r="NM34" s="12"/>
      <c r="NN34" s="14"/>
      <c r="NO34" s="12"/>
      <c r="NP34" s="15" t="str">
        <f t="shared" si="116"/>
        <v>NO APLICA</v>
      </c>
      <c r="NQ34" s="14"/>
      <c r="NR34" s="14">
        <v>45320</v>
      </c>
      <c r="NS34" s="14">
        <f>DATE(YEAR(NR34)+2,MONTH(NR34),DAY(NR34))</f>
        <v>46051</v>
      </c>
      <c r="NT34" s="65">
        <f ca="1">NS34-TODAY()</f>
        <v>-80</v>
      </c>
      <c r="NU34" s="15" t="str">
        <f t="shared" ca="1" si="117"/>
        <v>VENCIDA</v>
      </c>
      <c r="NV34" s="16"/>
      <c r="NW34" s="16"/>
      <c r="NX34" s="16"/>
      <c r="NY34" s="16"/>
      <c r="NZ34" s="15" t="str">
        <f t="shared" si="118"/>
        <v>NO APLICA</v>
      </c>
    </row>
    <row r="35" spans="1:390" ht="15.6" thickTop="1" thickBot="1" x14ac:dyDescent="0.35">
      <c r="A35" s="11">
        <v>1671</v>
      </c>
      <c r="B35" s="10" t="s">
        <v>215</v>
      </c>
      <c r="C35" s="21" t="s">
        <v>151</v>
      </c>
      <c r="D35" s="64" t="s">
        <v>216</v>
      </c>
      <c r="E35" s="15"/>
      <c r="F35" s="16"/>
      <c r="G35" s="14"/>
      <c r="H35" s="65"/>
      <c r="I35" s="15" t="str">
        <f t="shared" si="0"/>
        <v>NO APLICA</v>
      </c>
      <c r="J35" s="15"/>
      <c r="K35" s="16"/>
      <c r="L35" s="16"/>
      <c r="M35" s="65"/>
      <c r="N35" s="15" t="str">
        <f t="shared" si="1"/>
        <v>NO APLICA</v>
      </c>
      <c r="O35" s="16"/>
      <c r="P35" s="16"/>
      <c r="Q35" s="14"/>
      <c r="R35" s="65"/>
      <c r="S35" s="15" t="str">
        <f t="shared" si="119"/>
        <v>NO APLICA</v>
      </c>
      <c r="T35" s="12" t="s">
        <v>217</v>
      </c>
      <c r="U35" s="13">
        <v>45040</v>
      </c>
      <c r="V35" s="14">
        <v>45041</v>
      </c>
      <c r="W35" s="14">
        <f t="shared" si="2"/>
        <v>46868</v>
      </c>
      <c r="X35" s="65">
        <f t="shared" ca="1" si="3"/>
        <v>737</v>
      </c>
      <c r="Y35" s="15" t="str">
        <f t="shared" ca="1" si="4"/>
        <v>VIGENTE</v>
      </c>
      <c r="Z35" s="12"/>
      <c r="AA35" s="12"/>
      <c r="AB35" s="16"/>
      <c r="AC35" s="14"/>
      <c r="AD35" s="65"/>
      <c r="AE35" s="15" t="str">
        <f t="shared" si="7"/>
        <v>NO APLICA</v>
      </c>
      <c r="AF35" s="13">
        <v>45243</v>
      </c>
      <c r="AG35" s="14">
        <v>45902</v>
      </c>
      <c r="AH35" s="14">
        <f>DATE(YEAR(AG35)+2,MONTH(AG35),DAY(AG35))</f>
        <v>46632</v>
      </c>
      <c r="AI35" s="65">
        <f t="shared" ca="1" si="8"/>
        <v>501</v>
      </c>
      <c r="AJ35" s="15" t="str">
        <f t="shared" ca="1" si="9"/>
        <v>VIGENTE</v>
      </c>
      <c r="AK35" s="13">
        <v>45189</v>
      </c>
      <c r="AL35" s="14">
        <v>45838</v>
      </c>
      <c r="AM35" s="14">
        <f t="shared" si="187"/>
        <v>46568</v>
      </c>
      <c r="AN35" s="65">
        <f t="shared" ca="1" si="10"/>
        <v>437</v>
      </c>
      <c r="AO35" s="15" t="str">
        <f t="shared" ca="1" si="11"/>
        <v>VIGENTE</v>
      </c>
      <c r="AP35" s="12"/>
      <c r="AQ35" s="14">
        <v>45904</v>
      </c>
      <c r="AR35" s="14">
        <f>DATE(YEAR(AQ35)+2,MONTH(AQ35),DAY(AQ35))</f>
        <v>46634</v>
      </c>
      <c r="AS35" s="65">
        <f t="shared" ca="1" si="12"/>
        <v>503</v>
      </c>
      <c r="AT35" s="15" t="str">
        <f t="shared" ca="1" si="13"/>
        <v>VIGENTE</v>
      </c>
      <c r="AU35" s="12"/>
      <c r="AV35" s="14">
        <v>45927</v>
      </c>
      <c r="AW35" s="14">
        <f t="shared" si="188"/>
        <v>46657</v>
      </c>
      <c r="AX35" s="65">
        <f t="shared" ca="1" si="15"/>
        <v>526</v>
      </c>
      <c r="AY35" s="15" t="str">
        <f t="shared" ca="1" si="16"/>
        <v>VIGENTE</v>
      </c>
      <c r="AZ35" s="13"/>
      <c r="BA35" s="14">
        <v>45943</v>
      </c>
      <c r="BB35" s="14">
        <f>DATE(YEAR(BA35)+2,MONTH(BA35),DAY(BA35))</f>
        <v>46673</v>
      </c>
      <c r="BC35" s="65">
        <f t="shared" ca="1" si="17"/>
        <v>542</v>
      </c>
      <c r="BD35" s="15" t="str">
        <f t="shared" ca="1" si="18"/>
        <v>VIGENTE</v>
      </c>
      <c r="BE35" s="13">
        <v>45310</v>
      </c>
      <c r="BF35" s="14">
        <v>45968</v>
      </c>
      <c r="BG35" s="14">
        <f t="shared" si="189"/>
        <v>46698</v>
      </c>
      <c r="BH35" s="65">
        <f t="shared" ca="1" si="19"/>
        <v>567</v>
      </c>
      <c r="BI35" s="15" t="str">
        <f t="shared" ca="1" si="20"/>
        <v>VIGENTE</v>
      </c>
      <c r="BJ35" s="13">
        <v>45306</v>
      </c>
      <c r="BK35" s="14">
        <v>45976</v>
      </c>
      <c r="BL35" s="14">
        <f t="shared" si="190"/>
        <v>46706</v>
      </c>
      <c r="BM35" s="65">
        <f t="shared" ca="1" si="21"/>
        <v>575</v>
      </c>
      <c r="BN35" s="15" t="str">
        <f t="shared" ca="1" si="22"/>
        <v>VIGENTE</v>
      </c>
      <c r="BO35" s="13"/>
      <c r="BP35" s="14">
        <v>45988</v>
      </c>
      <c r="BQ35" s="14">
        <f>DATE(YEAR(BP35)+2,MONTH(BP35),DAY(BP35))</f>
        <v>46718</v>
      </c>
      <c r="BR35" s="65">
        <f t="shared" ca="1" si="23"/>
        <v>587</v>
      </c>
      <c r="BS35" s="15" t="str">
        <f t="shared" ca="1" si="24"/>
        <v>VIGENTE</v>
      </c>
      <c r="BT35" s="13">
        <v>45183</v>
      </c>
      <c r="BU35" s="14">
        <v>45853</v>
      </c>
      <c r="BV35" s="14">
        <f>DATE(YEAR(BU35)+2,MONTH(BU35),DAY(BU35))</f>
        <v>46583</v>
      </c>
      <c r="BW35" s="65">
        <f t="shared" ca="1" si="25"/>
        <v>452</v>
      </c>
      <c r="BX35" s="15" t="str">
        <f t="shared" ca="1" si="26"/>
        <v>VIGENTE</v>
      </c>
      <c r="BY35" s="13">
        <v>45293</v>
      </c>
      <c r="BZ35" s="14">
        <v>45954</v>
      </c>
      <c r="CA35" s="14">
        <f t="shared" si="197"/>
        <v>46684</v>
      </c>
      <c r="CB35" s="65">
        <f t="shared" ca="1" si="27"/>
        <v>553</v>
      </c>
      <c r="CC35" s="15" t="str">
        <f t="shared" ca="1" si="28"/>
        <v>VIGENTE</v>
      </c>
      <c r="CD35" s="16" t="s">
        <v>102</v>
      </c>
      <c r="CE35" s="14">
        <v>45827</v>
      </c>
      <c r="CF35" s="14">
        <v>45828</v>
      </c>
      <c r="CG35" s="14">
        <f t="shared" si="29"/>
        <v>47289</v>
      </c>
      <c r="CH35" s="65">
        <f t="shared" ca="1" si="30"/>
        <v>1158</v>
      </c>
      <c r="CI35" s="15" t="str">
        <f t="shared" ca="1" si="31"/>
        <v>VIGENTE</v>
      </c>
      <c r="CJ35" s="16"/>
      <c r="CK35" s="14">
        <v>45929</v>
      </c>
      <c r="CL35" s="14">
        <f>DATE(YEAR(CK35)+2,MONTH(CK35),DAY(CK35))</f>
        <v>46659</v>
      </c>
      <c r="CM35" s="65">
        <f t="shared" ca="1" si="32"/>
        <v>528</v>
      </c>
      <c r="CN35" s="15" t="str">
        <f t="shared" ca="1" si="33"/>
        <v>VIGENTE</v>
      </c>
      <c r="CO35" s="13">
        <v>45188</v>
      </c>
      <c r="CP35" s="14">
        <v>45882</v>
      </c>
      <c r="CQ35" s="14">
        <f>DATE(YEAR(CP35)+2,MONTH(CP35),DAY(CP35))</f>
        <v>46612</v>
      </c>
      <c r="CR35" s="65">
        <f t="shared" ca="1" si="34"/>
        <v>481</v>
      </c>
      <c r="CS35" s="15" t="str">
        <f t="shared" ca="1" si="35"/>
        <v>VIGENTE</v>
      </c>
      <c r="CT35" s="12"/>
      <c r="CU35" s="14">
        <v>45905</v>
      </c>
      <c r="CV35" s="14">
        <f>DATE(YEAR(CU35)+2,MONTH(CU35),DAY(CU35))</f>
        <v>46635</v>
      </c>
      <c r="CW35" s="65">
        <f t="shared" ca="1" si="36"/>
        <v>504</v>
      </c>
      <c r="CX35" s="15" t="str">
        <f t="shared" ca="1" si="37"/>
        <v>VIGENTE</v>
      </c>
      <c r="CY35" s="13"/>
      <c r="CZ35" s="14">
        <v>45924</v>
      </c>
      <c r="DA35" s="14">
        <f t="shared" si="200"/>
        <v>46654</v>
      </c>
      <c r="DB35" s="65">
        <f t="shared" ca="1" si="38"/>
        <v>523</v>
      </c>
      <c r="DC35" s="15" t="str">
        <f t="shared" ca="1" si="39"/>
        <v>VIGENTE</v>
      </c>
      <c r="DD35" s="13">
        <v>45328</v>
      </c>
      <c r="DE35" s="14">
        <v>45996</v>
      </c>
      <c r="DF35" s="14">
        <f>DATE(YEAR(DE35)+2,MONTH(DE35),DAY(DE35))</f>
        <v>46726</v>
      </c>
      <c r="DG35" s="65">
        <f t="shared" ca="1" si="40"/>
        <v>595</v>
      </c>
      <c r="DH35" s="15" t="str">
        <f t="shared" ca="1" si="41"/>
        <v>VIGENTE</v>
      </c>
      <c r="DI35" s="12"/>
      <c r="DJ35" s="14">
        <v>45975</v>
      </c>
      <c r="DK35" s="14">
        <f>DATE(YEAR(DJ35)+2,MONTH(DJ35),DAY(DJ35))</f>
        <v>46705</v>
      </c>
      <c r="DL35" s="65">
        <f t="shared" ca="1" si="43"/>
        <v>574</v>
      </c>
      <c r="DM35" s="15" t="str">
        <f t="shared" ca="1" si="44"/>
        <v>VIGENTE</v>
      </c>
      <c r="DN35" s="13"/>
      <c r="DO35" s="14">
        <v>46008</v>
      </c>
      <c r="DP35" s="14">
        <f t="shared" si="198"/>
        <v>46738</v>
      </c>
      <c r="DQ35" s="65">
        <f t="shared" ca="1" si="46"/>
        <v>607</v>
      </c>
      <c r="DR35" s="15" t="str">
        <f t="shared" ca="1" si="47"/>
        <v>VIGENTE</v>
      </c>
      <c r="DS35" s="13">
        <v>45200</v>
      </c>
      <c r="DT35" s="14">
        <v>45852</v>
      </c>
      <c r="DU35" s="14">
        <f>DATE(YEAR(DT35)+2,MONTH(DT35),DAY(DT35))</f>
        <v>46582</v>
      </c>
      <c r="DV35" s="65">
        <f t="shared" ca="1" si="48"/>
        <v>451</v>
      </c>
      <c r="DW35" s="15" t="str">
        <f t="shared" ca="1" si="49"/>
        <v>VIGENTE</v>
      </c>
      <c r="DX35" s="13">
        <v>45274</v>
      </c>
      <c r="DY35" s="14">
        <v>45915</v>
      </c>
      <c r="DZ35" s="14">
        <f>DATE(YEAR(DY35)+2,MONTH(DY35),DAY(DY35))</f>
        <v>46645</v>
      </c>
      <c r="EA35" s="65">
        <f t="shared" ca="1" si="50"/>
        <v>514</v>
      </c>
      <c r="EB35" s="15" t="str">
        <f t="shared" ca="1" si="51"/>
        <v>VIGENTE</v>
      </c>
      <c r="EC35" s="13">
        <v>45225</v>
      </c>
      <c r="ED35" s="14">
        <v>45883</v>
      </c>
      <c r="EE35" s="14">
        <f t="shared" si="199"/>
        <v>46613</v>
      </c>
      <c r="EF35" s="65">
        <f t="shared" ca="1" si="52"/>
        <v>482</v>
      </c>
      <c r="EG35" s="15" t="str">
        <f t="shared" ca="1" si="53"/>
        <v>VIGENTE</v>
      </c>
      <c r="EH35" s="13">
        <v>45253</v>
      </c>
      <c r="EI35" s="13">
        <v>45909</v>
      </c>
      <c r="EJ35" s="13">
        <v>45910</v>
      </c>
      <c r="EK35" s="13">
        <v>45911</v>
      </c>
      <c r="EL35" s="14">
        <f t="shared" si="128"/>
        <v>46276</v>
      </c>
      <c r="EM35" s="65">
        <f t="shared" ca="1" si="54"/>
        <v>145</v>
      </c>
      <c r="EN35" s="15" t="str">
        <f t="shared" ca="1" si="55"/>
        <v>VIGENTE</v>
      </c>
      <c r="EO35" s="13"/>
      <c r="EP35" s="14">
        <v>45940</v>
      </c>
      <c r="EQ35" s="14">
        <f>DATE(YEAR(EP35)+2,MONTH(EP35),DAY(EP35))</f>
        <v>46670</v>
      </c>
      <c r="ER35" s="65">
        <f t="shared" ca="1" si="56"/>
        <v>539</v>
      </c>
      <c r="ES35" s="15" t="str">
        <f t="shared" ca="1" si="57"/>
        <v>VIGENTE</v>
      </c>
      <c r="ET35" s="12"/>
      <c r="EU35" s="14">
        <v>45999</v>
      </c>
      <c r="EV35" s="14">
        <f>DATE(YEAR(EU35)+2,MONTH(EU35),DAY(EU35))</f>
        <v>46729</v>
      </c>
      <c r="EW35" s="65">
        <f t="shared" ca="1" si="58"/>
        <v>598</v>
      </c>
      <c r="EX35" s="15" t="str">
        <f t="shared" ca="1" si="59"/>
        <v>VIGENTE</v>
      </c>
      <c r="EY35" s="13">
        <v>45271</v>
      </c>
      <c r="EZ35" s="14">
        <v>45917</v>
      </c>
      <c r="FA35" s="14">
        <f t="shared" si="191"/>
        <v>46647</v>
      </c>
      <c r="FB35" s="65">
        <f t="shared" ca="1" si="60"/>
        <v>516</v>
      </c>
      <c r="FC35" s="15" t="str">
        <f t="shared" ca="1" si="61"/>
        <v>VIGENTE</v>
      </c>
      <c r="FD35" s="12"/>
      <c r="FE35" s="14">
        <v>45931</v>
      </c>
      <c r="FF35" s="14">
        <f t="shared" si="192"/>
        <v>46661</v>
      </c>
      <c r="FG35" s="65">
        <f t="shared" ca="1" si="62"/>
        <v>530</v>
      </c>
      <c r="FH35" s="15" t="str">
        <f t="shared" ca="1" si="63"/>
        <v>VIGENTE</v>
      </c>
      <c r="FI35" s="13">
        <v>45176</v>
      </c>
      <c r="FJ35" s="14">
        <v>45832</v>
      </c>
      <c r="FK35" s="14">
        <f t="shared" si="193"/>
        <v>46562</v>
      </c>
      <c r="FL35" s="65">
        <f t="shared" ca="1" si="64"/>
        <v>431</v>
      </c>
      <c r="FM35" s="15" t="str">
        <f t="shared" ca="1" si="65"/>
        <v>VIGENTE</v>
      </c>
      <c r="FN35" s="13"/>
      <c r="FO35" s="14">
        <v>45933</v>
      </c>
      <c r="FP35" s="14">
        <f>DATE(YEAR(FO35)+2,MONTH(FO35),DAY(FO35))</f>
        <v>46663</v>
      </c>
      <c r="FQ35" s="65">
        <f t="shared" ca="1" si="67"/>
        <v>532</v>
      </c>
      <c r="FR35" s="15" t="str">
        <f t="shared" ca="1" si="68"/>
        <v>VIGENTE</v>
      </c>
      <c r="FS35" s="13">
        <v>45333</v>
      </c>
      <c r="FT35" s="14">
        <v>46034</v>
      </c>
      <c r="FU35" s="14">
        <f>DATE(YEAR(FT35)+2,MONTH(FT35),DAY(FT35))</f>
        <v>46764</v>
      </c>
      <c r="FV35" s="65">
        <f t="shared" ca="1" si="69"/>
        <v>633</v>
      </c>
      <c r="FW35" s="15" t="str">
        <f t="shared" ca="1" si="70"/>
        <v>VIGENTE</v>
      </c>
      <c r="FX35" s="13"/>
      <c r="FY35" s="14">
        <v>45941</v>
      </c>
      <c r="FZ35" s="14">
        <f>DATE(YEAR(FY35)+2,MONTH(FY35),DAY(FY35))</f>
        <v>46671</v>
      </c>
      <c r="GA35" s="65">
        <f t="shared" ca="1" si="71"/>
        <v>540</v>
      </c>
      <c r="GB35" s="15" t="str">
        <f t="shared" ca="1" si="72"/>
        <v>VIGENTE</v>
      </c>
      <c r="GC35" s="13">
        <v>45173</v>
      </c>
      <c r="GD35" s="14">
        <v>45833</v>
      </c>
      <c r="GE35" s="14">
        <f>DATE(YEAR(GD35)+2,MONTH(GD35),DAY(GD35))</f>
        <v>46563</v>
      </c>
      <c r="GF35" s="65">
        <f t="shared" ca="1" si="73"/>
        <v>432</v>
      </c>
      <c r="GG35" s="15" t="str">
        <f t="shared" ca="1" si="74"/>
        <v>VIGENTE</v>
      </c>
      <c r="GH35" s="13">
        <v>45332</v>
      </c>
      <c r="GI35" s="14">
        <v>45960</v>
      </c>
      <c r="GJ35" s="14">
        <f>DATE(YEAR(GI35)+2,MONTH(GI35),DAY(GI35))</f>
        <v>46690</v>
      </c>
      <c r="GK35" s="65">
        <f t="shared" ca="1" si="75"/>
        <v>559</v>
      </c>
      <c r="GL35" s="15" t="str">
        <f t="shared" ca="1" si="76"/>
        <v>VIGENTE</v>
      </c>
      <c r="GM35" s="13"/>
      <c r="GN35" s="14">
        <v>45945</v>
      </c>
      <c r="GO35" s="14">
        <f>DATE(YEAR(GN35)+2,MONTH(GN35),DAY(GN35))</f>
        <v>46675</v>
      </c>
      <c r="GP35" s="65">
        <f t="shared" ca="1" si="77"/>
        <v>544</v>
      </c>
      <c r="GQ35" s="15" t="str">
        <f t="shared" ca="1" si="78"/>
        <v>VIGENTE</v>
      </c>
      <c r="GR35" s="14"/>
      <c r="GS35" s="14">
        <v>45224</v>
      </c>
      <c r="GT35" s="14">
        <f t="shared" si="79"/>
        <v>47051</v>
      </c>
      <c r="GU35" s="65">
        <f t="shared" ca="1" si="172"/>
        <v>920</v>
      </c>
      <c r="GV35" s="15" t="str">
        <f t="shared" ca="1" si="81"/>
        <v>VIGENTE</v>
      </c>
      <c r="GW35" s="13"/>
      <c r="GX35" s="14">
        <v>45252</v>
      </c>
      <c r="GY35" s="14">
        <f t="shared" si="82"/>
        <v>47079</v>
      </c>
      <c r="GZ35" s="65">
        <f t="shared" ca="1" si="83"/>
        <v>948</v>
      </c>
      <c r="HA35" s="15" t="str">
        <f t="shared" ca="1" si="84"/>
        <v>VIGENTE</v>
      </c>
      <c r="HB35" s="12"/>
      <c r="HC35" s="14">
        <v>45330</v>
      </c>
      <c r="HD35" s="14">
        <f t="shared" si="85"/>
        <v>47157</v>
      </c>
      <c r="HE35" s="65">
        <f t="shared" ca="1" si="86"/>
        <v>1026</v>
      </c>
      <c r="HF35" s="15" t="str">
        <f t="shared" ca="1" si="87"/>
        <v>VIGENTE</v>
      </c>
      <c r="HG35" s="16"/>
      <c r="HH35" s="16"/>
      <c r="HI35" s="14"/>
      <c r="HJ35" s="65"/>
      <c r="HK35" s="15" t="str">
        <f t="shared" si="181"/>
        <v>NO APLICA</v>
      </c>
      <c r="HL35" s="12"/>
      <c r="HM35" s="16"/>
      <c r="HN35" s="14"/>
      <c r="HO35" s="65"/>
      <c r="HP35" s="15" t="str">
        <f t="shared" si="196"/>
        <v>NO APLICA</v>
      </c>
      <c r="HQ35" s="12"/>
      <c r="HR35" s="12"/>
      <c r="HS35" s="14"/>
      <c r="HT35" s="12"/>
      <c r="HU35" s="15" t="str">
        <f t="shared" si="92"/>
        <v>NO APLICA</v>
      </c>
      <c r="HV35" s="12"/>
      <c r="HW35" s="16"/>
      <c r="HX35" s="14"/>
      <c r="HY35" s="65"/>
      <c r="HZ35" s="15" t="str">
        <f t="shared" si="93"/>
        <v>NO APLICA</v>
      </c>
      <c r="IA35" s="12"/>
      <c r="IB35" s="16"/>
      <c r="IC35" s="14"/>
      <c r="ID35" s="65"/>
      <c r="IE35" s="15" t="str">
        <f t="shared" si="94"/>
        <v>NO APLICA</v>
      </c>
      <c r="IF35" s="12"/>
      <c r="IG35" s="16"/>
      <c r="IH35" s="14"/>
      <c r="II35" s="65"/>
      <c r="IJ35" s="15" t="str">
        <f t="shared" si="95"/>
        <v>NO APLICA</v>
      </c>
      <c r="IK35" s="16"/>
      <c r="IL35" s="16"/>
      <c r="IM35" s="14"/>
      <c r="IN35" s="65"/>
      <c r="IO35" s="15" t="str">
        <f t="shared" si="96"/>
        <v>NO APLICA</v>
      </c>
      <c r="IP35" s="12"/>
      <c r="IQ35" s="16"/>
      <c r="IR35" s="14"/>
      <c r="IS35" s="65"/>
      <c r="IT35" s="15" t="str">
        <f t="shared" si="97"/>
        <v>NO APLICA</v>
      </c>
      <c r="IU35" s="12"/>
      <c r="IV35" s="16"/>
      <c r="IW35" s="14"/>
      <c r="IX35" s="65"/>
      <c r="IY35" s="15" t="str">
        <f t="shared" si="98"/>
        <v>NO APLICA</v>
      </c>
      <c r="IZ35" s="12"/>
      <c r="JA35" s="16"/>
      <c r="JB35" s="14"/>
      <c r="JC35" s="65"/>
      <c r="JD35" s="15" t="str">
        <f t="shared" si="99"/>
        <v>NO APLICA</v>
      </c>
      <c r="JE35" s="13"/>
      <c r="JF35" s="13"/>
      <c r="JG35" s="14"/>
      <c r="JH35" s="65"/>
      <c r="JI35" s="15" t="str">
        <f t="shared" si="100"/>
        <v>NO APLICA</v>
      </c>
      <c r="JJ35" s="16"/>
      <c r="JK35" s="16"/>
      <c r="JL35" s="16"/>
      <c r="JM35" s="15" t="str">
        <f t="shared" si="101"/>
        <v>NO APLICA</v>
      </c>
      <c r="JN35" s="16"/>
      <c r="JO35" s="16"/>
      <c r="JP35" s="16"/>
      <c r="JQ35" s="15" t="str">
        <f t="shared" si="102"/>
        <v>NO APLICA</v>
      </c>
      <c r="JR35" s="16"/>
      <c r="JS35" s="16"/>
      <c r="JT35" s="16"/>
      <c r="JU35" s="16"/>
      <c r="JV35" s="15" t="str">
        <f t="shared" si="103"/>
        <v>NO APLICA</v>
      </c>
      <c r="JW35" s="15"/>
      <c r="JX35" s="13">
        <v>45948</v>
      </c>
      <c r="JY35" s="14">
        <f>DATE(YEAR(JX35)+2,MONTH(JX35),DAY(JX35))</f>
        <v>46678</v>
      </c>
      <c r="JZ35" s="65">
        <f ca="1">JY35-TODAY()</f>
        <v>547</v>
      </c>
      <c r="KA35" s="15" t="str">
        <f t="shared" ca="1" si="104"/>
        <v>VIGENTE</v>
      </c>
      <c r="KB35" s="12"/>
      <c r="KC35" s="14"/>
      <c r="KD35" s="65"/>
      <c r="KE35" s="15" t="str">
        <f t="shared" si="105"/>
        <v>NO APLICA</v>
      </c>
      <c r="KF35" s="12"/>
      <c r="KG35" s="14"/>
      <c r="KH35" s="65"/>
      <c r="KI35" s="15" t="str">
        <f t="shared" si="132"/>
        <v>NO APLICA</v>
      </c>
      <c r="KJ35" s="12"/>
      <c r="KK35" s="14"/>
      <c r="KL35" s="65"/>
      <c r="KM35" s="15" t="str">
        <f t="shared" si="106"/>
        <v>NO APLICA</v>
      </c>
      <c r="KN35" s="12"/>
      <c r="KO35" s="14"/>
      <c r="KP35" s="65"/>
      <c r="KQ35" s="15" t="str">
        <f t="shared" si="133"/>
        <v>NO APLICA</v>
      </c>
      <c r="KR35" s="12"/>
      <c r="KS35" s="16"/>
      <c r="KT35" s="14"/>
      <c r="KU35" s="65"/>
      <c r="KV35" s="15" t="str">
        <f t="shared" si="147"/>
        <v>NO APLICA</v>
      </c>
      <c r="KW35" s="16"/>
      <c r="KX35" s="14"/>
      <c r="KY35" s="65"/>
      <c r="KZ35" s="15" t="str">
        <f t="shared" si="134"/>
        <v>NO APLICA</v>
      </c>
      <c r="LA35" s="16"/>
      <c r="LB35" s="16"/>
      <c r="LC35" s="14"/>
      <c r="LD35" s="65"/>
      <c r="LE35" s="15" t="str">
        <f t="shared" si="107"/>
        <v>NO APLICA</v>
      </c>
      <c r="LF35" s="15"/>
      <c r="LG35" s="15"/>
      <c r="LH35" s="15"/>
      <c r="LI35" s="15"/>
      <c r="LJ35" s="15" t="str">
        <f t="shared" si="148"/>
        <v>NO APLICA</v>
      </c>
      <c r="LK35" s="12"/>
      <c r="LL35" s="16"/>
      <c r="LM35" s="14"/>
      <c r="LN35" s="65"/>
      <c r="LO35" s="15" t="str">
        <f t="shared" si="135"/>
        <v>NO APLICA</v>
      </c>
      <c r="LP35" s="16"/>
      <c r="LQ35" s="16"/>
      <c r="LR35" s="14"/>
      <c r="LS35" s="65"/>
      <c r="LT35" s="15" t="str">
        <f t="shared" si="136"/>
        <v>NO APLICA</v>
      </c>
      <c r="LU35" s="16"/>
      <c r="LV35" s="16"/>
      <c r="LW35" s="14"/>
      <c r="LX35" s="65"/>
      <c r="LY35" s="15" t="str">
        <f t="shared" si="137"/>
        <v>NO APLICA</v>
      </c>
      <c r="LZ35" s="12"/>
      <c r="MA35" s="12"/>
      <c r="MB35" s="14"/>
      <c r="MC35" s="65"/>
      <c r="MD35" s="15" t="str">
        <f t="shared" si="108"/>
        <v>NO APLICA</v>
      </c>
      <c r="ME35" s="12"/>
      <c r="MF35" s="12"/>
      <c r="MG35" s="14"/>
      <c r="MH35" s="65"/>
      <c r="MI35" s="15" t="str">
        <f t="shared" si="109"/>
        <v>NO APLICA</v>
      </c>
      <c r="MJ35" s="12"/>
      <c r="MK35" s="14"/>
      <c r="ML35" s="65"/>
      <c r="MM35" s="15" t="str">
        <f t="shared" si="110"/>
        <v>NO APLICA</v>
      </c>
      <c r="MN35" s="12"/>
      <c r="MO35" s="14"/>
      <c r="MP35" s="12"/>
      <c r="MQ35" s="15" t="str">
        <f t="shared" si="111"/>
        <v>NO APLICA</v>
      </c>
      <c r="MR35" s="12"/>
      <c r="MS35" s="16"/>
      <c r="MT35" s="14"/>
      <c r="MU35" s="65"/>
      <c r="MV35" s="15" t="str">
        <f t="shared" si="112"/>
        <v>NO APLICA</v>
      </c>
      <c r="MW35" s="12"/>
      <c r="MX35" s="16"/>
      <c r="MY35" s="14"/>
      <c r="MZ35" s="65"/>
      <c r="NA35" s="15" t="str">
        <f t="shared" si="113"/>
        <v>NO APLICA</v>
      </c>
      <c r="NB35" s="12"/>
      <c r="NC35" s="16"/>
      <c r="ND35" s="14"/>
      <c r="NE35" s="65"/>
      <c r="NF35" s="15" t="str">
        <f t="shared" si="114"/>
        <v>NO APLICA</v>
      </c>
      <c r="NG35" s="12"/>
      <c r="NH35" s="12"/>
      <c r="NI35" s="14"/>
      <c r="NJ35" s="12"/>
      <c r="NK35" s="15" t="str">
        <f t="shared" si="115"/>
        <v>NO APLICA</v>
      </c>
      <c r="NL35" s="12"/>
      <c r="NM35" s="12"/>
      <c r="NN35" s="14"/>
      <c r="NO35" s="12"/>
      <c r="NP35" s="15" t="str">
        <f t="shared" si="116"/>
        <v>NO APLICA</v>
      </c>
      <c r="NQ35" s="16"/>
      <c r="NR35" s="16"/>
      <c r="NS35" s="14"/>
      <c r="NT35" s="65"/>
      <c r="NU35" s="15" t="str">
        <f t="shared" si="117"/>
        <v>NO APLICA</v>
      </c>
      <c r="NV35" s="16"/>
      <c r="NW35" s="16"/>
      <c r="NX35" s="16"/>
      <c r="NY35" s="16"/>
      <c r="NZ35" s="15" t="str">
        <f t="shared" si="118"/>
        <v>NO APLICA</v>
      </c>
    </row>
    <row r="36" spans="1:390" ht="15.6" thickTop="1" thickBot="1" x14ac:dyDescent="0.35">
      <c r="A36" s="9">
        <v>1387</v>
      </c>
      <c r="B36" s="10" t="s">
        <v>218</v>
      </c>
      <c r="C36" s="21" t="s">
        <v>98</v>
      </c>
      <c r="D36" s="64" t="s">
        <v>118</v>
      </c>
      <c r="E36" s="15"/>
      <c r="F36" s="16"/>
      <c r="G36" s="14"/>
      <c r="H36" s="65"/>
      <c r="I36" s="15" t="str">
        <f t="shared" si="0"/>
        <v>NO APLICA</v>
      </c>
      <c r="J36" s="12"/>
      <c r="K36" s="16"/>
      <c r="L36" s="16"/>
      <c r="M36" s="65"/>
      <c r="N36" s="15" t="str">
        <f t="shared" si="1"/>
        <v>NO APLICA</v>
      </c>
      <c r="O36" s="14">
        <v>45589</v>
      </c>
      <c r="P36" s="14">
        <v>45590</v>
      </c>
      <c r="Q36" s="14">
        <f>DATE(YEAR(P36)+2,MONTH(P36),DAY(P36)-1)</f>
        <v>46319</v>
      </c>
      <c r="R36" s="65">
        <f ca="1">Q36-TODAY()</f>
        <v>188</v>
      </c>
      <c r="S36" s="15" t="str">
        <f t="shared" ca="1" si="119"/>
        <v>VIGENTE</v>
      </c>
      <c r="T36" s="12" t="s">
        <v>219</v>
      </c>
      <c r="U36" s="13">
        <v>45425</v>
      </c>
      <c r="V36" s="14">
        <v>45426</v>
      </c>
      <c r="W36" s="14">
        <f t="shared" si="2"/>
        <v>47252</v>
      </c>
      <c r="X36" s="65">
        <f t="shared" ca="1" si="3"/>
        <v>1121</v>
      </c>
      <c r="Y36" s="15" t="str">
        <f t="shared" ca="1" si="4"/>
        <v>VIGENTE</v>
      </c>
      <c r="Z36" s="12" t="s">
        <v>220</v>
      </c>
      <c r="AA36" s="13">
        <v>45191</v>
      </c>
      <c r="AB36" s="14">
        <v>45192</v>
      </c>
      <c r="AC36" s="14">
        <f t="shared" ref="AC36:AC42" si="201">DATE(YEAR(AB36)+5,MONTH(AB36),DAY(AB36))</f>
        <v>47019</v>
      </c>
      <c r="AD36" s="65">
        <f t="shared" ref="AD36:AD42" ca="1" si="202">AC36-TODAY()</f>
        <v>888</v>
      </c>
      <c r="AE36" s="15" t="str">
        <f t="shared" ca="1" si="7"/>
        <v>VIGENTE</v>
      </c>
      <c r="AF36" s="13">
        <v>45163</v>
      </c>
      <c r="AG36" s="14">
        <v>45780</v>
      </c>
      <c r="AH36" s="14">
        <f>DATE(YEAR(AG36)+2,MONTH(AG36),DAY(AG36))</f>
        <v>46510</v>
      </c>
      <c r="AI36" s="65">
        <f t="shared" ca="1" si="8"/>
        <v>379</v>
      </c>
      <c r="AJ36" s="15" t="str">
        <f t="shared" ca="1" si="9"/>
        <v>VIGENTE</v>
      </c>
      <c r="AK36" s="13">
        <v>45189</v>
      </c>
      <c r="AL36" s="14">
        <v>45838</v>
      </c>
      <c r="AM36" s="14">
        <f t="shared" si="187"/>
        <v>46568</v>
      </c>
      <c r="AN36" s="65">
        <f t="shared" ca="1" si="10"/>
        <v>437</v>
      </c>
      <c r="AO36" s="15" t="str">
        <f t="shared" ca="1" si="11"/>
        <v>VIGENTE</v>
      </c>
      <c r="AP36" s="13">
        <v>45130</v>
      </c>
      <c r="AQ36" s="14">
        <v>45775</v>
      </c>
      <c r="AR36" s="14">
        <f>DATE(YEAR(AQ36)+2,MONTH(AQ36),DAY(AQ36))</f>
        <v>46505</v>
      </c>
      <c r="AS36" s="65">
        <f t="shared" ca="1" si="12"/>
        <v>374</v>
      </c>
      <c r="AT36" s="15" t="str">
        <f t="shared" ca="1" si="13"/>
        <v>VIGENTE</v>
      </c>
      <c r="AU36" s="13">
        <v>45128</v>
      </c>
      <c r="AV36" s="14">
        <v>45765</v>
      </c>
      <c r="AW36" s="14">
        <f t="shared" si="188"/>
        <v>46495</v>
      </c>
      <c r="AX36" s="65">
        <f t="shared" ca="1" si="15"/>
        <v>364</v>
      </c>
      <c r="AY36" s="15" t="str">
        <f t="shared" ca="1" si="16"/>
        <v>VIGENTE</v>
      </c>
      <c r="AZ36" s="13">
        <v>45122</v>
      </c>
      <c r="BA36" s="14">
        <v>45742</v>
      </c>
      <c r="BB36" s="14">
        <f>DATE(YEAR(BA36)+2,MONTH(BA36),DAY(BA36)-1)</f>
        <v>46471</v>
      </c>
      <c r="BC36" s="65">
        <f t="shared" ca="1" si="17"/>
        <v>340</v>
      </c>
      <c r="BD36" s="15" t="str">
        <f t="shared" ca="1" si="18"/>
        <v>VIGENTE</v>
      </c>
      <c r="BE36" s="13">
        <v>45177</v>
      </c>
      <c r="BF36" s="14">
        <v>45826</v>
      </c>
      <c r="BG36" s="14">
        <f t="shared" si="189"/>
        <v>46556</v>
      </c>
      <c r="BH36" s="65">
        <f t="shared" ca="1" si="19"/>
        <v>425</v>
      </c>
      <c r="BI36" s="15" t="str">
        <f t="shared" ca="1" si="20"/>
        <v>VIGENTE</v>
      </c>
      <c r="BJ36" s="13">
        <v>45155</v>
      </c>
      <c r="BK36" s="14">
        <v>45797</v>
      </c>
      <c r="BL36" s="14">
        <f t="shared" si="190"/>
        <v>46527</v>
      </c>
      <c r="BM36" s="65">
        <f t="shared" ca="1" si="21"/>
        <v>396</v>
      </c>
      <c r="BN36" s="15" t="str">
        <f t="shared" ca="1" si="22"/>
        <v>VIGENTE</v>
      </c>
      <c r="BO36" s="13">
        <v>45126</v>
      </c>
      <c r="BP36" s="14">
        <v>45772</v>
      </c>
      <c r="BQ36" s="14">
        <f>DATE(YEAR(BP36)+2,MONTH(BP36),DAY(BP36))</f>
        <v>46502</v>
      </c>
      <c r="BR36" s="65">
        <f t="shared" ca="1" si="23"/>
        <v>371</v>
      </c>
      <c r="BS36" s="15" t="str">
        <f t="shared" ca="1" si="24"/>
        <v>VIGENTE</v>
      </c>
      <c r="BT36" s="13">
        <v>45183</v>
      </c>
      <c r="BU36" s="14">
        <v>45853</v>
      </c>
      <c r="BV36" s="14">
        <f>DATE(YEAR(BU36)+2,MONTH(BU36),DAY(BU36))</f>
        <v>46583</v>
      </c>
      <c r="BW36" s="65">
        <f t="shared" ca="1" si="25"/>
        <v>452</v>
      </c>
      <c r="BX36" s="15" t="str">
        <f t="shared" ca="1" si="26"/>
        <v>VIGENTE</v>
      </c>
      <c r="BY36" s="13">
        <v>45879</v>
      </c>
      <c r="BZ36" s="14">
        <v>45818</v>
      </c>
      <c r="CA36" s="14">
        <f t="shared" si="197"/>
        <v>46548</v>
      </c>
      <c r="CB36" s="65">
        <f t="shared" ca="1" si="27"/>
        <v>417</v>
      </c>
      <c r="CC36" s="15" t="str">
        <f t="shared" ca="1" si="28"/>
        <v>VIGENTE</v>
      </c>
      <c r="CD36" s="16" t="s">
        <v>108</v>
      </c>
      <c r="CE36" s="14">
        <v>45615</v>
      </c>
      <c r="CF36" s="14">
        <v>45616</v>
      </c>
      <c r="CG36" s="14">
        <f t="shared" si="29"/>
        <v>47077</v>
      </c>
      <c r="CH36" s="65">
        <f t="shared" ca="1" si="30"/>
        <v>946</v>
      </c>
      <c r="CI36" s="15" t="str">
        <f t="shared" ca="1" si="31"/>
        <v>VIGENTE</v>
      </c>
      <c r="CJ36" s="14">
        <v>45151</v>
      </c>
      <c r="CK36" s="14">
        <v>45801</v>
      </c>
      <c r="CL36" s="14">
        <f>DATE(YEAR(CK36)+2,MONTH(CK36),DAY(CK36)-1)</f>
        <v>46530</v>
      </c>
      <c r="CM36" s="65">
        <f t="shared" ca="1" si="32"/>
        <v>399</v>
      </c>
      <c r="CN36" s="15" t="str">
        <f t="shared" ca="1" si="33"/>
        <v>VIGENTE</v>
      </c>
      <c r="CO36" s="13">
        <v>45132</v>
      </c>
      <c r="CP36" s="14">
        <v>45769</v>
      </c>
      <c r="CQ36" s="14">
        <f>DATE(YEAR(CP36)+2,MONTH(CP36),DAY(CP36))</f>
        <v>46499</v>
      </c>
      <c r="CR36" s="65">
        <f t="shared" ca="1" si="34"/>
        <v>368</v>
      </c>
      <c r="CS36" s="15" t="str">
        <f t="shared" ca="1" si="35"/>
        <v>VIGENTE</v>
      </c>
      <c r="CT36" s="13">
        <v>45086</v>
      </c>
      <c r="CU36" s="14">
        <v>45727</v>
      </c>
      <c r="CV36" s="14">
        <f>DATE(YEAR(CU36)+2,MONTH(CU36),DAY(CU36)-1)</f>
        <v>46456</v>
      </c>
      <c r="CW36" s="65">
        <f t="shared" ca="1" si="36"/>
        <v>325</v>
      </c>
      <c r="CX36" s="15" t="str">
        <f t="shared" ca="1" si="37"/>
        <v>VIGENTE</v>
      </c>
      <c r="CY36" s="13">
        <v>45171</v>
      </c>
      <c r="CZ36" s="14">
        <v>45835</v>
      </c>
      <c r="DA36" s="14">
        <f t="shared" si="200"/>
        <v>46565</v>
      </c>
      <c r="DB36" s="65">
        <f t="shared" ca="1" si="38"/>
        <v>434</v>
      </c>
      <c r="DC36" s="15" t="str">
        <f t="shared" ca="1" si="39"/>
        <v>VIGENTE</v>
      </c>
      <c r="DD36" s="13">
        <v>45129</v>
      </c>
      <c r="DE36" s="14">
        <v>45761</v>
      </c>
      <c r="DF36" s="14">
        <f>DATE(YEAR(DE36)+2,MONTH(DE36),DAY(DE36))</f>
        <v>46491</v>
      </c>
      <c r="DG36" s="65">
        <f t="shared" ca="1" si="40"/>
        <v>360</v>
      </c>
      <c r="DH36" s="15" t="str">
        <f t="shared" ca="1" si="41"/>
        <v>VIGENTE</v>
      </c>
      <c r="DI36" s="12">
        <v>45115</v>
      </c>
      <c r="DJ36" s="14">
        <v>45734</v>
      </c>
      <c r="DK36" s="14">
        <f>DATE(YEAR(DJ36)+2,MONTH(DJ36),DAY(DJ36)-1)</f>
        <v>46463</v>
      </c>
      <c r="DL36" s="65">
        <f t="shared" ca="1" si="43"/>
        <v>332</v>
      </c>
      <c r="DM36" s="15" t="str">
        <f t="shared" ca="1" si="44"/>
        <v>VIGENTE</v>
      </c>
      <c r="DN36" s="14">
        <v>45198</v>
      </c>
      <c r="DO36" s="14">
        <v>45873</v>
      </c>
      <c r="DP36" s="14">
        <f t="shared" si="198"/>
        <v>46603</v>
      </c>
      <c r="DQ36" s="65">
        <f t="shared" ca="1" si="46"/>
        <v>472</v>
      </c>
      <c r="DR36" s="15" t="str">
        <f t="shared" ca="1" si="47"/>
        <v>VIGENTE</v>
      </c>
      <c r="DS36" s="13">
        <v>45131</v>
      </c>
      <c r="DT36" s="14">
        <v>45770</v>
      </c>
      <c r="DU36" s="14">
        <f>DATE(YEAR(DT36)+2,MONTH(DT36),DAY(DT36))</f>
        <v>46500</v>
      </c>
      <c r="DV36" s="65">
        <f t="shared" ca="1" si="48"/>
        <v>369</v>
      </c>
      <c r="DW36" s="15" t="str">
        <f t="shared" ca="1" si="49"/>
        <v>VIGENTE</v>
      </c>
      <c r="DX36" s="13">
        <v>45149</v>
      </c>
      <c r="DY36" s="14">
        <v>45804</v>
      </c>
      <c r="DZ36" s="14">
        <f>DATE(YEAR(DY36)+2,MONTH(DY36),DAY(DY36))</f>
        <v>46534</v>
      </c>
      <c r="EA36" s="65">
        <f t="shared" ca="1" si="50"/>
        <v>403</v>
      </c>
      <c r="EB36" s="15" t="str">
        <f t="shared" ca="1" si="51"/>
        <v>VIGENTE</v>
      </c>
      <c r="EC36" s="13">
        <v>45157</v>
      </c>
      <c r="ED36" s="14">
        <v>45787</v>
      </c>
      <c r="EE36" s="14">
        <f t="shared" si="199"/>
        <v>46517</v>
      </c>
      <c r="EF36" s="65">
        <f t="shared" ca="1" si="52"/>
        <v>386</v>
      </c>
      <c r="EG36" s="15" t="str">
        <f t="shared" ca="1" si="53"/>
        <v>VIGENTE</v>
      </c>
      <c r="EH36" s="13">
        <v>45184</v>
      </c>
      <c r="EI36" s="13">
        <v>45810</v>
      </c>
      <c r="EJ36" s="13">
        <v>45811</v>
      </c>
      <c r="EK36" s="14">
        <v>45812</v>
      </c>
      <c r="EL36" s="14">
        <f t="shared" si="128"/>
        <v>46177</v>
      </c>
      <c r="EM36" s="65">
        <f t="shared" ca="1" si="54"/>
        <v>46</v>
      </c>
      <c r="EN36" s="15" t="str">
        <f t="shared" ca="1" si="55"/>
        <v>POR VENCER</v>
      </c>
      <c r="EO36" s="13">
        <v>45092</v>
      </c>
      <c r="EP36" s="14">
        <v>45754</v>
      </c>
      <c r="EQ36" s="14">
        <f>DATE(YEAR(EP36)+2,MONTH(EP36),DAY(EP36)-1)</f>
        <v>46483</v>
      </c>
      <c r="ER36" s="65">
        <f t="shared" ca="1" si="56"/>
        <v>352</v>
      </c>
      <c r="ES36" s="15" t="str">
        <f t="shared" ca="1" si="57"/>
        <v>VIGENTE</v>
      </c>
      <c r="ET36" s="13">
        <v>45178</v>
      </c>
      <c r="EU36" s="14">
        <v>45824</v>
      </c>
      <c r="EV36" s="14">
        <f>DATE(YEAR(EU36)+2,MONTH(EU36),DAY(EU36))</f>
        <v>46554</v>
      </c>
      <c r="EW36" s="65">
        <f t="shared" ca="1" si="58"/>
        <v>423</v>
      </c>
      <c r="EX36" s="15" t="str">
        <f t="shared" ca="1" si="59"/>
        <v>VIGENTE</v>
      </c>
      <c r="EY36" s="13">
        <v>45162</v>
      </c>
      <c r="EZ36" s="14">
        <v>45794</v>
      </c>
      <c r="FA36" s="14">
        <f t="shared" si="191"/>
        <v>46524</v>
      </c>
      <c r="FB36" s="65">
        <f t="shared" ca="1" si="60"/>
        <v>393</v>
      </c>
      <c r="FC36" s="15" t="str">
        <f t="shared" ca="1" si="61"/>
        <v>VIGENTE</v>
      </c>
      <c r="FD36" s="13">
        <v>45136</v>
      </c>
      <c r="FE36" s="14">
        <v>45783</v>
      </c>
      <c r="FF36" s="14">
        <f t="shared" si="192"/>
        <v>46513</v>
      </c>
      <c r="FG36" s="65">
        <f t="shared" ca="1" si="62"/>
        <v>382</v>
      </c>
      <c r="FH36" s="15" t="str">
        <f t="shared" ca="1" si="63"/>
        <v>VIGENTE</v>
      </c>
      <c r="FI36" s="13">
        <v>45113</v>
      </c>
      <c r="FJ36" s="14">
        <v>45756</v>
      </c>
      <c r="FK36" s="14">
        <f t="shared" si="193"/>
        <v>46486</v>
      </c>
      <c r="FL36" s="65">
        <f t="shared" ca="1" si="64"/>
        <v>355</v>
      </c>
      <c r="FM36" s="15" t="str">
        <f t="shared" ca="1" si="65"/>
        <v>VIGENTE</v>
      </c>
      <c r="FN36" s="13">
        <v>45197</v>
      </c>
      <c r="FO36" s="14">
        <v>45850</v>
      </c>
      <c r="FP36" s="14">
        <f>DATE(YEAR(FO36)+2,MONTH(FO36),DAY(FO36))</f>
        <v>46580</v>
      </c>
      <c r="FQ36" s="65">
        <f t="shared" ca="1" si="67"/>
        <v>449</v>
      </c>
      <c r="FR36" s="15" t="str">
        <f t="shared" ca="1" si="68"/>
        <v>VIGENTE</v>
      </c>
      <c r="FS36" s="13">
        <v>45135</v>
      </c>
      <c r="FT36" s="14">
        <v>45782</v>
      </c>
      <c r="FU36" s="14">
        <f>DATE(YEAR(FT36)+2,MONTH(FT36),DAY(FT36))</f>
        <v>46512</v>
      </c>
      <c r="FV36" s="65">
        <f t="shared" ca="1" si="69"/>
        <v>381</v>
      </c>
      <c r="FW36" s="15" t="str">
        <f t="shared" ca="1" si="70"/>
        <v>VIGENTE</v>
      </c>
      <c r="FX36" s="13">
        <v>45112</v>
      </c>
      <c r="FY36" s="14">
        <v>45758</v>
      </c>
      <c r="FZ36" s="14">
        <f>DATE(YEAR(FY36)+2,MONTH(FY36),DAY(FY36)-1)</f>
        <v>46487</v>
      </c>
      <c r="GA36" s="65">
        <f t="shared" ca="1" si="71"/>
        <v>356</v>
      </c>
      <c r="GB36" s="15" t="str">
        <f t="shared" ca="1" si="72"/>
        <v>VIGENTE</v>
      </c>
      <c r="GC36" s="13">
        <v>45202</v>
      </c>
      <c r="GD36" s="14">
        <v>45874</v>
      </c>
      <c r="GE36" s="14">
        <f>DATE(YEAR(GD36)+2,MONTH(GD36),DAY(GD36))</f>
        <v>46604</v>
      </c>
      <c r="GF36" s="65">
        <f t="shared" ca="1" si="73"/>
        <v>473</v>
      </c>
      <c r="GG36" s="15" t="str">
        <f t="shared" ca="1" si="74"/>
        <v>VIGENTE</v>
      </c>
      <c r="GH36" s="13">
        <v>45195</v>
      </c>
      <c r="GI36" s="14">
        <v>45849</v>
      </c>
      <c r="GJ36" s="14">
        <f>DATE(YEAR(GI36)+2,MONTH(GI36),DAY(GI36))</f>
        <v>46579</v>
      </c>
      <c r="GK36" s="65">
        <f t="shared" ca="1" si="75"/>
        <v>448</v>
      </c>
      <c r="GL36" s="15" t="str">
        <f t="shared" ca="1" si="76"/>
        <v>VIGENTE</v>
      </c>
      <c r="GM36" s="13">
        <v>45182</v>
      </c>
      <c r="GN36" s="14">
        <v>45848</v>
      </c>
      <c r="GO36" s="14">
        <f>DATE(YEAR(GN36)+2,MONTH(GN36),DAY(GN36))</f>
        <v>46578</v>
      </c>
      <c r="GP36" s="65">
        <f t="shared" ca="1" si="77"/>
        <v>447</v>
      </c>
      <c r="GQ36" s="15" t="str">
        <f t="shared" ca="1" si="78"/>
        <v>VIGENTE</v>
      </c>
      <c r="GR36" s="14"/>
      <c r="GS36" s="14">
        <v>45181</v>
      </c>
      <c r="GT36" s="14">
        <f t="shared" si="79"/>
        <v>47008</v>
      </c>
      <c r="GU36" s="65">
        <f t="shared" ca="1" si="172"/>
        <v>877</v>
      </c>
      <c r="GV36" s="15" t="str">
        <f t="shared" ca="1" si="81"/>
        <v>VIGENTE</v>
      </c>
      <c r="GW36" s="13"/>
      <c r="GX36" s="14">
        <v>45203</v>
      </c>
      <c r="GY36" s="14">
        <f t="shared" si="82"/>
        <v>47030</v>
      </c>
      <c r="GZ36" s="65">
        <f t="shared" ca="1" si="83"/>
        <v>899</v>
      </c>
      <c r="HA36" s="15" t="str">
        <f t="shared" ca="1" si="84"/>
        <v>VIGENTE</v>
      </c>
      <c r="HB36" s="12"/>
      <c r="HC36" s="14">
        <v>45187</v>
      </c>
      <c r="HD36" s="14">
        <f t="shared" si="85"/>
        <v>47014</v>
      </c>
      <c r="HE36" s="65">
        <f t="shared" ca="1" si="86"/>
        <v>883</v>
      </c>
      <c r="HF36" s="15" t="str">
        <f t="shared" ca="1" si="87"/>
        <v>VIGENTE</v>
      </c>
      <c r="HG36" s="16"/>
      <c r="HH36" s="14">
        <v>45196</v>
      </c>
      <c r="HI36" s="14">
        <f t="shared" ref="HI36:HI42" si="203">DATE(YEAR(HH36)+5,MONTH(HH36),DAY(HH36))</f>
        <v>47023</v>
      </c>
      <c r="HJ36" s="65">
        <f t="shared" ref="HJ36:HJ42" ca="1" si="204">HI36-TODAY()</f>
        <v>892</v>
      </c>
      <c r="HK36" s="15" t="str">
        <f t="shared" ca="1" si="181"/>
        <v>VIGENTE</v>
      </c>
      <c r="HL36" s="12"/>
      <c r="HM36" s="16"/>
      <c r="HN36" s="14"/>
      <c r="HO36" s="65"/>
      <c r="HP36" s="15" t="str">
        <f t="shared" si="196"/>
        <v>NO APLICA</v>
      </c>
      <c r="HQ36" s="12"/>
      <c r="HR36" s="12"/>
      <c r="HS36" s="14"/>
      <c r="HT36" s="12"/>
      <c r="HU36" s="15" t="str">
        <f t="shared" si="92"/>
        <v>NO APLICA</v>
      </c>
      <c r="HV36" s="12"/>
      <c r="HW36" s="16"/>
      <c r="HX36" s="14"/>
      <c r="HY36" s="65"/>
      <c r="HZ36" s="15" t="str">
        <f t="shared" si="93"/>
        <v>NO APLICA</v>
      </c>
      <c r="IA36" s="12"/>
      <c r="IB36" s="16"/>
      <c r="IC36" s="14"/>
      <c r="ID36" s="65"/>
      <c r="IE36" s="15" t="str">
        <f t="shared" si="94"/>
        <v>NO APLICA</v>
      </c>
      <c r="IF36" s="12"/>
      <c r="IG36" s="16"/>
      <c r="IH36" s="14"/>
      <c r="II36" s="65"/>
      <c r="IJ36" s="15" t="str">
        <f t="shared" si="95"/>
        <v>NO APLICA</v>
      </c>
      <c r="IK36" s="16"/>
      <c r="IL36" s="16"/>
      <c r="IM36" s="14"/>
      <c r="IN36" s="65"/>
      <c r="IO36" s="15" t="str">
        <f t="shared" si="96"/>
        <v>NO APLICA</v>
      </c>
      <c r="IP36" s="12"/>
      <c r="IQ36" s="16"/>
      <c r="IR36" s="14"/>
      <c r="IS36" s="65"/>
      <c r="IT36" s="15" t="str">
        <f t="shared" si="97"/>
        <v>NO APLICA</v>
      </c>
      <c r="IU36" s="12"/>
      <c r="IV36" s="16"/>
      <c r="IW36" s="14"/>
      <c r="IX36" s="65"/>
      <c r="IY36" s="15" t="str">
        <f t="shared" si="98"/>
        <v>NO APLICA</v>
      </c>
      <c r="IZ36" s="12"/>
      <c r="JA36" s="16"/>
      <c r="JB36" s="14"/>
      <c r="JC36" s="65"/>
      <c r="JD36" s="15" t="str">
        <f t="shared" si="99"/>
        <v>NO APLICA</v>
      </c>
      <c r="JE36" s="13"/>
      <c r="JF36" s="13"/>
      <c r="JG36" s="14"/>
      <c r="JH36" s="65"/>
      <c r="JI36" s="15" t="str">
        <f t="shared" si="100"/>
        <v>NO APLICA</v>
      </c>
      <c r="JJ36" s="16"/>
      <c r="JK36" s="16"/>
      <c r="JL36" s="16"/>
      <c r="JM36" s="15" t="str">
        <f t="shared" si="101"/>
        <v>NO APLICA</v>
      </c>
      <c r="JN36" s="16"/>
      <c r="JO36" s="16"/>
      <c r="JP36" s="16"/>
      <c r="JQ36" s="15" t="str">
        <f t="shared" si="102"/>
        <v>NO APLICA</v>
      </c>
      <c r="JR36" s="16"/>
      <c r="JS36" s="16"/>
      <c r="JT36" s="16"/>
      <c r="JU36" s="16"/>
      <c r="JV36" s="15" t="str">
        <f t="shared" si="103"/>
        <v>NO APLICA</v>
      </c>
      <c r="JW36" s="15"/>
      <c r="JX36" s="15"/>
      <c r="JY36" s="15"/>
      <c r="JZ36" s="15"/>
      <c r="KA36" s="15" t="str">
        <f t="shared" si="104"/>
        <v>NO APLICA</v>
      </c>
      <c r="KB36" s="12"/>
      <c r="KC36" s="14"/>
      <c r="KD36" s="65"/>
      <c r="KE36" s="15" t="str">
        <f t="shared" si="105"/>
        <v>NO APLICA</v>
      </c>
      <c r="KF36" s="12"/>
      <c r="KG36" s="14"/>
      <c r="KH36" s="65"/>
      <c r="KI36" s="15" t="str">
        <f t="shared" si="132"/>
        <v>NO APLICA</v>
      </c>
      <c r="KJ36" s="12"/>
      <c r="KK36" s="14"/>
      <c r="KL36" s="65"/>
      <c r="KM36" s="15" t="str">
        <f t="shared" si="106"/>
        <v>NO APLICA</v>
      </c>
      <c r="KN36" s="12"/>
      <c r="KO36" s="14"/>
      <c r="KP36" s="65"/>
      <c r="KQ36" s="15" t="str">
        <f t="shared" si="133"/>
        <v>NO APLICA</v>
      </c>
      <c r="KR36" s="13">
        <v>44655</v>
      </c>
      <c r="KS36" s="14">
        <v>44656</v>
      </c>
      <c r="KT36" s="14">
        <f>DATE(YEAR(KS36)+5,MONTH(KS36),DAY(KS36))</f>
        <v>46482</v>
      </c>
      <c r="KU36" s="65">
        <f ca="1">KT36-TODAY()</f>
        <v>351</v>
      </c>
      <c r="KV36" s="15" t="str">
        <f t="shared" ca="1" si="147"/>
        <v>VIGENTE</v>
      </c>
      <c r="KW36" s="14">
        <v>44613</v>
      </c>
      <c r="KX36" s="14">
        <f>DATE(YEAR(KW36)+5,MONTH(KW36),DAY(KW36))</f>
        <v>46439</v>
      </c>
      <c r="KY36" s="65">
        <f ca="1">KX36-TODAY()</f>
        <v>308</v>
      </c>
      <c r="KZ36" s="15" t="str">
        <f t="shared" ca="1" si="134"/>
        <v>VIGENTE</v>
      </c>
      <c r="LA36" s="16"/>
      <c r="LB36" s="16"/>
      <c r="LC36" s="14"/>
      <c r="LD36" s="65"/>
      <c r="LE36" s="15" t="str">
        <f t="shared" si="107"/>
        <v>NO APLICA</v>
      </c>
      <c r="LF36" s="15"/>
      <c r="LG36" s="15"/>
      <c r="LH36" s="14"/>
      <c r="LI36" s="65"/>
      <c r="LJ36" s="15" t="str">
        <f t="shared" si="148"/>
        <v>NO APLICA</v>
      </c>
      <c r="LK36" s="12"/>
      <c r="LL36" s="16"/>
      <c r="LM36" s="14"/>
      <c r="LN36" s="65"/>
      <c r="LO36" s="15" t="str">
        <f t="shared" si="135"/>
        <v>NO APLICA</v>
      </c>
      <c r="LP36" s="16"/>
      <c r="LQ36" s="16"/>
      <c r="LR36" s="14"/>
      <c r="LS36" s="65"/>
      <c r="LT36" s="15" t="str">
        <f t="shared" si="136"/>
        <v>NO APLICA</v>
      </c>
      <c r="LU36" s="16"/>
      <c r="LV36" s="16"/>
      <c r="LW36" s="14"/>
      <c r="LX36" s="65"/>
      <c r="LY36" s="15" t="str">
        <f t="shared" si="137"/>
        <v>NO APLICA</v>
      </c>
      <c r="LZ36" s="13">
        <v>44998</v>
      </c>
      <c r="MA36" s="13">
        <v>44998</v>
      </c>
      <c r="MB36" s="14">
        <f>DATE(YEAR(MA36)+5,MONTH(MA36),DAY(MA36))</f>
        <v>46825</v>
      </c>
      <c r="MC36" s="65">
        <f ca="1">MB36-TODAY()</f>
        <v>694</v>
      </c>
      <c r="MD36" s="15" t="str">
        <f t="shared" ca="1" si="108"/>
        <v>VIGENTE</v>
      </c>
      <c r="ME36" s="12"/>
      <c r="MF36" s="12"/>
      <c r="MG36" s="14"/>
      <c r="MH36" s="65"/>
      <c r="MI36" s="15" t="str">
        <f t="shared" si="109"/>
        <v>NO APLICA</v>
      </c>
      <c r="MJ36" s="12"/>
      <c r="MK36" s="14"/>
      <c r="ML36" s="65"/>
      <c r="MM36" s="15" t="str">
        <f t="shared" si="110"/>
        <v>NO APLICA</v>
      </c>
      <c r="MN36" s="12"/>
      <c r="MO36" s="14"/>
      <c r="MP36" s="12"/>
      <c r="MQ36" s="15" t="str">
        <f t="shared" si="111"/>
        <v>NO APLICA</v>
      </c>
      <c r="MR36" s="12"/>
      <c r="MS36" s="16"/>
      <c r="MT36" s="14"/>
      <c r="MU36" s="65"/>
      <c r="MV36" s="15" t="str">
        <f t="shared" si="112"/>
        <v>NO APLICA</v>
      </c>
      <c r="MW36" s="12"/>
      <c r="MX36" s="16"/>
      <c r="MY36" s="14"/>
      <c r="MZ36" s="65"/>
      <c r="NA36" s="15" t="str">
        <f t="shared" si="113"/>
        <v>NO APLICA</v>
      </c>
      <c r="NB36" s="12"/>
      <c r="NC36" s="16"/>
      <c r="ND36" s="14"/>
      <c r="NE36" s="65"/>
      <c r="NF36" s="15" t="str">
        <f t="shared" si="114"/>
        <v>NO APLICA</v>
      </c>
      <c r="NG36" s="12"/>
      <c r="NH36" s="12"/>
      <c r="NI36" s="14"/>
      <c r="NJ36" s="65"/>
      <c r="NK36" s="15" t="str">
        <f t="shared" si="115"/>
        <v>NO APLICA</v>
      </c>
      <c r="NL36" s="12"/>
      <c r="NM36" s="12"/>
      <c r="NN36" s="14"/>
      <c r="NO36" s="12"/>
      <c r="NP36" s="15" t="str">
        <f t="shared" si="116"/>
        <v>NO APLICA</v>
      </c>
      <c r="NQ36" s="16"/>
      <c r="NR36" s="16"/>
      <c r="NS36" s="14"/>
      <c r="NT36" s="65"/>
      <c r="NU36" s="15" t="str">
        <f t="shared" si="117"/>
        <v>NO APLICA</v>
      </c>
      <c r="NV36" s="16"/>
      <c r="NW36" s="16"/>
      <c r="NX36" s="16"/>
      <c r="NY36" s="16"/>
      <c r="NZ36" s="15" t="str">
        <f t="shared" si="118"/>
        <v>NO APLICA</v>
      </c>
    </row>
    <row r="37" spans="1:390" ht="15.6" thickTop="1" thickBot="1" x14ac:dyDescent="0.35">
      <c r="A37" s="9">
        <v>1602</v>
      </c>
      <c r="B37" s="10" t="s">
        <v>221</v>
      </c>
      <c r="C37" s="21" t="s">
        <v>98</v>
      </c>
      <c r="D37" s="64" t="s">
        <v>202</v>
      </c>
      <c r="E37" s="15"/>
      <c r="F37" s="16"/>
      <c r="G37" s="14"/>
      <c r="H37" s="65"/>
      <c r="I37" s="15" t="str">
        <f t="shared" si="0"/>
        <v>NO APLICA</v>
      </c>
      <c r="J37" s="13">
        <v>46096</v>
      </c>
      <c r="K37" s="14">
        <v>46090</v>
      </c>
      <c r="L37" s="14">
        <f>DATE(YEAR(K37),MONTH(K37)+6,DAY(K37))</f>
        <v>46274</v>
      </c>
      <c r="M37" s="65">
        <f ca="1">L37-TODAY()</f>
        <v>143</v>
      </c>
      <c r="N37" s="15" t="str">
        <f t="shared" ca="1" si="1"/>
        <v>VIGENTE</v>
      </c>
      <c r="O37" s="14">
        <v>45589</v>
      </c>
      <c r="P37" s="14">
        <v>45590</v>
      </c>
      <c r="Q37" s="14">
        <f>DATE(YEAR(P37)+2,MONTH(P37),DAY(P37)-1)</f>
        <v>46319</v>
      </c>
      <c r="R37" s="65">
        <f ca="1">Q37-TODAY()</f>
        <v>188</v>
      </c>
      <c r="S37" s="15" t="str">
        <f t="shared" ca="1" si="119"/>
        <v>VIGENTE</v>
      </c>
      <c r="T37" s="12" t="s">
        <v>222</v>
      </c>
      <c r="U37" s="13">
        <v>44700</v>
      </c>
      <c r="V37" s="14">
        <v>44701</v>
      </c>
      <c r="W37" s="14">
        <f t="shared" si="2"/>
        <v>46527</v>
      </c>
      <c r="X37" s="65">
        <f t="shared" ca="1" si="3"/>
        <v>396</v>
      </c>
      <c r="Y37" s="15" t="str">
        <f t="shared" ca="1" si="4"/>
        <v>VIGENTE</v>
      </c>
      <c r="Z37" s="12" t="s">
        <v>223</v>
      </c>
      <c r="AA37" s="13">
        <v>45189</v>
      </c>
      <c r="AB37" s="14">
        <v>45190</v>
      </c>
      <c r="AC37" s="14">
        <f t="shared" si="201"/>
        <v>47017</v>
      </c>
      <c r="AD37" s="65">
        <f t="shared" ca="1" si="202"/>
        <v>886</v>
      </c>
      <c r="AE37" s="15" t="str">
        <f t="shared" ca="1" si="7"/>
        <v>VIGENTE</v>
      </c>
      <c r="AF37" s="13">
        <v>44621</v>
      </c>
      <c r="AG37" s="14">
        <v>45936</v>
      </c>
      <c r="AH37" s="14">
        <f>DATE(YEAR(AG37)+2,MONTH(AG37),DAY(AG37))</f>
        <v>46666</v>
      </c>
      <c r="AI37" s="65">
        <f t="shared" ca="1" si="8"/>
        <v>535</v>
      </c>
      <c r="AJ37" s="15" t="str">
        <f t="shared" ca="1" si="9"/>
        <v>VIGENTE</v>
      </c>
      <c r="AK37" s="13">
        <v>44620</v>
      </c>
      <c r="AL37" s="14">
        <v>45937</v>
      </c>
      <c r="AM37" s="14">
        <f t="shared" si="187"/>
        <v>46667</v>
      </c>
      <c r="AN37" s="65">
        <f t="shared" ca="1" si="10"/>
        <v>536</v>
      </c>
      <c r="AO37" s="15" t="str">
        <f t="shared" ca="1" si="11"/>
        <v>VIGENTE</v>
      </c>
      <c r="AP37" s="13">
        <v>44671</v>
      </c>
      <c r="AQ37" s="14">
        <v>45904</v>
      </c>
      <c r="AR37" s="14">
        <f>DATE(YEAR(AQ37)+2,MONTH(AQ37),DAY(AQ37))</f>
        <v>46634</v>
      </c>
      <c r="AS37" s="65">
        <f t="shared" ca="1" si="12"/>
        <v>503</v>
      </c>
      <c r="AT37" s="15" t="str">
        <f t="shared" ca="1" si="13"/>
        <v>VIGENTE</v>
      </c>
      <c r="AU37" s="13">
        <v>45323</v>
      </c>
      <c r="AV37" s="14">
        <v>45972</v>
      </c>
      <c r="AW37" s="14">
        <f t="shared" si="188"/>
        <v>46702</v>
      </c>
      <c r="AX37" s="65">
        <f t="shared" ca="1" si="15"/>
        <v>571</v>
      </c>
      <c r="AY37" s="15" t="str">
        <f t="shared" ca="1" si="16"/>
        <v>VIGENTE</v>
      </c>
      <c r="AZ37" s="13">
        <v>45387</v>
      </c>
      <c r="BA37" s="14">
        <v>46041</v>
      </c>
      <c r="BB37" s="14">
        <f>DATE(YEAR(BA37)+2,MONTH(BA37),DAY(BA37))</f>
        <v>46771</v>
      </c>
      <c r="BC37" s="65">
        <f t="shared" ca="1" si="17"/>
        <v>640</v>
      </c>
      <c r="BD37" s="15" t="str">
        <f t="shared" ca="1" si="18"/>
        <v>VIGENTE</v>
      </c>
      <c r="BE37" s="13">
        <v>45399</v>
      </c>
      <c r="BF37" s="14">
        <v>46027</v>
      </c>
      <c r="BG37" s="14">
        <f t="shared" si="189"/>
        <v>46757</v>
      </c>
      <c r="BH37" s="65">
        <f t="shared" ca="1" si="19"/>
        <v>626</v>
      </c>
      <c r="BI37" s="15" t="str">
        <f t="shared" ca="1" si="20"/>
        <v>VIGENTE</v>
      </c>
      <c r="BJ37" s="13">
        <v>44795</v>
      </c>
      <c r="BK37" s="14">
        <v>46051</v>
      </c>
      <c r="BL37" s="14">
        <f t="shared" si="190"/>
        <v>46781</v>
      </c>
      <c r="BM37" s="65">
        <f t="shared" ca="1" si="21"/>
        <v>650</v>
      </c>
      <c r="BN37" s="15" t="str">
        <f t="shared" ca="1" si="22"/>
        <v>VIGENTE</v>
      </c>
      <c r="BO37" s="13">
        <v>44798</v>
      </c>
      <c r="BP37" s="14">
        <v>45470</v>
      </c>
      <c r="BQ37" s="14">
        <f>DATE(YEAR(BP37)+2,MONTH(BP37),DAY(BP37)-1)</f>
        <v>46199</v>
      </c>
      <c r="BR37" s="65">
        <f t="shared" ca="1" si="23"/>
        <v>68</v>
      </c>
      <c r="BS37" s="15" t="str">
        <f t="shared" ca="1" si="24"/>
        <v>POR VENCER</v>
      </c>
      <c r="BT37" s="13">
        <v>44793</v>
      </c>
      <c r="BU37" s="14">
        <v>45455</v>
      </c>
      <c r="BV37" s="14">
        <f t="shared" ref="BV37:BV42" si="205">DATE(YEAR(BU37)+2,MONTH(BU37),DAY(BU37)-1)</f>
        <v>46184</v>
      </c>
      <c r="BW37" s="65">
        <f t="shared" ca="1" si="25"/>
        <v>53</v>
      </c>
      <c r="BX37" s="15" t="str">
        <f t="shared" ca="1" si="26"/>
        <v>POR VENCER</v>
      </c>
      <c r="BY37" s="13">
        <v>44622</v>
      </c>
      <c r="BZ37" s="14">
        <v>45944</v>
      </c>
      <c r="CA37" s="14">
        <f t="shared" si="197"/>
        <v>46674</v>
      </c>
      <c r="CB37" s="65">
        <f t="shared" ca="1" si="27"/>
        <v>543</v>
      </c>
      <c r="CC37" s="15" t="str">
        <f t="shared" ca="1" si="28"/>
        <v>VIGENTE</v>
      </c>
      <c r="CD37" s="16" t="s">
        <v>108</v>
      </c>
      <c r="CE37" s="14">
        <v>45392</v>
      </c>
      <c r="CF37" s="14">
        <v>45393</v>
      </c>
      <c r="CG37" s="14">
        <f t="shared" si="29"/>
        <v>46854</v>
      </c>
      <c r="CH37" s="65">
        <f t="shared" ca="1" si="30"/>
        <v>723</v>
      </c>
      <c r="CI37" s="15" t="str">
        <f t="shared" ca="1" si="31"/>
        <v>VIGENTE</v>
      </c>
      <c r="CJ37" s="14">
        <v>44790</v>
      </c>
      <c r="CK37" s="14">
        <v>45452</v>
      </c>
      <c r="CL37" s="14">
        <f>DATE(YEAR(CK37)+2,MONTH(CK37),DAY(CK37)-1)</f>
        <v>46181</v>
      </c>
      <c r="CM37" s="65">
        <f t="shared" ca="1" si="32"/>
        <v>50</v>
      </c>
      <c r="CN37" s="15" t="str">
        <f t="shared" ca="1" si="33"/>
        <v>POR VENCER</v>
      </c>
      <c r="CO37" s="13">
        <v>44790</v>
      </c>
      <c r="CP37" s="14">
        <v>45481</v>
      </c>
      <c r="CQ37" s="14">
        <f t="shared" ref="CQ37:CQ43" si="206">DATE(YEAR(CP37)+2,MONTH(CP37),DAY(CP37)-1)</f>
        <v>46210</v>
      </c>
      <c r="CR37" s="65">
        <f t="shared" ca="1" si="34"/>
        <v>79</v>
      </c>
      <c r="CS37" s="15" t="str">
        <f t="shared" ca="1" si="35"/>
        <v>POR VENCER</v>
      </c>
      <c r="CT37" s="13">
        <v>44670</v>
      </c>
      <c r="CU37" s="14">
        <v>45905</v>
      </c>
      <c r="CV37" s="14">
        <f>DATE(YEAR(CU37)+2,MONTH(CU37),DAY(CU37))</f>
        <v>46635</v>
      </c>
      <c r="CW37" s="65">
        <f t="shared" ca="1" si="36"/>
        <v>504</v>
      </c>
      <c r="CX37" s="15" t="str">
        <f t="shared" ca="1" si="37"/>
        <v>VIGENTE</v>
      </c>
      <c r="CY37" s="13">
        <v>44643</v>
      </c>
      <c r="CZ37" s="14">
        <v>46000</v>
      </c>
      <c r="DA37" s="14">
        <f t="shared" si="200"/>
        <v>46730</v>
      </c>
      <c r="DB37" s="65">
        <f t="shared" ca="1" si="38"/>
        <v>599</v>
      </c>
      <c r="DC37" s="15" t="str">
        <f t="shared" ca="1" si="39"/>
        <v>VIGENTE</v>
      </c>
      <c r="DD37" s="13">
        <v>44798</v>
      </c>
      <c r="DE37" s="14">
        <v>45463</v>
      </c>
      <c r="DF37" s="14">
        <f>DATE(YEAR(DE37)+2,MONTH(DE37),DAY(DE37)-1)</f>
        <v>46192</v>
      </c>
      <c r="DG37" s="65">
        <f t="shared" ca="1" si="40"/>
        <v>61</v>
      </c>
      <c r="DH37" s="15" t="str">
        <f t="shared" ca="1" si="41"/>
        <v>POR VENCER</v>
      </c>
      <c r="DI37" s="13">
        <v>45312</v>
      </c>
      <c r="DJ37" s="14">
        <v>45975</v>
      </c>
      <c r="DK37" s="14">
        <f>DATE(YEAR(DJ37)+2,MONTH(DJ37),DAY(DJ37))</f>
        <v>46705</v>
      </c>
      <c r="DL37" s="65">
        <f t="shared" ca="1" si="43"/>
        <v>574</v>
      </c>
      <c r="DM37" s="15" t="str">
        <f t="shared" ca="1" si="44"/>
        <v>VIGENTE</v>
      </c>
      <c r="DN37" s="13">
        <v>45316</v>
      </c>
      <c r="DO37" s="14">
        <v>45982</v>
      </c>
      <c r="DP37" s="14">
        <f t="shared" si="198"/>
        <v>46712</v>
      </c>
      <c r="DQ37" s="65">
        <f t="shared" ca="1" si="46"/>
        <v>581</v>
      </c>
      <c r="DR37" s="15" t="str">
        <f t="shared" ca="1" si="47"/>
        <v>VIGENTE</v>
      </c>
      <c r="DS37" s="13">
        <v>44792</v>
      </c>
      <c r="DT37" s="14">
        <v>46053</v>
      </c>
      <c r="DU37" s="14">
        <f>DATE(YEAR(DT37)+2,MONTH(DT37),DAY(DT37))</f>
        <v>46783</v>
      </c>
      <c r="DV37" s="65">
        <f t="shared" ca="1" si="48"/>
        <v>652</v>
      </c>
      <c r="DW37" s="15" t="str">
        <f t="shared" ca="1" si="49"/>
        <v>VIGENTE</v>
      </c>
      <c r="DX37" s="13">
        <v>45432</v>
      </c>
      <c r="DY37" s="14">
        <v>46099</v>
      </c>
      <c r="DZ37" s="14">
        <f>DATE(YEAR(DY37)+2,MONTH(DY37),DAY(DY37))</f>
        <v>46830</v>
      </c>
      <c r="EA37" s="65">
        <f t="shared" ca="1" si="50"/>
        <v>699</v>
      </c>
      <c r="EB37" s="15" t="str">
        <f t="shared" ca="1" si="51"/>
        <v>VIGENTE</v>
      </c>
      <c r="EC37" s="13">
        <v>45450</v>
      </c>
      <c r="ED37" s="14">
        <v>46104</v>
      </c>
      <c r="EE37" s="14">
        <f t="shared" si="199"/>
        <v>46835</v>
      </c>
      <c r="EF37" s="65">
        <f t="shared" ca="1" si="52"/>
        <v>704</v>
      </c>
      <c r="EG37" s="15" t="str">
        <f t="shared" ca="1" si="53"/>
        <v>VIGENTE</v>
      </c>
      <c r="EH37" s="13">
        <v>45423</v>
      </c>
      <c r="EI37" s="13">
        <v>46058</v>
      </c>
      <c r="EJ37" s="13">
        <v>46059</v>
      </c>
      <c r="EK37" s="13">
        <v>46060</v>
      </c>
      <c r="EL37" s="14">
        <f t="shared" si="128"/>
        <v>46425</v>
      </c>
      <c r="EM37" s="65">
        <f t="shared" ca="1" si="54"/>
        <v>294</v>
      </c>
      <c r="EN37" s="15" t="str">
        <f t="shared" ca="1" si="55"/>
        <v>VIGENTE</v>
      </c>
      <c r="EO37" s="13">
        <v>44796</v>
      </c>
      <c r="EP37" s="14">
        <v>46100</v>
      </c>
      <c r="EQ37" s="14">
        <f>DATE(YEAR(EP37)+2,MONTH(EP37),DAY(EP37))</f>
        <v>46831</v>
      </c>
      <c r="ER37" s="65">
        <f t="shared" ca="1" si="56"/>
        <v>700</v>
      </c>
      <c r="ES37" s="15" t="str">
        <f t="shared" ca="1" si="57"/>
        <v>VIGENTE</v>
      </c>
      <c r="ET37" s="13">
        <v>44793</v>
      </c>
      <c r="EU37" s="14">
        <v>46094</v>
      </c>
      <c r="EV37" s="14">
        <f>DATE(YEAR(EU37)+2,MONTH(EU37),DAY(EU37))</f>
        <v>46825</v>
      </c>
      <c r="EW37" s="65">
        <f t="shared" ca="1" si="58"/>
        <v>694</v>
      </c>
      <c r="EX37" s="15" t="str">
        <f t="shared" ca="1" si="59"/>
        <v>VIGENTE</v>
      </c>
      <c r="EY37" s="13">
        <v>45271</v>
      </c>
      <c r="EZ37" s="14">
        <v>45917</v>
      </c>
      <c r="FA37" s="14">
        <f t="shared" si="191"/>
        <v>46647</v>
      </c>
      <c r="FB37" s="65">
        <f t="shared" ca="1" si="60"/>
        <v>516</v>
      </c>
      <c r="FC37" s="15" t="str">
        <f t="shared" ca="1" si="61"/>
        <v>VIGENTE</v>
      </c>
      <c r="FD37" s="13">
        <v>44622</v>
      </c>
      <c r="FE37" s="14">
        <v>45931</v>
      </c>
      <c r="FF37" s="14">
        <f t="shared" si="192"/>
        <v>46661</v>
      </c>
      <c r="FG37" s="65">
        <f t="shared" ca="1" si="62"/>
        <v>530</v>
      </c>
      <c r="FH37" s="15" t="str">
        <f t="shared" ca="1" si="63"/>
        <v>VIGENTE</v>
      </c>
      <c r="FI37" s="13">
        <v>45248</v>
      </c>
      <c r="FJ37" s="14">
        <v>45919</v>
      </c>
      <c r="FK37" s="14">
        <f t="shared" si="193"/>
        <v>46649</v>
      </c>
      <c r="FL37" s="65">
        <f t="shared" ca="1" si="64"/>
        <v>518</v>
      </c>
      <c r="FM37" s="15" t="str">
        <f t="shared" ca="1" si="65"/>
        <v>VIGENTE</v>
      </c>
      <c r="FN37" s="13">
        <v>44803</v>
      </c>
      <c r="FO37" s="14">
        <v>45479</v>
      </c>
      <c r="FP37" s="14">
        <f>DATE(YEAR(FO37)+2,MONTH(FO37),DAY(FO37)-1)</f>
        <v>46208</v>
      </c>
      <c r="FQ37" s="65">
        <f t="shared" ca="1" si="67"/>
        <v>77</v>
      </c>
      <c r="FR37" s="15" t="str">
        <f t="shared" ca="1" si="68"/>
        <v>POR VENCER</v>
      </c>
      <c r="FS37" s="13">
        <v>44797</v>
      </c>
      <c r="FT37" s="14">
        <v>45458</v>
      </c>
      <c r="FU37" s="14">
        <f>DATE(YEAR(FT37)+2,MONTH(FT37),DAY(FT37)-1)</f>
        <v>46187</v>
      </c>
      <c r="FV37" s="65">
        <f t="shared" ca="1" si="69"/>
        <v>56</v>
      </c>
      <c r="FW37" s="15" t="str">
        <f t="shared" ca="1" si="70"/>
        <v>POR VENCER</v>
      </c>
      <c r="FX37" s="14">
        <v>44943</v>
      </c>
      <c r="FY37" s="14">
        <v>45587</v>
      </c>
      <c r="FZ37" s="14">
        <f>DATE(YEAR(FY37)+2,MONTH(FY37),DAY(FY37)-1)</f>
        <v>46316</v>
      </c>
      <c r="GA37" s="65">
        <f t="shared" ca="1" si="71"/>
        <v>185</v>
      </c>
      <c r="GB37" s="15" t="str">
        <f t="shared" ca="1" si="72"/>
        <v>VIGENTE</v>
      </c>
      <c r="GC37" s="13">
        <v>44923</v>
      </c>
      <c r="GD37" s="14">
        <v>45595</v>
      </c>
      <c r="GE37" s="14">
        <f>DATE(YEAR(GD37)+2,MONTH(GD37),DAY(GD37)-1)</f>
        <v>46324</v>
      </c>
      <c r="GF37" s="65">
        <f t="shared" ca="1" si="73"/>
        <v>193</v>
      </c>
      <c r="GG37" s="15" t="str">
        <f t="shared" ca="1" si="74"/>
        <v>VIGENTE</v>
      </c>
      <c r="GH37" s="13">
        <v>44796</v>
      </c>
      <c r="GI37" s="14">
        <v>45472</v>
      </c>
      <c r="GJ37" s="14">
        <f>DATE(YEAR(GI37)+2,MONTH(GI37),DAY(GI37)-1)</f>
        <v>46201</v>
      </c>
      <c r="GK37" s="65">
        <f t="shared" ca="1" si="75"/>
        <v>70</v>
      </c>
      <c r="GL37" s="15" t="str">
        <f t="shared" ca="1" si="76"/>
        <v>POR VENCER</v>
      </c>
      <c r="GM37" s="13">
        <v>45024</v>
      </c>
      <c r="GN37" s="14">
        <v>45687</v>
      </c>
      <c r="GO37" s="14">
        <f>DATE(YEAR(GN37)+2,MONTH(GN37),DAY(GN37)-1)</f>
        <v>46416</v>
      </c>
      <c r="GP37" s="65">
        <f t="shared" ca="1" si="77"/>
        <v>285</v>
      </c>
      <c r="GQ37" s="15" t="str">
        <f t="shared" ca="1" si="78"/>
        <v>VIGENTE</v>
      </c>
      <c r="GR37" s="14">
        <v>44784</v>
      </c>
      <c r="GS37" s="14">
        <v>45459</v>
      </c>
      <c r="GT37" s="14">
        <f t="shared" si="79"/>
        <v>47285</v>
      </c>
      <c r="GU37" s="65">
        <f t="shared" ca="1" si="172"/>
        <v>1154</v>
      </c>
      <c r="GV37" s="15" t="str">
        <f t="shared" ca="1" si="81"/>
        <v>VIGENTE</v>
      </c>
      <c r="GW37" s="13">
        <v>44785</v>
      </c>
      <c r="GX37" s="14">
        <v>45478</v>
      </c>
      <c r="GY37" s="14">
        <f t="shared" si="82"/>
        <v>47304</v>
      </c>
      <c r="GZ37" s="65">
        <f t="shared" ca="1" si="83"/>
        <v>1173</v>
      </c>
      <c r="HA37" s="15" t="str">
        <f t="shared" ca="1" si="84"/>
        <v>VIGENTE</v>
      </c>
      <c r="HB37" s="13">
        <v>44784</v>
      </c>
      <c r="HC37" s="14">
        <v>45454</v>
      </c>
      <c r="HD37" s="14">
        <f t="shared" si="85"/>
        <v>47280</v>
      </c>
      <c r="HE37" s="65">
        <f t="shared" ca="1" si="86"/>
        <v>1149</v>
      </c>
      <c r="HF37" s="15" t="str">
        <f t="shared" ca="1" si="87"/>
        <v>VIGENTE</v>
      </c>
      <c r="HG37" s="16"/>
      <c r="HH37" s="14">
        <v>45496</v>
      </c>
      <c r="HI37" s="14">
        <f t="shared" si="203"/>
        <v>47322</v>
      </c>
      <c r="HJ37" s="65">
        <f t="shared" ca="1" si="204"/>
        <v>1191</v>
      </c>
      <c r="HK37" s="15" t="str">
        <f t="shared" ca="1" si="181"/>
        <v>VIGENTE</v>
      </c>
      <c r="HL37" s="12"/>
      <c r="HM37" s="16"/>
      <c r="HN37" s="14"/>
      <c r="HO37" s="65"/>
      <c r="HP37" s="15" t="str">
        <f t="shared" si="196"/>
        <v>NO APLICA</v>
      </c>
      <c r="HQ37" s="12"/>
      <c r="HR37" s="12"/>
      <c r="HS37" s="14"/>
      <c r="HT37" s="12"/>
      <c r="HU37" s="15" t="str">
        <f t="shared" si="92"/>
        <v>NO APLICA</v>
      </c>
      <c r="HV37" s="12"/>
      <c r="HW37" s="16"/>
      <c r="HX37" s="14"/>
      <c r="HY37" s="65"/>
      <c r="HZ37" s="15" t="str">
        <f t="shared" si="93"/>
        <v>NO APLICA</v>
      </c>
      <c r="IA37" s="12"/>
      <c r="IB37" s="16"/>
      <c r="IC37" s="14"/>
      <c r="ID37" s="65"/>
      <c r="IE37" s="15" t="str">
        <f t="shared" si="94"/>
        <v>NO APLICA</v>
      </c>
      <c r="IF37" s="12"/>
      <c r="IG37" s="16"/>
      <c r="IH37" s="14"/>
      <c r="II37" s="65"/>
      <c r="IJ37" s="15" t="str">
        <f t="shared" si="95"/>
        <v>NO APLICA</v>
      </c>
      <c r="IK37" s="16"/>
      <c r="IL37" s="16"/>
      <c r="IM37" s="14"/>
      <c r="IN37" s="65"/>
      <c r="IO37" s="15" t="str">
        <f t="shared" si="96"/>
        <v>NO APLICA</v>
      </c>
      <c r="IP37" s="12"/>
      <c r="IQ37" s="16"/>
      <c r="IR37" s="14"/>
      <c r="IS37" s="65"/>
      <c r="IT37" s="15" t="str">
        <f t="shared" si="97"/>
        <v>NO APLICA</v>
      </c>
      <c r="IU37" s="12"/>
      <c r="IV37" s="16"/>
      <c r="IW37" s="14"/>
      <c r="IX37" s="65"/>
      <c r="IY37" s="15" t="str">
        <f t="shared" si="98"/>
        <v>NO APLICA</v>
      </c>
      <c r="IZ37" s="12"/>
      <c r="JA37" s="16"/>
      <c r="JB37" s="14"/>
      <c r="JC37" s="65"/>
      <c r="JD37" s="15" t="str">
        <f t="shared" si="99"/>
        <v>NO APLICA</v>
      </c>
      <c r="JE37" s="13"/>
      <c r="JF37" s="13"/>
      <c r="JG37" s="14"/>
      <c r="JH37" s="65"/>
      <c r="JI37" s="15" t="str">
        <f t="shared" si="100"/>
        <v>NO APLICA</v>
      </c>
      <c r="JJ37" s="16"/>
      <c r="JK37" s="16"/>
      <c r="JL37" s="16"/>
      <c r="JM37" s="15" t="str">
        <f t="shared" si="101"/>
        <v>NO APLICA</v>
      </c>
      <c r="JN37" s="16"/>
      <c r="JO37" s="16"/>
      <c r="JP37" s="16"/>
      <c r="JQ37" s="15" t="str">
        <f t="shared" si="102"/>
        <v>NO APLICA</v>
      </c>
      <c r="JR37" s="16"/>
      <c r="JS37" s="16"/>
      <c r="JT37" s="16"/>
      <c r="JU37" s="16"/>
      <c r="JV37" s="15" t="str">
        <f t="shared" si="103"/>
        <v>NO APLICA</v>
      </c>
      <c r="JW37" s="15"/>
      <c r="JX37" s="15"/>
      <c r="JY37" s="15"/>
      <c r="JZ37" s="15"/>
      <c r="KA37" s="15" t="str">
        <f t="shared" si="104"/>
        <v>NO APLICA</v>
      </c>
      <c r="KB37" s="12"/>
      <c r="KC37" s="14"/>
      <c r="KD37" s="65"/>
      <c r="KE37" s="15" t="str">
        <f t="shared" si="105"/>
        <v>NO APLICA</v>
      </c>
      <c r="KF37" s="12"/>
      <c r="KG37" s="14"/>
      <c r="KH37" s="65"/>
      <c r="KI37" s="15" t="str">
        <f t="shared" si="132"/>
        <v>NO APLICA</v>
      </c>
      <c r="KJ37" s="12"/>
      <c r="KK37" s="14"/>
      <c r="KL37" s="65"/>
      <c r="KM37" s="15" t="str">
        <f t="shared" si="106"/>
        <v>NO APLICA</v>
      </c>
      <c r="KN37" s="12"/>
      <c r="KO37" s="14"/>
      <c r="KP37" s="65"/>
      <c r="KQ37" s="15" t="str">
        <f t="shared" si="133"/>
        <v>NO APLICA</v>
      </c>
      <c r="KR37" s="12"/>
      <c r="KS37" s="16"/>
      <c r="KT37" s="14"/>
      <c r="KU37" s="65"/>
      <c r="KV37" s="15" t="str">
        <f t="shared" si="147"/>
        <v>NO APLICA</v>
      </c>
      <c r="KW37" s="16"/>
      <c r="KX37" s="14"/>
      <c r="KY37" s="65"/>
      <c r="KZ37" s="15" t="str">
        <f t="shared" si="134"/>
        <v>NO APLICA</v>
      </c>
      <c r="LA37" s="16"/>
      <c r="LB37" s="14">
        <v>45516</v>
      </c>
      <c r="LC37" s="14">
        <f>DATE(YEAR(LB37)+2,MONTH(LB37),DAY(LB37))</f>
        <v>46246</v>
      </c>
      <c r="LD37" s="65">
        <f ca="1">LC37-TODAY()</f>
        <v>115</v>
      </c>
      <c r="LE37" s="15" t="str">
        <f t="shared" ca="1" si="107"/>
        <v>VIGENTE</v>
      </c>
      <c r="LF37" s="15"/>
      <c r="LG37" s="15"/>
      <c r="LH37" s="15"/>
      <c r="LI37" s="15"/>
      <c r="LJ37" s="15" t="str">
        <f t="shared" si="148"/>
        <v>NO APLICA</v>
      </c>
      <c r="LK37" s="12"/>
      <c r="LL37" s="16"/>
      <c r="LM37" s="14"/>
      <c r="LN37" s="65"/>
      <c r="LO37" s="15" t="str">
        <f t="shared" si="135"/>
        <v>NO APLICA</v>
      </c>
      <c r="LP37" s="16"/>
      <c r="LQ37" s="16"/>
      <c r="LR37" s="14"/>
      <c r="LS37" s="65"/>
      <c r="LT37" s="15" t="str">
        <f t="shared" si="136"/>
        <v>NO APLICA</v>
      </c>
      <c r="LU37" s="16"/>
      <c r="LV37" s="16"/>
      <c r="LW37" s="14"/>
      <c r="LX37" s="65"/>
      <c r="LY37" s="15" t="str">
        <f t="shared" si="137"/>
        <v>NO APLICA</v>
      </c>
      <c r="LZ37" s="12"/>
      <c r="MA37" s="12"/>
      <c r="MB37" s="14"/>
      <c r="MC37" s="65"/>
      <c r="MD37" s="15" t="str">
        <f t="shared" si="108"/>
        <v>NO APLICA</v>
      </c>
      <c r="ME37" s="12"/>
      <c r="MF37" s="12"/>
      <c r="MG37" s="14"/>
      <c r="MH37" s="65"/>
      <c r="MI37" s="15" t="str">
        <f t="shared" si="109"/>
        <v>NO APLICA</v>
      </c>
      <c r="MJ37" s="12"/>
      <c r="MK37" s="14"/>
      <c r="ML37" s="65"/>
      <c r="MM37" s="15" t="str">
        <f t="shared" si="110"/>
        <v>NO APLICA</v>
      </c>
      <c r="MN37" s="12"/>
      <c r="MO37" s="14"/>
      <c r="MP37" s="12"/>
      <c r="MQ37" s="15" t="str">
        <f t="shared" si="111"/>
        <v>NO APLICA</v>
      </c>
      <c r="MR37" s="12"/>
      <c r="MS37" s="16"/>
      <c r="MT37" s="14"/>
      <c r="MU37" s="65"/>
      <c r="MV37" s="15" t="str">
        <f t="shared" si="112"/>
        <v>NO APLICA</v>
      </c>
      <c r="MW37" s="12"/>
      <c r="MX37" s="16"/>
      <c r="MY37" s="14"/>
      <c r="MZ37" s="65"/>
      <c r="NA37" s="15" t="str">
        <f t="shared" si="113"/>
        <v>NO APLICA</v>
      </c>
      <c r="NB37" s="12"/>
      <c r="NC37" s="16"/>
      <c r="ND37" s="14"/>
      <c r="NE37" s="65"/>
      <c r="NF37" s="15" t="str">
        <f t="shared" si="114"/>
        <v>NO APLICA</v>
      </c>
      <c r="NG37" s="12"/>
      <c r="NH37" s="12"/>
      <c r="NI37" s="14"/>
      <c r="NJ37" s="12"/>
      <c r="NK37" s="15" t="str">
        <f t="shared" si="115"/>
        <v>NO APLICA</v>
      </c>
      <c r="NL37" s="12"/>
      <c r="NM37" s="12"/>
      <c r="NN37" s="14"/>
      <c r="NO37" s="12"/>
      <c r="NP37" s="15" t="str">
        <f t="shared" si="116"/>
        <v>NO APLICA</v>
      </c>
      <c r="NQ37" s="16"/>
      <c r="NR37" s="16"/>
      <c r="NS37" s="14"/>
      <c r="NT37" s="65"/>
      <c r="NU37" s="15" t="str">
        <f t="shared" si="117"/>
        <v>NO APLICA</v>
      </c>
      <c r="NV37" s="16"/>
      <c r="NW37" s="16"/>
      <c r="NX37" s="16"/>
      <c r="NY37" s="16"/>
      <c r="NZ37" s="15" t="str">
        <f t="shared" si="118"/>
        <v>NO APLICA</v>
      </c>
    </row>
    <row r="38" spans="1:390" ht="15.6" thickTop="1" thickBot="1" x14ac:dyDescent="0.35">
      <c r="A38" s="9">
        <v>1611</v>
      </c>
      <c r="B38" s="10" t="s">
        <v>224</v>
      </c>
      <c r="C38" s="21" t="s">
        <v>98</v>
      </c>
      <c r="D38" s="64" t="s">
        <v>118</v>
      </c>
      <c r="E38" s="15"/>
      <c r="F38" s="16"/>
      <c r="G38" s="14"/>
      <c r="H38" s="65"/>
      <c r="I38" s="15" t="str">
        <f t="shared" si="0"/>
        <v>NO APLICA</v>
      </c>
      <c r="J38" s="12"/>
      <c r="K38" s="16"/>
      <c r="L38" s="16"/>
      <c r="M38" s="65"/>
      <c r="N38" s="15" t="str">
        <f t="shared" si="1"/>
        <v>NO APLICA</v>
      </c>
      <c r="O38" s="14">
        <v>45589</v>
      </c>
      <c r="P38" s="14">
        <v>45590</v>
      </c>
      <c r="Q38" s="14">
        <f>DATE(YEAR(P38)+2,MONTH(P38),DAY(P38)-1)</f>
        <v>46319</v>
      </c>
      <c r="R38" s="65">
        <f ca="1">Q38-TODAY()</f>
        <v>188</v>
      </c>
      <c r="S38" s="15" t="str">
        <f t="shared" ca="1" si="119"/>
        <v>VIGENTE</v>
      </c>
      <c r="T38" s="12" t="s">
        <v>225</v>
      </c>
      <c r="U38" s="13">
        <v>44943</v>
      </c>
      <c r="V38" s="14">
        <v>44944</v>
      </c>
      <c r="W38" s="14">
        <f t="shared" si="2"/>
        <v>46770</v>
      </c>
      <c r="X38" s="65">
        <f t="shared" ca="1" si="3"/>
        <v>639</v>
      </c>
      <c r="Y38" s="15" t="str">
        <f t="shared" ca="1" si="4"/>
        <v>VIGENTE</v>
      </c>
      <c r="Z38" s="12" t="s">
        <v>226</v>
      </c>
      <c r="AA38" s="13">
        <v>45191</v>
      </c>
      <c r="AB38" s="14">
        <v>45192</v>
      </c>
      <c r="AC38" s="14">
        <f t="shared" si="201"/>
        <v>47019</v>
      </c>
      <c r="AD38" s="65">
        <f t="shared" ca="1" si="202"/>
        <v>888</v>
      </c>
      <c r="AE38" s="15" t="str">
        <f t="shared" ca="1" si="7"/>
        <v>VIGENTE</v>
      </c>
      <c r="AF38" s="13">
        <v>45061</v>
      </c>
      <c r="AG38" s="14">
        <v>45680</v>
      </c>
      <c r="AH38" s="14">
        <f>DATE(YEAR(AG38)+2,MONTH(AG38),DAY(AG38)-1)</f>
        <v>46409</v>
      </c>
      <c r="AI38" s="65">
        <f t="shared" ca="1" si="8"/>
        <v>278</v>
      </c>
      <c r="AJ38" s="15" t="str">
        <f t="shared" ca="1" si="9"/>
        <v>VIGENTE</v>
      </c>
      <c r="AK38" s="13">
        <v>45044</v>
      </c>
      <c r="AL38" s="14">
        <v>45710</v>
      </c>
      <c r="AM38" s="14">
        <f>DATE(YEAR(AL38)+2,MONTH(AL38),DAY(AL38)-1)</f>
        <v>46439</v>
      </c>
      <c r="AN38" s="65">
        <f t="shared" ca="1" si="10"/>
        <v>308</v>
      </c>
      <c r="AO38" s="15" t="str">
        <f t="shared" ca="1" si="11"/>
        <v>VIGENTE</v>
      </c>
      <c r="AP38" s="13">
        <v>45047</v>
      </c>
      <c r="AQ38" s="14">
        <v>45703</v>
      </c>
      <c r="AR38" s="14">
        <f>DATE(YEAR(AQ38)+2,MONTH(AQ38),DAY(AQ38)-1)</f>
        <v>46432</v>
      </c>
      <c r="AS38" s="65">
        <f t="shared" ca="1" si="12"/>
        <v>301</v>
      </c>
      <c r="AT38" s="15" t="str">
        <f t="shared" ca="1" si="13"/>
        <v>VIGENTE</v>
      </c>
      <c r="AU38" s="13">
        <v>45072</v>
      </c>
      <c r="AV38" s="14">
        <v>45702</v>
      </c>
      <c r="AW38" s="14">
        <f>DATE(YEAR(AV38)+2,MONTH(AV38),DAY(AV38)-1)</f>
        <v>46431</v>
      </c>
      <c r="AX38" s="65">
        <f t="shared" ca="1" si="15"/>
        <v>300</v>
      </c>
      <c r="AY38" s="15" t="str">
        <f t="shared" ca="1" si="16"/>
        <v>VIGENTE</v>
      </c>
      <c r="AZ38" s="13">
        <v>45075</v>
      </c>
      <c r="BA38" s="14">
        <v>45717</v>
      </c>
      <c r="BB38" s="14">
        <f>DATE(YEAR(BA38)+2,MONTH(BA38),DAY(BA38)-1)</f>
        <v>46446</v>
      </c>
      <c r="BC38" s="65">
        <f t="shared" ca="1" si="17"/>
        <v>315</v>
      </c>
      <c r="BD38" s="15" t="str">
        <f t="shared" ca="1" si="18"/>
        <v>VIGENTE</v>
      </c>
      <c r="BE38" s="13">
        <v>45052</v>
      </c>
      <c r="BF38" s="14">
        <v>45698</v>
      </c>
      <c r="BG38" s="14">
        <f>DATE(YEAR(BF38)+2,MONTH(BF38),DAY(BF38)-1)</f>
        <v>46427</v>
      </c>
      <c r="BH38" s="65">
        <f t="shared" ca="1" si="19"/>
        <v>296</v>
      </c>
      <c r="BI38" s="15" t="str">
        <f t="shared" ca="1" si="20"/>
        <v>VIGENTE</v>
      </c>
      <c r="BJ38" s="13">
        <v>44971</v>
      </c>
      <c r="BK38" s="14">
        <v>45699</v>
      </c>
      <c r="BL38" s="14">
        <f>DATE(YEAR(BK38)+2,MONTH(BK38),DAY(BK38)-1)</f>
        <v>46428</v>
      </c>
      <c r="BM38" s="65">
        <f t="shared" ca="1" si="21"/>
        <v>297</v>
      </c>
      <c r="BN38" s="15" t="str">
        <f t="shared" ca="1" si="22"/>
        <v>VIGENTE</v>
      </c>
      <c r="BO38" s="13">
        <v>45031</v>
      </c>
      <c r="BP38" s="14">
        <v>45701</v>
      </c>
      <c r="BQ38" s="14">
        <f>DATE(YEAR(BP38)+2,MONTH(BP38),DAY(BP38)-1)</f>
        <v>46430</v>
      </c>
      <c r="BR38" s="65">
        <f t="shared" ca="1" si="23"/>
        <v>299</v>
      </c>
      <c r="BS38" s="15" t="str">
        <f t="shared" ca="1" si="24"/>
        <v>VIGENTE</v>
      </c>
      <c r="BT38" s="13">
        <v>44973</v>
      </c>
      <c r="BU38" s="14">
        <v>45695</v>
      </c>
      <c r="BV38" s="14">
        <f t="shared" si="205"/>
        <v>46424</v>
      </c>
      <c r="BW38" s="65">
        <f t="shared" ca="1" si="25"/>
        <v>293</v>
      </c>
      <c r="BX38" s="15" t="str">
        <f t="shared" ca="1" si="26"/>
        <v>VIGENTE</v>
      </c>
      <c r="BY38" s="13">
        <v>45063</v>
      </c>
      <c r="BZ38" s="14">
        <v>45730</v>
      </c>
      <c r="CA38" s="14">
        <f>DATE(YEAR(BZ38)+2,MONTH(BZ38),DAY(BZ38)-1)</f>
        <v>46459</v>
      </c>
      <c r="CB38" s="65">
        <f t="shared" ca="1" si="27"/>
        <v>328</v>
      </c>
      <c r="CC38" s="15" t="str">
        <f t="shared" ca="1" si="28"/>
        <v>VIGENTE</v>
      </c>
      <c r="CD38" s="16" t="s">
        <v>102</v>
      </c>
      <c r="CE38" s="14">
        <v>45831</v>
      </c>
      <c r="CF38" s="14">
        <v>45832</v>
      </c>
      <c r="CG38" s="14">
        <f t="shared" si="29"/>
        <v>47293</v>
      </c>
      <c r="CH38" s="65">
        <f t="shared" ca="1" si="30"/>
        <v>1162</v>
      </c>
      <c r="CI38" s="15" t="str">
        <f t="shared" ca="1" si="31"/>
        <v>VIGENTE</v>
      </c>
      <c r="CJ38" s="14">
        <v>45085</v>
      </c>
      <c r="CK38" s="14">
        <v>45723</v>
      </c>
      <c r="CL38" s="14">
        <f>DATE(YEAR(CK38)+2,MONTH(CK38),DAY(CK38)-1)</f>
        <v>46452</v>
      </c>
      <c r="CM38" s="65">
        <f t="shared" ca="1" si="32"/>
        <v>321</v>
      </c>
      <c r="CN38" s="15" t="str">
        <f t="shared" ca="1" si="33"/>
        <v>VIGENTE</v>
      </c>
      <c r="CO38" s="13">
        <v>45050</v>
      </c>
      <c r="CP38" s="14">
        <v>45726</v>
      </c>
      <c r="CQ38" s="14">
        <f t="shared" si="206"/>
        <v>46455</v>
      </c>
      <c r="CR38" s="65">
        <f t="shared" ca="1" si="34"/>
        <v>324</v>
      </c>
      <c r="CS38" s="15" t="str">
        <f t="shared" ca="1" si="35"/>
        <v>VIGENTE</v>
      </c>
      <c r="CT38" s="13">
        <v>45086</v>
      </c>
      <c r="CU38" s="14">
        <v>45727</v>
      </c>
      <c r="CV38" s="14">
        <f>DATE(YEAR(CU38)+2,MONTH(CU38),DAY(CU38)-1)</f>
        <v>46456</v>
      </c>
      <c r="CW38" s="65">
        <f t="shared" ca="1" si="36"/>
        <v>325</v>
      </c>
      <c r="CX38" s="15" t="str">
        <f t="shared" ca="1" si="37"/>
        <v>VIGENTE</v>
      </c>
      <c r="CY38" s="13">
        <v>45087</v>
      </c>
      <c r="CZ38" s="14">
        <v>45785</v>
      </c>
      <c r="DA38" s="14">
        <f t="shared" si="200"/>
        <v>46515</v>
      </c>
      <c r="DB38" s="65">
        <f t="shared" ca="1" si="38"/>
        <v>384</v>
      </c>
      <c r="DC38" s="15" t="str">
        <f t="shared" ca="1" si="39"/>
        <v>VIGENTE</v>
      </c>
      <c r="DD38" s="13">
        <v>45079</v>
      </c>
      <c r="DE38" s="14">
        <v>45761</v>
      </c>
      <c r="DF38" s="14">
        <f>DATE(YEAR(DE38)+2,MONTH(DE38),DAY(DE38))</f>
        <v>46491</v>
      </c>
      <c r="DG38" s="65">
        <f t="shared" ca="1" si="40"/>
        <v>360</v>
      </c>
      <c r="DH38" s="15" t="str">
        <f t="shared" ca="1" si="41"/>
        <v>VIGENTE</v>
      </c>
      <c r="DI38" s="12">
        <v>45080</v>
      </c>
      <c r="DJ38" s="14">
        <v>45734</v>
      </c>
      <c r="DK38" s="14">
        <f>DATE(YEAR(DJ38)+2,MONTH(DJ38),DAY(DJ38)-1)</f>
        <v>46463</v>
      </c>
      <c r="DL38" s="65">
        <f t="shared" ca="1" si="43"/>
        <v>332</v>
      </c>
      <c r="DM38" s="15" t="str">
        <f t="shared" ca="1" si="44"/>
        <v>VIGENTE</v>
      </c>
      <c r="DN38" s="13">
        <v>45038</v>
      </c>
      <c r="DO38" s="14">
        <v>45731</v>
      </c>
      <c r="DP38" s="14">
        <f>DATE(YEAR(DO38)+2,MONTH(DO38),DAY(DO38)-1)</f>
        <v>46460</v>
      </c>
      <c r="DQ38" s="65">
        <f t="shared" ca="1" si="46"/>
        <v>329</v>
      </c>
      <c r="DR38" s="15" t="str">
        <f t="shared" ca="1" si="47"/>
        <v>VIGENTE</v>
      </c>
      <c r="DS38" s="13">
        <v>45035</v>
      </c>
      <c r="DT38" s="14">
        <v>45685</v>
      </c>
      <c r="DU38" s="14">
        <f>DATE(YEAR(DT38)+2,MONTH(DT38),DAY(DT38)-1)</f>
        <v>46414</v>
      </c>
      <c r="DV38" s="65">
        <f t="shared" ca="1" si="48"/>
        <v>283</v>
      </c>
      <c r="DW38" s="15" t="str">
        <f t="shared" ca="1" si="49"/>
        <v>VIGENTE</v>
      </c>
      <c r="DX38" s="13">
        <v>44992</v>
      </c>
      <c r="DY38" s="14">
        <v>45663</v>
      </c>
      <c r="DZ38" s="14">
        <f>DATE(YEAR(DY38)+2,MONTH(DY38),DAY(DY38)-1)</f>
        <v>46392</v>
      </c>
      <c r="EA38" s="65">
        <f t="shared" ca="1" si="50"/>
        <v>261</v>
      </c>
      <c r="EB38" s="15" t="str">
        <f t="shared" ca="1" si="51"/>
        <v>VIGENTE</v>
      </c>
      <c r="EC38" s="13">
        <v>45090</v>
      </c>
      <c r="ED38" s="14">
        <v>45768</v>
      </c>
      <c r="EE38" s="14">
        <f t="shared" si="199"/>
        <v>46498</v>
      </c>
      <c r="EF38" s="65">
        <f t="shared" ca="1" si="52"/>
        <v>367</v>
      </c>
      <c r="EG38" s="15" t="str">
        <f t="shared" ca="1" si="53"/>
        <v>VIGENTE</v>
      </c>
      <c r="EH38" s="13">
        <v>45748</v>
      </c>
      <c r="EI38" s="13">
        <v>46058</v>
      </c>
      <c r="EJ38" s="13">
        <v>46059</v>
      </c>
      <c r="EK38" s="13">
        <v>46060</v>
      </c>
      <c r="EL38" s="14">
        <f t="shared" si="128"/>
        <v>46425</v>
      </c>
      <c r="EM38" s="65">
        <f t="shared" ca="1" si="54"/>
        <v>294</v>
      </c>
      <c r="EN38" s="15" t="str">
        <f t="shared" ca="1" si="55"/>
        <v>VIGENTE</v>
      </c>
      <c r="EO38" s="13">
        <v>44993</v>
      </c>
      <c r="EP38" s="14">
        <v>45660</v>
      </c>
      <c r="EQ38" s="14">
        <f>DATE(YEAR(EP38)+2,MONTH(EP38),DAY(EP38)-1)</f>
        <v>46389</v>
      </c>
      <c r="ER38" s="65">
        <f t="shared" ca="1" si="56"/>
        <v>258</v>
      </c>
      <c r="ES38" s="15" t="str">
        <f t="shared" ca="1" si="57"/>
        <v>VIGENTE</v>
      </c>
      <c r="ET38" s="13">
        <v>45043</v>
      </c>
      <c r="EU38" s="14">
        <v>45677</v>
      </c>
      <c r="EV38" s="14">
        <f>DATE(YEAR(EU38)+2,MONTH(EU38),DAY(EU38)-1)</f>
        <v>46406</v>
      </c>
      <c r="EW38" s="65">
        <f t="shared" ca="1" si="58"/>
        <v>275</v>
      </c>
      <c r="EX38" s="15" t="str">
        <f t="shared" ca="1" si="59"/>
        <v>VIGENTE</v>
      </c>
      <c r="EY38" s="13">
        <v>45068</v>
      </c>
      <c r="EZ38" s="14">
        <v>45694</v>
      </c>
      <c r="FA38" s="14">
        <f>DATE(YEAR(EZ38)+2,MONTH(EZ38),DAY(EZ38)-1)</f>
        <v>46423</v>
      </c>
      <c r="FB38" s="65">
        <f t="shared" ca="1" si="60"/>
        <v>292</v>
      </c>
      <c r="FC38" s="15" t="str">
        <f t="shared" ca="1" si="61"/>
        <v>VIGENTE</v>
      </c>
      <c r="FD38" s="13">
        <v>44936</v>
      </c>
      <c r="FE38" s="14">
        <v>45611</v>
      </c>
      <c r="FF38" s="14">
        <f>DATE(YEAR(FE38)+2,MONTH(FE38),DAY(FE38)-1)</f>
        <v>46340</v>
      </c>
      <c r="FG38" s="65">
        <f t="shared" ca="1" si="62"/>
        <v>209</v>
      </c>
      <c r="FH38" s="15" t="str">
        <f t="shared" ca="1" si="63"/>
        <v>VIGENTE</v>
      </c>
      <c r="FI38" s="13">
        <v>45045</v>
      </c>
      <c r="FJ38" s="14">
        <v>45668</v>
      </c>
      <c r="FK38" s="14">
        <f>DATE(YEAR(FJ38)+2,MONTH(FJ38),DAY(FJ38)-1)</f>
        <v>46397</v>
      </c>
      <c r="FL38" s="65">
        <f t="shared" ca="1" si="64"/>
        <v>266</v>
      </c>
      <c r="FM38" s="15" t="str">
        <f t="shared" ca="1" si="65"/>
        <v>VIGENTE</v>
      </c>
      <c r="FN38" s="13">
        <v>45084</v>
      </c>
      <c r="FO38" s="14">
        <v>45771</v>
      </c>
      <c r="FP38" s="14">
        <f>DATE(YEAR(FO38)+2,MONTH(FO38),DAY(FO38))</f>
        <v>46501</v>
      </c>
      <c r="FQ38" s="65">
        <f t="shared" ca="1" si="67"/>
        <v>370</v>
      </c>
      <c r="FR38" s="15" t="str">
        <f t="shared" ca="1" si="68"/>
        <v>VIGENTE</v>
      </c>
      <c r="FS38" s="13">
        <v>45018</v>
      </c>
      <c r="FT38" s="14">
        <v>45664</v>
      </c>
      <c r="FU38" s="14">
        <f>DATE(YEAR(FT38)+2,MONTH(FT38),DAY(FT38)-1)</f>
        <v>46393</v>
      </c>
      <c r="FV38" s="65">
        <f t="shared" ca="1" si="69"/>
        <v>262</v>
      </c>
      <c r="FW38" s="15" t="str">
        <f t="shared" ca="1" si="70"/>
        <v>VIGENTE</v>
      </c>
      <c r="FX38" s="13">
        <v>45028</v>
      </c>
      <c r="FY38" s="14">
        <v>45700</v>
      </c>
      <c r="FZ38" s="14">
        <f>DATE(YEAR(FY38)+2,MONTH(FY38),DAY(FY38)-1)</f>
        <v>46429</v>
      </c>
      <c r="GA38" s="65">
        <f t="shared" ca="1" si="71"/>
        <v>298</v>
      </c>
      <c r="GB38" s="15" t="str">
        <f t="shared" ca="1" si="72"/>
        <v>VIGENTE</v>
      </c>
      <c r="GC38" s="13">
        <v>45088</v>
      </c>
      <c r="GD38" s="14">
        <v>45757</v>
      </c>
      <c r="GE38" s="14">
        <f>DATE(YEAR(GD38)+2,MONTH(GD38),DAY(GD38)-1)</f>
        <v>46486</v>
      </c>
      <c r="GF38" s="65">
        <f t="shared" ca="1" si="73"/>
        <v>355</v>
      </c>
      <c r="GG38" s="15" t="str">
        <f t="shared" ca="1" si="74"/>
        <v>VIGENTE</v>
      </c>
      <c r="GH38" s="13">
        <v>45082</v>
      </c>
      <c r="GI38" s="14">
        <v>45752</v>
      </c>
      <c r="GJ38" s="14">
        <f>DATE(YEAR(GI38)+2,MONTH(GI38),DAY(GI38)-1)</f>
        <v>46481</v>
      </c>
      <c r="GK38" s="65">
        <f t="shared" ca="1" si="75"/>
        <v>350</v>
      </c>
      <c r="GL38" s="15" t="str">
        <f t="shared" ca="1" si="76"/>
        <v>VIGENTE</v>
      </c>
      <c r="GM38" s="13">
        <v>45024</v>
      </c>
      <c r="GN38" s="14">
        <v>45687</v>
      </c>
      <c r="GO38" s="14">
        <f>DATE(YEAR(GN38)+2,MONTH(GN38),DAY(GN38)-1)</f>
        <v>46416</v>
      </c>
      <c r="GP38" s="65">
        <f t="shared" ca="1" si="77"/>
        <v>285</v>
      </c>
      <c r="GQ38" s="15" t="str">
        <f t="shared" ca="1" si="78"/>
        <v>VIGENTE</v>
      </c>
      <c r="GR38" s="14"/>
      <c r="GS38" s="14">
        <v>45048</v>
      </c>
      <c r="GT38" s="14">
        <f t="shared" si="79"/>
        <v>46875</v>
      </c>
      <c r="GU38" s="65">
        <f t="shared" ca="1" si="172"/>
        <v>744</v>
      </c>
      <c r="GV38" s="15" t="str">
        <f t="shared" ca="1" si="81"/>
        <v>VIGENTE</v>
      </c>
      <c r="GW38" s="13"/>
      <c r="GX38" s="14">
        <v>45006</v>
      </c>
      <c r="GY38" s="14">
        <f t="shared" si="82"/>
        <v>46833</v>
      </c>
      <c r="GZ38" s="65">
        <f t="shared" ca="1" si="83"/>
        <v>702</v>
      </c>
      <c r="HA38" s="15" t="str">
        <f t="shared" ca="1" si="84"/>
        <v>VIGENTE</v>
      </c>
      <c r="HB38" s="12"/>
      <c r="HC38" s="14">
        <v>45073</v>
      </c>
      <c r="HD38" s="14">
        <f t="shared" si="85"/>
        <v>46900</v>
      </c>
      <c r="HE38" s="65">
        <f t="shared" ca="1" si="86"/>
        <v>769</v>
      </c>
      <c r="HF38" s="15" t="str">
        <f t="shared" ca="1" si="87"/>
        <v>VIGENTE</v>
      </c>
      <c r="HG38" s="16"/>
      <c r="HH38" s="14">
        <v>45020</v>
      </c>
      <c r="HI38" s="14">
        <f t="shared" si="203"/>
        <v>46847</v>
      </c>
      <c r="HJ38" s="65">
        <f t="shared" ca="1" si="204"/>
        <v>716</v>
      </c>
      <c r="HK38" s="15" t="str">
        <f t="shared" ca="1" si="181"/>
        <v>VIGENTE</v>
      </c>
      <c r="HL38" s="12"/>
      <c r="HM38" s="16"/>
      <c r="HN38" s="14"/>
      <c r="HO38" s="65"/>
      <c r="HP38" s="15" t="str">
        <f t="shared" si="196"/>
        <v>NO APLICA</v>
      </c>
      <c r="HQ38" s="12"/>
      <c r="HR38" s="12"/>
      <c r="HS38" s="14"/>
      <c r="HT38" s="12"/>
      <c r="HU38" s="15" t="str">
        <f t="shared" si="92"/>
        <v>NO APLICA</v>
      </c>
      <c r="HV38" s="12"/>
      <c r="HW38" s="14">
        <v>45089</v>
      </c>
      <c r="HX38" s="14">
        <f>DATE(YEAR(HW38)+5,MONTH(HW38),DAY(HW38))</f>
        <v>46916</v>
      </c>
      <c r="HY38" s="65">
        <f ca="1">HX38-TODAY()</f>
        <v>785</v>
      </c>
      <c r="HZ38" s="15" t="str">
        <f t="shared" ca="1" si="93"/>
        <v>VIGENTE</v>
      </c>
      <c r="IA38" s="12"/>
      <c r="IB38" s="14">
        <v>44981</v>
      </c>
      <c r="IC38" s="14">
        <f>DATE(YEAR(IB38)+5,MONTH(IB38),DAY(IB38))</f>
        <v>46807</v>
      </c>
      <c r="ID38" s="65">
        <f ca="1">IC38-TODAY()</f>
        <v>676</v>
      </c>
      <c r="IE38" s="15" t="str">
        <f t="shared" ca="1" si="94"/>
        <v>VIGENTE</v>
      </c>
      <c r="IF38" s="12"/>
      <c r="IG38" s="14">
        <v>45049</v>
      </c>
      <c r="IH38" s="14">
        <f>DATE(YEAR(IG38)+5,MONTH(IG38),DAY(IG38))</f>
        <v>46876</v>
      </c>
      <c r="II38" s="65">
        <f ca="1">IH38-TODAY()</f>
        <v>745</v>
      </c>
      <c r="IJ38" s="15" t="str">
        <f t="shared" ca="1" si="95"/>
        <v>VIGENTE</v>
      </c>
      <c r="IK38" s="16"/>
      <c r="IL38" s="14">
        <v>45058</v>
      </c>
      <c r="IM38" s="14">
        <f>DATE(YEAR(IL38)+5,MONTH(IL38),DAY(IL38))</f>
        <v>46885</v>
      </c>
      <c r="IN38" s="65">
        <f ca="1">IM38-TODAY()</f>
        <v>754</v>
      </c>
      <c r="IO38" s="15" t="str">
        <f t="shared" ca="1" si="96"/>
        <v>VIGENTE</v>
      </c>
      <c r="IP38" s="12"/>
      <c r="IQ38" s="14">
        <v>45064</v>
      </c>
      <c r="IR38" s="14">
        <f>DATE(YEAR(IQ38)+5,MONTH(IQ38),DAY(IQ38))</f>
        <v>46891</v>
      </c>
      <c r="IS38" s="65">
        <f ca="1">IR38-TODAY()</f>
        <v>760</v>
      </c>
      <c r="IT38" s="15" t="str">
        <f t="shared" ca="1" si="97"/>
        <v>VIGENTE</v>
      </c>
      <c r="IU38" s="12"/>
      <c r="IV38" s="14">
        <v>45062</v>
      </c>
      <c r="IW38" s="14">
        <f>DATE(YEAR(IV38)+5,MONTH(IV38),DAY(IV38))</f>
        <v>46889</v>
      </c>
      <c r="IX38" s="65">
        <f ca="1">IW38-TODAY()</f>
        <v>758</v>
      </c>
      <c r="IY38" s="15" t="str">
        <f t="shared" ca="1" si="98"/>
        <v>VIGENTE</v>
      </c>
      <c r="IZ38" s="12"/>
      <c r="JA38" s="14">
        <v>44996</v>
      </c>
      <c r="JB38" s="14">
        <f>DATE(YEAR(JA38)+5,MONTH(JA38),DAY(JA38))</f>
        <v>46823</v>
      </c>
      <c r="JC38" s="65">
        <f ca="1">JB38-TODAY()</f>
        <v>692</v>
      </c>
      <c r="JD38" s="15" t="str">
        <f t="shared" ca="1" si="99"/>
        <v>VIGENTE</v>
      </c>
      <c r="JE38" s="13"/>
      <c r="JF38" s="13"/>
      <c r="JG38" s="14"/>
      <c r="JH38" s="65"/>
      <c r="JI38" s="15" t="str">
        <f t="shared" si="100"/>
        <v>NO APLICA</v>
      </c>
      <c r="JJ38" s="16"/>
      <c r="JK38" s="16"/>
      <c r="JL38" s="16"/>
      <c r="JM38" s="15" t="str">
        <f t="shared" si="101"/>
        <v>NO APLICA</v>
      </c>
      <c r="JN38" s="16"/>
      <c r="JO38" s="16"/>
      <c r="JP38" s="16"/>
      <c r="JQ38" s="15" t="str">
        <f t="shared" si="102"/>
        <v>NO APLICA</v>
      </c>
      <c r="JR38" s="16"/>
      <c r="JS38" s="16"/>
      <c r="JT38" s="16"/>
      <c r="JU38" s="16"/>
      <c r="JV38" s="15" t="str">
        <f t="shared" si="103"/>
        <v>NO APLICA</v>
      </c>
      <c r="JW38" s="15"/>
      <c r="JX38" s="15"/>
      <c r="JY38" s="15"/>
      <c r="JZ38" s="15"/>
      <c r="KA38" s="15" t="str">
        <f t="shared" si="104"/>
        <v>NO APLICA</v>
      </c>
      <c r="KB38" s="12"/>
      <c r="KC38" s="14"/>
      <c r="KD38" s="65"/>
      <c r="KE38" s="15" t="str">
        <f t="shared" si="105"/>
        <v>NO APLICA</v>
      </c>
      <c r="KF38" s="13">
        <v>45328</v>
      </c>
      <c r="KG38" s="14">
        <f>DATE(YEAR(KF38)+5,MONTH(KF38),DAY(KF38)-1)</f>
        <v>47154</v>
      </c>
      <c r="KH38" s="65">
        <f ca="1">KG38-TODAY()</f>
        <v>1023</v>
      </c>
      <c r="KI38" s="15" t="str">
        <f t="shared" ca="1" si="132"/>
        <v>VIGENTE</v>
      </c>
      <c r="KJ38" s="12"/>
      <c r="KK38" s="14"/>
      <c r="KL38" s="65"/>
      <c r="KM38" s="15" t="str">
        <f t="shared" si="106"/>
        <v>NO APLICA</v>
      </c>
      <c r="KN38" s="12"/>
      <c r="KO38" s="14"/>
      <c r="KP38" s="65"/>
      <c r="KQ38" s="15" t="str">
        <f t="shared" si="133"/>
        <v>NO APLICA</v>
      </c>
      <c r="KR38" s="12"/>
      <c r="KS38" s="16"/>
      <c r="KT38" s="14"/>
      <c r="KU38" s="65"/>
      <c r="KV38" s="15" t="str">
        <f t="shared" si="147"/>
        <v>NO APLICA</v>
      </c>
      <c r="KW38" s="16"/>
      <c r="KX38" s="14"/>
      <c r="KY38" s="65"/>
      <c r="KZ38" s="15" t="str">
        <f t="shared" si="134"/>
        <v>NO APLICA</v>
      </c>
      <c r="LA38" s="16"/>
      <c r="LB38" s="16"/>
      <c r="LC38" s="14"/>
      <c r="LD38" s="65"/>
      <c r="LE38" s="15" t="str">
        <f t="shared" si="107"/>
        <v>NO APLICA</v>
      </c>
      <c r="LF38" s="15"/>
      <c r="LG38" s="15"/>
      <c r="LH38" s="14"/>
      <c r="LI38" s="65"/>
      <c r="LJ38" s="15" t="str">
        <f t="shared" si="148"/>
        <v>NO APLICA</v>
      </c>
      <c r="LK38" s="12"/>
      <c r="LL38" s="16"/>
      <c r="LM38" s="14"/>
      <c r="LN38" s="65"/>
      <c r="LO38" s="15" t="str">
        <f t="shared" si="135"/>
        <v>NO APLICA</v>
      </c>
      <c r="LP38" s="16"/>
      <c r="LQ38" s="16"/>
      <c r="LR38" s="14"/>
      <c r="LS38" s="65"/>
      <c r="LT38" s="15" t="str">
        <f t="shared" si="136"/>
        <v>NO APLICA</v>
      </c>
      <c r="LU38" s="16"/>
      <c r="LV38" s="16"/>
      <c r="LW38" s="14"/>
      <c r="LX38" s="65"/>
      <c r="LY38" s="15" t="str">
        <f t="shared" si="137"/>
        <v>NO APLICA</v>
      </c>
      <c r="LZ38" s="12"/>
      <c r="MA38" s="12"/>
      <c r="MB38" s="14"/>
      <c r="MC38" s="65"/>
      <c r="MD38" s="15" t="str">
        <f t="shared" si="108"/>
        <v>NO APLICA</v>
      </c>
      <c r="ME38" s="12"/>
      <c r="MF38" s="12"/>
      <c r="MG38" s="14"/>
      <c r="MH38" s="65"/>
      <c r="MI38" s="15" t="str">
        <f t="shared" si="109"/>
        <v>NO APLICA</v>
      </c>
      <c r="MJ38" s="12"/>
      <c r="MK38" s="14"/>
      <c r="ML38" s="65"/>
      <c r="MM38" s="15" t="str">
        <f t="shared" si="110"/>
        <v>NO APLICA</v>
      </c>
      <c r="MN38" s="12"/>
      <c r="MO38" s="14"/>
      <c r="MP38" s="12"/>
      <c r="MQ38" s="15" t="str">
        <f t="shared" si="111"/>
        <v>NO APLICA</v>
      </c>
      <c r="MR38" s="12"/>
      <c r="MS38" s="16"/>
      <c r="MT38" s="14"/>
      <c r="MU38" s="65"/>
      <c r="MV38" s="15" t="str">
        <f t="shared" si="112"/>
        <v>NO APLICA</v>
      </c>
      <c r="MW38" s="12"/>
      <c r="MX38" s="16"/>
      <c r="MY38" s="14"/>
      <c r="MZ38" s="65"/>
      <c r="NA38" s="15" t="str">
        <f t="shared" si="113"/>
        <v>NO APLICA</v>
      </c>
      <c r="NB38" s="12"/>
      <c r="NC38" s="16"/>
      <c r="ND38" s="14"/>
      <c r="NE38" s="65"/>
      <c r="NF38" s="15" t="str">
        <f t="shared" si="114"/>
        <v>NO APLICA</v>
      </c>
      <c r="NG38" s="12"/>
      <c r="NH38" s="12"/>
      <c r="NI38" s="14"/>
      <c r="NJ38" s="65"/>
      <c r="NK38" s="15" t="str">
        <f t="shared" si="115"/>
        <v>NO APLICA</v>
      </c>
      <c r="NL38" s="12"/>
      <c r="NM38" s="12"/>
      <c r="NN38" s="14"/>
      <c r="NO38" s="12"/>
      <c r="NP38" s="15" t="str">
        <f t="shared" si="116"/>
        <v>NO APLICA</v>
      </c>
      <c r="NQ38" s="16"/>
      <c r="NR38" s="16"/>
      <c r="NS38" s="14"/>
      <c r="NT38" s="65"/>
      <c r="NU38" s="15" t="str">
        <f t="shared" si="117"/>
        <v>NO APLICA</v>
      </c>
      <c r="NV38" s="16"/>
      <c r="NW38" s="16"/>
      <c r="NX38" s="16"/>
      <c r="NY38" s="16"/>
      <c r="NZ38" s="15" t="str">
        <f t="shared" si="118"/>
        <v>NO APLICA</v>
      </c>
    </row>
    <row r="39" spans="1:390" ht="15.6" thickTop="1" thickBot="1" x14ac:dyDescent="0.35">
      <c r="A39" s="9">
        <v>837</v>
      </c>
      <c r="B39" s="10" t="s">
        <v>227</v>
      </c>
      <c r="C39" s="21" t="s">
        <v>104</v>
      </c>
      <c r="D39" s="64" t="s">
        <v>228</v>
      </c>
      <c r="E39" s="15"/>
      <c r="F39" s="16"/>
      <c r="G39" s="14"/>
      <c r="H39" s="65"/>
      <c r="I39" s="15" t="str">
        <f t="shared" si="0"/>
        <v>NO APLICA</v>
      </c>
      <c r="J39" s="15"/>
      <c r="K39" s="16"/>
      <c r="L39" s="16"/>
      <c r="M39" s="65"/>
      <c r="N39" s="15" t="str">
        <f t="shared" si="1"/>
        <v>NO APLICA</v>
      </c>
      <c r="O39" s="16"/>
      <c r="P39" s="16"/>
      <c r="Q39" s="14"/>
      <c r="R39" s="65"/>
      <c r="S39" s="15" t="str">
        <f t="shared" si="119"/>
        <v>NO APLICA</v>
      </c>
      <c r="T39" s="12" t="s">
        <v>229</v>
      </c>
      <c r="U39" s="13">
        <v>44800</v>
      </c>
      <c r="V39" s="14">
        <v>44801</v>
      </c>
      <c r="W39" s="14">
        <f t="shared" si="2"/>
        <v>46627</v>
      </c>
      <c r="X39" s="65">
        <f t="shared" ca="1" si="3"/>
        <v>496</v>
      </c>
      <c r="Y39" s="15" t="str">
        <f t="shared" ca="1" si="4"/>
        <v>VIGENTE</v>
      </c>
      <c r="Z39" s="12" t="s">
        <v>230</v>
      </c>
      <c r="AA39" s="13">
        <v>44823</v>
      </c>
      <c r="AB39" s="14">
        <v>44824</v>
      </c>
      <c r="AC39" s="14">
        <f t="shared" si="201"/>
        <v>46650</v>
      </c>
      <c r="AD39" s="65">
        <f t="shared" ca="1" si="202"/>
        <v>519</v>
      </c>
      <c r="AE39" s="15" t="str">
        <f t="shared" ca="1" si="7"/>
        <v>VIGENTE</v>
      </c>
      <c r="AF39" s="13">
        <v>45234</v>
      </c>
      <c r="AG39" s="14">
        <v>45902</v>
      </c>
      <c r="AH39" s="14">
        <f>DATE(YEAR(AG39)+2,MONTH(AG39),DAY(AG39))</f>
        <v>46632</v>
      </c>
      <c r="AI39" s="65">
        <f t="shared" ca="1" si="8"/>
        <v>501</v>
      </c>
      <c r="AJ39" s="15" t="str">
        <f t="shared" ca="1" si="9"/>
        <v>VIGENTE</v>
      </c>
      <c r="AK39" s="13">
        <v>45269</v>
      </c>
      <c r="AL39" s="14">
        <v>45959</v>
      </c>
      <c r="AM39" s="14">
        <f t="shared" ref="AM39:AM44" si="207">DATE(YEAR(AL39)+2,MONTH(AL39),DAY(AL39))</f>
        <v>46689</v>
      </c>
      <c r="AN39" s="65">
        <f t="shared" ca="1" si="10"/>
        <v>558</v>
      </c>
      <c r="AO39" s="15" t="str">
        <f t="shared" ca="1" si="11"/>
        <v>VIGENTE</v>
      </c>
      <c r="AP39" s="13">
        <v>45277</v>
      </c>
      <c r="AQ39" s="14">
        <v>45967</v>
      </c>
      <c r="AR39" s="14">
        <f>DATE(YEAR(AQ39)+2,MONTH(AQ39),DAY(AQ39))</f>
        <v>46697</v>
      </c>
      <c r="AS39" s="65">
        <f t="shared" ca="1" si="12"/>
        <v>566</v>
      </c>
      <c r="AT39" s="15" t="str">
        <f t="shared" ca="1" si="13"/>
        <v>VIGENTE</v>
      </c>
      <c r="AU39" s="13">
        <v>45323</v>
      </c>
      <c r="AV39" s="14">
        <v>45972</v>
      </c>
      <c r="AW39" s="14">
        <f>DATE(YEAR(AV39)+2,MONTH(AV39),DAY(AV39))</f>
        <v>46702</v>
      </c>
      <c r="AX39" s="65">
        <f t="shared" ca="1" si="15"/>
        <v>571</v>
      </c>
      <c r="AY39" s="15" t="str">
        <f t="shared" ca="1" si="16"/>
        <v>VIGENTE</v>
      </c>
      <c r="AZ39" s="13">
        <v>45433</v>
      </c>
      <c r="BA39" s="14">
        <v>46071</v>
      </c>
      <c r="BB39" s="14">
        <f>DATE(YEAR(BA39)+2,MONTH(BA39),DAY(BA39))</f>
        <v>46801</v>
      </c>
      <c r="BC39" s="65">
        <f t="shared" ca="1" si="17"/>
        <v>670</v>
      </c>
      <c r="BD39" s="15" t="str">
        <f t="shared" ca="1" si="18"/>
        <v>VIGENTE</v>
      </c>
      <c r="BE39" s="13">
        <v>44734</v>
      </c>
      <c r="BF39" s="14">
        <v>45987</v>
      </c>
      <c r="BG39" s="14">
        <f>DATE(YEAR(BF39)+2,MONTH(BF39),DAY(BF39))</f>
        <v>46717</v>
      </c>
      <c r="BH39" s="65">
        <f t="shared" ca="1" si="19"/>
        <v>586</v>
      </c>
      <c r="BI39" s="15" t="str">
        <f t="shared" ca="1" si="20"/>
        <v>VIGENTE</v>
      </c>
      <c r="BJ39" s="13">
        <v>44795</v>
      </c>
      <c r="BK39" s="14">
        <v>45477</v>
      </c>
      <c r="BL39" s="14">
        <f>DATE(YEAR(BK39)+2,MONTH(BK39),DAY(BK39)-1)</f>
        <v>46206</v>
      </c>
      <c r="BM39" s="65">
        <f t="shared" ca="1" si="21"/>
        <v>75</v>
      </c>
      <c r="BN39" s="15" t="str">
        <f t="shared" ca="1" si="22"/>
        <v>POR VENCER</v>
      </c>
      <c r="BO39" s="13">
        <v>44798</v>
      </c>
      <c r="BP39" s="14">
        <v>45447</v>
      </c>
      <c r="BQ39" s="14">
        <f>DATE(YEAR(BP39)+2,MONTH(BP39),DAY(BP39)-1)</f>
        <v>46176</v>
      </c>
      <c r="BR39" s="65">
        <f t="shared" ca="1" si="23"/>
        <v>45</v>
      </c>
      <c r="BS39" s="15" t="str">
        <f t="shared" ca="1" si="24"/>
        <v>POR VENCER</v>
      </c>
      <c r="BT39" s="13">
        <v>44736</v>
      </c>
      <c r="BU39" s="14">
        <v>45449</v>
      </c>
      <c r="BV39" s="14">
        <f t="shared" si="205"/>
        <v>46178</v>
      </c>
      <c r="BW39" s="65">
        <f t="shared" ca="1" si="25"/>
        <v>47</v>
      </c>
      <c r="BX39" s="15" t="str">
        <f t="shared" ca="1" si="26"/>
        <v>POR VENCER</v>
      </c>
      <c r="BY39" s="13">
        <v>44613</v>
      </c>
      <c r="BZ39" s="14">
        <v>45944</v>
      </c>
      <c r="CA39" s="14">
        <f>DATE(YEAR(BZ39)+2,MONTH(BZ39),DAY(BZ39))</f>
        <v>46674</v>
      </c>
      <c r="CB39" s="65">
        <f t="shared" ca="1" si="27"/>
        <v>543</v>
      </c>
      <c r="CC39" s="15" t="str">
        <f t="shared" ca="1" si="28"/>
        <v>VIGENTE</v>
      </c>
      <c r="CD39" s="16" t="s">
        <v>108</v>
      </c>
      <c r="CE39" s="14">
        <v>45226</v>
      </c>
      <c r="CF39" s="14">
        <v>45227</v>
      </c>
      <c r="CG39" s="14">
        <f t="shared" si="29"/>
        <v>46688</v>
      </c>
      <c r="CH39" s="65">
        <f t="shared" ca="1" si="30"/>
        <v>557</v>
      </c>
      <c r="CI39" s="15" t="str">
        <f t="shared" ca="1" si="31"/>
        <v>VIGENTE</v>
      </c>
      <c r="CJ39" s="14">
        <v>44980</v>
      </c>
      <c r="CK39" s="14">
        <v>45601</v>
      </c>
      <c r="CL39" s="14">
        <f>DATE(YEAR(CK39)+2,MONTH(CK39),DAY(CK39)-1)</f>
        <v>46330</v>
      </c>
      <c r="CM39" s="65">
        <f t="shared" ca="1" si="32"/>
        <v>199</v>
      </c>
      <c r="CN39" s="15" t="str">
        <f t="shared" ca="1" si="33"/>
        <v>VIGENTE</v>
      </c>
      <c r="CO39" s="13">
        <v>44970</v>
      </c>
      <c r="CP39" s="14">
        <v>45618</v>
      </c>
      <c r="CQ39" s="14">
        <f t="shared" si="206"/>
        <v>46347</v>
      </c>
      <c r="CR39" s="65">
        <f t="shared" ca="1" si="34"/>
        <v>216</v>
      </c>
      <c r="CS39" s="15" t="str">
        <f t="shared" ca="1" si="35"/>
        <v>VIGENTE</v>
      </c>
      <c r="CT39" s="13">
        <v>45086</v>
      </c>
      <c r="CU39" s="14">
        <v>45727</v>
      </c>
      <c r="CV39" s="14">
        <f>DATE(YEAR(CU39)+2,MONTH(CU39),DAY(CU39)-1)</f>
        <v>46456</v>
      </c>
      <c r="CW39" s="65">
        <f t="shared" ca="1" si="36"/>
        <v>325</v>
      </c>
      <c r="CX39" s="15" t="str">
        <f t="shared" ca="1" si="37"/>
        <v>VIGENTE</v>
      </c>
      <c r="CY39" s="13">
        <v>45422</v>
      </c>
      <c r="CZ39" s="14">
        <v>46098</v>
      </c>
      <c r="DA39" s="14">
        <f t="shared" si="200"/>
        <v>46829</v>
      </c>
      <c r="DB39" s="65">
        <f t="shared" ca="1" si="38"/>
        <v>698</v>
      </c>
      <c r="DC39" s="15" t="str">
        <f t="shared" ca="1" si="39"/>
        <v>VIGENTE</v>
      </c>
      <c r="DD39" s="13">
        <v>44798</v>
      </c>
      <c r="DE39" s="14">
        <v>45463</v>
      </c>
      <c r="DF39" s="14">
        <f>DATE(YEAR(DE39)+2,MONTH(DE39),DAY(DE39)-1)</f>
        <v>46192</v>
      </c>
      <c r="DG39" s="65">
        <f t="shared" ca="1" si="40"/>
        <v>61</v>
      </c>
      <c r="DH39" s="15" t="str">
        <f t="shared" ca="1" si="41"/>
        <v>POR VENCER</v>
      </c>
      <c r="DI39" s="13">
        <v>45058</v>
      </c>
      <c r="DJ39" s="14">
        <v>45696</v>
      </c>
      <c r="DK39" s="14">
        <f>DATE(YEAR(DJ39)+2,MONTH(DJ39),DAY(DJ39)-1)</f>
        <v>46425</v>
      </c>
      <c r="DL39" s="65">
        <f t="shared" ca="1" si="43"/>
        <v>294</v>
      </c>
      <c r="DM39" s="15" t="str">
        <f t="shared" ca="1" si="44"/>
        <v>VIGENTE</v>
      </c>
      <c r="DN39" s="13">
        <v>45116</v>
      </c>
      <c r="DO39" s="14">
        <v>45731</v>
      </c>
      <c r="DP39" s="14">
        <f>DATE(YEAR(DO39)+2,MONTH(DO39),DAY(DO39)-1)</f>
        <v>46460</v>
      </c>
      <c r="DQ39" s="65">
        <f t="shared" ca="1" si="46"/>
        <v>329</v>
      </c>
      <c r="DR39" s="15" t="str">
        <f t="shared" ca="1" si="47"/>
        <v>VIGENTE</v>
      </c>
      <c r="DS39" s="13">
        <v>44734</v>
      </c>
      <c r="DT39" s="14">
        <v>46072</v>
      </c>
      <c r="DU39" s="14">
        <f>DATE(YEAR(DT39)+2,MONTH(DT39),DAY(DT39))</f>
        <v>46802</v>
      </c>
      <c r="DV39" s="65">
        <f t="shared" ca="1" si="48"/>
        <v>671</v>
      </c>
      <c r="DW39" s="15" t="str">
        <f t="shared" ca="1" si="49"/>
        <v>VIGENTE</v>
      </c>
      <c r="DX39" s="13">
        <v>44931</v>
      </c>
      <c r="DY39" s="14">
        <v>45582</v>
      </c>
      <c r="DZ39" s="14">
        <f>DATE(YEAR(DY39)+2,MONTH(DY39),DAY(DY39)-1)</f>
        <v>46311</v>
      </c>
      <c r="EA39" s="65">
        <f t="shared" ca="1" si="50"/>
        <v>180</v>
      </c>
      <c r="EB39" s="15" t="str">
        <f t="shared" ca="1" si="51"/>
        <v>VIGENTE</v>
      </c>
      <c r="EC39" s="13">
        <v>45051</v>
      </c>
      <c r="ED39" s="14">
        <v>45674</v>
      </c>
      <c r="EE39" s="14">
        <f>DATE(YEAR(ED39)+2,MONTH(ED39),DAY(ED39)-1)</f>
        <v>46403</v>
      </c>
      <c r="EF39" s="65">
        <f t="shared" ca="1" si="52"/>
        <v>272</v>
      </c>
      <c r="EG39" s="15" t="str">
        <f t="shared" ca="1" si="53"/>
        <v>VIGENTE</v>
      </c>
      <c r="EH39" s="13">
        <v>45750</v>
      </c>
      <c r="EI39" s="13">
        <v>46083</v>
      </c>
      <c r="EJ39" s="13">
        <v>46084</v>
      </c>
      <c r="EK39" s="13">
        <v>46085</v>
      </c>
      <c r="EL39" s="14">
        <f t="shared" si="128"/>
        <v>46450</v>
      </c>
      <c r="EM39" s="65">
        <f t="shared" ca="1" si="54"/>
        <v>319</v>
      </c>
      <c r="EN39" s="15" t="str">
        <f t="shared" ca="1" si="55"/>
        <v>VIGENTE</v>
      </c>
      <c r="EO39" s="13">
        <v>44796</v>
      </c>
      <c r="EP39" s="14">
        <v>45465</v>
      </c>
      <c r="EQ39" s="14">
        <f>DATE(YEAR(EP39)+2,MONTH(EP39),DAY(EP39)-1)</f>
        <v>46194</v>
      </c>
      <c r="ER39" s="65">
        <f t="shared" ca="1" si="56"/>
        <v>63</v>
      </c>
      <c r="ES39" s="15" t="str">
        <f t="shared" ca="1" si="57"/>
        <v>POR VENCER</v>
      </c>
      <c r="ET39" s="13">
        <v>44732</v>
      </c>
      <c r="EU39" s="14">
        <v>46094</v>
      </c>
      <c r="EV39" s="14">
        <f>DATE(YEAR(EU39)+2,MONTH(EU39),DAY(EU39))</f>
        <v>46825</v>
      </c>
      <c r="EW39" s="65">
        <f t="shared" ca="1" si="58"/>
        <v>694</v>
      </c>
      <c r="EX39" s="15" t="str">
        <f t="shared" ca="1" si="59"/>
        <v>VIGENTE</v>
      </c>
      <c r="EY39" s="13">
        <v>44615</v>
      </c>
      <c r="EZ39" s="14">
        <v>45953</v>
      </c>
      <c r="FA39" s="14">
        <f t="shared" ref="FA39:FA47" si="208">DATE(YEAR(EZ39)+2,MONTH(EZ39),DAY(EZ39))</f>
        <v>46683</v>
      </c>
      <c r="FB39" s="65">
        <f t="shared" ca="1" si="60"/>
        <v>552</v>
      </c>
      <c r="FC39" s="15" t="str">
        <f t="shared" ca="1" si="61"/>
        <v>VIGENTE</v>
      </c>
      <c r="FD39" s="13">
        <v>45280</v>
      </c>
      <c r="FE39" s="14">
        <v>45931</v>
      </c>
      <c r="FF39" s="14">
        <f t="shared" ref="FF39:FF48" si="209">DATE(YEAR(FE39)+2,MONTH(FE39),DAY(FE39))</f>
        <v>46661</v>
      </c>
      <c r="FG39" s="65">
        <f t="shared" ca="1" si="62"/>
        <v>530</v>
      </c>
      <c r="FH39" s="15" t="str">
        <f t="shared" ca="1" si="63"/>
        <v>VIGENTE</v>
      </c>
      <c r="FI39" s="13">
        <v>45282</v>
      </c>
      <c r="FJ39" s="14">
        <v>45932</v>
      </c>
      <c r="FK39" s="14">
        <f t="shared" ref="FK39:FK47" si="210">DATE(YEAR(FJ39)+2,MONTH(FJ39),DAY(FJ39))</f>
        <v>46662</v>
      </c>
      <c r="FL39" s="65">
        <f t="shared" ca="1" si="64"/>
        <v>531</v>
      </c>
      <c r="FM39" s="15" t="str">
        <f t="shared" ca="1" si="65"/>
        <v>VIGENTE</v>
      </c>
      <c r="FN39" s="13">
        <v>45002</v>
      </c>
      <c r="FO39" s="14">
        <v>45670</v>
      </c>
      <c r="FP39" s="14">
        <f>DATE(YEAR(FO39)+2,MONTH(FO39),DAY(FO39)-1)</f>
        <v>46399</v>
      </c>
      <c r="FQ39" s="65">
        <f t="shared" ca="1" si="67"/>
        <v>268</v>
      </c>
      <c r="FR39" s="15" t="str">
        <f t="shared" ca="1" si="68"/>
        <v>VIGENTE</v>
      </c>
      <c r="FS39" s="13">
        <v>44797</v>
      </c>
      <c r="FT39" s="14">
        <v>45466</v>
      </c>
      <c r="FU39" s="14">
        <f>DATE(YEAR(FT39)+2,MONTH(FT39),DAY(FT39)-1)</f>
        <v>46195</v>
      </c>
      <c r="FV39" s="65">
        <f t="shared" ca="1" si="69"/>
        <v>64</v>
      </c>
      <c r="FW39" s="15" t="str">
        <f t="shared" ca="1" si="70"/>
        <v>POR VENCER</v>
      </c>
      <c r="FX39" s="13">
        <v>45281</v>
      </c>
      <c r="FY39" s="14">
        <v>45961</v>
      </c>
      <c r="FZ39" s="14">
        <f>DATE(YEAR(FY39)+2,MONTH(FY39),DAY(FY39))</f>
        <v>46691</v>
      </c>
      <c r="GA39" s="65">
        <f t="shared" ca="1" si="71"/>
        <v>560</v>
      </c>
      <c r="GB39" s="15" t="str">
        <f t="shared" ca="1" si="72"/>
        <v>VIGENTE</v>
      </c>
      <c r="GC39" s="13">
        <v>45406</v>
      </c>
      <c r="GD39" s="14">
        <v>46030</v>
      </c>
      <c r="GE39" s="14">
        <f>DATE(YEAR(GD39)+2,MONTH(GD39),DAY(GD39))</f>
        <v>46760</v>
      </c>
      <c r="GF39" s="65">
        <f t="shared" ca="1" si="73"/>
        <v>629</v>
      </c>
      <c r="GG39" s="15" t="str">
        <f t="shared" ca="1" si="74"/>
        <v>VIGENTE</v>
      </c>
      <c r="GH39" s="13">
        <v>44796</v>
      </c>
      <c r="GI39" s="14">
        <v>45472</v>
      </c>
      <c r="GJ39" s="14">
        <f>DATE(YEAR(GI39)+2,MONTH(GI39),DAY(GI39)-1)</f>
        <v>46201</v>
      </c>
      <c r="GK39" s="65">
        <f t="shared" ca="1" si="75"/>
        <v>70</v>
      </c>
      <c r="GL39" s="15" t="str">
        <f t="shared" ca="1" si="76"/>
        <v>POR VENCER</v>
      </c>
      <c r="GM39" s="13">
        <v>44565</v>
      </c>
      <c r="GN39" s="14">
        <v>45945</v>
      </c>
      <c r="GO39" s="14">
        <f t="shared" ref="GO39:GO47" si="211">DATE(YEAR(GN39)+2,MONTH(GN39),DAY(GN39))</f>
        <v>46675</v>
      </c>
      <c r="GP39" s="65">
        <f t="shared" ca="1" si="77"/>
        <v>544</v>
      </c>
      <c r="GQ39" s="15" t="str">
        <f t="shared" ca="1" si="78"/>
        <v>VIGENTE</v>
      </c>
      <c r="GR39" s="14">
        <v>44571</v>
      </c>
      <c r="GS39" s="14">
        <v>45265</v>
      </c>
      <c r="GT39" s="14">
        <f t="shared" si="79"/>
        <v>47092</v>
      </c>
      <c r="GU39" s="65">
        <f t="shared" ca="1" si="172"/>
        <v>961</v>
      </c>
      <c r="GV39" s="15" t="str">
        <f t="shared" ca="1" si="81"/>
        <v>VIGENTE</v>
      </c>
      <c r="GW39" s="13">
        <v>44762</v>
      </c>
      <c r="GX39" s="14">
        <v>45464</v>
      </c>
      <c r="GY39" s="14">
        <f t="shared" si="82"/>
        <v>47290</v>
      </c>
      <c r="GZ39" s="65">
        <f t="shared" ca="1" si="83"/>
        <v>1159</v>
      </c>
      <c r="HA39" s="15" t="str">
        <f t="shared" ca="1" si="84"/>
        <v>VIGENTE</v>
      </c>
      <c r="HB39" s="12"/>
      <c r="HC39" s="14">
        <v>45008</v>
      </c>
      <c r="HD39" s="14">
        <f t="shared" si="85"/>
        <v>46835</v>
      </c>
      <c r="HE39" s="65">
        <f t="shared" ca="1" si="86"/>
        <v>704</v>
      </c>
      <c r="HF39" s="15" t="str">
        <f t="shared" ca="1" si="87"/>
        <v>VIGENTE</v>
      </c>
      <c r="HG39" s="16"/>
      <c r="HH39" s="14">
        <v>45150</v>
      </c>
      <c r="HI39" s="14">
        <f t="shared" si="203"/>
        <v>46977</v>
      </c>
      <c r="HJ39" s="65">
        <f t="shared" ca="1" si="204"/>
        <v>846</v>
      </c>
      <c r="HK39" s="15" t="str">
        <f t="shared" ca="1" si="181"/>
        <v>VIGENTE</v>
      </c>
      <c r="HL39" s="13">
        <v>44632</v>
      </c>
      <c r="HM39" s="14">
        <v>45370</v>
      </c>
      <c r="HN39" s="14">
        <f>DATE(YEAR(HM39)+5,MONTH(HM39),DAY(HM39))</f>
        <v>47196</v>
      </c>
      <c r="HO39" s="65">
        <f ca="1">HN39-TODAY()</f>
        <v>1065</v>
      </c>
      <c r="HP39" s="15" t="str">
        <f t="shared" ca="1" si="196"/>
        <v>VIGENTE</v>
      </c>
      <c r="HQ39" s="12"/>
      <c r="HR39" s="13">
        <v>45374</v>
      </c>
      <c r="HS39" s="14">
        <f>DATE(YEAR(HR39)+5,MONTH(HR39),DAY(HR39))</f>
        <v>47200</v>
      </c>
      <c r="HT39" s="65">
        <f ca="1">HS39-TODAY()</f>
        <v>1069</v>
      </c>
      <c r="HU39" s="15" t="str">
        <f t="shared" ca="1" si="92"/>
        <v>VIGENTE</v>
      </c>
      <c r="HV39" s="12"/>
      <c r="HW39" s="14">
        <v>45128</v>
      </c>
      <c r="HX39" s="14">
        <f>DATE(YEAR(HW39)+5,MONTH(HW39),DAY(HW39))</f>
        <v>46955</v>
      </c>
      <c r="HY39" s="65">
        <f ca="1">HX39-TODAY()</f>
        <v>824</v>
      </c>
      <c r="HZ39" s="15" t="str">
        <f t="shared" ca="1" si="93"/>
        <v>VIGENTE</v>
      </c>
      <c r="IA39" s="13">
        <v>44765</v>
      </c>
      <c r="IB39" s="14">
        <v>45475</v>
      </c>
      <c r="IC39" s="14">
        <f>DATE(YEAR(IB39)+5,MONTH(IB39),DAY(IB39))</f>
        <v>47301</v>
      </c>
      <c r="ID39" s="65">
        <f ca="1">IC39-TODAY()</f>
        <v>1170</v>
      </c>
      <c r="IE39" s="15" t="str">
        <f t="shared" ca="1" si="94"/>
        <v>VIGENTE</v>
      </c>
      <c r="IF39" s="13">
        <v>44754</v>
      </c>
      <c r="IG39" s="14">
        <v>45425</v>
      </c>
      <c r="IH39" s="14">
        <f>DATE(YEAR(IG39)+5,MONTH(IG39),DAY(IG39))</f>
        <v>47251</v>
      </c>
      <c r="II39" s="65">
        <f ca="1">IH39-TODAY()</f>
        <v>1120</v>
      </c>
      <c r="IJ39" s="15" t="str">
        <f t="shared" ca="1" si="95"/>
        <v>VIGENTE</v>
      </c>
      <c r="IK39" s="14">
        <v>44753</v>
      </c>
      <c r="IL39" s="14">
        <v>45476</v>
      </c>
      <c r="IM39" s="14">
        <f>DATE(YEAR(IL39)+5,MONTH(IL39),DAY(IL39))</f>
        <v>47302</v>
      </c>
      <c r="IN39" s="65">
        <f ca="1">IM39-TODAY()</f>
        <v>1171</v>
      </c>
      <c r="IO39" s="15" t="str">
        <f t="shared" ca="1" si="96"/>
        <v>VIGENTE</v>
      </c>
      <c r="IP39" s="13">
        <v>44765</v>
      </c>
      <c r="IQ39" s="14">
        <v>45490</v>
      </c>
      <c r="IR39" s="14">
        <f>DATE(YEAR(IQ39)+5,MONTH(IQ39),DAY(IQ39))</f>
        <v>47316</v>
      </c>
      <c r="IS39" s="65">
        <f ca="1">IR39-TODAY()</f>
        <v>1185</v>
      </c>
      <c r="IT39" s="15" t="str">
        <f t="shared" ca="1" si="97"/>
        <v>VIGENTE</v>
      </c>
      <c r="IU39" s="13">
        <v>44754</v>
      </c>
      <c r="IV39" s="14">
        <v>45435</v>
      </c>
      <c r="IW39" s="14">
        <f>DATE(YEAR(IV39)+5,MONTH(IV39),DAY(IV39))</f>
        <v>47261</v>
      </c>
      <c r="IX39" s="65">
        <f ca="1">IW39-TODAY()</f>
        <v>1130</v>
      </c>
      <c r="IY39" s="15" t="str">
        <f t="shared" ca="1" si="98"/>
        <v>VIGENTE</v>
      </c>
      <c r="IZ39" s="13">
        <v>44753</v>
      </c>
      <c r="JA39" s="14">
        <v>45491</v>
      </c>
      <c r="JB39" s="14">
        <f>DATE(YEAR(JA39)+5,MONTH(JA39),DAY(JA39))</f>
        <v>47317</v>
      </c>
      <c r="JC39" s="65">
        <f ca="1">JB39-TODAY()</f>
        <v>1186</v>
      </c>
      <c r="JD39" s="15" t="str">
        <f t="shared" ca="1" si="99"/>
        <v>VIGENTE</v>
      </c>
      <c r="JE39" s="13"/>
      <c r="JF39" s="13"/>
      <c r="JG39" s="14"/>
      <c r="JH39" s="65"/>
      <c r="JI39" s="15" t="str">
        <f t="shared" si="100"/>
        <v>NO APLICA</v>
      </c>
      <c r="JJ39" s="16"/>
      <c r="JK39" s="16"/>
      <c r="JL39" s="16"/>
      <c r="JM39" s="15" t="str">
        <f t="shared" si="101"/>
        <v>NO APLICA</v>
      </c>
      <c r="JN39" s="16"/>
      <c r="JO39" s="16"/>
      <c r="JP39" s="16"/>
      <c r="JQ39" s="15" t="str">
        <f t="shared" si="102"/>
        <v>NO APLICA</v>
      </c>
      <c r="JR39" s="16"/>
      <c r="JS39" s="16"/>
      <c r="JT39" s="16"/>
      <c r="JU39" s="16"/>
      <c r="JV39" s="15" t="str">
        <f t="shared" si="103"/>
        <v>NO APLICA</v>
      </c>
      <c r="JW39" s="15"/>
      <c r="JX39" s="13">
        <v>45948</v>
      </c>
      <c r="JY39" s="14">
        <f>DATE(YEAR(JX39)+2,MONTH(JX39),DAY(JX39))</f>
        <v>46678</v>
      </c>
      <c r="JZ39" s="65">
        <f ca="1">JY39-TODAY()</f>
        <v>547</v>
      </c>
      <c r="KA39" s="15" t="str">
        <f t="shared" ca="1" si="104"/>
        <v>VIGENTE</v>
      </c>
      <c r="KB39" s="12"/>
      <c r="KC39" s="14"/>
      <c r="KD39" s="65"/>
      <c r="KE39" s="15" t="str">
        <f t="shared" si="105"/>
        <v>NO APLICA</v>
      </c>
      <c r="KF39" s="12"/>
      <c r="KG39" s="14"/>
      <c r="KH39" s="65"/>
      <c r="KI39" s="15" t="str">
        <f t="shared" si="132"/>
        <v>NO APLICA</v>
      </c>
      <c r="KJ39" s="12"/>
      <c r="KK39" s="14"/>
      <c r="KL39" s="65"/>
      <c r="KM39" s="15" t="str">
        <f t="shared" si="106"/>
        <v>NO APLICA</v>
      </c>
      <c r="KN39" s="12"/>
      <c r="KO39" s="14"/>
      <c r="KP39" s="65"/>
      <c r="KQ39" s="15" t="str">
        <f t="shared" si="133"/>
        <v>NO APLICA</v>
      </c>
      <c r="KR39" s="13">
        <v>44648</v>
      </c>
      <c r="KS39" s="14">
        <v>44649</v>
      </c>
      <c r="KT39" s="14">
        <f>DATE(YEAR(KS39)+5,MONTH(KS39),DAY(KS39))</f>
        <v>46475</v>
      </c>
      <c r="KU39" s="65">
        <f ca="1">KT39-TODAY()</f>
        <v>344</v>
      </c>
      <c r="KV39" s="15" t="str">
        <f t="shared" ca="1" si="147"/>
        <v>VIGENTE</v>
      </c>
      <c r="KW39" s="14">
        <v>44608</v>
      </c>
      <c r="KX39" s="14">
        <f>DATE(YEAR(KW39)+5,MONTH(KW39),DAY(KW39))</f>
        <v>46434</v>
      </c>
      <c r="KY39" s="65">
        <f ca="1">KX39-TODAY()</f>
        <v>303</v>
      </c>
      <c r="KZ39" s="15" t="str">
        <f t="shared" ca="1" si="134"/>
        <v>VIGENTE</v>
      </c>
      <c r="LA39" s="14">
        <v>44490</v>
      </c>
      <c r="LB39" s="14">
        <v>45527</v>
      </c>
      <c r="LC39" s="14">
        <f>DATE(YEAR(LB39)+2,MONTH(LB39),DAY(LB39))</f>
        <v>46257</v>
      </c>
      <c r="LD39" s="65">
        <f ca="1">LC39-TODAY()</f>
        <v>126</v>
      </c>
      <c r="LE39" s="15" t="str">
        <f t="shared" ca="1" si="107"/>
        <v>VIGENTE</v>
      </c>
      <c r="LF39" s="15"/>
      <c r="LG39" s="15"/>
      <c r="LH39" s="15"/>
      <c r="LI39" s="15"/>
      <c r="LJ39" s="15" t="str">
        <f t="shared" si="148"/>
        <v>NO APLICA</v>
      </c>
      <c r="LK39" s="12"/>
      <c r="LL39" s="16"/>
      <c r="LM39" s="14"/>
      <c r="LN39" s="65"/>
      <c r="LO39" s="15" t="str">
        <f t="shared" si="135"/>
        <v>NO APLICA</v>
      </c>
      <c r="LP39" s="16"/>
      <c r="LQ39" s="16"/>
      <c r="LR39" s="14"/>
      <c r="LS39" s="65"/>
      <c r="LT39" s="15" t="str">
        <f t="shared" si="136"/>
        <v>NO APLICA</v>
      </c>
      <c r="LU39" s="16"/>
      <c r="LV39" s="16"/>
      <c r="LW39" s="14"/>
      <c r="LX39" s="65"/>
      <c r="LY39" s="15" t="str">
        <f t="shared" si="137"/>
        <v>NO APLICA</v>
      </c>
      <c r="LZ39" s="12"/>
      <c r="MA39" s="12"/>
      <c r="MB39" s="14"/>
      <c r="MC39" s="65"/>
      <c r="MD39" s="15" t="str">
        <f t="shared" si="108"/>
        <v>NO APLICA</v>
      </c>
      <c r="ME39" s="12"/>
      <c r="MF39" s="12"/>
      <c r="MG39" s="14"/>
      <c r="MH39" s="65"/>
      <c r="MI39" s="15" t="str">
        <f t="shared" si="109"/>
        <v>NO APLICA</v>
      </c>
      <c r="MJ39" s="12"/>
      <c r="MK39" s="14"/>
      <c r="ML39" s="65"/>
      <c r="MM39" s="15" t="str">
        <f t="shared" si="110"/>
        <v>NO APLICA</v>
      </c>
      <c r="MN39" s="12"/>
      <c r="MO39" s="14"/>
      <c r="MP39" s="12"/>
      <c r="MQ39" s="15" t="str">
        <f t="shared" si="111"/>
        <v>NO APLICA</v>
      </c>
      <c r="MR39" s="12"/>
      <c r="MS39" s="16"/>
      <c r="MT39" s="14"/>
      <c r="MU39" s="65"/>
      <c r="MV39" s="15" t="str">
        <f t="shared" si="112"/>
        <v>NO APLICA</v>
      </c>
      <c r="MW39" s="12"/>
      <c r="MX39" s="16"/>
      <c r="MY39" s="14"/>
      <c r="MZ39" s="65"/>
      <c r="NA39" s="15" t="str">
        <f t="shared" si="113"/>
        <v>NO APLICA</v>
      </c>
      <c r="NB39" s="12"/>
      <c r="NC39" s="16"/>
      <c r="ND39" s="14"/>
      <c r="NE39" s="65"/>
      <c r="NF39" s="15" t="str">
        <f t="shared" si="114"/>
        <v>NO APLICA</v>
      </c>
      <c r="NG39" s="12"/>
      <c r="NH39" s="12"/>
      <c r="NI39" s="14"/>
      <c r="NJ39" s="12"/>
      <c r="NK39" s="15" t="str">
        <f t="shared" si="115"/>
        <v>NO APLICA</v>
      </c>
      <c r="NL39" s="12"/>
      <c r="NM39" s="12"/>
      <c r="NN39" s="12"/>
      <c r="NO39" s="12"/>
      <c r="NP39" s="15" t="str">
        <f t="shared" si="116"/>
        <v>NO APLICA</v>
      </c>
      <c r="NQ39" s="16"/>
      <c r="NR39" s="16"/>
      <c r="NS39" s="14"/>
      <c r="NT39" s="65"/>
      <c r="NU39" s="15" t="str">
        <f t="shared" si="117"/>
        <v>NO APLICA</v>
      </c>
      <c r="NV39" s="16"/>
      <c r="NW39" s="16"/>
      <c r="NX39" s="16"/>
      <c r="NY39" s="16"/>
      <c r="NZ39" s="15" t="str">
        <f t="shared" si="118"/>
        <v>NO APLICA</v>
      </c>
    </row>
    <row r="40" spans="1:390" ht="15.6" thickTop="1" thickBot="1" x14ac:dyDescent="0.35">
      <c r="A40" s="9">
        <v>295</v>
      </c>
      <c r="B40" s="10" t="s">
        <v>231</v>
      </c>
      <c r="C40" s="21" t="s">
        <v>104</v>
      </c>
      <c r="D40" s="64" t="s">
        <v>232</v>
      </c>
      <c r="E40" s="15"/>
      <c r="F40" s="16"/>
      <c r="G40" s="14"/>
      <c r="H40" s="65"/>
      <c r="I40" s="15" t="str">
        <f t="shared" si="0"/>
        <v>NO APLICA</v>
      </c>
      <c r="J40" s="15"/>
      <c r="K40" s="16"/>
      <c r="L40" s="16"/>
      <c r="M40" s="65"/>
      <c r="N40" s="15" t="str">
        <f t="shared" si="1"/>
        <v>NO APLICA</v>
      </c>
      <c r="O40" s="16"/>
      <c r="P40" s="16"/>
      <c r="Q40" s="14"/>
      <c r="R40" s="65"/>
      <c r="S40" s="15" t="str">
        <f t="shared" si="119"/>
        <v>NO APLICA</v>
      </c>
      <c r="T40" s="12" t="s">
        <v>233</v>
      </c>
      <c r="U40" s="14">
        <v>45215</v>
      </c>
      <c r="V40" s="14">
        <v>45216</v>
      </c>
      <c r="W40" s="14">
        <f t="shared" si="2"/>
        <v>47043</v>
      </c>
      <c r="X40" s="65">
        <f t="shared" ca="1" si="3"/>
        <v>912</v>
      </c>
      <c r="Y40" s="15" t="str">
        <f t="shared" ca="1" si="4"/>
        <v>VIGENTE</v>
      </c>
      <c r="Z40" s="12" t="s">
        <v>234</v>
      </c>
      <c r="AA40" s="14">
        <v>44823</v>
      </c>
      <c r="AB40" s="14">
        <v>44824</v>
      </c>
      <c r="AC40" s="14">
        <f t="shared" si="201"/>
        <v>46650</v>
      </c>
      <c r="AD40" s="65">
        <f t="shared" ca="1" si="202"/>
        <v>519</v>
      </c>
      <c r="AE40" s="15" t="str">
        <f t="shared" ca="1" si="7"/>
        <v>VIGENTE</v>
      </c>
      <c r="AF40" s="13">
        <v>44928</v>
      </c>
      <c r="AG40" s="14">
        <v>45594</v>
      </c>
      <c r="AH40" s="14">
        <f>DATE(YEAR(AG40)+2,MONTH(AG40),DAY(AG40)-1)</f>
        <v>46323</v>
      </c>
      <c r="AI40" s="65">
        <f t="shared" ca="1" si="8"/>
        <v>192</v>
      </c>
      <c r="AJ40" s="15" t="str">
        <f t="shared" ca="1" si="9"/>
        <v>VIGENTE</v>
      </c>
      <c r="AK40" s="13">
        <v>45286</v>
      </c>
      <c r="AL40" s="14">
        <v>45959</v>
      </c>
      <c r="AM40" s="14">
        <f t="shared" si="207"/>
        <v>46689</v>
      </c>
      <c r="AN40" s="65">
        <f t="shared" ca="1" si="10"/>
        <v>558</v>
      </c>
      <c r="AO40" s="15" t="str">
        <f t="shared" ca="1" si="11"/>
        <v>VIGENTE</v>
      </c>
      <c r="AP40" s="13">
        <v>45226</v>
      </c>
      <c r="AQ40" s="14">
        <v>45904</v>
      </c>
      <c r="AR40" s="14">
        <f>DATE(YEAR(AQ40)+2,MONTH(AQ40),DAY(AQ40))</f>
        <v>46634</v>
      </c>
      <c r="AS40" s="65">
        <f t="shared" ca="1" si="12"/>
        <v>503</v>
      </c>
      <c r="AT40" s="15" t="str">
        <f t="shared" ca="1" si="13"/>
        <v>VIGENTE</v>
      </c>
      <c r="AU40" s="13">
        <v>44659</v>
      </c>
      <c r="AV40" s="14">
        <v>45990</v>
      </c>
      <c r="AW40" s="14">
        <f>DATE(YEAR(AV40)+2,MONTH(AV40),DAY(AV40))</f>
        <v>46720</v>
      </c>
      <c r="AX40" s="65">
        <f t="shared" ca="1" si="15"/>
        <v>589</v>
      </c>
      <c r="AY40" s="15" t="str">
        <f t="shared" ca="1" si="16"/>
        <v>VIGENTE</v>
      </c>
      <c r="AZ40" s="13">
        <v>45375</v>
      </c>
      <c r="BA40" s="14">
        <v>46071</v>
      </c>
      <c r="BB40" s="14">
        <f>DATE(YEAR(BA40)+2,MONTH(BA40),DAY(BA40))</f>
        <v>46801</v>
      </c>
      <c r="BC40" s="65">
        <f t="shared" ca="1" si="17"/>
        <v>670</v>
      </c>
      <c r="BD40" s="15" t="str">
        <f t="shared" ca="1" si="18"/>
        <v>VIGENTE</v>
      </c>
      <c r="BE40" s="13">
        <v>44734</v>
      </c>
      <c r="BF40" s="14">
        <v>46067</v>
      </c>
      <c r="BG40" s="14">
        <f>DATE(YEAR(BF40)+2,MONTH(BF40),DAY(BF40))</f>
        <v>46797</v>
      </c>
      <c r="BH40" s="65">
        <f t="shared" ca="1" si="19"/>
        <v>666</v>
      </c>
      <c r="BI40" s="15" t="str">
        <f t="shared" ca="1" si="20"/>
        <v>VIGENTE</v>
      </c>
      <c r="BJ40" s="13">
        <v>44719</v>
      </c>
      <c r="BK40" s="14">
        <v>46051</v>
      </c>
      <c r="BL40" s="14">
        <f>DATE(YEAR(BK40)+2,MONTH(BK40),DAY(BK40))</f>
        <v>46781</v>
      </c>
      <c r="BM40" s="65">
        <f t="shared" ca="1" si="21"/>
        <v>650</v>
      </c>
      <c r="BN40" s="15" t="str">
        <f t="shared" ca="1" si="22"/>
        <v>VIGENTE</v>
      </c>
      <c r="BO40" s="13">
        <v>44746</v>
      </c>
      <c r="BP40" s="14">
        <v>46069</v>
      </c>
      <c r="BQ40" s="14">
        <f>DATE(YEAR(BP40)+2,MONTH(BP40),DAY(BP40))</f>
        <v>46799</v>
      </c>
      <c r="BR40" s="65">
        <f t="shared" ca="1" si="23"/>
        <v>668</v>
      </c>
      <c r="BS40" s="15" t="str">
        <f t="shared" ca="1" si="24"/>
        <v>VIGENTE</v>
      </c>
      <c r="BT40" s="13">
        <v>44733</v>
      </c>
      <c r="BU40" s="14">
        <v>45449</v>
      </c>
      <c r="BV40" s="14">
        <f t="shared" si="205"/>
        <v>46178</v>
      </c>
      <c r="BW40" s="65">
        <f t="shared" ca="1" si="25"/>
        <v>47</v>
      </c>
      <c r="BX40" s="15" t="str">
        <f t="shared" ca="1" si="26"/>
        <v>POR VENCER</v>
      </c>
      <c r="BY40" s="13">
        <v>44629</v>
      </c>
      <c r="BZ40" s="14">
        <v>45986</v>
      </c>
      <c r="CA40" s="14">
        <f>DATE(YEAR(BZ40)+2,MONTH(BZ40),DAY(BZ40))</f>
        <v>46716</v>
      </c>
      <c r="CB40" s="65">
        <f t="shared" ca="1" si="27"/>
        <v>585</v>
      </c>
      <c r="CC40" s="15" t="str">
        <f t="shared" ca="1" si="28"/>
        <v>VIGENTE</v>
      </c>
      <c r="CD40" s="16" t="s">
        <v>108</v>
      </c>
      <c r="CE40" s="14">
        <v>45300</v>
      </c>
      <c r="CF40" s="14">
        <v>45301</v>
      </c>
      <c r="CG40" s="14">
        <f t="shared" si="29"/>
        <v>46762</v>
      </c>
      <c r="CH40" s="65">
        <f t="shared" ca="1" si="30"/>
        <v>631</v>
      </c>
      <c r="CI40" s="15" t="str">
        <f t="shared" ca="1" si="31"/>
        <v>VIGENTE</v>
      </c>
      <c r="CJ40" s="14">
        <v>45233</v>
      </c>
      <c r="CK40" s="14">
        <v>45895</v>
      </c>
      <c r="CL40" s="14">
        <f>DATE(YEAR(CK40)+2,MONTH(CK40),DAY(CK40))</f>
        <v>46625</v>
      </c>
      <c r="CM40" s="65">
        <f t="shared" ca="1" si="32"/>
        <v>494</v>
      </c>
      <c r="CN40" s="15" t="str">
        <f t="shared" ca="1" si="33"/>
        <v>VIGENTE</v>
      </c>
      <c r="CO40" s="13">
        <v>44900</v>
      </c>
      <c r="CP40" s="14">
        <v>45517</v>
      </c>
      <c r="CQ40" s="14">
        <f t="shared" si="206"/>
        <v>46246</v>
      </c>
      <c r="CR40" s="65">
        <f t="shared" ca="1" si="34"/>
        <v>115</v>
      </c>
      <c r="CS40" s="15" t="str">
        <f t="shared" ca="1" si="35"/>
        <v>VIGENTE</v>
      </c>
      <c r="CT40" s="13">
        <v>44974</v>
      </c>
      <c r="CU40" s="14">
        <v>45639</v>
      </c>
      <c r="CV40" s="14">
        <f>DATE(YEAR(CU40)+2,MONTH(CU40),DAY(CU40)-1)</f>
        <v>46368</v>
      </c>
      <c r="CW40" s="65">
        <f t="shared" ca="1" si="36"/>
        <v>237</v>
      </c>
      <c r="CX40" s="15" t="str">
        <f t="shared" ca="1" si="37"/>
        <v>VIGENTE</v>
      </c>
      <c r="CY40" s="13">
        <v>44992</v>
      </c>
      <c r="CZ40" s="14">
        <v>45661</v>
      </c>
      <c r="DA40" s="14">
        <f>DATE(YEAR(CZ40)+2,MONTH(CZ40),DAY(CZ40)-1)</f>
        <v>46390</v>
      </c>
      <c r="DB40" s="65">
        <f t="shared" ca="1" si="38"/>
        <v>259</v>
      </c>
      <c r="DC40" s="15" t="str">
        <f t="shared" ca="1" si="39"/>
        <v>VIGENTE</v>
      </c>
      <c r="DD40" s="13">
        <v>45019</v>
      </c>
      <c r="DE40" s="14">
        <v>45689</v>
      </c>
      <c r="DF40" s="14">
        <f>DATE(YEAR(DE40)+2,MONTH(DE40),DAY(DE40)-1)</f>
        <v>46418</v>
      </c>
      <c r="DG40" s="65">
        <f t="shared" ca="1" si="40"/>
        <v>287</v>
      </c>
      <c r="DH40" s="15" t="str">
        <f t="shared" ca="1" si="41"/>
        <v>VIGENTE</v>
      </c>
      <c r="DI40" s="13">
        <v>45296</v>
      </c>
      <c r="DJ40" s="14">
        <v>45955</v>
      </c>
      <c r="DK40" s="14">
        <f>DATE(YEAR(DJ40)+2,MONTH(DJ40),DAY(DJ40))</f>
        <v>46685</v>
      </c>
      <c r="DL40" s="65">
        <f t="shared" ca="1" si="43"/>
        <v>554</v>
      </c>
      <c r="DM40" s="15" t="str">
        <f t="shared" ca="1" si="44"/>
        <v>VIGENTE</v>
      </c>
      <c r="DN40" s="13">
        <v>45390</v>
      </c>
      <c r="DO40" s="14">
        <v>46088</v>
      </c>
      <c r="DP40" s="14">
        <f t="shared" ref="DP40:DP46" si="212">DATE(YEAR(DO40)+2,MONTH(DO40),DAY(DO40))</f>
        <v>46819</v>
      </c>
      <c r="DQ40" s="65">
        <f t="shared" ca="1" si="46"/>
        <v>688</v>
      </c>
      <c r="DR40" s="15" t="str">
        <f t="shared" ca="1" si="47"/>
        <v>VIGENTE</v>
      </c>
      <c r="DS40" s="13">
        <v>44734</v>
      </c>
      <c r="DT40" s="14">
        <v>46072</v>
      </c>
      <c r="DU40" s="14">
        <f>DATE(YEAR(DT40)+2,MONTH(DT40),DAY(DT40))</f>
        <v>46802</v>
      </c>
      <c r="DV40" s="65">
        <f t="shared" ca="1" si="48"/>
        <v>671</v>
      </c>
      <c r="DW40" s="15" t="str">
        <f t="shared" ca="1" si="49"/>
        <v>VIGENTE</v>
      </c>
      <c r="DX40" s="13">
        <v>45355</v>
      </c>
      <c r="DY40" s="14">
        <v>46032</v>
      </c>
      <c r="DZ40" s="14">
        <f>DATE(YEAR(DY40)+2,MONTH(DY40),DAY(DY40))</f>
        <v>46762</v>
      </c>
      <c r="EA40" s="65">
        <f t="shared" ca="1" si="50"/>
        <v>631</v>
      </c>
      <c r="EB40" s="15" t="str">
        <f t="shared" ca="1" si="51"/>
        <v>VIGENTE</v>
      </c>
      <c r="EC40" s="13">
        <v>45255</v>
      </c>
      <c r="ED40" s="14">
        <v>45913</v>
      </c>
      <c r="EE40" s="14">
        <f>DATE(YEAR(ED40)+2,MONTH(ED40),DAY(ED40))</f>
        <v>46643</v>
      </c>
      <c r="EF40" s="65">
        <f t="shared" ca="1" si="52"/>
        <v>512</v>
      </c>
      <c r="EG40" s="15" t="str">
        <f t="shared" ca="1" si="53"/>
        <v>VIGENTE</v>
      </c>
      <c r="EH40" s="13">
        <v>45229</v>
      </c>
      <c r="EI40" s="13">
        <v>45946</v>
      </c>
      <c r="EJ40" s="13">
        <v>45947</v>
      </c>
      <c r="EK40" s="14">
        <v>45948</v>
      </c>
      <c r="EL40" s="14">
        <f t="shared" si="128"/>
        <v>46313</v>
      </c>
      <c r="EM40" s="65">
        <f t="shared" ca="1" si="54"/>
        <v>182</v>
      </c>
      <c r="EN40" s="15" t="str">
        <f t="shared" ca="1" si="55"/>
        <v>VIGENTE</v>
      </c>
      <c r="EO40" s="13">
        <v>44623</v>
      </c>
      <c r="EP40" s="14">
        <v>45940</v>
      </c>
      <c r="EQ40" s="14">
        <f>DATE(YEAR(EP40)+2,MONTH(EP40),DAY(EP40))</f>
        <v>46670</v>
      </c>
      <c r="ER40" s="65">
        <f t="shared" ca="1" si="56"/>
        <v>539</v>
      </c>
      <c r="ES40" s="15" t="str">
        <f t="shared" ca="1" si="57"/>
        <v>VIGENTE</v>
      </c>
      <c r="ET40" s="13">
        <v>45411</v>
      </c>
      <c r="EU40" s="14">
        <v>46042</v>
      </c>
      <c r="EV40" s="14">
        <f>DATE(YEAR(EU40)+2,MONTH(EU40),DAY(EU40))</f>
        <v>46772</v>
      </c>
      <c r="EW40" s="65">
        <f t="shared" ca="1" si="58"/>
        <v>641</v>
      </c>
      <c r="EX40" s="15" t="str">
        <f t="shared" ca="1" si="59"/>
        <v>VIGENTE</v>
      </c>
      <c r="EY40" s="13">
        <v>45360</v>
      </c>
      <c r="EZ40" s="14">
        <v>46070</v>
      </c>
      <c r="FA40" s="14">
        <f t="shared" si="208"/>
        <v>46800</v>
      </c>
      <c r="FB40" s="65">
        <f t="shared" ca="1" si="60"/>
        <v>669</v>
      </c>
      <c r="FC40" s="15" t="str">
        <f t="shared" ca="1" si="61"/>
        <v>VIGENTE</v>
      </c>
      <c r="FD40" s="13">
        <v>44629</v>
      </c>
      <c r="FE40" s="14">
        <v>45951</v>
      </c>
      <c r="FF40" s="14">
        <f t="shared" si="209"/>
        <v>46681</v>
      </c>
      <c r="FG40" s="65">
        <f t="shared" ca="1" si="62"/>
        <v>550</v>
      </c>
      <c r="FH40" s="15" t="str">
        <f t="shared" ca="1" si="63"/>
        <v>VIGENTE</v>
      </c>
      <c r="FI40" s="13">
        <v>45282</v>
      </c>
      <c r="FJ40" s="14">
        <v>45969</v>
      </c>
      <c r="FK40" s="14">
        <f t="shared" si="210"/>
        <v>46699</v>
      </c>
      <c r="FL40" s="65">
        <f t="shared" ca="1" si="64"/>
        <v>568</v>
      </c>
      <c r="FM40" s="15" t="str">
        <f t="shared" ca="1" si="65"/>
        <v>VIGENTE</v>
      </c>
      <c r="FN40" s="13">
        <v>45232</v>
      </c>
      <c r="FO40" s="14">
        <v>45920</v>
      </c>
      <c r="FP40" s="14">
        <f>DATE(YEAR(FO40)+2,MONTH(FO40),DAY(FO40))</f>
        <v>46650</v>
      </c>
      <c r="FQ40" s="65">
        <f t="shared" ca="1" si="67"/>
        <v>519</v>
      </c>
      <c r="FR40" s="15" t="str">
        <f t="shared" ca="1" si="68"/>
        <v>VIGENTE</v>
      </c>
      <c r="FS40" s="13">
        <v>45376</v>
      </c>
      <c r="FT40" s="14">
        <v>46034</v>
      </c>
      <c r="FU40" s="14">
        <f>DATE(YEAR(FT40)+2,MONTH(FT40),DAY(FT40))</f>
        <v>46764</v>
      </c>
      <c r="FV40" s="65">
        <f t="shared" ca="1" si="69"/>
        <v>633</v>
      </c>
      <c r="FW40" s="15" t="str">
        <f t="shared" ca="1" si="70"/>
        <v>VIGENTE</v>
      </c>
      <c r="FX40" s="13">
        <v>44924</v>
      </c>
      <c r="FY40" s="14">
        <v>45574</v>
      </c>
      <c r="FZ40" s="14">
        <f>DATE(YEAR(FY40)+2,MONTH(FY40),DAY(FY40)-1)</f>
        <v>46303</v>
      </c>
      <c r="GA40" s="65">
        <f t="shared" ca="1" si="71"/>
        <v>172</v>
      </c>
      <c r="GB40" s="15" t="str">
        <f t="shared" ca="1" si="72"/>
        <v>VIGENTE</v>
      </c>
      <c r="GC40" s="13">
        <v>45396</v>
      </c>
      <c r="GD40" s="14">
        <v>46030</v>
      </c>
      <c r="GE40" s="14">
        <f>DATE(YEAR(GD40)+2,MONTH(GD40),DAY(GD40))</f>
        <v>46760</v>
      </c>
      <c r="GF40" s="65">
        <f t="shared" ca="1" si="73"/>
        <v>629</v>
      </c>
      <c r="GG40" s="15" t="str">
        <f t="shared" ca="1" si="74"/>
        <v>VIGENTE</v>
      </c>
      <c r="GH40" s="13">
        <v>45332</v>
      </c>
      <c r="GI40" s="14">
        <v>45960</v>
      </c>
      <c r="GJ40" s="14">
        <f>DATE(YEAR(GI40)+2,MONTH(GI40),DAY(GI40))</f>
        <v>46690</v>
      </c>
      <c r="GK40" s="65">
        <f t="shared" ca="1" si="75"/>
        <v>559</v>
      </c>
      <c r="GL40" s="15" t="str">
        <f t="shared" ca="1" si="76"/>
        <v>VIGENTE</v>
      </c>
      <c r="GM40" s="13">
        <v>44565</v>
      </c>
      <c r="GN40" s="14">
        <v>45945</v>
      </c>
      <c r="GO40" s="14">
        <f t="shared" si="211"/>
        <v>46675</v>
      </c>
      <c r="GP40" s="65">
        <f t="shared" ca="1" si="77"/>
        <v>544</v>
      </c>
      <c r="GQ40" s="15" t="str">
        <f t="shared" ca="1" si="78"/>
        <v>VIGENTE</v>
      </c>
      <c r="GR40" s="14">
        <v>44571</v>
      </c>
      <c r="GS40" s="14">
        <v>45224</v>
      </c>
      <c r="GT40" s="14">
        <f t="shared" si="79"/>
        <v>47051</v>
      </c>
      <c r="GU40" s="65">
        <f t="shared" ca="1" si="172"/>
        <v>920</v>
      </c>
      <c r="GV40" s="15" t="str">
        <f t="shared" ca="1" si="81"/>
        <v>VIGENTE</v>
      </c>
      <c r="GW40" s="13">
        <v>44571</v>
      </c>
      <c r="GX40" s="14">
        <v>45254</v>
      </c>
      <c r="GY40" s="14">
        <f t="shared" si="82"/>
        <v>47081</v>
      </c>
      <c r="GZ40" s="65">
        <f t="shared" ca="1" si="83"/>
        <v>950</v>
      </c>
      <c r="HA40" s="15" t="str">
        <f t="shared" ca="1" si="84"/>
        <v>VIGENTE</v>
      </c>
      <c r="HB40" s="13">
        <v>44565</v>
      </c>
      <c r="HC40" s="14">
        <v>45251</v>
      </c>
      <c r="HD40" s="14">
        <f t="shared" si="85"/>
        <v>47078</v>
      </c>
      <c r="HE40" s="65">
        <f t="shared" ca="1" si="86"/>
        <v>947</v>
      </c>
      <c r="HF40" s="15" t="str">
        <f t="shared" ca="1" si="87"/>
        <v>VIGENTE</v>
      </c>
      <c r="HG40" s="16"/>
      <c r="HH40" s="14">
        <v>44876</v>
      </c>
      <c r="HI40" s="14">
        <f t="shared" si="203"/>
        <v>46702</v>
      </c>
      <c r="HJ40" s="65">
        <f t="shared" ca="1" si="204"/>
        <v>571</v>
      </c>
      <c r="HK40" s="15" t="str">
        <f t="shared" ca="1" si="181"/>
        <v>VIGENTE</v>
      </c>
      <c r="HL40" s="13">
        <v>44628</v>
      </c>
      <c r="HM40" s="14">
        <v>45414</v>
      </c>
      <c r="HN40" s="14">
        <f>DATE(YEAR(HM40)+5,MONTH(HM40),DAY(HM40))</f>
        <v>47240</v>
      </c>
      <c r="HO40" s="65">
        <f ca="1">HN40-TODAY()</f>
        <v>1109</v>
      </c>
      <c r="HP40" s="15" t="str">
        <f t="shared" ca="1" si="196"/>
        <v>VIGENTE</v>
      </c>
      <c r="HQ40" s="12"/>
      <c r="HR40" s="15"/>
      <c r="HS40" s="15"/>
      <c r="HT40" s="15"/>
      <c r="HU40" s="15" t="str">
        <f t="shared" si="92"/>
        <v>NO APLICA</v>
      </c>
      <c r="HV40" s="13">
        <v>44782</v>
      </c>
      <c r="HW40" s="14">
        <v>45420</v>
      </c>
      <c r="HX40" s="14">
        <f>DATE(YEAR(HW40)+5,MONTH(HW40),DAY(HW40))</f>
        <v>47246</v>
      </c>
      <c r="HY40" s="65">
        <f ca="1">HX40-TODAY()</f>
        <v>1115</v>
      </c>
      <c r="HZ40" s="15" t="str">
        <f t="shared" ca="1" si="93"/>
        <v>VIGENTE</v>
      </c>
      <c r="IA40" s="13">
        <v>44557</v>
      </c>
      <c r="IB40" s="14">
        <v>45234</v>
      </c>
      <c r="IC40" s="14">
        <f>DATE(YEAR(IB40)+5,MONTH(IB40),DAY(IB40))</f>
        <v>47061</v>
      </c>
      <c r="ID40" s="65">
        <f ca="1">IC40-TODAY()</f>
        <v>930</v>
      </c>
      <c r="IE40" s="15" t="str">
        <f t="shared" ca="1" si="94"/>
        <v>VIGENTE</v>
      </c>
      <c r="IF40" s="13">
        <v>44792</v>
      </c>
      <c r="IG40" s="14">
        <v>45470</v>
      </c>
      <c r="IH40" s="14">
        <f>DATE(YEAR(IG40)+5,MONTH(IG40),DAY(IG40))</f>
        <v>47296</v>
      </c>
      <c r="II40" s="65">
        <f ca="1">IH40-TODAY()</f>
        <v>1165</v>
      </c>
      <c r="IJ40" s="15" t="str">
        <f t="shared" ca="1" si="95"/>
        <v>VIGENTE</v>
      </c>
      <c r="IK40" s="14">
        <v>44795</v>
      </c>
      <c r="IL40" s="14">
        <v>45429</v>
      </c>
      <c r="IM40" s="14">
        <f>DATE(YEAR(IL40)+5,MONTH(IL40),DAY(IL40))</f>
        <v>47255</v>
      </c>
      <c r="IN40" s="65">
        <f ca="1">IM40-TODAY()</f>
        <v>1124</v>
      </c>
      <c r="IO40" s="15" t="str">
        <f t="shared" ca="1" si="96"/>
        <v>VIGENTE</v>
      </c>
      <c r="IP40" s="13">
        <v>44795</v>
      </c>
      <c r="IQ40" s="14">
        <v>45433</v>
      </c>
      <c r="IR40" s="14">
        <f>DATE(YEAR(IQ40)+5,MONTH(IQ40),DAY(IQ40))</f>
        <v>47259</v>
      </c>
      <c r="IS40" s="65">
        <f ca="1">IR40-TODAY()</f>
        <v>1128</v>
      </c>
      <c r="IT40" s="15" t="str">
        <f t="shared" ca="1" si="97"/>
        <v>VIGENTE</v>
      </c>
      <c r="IU40" s="13">
        <v>44792</v>
      </c>
      <c r="IV40" s="14">
        <v>45423</v>
      </c>
      <c r="IW40" s="14">
        <f>DATE(YEAR(IV40)+5,MONTH(IV40),DAY(IV40))</f>
        <v>47249</v>
      </c>
      <c r="IX40" s="65">
        <f ca="1">IW40-TODAY()</f>
        <v>1118</v>
      </c>
      <c r="IY40" s="15" t="str">
        <f t="shared" ca="1" si="98"/>
        <v>VIGENTE</v>
      </c>
      <c r="IZ40" s="13">
        <v>44557</v>
      </c>
      <c r="JA40" s="14">
        <v>45206</v>
      </c>
      <c r="JB40" s="14">
        <f>DATE(YEAR(JA40)+5,MONTH(JA40),DAY(JA40))</f>
        <v>47033</v>
      </c>
      <c r="JC40" s="65">
        <f ca="1">JB40-TODAY()</f>
        <v>902</v>
      </c>
      <c r="JD40" s="15" t="str">
        <f t="shared" ca="1" si="99"/>
        <v>VIGENTE</v>
      </c>
      <c r="JE40" s="13"/>
      <c r="JF40" s="13"/>
      <c r="JG40" s="14"/>
      <c r="JH40" s="65"/>
      <c r="JI40" s="15" t="str">
        <f t="shared" si="100"/>
        <v>NO APLICA</v>
      </c>
      <c r="JJ40" s="16"/>
      <c r="JK40" s="16"/>
      <c r="JL40" s="16"/>
      <c r="JM40" s="15" t="str">
        <f t="shared" si="101"/>
        <v>NO APLICA</v>
      </c>
      <c r="JN40" s="16"/>
      <c r="JO40" s="16"/>
      <c r="JP40" s="16"/>
      <c r="JQ40" s="15" t="str">
        <f t="shared" si="102"/>
        <v>NO APLICA</v>
      </c>
      <c r="JR40" s="16"/>
      <c r="JS40" s="16"/>
      <c r="JT40" s="16"/>
      <c r="JU40" s="16"/>
      <c r="JV40" s="15" t="str">
        <f t="shared" si="103"/>
        <v>NO APLICA</v>
      </c>
      <c r="JW40" s="15"/>
      <c r="JX40" s="15"/>
      <c r="JY40" s="15"/>
      <c r="JZ40" s="15"/>
      <c r="KA40" s="15" t="str">
        <f t="shared" si="104"/>
        <v>NO APLICA</v>
      </c>
      <c r="KB40" s="15"/>
      <c r="KC40" s="14"/>
      <c r="KD40" s="65"/>
      <c r="KE40" s="15" t="str">
        <f t="shared" si="105"/>
        <v>NO APLICA</v>
      </c>
      <c r="KF40" s="15"/>
      <c r="KG40" s="14"/>
      <c r="KH40" s="65"/>
      <c r="KI40" s="15" t="str">
        <f t="shared" si="132"/>
        <v>NO APLICA</v>
      </c>
      <c r="KJ40" s="15"/>
      <c r="KK40" s="14"/>
      <c r="KL40" s="65"/>
      <c r="KM40" s="15" t="str">
        <f t="shared" si="106"/>
        <v>NO APLICA</v>
      </c>
      <c r="KN40" s="12"/>
      <c r="KO40" s="14"/>
      <c r="KP40" s="65"/>
      <c r="KQ40" s="15" t="str">
        <f t="shared" si="133"/>
        <v>NO APLICA</v>
      </c>
      <c r="KR40" s="14">
        <v>44648</v>
      </c>
      <c r="KS40" s="14">
        <v>44649</v>
      </c>
      <c r="KT40" s="14">
        <f>DATE(YEAR(KS40)+5,MONTH(KS40),DAY(KS40))</f>
        <v>46475</v>
      </c>
      <c r="KU40" s="65">
        <f ca="1">KT40-TODAY()</f>
        <v>344</v>
      </c>
      <c r="KV40" s="15" t="str">
        <f t="shared" ca="1" si="147"/>
        <v>VIGENTE</v>
      </c>
      <c r="KW40" s="16"/>
      <c r="KX40" s="14"/>
      <c r="KY40" s="65"/>
      <c r="KZ40" s="15" t="str">
        <f t="shared" si="134"/>
        <v>NO APLICA</v>
      </c>
      <c r="LA40" s="14">
        <v>45611</v>
      </c>
      <c r="LB40" s="14">
        <v>45511</v>
      </c>
      <c r="LC40" s="14">
        <f>DATE(YEAR(LB40)+2,MONTH(LB40),DAY(LB40))</f>
        <v>46241</v>
      </c>
      <c r="LD40" s="65">
        <f ca="1">LC40-TODAY()</f>
        <v>110</v>
      </c>
      <c r="LE40" s="15" t="str">
        <f t="shared" ca="1" si="107"/>
        <v>VIGENTE</v>
      </c>
      <c r="LF40" s="15"/>
      <c r="LG40" s="15"/>
      <c r="LH40" s="15"/>
      <c r="LI40" s="15"/>
      <c r="LJ40" s="15" t="str">
        <f t="shared" si="148"/>
        <v>NO APLICA</v>
      </c>
      <c r="LK40" s="15"/>
      <c r="LL40" s="16"/>
      <c r="LM40" s="14"/>
      <c r="LN40" s="65"/>
      <c r="LO40" s="15" t="str">
        <f t="shared" si="135"/>
        <v>NO APLICA</v>
      </c>
      <c r="LP40" s="14">
        <v>44984</v>
      </c>
      <c r="LQ40" s="14">
        <v>44986</v>
      </c>
      <c r="LR40" s="14">
        <f>DATE(YEAR(LQ40)+5,MONTH(LQ40),DAY(LQ40))</f>
        <v>46813</v>
      </c>
      <c r="LS40" s="65">
        <f ca="1">LR40-TODAY()</f>
        <v>682</v>
      </c>
      <c r="LT40" s="15" t="str">
        <f t="shared" ca="1" si="136"/>
        <v>VIGENTE</v>
      </c>
      <c r="LU40" s="14">
        <v>44987</v>
      </c>
      <c r="LV40" s="14">
        <v>44988</v>
      </c>
      <c r="LW40" s="14">
        <f>DATE(YEAR(LV40)+5,MONTH(LV40),DAY(LV40))</f>
        <v>46815</v>
      </c>
      <c r="LX40" s="65">
        <f ca="1">LW40-TODAY()</f>
        <v>684</v>
      </c>
      <c r="LY40" s="15" t="str">
        <f t="shared" ca="1" si="137"/>
        <v>VIGENTE</v>
      </c>
      <c r="LZ40" s="15"/>
      <c r="MA40" s="15"/>
      <c r="MB40" s="14"/>
      <c r="MC40" s="65"/>
      <c r="MD40" s="15" t="str">
        <f t="shared" si="108"/>
        <v>NO APLICA</v>
      </c>
      <c r="ME40" s="15"/>
      <c r="MF40" s="15"/>
      <c r="MG40" s="14"/>
      <c r="MH40" s="65"/>
      <c r="MI40" s="15" t="str">
        <f t="shared" si="109"/>
        <v>NO APLICA</v>
      </c>
      <c r="MJ40" s="15"/>
      <c r="MK40" s="14"/>
      <c r="ML40" s="65"/>
      <c r="MM40" s="15" t="str">
        <f t="shared" si="110"/>
        <v>NO APLICA</v>
      </c>
      <c r="MN40" s="15"/>
      <c r="MO40" s="14"/>
      <c r="MP40" s="15"/>
      <c r="MQ40" s="15" t="str">
        <f t="shared" si="111"/>
        <v>NO APLICA</v>
      </c>
      <c r="MR40" s="15"/>
      <c r="MS40" s="16"/>
      <c r="MT40" s="14"/>
      <c r="MU40" s="65"/>
      <c r="MV40" s="15" t="str">
        <f t="shared" si="112"/>
        <v>NO APLICA</v>
      </c>
      <c r="MW40" s="15"/>
      <c r="MX40" s="16"/>
      <c r="MY40" s="14"/>
      <c r="MZ40" s="65"/>
      <c r="NA40" s="15" t="str">
        <f t="shared" si="113"/>
        <v>NO APLICA</v>
      </c>
      <c r="NB40" s="15"/>
      <c r="NC40" s="16"/>
      <c r="ND40" s="14"/>
      <c r="NE40" s="65"/>
      <c r="NF40" s="15" t="str">
        <f t="shared" si="114"/>
        <v>NO APLICA</v>
      </c>
      <c r="NG40" s="15"/>
      <c r="NH40" s="15"/>
      <c r="NI40" s="15"/>
      <c r="NJ40" s="15"/>
      <c r="NK40" s="15" t="str">
        <f t="shared" si="115"/>
        <v>NO APLICA</v>
      </c>
      <c r="NL40" s="15"/>
      <c r="NM40" s="15"/>
      <c r="NN40" s="15"/>
      <c r="NO40" s="15"/>
      <c r="NP40" s="15" t="str">
        <f t="shared" si="116"/>
        <v>NO APLICA</v>
      </c>
      <c r="NQ40" s="16"/>
      <c r="NR40" s="16"/>
      <c r="NS40" s="16"/>
      <c r="NT40" s="16"/>
      <c r="NU40" s="15" t="str">
        <f t="shared" si="117"/>
        <v>NO APLICA</v>
      </c>
      <c r="NV40" s="16"/>
      <c r="NW40" s="16"/>
      <c r="NX40" s="16"/>
      <c r="NY40" s="16"/>
      <c r="NZ40" s="15" t="str">
        <f t="shared" si="118"/>
        <v>NO APLICA</v>
      </c>
    </row>
    <row r="41" spans="1:390" ht="15.6" thickTop="1" thickBot="1" x14ac:dyDescent="0.35">
      <c r="A41" s="9">
        <v>1130</v>
      </c>
      <c r="B41" s="10" t="s">
        <v>235</v>
      </c>
      <c r="C41" s="21" t="s">
        <v>104</v>
      </c>
      <c r="D41" s="64" t="s">
        <v>236</v>
      </c>
      <c r="E41" s="15"/>
      <c r="F41" s="16"/>
      <c r="G41" s="14"/>
      <c r="H41" s="65"/>
      <c r="I41" s="15" t="str">
        <f t="shared" si="0"/>
        <v>NO APLICA</v>
      </c>
      <c r="J41" s="15"/>
      <c r="K41" s="16"/>
      <c r="L41" s="16"/>
      <c r="M41" s="65"/>
      <c r="N41" s="15" t="str">
        <f t="shared" si="1"/>
        <v>NO APLICA</v>
      </c>
      <c r="O41" s="16"/>
      <c r="P41" s="16"/>
      <c r="Q41" s="14"/>
      <c r="R41" s="65"/>
      <c r="S41" s="15" t="str">
        <f t="shared" si="119"/>
        <v>NO APLICA</v>
      </c>
      <c r="T41" s="12" t="s">
        <v>237</v>
      </c>
      <c r="U41" s="14">
        <v>45308</v>
      </c>
      <c r="V41" s="14">
        <v>45309</v>
      </c>
      <c r="W41" s="14">
        <f t="shared" si="2"/>
        <v>47136</v>
      </c>
      <c r="X41" s="65">
        <f t="shared" ca="1" si="3"/>
        <v>1005</v>
      </c>
      <c r="Y41" s="15" t="str">
        <f t="shared" ca="1" si="4"/>
        <v>VIGENTE</v>
      </c>
      <c r="Z41" s="12" t="s">
        <v>238</v>
      </c>
      <c r="AA41" s="14">
        <v>44823</v>
      </c>
      <c r="AB41" s="14">
        <v>44824</v>
      </c>
      <c r="AC41" s="14">
        <f t="shared" si="201"/>
        <v>46650</v>
      </c>
      <c r="AD41" s="65">
        <f t="shared" ca="1" si="202"/>
        <v>519</v>
      </c>
      <c r="AE41" s="15" t="str">
        <f t="shared" ca="1" si="7"/>
        <v>VIGENTE</v>
      </c>
      <c r="AF41" s="13">
        <v>44937</v>
      </c>
      <c r="AG41" s="13">
        <v>45594</v>
      </c>
      <c r="AH41" s="14">
        <f>DATE(YEAR(AG41)+2,MONTH(AG41),DAY(AG41)-1)</f>
        <v>46323</v>
      </c>
      <c r="AI41" s="65">
        <f t="shared" ca="1" si="8"/>
        <v>192</v>
      </c>
      <c r="AJ41" s="15" t="str">
        <f t="shared" ca="1" si="9"/>
        <v>VIGENTE</v>
      </c>
      <c r="AK41" s="13">
        <v>45286</v>
      </c>
      <c r="AL41" s="14">
        <v>45959</v>
      </c>
      <c r="AM41" s="14">
        <f t="shared" si="207"/>
        <v>46689</v>
      </c>
      <c r="AN41" s="65">
        <f t="shared" ca="1" si="10"/>
        <v>558</v>
      </c>
      <c r="AO41" s="15" t="str">
        <f t="shared" ca="1" si="11"/>
        <v>VIGENTE</v>
      </c>
      <c r="AP41" s="13">
        <v>45298</v>
      </c>
      <c r="AQ41" s="14">
        <v>45971</v>
      </c>
      <c r="AR41" s="14">
        <f>DATE(YEAR(AQ41)+2,MONTH(AQ41),DAY(AQ41))</f>
        <v>46701</v>
      </c>
      <c r="AS41" s="65">
        <f t="shared" ca="1" si="12"/>
        <v>570</v>
      </c>
      <c r="AT41" s="15" t="str">
        <f t="shared" ca="1" si="13"/>
        <v>VIGENTE</v>
      </c>
      <c r="AU41" s="13">
        <v>44659</v>
      </c>
      <c r="AV41" s="14">
        <v>45952</v>
      </c>
      <c r="AW41" s="14">
        <f>DATE(YEAR(AV41)+2,MONTH(AV41),DAY(AV41))</f>
        <v>46682</v>
      </c>
      <c r="AX41" s="65">
        <f t="shared" ca="1" si="15"/>
        <v>551</v>
      </c>
      <c r="AY41" s="15" t="str">
        <f t="shared" ca="1" si="16"/>
        <v>VIGENTE</v>
      </c>
      <c r="AZ41" s="13">
        <v>45075</v>
      </c>
      <c r="BA41" s="14">
        <v>45717</v>
      </c>
      <c r="BB41" s="14">
        <f>DATE(YEAR(BA41)+2,MONTH(BA41),DAY(BA41)-1)</f>
        <v>46446</v>
      </c>
      <c r="BC41" s="65">
        <f t="shared" ca="1" si="17"/>
        <v>315</v>
      </c>
      <c r="BD41" s="15" t="str">
        <f t="shared" ca="1" si="18"/>
        <v>VIGENTE</v>
      </c>
      <c r="BE41" s="13">
        <v>45302</v>
      </c>
      <c r="BF41" s="14">
        <v>45968</v>
      </c>
      <c r="BG41" s="14">
        <f>DATE(YEAR(BF41)+2,MONTH(BF41),DAY(BF41))</f>
        <v>46698</v>
      </c>
      <c r="BH41" s="65">
        <f t="shared" ca="1" si="19"/>
        <v>567</v>
      </c>
      <c r="BI41" s="15" t="str">
        <f t="shared" ca="1" si="20"/>
        <v>VIGENTE</v>
      </c>
      <c r="BJ41" s="13">
        <v>44719</v>
      </c>
      <c r="BK41" s="14">
        <v>46056</v>
      </c>
      <c r="BL41" s="14">
        <f>DATE(YEAR(BK41)+2,MONTH(BK41),DAY(BK41))</f>
        <v>46786</v>
      </c>
      <c r="BM41" s="65">
        <f t="shared" ca="1" si="21"/>
        <v>655</v>
      </c>
      <c r="BN41" s="15" t="str">
        <f t="shared" ca="1" si="22"/>
        <v>VIGENTE</v>
      </c>
      <c r="BO41" s="13">
        <v>44746</v>
      </c>
      <c r="BP41" s="14">
        <v>46069</v>
      </c>
      <c r="BQ41" s="14">
        <f>DATE(YEAR(BP41)+2,MONTH(BP41),DAY(BP41))</f>
        <v>46799</v>
      </c>
      <c r="BR41" s="65">
        <f t="shared" ca="1" si="23"/>
        <v>668</v>
      </c>
      <c r="BS41" s="15" t="str">
        <f t="shared" ca="1" si="24"/>
        <v>VIGENTE</v>
      </c>
      <c r="BT41" s="14">
        <v>45086</v>
      </c>
      <c r="BU41" s="14">
        <v>45736</v>
      </c>
      <c r="BV41" s="14">
        <f t="shared" si="205"/>
        <v>46465</v>
      </c>
      <c r="BW41" s="65">
        <f t="shared" ca="1" si="25"/>
        <v>334</v>
      </c>
      <c r="BX41" s="15" t="str">
        <f t="shared" ca="1" si="26"/>
        <v>VIGENTE</v>
      </c>
      <c r="BY41" s="13">
        <v>44594</v>
      </c>
      <c r="BZ41" s="14">
        <v>45944</v>
      </c>
      <c r="CA41" s="14">
        <f>DATE(YEAR(BZ41)+2,MONTH(BZ41),DAY(BZ41))</f>
        <v>46674</v>
      </c>
      <c r="CB41" s="65">
        <f t="shared" ca="1" si="27"/>
        <v>543</v>
      </c>
      <c r="CC41" s="15" t="str">
        <f t="shared" ca="1" si="28"/>
        <v>VIGENTE</v>
      </c>
      <c r="CD41" s="16" t="s">
        <v>108</v>
      </c>
      <c r="CE41" s="14">
        <v>45261</v>
      </c>
      <c r="CF41" s="14">
        <v>45262</v>
      </c>
      <c r="CG41" s="14">
        <f t="shared" si="29"/>
        <v>46723</v>
      </c>
      <c r="CH41" s="65">
        <f t="shared" ca="1" si="30"/>
        <v>592</v>
      </c>
      <c r="CI41" s="15" t="str">
        <f t="shared" ca="1" si="31"/>
        <v>VIGENTE</v>
      </c>
      <c r="CJ41" s="14">
        <v>45085</v>
      </c>
      <c r="CK41" s="14">
        <v>45723</v>
      </c>
      <c r="CL41" s="14">
        <f>DATE(YEAR(CK41)+2,MONTH(CK41),DAY(CK41)-1)</f>
        <v>46452</v>
      </c>
      <c r="CM41" s="65">
        <f t="shared" ca="1" si="32"/>
        <v>321</v>
      </c>
      <c r="CN41" s="15" t="str">
        <f t="shared" ca="1" si="33"/>
        <v>VIGENTE</v>
      </c>
      <c r="CO41" s="14">
        <v>45026</v>
      </c>
      <c r="CP41" s="14">
        <v>45684</v>
      </c>
      <c r="CQ41" s="14">
        <f t="shared" si="206"/>
        <v>46413</v>
      </c>
      <c r="CR41" s="65">
        <f t="shared" ca="1" si="34"/>
        <v>282</v>
      </c>
      <c r="CS41" s="15" t="str">
        <f t="shared" ca="1" si="35"/>
        <v>VIGENTE</v>
      </c>
      <c r="CT41" s="13">
        <v>44970</v>
      </c>
      <c r="CU41" s="14">
        <v>45631</v>
      </c>
      <c r="CV41" s="14">
        <f>DATE(YEAR(CU41)+2,MONTH(CU41),DAY(CU41)-1)</f>
        <v>46360</v>
      </c>
      <c r="CW41" s="65">
        <f t="shared" ca="1" si="36"/>
        <v>229</v>
      </c>
      <c r="CX41" s="15" t="str">
        <f t="shared" ca="1" si="37"/>
        <v>VIGENTE</v>
      </c>
      <c r="CY41" s="13">
        <v>44995</v>
      </c>
      <c r="CZ41" s="14">
        <v>45665</v>
      </c>
      <c r="DA41" s="14">
        <f>DATE(YEAR(CZ41)+2,MONTH(CZ41),DAY(CZ41)-1)</f>
        <v>46394</v>
      </c>
      <c r="DB41" s="65">
        <f t="shared" ca="1" si="38"/>
        <v>263</v>
      </c>
      <c r="DC41" s="15" t="str">
        <f t="shared" ca="1" si="39"/>
        <v>VIGENTE</v>
      </c>
      <c r="DD41" s="13">
        <v>45019</v>
      </c>
      <c r="DE41" s="14">
        <v>45689</v>
      </c>
      <c r="DF41" s="14">
        <f>DATE(YEAR(DE41)+2,MONTH(DE41),DAY(DE41)-1)</f>
        <v>46418</v>
      </c>
      <c r="DG41" s="65">
        <f t="shared" ca="1" si="40"/>
        <v>287</v>
      </c>
      <c r="DH41" s="15" t="str">
        <f t="shared" ca="1" si="41"/>
        <v>VIGENTE</v>
      </c>
      <c r="DI41" s="14">
        <v>45027</v>
      </c>
      <c r="DJ41" s="14">
        <v>45696</v>
      </c>
      <c r="DK41" s="14">
        <f>DATE(YEAR(DJ41)+2,MONTH(DJ41),DAY(DJ41)-1)</f>
        <v>46425</v>
      </c>
      <c r="DL41" s="65">
        <f t="shared" ca="1" si="43"/>
        <v>294</v>
      </c>
      <c r="DM41" s="15" t="str">
        <f t="shared" ca="1" si="44"/>
        <v>VIGENTE</v>
      </c>
      <c r="DN41" s="13">
        <v>45345</v>
      </c>
      <c r="DO41" s="14">
        <v>45982</v>
      </c>
      <c r="DP41" s="14">
        <f t="shared" si="212"/>
        <v>46712</v>
      </c>
      <c r="DQ41" s="65">
        <f t="shared" ca="1" si="46"/>
        <v>581</v>
      </c>
      <c r="DR41" s="15" t="str">
        <f t="shared" ca="1" si="47"/>
        <v>VIGENTE</v>
      </c>
      <c r="DS41" s="13">
        <v>45097</v>
      </c>
      <c r="DT41" s="14">
        <v>45743</v>
      </c>
      <c r="DU41" s="14">
        <f>DATE(YEAR(DT41)+2,MONTH(DT41),DAY(DT41)-1)</f>
        <v>46472</v>
      </c>
      <c r="DV41" s="65">
        <f t="shared" ca="1" si="48"/>
        <v>341</v>
      </c>
      <c r="DW41" s="15" t="str">
        <f t="shared" ca="1" si="49"/>
        <v>VIGENTE</v>
      </c>
      <c r="DX41" s="14">
        <v>45064</v>
      </c>
      <c r="DY41" s="14">
        <v>45682</v>
      </c>
      <c r="DZ41" s="14">
        <f>DATE(YEAR(DY41)+2,MONTH(DY41),DAY(DY41)-1)</f>
        <v>46411</v>
      </c>
      <c r="EA41" s="65">
        <f t="shared" ca="1" si="50"/>
        <v>280</v>
      </c>
      <c r="EB41" s="15" t="str">
        <f t="shared" ca="1" si="51"/>
        <v>VIGENTE</v>
      </c>
      <c r="EC41" s="14">
        <v>45061</v>
      </c>
      <c r="ED41" s="14">
        <v>45674</v>
      </c>
      <c r="EE41" s="14">
        <f>DATE(YEAR(ED41)+2,MONTH(ED41),DAY(ED41)-1)</f>
        <v>46403</v>
      </c>
      <c r="EF41" s="65">
        <f t="shared" ca="1" si="52"/>
        <v>272</v>
      </c>
      <c r="EG41" s="15" t="str">
        <f t="shared" ca="1" si="53"/>
        <v>VIGENTE</v>
      </c>
      <c r="EH41" s="13">
        <v>45750</v>
      </c>
      <c r="EI41" s="13">
        <v>46083</v>
      </c>
      <c r="EJ41" s="13">
        <v>46084</v>
      </c>
      <c r="EK41" s="13">
        <v>46085</v>
      </c>
      <c r="EL41" s="14">
        <f t="shared" si="128"/>
        <v>46450</v>
      </c>
      <c r="EM41" s="65">
        <f t="shared" ca="1" si="54"/>
        <v>319</v>
      </c>
      <c r="EN41" s="15" t="str">
        <f t="shared" ca="1" si="55"/>
        <v>VIGENTE</v>
      </c>
      <c r="EO41" s="13">
        <v>45092</v>
      </c>
      <c r="EP41" s="14">
        <v>45737</v>
      </c>
      <c r="EQ41" s="14">
        <f>DATE(YEAR(EP41)+2,MONTH(EP41),DAY(EP41)-1)</f>
        <v>46466</v>
      </c>
      <c r="ER41" s="65">
        <f t="shared" ca="1" si="56"/>
        <v>335</v>
      </c>
      <c r="ES41" s="15" t="str">
        <f t="shared" ca="1" si="57"/>
        <v>VIGENTE</v>
      </c>
      <c r="ET41" s="14">
        <v>45073</v>
      </c>
      <c r="EU41" s="14">
        <v>45735</v>
      </c>
      <c r="EV41" s="14">
        <f>DATE(YEAR(EU41)+2,MONTH(EU41),DAY(EU41)-1)</f>
        <v>46464</v>
      </c>
      <c r="EW41" s="65">
        <f t="shared" ca="1" si="58"/>
        <v>333</v>
      </c>
      <c r="EX41" s="15" t="str">
        <f t="shared" ca="1" si="59"/>
        <v>VIGENTE</v>
      </c>
      <c r="EY41" s="13">
        <v>45299</v>
      </c>
      <c r="EZ41" s="14">
        <v>45973</v>
      </c>
      <c r="FA41" s="14">
        <f t="shared" si="208"/>
        <v>46703</v>
      </c>
      <c r="FB41" s="65">
        <f t="shared" ca="1" si="60"/>
        <v>572</v>
      </c>
      <c r="FC41" s="15" t="str">
        <f t="shared" ca="1" si="61"/>
        <v>VIGENTE</v>
      </c>
      <c r="FD41" s="13">
        <v>44595</v>
      </c>
      <c r="FE41" s="14">
        <v>45951</v>
      </c>
      <c r="FF41" s="14">
        <f t="shared" si="209"/>
        <v>46681</v>
      </c>
      <c r="FG41" s="65">
        <f t="shared" ca="1" si="62"/>
        <v>550</v>
      </c>
      <c r="FH41" s="15" t="str">
        <f t="shared" ca="1" si="63"/>
        <v>VIGENTE</v>
      </c>
      <c r="FI41" s="13">
        <v>45282</v>
      </c>
      <c r="FJ41" s="14">
        <v>45932</v>
      </c>
      <c r="FK41" s="14">
        <f t="shared" si="210"/>
        <v>46662</v>
      </c>
      <c r="FL41" s="65">
        <f t="shared" ca="1" si="64"/>
        <v>531</v>
      </c>
      <c r="FM41" s="15" t="str">
        <f t="shared" ca="1" si="65"/>
        <v>VIGENTE</v>
      </c>
      <c r="FN41" s="14">
        <v>45091</v>
      </c>
      <c r="FO41" s="14">
        <v>45738</v>
      </c>
      <c r="FP41" s="14">
        <f>DATE(YEAR(FO41)+2,MONTH(FO41),DAY(FO41)-1)</f>
        <v>46467</v>
      </c>
      <c r="FQ41" s="65">
        <f t="shared" ca="1" si="67"/>
        <v>336</v>
      </c>
      <c r="FR41" s="15" t="str">
        <f t="shared" ca="1" si="68"/>
        <v>VIGENTE</v>
      </c>
      <c r="FS41" s="14">
        <v>45018</v>
      </c>
      <c r="FT41" s="14">
        <v>45724</v>
      </c>
      <c r="FU41" s="14">
        <f>DATE(YEAR(FT41)+2,MONTH(FT41),DAY(FT41)-1)</f>
        <v>46453</v>
      </c>
      <c r="FV41" s="65">
        <f t="shared" ca="1" si="69"/>
        <v>322</v>
      </c>
      <c r="FW41" s="15" t="str">
        <f t="shared" ca="1" si="70"/>
        <v>VIGENTE</v>
      </c>
      <c r="FX41" s="13">
        <v>44921</v>
      </c>
      <c r="FY41" s="14">
        <v>45536</v>
      </c>
      <c r="FZ41" s="14">
        <f>DATE(YEAR(FY41)+2,MONTH(FY41),DAY(FY41)-1)</f>
        <v>46265</v>
      </c>
      <c r="GA41" s="65">
        <f t="shared" ca="1" si="71"/>
        <v>134</v>
      </c>
      <c r="GB41" s="15" t="str">
        <f t="shared" ca="1" si="72"/>
        <v>VIGENTE</v>
      </c>
      <c r="GC41" s="14">
        <v>45036</v>
      </c>
      <c r="GD41" s="14">
        <v>45667</v>
      </c>
      <c r="GE41" s="14">
        <f>DATE(YEAR(GD41)+2,MONTH(GD41),DAY(GD41)-1)</f>
        <v>46396</v>
      </c>
      <c r="GF41" s="65">
        <f t="shared" ca="1" si="73"/>
        <v>265</v>
      </c>
      <c r="GG41" s="15" t="str">
        <f t="shared" ca="1" si="74"/>
        <v>VIGENTE</v>
      </c>
      <c r="GH41" s="14">
        <v>45022</v>
      </c>
      <c r="GI41" s="14">
        <v>45672</v>
      </c>
      <c r="GJ41" s="14">
        <f>DATE(YEAR(GI41)+2,MONTH(GI41),DAY(GI41)-1)</f>
        <v>46401</v>
      </c>
      <c r="GK41" s="65">
        <f t="shared" ca="1" si="75"/>
        <v>270</v>
      </c>
      <c r="GL41" s="15" t="str">
        <f t="shared" ca="1" si="76"/>
        <v>VIGENTE</v>
      </c>
      <c r="GM41" s="13">
        <v>45247</v>
      </c>
      <c r="GN41" s="14">
        <v>45945</v>
      </c>
      <c r="GO41" s="14">
        <f t="shared" si="211"/>
        <v>46675</v>
      </c>
      <c r="GP41" s="65">
        <f t="shared" ca="1" si="77"/>
        <v>544</v>
      </c>
      <c r="GQ41" s="15" t="str">
        <f t="shared" ca="1" si="78"/>
        <v>VIGENTE</v>
      </c>
      <c r="GR41" s="14">
        <v>44571</v>
      </c>
      <c r="GS41" s="14">
        <v>45244</v>
      </c>
      <c r="GT41" s="14">
        <f t="shared" si="79"/>
        <v>47071</v>
      </c>
      <c r="GU41" s="65">
        <f t="shared" ca="1" si="172"/>
        <v>940</v>
      </c>
      <c r="GV41" s="15" t="str">
        <f t="shared" ca="1" si="81"/>
        <v>VIGENTE</v>
      </c>
      <c r="GW41" s="13">
        <v>44571</v>
      </c>
      <c r="GX41" s="14">
        <v>45245</v>
      </c>
      <c r="GY41" s="14">
        <f t="shared" si="82"/>
        <v>47072</v>
      </c>
      <c r="GZ41" s="65">
        <f t="shared" ca="1" si="83"/>
        <v>941</v>
      </c>
      <c r="HA41" s="15" t="str">
        <f t="shared" ca="1" si="84"/>
        <v>VIGENTE</v>
      </c>
      <c r="HB41" s="13">
        <v>44565</v>
      </c>
      <c r="HC41" s="14">
        <v>45251</v>
      </c>
      <c r="HD41" s="14">
        <f t="shared" si="85"/>
        <v>47078</v>
      </c>
      <c r="HE41" s="65">
        <f t="shared" ca="1" si="86"/>
        <v>947</v>
      </c>
      <c r="HF41" s="15" t="str">
        <f t="shared" ca="1" si="87"/>
        <v>VIGENTE</v>
      </c>
      <c r="HG41" s="16"/>
      <c r="HH41" s="14">
        <v>44862</v>
      </c>
      <c r="HI41" s="14">
        <f t="shared" si="203"/>
        <v>46688</v>
      </c>
      <c r="HJ41" s="65">
        <f t="shared" ca="1" si="204"/>
        <v>557</v>
      </c>
      <c r="HK41" s="15" t="str">
        <f t="shared" ca="1" si="181"/>
        <v>VIGENTE</v>
      </c>
      <c r="HL41" s="13">
        <v>44628</v>
      </c>
      <c r="HM41" s="14">
        <v>45331</v>
      </c>
      <c r="HN41" s="14">
        <f>DATE(YEAR(HM41)+5,MONTH(HM41),DAY(HM41))</f>
        <v>47158</v>
      </c>
      <c r="HO41" s="65">
        <f ca="1">HN41-TODAY()</f>
        <v>1027</v>
      </c>
      <c r="HP41" s="15" t="str">
        <f t="shared" ca="1" si="196"/>
        <v>VIGENTE</v>
      </c>
      <c r="HQ41" s="12"/>
      <c r="HR41" s="13">
        <v>45374</v>
      </c>
      <c r="HS41" s="14">
        <f>DATE(YEAR(HR41)+5,MONTH(HR41),DAY(HR41))</f>
        <v>47200</v>
      </c>
      <c r="HT41" s="65">
        <f ca="1">HS41-TODAY()</f>
        <v>1069</v>
      </c>
      <c r="HU41" s="15" t="str">
        <f t="shared" ca="1" si="92"/>
        <v>VIGENTE</v>
      </c>
      <c r="HV41" s="13">
        <v>44560</v>
      </c>
      <c r="HW41" s="14">
        <v>45243</v>
      </c>
      <c r="HX41" s="14">
        <f>DATE(YEAR(HW41)+5,MONTH(HW41),DAY(HW41))</f>
        <v>47070</v>
      </c>
      <c r="HY41" s="65">
        <f ca="1">HX41-TODAY()</f>
        <v>939</v>
      </c>
      <c r="HZ41" s="15" t="str">
        <f t="shared" ca="1" si="93"/>
        <v>VIGENTE</v>
      </c>
      <c r="IA41" s="13">
        <v>44781</v>
      </c>
      <c r="IB41" s="14">
        <v>45475</v>
      </c>
      <c r="IC41" s="14">
        <f>DATE(YEAR(IB41)+5,MONTH(IB41),DAY(IB41))</f>
        <v>47301</v>
      </c>
      <c r="ID41" s="65">
        <f ca="1">IC41-TODAY()</f>
        <v>1170</v>
      </c>
      <c r="IE41" s="15" t="str">
        <f t="shared" ca="1" si="94"/>
        <v>VIGENTE</v>
      </c>
      <c r="IF41" s="13">
        <v>44754</v>
      </c>
      <c r="IG41" s="14">
        <v>45444</v>
      </c>
      <c r="IH41" s="14">
        <f>DATE(YEAR(IG41)+5,MONTH(IG41),DAY(IG41))</f>
        <v>47270</v>
      </c>
      <c r="II41" s="65">
        <f ca="1">IH41-TODAY()</f>
        <v>1139</v>
      </c>
      <c r="IJ41" s="15" t="str">
        <f t="shared" ca="1" si="95"/>
        <v>VIGENTE</v>
      </c>
      <c r="IK41" s="14">
        <v>44795</v>
      </c>
      <c r="IL41" s="14">
        <v>45449</v>
      </c>
      <c r="IM41" s="14">
        <f>DATE(YEAR(IL41)+5,MONTH(IL41),DAY(IL41))</f>
        <v>47275</v>
      </c>
      <c r="IN41" s="65">
        <f ca="1">IM41-TODAY()</f>
        <v>1144</v>
      </c>
      <c r="IO41" s="15" t="str">
        <f t="shared" ca="1" si="96"/>
        <v>VIGENTE</v>
      </c>
      <c r="IP41" s="13">
        <v>44795</v>
      </c>
      <c r="IQ41" s="14">
        <v>45433</v>
      </c>
      <c r="IR41" s="14">
        <f>DATE(YEAR(IQ41)+5,MONTH(IQ41),DAY(IQ41))</f>
        <v>47259</v>
      </c>
      <c r="IS41" s="65">
        <f ca="1">IR41-TODAY()</f>
        <v>1128</v>
      </c>
      <c r="IT41" s="15" t="str">
        <f t="shared" ca="1" si="97"/>
        <v>VIGENTE</v>
      </c>
      <c r="IU41" s="13">
        <v>44792</v>
      </c>
      <c r="IV41" s="14">
        <v>45423</v>
      </c>
      <c r="IW41" s="14">
        <f>DATE(YEAR(IV41)+5,MONTH(IV41),DAY(IV41))</f>
        <v>47249</v>
      </c>
      <c r="IX41" s="65">
        <f ca="1">IW41-TODAY()</f>
        <v>1118</v>
      </c>
      <c r="IY41" s="15" t="str">
        <f t="shared" ca="1" si="98"/>
        <v>VIGENTE</v>
      </c>
      <c r="IZ41" s="13">
        <v>44781</v>
      </c>
      <c r="JA41" s="14">
        <v>45419</v>
      </c>
      <c r="JB41" s="14">
        <f>DATE(YEAR(JA41)+5,MONTH(JA41),DAY(JA41))</f>
        <v>47245</v>
      </c>
      <c r="JC41" s="65">
        <f ca="1">JB41-TODAY()</f>
        <v>1114</v>
      </c>
      <c r="JD41" s="15" t="str">
        <f t="shared" ca="1" si="99"/>
        <v>VIGENTE</v>
      </c>
      <c r="JE41" s="13"/>
      <c r="JF41" s="13"/>
      <c r="JG41" s="14"/>
      <c r="JH41" s="65"/>
      <c r="JI41" s="15" t="str">
        <f t="shared" si="100"/>
        <v>NO APLICA</v>
      </c>
      <c r="JJ41" s="16"/>
      <c r="JK41" s="16"/>
      <c r="JL41" s="16"/>
      <c r="JM41" s="15" t="str">
        <f t="shared" si="101"/>
        <v>NO APLICA</v>
      </c>
      <c r="JN41" s="16"/>
      <c r="JO41" s="16"/>
      <c r="JP41" s="16"/>
      <c r="JQ41" s="15" t="str">
        <f t="shared" si="102"/>
        <v>NO APLICA</v>
      </c>
      <c r="JR41" s="16"/>
      <c r="JS41" s="16"/>
      <c r="JT41" s="16"/>
      <c r="JU41" s="16"/>
      <c r="JV41" s="15" t="str">
        <f t="shared" si="103"/>
        <v>NO APLICA</v>
      </c>
      <c r="JW41" s="15"/>
      <c r="JX41" s="15"/>
      <c r="JY41" s="15"/>
      <c r="JZ41" s="15"/>
      <c r="KA41" s="15" t="str">
        <f t="shared" si="104"/>
        <v>NO APLICA</v>
      </c>
      <c r="KB41" s="12"/>
      <c r="KC41" s="14"/>
      <c r="KD41" s="65"/>
      <c r="KE41" s="15" t="str">
        <f t="shared" si="105"/>
        <v>NO APLICA</v>
      </c>
      <c r="KF41" s="12"/>
      <c r="KG41" s="14"/>
      <c r="KH41" s="65"/>
      <c r="KI41" s="15" t="str">
        <f t="shared" si="132"/>
        <v>NO APLICA</v>
      </c>
      <c r="KJ41" s="12"/>
      <c r="KK41" s="14"/>
      <c r="KL41" s="65"/>
      <c r="KM41" s="15" t="str">
        <f t="shared" si="106"/>
        <v>NO APLICA</v>
      </c>
      <c r="KN41" s="12"/>
      <c r="KO41" s="14"/>
      <c r="KP41" s="65"/>
      <c r="KQ41" s="15" t="str">
        <f t="shared" si="133"/>
        <v>NO APLICA</v>
      </c>
      <c r="KR41" s="12"/>
      <c r="KS41" s="16"/>
      <c r="KT41" s="14"/>
      <c r="KU41" s="65"/>
      <c r="KV41" s="15" t="str">
        <f t="shared" si="147"/>
        <v>NO APLICA</v>
      </c>
      <c r="KW41" s="14">
        <v>44603</v>
      </c>
      <c r="KX41" s="14">
        <f>DATE(YEAR(KW41)+5,MONTH(KW41),DAY(KW41))</f>
        <v>46429</v>
      </c>
      <c r="KY41" s="65">
        <f ca="1">KX41-TODAY()</f>
        <v>298</v>
      </c>
      <c r="KZ41" s="15" t="str">
        <f t="shared" ca="1" si="134"/>
        <v>VIGENTE</v>
      </c>
      <c r="LA41" s="16"/>
      <c r="LB41" s="14">
        <v>45516</v>
      </c>
      <c r="LC41" s="14">
        <f>DATE(YEAR(LB41)+2,MONTH(LB41),DAY(LB41))</f>
        <v>46246</v>
      </c>
      <c r="LD41" s="65">
        <f ca="1">LC41-TODAY()</f>
        <v>115</v>
      </c>
      <c r="LE41" s="15" t="str">
        <f t="shared" ca="1" si="107"/>
        <v>VIGENTE</v>
      </c>
      <c r="LF41" s="15"/>
      <c r="LG41" s="15"/>
      <c r="LH41" s="15"/>
      <c r="LI41" s="15"/>
      <c r="LJ41" s="15" t="str">
        <f t="shared" si="148"/>
        <v>NO APLICA</v>
      </c>
      <c r="LK41" s="12"/>
      <c r="LL41" s="16"/>
      <c r="LM41" s="14"/>
      <c r="LN41" s="65"/>
      <c r="LO41" s="15" t="str">
        <f t="shared" si="135"/>
        <v>NO APLICA</v>
      </c>
      <c r="LP41" s="16"/>
      <c r="LQ41" s="16"/>
      <c r="LR41" s="14"/>
      <c r="LS41" s="65"/>
      <c r="LT41" s="15" t="str">
        <f t="shared" si="136"/>
        <v>NO APLICA</v>
      </c>
      <c r="LU41" s="16"/>
      <c r="LV41" s="16"/>
      <c r="LW41" s="14"/>
      <c r="LX41" s="65"/>
      <c r="LY41" s="15" t="str">
        <f t="shared" si="137"/>
        <v>NO APLICA</v>
      </c>
      <c r="LZ41" s="12"/>
      <c r="MA41" s="12"/>
      <c r="MB41" s="14"/>
      <c r="MC41" s="65"/>
      <c r="MD41" s="15" t="str">
        <f t="shared" si="108"/>
        <v>NO APLICA</v>
      </c>
      <c r="ME41" s="12"/>
      <c r="MF41" s="12"/>
      <c r="MG41" s="14"/>
      <c r="MH41" s="65"/>
      <c r="MI41" s="15" t="str">
        <f t="shared" si="109"/>
        <v>NO APLICA</v>
      </c>
      <c r="MJ41" s="12"/>
      <c r="MK41" s="14"/>
      <c r="ML41" s="65"/>
      <c r="MM41" s="15" t="str">
        <f t="shared" si="110"/>
        <v>NO APLICA</v>
      </c>
      <c r="MN41" s="12"/>
      <c r="MO41" s="14"/>
      <c r="MP41" s="12"/>
      <c r="MQ41" s="15" t="str">
        <f t="shared" si="111"/>
        <v>NO APLICA</v>
      </c>
      <c r="MR41" s="12"/>
      <c r="MS41" s="16"/>
      <c r="MT41" s="14"/>
      <c r="MU41" s="65"/>
      <c r="MV41" s="15" t="str">
        <f t="shared" si="112"/>
        <v>NO APLICA</v>
      </c>
      <c r="MW41" s="12"/>
      <c r="MX41" s="16"/>
      <c r="MY41" s="14"/>
      <c r="MZ41" s="65"/>
      <c r="NA41" s="15" t="str">
        <f t="shared" si="113"/>
        <v>NO APLICA</v>
      </c>
      <c r="NB41" s="12"/>
      <c r="NC41" s="16"/>
      <c r="ND41" s="14"/>
      <c r="NE41" s="65"/>
      <c r="NF41" s="15" t="str">
        <f t="shared" si="114"/>
        <v>NO APLICA</v>
      </c>
      <c r="NG41" s="12"/>
      <c r="NH41" s="12"/>
      <c r="NI41" s="14"/>
      <c r="NJ41" s="12"/>
      <c r="NK41" s="15" t="str">
        <f t="shared" si="115"/>
        <v>NO APLICA</v>
      </c>
      <c r="NL41" s="12"/>
      <c r="NM41" s="12"/>
      <c r="NN41" s="14"/>
      <c r="NO41" s="12"/>
      <c r="NP41" s="15" t="str">
        <f t="shared" si="116"/>
        <v>NO APLICA</v>
      </c>
      <c r="NQ41" s="16"/>
      <c r="NR41" s="16"/>
      <c r="NS41" s="14"/>
      <c r="NT41" s="65"/>
      <c r="NU41" s="15" t="str">
        <f t="shared" si="117"/>
        <v>NO APLICA</v>
      </c>
      <c r="NV41" s="16"/>
      <c r="NW41" s="16"/>
      <c r="NX41" s="16"/>
      <c r="NY41" s="16"/>
      <c r="NZ41" s="15" t="str">
        <f t="shared" si="118"/>
        <v>NO APLICA</v>
      </c>
    </row>
    <row r="42" spans="1:390" ht="15.6" thickTop="1" thickBot="1" x14ac:dyDescent="0.35">
      <c r="A42" s="9">
        <v>937</v>
      </c>
      <c r="B42" s="10" t="s">
        <v>239</v>
      </c>
      <c r="C42" s="21" t="s">
        <v>104</v>
      </c>
      <c r="D42" s="64" t="s">
        <v>105</v>
      </c>
      <c r="E42" s="15"/>
      <c r="F42" s="16"/>
      <c r="G42" s="14"/>
      <c r="H42" s="65"/>
      <c r="I42" s="15" t="str">
        <f t="shared" si="0"/>
        <v>NO APLICA</v>
      </c>
      <c r="J42" s="15"/>
      <c r="K42" s="16"/>
      <c r="L42" s="16"/>
      <c r="M42" s="65"/>
      <c r="N42" s="15" t="str">
        <f t="shared" si="1"/>
        <v>NO APLICA</v>
      </c>
      <c r="O42" s="16"/>
      <c r="P42" s="16"/>
      <c r="Q42" s="14"/>
      <c r="R42" s="65"/>
      <c r="S42" s="15" t="str">
        <f t="shared" si="119"/>
        <v>NO APLICA</v>
      </c>
      <c r="T42" s="12" t="s">
        <v>240</v>
      </c>
      <c r="U42" s="13">
        <v>44800</v>
      </c>
      <c r="V42" s="14">
        <v>44801</v>
      </c>
      <c r="W42" s="14">
        <f t="shared" si="2"/>
        <v>46627</v>
      </c>
      <c r="X42" s="65">
        <f t="shared" ca="1" si="3"/>
        <v>496</v>
      </c>
      <c r="Y42" s="15" t="str">
        <f t="shared" ca="1" si="4"/>
        <v>VIGENTE</v>
      </c>
      <c r="Z42" s="67" t="s">
        <v>241</v>
      </c>
      <c r="AA42" s="13">
        <v>44390</v>
      </c>
      <c r="AB42" s="14">
        <v>44391</v>
      </c>
      <c r="AC42" s="14">
        <f t="shared" si="201"/>
        <v>46217</v>
      </c>
      <c r="AD42" s="65">
        <f t="shared" ca="1" si="202"/>
        <v>86</v>
      </c>
      <c r="AE42" s="15" t="str">
        <f t="shared" ca="1" si="7"/>
        <v>POR VENCER</v>
      </c>
      <c r="AF42" s="13">
        <v>44944</v>
      </c>
      <c r="AG42" s="14">
        <v>45617</v>
      </c>
      <c r="AH42" s="14">
        <f>DATE(YEAR(AG42)+2,MONTH(AG42),DAY(AG42)-1)</f>
        <v>46346</v>
      </c>
      <c r="AI42" s="65">
        <f t="shared" ca="1" si="8"/>
        <v>215</v>
      </c>
      <c r="AJ42" s="15" t="str">
        <f ca="1">IF(AI42&gt;=91,"VIGENTE",IF(AI42&gt;=1,"POR VENCER",Z61SI(AI42&lt;=-1,"VENCIDA",IF(AG42=0,"NO APLICA"))))</f>
        <v>VIGENTE</v>
      </c>
      <c r="AK42" s="13">
        <v>45269</v>
      </c>
      <c r="AL42" s="14">
        <v>45926</v>
      </c>
      <c r="AM42" s="14">
        <f t="shared" si="207"/>
        <v>46656</v>
      </c>
      <c r="AN42" s="65">
        <f t="shared" ca="1" si="10"/>
        <v>525</v>
      </c>
      <c r="AO42" s="15" t="str">
        <f t="shared" ca="1" si="11"/>
        <v>VIGENTE</v>
      </c>
      <c r="AP42" s="13">
        <v>45074</v>
      </c>
      <c r="AQ42" s="14">
        <v>45703</v>
      </c>
      <c r="AR42" s="14">
        <f>DATE(YEAR(AQ42)+2,MONTH(AQ42),DAY(AQ42)-1)</f>
        <v>46432</v>
      </c>
      <c r="AS42" s="65">
        <f t="shared" ca="1" si="12"/>
        <v>301</v>
      </c>
      <c r="AT42" s="15" t="str">
        <f t="shared" ca="1" si="13"/>
        <v>VIGENTE</v>
      </c>
      <c r="AU42" s="14">
        <v>45089</v>
      </c>
      <c r="AV42" s="14">
        <v>45745</v>
      </c>
      <c r="AW42" s="14">
        <f>DATE(YEAR(AV42)+2,MONTH(AV42),DAY(AV42)-1)</f>
        <v>46474</v>
      </c>
      <c r="AX42" s="65">
        <f t="shared" ca="1" si="15"/>
        <v>343</v>
      </c>
      <c r="AY42" s="15" t="str">
        <f t="shared" ca="1" si="16"/>
        <v>VIGENTE</v>
      </c>
      <c r="AZ42" s="13">
        <v>45075</v>
      </c>
      <c r="BA42" s="14">
        <v>45717</v>
      </c>
      <c r="BB42" s="14">
        <f>DATE(YEAR(BA42)+2,MONTH(BA42),DAY(BA42)-1)</f>
        <v>46446</v>
      </c>
      <c r="BC42" s="65">
        <f t="shared" ca="1" si="17"/>
        <v>315</v>
      </c>
      <c r="BD42" s="15" t="str">
        <f t="shared" ca="1" si="18"/>
        <v>VIGENTE</v>
      </c>
      <c r="BE42" s="13">
        <v>45071</v>
      </c>
      <c r="BF42" s="14">
        <v>45698</v>
      </c>
      <c r="BG42" s="14">
        <f>DATE(YEAR(BF42)+2,MONTH(BF42),DAY(BF42)-1)</f>
        <v>46427</v>
      </c>
      <c r="BH42" s="65">
        <f t="shared" ca="1" si="19"/>
        <v>296</v>
      </c>
      <c r="BI42" s="15" t="str">
        <f t="shared" ca="1" si="20"/>
        <v>VIGENTE</v>
      </c>
      <c r="BJ42" s="13">
        <v>45389</v>
      </c>
      <c r="BK42" s="14">
        <v>46035</v>
      </c>
      <c r="BL42" s="14">
        <f>DATE(YEAR(BK42)+2,MONTH(BK42),DAY(BK42))</f>
        <v>46765</v>
      </c>
      <c r="BM42" s="65">
        <f t="shared" ca="1" si="21"/>
        <v>634</v>
      </c>
      <c r="BN42" s="15" t="str">
        <f t="shared" ca="1" si="22"/>
        <v>VIGENTE</v>
      </c>
      <c r="BO42" s="13">
        <v>44744</v>
      </c>
      <c r="BP42" s="14">
        <v>45447</v>
      </c>
      <c r="BQ42" s="14">
        <f>DATE(YEAR(BP42)+2,MONTH(BP42),DAY(BP42)-1)</f>
        <v>46176</v>
      </c>
      <c r="BR42" s="65">
        <f t="shared" ca="1" si="23"/>
        <v>45</v>
      </c>
      <c r="BS42" s="15" t="str">
        <f t="shared" ca="1" si="24"/>
        <v>POR VENCER</v>
      </c>
      <c r="BT42" s="14">
        <v>45086</v>
      </c>
      <c r="BU42" s="14">
        <v>45736</v>
      </c>
      <c r="BV42" s="14">
        <f t="shared" si="205"/>
        <v>46465</v>
      </c>
      <c r="BW42" s="65">
        <f t="shared" ca="1" si="25"/>
        <v>334</v>
      </c>
      <c r="BX42" s="15" t="str">
        <f t="shared" ca="1" si="26"/>
        <v>VIGENTE</v>
      </c>
      <c r="BY42" s="13">
        <v>45272</v>
      </c>
      <c r="BZ42" s="14">
        <v>45954</v>
      </c>
      <c r="CA42" s="14">
        <f>DATE(YEAR(BZ42)+2,MONTH(BZ42),DAY(BZ42))</f>
        <v>46684</v>
      </c>
      <c r="CB42" s="65">
        <f t="shared" ca="1" si="27"/>
        <v>553</v>
      </c>
      <c r="CC42" s="15" t="str">
        <f t="shared" ca="1" si="28"/>
        <v>VIGENTE</v>
      </c>
      <c r="CD42" s="16" t="s">
        <v>108</v>
      </c>
      <c r="CE42" s="14">
        <v>45240</v>
      </c>
      <c r="CF42" s="14">
        <v>45241</v>
      </c>
      <c r="CG42" s="14">
        <f t="shared" si="29"/>
        <v>46702</v>
      </c>
      <c r="CH42" s="65">
        <f t="shared" ca="1" si="30"/>
        <v>571</v>
      </c>
      <c r="CI42" s="15" t="str">
        <f t="shared" ca="1" si="31"/>
        <v>VIGENTE</v>
      </c>
      <c r="CJ42" s="14">
        <v>45112</v>
      </c>
      <c r="CK42" s="14">
        <v>45757</v>
      </c>
      <c r="CL42" s="14">
        <f>DATE(YEAR(CK42)+2,MONTH(CK42),DAY(CK42)-1)</f>
        <v>46486</v>
      </c>
      <c r="CM42" s="65">
        <f t="shared" ca="1" si="32"/>
        <v>355</v>
      </c>
      <c r="CN42" s="15" t="str">
        <f t="shared" ca="1" si="33"/>
        <v>VIGENTE</v>
      </c>
      <c r="CO42" s="14">
        <v>45087</v>
      </c>
      <c r="CP42" s="14">
        <v>45726</v>
      </c>
      <c r="CQ42" s="14">
        <f t="shared" si="206"/>
        <v>46455</v>
      </c>
      <c r="CR42" s="65">
        <f t="shared" ca="1" si="34"/>
        <v>324</v>
      </c>
      <c r="CS42" s="15" t="str">
        <f t="shared" ca="1" si="35"/>
        <v>VIGENTE</v>
      </c>
      <c r="CT42" s="13">
        <v>44978</v>
      </c>
      <c r="CU42" s="14">
        <v>45645</v>
      </c>
      <c r="CV42" s="14">
        <f>DATE(YEAR(CU42)+2,MONTH(CU42),DAY(CU42)-1)</f>
        <v>46374</v>
      </c>
      <c r="CW42" s="65">
        <f t="shared" ca="1" si="36"/>
        <v>243</v>
      </c>
      <c r="CX42" s="15" t="str">
        <f t="shared" ca="1" si="37"/>
        <v>VIGENTE</v>
      </c>
      <c r="CY42" s="13">
        <v>44992</v>
      </c>
      <c r="CZ42" s="14">
        <v>45665</v>
      </c>
      <c r="DA42" s="14">
        <f>DATE(YEAR(CZ42)+2,MONTH(CZ42),DAY(CZ42)-1)</f>
        <v>46394</v>
      </c>
      <c r="DB42" s="65">
        <f t="shared" ca="1" si="38"/>
        <v>263</v>
      </c>
      <c r="DC42" s="15" t="str">
        <f t="shared" ca="1" si="39"/>
        <v>VIGENTE</v>
      </c>
      <c r="DD42" s="13">
        <v>45029</v>
      </c>
      <c r="DE42" s="14">
        <v>45689</v>
      </c>
      <c r="DF42" s="14">
        <f>DATE(YEAR(DE42)+2,MONTH(DE42),DAY(DE42)-1)</f>
        <v>46418</v>
      </c>
      <c r="DG42" s="65">
        <f t="shared" ca="1" si="40"/>
        <v>287</v>
      </c>
      <c r="DH42" s="15" t="str">
        <f t="shared" ca="1" si="41"/>
        <v>VIGENTE</v>
      </c>
      <c r="DI42" s="14">
        <v>45058</v>
      </c>
      <c r="DJ42" s="14">
        <v>45696</v>
      </c>
      <c r="DK42" s="14">
        <f>DATE(YEAR(DJ42)+2,MONTH(DJ42),DAY(DJ42)-1)</f>
        <v>46425</v>
      </c>
      <c r="DL42" s="65">
        <f t="shared" ca="1" si="43"/>
        <v>294</v>
      </c>
      <c r="DM42" s="15" t="str">
        <f t="shared" ca="1" si="44"/>
        <v>VIGENTE</v>
      </c>
      <c r="DN42" s="13">
        <v>44655</v>
      </c>
      <c r="DO42" s="14">
        <v>46007</v>
      </c>
      <c r="DP42" s="14">
        <f t="shared" si="212"/>
        <v>46737</v>
      </c>
      <c r="DQ42" s="65">
        <f t="shared" ca="1" si="46"/>
        <v>606</v>
      </c>
      <c r="DR42" s="15" t="str">
        <f t="shared" ca="1" si="47"/>
        <v>VIGENTE</v>
      </c>
      <c r="DS42" s="13">
        <v>45096</v>
      </c>
      <c r="DT42" s="14">
        <v>45728</v>
      </c>
      <c r="DU42" s="14">
        <f>DATE(YEAR(DT42)+2,MONTH(DT42),DAY(DT42)-1)</f>
        <v>46457</v>
      </c>
      <c r="DV42" s="65">
        <f t="shared" ca="1" si="48"/>
        <v>326</v>
      </c>
      <c r="DW42" s="15" t="str">
        <f t="shared" ca="1" si="49"/>
        <v>VIGENTE</v>
      </c>
      <c r="DX42" s="13">
        <v>45063</v>
      </c>
      <c r="DY42" s="14">
        <v>45709</v>
      </c>
      <c r="DZ42" s="14">
        <f>DATE(YEAR(DY42)+2,MONTH(DY42),DAY(DY42)-1)</f>
        <v>46438</v>
      </c>
      <c r="EA42" s="65">
        <f t="shared" ca="1" si="50"/>
        <v>307</v>
      </c>
      <c r="EB42" s="15" t="str">
        <f t="shared" ca="1" si="51"/>
        <v>VIGENTE</v>
      </c>
      <c r="EC42" s="13">
        <v>45070</v>
      </c>
      <c r="ED42" s="14">
        <v>45674</v>
      </c>
      <c r="EE42" s="14">
        <f>DATE(YEAR(ED42)+2,MONTH(ED42),DAY(ED42)-1)</f>
        <v>46403</v>
      </c>
      <c r="EF42" s="65">
        <f t="shared" ca="1" si="52"/>
        <v>272</v>
      </c>
      <c r="EG42" s="15" t="str">
        <f t="shared" ca="1" si="53"/>
        <v>VIGENTE</v>
      </c>
      <c r="EH42" s="13">
        <v>45750</v>
      </c>
      <c r="EI42" s="13">
        <v>46083</v>
      </c>
      <c r="EJ42" s="13">
        <v>46084</v>
      </c>
      <c r="EK42" s="13">
        <v>46085</v>
      </c>
      <c r="EL42" s="14">
        <f t="shared" si="128"/>
        <v>46450</v>
      </c>
      <c r="EM42" s="65">
        <f t="shared" ca="1" si="54"/>
        <v>319</v>
      </c>
      <c r="EN42" s="15" t="str">
        <f t="shared" ca="1" si="55"/>
        <v>VIGENTE</v>
      </c>
      <c r="EO42" s="13">
        <v>44796</v>
      </c>
      <c r="EP42" s="14">
        <v>45460</v>
      </c>
      <c r="EQ42" s="14">
        <f>DATE(YEAR(EP42)+2,MONTH(EP42),DAY(EP42)-1)</f>
        <v>46189</v>
      </c>
      <c r="ER42" s="65">
        <f t="shared" ca="1" si="56"/>
        <v>58</v>
      </c>
      <c r="ES42" s="15" t="str">
        <f t="shared" ca="1" si="57"/>
        <v>POR VENCER</v>
      </c>
      <c r="ET42" s="14">
        <v>45106</v>
      </c>
      <c r="EU42" s="14">
        <v>45755</v>
      </c>
      <c r="EV42" s="14">
        <f>DATE(YEAR(EU42)+2,MONTH(EU42),DAY(EU42)-1)</f>
        <v>46484</v>
      </c>
      <c r="EW42" s="65">
        <f t="shared" ca="1" si="58"/>
        <v>353</v>
      </c>
      <c r="EX42" s="15" t="str">
        <f t="shared" ca="1" si="59"/>
        <v>VIGENTE</v>
      </c>
      <c r="EY42" s="13">
        <v>44630</v>
      </c>
      <c r="EZ42" s="14">
        <v>45953</v>
      </c>
      <c r="FA42" s="14">
        <f t="shared" si="208"/>
        <v>46683</v>
      </c>
      <c r="FB42" s="65">
        <f t="shared" ca="1" si="60"/>
        <v>552</v>
      </c>
      <c r="FC42" s="15" t="str">
        <f t="shared" ca="1" si="61"/>
        <v>VIGENTE</v>
      </c>
      <c r="FD42" s="13">
        <v>44629</v>
      </c>
      <c r="FE42" s="14">
        <v>45951</v>
      </c>
      <c r="FF42" s="14">
        <f t="shared" si="209"/>
        <v>46681</v>
      </c>
      <c r="FG42" s="65">
        <f t="shared" ca="1" si="62"/>
        <v>550</v>
      </c>
      <c r="FH42" s="15" t="str">
        <f t="shared" ca="1" si="63"/>
        <v>VIGENTE</v>
      </c>
      <c r="FI42" s="13">
        <v>45248</v>
      </c>
      <c r="FJ42" s="14">
        <v>45919</v>
      </c>
      <c r="FK42" s="14">
        <f t="shared" si="210"/>
        <v>46649</v>
      </c>
      <c r="FL42" s="65">
        <f t="shared" ca="1" si="64"/>
        <v>518</v>
      </c>
      <c r="FM42" s="15" t="str">
        <f t="shared" ca="1" si="65"/>
        <v>VIGENTE</v>
      </c>
      <c r="FN42" s="13">
        <v>45062</v>
      </c>
      <c r="FO42" s="14">
        <v>45670</v>
      </c>
      <c r="FP42" s="14">
        <f>DATE(YEAR(FO42)+2,MONTH(FO42),DAY(FO42)-1)</f>
        <v>46399</v>
      </c>
      <c r="FQ42" s="65">
        <f t="shared" ca="1" si="67"/>
        <v>268</v>
      </c>
      <c r="FR42" s="15" t="str">
        <f t="shared" ca="1" si="68"/>
        <v>VIGENTE</v>
      </c>
      <c r="FS42" s="13">
        <v>44797</v>
      </c>
      <c r="FT42" s="14">
        <v>45458</v>
      </c>
      <c r="FU42" s="14">
        <f>DATE(YEAR(FT42)+2,MONTH(FT42),DAY(FT42)-1)</f>
        <v>46187</v>
      </c>
      <c r="FV42" s="65">
        <f t="shared" ca="1" si="69"/>
        <v>56</v>
      </c>
      <c r="FW42" s="15" t="str">
        <f t="shared" ca="1" si="70"/>
        <v>POR VENCER</v>
      </c>
      <c r="FX42" s="13">
        <v>44924</v>
      </c>
      <c r="FY42" s="14">
        <v>45581</v>
      </c>
      <c r="FZ42" s="14">
        <f>DATE(YEAR(FY42)+2,MONTH(FY42),DAY(FY42)-1)</f>
        <v>46310</v>
      </c>
      <c r="GA42" s="65">
        <f t="shared" ca="1" si="71"/>
        <v>179</v>
      </c>
      <c r="GB42" s="15" t="str">
        <f t="shared" ca="1" si="72"/>
        <v>VIGENTE</v>
      </c>
      <c r="GC42" s="14">
        <v>45088</v>
      </c>
      <c r="GD42" s="14">
        <v>45741</v>
      </c>
      <c r="GE42" s="14">
        <f>DATE(YEAR(GD42)+2,MONTH(GD42),DAY(GD42)-1)</f>
        <v>46470</v>
      </c>
      <c r="GF42" s="65">
        <f t="shared" ca="1" si="73"/>
        <v>339</v>
      </c>
      <c r="GG42" s="15" t="str">
        <f t="shared" ca="1" si="74"/>
        <v>VIGENTE</v>
      </c>
      <c r="GH42" s="13">
        <v>44796</v>
      </c>
      <c r="GI42" s="14">
        <v>46092</v>
      </c>
      <c r="GJ42" s="14">
        <f>DATE(YEAR(GI42)+2,MONTH(GI42),DAY(GI42))</f>
        <v>46823</v>
      </c>
      <c r="GK42" s="65">
        <f t="shared" ca="1" si="75"/>
        <v>692</v>
      </c>
      <c r="GL42" s="15" t="str">
        <f t="shared" ca="1" si="76"/>
        <v>VIGENTE</v>
      </c>
      <c r="GM42" s="13">
        <v>45247</v>
      </c>
      <c r="GN42" s="14">
        <v>45923</v>
      </c>
      <c r="GO42" s="14">
        <f t="shared" si="211"/>
        <v>46653</v>
      </c>
      <c r="GP42" s="65">
        <f t="shared" ca="1" si="77"/>
        <v>522</v>
      </c>
      <c r="GQ42" s="15" t="str">
        <f t="shared" ca="1" si="78"/>
        <v>VIGENTE</v>
      </c>
      <c r="GR42" s="14">
        <v>44293</v>
      </c>
      <c r="GS42" s="14">
        <v>45017</v>
      </c>
      <c r="GT42" s="14">
        <f t="shared" si="79"/>
        <v>46844</v>
      </c>
      <c r="GU42" s="65">
        <f t="shared" ca="1" si="172"/>
        <v>713</v>
      </c>
      <c r="GV42" s="15" t="str">
        <f t="shared" ca="1" si="81"/>
        <v>VIGENTE</v>
      </c>
      <c r="GW42" s="13">
        <v>44571</v>
      </c>
      <c r="GX42" s="14">
        <v>45252</v>
      </c>
      <c r="GY42" s="14">
        <f t="shared" si="82"/>
        <v>47079</v>
      </c>
      <c r="GZ42" s="65">
        <f t="shared" ca="1" si="83"/>
        <v>948</v>
      </c>
      <c r="HA42" s="15" t="str">
        <f t="shared" ca="1" si="84"/>
        <v>VIGENTE</v>
      </c>
      <c r="HB42" s="13">
        <v>44265</v>
      </c>
      <c r="HC42" s="14">
        <v>44980</v>
      </c>
      <c r="HD42" s="14">
        <f t="shared" si="85"/>
        <v>46806</v>
      </c>
      <c r="HE42" s="65">
        <f t="shared" ca="1" si="86"/>
        <v>675</v>
      </c>
      <c r="HF42" s="15" t="str">
        <f t="shared" ca="1" si="87"/>
        <v>VIGENTE</v>
      </c>
      <c r="HG42" s="16"/>
      <c r="HH42" s="14">
        <v>44956</v>
      </c>
      <c r="HI42" s="14">
        <f t="shared" si="203"/>
        <v>46782</v>
      </c>
      <c r="HJ42" s="65">
        <f t="shared" ca="1" si="204"/>
        <v>651</v>
      </c>
      <c r="HK42" s="15" t="str">
        <f t="shared" ca="1" si="181"/>
        <v>VIGENTE</v>
      </c>
      <c r="HL42" s="13">
        <v>44634</v>
      </c>
      <c r="HM42" s="14">
        <v>45414</v>
      </c>
      <c r="HN42" s="14">
        <f>DATE(YEAR(HM42)+5,MONTH(HM42),DAY(HM42))</f>
        <v>47240</v>
      </c>
      <c r="HO42" s="65">
        <f ca="1">HN42-TODAY()</f>
        <v>1109</v>
      </c>
      <c r="HP42" s="15" t="str">
        <f t="shared" ca="1" si="196"/>
        <v>VIGENTE</v>
      </c>
      <c r="HQ42" s="12"/>
      <c r="HR42" s="12"/>
      <c r="HS42" s="14"/>
      <c r="HT42" s="12"/>
      <c r="HU42" s="15" t="str">
        <f t="shared" si="92"/>
        <v>NO APLICA</v>
      </c>
      <c r="HV42" s="13">
        <v>44782</v>
      </c>
      <c r="HW42" s="14">
        <v>45469</v>
      </c>
      <c r="HX42" s="14">
        <f>DATE(YEAR(HW42)+5,MONTH(HW42),DAY(HW42))</f>
        <v>47295</v>
      </c>
      <c r="HY42" s="65">
        <f ca="1">HX42-TODAY()</f>
        <v>1164</v>
      </c>
      <c r="HZ42" s="15" t="str">
        <f t="shared" ca="1" si="93"/>
        <v>VIGENTE</v>
      </c>
      <c r="IA42" s="13">
        <v>44522</v>
      </c>
      <c r="IB42" s="14">
        <v>45205</v>
      </c>
      <c r="IC42" s="14">
        <f>DATE(YEAR(IB42)+5,MONTH(IB42),DAY(IB42))</f>
        <v>47032</v>
      </c>
      <c r="ID42" s="65">
        <f ca="1">IC42-TODAY()</f>
        <v>901</v>
      </c>
      <c r="IE42" s="15" t="str">
        <f t="shared" ca="1" si="94"/>
        <v>VIGENTE</v>
      </c>
      <c r="IF42" s="13">
        <v>44792</v>
      </c>
      <c r="IG42" s="14">
        <v>45444</v>
      </c>
      <c r="IH42" s="14">
        <f>DATE(YEAR(IG42)+5,MONTH(IG42),DAY(IG42))</f>
        <v>47270</v>
      </c>
      <c r="II42" s="65">
        <f ca="1">IH42-TODAY()</f>
        <v>1139</v>
      </c>
      <c r="IJ42" s="15" t="str">
        <f t="shared" ca="1" si="95"/>
        <v>VIGENTE</v>
      </c>
      <c r="IK42" s="14">
        <v>44559</v>
      </c>
      <c r="IL42" s="14">
        <v>45262</v>
      </c>
      <c r="IM42" s="14">
        <f>DATE(YEAR(IL42)+5,MONTH(IL42),DAY(IL42))</f>
        <v>47089</v>
      </c>
      <c r="IN42" s="65">
        <f ca="1">IM42-TODAY()</f>
        <v>958</v>
      </c>
      <c r="IO42" s="15" t="str">
        <f t="shared" ca="1" si="96"/>
        <v>VIGENTE</v>
      </c>
      <c r="IP42" s="13">
        <v>44559</v>
      </c>
      <c r="IQ42" s="14">
        <v>45259</v>
      </c>
      <c r="IR42" s="14">
        <f>DATE(YEAR(IQ42)+5,MONTH(IQ42),DAY(IQ42))</f>
        <v>47086</v>
      </c>
      <c r="IS42" s="65">
        <f ca="1">IR42-TODAY()</f>
        <v>955</v>
      </c>
      <c r="IT42" s="15" t="str">
        <f t="shared" ca="1" si="97"/>
        <v>VIGENTE</v>
      </c>
      <c r="IU42" s="13">
        <v>44792</v>
      </c>
      <c r="IV42" s="14">
        <v>45435</v>
      </c>
      <c r="IW42" s="14">
        <f>DATE(YEAR(IV42)+5,MONTH(IV42),DAY(IV42))</f>
        <v>47261</v>
      </c>
      <c r="IX42" s="65">
        <f ca="1">IW42-TODAY()</f>
        <v>1130</v>
      </c>
      <c r="IY42" s="15" t="str">
        <f t="shared" ca="1" si="98"/>
        <v>VIGENTE</v>
      </c>
      <c r="IZ42" s="13">
        <v>44522</v>
      </c>
      <c r="JA42" s="14">
        <v>45206</v>
      </c>
      <c r="JB42" s="14">
        <f>DATE(YEAR(JA42)+5,MONTH(JA42),DAY(JA42))</f>
        <v>47033</v>
      </c>
      <c r="JC42" s="65">
        <f ca="1">JB42-TODAY()</f>
        <v>902</v>
      </c>
      <c r="JD42" s="15" t="str">
        <f t="shared" ca="1" si="99"/>
        <v>VIGENTE</v>
      </c>
      <c r="JE42" s="13"/>
      <c r="JF42" s="13"/>
      <c r="JG42" s="14"/>
      <c r="JH42" s="65"/>
      <c r="JI42" s="15" t="str">
        <f t="shared" si="100"/>
        <v>NO APLICA</v>
      </c>
      <c r="JJ42" s="16"/>
      <c r="JK42" s="16"/>
      <c r="JL42" s="16"/>
      <c r="JM42" s="15" t="str">
        <f t="shared" si="101"/>
        <v>NO APLICA</v>
      </c>
      <c r="JN42" s="16"/>
      <c r="JO42" s="16"/>
      <c r="JP42" s="16"/>
      <c r="JQ42" s="15" t="str">
        <f t="shared" si="102"/>
        <v>NO APLICA</v>
      </c>
      <c r="JR42" s="16"/>
      <c r="JS42" s="16"/>
      <c r="JT42" s="16"/>
      <c r="JU42" s="16"/>
      <c r="JV42" s="15" t="str">
        <f t="shared" si="103"/>
        <v>NO APLICA</v>
      </c>
      <c r="JW42" s="15"/>
      <c r="JX42" s="15"/>
      <c r="JY42" s="15"/>
      <c r="JZ42" s="15"/>
      <c r="KA42" s="15" t="str">
        <f t="shared" si="104"/>
        <v>NO APLICA</v>
      </c>
      <c r="KB42" s="12"/>
      <c r="KC42" s="14"/>
      <c r="KD42" s="65"/>
      <c r="KE42" s="15" t="str">
        <f t="shared" si="105"/>
        <v>NO APLICA</v>
      </c>
      <c r="KF42" s="12"/>
      <c r="KG42" s="14"/>
      <c r="KH42" s="65"/>
      <c r="KI42" s="15" t="str">
        <f t="shared" si="132"/>
        <v>NO APLICA</v>
      </c>
      <c r="KJ42" s="13">
        <v>45364</v>
      </c>
      <c r="KK42" s="14">
        <f>DATE(YEAR(KJ42)+5,MONTH(KJ42),DAY(KJ42))</f>
        <v>47190</v>
      </c>
      <c r="KL42" s="65">
        <f ca="1">KK42-TODAY()</f>
        <v>1059</v>
      </c>
      <c r="KM42" s="15" t="str">
        <f t="shared" ca="1" si="106"/>
        <v>VIGENTE</v>
      </c>
      <c r="KN42" s="13"/>
      <c r="KO42" s="14"/>
      <c r="KP42" s="65"/>
      <c r="KQ42" s="15" t="str">
        <f t="shared" si="133"/>
        <v>NO APLICA</v>
      </c>
      <c r="KR42" s="14">
        <v>44657</v>
      </c>
      <c r="KS42" s="14">
        <v>44658</v>
      </c>
      <c r="KT42" s="14">
        <f>DATE(YEAR(KS42)+5,MONTH(KS42),DAY(KS42))</f>
        <v>46484</v>
      </c>
      <c r="KU42" s="65">
        <f ca="1">KT42-TODAY()</f>
        <v>353</v>
      </c>
      <c r="KV42" s="15" t="str">
        <f t="shared" ca="1" si="147"/>
        <v>VIGENTE</v>
      </c>
      <c r="KW42" s="14">
        <v>44545</v>
      </c>
      <c r="KX42" s="14">
        <f>DATE(YEAR(KW42)+5,MONTH(KW42),DAY(KW42))</f>
        <v>46371</v>
      </c>
      <c r="KY42" s="65">
        <f ca="1">KX42-TODAY()</f>
        <v>240</v>
      </c>
      <c r="KZ42" s="15" t="str">
        <f t="shared" ca="1" si="134"/>
        <v>VIGENTE</v>
      </c>
      <c r="LA42" s="14">
        <v>44494</v>
      </c>
      <c r="LB42" s="14">
        <v>45516</v>
      </c>
      <c r="LC42" s="14">
        <f>DATE(YEAR(LB42)+2,MONTH(LB42),DAY(LB42))</f>
        <v>46246</v>
      </c>
      <c r="LD42" s="65">
        <f ca="1">LC42-TODAY()</f>
        <v>115</v>
      </c>
      <c r="LE42" s="15" t="str">
        <f t="shared" ca="1" si="107"/>
        <v>VIGENTE</v>
      </c>
      <c r="LF42" s="15"/>
      <c r="LG42" s="66">
        <v>44086</v>
      </c>
      <c r="LH42" s="14">
        <f>DATE(YEAR(LG42)+5,MONTH(LG42),DAY(LG42))</f>
        <v>45912</v>
      </c>
      <c r="LI42" s="65">
        <f ca="1">LH42-TODAY()</f>
        <v>-219</v>
      </c>
      <c r="LJ42" s="15" t="str">
        <f t="shared" ca="1" si="148"/>
        <v>VENCIDA</v>
      </c>
      <c r="LK42" s="13">
        <v>44375</v>
      </c>
      <c r="LL42" s="14">
        <v>44376</v>
      </c>
      <c r="LM42" s="14">
        <f>DATE(YEAR(LL42)+5,MONTH(LL42),DAY(LL42))</f>
        <v>46202</v>
      </c>
      <c r="LN42" s="65">
        <f ca="1">LM42-TODAY()</f>
        <v>71</v>
      </c>
      <c r="LO42" s="15" t="str">
        <f t="shared" ca="1" si="135"/>
        <v>VIGENTE</v>
      </c>
      <c r="LP42" s="14">
        <v>44984</v>
      </c>
      <c r="LQ42" s="14">
        <v>44986</v>
      </c>
      <c r="LR42" s="14">
        <f>DATE(YEAR(LQ42)+5,MONTH(LQ42),DAY(LQ42))</f>
        <v>46813</v>
      </c>
      <c r="LS42" s="65">
        <f ca="1">LR42-TODAY()</f>
        <v>682</v>
      </c>
      <c r="LT42" s="15" t="str">
        <f t="shared" ca="1" si="136"/>
        <v>VIGENTE</v>
      </c>
      <c r="LU42" s="14">
        <v>44987</v>
      </c>
      <c r="LV42" s="14">
        <v>44988</v>
      </c>
      <c r="LW42" s="14">
        <f>DATE(YEAR(LV42)+5,MONTH(LV42),DAY(LV42))</f>
        <v>46815</v>
      </c>
      <c r="LX42" s="65">
        <f ca="1">LW42-TODAY()</f>
        <v>684</v>
      </c>
      <c r="LY42" s="15" t="str">
        <f t="shared" ca="1" si="137"/>
        <v>VIGENTE</v>
      </c>
      <c r="LZ42" s="14">
        <v>44998</v>
      </c>
      <c r="MA42" s="14">
        <v>45010</v>
      </c>
      <c r="MB42" s="14">
        <f>DATE(YEAR(MA42)+5,MONTH(MA42),DAY(MA42))</f>
        <v>46837</v>
      </c>
      <c r="MC42" s="65">
        <f ca="1">MB42-TODAY()</f>
        <v>706</v>
      </c>
      <c r="MD42" s="15" t="str">
        <f t="shared" ca="1" si="108"/>
        <v>VIGENTE</v>
      </c>
      <c r="ME42" s="12"/>
      <c r="MF42" s="12"/>
      <c r="MG42" s="14"/>
      <c r="MH42" s="65"/>
      <c r="MI42" s="15" t="str">
        <f t="shared" si="109"/>
        <v>NO APLICA</v>
      </c>
      <c r="MJ42" s="12"/>
      <c r="MK42" s="14"/>
      <c r="ML42" s="65"/>
      <c r="MM42" s="15" t="str">
        <f t="shared" si="110"/>
        <v>NO APLICA</v>
      </c>
      <c r="MN42" s="12"/>
      <c r="MO42" s="14"/>
      <c r="MP42" s="12"/>
      <c r="MQ42" s="15" t="str">
        <f t="shared" si="111"/>
        <v>NO APLICA</v>
      </c>
      <c r="MR42" s="12"/>
      <c r="MS42" s="16"/>
      <c r="MT42" s="14"/>
      <c r="MU42" s="65"/>
      <c r="MV42" s="15" t="str">
        <f t="shared" si="112"/>
        <v>NO APLICA</v>
      </c>
      <c r="MW42" s="12"/>
      <c r="MX42" s="16"/>
      <c r="MY42" s="14"/>
      <c r="MZ42" s="65"/>
      <c r="NA42" s="15" t="str">
        <f t="shared" si="113"/>
        <v>NO APLICA</v>
      </c>
      <c r="NB42" s="12"/>
      <c r="NC42" s="16"/>
      <c r="ND42" s="14"/>
      <c r="NE42" s="65"/>
      <c r="NF42" s="15" t="str">
        <f t="shared" si="114"/>
        <v>NO APLICA</v>
      </c>
      <c r="NG42" s="12"/>
      <c r="NH42" s="12"/>
      <c r="NI42" s="14"/>
      <c r="NJ42" s="65"/>
      <c r="NK42" s="15" t="str">
        <f t="shared" si="115"/>
        <v>NO APLICA</v>
      </c>
      <c r="NL42" s="12"/>
      <c r="NM42" s="12"/>
      <c r="NN42" s="12"/>
      <c r="NO42" s="12"/>
      <c r="NP42" s="15" t="str">
        <f t="shared" si="116"/>
        <v>NO APLICA</v>
      </c>
      <c r="NQ42" s="16"/>
      <c r="NR42" s="16"/>
      <c r="NS42" s="14"/>
      <c r="NT42" s="65"/>
      <c r="NU42" s="15" t="str">
        <f t="shared" si="117"/>
        <v>NO APLICA</v>
      </c>
      <c r="NV42" s="16"/>
      <c r="NW42" s="16"/>
      <c r="NX42" s="16"/>
      <c r="NY42" s="16"/>
      <c r="NZ42" s="15" t="str">
        <f t="shared" si="118"/>
        <v>NO APLICA</v>
      </c>
    </row>
    <row r="43" spans="1:390" ht="15.6" thickTop="1" thickBot="1" x14ac:dyDescent="0.35">
      <c r="A43" s="9">
        <v>376</v>
      </c>
      <c r="B43" s="10" t="s">
        <v>242</v>
      </c>
      <c r="C43" s="21" t="s">
        <v>151</v>
      </c>
      <c r="D43" s="64" t="s">
        <v>165</v>
      </c>
      <c r="E43" s="13">
        <v>46057</v>
      </c>
      <c r="F43" s="14">
        <v>46058</v>
      </c>
      <c r="G43" s="14">
        <f>DATE(YEAR(F43)+2,MONTH(F43),DAY(F43))</f>
        <v>46788</v>
      </c>
      <c r="H43" s="65">
        <f ca="1">G43-TODAY()</f>
        <v>657</v>
      </c>
      <c r="I43" s="15" t="str">
        <f t="shared" ca="1" si="0"/>
        <v>VIGENTE</v>
      </c>
      <c r="J43" s="15"/>
      <c r="K43" s="16"/>
      <c r="L43" s="16"/>
      <c r="M43" s="65"/>
      <c r="N43" s="15" t="str">
        <f t="shared" si="1"/>
        <v>NO APLICA</v>
      </c>
      <c r="O43" s="16"/>
      <c r="P43" s="16"/>
      <c r="Q43" s="14"/>
      <c r="R43" s="65"/>
      <c r="S43" s="15" t="str">
        <f t="shared" si="119"/>
        <v>NO APLICA</v>
      </c>
      <c r="T43" s="12" t="s">
        <v>243</v>
      </c>
      <c r="U43" s="13">
        <v>44789</v>
      </c>
      <c r="V43" s="14">
        <v>44790</v>
      </c>
      <c r="W43" s="14">
        <f t="shared" si="2"/>
        <v>46616</v>
      </c>
      <c r="X43" s="65">
        <f t="shared" ca="1" si="3"/>
        <v>485</v>
      </c>
      <c r="Y43" s="15" t="str">
        <f t="shared" ca="1" si="4"/>
        <v>VIGENTE</v>
      </c>
      <c r="Z43" s="12"/>
      <c r="AA43" s="12"/>
      <c r="AB43" s="16"/>
      <c r="AC43" s="14"/>
      <c r="AD43" s="65"/>
      <c r="AE43" s="15" t="str">
        <f t="shared" si="7"/>
        <v>NO APLICA</v>
      </c>
      <c r="AF43" s="13">
        <v>45243</v>
      </c>
      <c r="AG43" s="14">
        <v>45902</v>
      </c>
      <c r="AH43" s="14">
        <f>DATE(YEAR(AG43)+2,MONTH(AG43),DAY(AG43))</f>
        <v>46632</v>
      </c>
      <c r="AI43" s="65">
        <f t="shared" ca="1" si="8"/>
        <v>501</v>
      </c>
      <c r="AJ43" s="15" t="str">
        <f t="shared" ref="AJ43:AJ106" ca="1" si="213">IF(AI43&gt;=91,"VIGENTE",IF(AI43&gt;=1,"POR VENCER",IF(AI43&lt;=-1,"VENCIDA",IF(AG43=0,"NO APLICA"))))</f>
        <v>VIGENTE</v>
      </c>
      <c r="AK43" s="13">
        <v>45236</v>
      </c>
      <c r="AL43" s="14">
        <v>45903</v>
      </c>
      <c r="AM43" s="14">
        <f t="shared" si="207"/>
        <v>46633</v>
      </c>
      <c r="AN43" s="65">
        <f t="shared" ca="1" si="10"/>
        <v>502</v>
      </c>
      <c r="AO43" s="15" t="str">
        <f t="shared" ca="1" si="11"/>
        <v>VIGENTE</v>
      </c>
      <c r="AP43" s="13">
        <v>44652</v>
      </c>
      <c r="AQ43" s="14">
        <v>45904</v>
      </c>
      <c r="AR43" s="14">
        <f t="shared" ref="AR43:AR50" si="214">DATE(YEAR(AQ43)+2,MONTH(AQ43),DAY(AQ43))</f>
        <v>46634</v>
      </c>
      <c r="AS43" s="65">
        <f t="shared" ca="1" si="12"/>
        <v>503</v>
      </c>
      <c r="AT43" s="15" t="str">
        <f t="shared" ca="1" si="13"/>
        <v>VIGENTE</v>
      </c>
      <c r="AU43" s="13">
        <v>44652</v>
      </c>
      <c r="AV43" s="14">
        <v>45990</v>
      </c>
      <c r="AW43" s="14">
        <f t="shared" ref="AW43:AW50" si="215">DATE(YEAR(AV43)+2,MONTH(AV43),DAY(AV43))</f>
        <v>46720</v>
      </c>
      <c r="AX43" s="65">
        <f t="shared" ca="1" si="15"/>
        <v>589</v>
      </c>
      <c r="AY43" s="15" t="str">
        <f t="shared" ca="1" si="16"/>
        <v>VIGENTE</v>
      </c>
      <c r="AZ43" s="13">
        <v>45387</v>
      </c>
      <c r="BA43" s="14">
        <v>46041</v>
      </c>
      <c r="BB43" s="14">
        <f>DATE(YEAR(BA43)+2,MONTH(BA43),DAY(BA43))</f>
        <v>46771</v>
      </c>
      <c r="BC43" s="65">
        <f t="shared" ca="1" si="17"/>
        <v>640</v>
      </c>
      <c r="BD43" s="15" t="str">
        <f t="shared" ca="1" si="18"/>
        <v>VIGENTE</v>
      </c>
      <c r="BE43" s="13">
        <v>44714</v>
      </c>
      <c r="BF43" s="14">
        <v>46067</v>
      </c>
      <c r="BG43" s="14">
        <f t="shared" ref="BG43:BG48" si="216">DATE(YEAR(BF43)+2,MONTH(BF43),DAY(BF43))</f>
        <v>46797</v>
      </c>
      <c r="BH43" s="65">
        <f t="shared" ca="1" si="19"/>
        <v>666</v>
      </c>
      <c r="BI43" s="15" t="str">
        <f t="shared" ca="1" si="20"/>
        <v>VIGENTE</v>
      </c>
      <c r="BJ43" s="13">
        <v>45348</v>
      </c>
      <c r="BK43" s="14">
        <v>46017</v>
      </c>
      <c r="BL43" s="14">
        <f>DATE(YEAR(BK43)+2,MONTH(BK43),DAY(BK43))</f>
        <v>46747</v>
      </c>
      <c r="BM43" s="65">
        <f t="shared" ca="1" si="21"/>
        <v>616</v>
      </c>
      <c r="BN43" s="15" t="str">
        <f t="shared" ca="1" si="22"/>
        <v>VIGENTE</v>
      </c>
      <c r="BO43" s="13">
        <v>44754</v>
      </c>
      <c r="BP43" s="14">
        <v>46050</v>
      </c>
      <c r="BQ43" s="14">
        <f>DATE(YEAR(BP43)+2,MONTH(BP43),DAY(BP43))</f>
        <v>46780</v>
      </c>
      <c r="BR43" s="65">
        <f t="shared" ca="1" si="23"/>
        <v>649</v>
      </c>
      <c r="BS43" s="15" t="str">
        <f t="shared" ca="1" si="24"/>
        <v>VIGENTE</v>
      </c>
      <c r="BT43" s="13">
        <v>45283</v>
      </c>
      <c r="BU43" s="14">
        <v>45950</v>
      </c>
      <c r="BV43" s="14">
        <f>DATE(YEAR(BU43)+2,MONTH(BU43),DAY(BU43))</f>
        <v>46680</v>
      </c>
      <c r="BW43" s="65">
        <f t="shared" ca="1" si="25"/>
        <v>549</v>
      </c>
      <c r="BX43" s="15" t="str">
        <f t="shared" ca="1" si="26"/>
        <v>VIGENTE</v>
      </c>
      <c r="BY43" s="13">
        <v>44606</v>
      </c>
      <c r="BZ43" s="14">
        <v>45911</v>
      </c>
      <c r="CA43" s="14">
        <f>DATE(YEAR(BZ43)+2,MONTH(BZ43),DAY(BZ43))</f>
        <v>46641</v>
      </c>
      <c r="CB43" s="65">
        <f t="shared" ca="1" si="27"/>
        <v>510</v>
      </c>
      <c r="CC43" s="15" t="str">
        <f t="shared" ca="1" si="28"/>
        <v>VIGENTE</v>
      </c>
      <c r="CD43" s="16" t="s">
        <v>108</v>
      </c>
      <c r="CE43" s="14">
        <v>45615</v>
      </c>
      <c r="CF43" s="14">
        <v>45616</v>
      </c>
      <c r="CG43" s="14">
        <f t="shared" si="29"/>
        <v>47077</v>
      </c>
      <c r="CH43" s="65">
        <f t="shared" ca="1" si="30"/>
        <v>946</v>
      </c>
      <c r="CI43" s="15" t="str">
        <f t="shared" ca="1" si="31"/>
        <v>VIGENTE</v>
      </c>
      <c r="CJ43" s="14">
        <v>44881</v>
      </c>
      <c r="CK43" s="14">
        <v>45504</v>
      </c>
      <c r="CL43" s="14">
        <f>DATE(YEAR(CK43)+2,MONTH(CK43),DAY(CK43)-1)</f>
        <v>46233</v>
      </c>
      <c r="CM43" s="65">
        <f t="shared" ca="1" si="32"/>
        <v>102</v>
      </c>
      <c r="CN43" s="15" t="str">
        <f t="shared" ca="1" si="33"/>
        <v>VIGENTE</v>
      </c>
      <c r="CO43" s="13">
        <v>44900</v>
      </c>
      <c r="CP43" s="14">
        <v>45517</v>
      </c>
      <c r="CQ43" s="14">
        <f t="shared" si="206"/>
        <v>46246</v>
      </c>
      <c r="CR43" s="65">
        <f t="shared" ca="1" si="34"/>
        <v>115</v>
      </c>
      <c r="CS43" s="15" t="str">
        <f t="shared" ca="1" si="35"/>
        <v>VIGENTE</v>
      </c>
      <c r="CT43" s="13">
        <v>44651</v>
      </c>
      <c r="CU43" s="14">
        <v>45905</v>
      </c>
      <c r="CV43" s="14">
        <f>DATE(YEAR(CU43)+2,MONTH(CU43),DAY(CU43))</f>
        <v>46635</v>
      </c>
      <c r="CW43" s="65">
        <f t="shared" ca="1" si="36"/>
        <v>504</v>
      </c>
      <c r="CX43" s="15" t="str">
        <f t="shared" ca="1" si="37"/>
        <v>VIGENTE</v>
      </c>
      <c r="CY43" s="13">
        <v>44653</v>
      </c>
      <c r="CZ43" s="14">
        <v>45924</v>
      </c>
      <c r="DA43" s="14">
        <f>DATE(YEAR(CZ43)+2,MONTH(CZ43),DAY(CZ43))</f>
        <v>46654</v>
      </c>
      <c r="DB43" s="65">
        <f t="shared" ca="1" si="38"/>
        <v>523</v>
      </c>
      <c r="DC43" s="15" t="str">
        <f t="shared" ca="1" si="39"/>
        <v>VIGENTE</v>
      </c>
      <c r="DD43" s="13">
        <v>44910</v>
      </c>
      <c r="DE43" s="14">
        <v>45535</v>
      </c>
      <c r="DF43" s="14">
        <f>DATE(YEAR(DE43)+2,MONTH(DE43),DAY(DE43)-1)</f>
        <v>46264</v>
      </c>
      <c r="DG43" s="65">
        <f t="shared" ca="1" si="40"/>
        <v>133</v>
      </c>
      <c r="DH43" s="15" t="str">
        <f t="shared" ca="1" si="41"/>
        <v>VIGENTE</v>
      </c>
      <c r="DI43" s="13">
        <v>45251</v>
      </c>
      <c r="DJ43" s="14">
        <v>45899</v>
      </c>
      <c r="DK43" s="14">
        <f>DATE(YEAR(DJ43)+2,MONTH(DJ43),DAY(DJ43))</f>
        <v>46629</v>
      </c>
      <c r="DL43" s="65">
        <f t="shared" ca="1" si="43"/>
        <v>498</v>
      </c>
      <c r="DM43" s="15" t="str">
        <f t="shared" ca="1" si="44"/>
        <v>VIGENTE</v>
      </c>
      <c r="DN43" s="13">
        <v>45353</v>
      </c>
      <c r="DO43" s="14">
        <v>45982</v>
      </c>
      <c r="DP43" s="14">
        <f t="shared" si="212"/>
        <v>46712</v>
      </c>
      <c r="DQ43" s="65">
        <f t="shared" ca="1" si="46"/>
        <v>581</v>
      </c>
      <c r="DR43" s="15" t="str">
        <f t="shared" ca="1" si="47"/>
        <v>VIGENTE</v>
      </c>
      <c r="DS43" s="13">
        <v>45336</v>
      </c>
      <c r="DT43" s="14">
        <v>46018</v>
      </c>
      <c r="DU43" s="14">
        <f>DATE(YEAR(DT43)+2,MONTH(DT43),DAY(DT43))</f>
        <v>46748</v>
      </c>
      <c r="DV43" s="65">
        <f t="shared" ca="1" si="48"/>
        <v>617</v>
      </c>
      <c r="DW43" s="15" t="str">
        <f t="shared" ca="1" si="49"/>
        <v>VIGENTE</v>
      </c>
      <c r="DX43" s="13">
        <v>45007</v>
      </c>
      <c r="DY43" s="14">
        <v>45663</v>
      </c>
      <c r="DZ43" s="14">
        <f>DATE(YEAR(DY43)+2,MONTH(DY43),DAY(DY43)-1)</f>
        <v>46392</v>
      </c>
      <c r="EA43" s="65">
        <f t="shared" ca="1" si="50"/>
        <v>261</v>
      </c>
      <c r="EB43" s="15" t="str">
        <f t="shared" ca="1" si="51"/>
        <v>VIGENTE</v>
      </c>
      <c r="EC43" s="13">
        <v>45070</v>
      </c>
      <c r="ED43" s="14">
        <v>45674</v>
      </c>
      <c r="EE43" s="14">
        <f>DATE(YEAR(ED43)+2,MONTH(ED43),DAY(ED43)-1)</f>
        <v>46403</v>
      </c>
      <c r="EF43" s="65">
        <f t="shared" ca="1" si="52"/>
        <v>272</v>
      </c>
      <c r="EG43" s="15" t="str">
        <f t="shared" ca="1" si="53"/>
        <v>VIGENTE</v>
      </c>
      <c r="EH43" s="13">
        <v>45048</v>
      </c>
      <c r="EI43" s="13">
        <v>46105</v>
      </c>
      <c r="EJ43" s="13">
        <v>46106</v>
      </c>
      <c r="EK43" s="13">
        <v>46107</v>
      </c>
      <c r="EL43" s="14">
        <f t="shared" si="128"/>
        <v>46472</v>
      </c>
      <c r="EM43" s="65">
        <f t="shared" ca="1" si="54"/>
        <v>341</v>
      </c>
      <c r="EN43" s="15" t="str">
        <f t="shared" ca="1" si="55"/>
        <v>VIGENTE</v>
      </c>
      <c r="EO43" s="13">
        <v>44999</v>
      </c>
      <c r="EP43" s="14">
        <v>45671</v>
      </c>
      <c r="EQ43" s="14">
        <f>DATE(YEAR(EP43)+2,MONTH(EP43),DAY(EP43)-1)</f>
        <v>46400</v>
      </c>
      <c r="ER43" s="65">
        <f t="shared" ca="1" si="56"/>
        <v>269</v>
      </c>
      <c r="ES43" s="15" t="str">
        <f t="shared" ca="1" si="57"/>
        <v>VIGENTE</v>
      </c>
      <c r="ET43" s="13">
        <v>45351</v>
      </c>
      <c r="EU43" s="14">
        <v>45993</v>
      </c>
      <c r="EV43" s="14">
        <f>DATE(YEAR(EU43)+2,MONTH(EU43),DAY(EU43))</f>
        <v>46723</v>
      </c>
      <c r="EW43" s="65">
        <f t="shared" ca="1" si="58"/>
        <v>592</v>
      </c>
      <c r="EX43" s="15" t="str">
        <f t="shared" ca="1" si="59"/>
        <v>VIGENTE</v>
      </c>
      <c r="EY43" s="13">
        <v>45294</v>
      </c>
      <c r="EZ43" s="14">
        <v>45917</v>
      </c>
      <c r="FA43" s="14">
        <f t="shared" si="208"/>
        <v>46647</v>
      </c>
      <c r="FB43" s="65">
        <f t="shared" ca="1" si="60"/>
        <v>516</v>
      </c>
      <c r="FC43" s="15" t="str">
        <f t="shared" ca="1" si="61"/>
        <v>VIGENTE</v>
      </c>
      <c r="FD43" s="13">
        <v>44608</v>
      </c>
      <c r="FE43" s="14">
        <v>45988</v>
      </c>
      <c r="FF43" s="14">
        <f t="shared" si="209"/>
        <v>46718</v>
      </c>
      <c r="FG43" s="65">
        <f t="shared" ca="1" si="62"/>
        <v>587</v>
      </c>
      <c r="FH43" s="15" t="str">
        <f t="shared" ca="1" si="63"/>
        <v>VIGENTE</v>
      </c>
      <c r="FI43" s="13">
        <v>44609</v>
      </c>
      <c r="FJ43" s="14">
        <v>45932</v>
      </c>
      <c r="FK43" s="14">
        <f t="shared" si="210"/>
        <v>46662</v>
      </c>
      <c r="FL43" s="65">
        <f t="shared" ca="1" si="64"/>
        <v>531</v>
      </c>
      <c r="FM43" s="15" t="str">
        <f t="shared" ca="1" si="65"/>
        <v>VIGENTE</v>
      </c>
      <c r="FN43" s="13">
        <v>45091</v>
      </c>
      <c r="FO43" s="14">
        <v>45738</v>
      </c>
      <c r="FP43" s="14">
        <f>DATE(YEAR(FO43)+2,MONTH(FO43),DAY(FO43)-1)</f>
        <v>46467</v>
      </c>
      <c r="FQ43" s="65">
        <f t="shared" ca="1" si="67"/>
        <v>336</v>
      </c>
      <c r="FR43" s="15" t="str">
        <f t="shared" ca="1" si="68"/>
        <v>VIGENTE</v>
      </c>
      <c r="FS43" s="13">
        <v>44998</v>
      </c>
      <c r="FT43" s="14">
        <v>45664</v>
      </c>
      <c r="FU43" s="14">
        <f>DATE(YEAR(FT43)+2,MONTH(FT43),DAY(FT43)-1)</f>
        <v>46393</v>
      </c>
      <c r="FV43" s="65">
        <f t="shared" ca="1" si="69"/>
        <v>262</v>
      </c>
      <c r="FW43" s="15" t="str">
        <f t="shared" ca="1" si="70"/>
        <v>VIGENTE</v>
      </c>
      <c r="FX43" s="13">
        <v>44609</v>
      </c>
      <c r="FY43" s="14">
        <v>46014</v>
      </c>
      <c r="FZ43" s="14">
        <f>DATE(YEAR(FY43)+2,MONTH(FY43),DAY(FY43))</f>
        <v>46744</v>
      </c>
      <c r="GA43" s="65">
        <f t="shared" ca="1" si="71"/>
        <v>613</v>
      </c>
      <c r="GB43" s="15" t="str">
        <f t="shared" ca="1" si="72"/>
        <v>VIGENTE</v>
      </c>
      <c r="GC43" s="13">
        <v>45173</v>
      </c>
      <c r="GD43" s="14">
        <v>45833</v>
      </c>
      <c r="GE43" s="14">
        <f>DATE(YEAR(GD43)+2,MONTH(GD43),DAY(GD43))</f>
        <v>46563</v>
      </c>
      <c r="GF43" s="65">
        <f t="shared" ca="1" si="73"/>
        <v>432</v>
      </c>
      <c r="GG43" s="15" t="str">
        <f t="shared" ca="1" si="74"/>
        <v>VIGENTE</v>
      </c>
      <c r="GH43" s="13">
        <v>44996</v>
      </c>
      <c r="GI43" s="14">
        <v>45672</v>
      </c>
      <c r="GJ43" s="14">
        <f>DATE(YEAR(GI43)+2,MONTH(GI43),DAY(GI43)-1)</f>
        <v>46401</v>
      </c>
      <c r="GK43" s="65">
        <f t="shared" ca="1" si="75"/>
        <v>270</v>
      </c>
      <c r="GL43" s="15" t="str">
        <f t="shared" ca="1" si="76"/>
        <v>VIGENTE</v>
      </c>
      <c r="GM43" s="13">
        <v>44572</v>
      </c>
      <c r="GN43" s="14">
        <v>45945</v>
      </c>
      <c r="GO43" s="14">
        <f t="shared" si="211"/>
        <v>46675</v>
      </c>
      <c r="GP43" s="65">
        <f t="shared" ca="1" si="77"/>
        <v>544</v>
      </c>
      <c r="GQ43" s="15" t="str">
        <f t="shared" ca="1" si="78"/>
        <v>VIGENTE</v>
      </c>
      <c r="GR43" s="14"/>
      <c r="GS43" s="14">
        <v>45013</v>
      </c>
      <c r="GT43" s="14">
        <f t="shared" si="79"/>
        <v>46840</v>
      </c>
      <c r="GU43" s="65">
        <f t="shared" ca="1" si="172"/>
        <v>709</v>
      </c>
      <c r="GV43" s="15" t="str">
        <f t="shared" ca="1" si="81"/>
        <v>VIGENTE</v>
      </c>
      <c r="GW43" s="13"/>
      <c r="GX43" s="14">
        <v>45006</v>
      </c>
      <c r="GY43" s="14">
        <f t="shared" si="82"/>
        <v>46833</v>
      </c>
      <c r="GZ43" s="65">
        <f t="shared" ca="1" si="83"/>
        <v>702</v>
      </c>
      <c r="HA43" s="15" t="str">
        <f t="shared" ca="1" si="84"/>
        <v>VIGENTE</v>
      </c>
      <c r="HB43" s="12"/>
      <c r="HC43" s="14">
        <v>44919</v>
      </c>
      <c r="HD43" s="14">
        <f t="shared" si="85"/>
        <v>46745</v>
      </c>
      <c r="HE43" s="65">
        <f t="shared" ca="1" si="86"/>
        <v>614</v>
      </c>
      <c r="HF43" s="15" t="str">
        <f t="shared" ca="1" si="87"/>
        <v>VIGENTE</v>
      </c>
      <c r="HG43" s="16"/>
      <c r="HH43" s="16"/>
      <c r="HI43" s="14"/>
      <c r="HJ43" s="65"/>
      <c r="HK43" s="15" t="str">
        <f t="shared" si="181"/>
        <v>NO APLICA</v>
      </c>
      <c r="HL43" s="12"/>
      <c r="HM43" s="16"/>
      <c r="HN43" s="14"/>
      <c r="HO43" s="65"/>
      <c r="HP43" s="15" t="str">
        <f t="shared" si="196"/>
        <v>NO APLICA</v>
      </c>
      <c r="HQ43" s="12"/>
      <c r="HR43" s="15"/>
      <c r="HS43" s="14"/>
      <c r="HT43" s="15"/>
      <c r="HU43" s="15" t="str">
        <f t="shared" si="92"/>
        <v>NO APLICA</v>
      </c>
      <c r="HV43" s="12"/>
      <c r="HW43" s="16"/>
      <c r="HX43" s="14"/>
      <c r="HY43" s="65"/>
      <c r="HZ43" s="15" t="str">
        <f t="shared" si="93"/>
        <v>NO APLICA</v>
      </c>
      <c r="IA43" s="12"/>
      <c r="IB43" s="16"/>
      <c r="IC43" s="14"/>
      <c r="ID43" s="65"/>
      <c r="IE43" s="15" t="str">
        <f t="shared" si="94"/>
        <v>NO APLICA</v>
      </c>
      <c r="IF43" s="12"/>
      <c r="IG43" s="16"/>
      <c r="IH43" s="14"/>
      <c r="II43" s="65"/>
      <c r="IJ43" s="15" t="str">
        <f t="shared" si="95"/>
        <v>NO APLICA</v>
      </c>
      <c r="IK43" s="16"/>
      <c r="IL43" s="16"/>
      <c r="IM43" s="14"/>
      <c r="IN43" s="65"/>
      <c r="IO43" s="15" t="str">
        <f t="shared" si="96"/>
        <v>NO APLICA</v>
      </c>
      <c r="IP43" s="12"/>
      <c r="IQ43" s="16"/>
      <c r="IR43" s="14"/>
      <c r="IS43" s="65"/>
      <c r="IT43" s="15" t="str">
        <f t="shared" si="97"/>
        <v>NO APLICA</v>
      </c>
      <c r="IU43" s="12"/>
      <c r="IV43" s="16"/>
      <c r="IW43" s="14"/>
      <c r="IX43" s="65"/>
      <c r="IY43" s="15" t="str">
        <f t="shared" si="98"/>
        <v>NO APLICA</v>
      </c>
      <c r="IZ43" s="12"/>
      <c r="JA43" s="16"/>
      <c r="JB43" s="14"/>
      <c r="JC43" s="65"/>
      <c r="JD43" s="15" t="str">
        <f t="shared" si="99"/>
        <v>NO APLICA</v>
      </c>
      <c r="JE43" s="13"/>
      <c r="JF43" s="13"/>
      <c r="JG43" s="14"/>
      <c r="JH43" s="65"/>
      <c r="JI43" s="15" t="str">
        <f t="shared" si="100"/>
        <v>NO APLICA</v>
      </c>
      <c r="JJ43" s="16"/>
      <c r="JK43" s="16"/>
      <c r="JL43" s="16"/>
      <c r="JM43" s="15" t="str">
        <f t="shared" si="101"/>
        <v>NO APLICA</v>
      </c>
      <c r="JN43" s="16"/>
      <c r="JO43" s="16"/>
      <c r="JP43" s="16"/>
      <c r="JQ43" s="15" t="str">
        <f t="shared" si="102"/>
        <v>NO APLICA</v>
      </c>
      <c r="JR43" s="16"/>
      <c r="JS43" s="16"/>
      <c r="JT43" s="16"/>
      <c r="JU43" s="16"/>
      <c r="JV43" s="15" t="str">
        <f t="shared" si="103"/>
        <v>NO APLICA</v>
      </c>
      <c r="JW43" s="15"/>
      <c r="JX43" s="15"/>
      <c r="JY43" s="15"/>
      <c r="JZ43" s="15"/>
      <c r="KA43" s="15" t="str">
        <f t="shared" si="104"/>
        <v>NO APLICA</v>
      </c>
      <c r="KB43" s="15"/>
      <c r="KC43" s="14"/>
      <c r="KD43" s="65"/>
      <c r="KE43" s="15" t="str">
        <f t="shared" si="105"/>
        <v>NO APLICA</v>
      </c>
      <c r="KF43" s="15"/>
      <c r="KG43" s="14"/>
      <c r="KH43" s="65"/>
      <c r="KI43" s="15" t="str">
        <f t="shared" si="132"/>
        <v>NO APLICA</v>
      </c>
      <c r="KJ43" s="15"/>
      <c r="KK43" s="14"/>
      <c r="KL43" s="65"/>
      <c r="KM43" s="15" t="str">
        <f t="shared" si="106"/>
        <v>NO APLICA</v>
      </c>
      <c r="KN43" s="12"/>
      <c r="KO43" s="14"/>
      <c r="KP43" s="65"/>
      <c r="KQ43" s="15" t="str">
        <f t="shared" si="133"/>
        <v>NO APLICA</v>
      </c>
      <c r="KR43" s="12"/>
      <c r="KS43" s="16"/>
      <c r="KT43" s="14"/>
      <c r="KU43" s="65"/>
      <c r="KV43" s="15" t="str">
        <f t="shared" si="147"/>
        <v>NO APLICA</v>
      </c>
      <c r="KW43" s="16"/>
      <c r="KX43" s="14"/>
      <c r="KY43" s="65"/>
      <c r="KZ43" s="15" t="str">
        <f t="shared" si="134"/>
        <v>NO APLICA</v>
      </c>
      <c r="LA43" s="16"/>
      <c r="LB43" s="16"/>
      <c r="LC43" s="14"/>
      <c r="LD43" s="65"/>
      <c r="LE43" s="15" t="str">
        <f t="shared" si="107"/>
        <v>NO APLICA</v>
      </c>
      <c r="LF43" s="15"/>
      <c r="LG43" s="15"/>
      <c r="LH43" s="14"/>
      <c r="LI43" s="65"/>
      <c r="LJ43" s="15" t="str">
        <f t="shared" si="148"/>
        <v>NO APLICA</v>
      </c>
      <c r="LK43" s="15"/>
      <c r="LL43" s="16"/>
      <c r="LM43" s="14"/>
      <c r="LN43" s="65"/>
      <c r="LO43" s="15" t="str">
        <f t="shared" si="135"/>
        <v>NO APLICA</v>
      </c>
      <c r="LP43" s="16"/>
      <c r="LQ43" s="16"/>
      <c r="LR43" s="14"/>
      <c r="LS43" s="65"/>
      <c r="LT43" s="15" t="str">
        <f t="shared" si="136"/>
        <v>NO APLICA</v>
      </c>
      <c r="LU43" s="16"/>
      <c r="LV43" s="16"/>
      <c r="LW43" s="14"/>
      <c r="LX43" s="65"/>
      <c r="LY43" s="15" t="str">
        <f t="shared" si="137"/>
        <v>NO APLICA</v>
      </c>
      <c r="LZ43" s="15"/>
      <c r="MA43" s="15"/>
      <c r="MB43" s="14"/>
      <c r="MC43" s="65"/>
      <c r="MD43" s="15" t="str">
        <f t="shared" si="108"/>
        <v>NO APLICA</v>
      </c>
      <c r="ME43" s="15"/>
      <c r="MF43" s="15"/>
      <c r="MG43" s="14"/>
      <c r="MH43" s="65"/>
      <c r="MI43" s="15" t="str">
        <f t="shared" si="109"/>
        <v>NO APLICA</v>
      </c>
      <c r="MJ43" s="15"/>
      <c r="MK43" s="14"/>
      <c r="ML43" s="65"/>
      <c r="MM43" s="15" t="str">
        <f t="shared" si="110"/>
        <v>NO APLICA</v>
      </c>
      <c r="MN43" s="15"/>
      <c r="MO43" s="14"/>
      <c r="MP43" s="15"/>
      <c r="MQ43" s="15" t="str">
        <f t="shared" si="111"/>
        <v>NO APLICA</v>
      </c>
      <c r="MR43" s="15"/>
      <c r="MS43" s="16"/>
      <c r="MT43" s="14"/>
      <c r="MU43" s="65"/>
      <c r="MV43" s="15" t="str">
        <f t="shared" si="112"/>
        <v>NO APLICA</v>
      </c>
      <c r="MW43" s="15"/>
      <c r="MX43" s="16"/>
      <c r="MY43" s="14"/>
      <c r="MZ43" s="65"/>
      <c r="NA43" s="15" t="str">
        <f t="shared" si="113"/>
        <v>NO APLICA</v>
      </c>
      <c r="NB43" s="15"/>
      <c r="NC43" s="16"/>
      <c r="ND43" s="14"/>
      <c r="NE43" s="65"/>
      <c r="NF43" s="15" t="str">
        <f t="shared" si="114"/>
        <v>NO APLICA</v>
      </c>
      <c r="NG43" s="15"/>
      <c r="NH43" s="15"/>
      <c r="NI43" s="14"/>
      <c r="NJ43" s="65"/>
      <c r="NK43" s="15" t="str">
        <f t="shared" si="115"/>
        <v>NO APLICA</v>
      </c>
      <c r="NL43" s="15"/>
      <c r="NM43" s="15"/>
      <c r="NN43" s="15"/>
      <c r="NO43" s="15"/>
      <c r="NP43" s="15" t="str">
        <f t="shared" si="116"/>
        <v>NO APLICA</v>
      </c>
      <c r="NQ43" s="16"/>
      <c r="NR43" s="16"/>
      <c r="NS43" s="14"/>
      <c r="NT43" s="65"/>
      <c r="NU43" s="15" t="str">
        <f t="shared" si="117"/>
        <v>NO APLICA</v>
      </c>
      <c r="NV43" s="16"/>
      <c r="NW43" s="16"/>
      <c r="NX43" s="16"/>
      <c r="NY43" s="16"/>
      <c r="NZ43" s="15" t="str">
        <f t="shared" si="118"/>
        <v>NO APLICA</v>
      </c>
    </row>
    <row r="44" spans="1:390" ht="15.6" thickTop="1" thickBot="1" x14ac:dyDescent="0.35">
      <c r="A44" s="11">
        <v>1723</v>
      </c>
      <c r="B44" s="10" t="s">
        <v>244</v>
      </c>
      <c r="C44" s="21" t="s">
        <v>104</v>
      </c>
      <c r="D44" s="64" t="s">
        <v>110</v>
      </c>
      <c r="E44" s="16"/>
      <c r="F44" s="16"/>
      <c r="G44" s="16"/>
      <c r="H44" s="16"/>
      <c r="I44" s="15" t="str">
        <f t="shared" si="0"/>
        <v>NO APLICA</v>
      </c>
      <c r="J44" s="16"/>
      <c r="K44" s="16"/>
      <c r="L44" s="16"/>
      <c r="M44" s="16"/>
      <c r="N44" s="15" t="str">
        <f t="shared" si="1"/>
        <v>NO APLICA</v>
      </c>
      <c r="O44" s="16"/>
      <c r="P44" s="16"/>
      <c r="Q44" s="16"/>
      <c r="R44" s="16"/>
      <c r="S44" s="15" t="str">
        <f t="shared" si="119"/>
        <v>NO APLICA</v>
      </c>
      <c r="T44" s="16" t="s">
        <v>245</v>
      </c>
      <c r="U44" s="14">
        <v>45308</v>
      </c>
      <c r="V44" s="14">
        <v>45309</v>
      </c>
      <c r="W44" s="14">
        <f t="shared" si="2"/>
        <v>47136</v>
      </c>
      <c r="X44" s="65">
        <f t="shared" ca="1" si="3"/>
        <v>1005</v>
      </c>
      <c r="Y44" s="15" t="str">
        <f t="shared" ca="1" si="4"/>
        <v>VIGENTE</v>
      </c>
      <c r="Z44" s="16" t="s">
        <v>246</v>
      </c>
      <c r="AA44" s="14">
        <v>45576</v>
      </c>
      <c r="AB44" s="14">
        <v>45577</v>
      </c>
      <c r="AC44" s="14">
        <f>DATE(YEAR(AB44)+5,MONTH(AB44),DAY(AB44))</f>
        <v>47403</v>
      </c>
      <c r="AD44" s="65">
        <f ca="1">AC44-TODAY()</f>
        <v>1272</v>
      </c>
      <c r="AE44" s="15" t="str">
        <f t="shared" ca="1" si="7"/>
        <v>VIGENTE</v>
      </c>
      <c r="AF44" s="14">
        <v>45314</v>
      </c>
      <c r="AG44" s="14">
        <v>46006</v>
      </c>
      <c r="AH44" s="14">
        <f>DATE(YEAR(AG44)+2,MONTH(AG44),DAY(AG44))</f>
        <v>46736</v>
      </c>
      <c r="AI44" s="65">
        <f t="shared" ca="1" si="8"/>
        <v>605</v>
      </c>
      <c r="AJ44" s="15" t="str">
        <f t="shared" ca="1" si="213"/>
        <v>VIGENTE</v>
      </c>
      <c r="AK44" s="16"/>
      <c r="AL44" s="14">
        <v>45937</v>
      </c>
      <c r="AM44" s="14">
        <f t="shared" si="207"/>
        <v>46667</v>
      </c>
      <c r="AN44" s="65">
        <f t="shared" ca="1" si="10"/>
        <v>536</v>
      </c>
      <c r="AO44" s="15" t="str">
        <f t="shared" ca="1" si="11"/>
        <v>VIGENTE</v>
      </c>
      <c r="AP44" s="14">
        <v>45398</v>
      </c>
      <c r="AQ44" s="14">
        <v>46083</v>
      </c>
      <c r="AR44" s="14">
        <f t="shared" si="214"/>
        <v>46814</v>
      </c>
      <c r="AS44" s="65">
        <f t="shared" ca="1" si="12"/>
        <v>683</v>
      </c>
      <c r="AT44" s="15" t="str">
        <f t="shared" ca="1" si="13"/>
        <v>VIGENTE</v>
      </c>
      <c r="AU44" s="14">
        <v>45323</v>
      </c>
      <c r="AV44" s="14">
        <v>45972</v>
      </c>
      <c r="AW44" s="14">
        <f t="shared" si="215"/>
        <v>46702</v>
      </c>
      <c r="AX44" s="65">
        <f t="shared" ca="1" si="15"/>
        <v>571</v>
      </c>
      <c r="AY44" s="15" t="str">
        <f t="shared" ca="1" si="16"/>
        <v>VIGENTE</v>
      </c>
      <c r="AZ44" s="14">
        <v>45387</v>
      </c>
      <c r="BA44" s="14">
        <v>46071</v>
      </c>
      <c r="BB44" s="14">
        <f>DATE(YEAR(BA44)+2,MONTH(BA44),DAY(BA44))</f>
        <v>46801</v>
      </c>
      <c r="BC44" s="65">
        <f t="shared" ca="1" si="17"/>
        <v>670</v>
      </c>
      <c r="BD44" s="15" t="str">
        <f t="shared" ca="1" si="18"/>
        <v>VIGENTE</v>
      </c>
      <c r="BE44" s="16"/>
      <c r="BF44" s="14">
        <v>45997</v>
      </c>
      <c r="BG44" s="14">
        <f t="shared" si="216"/>
        <v>46727</v>
      </c>
      <c r="BH44" s="65">
        <f t="shared" ca="1" si="19"/>
        <v>596</v>
      </c>
      <c r="BI44" s="15" t="str">
        <f t="shared" ca="1" si="20"/>
        <v>VIGENTE</v>
      </c>
      <c r="BJ44" s="14"/>
      <c r="BK44" s="14">
        <v>45519</v>
      </c>
      <c r="BL44" s="14">
        <f>DATE(YEAR(BK44)+2,MONTH(BK44),DAY(BK44)-1)</f>
        <v>46248</v>
      </c>
      <c r="BM44" s="65">
        <f t="shared" ca="1" si="21"/>
        <v>117</v>
      </c>
      <c r="BN44" s="15" t="str">
        <f t="shared" ca="1" si="22"/>
        <v>VIGENTE</v>
      </c>
      <c r="BO44" s="14"/>
      <c r="BP44" s="14">
        <v>46069</v>
      </c>
      <c r="BQ44" s="14">
        <f>DATE(YEAR(BP44)+2,MONTH(BP44),DAY(BP44))</f>
        <v>46799</v>
      </c>
      <c r="BR44" s="65">
        <f t="shared" ca="1" si="23"/>
        <v>668</v>
      </c>
      <c r="BS44" s="15" t="str">
        <f t="shared" ca="1" si="24"/>
        <v>VIGENTE</v>
      </c>
      <c r="BT44" s="14">
        <v>45362</v>
      </c>
      <c r="BU44" s="14">
        <v>46074</v>
      </c>
      <c r="BV44" s="14">
        <f>DATE(YEAR(BU44)+2,MONTH(BU44),DAY(BU44))</f>
        <v>46804</v>
      </c>
      <c r="BW44" s="65">
        <f t="shared" ca="1" si="25"/>
        <v>673</v>
      </c>
      <c r="BX44" s="15" t="str">
        <f t="shared" ca="1" si="26"/>
        <v>VIGENTE</v>
      </c>
      <c r="BY44" s="16"/>
      <c r="BZ44" s="14">
        <v>45480</v>
      </c>
      <c r="CA44" s="14">
        <f>DATE(YEAR(BZ44)+2,MONTH(BZ44),DAY(BZ44)-1)</f>
        <v>46209</v>
      </c>
      <c r="CB44" s="65">
        <f t="shared" ca="1" si="27"/>
        <v>78</v>
      </c>
      <c r="CC44" s="15" t="str">
        <f t="shared" ca="1" si="28"/>
        <v>POR VENCER</v>
      </c>
      <c r="CD44" s="16" t="s">
        <v>108</v>
      </c>
      <c r="CE44" s="14">
        <v>45345</v>
      </c>
      <c r="CF44" s="14">
        <v>45346</v>
      </c>
      <c r="CG44" s="14">
        <f t="shared" si="29"/>
        <v>46807</v>
      </c>
      <c r="CH44" s="65">
        <f t="shared" ca="1" si="30"/>
        <v>676</v>
      </c>
      <c r="CI44" s="15" t="str">
        <f t="shared" ca="1" si="31"/>
        <v>VIGENTE</v>
      </c>
      <c r="CJ44" s="14">
        <v>45353</v>
      </c>
      <c r="CK44" s="14">
        <v>46018</v>
      </c>
      <c r="CL44" s="14">
        <f>DATE(YEAR(CK44)+2,MONTH(CK44),DAY(CK44))</f>
        <v>46748</v>
      </c>
      <c r="CM44" s="65">
        <f t="shared" ca="1" si="32"/>
        <v>617</v>
      </c>
      <c r="CN44" s="15" t="str">
        <f t="shared" ca="1" si="33"/>
        <v>VIGENTE</v>
      </c>
      <c r="CO44" s="14">
        <v>45428</v>
      </c>
      <c r="CP44" s="14">
        <v>46101</v>
      </c>
      <c r="CQ44" s="14">
        <f>DATE(YEAR(CP44)+2,MONTH(CP44),DAY(CP44))</f>
        <v>46832</v>
      </c>
      <c r="CR44" s="65">
        <f t="shared" ca="1" si="34"/>
        <v>701</v>
      </c>
      <c r="CS44" s="15" t="str">
        <f t="shared" ca="1" si="35"/>
        <v>VIGENTE</v>
      </c>
      <c r="CT44" s="14">
        <v>45361</v>
      </c>
      <c r="CU44" s="14">
        <v>46043</v>
      </c>
      <c r="CV44" s="14">
        <f>DATE(YEAR(CU44)+2,MONTH(CU44),DAY(CU44))</f>
        <v>46773</v>
      </c>
      <c r="CW44" s="65">
        <f t="shared" ca="1" si="36"/>
        <v>642</v>
      </c>
      <c r="CX44" s="15" t="str">
        <f t="shared" ca="1" si="37"/>
        <v>VIGENTE</v>
      </c>
      <c r="CY44" s="14">
        <v>45407</v>
      </c>
      <c r="CZ44" s="14">
        <v>46028</v>
      </c>
      <c r="DA44" s="14">
        <f>DATE(YEAR(CZ44)+2,MONTH(CZ44),DAY(CZ44))</f>
        <v>46758</v>
      </c>
      <c r="DB44" s="65">
        <f t="shared" ca="1" si="38"/>
        <v>627</v>
      </c>
      <c r="DC44" s="15" t="str">
        <f t="shared" ca="1" si="39"/>
        <v>VIGENTE</v>
      </c>
      <c r="DD44" s="14">
        <v>45365</v>
      </c>
      <c r="DE44" s="14">
        <v>46045</v>
      </c>
      <c r="DF44" s="14">
        <f>DATE(YEAR(DE44)+2,MONTH(DE44),DAY(DE44))</f>
        <v>46775</v>
      </c>
      <c r="DG44" s="65">
        <f t="shared" ca="1" si="40"/>
        <v>644</v>
      </c>
      <c r="DH44" s="15" t="str">
        <f t="shared" ca="1" si="41"/>
        <v>VIGENTE</v>
      </c>
      <c r="DI44" s="14">
        <v>45386</v>
      </c>
      <c r="DJ44" s="14">
        <v>46029</v>
      </c>
      <c r="DK44" s="14">
        <f>DATE(YEAR(DJ44)+2,MONTH(DJ44),DAY(DJ44))</f>
        <v>46759</v>
      </c>
      <c r="DL44" s="65">
        <f t="shared" ca="1" si="43"/>
        <v>628</v>
      </c>
      <c r="DM44" s="15" t="str">
        <f t="shared" ca="1" si="44"/>
        <v>VIGENTE</v>
      </c>
      <c r="DN44" s="14"/>
      <c r="DO44" s="14">
        <v>46046</v>
      </c>
      <c r="DP44" s="14">
        <f t="shared" si="212"/>
        <v>46776</v>
      </c>
      <c r="DQ44" s="65">
        <f t="shared" ca="1" si="46"/>
        <v>645</v>
      </c>
      <c r="DR44" s="15" t="str">
        <f t="shared" ca="1" si="47"/>
        <v>VIGENTE</v>
      </c>
      <c r="DS44" s="16"/>
      <c r="DT44" s="14">
        <v>46072</v>
      </c>
      <c r="DU44" s="14">
        <f>DATE(YEAR(DT44)+2,MONTH(DT44),DAY(DT44))</f>
        <v>46802</v>
      </c>
      <c r="DV44" s="65">
        <f t="shared" ca="1" si="48"/>
        <v>671</v>
      </c>
      <c r="DW44" s="15" t="str">
        <f t="shared" ca="1" si="49"/>
        <v>VIGENTE</v>
      </c>
      <c r="DX44" s="14"/>
      <c r="DY44" s="14">
        <v>45510</v>
      </c>
      <c r="DZ44" s="14">
        <f>DATE(YEAR(DY44)+2,MONTH(DY44),DAY(DY44)-1)</f>
        <v>46239</v>
      </c>
      <c r="EA44" s="65">
        <f t="shared" ca="1" si="50"/>
        <v>108</v>
      </c>
      <c r="EB44" s="15" t="str">
        <f t="shared" ca="1" si="51"/>
        <v>VIGENTE</v>
      </c>
      <c r="EC44" s="14"/>
      <c r="ED44" s="14">
        <v>45462</v>
      </c>
      <c r="EE44" s="14">
        <f>DATE(YEAR(ED44)+2,MONTH(ED44),DAY(ED44)-1)</f>
        <v>46191</v>
      </c>
      <c r="EF44" s="65">
        <f t="shared" ca="1" si="52"/>
        <v>60</v>
      </c>
      <c r="EG44" s="15" t="str">
        <f t="shared" ca="1" si="53"/>
        <v>POR VENCER</v>
      </c>
      <c r="EH44" s="14">
        <v>45350</v>
      </c>
      <c r="EI44" s="14">
        <v>45810</v>
      </c>
      <c r="EJ44" s="14">
        <v>45811</v>
      </c>
      <c r="EK44" s="14">
        <v>45812</v>
      </c>
      <c r="EL44" s="14">
        <f t="shared" si="128"/>
        <v>46177</v>
      </c>
      <c r="EM44" s="65">
        <f t="shared" ca="1" si="54"/>
        <v>46</v>
      </c>
      <c r="EN44" s="15" t="str">
        <f t="shared" ca="1" si="55"/>
        <v>POR VENCER</v>
      </c>
      <c r="EO44" s="14"/>
      <c r="EP44" s="14">
        <v>45465</v>
      </c>
      <c r="EQ44" s="14">
        <f>DATE(YEAR(EP44)+2,MONTH(EP44),DAY(EP44)-1)</f>
        <v>46194</v>
      </c>
      <c r="ER44" s="65">
        <f t="shared" ca="1" si="56"/>
        <v>63</v>
      </c>
      <c r="ES44" s="15" t="str">
        <f t="shared" ca="1" si="57"/>
        <v>POR VENCER</v>
      </c>
      <c r="ET44" s="16"/>
      <c r="EU44" s="14">
        <v>45999</v>
      </c>
      <c r="EV44" s="14">
        <f>DATE(YEAR(EU44)+2,MONTH(EU44),DAY(EU44))</f>
        <v>46729</v>
      </c>
      <c r="EW44" s="65">
        <f t="shared" ca="1" si="58"/>
        <v>598</v>
      </c>
      <c r="EX44" s="15" t="str">
        <f t="shared" ca="1" si="59"/>
        <v>VIGENTE</v>
      </c>
      <c r="EY44" s="13">
        <v>45360</v>
      </c>
      <c r="EZ44" s="14">
        <v>46037</v>
      </c>
      <c r="FA44" s="14">
        <f t="shared" si="208"/>
        <v>46767</v>
      </c>
      <c r="FB44" s="65">
        <f t="shared" ca="1" si="60"/>
        <v>636</v>
      </c>
      <c r="FC44" s="15" t="str">
        <f t="shared" ca="1" si="61"/>
        <v>VIGENTE</v>
      </c>
      <c r="FD44" s="14">
        <v>45354</v>
      </c>
      <c r="FE44" s="14">
        <v>46017</v>
      </c>
      <c r="FF44" s="14">
        <f t="shared" si="209"/>
        <v>46747</v>
      </c>
      <c r="FG44" s="65">
        <f t="shared" ca="1" si="62"/>
        <v>616</v>
      </c>
      <c r="FH44" s="15" t="str">
        <f t="shared" ca="1" si="63"/>
        <v>VIGENTE</v>
      </c>
      <c r="FI44" s="16"/>
      <c r="FJ44" s="14">
        <v>46009</v>
      </c>
      <c r="FK44" s="14">
        <f t="shared" si="210"/>
        <v>46739</v>
      </c>
      <c r="FL44" s="65">
        <f t="shared" ca="1" si="64"/>
        <v>608</v>
      </c>
      <c r="FM44" s="15" t="str">
        <f t="shared" ca="1" si="65"/>
        <v>VIGENTE</v>
      </c>
      <c r="FN44" s="14">
        <v>45395</v>
      </c>
      <c r="FO44" s="14">
        <v>46039</v>
      </c>
      <c r="FP44" s="14">
        <f>DATE(YEAR(FO44)+2,MONTH(FO44),DAY(FO44))</f>
        <v>46769</v>
      </c>
      <c r="FQ44" s="65">
        <f t="shared" ca="1" si="67"/>
        <v>638</v>
      </c>
      <c r="FR44" s="15" t="str">
        <f t="shared" ca="1" si="68"/>
        <v>VIGENTE</v>
      </c>
      <c r="FS44" s="14">
        <v>45376</v>
      </c>
      <c r="FT44" s="14">
        <v>46034</v>
      </c>
      <c r="FU44" s="14">
        <f>DATE(YEAR(FT44)+2,MONTH(FT44),DAY(FT44))</f>
        <v>46764</v>
      </c>
      <c r="FV44" s="65">
        <f t="shared" ca="1" si="69"/>
        <v>633</v>
      </c>
      <c r="FW44" s="15" t="str">
        <f t="shared" ca="1" si="70"/>
        <v>VIGENTE</v>
      </c>
      <c r="FX44" s="14"/>
      <c r="FY44" s="14">
        <v>45581</v>
      </c>
      <c r="FZ44" s="14">
        <f>DATE(YEAR(FY44)+2,MONTH(FY44),DAY(FY44)-1)</f>
        <v>46310</v>
      </c>
      <c r="GA44" s="65">
        <f t="shared" ca="1" si="71"/>
        <v>179</v>
      </c>
      <c r="GB44" s="15" t="str">
        <f t="shared" ca="1" si="72"/>
        <v>VIGENTE</v>
      </c>
      <c r="GC44" s="14">
        <v>45396</v>
      </c>
      <c r="GD44" s="14">
        <v>46030</v>
      </c>
      <c r="GE44" s="14">
        <f>DATE(YEAR(GD44)+2,MONTH(GD44),DAY(GD44))</f>
        <v>46760</v>
      </c>
      <c r="GF44" s="65">
        <f t="shared" ca="1" si="73"/>
        <v>629</v>
      </c>
      <c r="GG44" s="15" t="str">
        <f t="shared" ca="1" si="74"/>
        <v>VIGENTE</v>
      </c>
      <c r="GH44" s="14"/>
      <c r="GI44" s="14">
        <v>46092</v>
      </c>
      <c r="GJ44" s="14">
        <f>DATE(YEAR(GI44)+2,MONTH(GI44),DAY(GI44))</f>
        <v>46823</v>
      </c>
      <c r="GK44" s="65">
        <f t="shared" ca="1" si="75"/>
        <v>692</v>
      </c>
      <c r="GL44" s="15" t="str">
        <f t="shared" ca="1" si="76"/>
        <v>VIGENTE</v>
      </c>
      <c r="GM44" s="13">
        <v>45368</v>
      </c>
      <c r="GN44" s="14">
        <v>46044</v>
      </c>
      <c r="GO44" s="14">
        <f t="shared" si="211"/>
        <v>46774</v>
      </c>
      <c r="GP44" s="65">
        <f t="shared" ca="1" si="77"/>
        <v>643</v>
      </c>
      <c r="GQ44" s="15" t="str">
        <f t="shared" ca="1" si="78"/>
        <v>VIGENTE</v>
      </c>
      <c r="GR44" s="14"/>
      <c r="GS44" s="14">
        <v>45367</v>
      </c>
      <c r="GT44" s="14">
        <f t="shared" si="79"/>
        <v>47193</v>
      </c>
      <c r="GU44" s="65">
        <f t="shared" ca="1" si="172"/>
        <v>1062</v>
      </c>
      <c r="GV44" s="15" t="str">
        <f t="shared" ca="1" si="81"/>
        <v>VIGENTE</v>
      </c>
      <c r="GW44" s="14"/>
      <c r="GX44" s="14">
        <v>45464</v>
      </c>
      <c r="GY44" s="14">
        <f t="shared" si="82"/>
        <v>47290</v>
      </c>
      <c r="GZ44" s="65">
        <f t="shared" ca="1" si="83"/>
        <v>1159</v>
      </c>
      <c r="HA44" s="15" t="str">
        <f t="shared" ca="1" si="84"/>
        <v>VIGENTE</v>
      </c>
      <c r="HB44" s="16"/>
      <c r="HC44" s="14">
        <v>45479</v>
      </c>
      <c r="HD44" s="14">
        <f t="shared" si="85"/>
        <v>47305</v>
      </c>
      <c r="HE44" s="65">
        <f t="shared" ca="1" si="86"/>
        <v>1174</v>
      </c>
      <c r="HF44" s="15" t="str">
        <f t="shared" ca="1" si="87"/>
        <v>VIGENTE</v>
      </c>
      <c r="HG44" s="16"/>
      <c r="HH44" s="16"/>
      <c r="HI44" s="14">
        <f>DATE(YEAR(HH44)+5,MONTH(HH44),DAY(HH44))</f>
        <v>1827</v>
      </c>
      <c r="HJ44" s="65">
        <f ca="1">HI44-TODAY()</f>
        <v>-44304</v>
      </c>
      <c r="HK44" s="15" t="str">
        <f ca="1">IF(HJ44&gt;=61,"VIGENTE",IF(HJ44&gt;=1,"POR VENCER",IF(HJ44&lt;=-1,"PROGRAMAR",IF(HH44=0,"NO APLICA"))))</f>
        <v>PROGRAMAR</v>
      </c>
      <c r="HL44" s="16"/>
      <c r="HM44" s="16"/>
      <c r="HN44" s="14"/>
      <c r="HO44" s="65"/>
      <c r="HP44" s="15" t="str">
        <f t="shared" si="196"/>
        <v>NO APLICA</v>
      </c>
      <c r="HQ44" s="12"/>
      <c r="HR44" s="12"/>
      <c r="HS44" s="14"/>
      <c r="HT44" s="12"/>
      <c r="HU44" s="15" t="str">
        <f t="shared" si="92"/>
        <v>NO APLICA</v>
      </c>
      <c r="HV44" s="16"/>
      <c r="HW44" s="16"/>
      <c r="HX44" s="14"/>
      <c r="HY44" s="65"/>
      <c r="HZ44" s="15" t="str">
        <f t="shared" si="93"/>
        <v>NO APLICA</v>
      </c>
      <c r="IA44" s="16"/>
      <c r="IB44" s="16"/>
      <c r="IC44" s="14"/>
      <c r="ID44" s="65"/>
      <c r="IE44" s="15" t="str">
        <f t="shared" si="94"/>
        <v>NO APLICA</v>
      </c>
      <c r="IF44" s="16"/>
      <c r="IG44" s="16"/>
      <c r="IH44" s="14"/>
      <c r="II44" s="65"/>
      <c r="IJ44" s="15" t="str">
        <f t="shared" si="95"/>
        <v>NO APLICA</v>
      </c>
      <c r="IK44" s="16"/>
      <c r="IL44" s="16"/>
      <c r="IM44" s="14"/>
      <c r="IN44" s="16"/>
      <c r="IO44" s="15" t="str">
        <f t="shared" si="96"/>
        <v>NO APLICA</v>
      </c>
      <c r="IP44" s="16"/>
      <c r="IQ44" s="14"/>
      <c r="IR44" s="14"/>
      <c r="IS44" s="65"/>
      <c r="IT44" s="15" t="str">
        <f t="shared" si="97"/>
        <v>NO APLICA</v>
      </c>
      <c r="IU44" s="16"/>
      <c r="IV44" s="16"/>
      <c r="IW44" s="14"/>
      <c r="IX44" s="65"/>
      <c r="IY44" s="15" t="str">
        <f t="shared" si="98"/>
        <v>NO APLICA</v>
      </c>
      <c r="IZ44" s="16"/>
      <c r="JA44" s="16"/>
      <c r="JB44" s="14"/>
      <c r="JC44" s="65"/>
      <c r="JD44" s="15" t="str">
        <f t="shared" si="99"/>
        <v>NO APLICA</v>
      </c>
      <c r="JE44" s="13"/>
      <c r="JF44" s="13"/>
      <c r="JG44" s="14"/>
      <c r="JH44" s="65"/>
      <c r="JI44" s="15" t="str">
        <f t="shared" si="100"/>
        <v>NO APLICA</v>
      </c>
      <c r="JJ44" s="16"/>
      <c r="JK44" s="16"/>
      <c r="JL44" s="16"/>
      <c r="JM44" s="15" t="str">
        <f t="shared" si="101"/>
        <v>NO APLICA</v>
      </c>
      <c r="JN44" s="16"/>
      <c r="JO44" s="16"/>
      <c r="JP44" s="16"/>
      <c r="JQ44" s="15" t="str">
        <f t="shared" si="102"/>
        <v>NO APLICA</v>
      </c>
      <c r="JR44" s="16"/>
      <c r="JS44" s="16"/>
      <c r="JT44" s="16"/>
      <c r="JU44" s="16"/>
      <c r="JV44" s="15" t="str">
        <f t="shared" si="103"/>
        <v>NO APLICA</v>
      </c>
      <c r="JW44" s="15"/>
      <c r="JX44" s="15"/>
      <c r="JY44" s="15"/>
      <c r="JZ44" s="15"/>
      <c r="KA44" s="15" t="str">
        <f t="shared" si="104"/>
        <v>NO APLICA</v>
      </c>
      <c r="KB44" s="12"/>
      <c r="KC44" s="14"/>
      <c r="KD44" s="65"/>
      <c r="KE44" s="15" t="str">
        <f t="shared" si="105"/>
        <v>NO APLICA</v>
      </c>
      <c r="KF44" s="13">
        <v>45328</v>
      </c>
      <c r="KG44" s="14">
        <f>DATE(YEAR(KF44)+5,MONTH(KF44),DAY(KF44)-1)</f>
        <v>47154</v>
      </c>
      <c r="KH44" s="65">
        <f ca="1">KG44-TODAY()</f>
        <v>1023</v>
      </c>
      <c r="KI44" s="15" t="str">
        <f t="shared" ca="1" si="132"/>
        <v>VIGENTE</v>
      </c>
      <c r="KJ44" s="12"/>
      <c r="KK44" s="14"/>
      <c r="KL44" s="65"/>
      <c r="KM44" s="15" t="str">
        <f t="shared" si="106"/>
        <v>NO APLICA</v>
      </c>
      <c r="KN44" s="13">
        <v>45346</v>
      </c>
      <c r="KO44" s="14">
        <f>DATE(YEAR(KN44)+5,MONTH(KN44),DAY(KN44))</f>
        <v>47173</v>
      </c>
      <c r="KP44" s="65">
        <f ca="1">KO44-TODAY()</f>
        <v>1042</v>
      </c>
      <c r="KQ44" s="15" t="str">
        <f t="shared" ca="1" si="133"/>
        <v>VIGENTE</v>
      </c>
      <c r="KR44" s="16"/>
      <c r="KS44" s="16"/>
      <c r="KT44" s="14"/>
      <c r="KU44" s="16"/>
      <c r="KV44" s="15" t="str">
        <f t="shared" si="147"/>
        <v>NO APLICA</v>
      </c>
      <c r="KW44" s="16"/>
      <c r="KX44" s="14"/>
      <c r="KY44" s="16"/>
      <c r="KZ44" s="15" t="str">
        <f t="shared" si="134"/>
        <v>NO APLICA</v>
      </c>
      <c r="LA44" s="16"/>
      <c r="LB44" s="14">
        <v>45527</v>
      </c>
      <c r="LC44" s="14">
        <f>DATE(YEAR(LB44)+2,MONTH(LB44),DAY(LB44))</f>
        <v>46257</v>
      </c>
      <c r="LD44" s="65">
        <f ca="1">LC44-TODAY()</f>
        <v>126</v>
      </c>
      <c r="LE44" s="15" t="str">
        <f t="shared" ca="1" si="107"/>
        <v>VIGENTE</v>
      </c>
      <c r="LF44" s="15"/>
      <c r="LG44" s="15"/>
      <c r="LH44" s="14"/>
      <c r="LI44" s="65"/>
      <c r="LJ44" s="15" t="str">
        <f t="shared" si="148"/>
        <v>NO APLICA</v>
      </c>
      <c r="LK44" s="16"/>
      <c r="LL44" s="16"/>
      <c r="LM44" s="14"/>
      <c r="LN44" s="65"/>
      <c r="LO44" s="15" t="str">
        <f t="shared" si="135"/>
        <v>NO APLICA</v>
      </c>
      <c r="LP44" s="16"/>
      <c r="LQ44" s="16"/>
      <c r="LR44" s="14"/>
      <c r="LS44" s="16"/>
      <c r="LT44" s="15" t="str">
        <f t="shared" si="136"/>
        <v>NO APLICA</v>
      </c>
      <c r="LU44" s="16"/>
      <c r="LV44" s="16"/>
      <c r="LW44" s="14"/>
      <c r="LX44" s="16"/>
      <c r="LY44" s="15" t="str">
        <f t="shared" si="137"/>
        <v>NO APLICA</v>
      </c>
      <c r="LZ44" s="16"/>
      <c r="MA44" s="16"/>
      <c r="MB44" s="14"/>
      <c r="MC44" s="16"/>
      <c r="MD44" s="15" t="str">
        <f t="shared" si="108"/>
        <v>NO APLICA</v>
      </c>
      <c r="ME44" s="16"/>
      <c r="MF44" s="16"/>
      <c r="MG44" s="14"/>
      <c r="MH44" s="16"/>
      <c r="MI44" s="15" t="str">
        <f t="shared" si="109"/>
        <v>NO APLICA</v>
      </c>
      <c r="MJ44" s="16"/>
      <c r="MK44" s="14"/>
      <c r="ML44" s="16"/>
      <c r="MM44" s="15" t="str">
        <f t="shared" si="110"/>
        <v>NO APLICA</v>
      </c>
      <c r="MN44" s="16"/>
      <c r="MO44" s="16"/>
      <c r="MP44" s="16"/>
      <c r="MQ44" s="15" t="str">
        <f t="shared" si="111"/>
        <v>NO APLICA</v>
      </c>
      <c r="MR44" s="16"/>
      <c r="MS44" s="16"/>
      <c r="MT44" s="14"/>
      <c r="MU44" s="16"/>
      <c r="MV44" s="15" t="str">
        <f t="shared" si="112"/>
        <v>NO APLICA</v>
      </c>
      <c r="MW44" s="16"/>
      <c r="MX44" s="16"/>
      <c r="MY44" s="14"/>
      <c r="MZ44" s="16"/>
      <c r="NA44" s="15" t="str">
        <f t="shared" si="113"/>
        <v>NO APLICA</v>
      </c>
      <c r="NB44" s="16"/>
      <c r="NC44" s="16"/>
      <c r="ND44" s="14"/>
      <c r="NE44" s="16"/>
      <c r="NF44" s="15" t="str">
        <f t="shared" si="114"/>
        <v>NO APLICA</v>
      </c>
      <c r="NG44" s="16"/>
      <c r="NH44" s="16"/>
      <c r="NI44" s="14"/>
      <c r="NJ44" s="16"/>
      <c r="NK44" s="15" t="str">
        <f t="shared" si="115"/>
        <v>NO APLICA</v>
      </c>
      <c r="NL44" s="16"/>
      <c r="NM44" s="16"/>
      <c r="NN44" s="14"/>
      <c r="NO44" s="16"/>
      <c r="NP44" s="15" t="str">
        <f t="shared" si="116"/>
        <v>NO APLICA</v>
      </c>
      <c r="NQ44" s="16"/>
      <c r="NR44" s="16"/>
      <c r="NS44" s="14"/>
      <c r="NT44" s="65"/>
      <c r="NU44" s="15" t="str">
        <f t="shared" si="117"/>
        <v>NO APLICA</v>
      </c>
      <c r="NV44" s="16"/>
      <c r="NW44" s="16"/>
      <c r="NX44" s="16"/>
      <c r="NY44" s="16"/>
      <c r="NZ44" s="15" t="str">
        <f t="shared" si="118"/>
        <v>NO APLICA</v>
      </c>
    </row>
    <row r="45" spans="1:390" ht="15.6" thickTop="1" thickBot="1" x14ac:dyDescent="0.35">
      <c r="A45" s="9">
        <v>869</v>
      </c>
      <c r="B45" s="10" t="s">
        <v>247</v>
      </c>
      <c r="C45" s="21" t="s">
        <v>104</v>
      </c>
      <c r="D45" s="64" t="s">
        <v>114</v>
      </c>
      <c r="E45" s="15"/>
      <c r="F45" s="16"/>
      <c r="G45" s="14"/>
      <c r="H45" s="65"/>
      <c r="I45" s="15" t="str">
        <f t="shared" si="0"/>
        <v>NO APLICA</v>
      </c>
      <c r="J45" s="15"/>
      <c r="K45" s="16"/>
      <c r="L45" s="16"/>
      <c r="M45" s="65"/>
      <c r="N45" s="15" t="str">
        <f t="shared" si="1"/>
        <v>NO APLICA</v>
      </c>
      <c r="O45" s="16"/>
      <c r="P45" s="16"/>
      <c r="Q45" s="14"/>
      <c r="R45" s="65"/>
      <c r="S45" s="15" t="str">
        <f t="shared" si="119"/>
        <v>NO APLICA</v>
      </c>
      <c r="T45" s="12" t="s">
        <v>248</v>
      </c>
      <c r="U45" s="13">
        <v>44789</v>
      </c>
      <c r="V45" s="14">
        <v>44790</v>
      </c>
      <c r="W45" s="14">
        <f t="shared" si="2"/>
        <v>46616</v>
      </c>
      <c r="X45" s="65">
        <f t="shared" ca="1" si="3"/>
        <v>485</v>
      </c>
      <c r="Y45" s="15" t="str">
        <f t="shared" ca="1" si="4"/>
        <v>VIGENTE</v>
      </c>
      <c r="Z45" s="12" t="s">
        <v>249</v>
      </c>
      <c r="AA45" s="13">
        <v>44825</v>
      </c>
      <c r="AB45" s="14">
        <v>44826</v>
      </c>
      <c r="AC45" s="14">
        <f>DATE(YEAR(AB45)+5,MONTH(AB45),DAY(AB45))</f>
        <v>46652</v>
      </c>
      <c r="AD45" s="65">
        <f ca="1">AC45-TODAY()</f>
        <v>521</v>
      </c>
      <c r="AE45" s="15" t="str">
        <f t="shared" ca="1" si="7"/>
        <v>VIGENTE</v>
      </c>
      <c r="AF45" s="13">
        <v>44928</v>
      </c>
      <c r="AG45" s="13">
        <v>45609</v>
      </c>
      <c r="AH45" s="14">
        <f>DATE(YEAR(AG45)+2,MONTH(AG45),DAY(AG45)-1)</f>
        <v>46338</v>
      </c>
      <c r="AI45" s="65">
        <f t="shared" ca="1" si="8"/>
        <v>207</v>
      </c>
      <c r="AJ45" s="15" t="str">
        <f t="shared" ca="1" si="213"/>
        <v>VIGENTE</v>
      </c>
      <c r="AK45" s="13">
        <v>45044</v>
      </c>
      <c r="AL45" s="14">
        <v>45710</v>
      </c>
      <c r="AM45" s="14">
        <f>DATE(YEAR(AL45)+2,MONTH(AL45),DAY(AL45)-1)</f>
        <v>46439</v>
      </c>
      <c r="AN45" s="65">
        <f t="shared" ca="1" si="10"/>
        <v>308</v>
      </c>
      <c r="AO45" s="15" t="str">
        <f t="shared" ca="1" si="11"/>
        <v>VIGENTE</v>
      </c>
      <c r="AP45" s="13">
        <v>45172</v>
      </c>
      <c r="AQ45" s="14">
        <v>45845</v>
      </c>
      <c r="AR45" s="14">
        <f t="shared" si="214"/>
        <v>46575</v>
      </c>
      <c r="AS45" s="65">
        <f t="shared" ca="1" si="12"/>
        <v>444</v>
      </c>
      <c r="AT45" s="15" t="str">
        <f t="shared" ca="1" si="13"/>
        <v>VIGENTE</v>
      </c>
      <c r="AU45" s="13">
        <v>45323</v>
      </c>
      <c r="AV45" s="14">
        <v>45972</v>
      </c>
      <c r="AW45" s="14">
        <f t="shared" si="215"/>
        <v>46702</v>
      </c>
      <c r="AX45" s="65">
        <f t="shared" ca="1" si="15"/>
        <v>571</v>
      </c>
      <c r="AY45" s="15" t="str">
        <f t="shared" ca="1" si="16"/>
        <v>VIGENTE</v>
      </c>
      <c r="AZ45" s="13">
        <v>44732</v>
      </c>
      <c r="BA45" s="14">
        <v>46071</v>
      </c>
      <c r="BB45" s="14">
        <f>DATE(YEAR(BA45)+2,MONTH(BA45),DAY(BA45))</f>
        <v>46801</v>
      </c>
      <c r="BC45" s="65">
        <f t="shared" ca="1" si="17"/>
        <v>670</v>
      </c>
      <c r="BD45" s="15" t="str">
        <f t="shared" ca="1" si="18"/>
        <v>VIGENTE</v>
      </c>
      <c r="BE45" s="13">
        <v>45382</v>
      </c>
      <c r="BF45" s="14">
        <v>46027</v>
      </c>
      <c r="BG45" s="14">
        <f t="shared" si="216"/>
        <v>46757</v>
      </c>
      <c r="BH45" s="65">
        <f t="shared" ca="1" si="19"/>
        <v>626</v>
      </c>
      <c r="BI45" s="15" t="str">
        <f t="shared" ca="1" si="20"/>
        <v>VIGENTE</v>
      </c>
      <c r="BJ45" s="13">
        <v>44788</v>
      </c>
      <c r="BK45" s="14">
        <v>46051</v>
      </c>
      <c r="BL45" s="14">
        <f>DATE(YEAR(BK45)+2,MONTH(BK45),DAY(BK45))</f>
        <v>46781</v>
      </c>
      <c r="BM45" s="65">
        <f t="shared" ca="1" si="21"/>
        <v>650</v>
      </c>
      <c r="BN45" s="15" t="str">
        <f t="shared" ca="1" si="22"/>
        <v>VIGENTE</v>
      </c>
      <c r="BO45" s="13">
        <v>44791</v>
      </c>
      <c r="BP45" s="14">
        <v>46069</v>
      </c>
      <c r="BQ45" s="14">
        <f>DATE(YEAR(BP45)+2,MONTH(BP45),DAY(BP45))</f>
        <v>46799</v>
      </c>
      <c r="BR45" s="65">
        <f t="shared" ca="1" si="23"/>
        <v>668</v>
      </c>
      <c r="BS45" s="15" t="str">
        <f t="shared" ca="1" si="24"/>
        <v>VIGENTE</v>
      </c>
      <c r="BT45" s="13">
        <v>45362</v>
      </c>
      <c r="BU45" s="14">
        <v>46031</v>
      </c>
      <c r="BV45" s="14">
        <f>DATE(YEAR(BU45)+2,MONTH(BU45),DAY(BU45))</f>
        <v>46761</v>
      </c>
      <c r="BW45" s="65">
        <f t="shared" ca="1" si="25"/>
        <v>630</v>
      </c>
      <c r="BX45" s="15" t="str">
        <f t="shared" ca="1" si="26"/>
        <v>VIGENTE</v>
      </c>
      <c r="BY45" s="13">
        <v>45300</v>
      </c>
      <c r="BZ45" s="14">
        <v>45954</v>
      </c>
      <c r="CA45" s="14">
        <f>DATE(YEAR(BZ45)+2,MONTH(BZ45),DAY(BZ45))</f>
        <v>46684</v>
      </c>
      <c r="CB45" s="65">
        <f t="shared" ca="1" si="27"/>
        <v>553</v>
      </c>
      <c r="CC45" s="15" t="str">
        <f t="shared" ca="1" si="28"/>
        <v>VIGENTE</v>
      </c>
      <c r="CD45" s="16" t="s">
        <v>108</v>
      </c>
      <c r="CE45" s="14">
        <v>45226</v>
      </c>
      <c r="CF45" s="14">
        <v>45227</v>
      </c>
      <c r="CG45" s="14">
        <f t="shared" si="29"/>
        <v>46688</v>
      </c>
      <c r="CH45" s="65">
        <f t="shared" ca="1" si="30"/>
        <v>557</v>
      </c>
      <c r="CI45" s="15" t="str">
        <f t="shared" ca="1" si="31"/>
        <v>VIGENTE</v>
      </c>
      <c r="CJ45" s="14">
        <v>44874</v>
      </c>
      <c r="CK45" s="14">
        <v>45500</v>
      </c>
      <c r="CL45" s="14">
        <f>DATE(YEAR(CK45)+2,MONTH(CK45),DAY(CK45)-1)</f>
        <v>46229</v>
      </c>
      <c r="CM45" s="65">
        <f t="shared" ca="1" si="32"/>
        <v>98</v>
      </c>
      <c r="CN45" s="15" t="str">
        <f t="shared" ca="1" si="33"/>
        <v>VIGENTE</v>
      </c>
      <c r="CO45" s="13">
        <v>44900</v>
      </c>
      <c r="CP45" s="14">
        <v>45513</v>
      </c>
      <c r="CQ45" s="14">
        <f>DATE(YEAR(CP45)+2,MONTH(CP45),DAY(CP45)-1)</f>
        <v>46242</v>
      </c>
      <c r="CR45" s="65">
        <f t="shared" ca="1" si="34"/>
        <v>111</v>
      </c>
      <c r="CS45" s="15" t="str">
        <f t="shared" ca="1" si="35"/>
        <v>VIGENTE</v>
      </c>
      <c r="CT45" s="13">
        <v>44974</v>
      </c>
      <c r="CU45" s="14">
        <v>45639</v>
      </c>
      <c r="CV45" s="14">
        <f>DATE(YEAR(CU45)+2,MONTH(CU45),DAY(CU45)-1)</f>
        <v>46368</v>
      </c>
      <c r="CW45" s="65">
        <f t="shared" ca="1" si="36"/>
        <v>237</v>
      </c>
      <c r="CX45" s="15" t="str">
        <f t="shared" ca="1" si="37"/>
        <v>VIGENTE</v>
      </c>
      <c r="CY45" s="13">
        <v>44989</v>
      </c>
      <c r="CZ45" s="14">
        <v>45646</v>
      </c>
      <c r="DA45" s="14">
        <f>DATE(YEAR(CZ45)+2,MONTH(CZ45),DAY(CZ45)-1)</f>
        <v>46375</v>
      </c>
      <c r="DB45" s="65">
        <f t="shared" ca="1" si="38"/>
        <v>244</v>
      </c>
      <c r="DC45" s="15" t="str">
        <f t="shared" ca="1" si="39"/>
        <v>VIGENTE</v>
      </c>
      <c r="DD45" s="13">
        <v>45019</v>
      </c>
      <c r="DE45" s="14">
        <v>45689</v>
      </c>
      <c r="DF45" s="14">
        <f>DATE(YEAR(DE45)+2,MONTH(DE45),DAY(DE45)-1)</f>
        <v>46418</v>
      </c>
      <c r="DG45" s="65">
        <f t="shared" ca="1" si="40"/>
        <v>287</v>
      </c>
      <c r="DH45" s="15" t="str">
        <f t="shared" ca="1" si="41"/>
        <v>VIGENTE</v>
      </c>
      <c r="DI45" s="13">
        <v>45038</v>
      </c>
      <c r="DJ45" s="14">
        <v>45696</v>
      </c>
      <c r="DK45" s="14">
        <f>DATE(YEAR(DJ45)+2,MONTH(DJ45),DAY(DJ45)-1)</f>
        <v>46425</v>
      </c>
      <c r="DL45" s="65">
        <f t="shared" ca="1" si="43"/>
        <v>294</v>
      </c>
      <c r="DM45" s="15" t="str">
        <f t="shared" ca="1" si="44"/>
        <v>VIGENTE</v>
      </c>
      <c r="DN45" s="13">
        <v>45353</v>
      </c>
      <c r="DO45" s="14">
        <v>45982</v>
      </c>
      <c r="DP45" s="14">
        <f t="shared" si="212"/>
        <v>46712</v>
      </c>
      <c r="DQ45" s="65">
        <f t="shared" ca="1" si="46"/>
        <v>581</v>
      </c>
      <c r="DR45" s="15" t="str">
        <f t="shared" ca="1" si="47"/>
        <v>VIGENTE</v>
      </c>
      <c r="DS45" s="13">
        <v>44734</v>
      </c>
      <c r="DT45" s="14">
        <v>46053</v>
      </c>
      <c r="DU45" s="14">
        <f>DATE(YEAR(DT45)+2,MONTH(DT45),DAY(DT45))</f>
        <v>46783</v>
      </c>
      <c r="DV45" s="65">
        <f t="shared" ca="1" si="48"/>
        <v>652</v>
      </c>
      <c r="DW45" s="15" t="str">
        <f t="shared" ca="1" si="49"/>
        <v>VIGENTE</v>
      </c>
      <c r="DX45" s="13">
        <v>44993</v>
      </c>
      <c r="DY45" s="14">
        <v>45663</v>
      </c>
      <c r="DZ45" s="14">
        <f>DATE(YEAR(DY45)+2,MONTH(DY45),DAY(DY45)-1)</f>
        <v>46392</v>
      </c>
      <c r="EA45" s="65">
        <f t="shared" ca="1" si="50"/>
        <v>261</v>
      </c>
      <c r="EB45" s="15" t="str">
        <f t="shared" ca="1" si="51"/>
        <v>VIGENTE</v>
      </c>
      <c r="EC45" s="13">
        <v>45061</v>
      </c>
      <c r="ED45" s="14">
        <v>45674</v>
      </c>
      <c r="EE45" s="14">
        <f>DATE(YEAR(ED45)+2,MONTH(ED45),DAY(ED45)-1)</f>
        <v>46403</v>
      </c>
      <c r="EF45" s="65">
        <f t="shared" ca="1" si="52"/>
        <v>272</v>
      </c>
      <c r="EG45" s="15" t="str">
        <f t="shared" ca="1" si="53"/>
        <v>VIGENTE</v>
      </c>
      <c r="EH45" s="13">
        <v>45675</v>
      </c>
      <c r="EI45" s="13">
        <v>45806</v>
      </c>
      <c r="EJ45" s="13">
        <v>45807</v>
      </c>
      <c r="EK45" s="14">
        <v>45808</v>
      </c>
      <c r="EL45" s="14">
        <f t="shared" si="128"/>
        <v>46173</v>
      </c>
      <c r="EM45" s="65">
        <f t="shared" ca="1" si="54"/>
        <v>42</v>
      </c>
      <c r="EN45" s="15" t="str">
        <f t="shared" ca="1" si="55"/>
        <v>POR VENCER</v>
      </c>
      <c r="EO45" s="13">
        <v>44788</v>
      </c>
      <c r="EP45" s="14">
        <v>45468</v>
      </c>
      <c r="EQ45" s="14">
        <f>DATE(YEAR(EP45)+2,MONTH(EP45),DAY(EP45)-1)</f>
        <v>46197</v>
      </c>
      <c r="ER45" s="65">
        <f t="shared" ca="1" si="56"/>
        <v>66</v>
      </c>
      <c r="ES45" s="15" t="str">
        <f t="shared" ca="1" si="57"/>
        <v>POR VENCER</v>
      </c>
      <c r="ET45" s="13">
        <v>45370</v>
      </c>
      <c r="EU45" s="14">
        <v>46042</v>
      </c>
      <c r="EV45" s="14">
        <f>DATE(YEAR(EU45)+2,MONTH(EU45),DAY(EU45))</f>
        <v>46772</v>
      </c>
      <c r="EW45" s="65">
        <f t="shared" ca="1" si="58"/>
        <v>641</v>
      </c>
      <c r="EX45" s="15" t="str">
        <f t="shared" ca="1" si="59"/>
        <v>VIGENTE</v>
      </c>
      <c r="EY45" s="13">
        <v>45339</v>
      </c>
      <c r="EZ45" s="14">
        <v>45964</v>
      </c>
      <c r="FA45" s="14">
        <f t="shared" si="208"/>
        <v>46694</v>
      </c>
      <c r="FB45" s="65">
        <f t="shared" ca="1" si="60"/>
        <v>563</v>
      </c>
      <c r="FC45" s="15" t="str">
        <f t="shared" ca="1" si="61"/>
        <v>VIGENTE</v>
      </c>
      <c r="FD45" s="13">
        <v>44615</v>
      </c>
      <c r="FE45" s="14">
        <v>45988</v>
      </c>
      <c r="FF45" s="14">
        <f t="shared" si="209"/>
        <v>46718</v>
      </c>
      <c r="FG45" s="65">
        <f t="shared" ca="1" si="62"/>
        <v>587</v>
      </c>
      <c r="FH45" s="15" t="str">
        <f t="shared" ca="1" si="63"/>
        <v>VIGENTE</v>
      </c>
      <c r="FI45" s="13">
        <v>45282</v>
      </c>
      <c r="FJ45" s="14">
        <v>45932</v>
      </c>
      <c r="FK45" s="14">
        <f t="shared" si="210"/>
        <v>46662</v>
      </c>
      <c r="FL45" s="65">
        <f t="shared" ca="1" si="64"/>
        <v>531</v>
      </c>
      <c r="FM45" s="15" t="str">
        <f t="shared" ca="1" si="65"/>
        <v>VIGENTE</v>
      </c>
      <c r="FN45" s="13">
        <v>45062</v>
      </c>
      <c r="FO45" s="14">
        <v>45670</v>
      </c>
      <c r="FP45" s="14">
        <f>DATE(YEAR(FO45)+2,MONTH(FO45),DAY(FO45)-1)</f>
        <v>46399</v>
      </c>
      <c r="FQ45" s="65">
        <f t="shared" ca="1" si="67"/>
        <v>268</v>
      </c>
      <c r="FR45" s="15" t="str">
        <f t="shared" ca="1" si="68"/>
        <v>VIGENTE</v>
      </c>
      <c r="FS45" s="13">
        <v>45005</v>
      </c>
      <c r="FT45" s="14">
        <v>45664</v>
      </c>
      <c r="FU45" s="14">
        <f>DATE(YEAR(FT45)+2,MONTH(FT45),DAY(FT45)-1)</f>
        <v>46393</v>
      </c>
      <c r="FV45" s="65">
        <f t="shared" ca="1" si="69"/>
        <v>262</v>
      </c>
      <c r="FW45" s="15" t="str">
        <f t="shared" ca="1" si="70"/>
        <v>VIGENTE</v>
      </c>
      <c r="FX45" s="14">
        <v>44978</v>
      </c>
      <c r="FY45" s="14">
        <v>45574</v>
      </c>
      <c r="FZ45" s="14">
        <f>DATE(YEAR(FY45)+2,MONTH(FY45),DAY(FY45)-1)</f>
        <v>46303</v>
      </c>
      <c r="GA45" s="65">
        <f t="shared" ca="1" si="71"/>
        <v>172</v>
      </c>
      <c r="GB45" s="15" t="str">
        <f t="shared" ca="1" si="72"/>
        <v>VIGENTE</v>
      </c>
      <c r="GC45" s="13">
        <v>45396</v>
      </c>
      <c r="GD45" s="14">
        <v>46030</v>
      </c>
      <c r="GE45" s="14">
        <f>DATE(YEAR(GD45)+2,MONTH(GD45),DAY(GD45))</f>
        <v>46760</v>
      </c>
      <c r="GF45" s="65">
        <f t="shared" ca="1" si="73"/>
        <v>629</v>
      </c>
      <c r="GG45" s="15" t="str">
        <f t="shared" ca="1" si="74"/>
        <v>VIGENTE</v>
      </c>
      <c r="GH45" s="13">
        <v>45001</v>
      </c>
      <c r="GI45" s="14">
        <v>45672</v>
      </c>
      <c r="GJ45" s="14">
        <f>DATE(YEAR(GI45)+2,MONTH(GI45),DAY(GI45)-1)</f>
        <v>46401</v>
      </c>
      <c r="GK45" s="65">
        <f t="shared" ca="1" si="75"/>
        <v>270</v>
      </c>
      <c r="GL45" s="15" t="str">
        <f t="shared" ca="1" si="76"/>
        <v>VIGENTE</v>
      </c>
      <c r="GM45" s="13">
        <v>45256</v>
      </c>
      <c r="GN45" s="14">
        <v>45923</v>
      </c>
      <c r="GO45" s="14">
        <f t="shared" si="211"/>
        <v>46653</v>
      </c>
      <c r="GP45" s="65">
        <f t="shared" ca="1" si="77"/>
        <v>522</v>
      </c>
      <c r="GQ45" s="15" t="str">
        <f t="shared" ca="1" si="78"/>
        <v>VIGENTE</v>
      </c>
      <c r="GR45" s="14">
        <v>44571</v>
      </c>
      <c r="GS45" s="14">
        <v>45265</v>
      </c>
      <c r="GT45" s="14">
        <f t="shared" si="79"/>
        <v>47092</v>
      </c>
      <c r="GU45" s="65">
        <f t="shared" ca="1" si="172"/>
        <v>961</v>
      </c>
      <c r="GV45" s="15" t="str">
        <f t="shared" ca="1" si="81"/>
        <v>VIGENTE</v>
      </c>
      <c r="GW45" s="13">
        <v>44573</v>
      </c>
      <c r="GX45" s="14">
        <v>45200</v>
      </c>
      <c r="GY45" s="14">
        <f t="shared" si="82"/>
        <v>47027</v>
      </c>
      <c r="GZ45" s="65">
        <f t="shared" ca="1" si="83"/>
        <v>896</v>
      </c>
      <c r="HA45" s="15" t="str">
        <f t="shared" ca="1" si="84"/>
        <v>VIGENTE</v>
      </c>
      <c r="HB45" s="13">
        <v>44565</v>
      </c>
      <c r="HC45" s="14">
        <v>45268</v>
      </c>
      <c r="HD45" s="14">
        <f t="shared" si="85"/>
        <v>47095</v>
      </c>
      <c r="HE45" s="65">
        <f t="shared" ca="1" si="86"/>
        <v>964</v>
      </c>
      <c r="HF45" s="15" t="str">
        <f t="shared" ca="1" si="87"/>
        <v>VIGENTE</v>
      </c>
      <c r="HG45" s="16"/>
      <c r="HH45" s="14">
        <v>44865</v>
      </c>
      <c r="HI45" s="14">
        <f>DATE(YEAR(HH45)+5,MONTH(HH45),DAY(HH45))</f>
        <v>46691</v>
      </c>
      <c r="HJ45" s="65">
        <f ca="1">HI45-TODAY()</f>
        <v>560</v>
      </c>
      <c r="HK45" s="15" t="str">
        <f t="shared" ref="HK45:HK71" ca="1" si="217">IF(HJ45&gt;=61,"VIGENTE",IF(HJ45&gt;=1,"POR VENCER",IF(HJ45&lt;=-1,"VENCIDA",IF(HH45=0,"NO APLICA"))))</f>
        <v>VIGENTE</v>
      </c>
      <c r="HL45" s="12"/>
      <c r="HM45" s="14">
        <v>45331</v>
      </c>
      <c r="HN45" s="14">
        <f>DATE(YEAR(HM45)+5,MONTH(HM45),DAY(HM45))</f>
        <v>47158</v>
      </c>
      <c r="HO45" s="65">
        <f ca="1">HN45-TODAY()</f>
        <v>1027</v>
      </c>
      <c r="HP45" s="15" t="str">
        <f t="shared" ca="1" si="196"/>
        <v>VIGENTE</v>
      </c>
      <c r="HQ45" s="12"/>
      <c r="HR45" s="13">
        <v>45374</v>
      </c>
      <c r="HS45" s="14">
        <f>DATE(YEAR(HR45)+5,MONTH(HR45),DAY(HR45))</f>
        <v>47200</v>
      </c>
      <c r="HT45" s="65">
        <f ca="1">HS45-TODAY()</f>
        <v>1069</v>
      </c>
      <c r="HU45" s="15" t="str">
        <f t="shared" ca="1" si="92"/>
        <v>VIGENTE</v>
      </c>
      <c r="HV45" s="13">
        <v>44782</v>
      </c>
      <c r="HW45" s="14">
        <v>45440</v>
      </c>
      <c r="HX45" s="14">
        <f>DATE(YEAR(HW45)+5,MONTH(HW45),DAY(HW45))</f>
        <v>47266</v>
      </c>
      <c r="HY45" s="65">
        <f ca="1">HX45-TODAY()</f>
        <v>1135</v>
      </c>
      <c r="HZ45" s="15" t="str">
        <f t="shared" ca="1" si="93"/>
        <v>VIGENTE</v>
      </c>
      <c r="IA45" s="13">
        <v>44522</v>
      </c>
      <c r="IB45" s="14">
        <v>45205</v>
      </c>
      <c r="IC45" s="14">
        <f>DATE(YEAR(IB45)+5,MONTH(IB45),DAY(IB45))</f>
        <v>47032</v>
      </c>
      <c r="ID45" s="65">
        <f ca="1">IC45-TODAY()</f>
        <v>901</v>
      </c>
      <c r="IE45" s="15" t="str">
        <f t="shared" ca="1" si="94"/>
        <v>VIGENTE</v>
      </c>
      <c r="IF45" s="13">
        <v>44510</v>
      </c>
      <c r="IG45" s="14">
        <v>45173</v>
      </c>
      <c r="IH45" s="14">
        <f>DATE(YEAR(IG45)+5,MONTH(IG45),DAY(IG45))</f>
        <v>47000</v>
      </c>
      <c r="II45" s="65">
        <f ca="1">IH45-TODAY()</f>
        <v>869</v>
      </c>
      <c r="IJ45" s="15" t="str">
        <f t="shared" ca="1" si="95"/>
        <v>VIGENTE</v>
      </c>
      <c r="IK45" s="14">
        <v>44795</v>
      </c>
      <c r="IL45" s="14">
        <v>45449</v>
      </c>
      <c r="IM45" s="14">
        <f>DATE(YEAR(IL45)+5,MONTH(IL45),DAY(IL45))</f>
        <v>47275</v>
      </c>
      <c r="IN45" s="65">
        <f ca="1">IM45-TODAY()</f>
        <v>1144</v>
      </c>
      <c r="IO45" s="15" t="str">
        <f t="shared" ca="1" si="96"/>
        <v>VIGENTE</v>
      </c>
      <c r="IP45" s="13">
        <v>44795</v>
      </c>
      <c r="IQ45" s="14">
        <v>45433</v>
      </c>
      <c r="IR45" s="14">
        <f>DATE(YEAR(IQ45)+5,MONTH(IQ45),DAY(IQ45))</f>
        <v>47259</v>
      </c>
      <c r="IS45" s="65">
        <f ca="1">IR45-TODAY()</f>
        <v>1128</v>
      </c>
      <c r="IT45" s="15" t="str">
        <f t="shared" ca="1" si="97"/>
        <v>VIGENTE</v>
      </c>
      <c r="IU45" s="13">
        <v>44510</v>
      </c>
      <c r="IV45" s="14">
        <v>45171</v>
      </c>
      <c r="IW45" s="14">
        <f>DATE(YEAR(IV45)+5,MONTH(IV45),DAY(IV45))</f>
        <v>46998</v>
      </c>
      <c r="IX45" s="65">
        <f ca="1">IW45-TODAY()</f>
        <v>867</v>
      </c>
      <c r="IY45" s="15" t="str">
        <f t="shared" ca="1" si="98"/>
        <v>VIGENTE</v>
      </c>
      <c r="IZ45" s="13">
        <v>44522</v>
      </c>
      <c r="JA45" s="14">
        <v>45206</v>
      </c>
      <c r="JB45" s="14">
        <f>DATE(YEAR(JA45)+5,MONTH(JA45),DAY(JA45))</f>
        <v>47033</v>
      </c>
      <c r="JC45" s="65">
        <f ca="1">JB45-TODAY()</f>
        <v>902</v>
      </c>
      <c r="JD45" s="15" t="str">
        <f t="shared" ca="1" si="99"/>
        <v>VIGENTE</v>
      </c>
      <c r="JE45" s="13">
        <v>45635</v>
      </c>
      <c r="JF45" s="13">
        <v>45636</v>
      </c>
      <c r="JG45" s="14">
        <f>DATE(YEAR(JF45)+5,MONTH(JF45),DAY(JF45))</f>
        <v>47462</v>
      </c>
      <c r="JH45" s="65">
        <f ca="1">JG45-TODAY()</f>
        <v>1331</v>
      </c>
      <c r="JI45" s="15" t="str">
        <f t="shared" ca="1" si="100"/>
        <v>VIGENTE</v>
      </c>
      <c r="JJ45" s="14">
        <v>45644</v>
      </c>
      <c r="JK45" s="14">
        <f>DATE(YEAR(JJ45)+5,MONTH(JJ45),DAY(JJ45))</f>
        <v>47470</v>
      </c>
      <c r="JL45" s="65">
        <f ca="1">JK45-TODAY()</f>
        <v>1339</v>
      </c>
      <c r="JM45" s="15" t="str">
        <f t="shared" ca="1" si="101"/>
        <v>VIGENTE</v>
      </c>
      <c r="JN45" s="14">
        <v>45647</v>
      </c>
      <c r="JO45" s="14">
        <f>DATE(YEAR(JN45)+5,MONTH(JN45),DAY(JN45))</f>
        <v>47473</v>
      </c>
      <c r="JP45" s="65">
        <f ca="1">JO45-TODAY()</f>
        <v>1342</v>
      </c>
      <c r="JQ45" s="15" t="str">
        <f t="shared" ca="1" si="102"/>
        <v>VIGENTE</v>
      </c>
      <c r="JR45" s="14">
        <v>45642</v>
      </c>
      <c r="JS45" s="14">
        <v>45643</v>
      </c>
      <c r="JT45" s="14">
        <f>DATE(YEAR(JS45)+5,MONTH(JS45),DAY(JS45))</f>
        <v>47469</v>
      </c>
      <c r="JU45" s="65">
        <f ca="1">JT45-TODAY()</f>
        <v>1338</v>
      </c>
      <c r="JV45" s="15" t="str">
        <f t="shared" ca="1" si="103"/>
        <v>VIGENTE</v>
      </c>
      <c r="JW45" s="15"/>
      <c r="JX45" s="15"/>
      <c r="JY45" s="15"/>
      <c r="JZ45" s="15"/>
      <c r="KA45" s="15" t="str">
        <f t="shared" si="104"/>
        <v>NO APLICA</v>
      </c>
      <c r="KB45" s="12"/>
      <c r="KC45" s="14"/>
      <c r="KD45" s="65"/>
      <c r="KE45" s="15" t="str">
        <f t="shared" si="105"/>
        <v>NO APLICA</v>
      </c>
      <c r="KF45" s="12"/>
      <c r="KG45" s="14"/>
      <c r="KH45" s="65"/>
      <c r="KI45" s="15" t="str">
        <f t="shared" si="132"/>
        <v>NO APLICA</v>
      </c>
      <c r="KJ45" s="12"/>
      <c r="KK45" s="14"/>
      <c r="KL45" s="65"/>
      <c r="KM45" s="15" t="str">
        <f t="shared" si="106"/>
        <v>NO APLICA</v>
      </c>
      <c r="KN45" s="12"/>
      <c r="KO45" s="14"/>
      <c r="KP45" s="65"/>
      <c r="KQ45" s="15" t="str">
        <f t="shared" si="133"/>
        <v>NO APLICA</v>
      </c>
      <c r="KR45" s="13">
        <v>44650</v>
      </c>
      <c r="KS45" s="14">
        <v>44651</v>
      </c>
      <c r="KT45" s="14">
        <f>DATE(YEAR(KS45)+5,MONTH(KS45),DAY(KS45))</f>
        <v>46477</v>
      </c>
      <c r="KU45" s="65">
        <f ca="1">KT45-TODAY()</f>
        <v>346</v>
      </c>
      <c r="KV45" s="15" t="str">
        <f t="shared" ca="1" si="147"/>
        <v>VIGENTE</v>
      </c>
      <c r="KW45" s="16"/>
      <c r="KX45" s="14"/>
      <c r="KY45" s="65"/>
      <c r="KZ45" s="15" t="str">
        <f t="shared" si="134"/>
        <v>NO APLICA</v>
      </c>
      <c r="LA45" s="14">
        <v>44494</v>
      </c>
      <c r="LB45" s="14">
        <v>45615</v>
      </c>
      <c r="LC45" s="14">
        <f>DATE(YEAR(LB45)+2,MONTH(LB45),DAY(LB45))</f>
        <v>46345</v>
      </c>
      <c r="LD45" s="65">
        <f ca="1">LC45-TODAY()</f>
        <v>214</v>
      </c>
      <c r="LE45" s="15" t="str">
        <f t="shared" ca="1" si="107"/>
        <v>VIGENTE</v>
      </c>
      <c r="LF45" s="15"/>
      <c r="LG45" s="13">
        <v>44218</v>
      </c>
      <c r="LH45" s="14">
        <f>DATE(YEAR(LG45)+5,MONTH(LG45),DAY(LG45))</f>
        <v>46044</v>
      </c>
      <c r="LI45" s="65">
        <f ca="1">LH45-TODAY()</f>
        <v>-87</v>
      </c>
      <c r="LJ45" s="15" t="str">
        <f t="shared" ca="1" si="148"/>
        <v>VENCIDA</v>
      </c>
      <c r="LK45" s="12"/>
      <c r="LL45" s="16"/>
      <c r="LM45" s="14"/>
      <c r="LN45" s="65"/>
      <c r="LO45" s="15" t="str">
        <f t="shared" si="135"/>
        <v>NO APLICA</v>
      </c>
      <c r="LP45" s="16"/>
      <c r="LQ45" s="16"/>
      <c r="LR45" s="14"/>
      <c r="LS45" s="65"/>
      <c r="LT45" s="15" t="str">
        <f t="shared" si="136"/>
        <v>NO APLICA</v>
      </c>
      <c r="LU45" s="16"/>
      <c r="LV45" s="16"/>
      <c r="LW45" s="14"/>
      <c r="LX45" s="65"/>
      <c r="LY45" s="15" t="str">
        <f t="shared" si="137"/>
        <v>NO APLICA</v>
      </c>
      <c r="LZ45" s="12"/>
      <c r="MA45" s="12"/>
      <c r="MB45" s="14"/>
      <c r="MC45" s="65"/>
      <c r="MD45" s="15" t="str">
        <f t="shared" si="108"/>
        <v>NO APLICA</v>
      </c>
      <c r="ME45" s="12"/>
      <c r="MF45" s="12"/>
      <c r="MG45" s="14"/>
      <c r="MH45" s="65"/>
      <c r="MI45" s="15" t="str">
        <f t="shared" si="109"/>
        <v>NO APLICA</v>
      </c>
      <c r="MJ45" s="12"/>
      <c r="MK45" s="14"/>
      <c r="ML45" s="65"/>
      <c r="MM45" s="15" t="str">
        <f t="shared" si="110"/>
        <v>NO APLICA</v>
      </c>
      <c r="MN45" s="12"/>
      <c r="MO45" s="14"/>
      <c r="MP45" s="12"/>
      <c r="MQ45" s="15" t="str">
        <f t="shared" si="111"/>
        <v>NO APLICA</v>
      </c>
      <c r="MR45" s="12"/>
      <c r="MS45" s="16"/>
      <c r="MT45" s="14"/>
      <c r="MU45" s="65"/>
      <c r="MV45" s="15" t="str">
        <f t="shared" si="112"/>
        <v>NO APLICA</v>
      </c>
      <c r="MW45" s="12"/>
      <c r="MX45" s="16"/>
      <c r="MY45" s="14"/>
      <c r="MZ45" s="65"/>
      <c r="NA45" s="15" t="str">
        <f t="shared" si="113"/>
        <v>NO APLICA</v>
      </c>
      <c r="NB45" s="12"/>
      <c r="NC45" s="16"/>
      <c r="ND45" s="14"/>
      <c r="NE45" s="65"/>
      <c r="NF45" s="15" t="str">
        <f t="shared" si="114"/>
        <v>NO APLICA</v>
      </c>
      <c r="NG45" s="12"/>
      <c r="NH45" s="12"/>
      <c r="NI45" s="14"/>
      <c r="NJ45" s="65"/>
      <c r="NK45" s="15" t="str">
        <f t="shared" si="115"/>
        <v>NO APLICA</v>
      </c>
      <c r="NL45" s="12"/>
      <c r="NM45" s="12"/>
      <c r="NN45" s="12"/>
      <c r="NO45" s="12"/>
      <c r="NP45" s="15" t="str">
        <f t="shared" si="116"/>
        <v>NO APLICA</v>
      </c>
      <c r="NQ45" s="16"/>
      <c r="NR45" s="16"/>
      <c r="NS45" s="14"/>
      <c r="NT45" s="65"/>
      <c r="NU45" s="15" t="str">
        <f t="shared" si="117"/>
        <v>NO APLICA</v>
      </c>
      <c r="NV45" s="16"/>
      <c r="NW45" s="16"/>
      <c r="NX45" s="16"/>
      <c r="NY45" s="16"/>
      <c r="NZ45" s="15" t="str">
        <f t="shared" si="118"/>
        <v>NO APLICA</v>
      </c>
    </row>
    <row r="46" spans="1:390" ht="15.6" thickTop="1" thickBot="1" x14ac:dyDescent="0.35">
      <c r="A46" s="11">
        <v>1647</v>
      </c>
      <c r="B46" s="10" t="s">
        <v>250</v>
      </c>
      <c r="C46" s="21" t="s">
        <v>151</v>
      </c>
      <c r="D46" s="64" t="s">
        <v>188</v>
      </c>
      <c r="E46" s="13">
        <v>46059</v>
      </c>
      <c r="F46" s="14">
        <v>46060</v>
      </c>
      <c r="G46" s="14">
        <f>DATE(YEAR(F46)+2,MONTH(F46),DAY(F46))</f>
        <v>46790</v>
      </c>
      <c r="H46" s="65">
        <f ca="1">G46-TODAY()</f>
        <v>659</v>
      </c>
      <c r="I46" s="15" t="str">
        <f t="shared" ca="1" si="0"/>
        <v>VIGENTE</v>
      </c>
      <c r="J46" s="12"/>
      <c r="K46" s="12"/>
      <c r="L46" s="12"/>
      <c r="M46" s="12"/>
      <c r="N46" s="15" t="str">
        <f t="shared" si="1"/>
        <v>NO APLICA</v>
      </c>
      <c r="O46" s="16"/>
      <c r="P46" s="16"/>
      <c r="Q46" s="14"/>
      <c r="R46" s="65"/>
      <c r="S46" s="15" t="str">
        <f t="shared" si="119"/>
        <v>NO APLICA</v>
      </c>
      <c r="T46" s="12" t="s">
        <v>251</v>
      </c>
      <c r="U46" s="13">
        <v>44943</v>
      </c>
      <c r="V46" s="14">
        <v>44944</v>
      </c>
      <c r="W46" s="14">
        <f t="shared" si="2"/>
        <v>46770</v>
      </c>
      <c r="X46" s="65">
        <f t="shared" ca="1" si="3"/>
        <v>639</v>
      </c>
      <c r="Y46" s="15" t="str">
        <f t="shared" ca="1" si="4"/>
        <v>VIGENTE</v>
      </c>
      <c r="Z46" s="12"/>
      <c r="AA46" s="12"/>
      <c r="AB46" s="16"/>
      <c r="AC46" s="14"/>
      <c r="AD46" s="65"/>
      <c r="AE46" s="15" t="str">
        <f t="shared" si="7"/>
        <v>NO APLICA</v>
      </c>
      <c r="AF46" s="12"/>
      <c r="AG46" s="14">
        <v>45892</v>
      </c>
      <c r="AH46" s="14">
        <f>DATE(YEAR(AG46)+2,MONTH(AG46),DAY(AG46))</f>
        <v>46622</v>
      </c>
      <c r="AI46" s="65">
        <f t="shared" ca="1" si="8"/>
        <v>491</v>
      </c>
      <c r="AJ46" s="15" t="str">
        <f t="shared" ca="1" si="213"/>
        <v>VIGENTE</v>
      </c>
      <c r="AK46" s="13">
        <v>45199</v>
      </c>
      <c r="AL46" s="14">
        <v>45838</v>
      </c>
      <c r="AM46" s="14">
        <f>DATE(YEAR(AL46)+2,MONTH(AL46),DAY(AL46))</f>
        <v>46568</v>
      </c>
      <c r="AN46" s="65">
        <f t="shared" ca="1" si="10"/>
        <v>437</v>
      </c>
      <c r="AO46" s="15" t="str">
        <f t="shared" ca="1" si="11"/>
        <v>VIGENTE</v>
      </c>
      <c r="AP46" s="13">
        <v>45226</v>
      </c>
      <c r="AQ46" s="14">
        <v>45904</v>
      </c>
      <c r="AR46" s="14">
        <f t="shared" si="214"/>
        <v>46634</v>
      </c>
      <c r="AS46" s="65">
        <f t="shared" ca="1" si="12"/>
        <v>503</v>
      </c>
      <c r="AT46" s="15" t="str">
        <f t="shared" ca="1" si="13"/>
        <v>VIGENTE</v>
      </c>
      <c r="AU46" s="12"/>
      <c r="AV46" s="14">
        <v>45990</v>
      </c>
      <c r="AW46" s="14">
        <f t="shared" si="215"/>
        <v>46720</v>
      </c>
      <c r="AX46" s="65">
        <f t="shared" ca="1" si="15"/>
        <v>589</v>
      </c>
      <c r="AY46" s="15" t="str">
        <f t="shared" ca="1" si="16"/>
        <v>VIGENTE</v>
      </c>
      <c r="AZ46" s="13"/>
      <c r="BA46" s="14">
        <v>45943</v>
      </c>
      <c r="BB46" s="14">
        <f>DATE(YEAR(BA46)+2,MONTH(BA46),DAY(BA46))</f>
        <v>46673</v>
      </c>
      <c r="BC46" s="65">
        <f t="shared" ca="1" si="17"/>
        <v>542</v>
      </c>
      <c r="BD46" s="15" t="str">
        <f t="shared" ca="1" si="18"/>
        <v>VIGENTE</v>
      </c>
      <c r="BE46" s="12"/>
      <c r="BF46" s="14">
        <v>45997</v>
      </c>
      <c r="BG46" s="14">
        <f t="shared" si="216"/>
        <v>46727</v>
      </c>
      <c r="BH46" s="65">
        <f t="shared" ca="1" si="19"/>
        <v>596</v>
      </c>
      <c r="BI46" s="15" t="str">
        <f t="shared" ca="1" si="20"/>
        <v>VIGENTE</v>
      </c>
      <c r="BJ46" s="13">
        <v>45155</v>
      </c>
      <c r="BK46" s="14">
        <v>45797</v>
      </c>
      <c r="BL46" s="14">
        <f>DATE(YEAR(BK46)+2,MONTH(BK46),DAY(BK46))</f>
        <v>46527</v>
      </c>
      <c r="BM46" s="65">
        <f t="shared" ca="1" si="21"/>
        <v>396</v>
      </c>
      <c r="BN46" s="15" t="str">
        <f t="shared" ca="1" si="22"/>
        <v>VIGENTE</v>
      </c>
      <c r="BO46" s="13">
        <v>45031</v>
      </c>
      <c r="BP46" s="14">
        <v>45701</v>
      </c>
      <c r="BQ46" s="14">
        <f>DATE(YEAR(BP46)+2,MONTH(BP46),DAY(BP46)-1)</f>
        <v>46430</v>
      </c>
      <c r="BR46" s="65">
        <f t="shared" ca="1" si="23"/>
        <v>299</v>
      </c>
      <c r="BS46" s="15" t="str">
        <f t="shared" ca="1" si="24"/>
        <v>VIGENTE</v>
      </c>
      <c r="BT46" s="13">
        <v>45203</v>
      </c>
      <c r="BU46" s="14">
        <v>45871</v>
      </c>
      <c r="BV46" s="14">
        <f>DATE(YEAR(BU46)+2,MONTH(BU46),DAY(BU46))</f>
        <v>46601</v>
      </c>
      <c r="BW46" s="65">
        <f t="shared" ca="1" si="25"/>
        <v>470</v>
      </c>
      <c r="BX46" s="15" t="str">
        <f t="shared" ca="1" si="26"/>
        <v>VIGENTE</v>
      </c>
      <c r="BY46" s="13">
        <v>45300</v>
      </c>
      <c r="BZ46" s="14">
        <v>45954</v>
      </c>
      <c r="CA46" s="14">
        <f>DATE(YEAR(BZ46)+2,MONTH(BZ46),DAY(BZ46))</f>
        <v>46684</v>
      </c>
      <c r="CB46" s="65">
        <f t="shared" ca="1" si="27"/>
        <v>553</v>
      </c>
      <c r="CC46" s="15" t="str">
        <f t="shared" ca="1" si="28"/>
        <v>VIGENTE</v>
      </c>
      <c r="CD46" s="16" t="s">
        <v>102</v>
      </c>
      <c r="CE46" s="14">
        <v>45827</v>
      </c>
      <c r="CF46" s="14">
        <v>45828</v>
      </c>
      <c r="CG46" s="14">
        <f t="shared" si="29"/>
        <v>47289</v>
      </c>
      <c r="CH46" s="65">
        <f t="shared" ca="1" si="30"/>
        <v>1158</v>
      </c>
      <c r="CI46" s="15" t="str">
        <f t="shared" ca="1" si="31"/>
        <v>VIGENTE</v>
      </c>
      <c r="CJ46" s="16"/>
      <c r="CK46" s="14">
        <v>45929</v>
      </c>
      <c r="CL46" s="14">
        <f>DATE(YEAR(CK46)+2,MONTH(CK46),DAY(CK46))</f>
        <v>46659</v>
      </c>
      <c r="CM46" s="65">
        <f t="shared" ca="1" si="32"/>
        <v>528</v>
      </c>
      <c r="CN46" s="15" t="str">
        <f t="shared" ca="1" si="33"/>
        <v>VIGENTE</v>
      </c>
      <c r="CO46" s="13">
        <v>45240</v>
      </c>
      <c r="CP46" s="14">
        <v>45888</v>
      </c>
      <c r="CQ46" s="14">
        <f>DATE(YEAR(CP46)+2,MONTH(CP46),DAY(CP46))</f>
        <v>46618</v>
      </c>
      <c r="CR46" s="65">
        <f t="shared" ca="1" si="34"/>
        <v>487</v>
      </c>
      <c r="CS46" s="15" t="str">
        <f t="shared" ca="1" si="35"/>
        <v>VIGENTE</v>
      </c>
      <c r="CT46" s="13">
        <v>45287</v>
      </c>
      <c r="CU46" s="14">
        <v>45965</v>
      </c>
      <c r="CV46" s="14">
        <f>DATE(YEAR(CU46)+2,MONTH(CU46),DAY(CU46))</f>
        <v>46695</v>
      </c>
      <c r="CW46" s="65">
        <f t="shared" ca="1" si="36"/>
        <v>564</v>
      </c>
      <c r="CX46" s="15" t="str">
        <f t="shared" ca="1" si="37"/>
        <v>VIGENTE</v>
      </c>
      <c r="CY46" s="13"/>
      <c r="CZ46" s="14">
        <v>45924</v>
      </c>
      <c r="DA46" s="14">
        <f>DATE(YEAR(CZ46)+2,MONTH(CZ46),DAY(CZ46))</f>
        <v>46654</v>
      </c>
      <c r="DB46" s="65">
        <f t="shared" ca="1" si="38"/>
        <v>523</v>
      </c>
      <c r="DC46" s="15" t="str">
        <f t="shared" ca="1" si="39"/>
        <v>VIGENTE</v>
      </c>
      <c r="DD46" s="13">
        <v>45244</v>
      </c>
      <c r="DE46" s="14">
        <v>45896</v>
      </c>
      <c r="DF46" s="14">
        <f>DATE(YEAR(DE46)+2,MONTH(DE46),DAY(DE46))</f>
        <v>46626</v>
      </c>
      <c r="DG46" s="65">
        <f t="shared" ca="1" si="40"/>
        <v>495</v>
      </c>
      <c r="DH46" s="15" t="str">
        <f t="shared" ca="1" si="41"/>
        <v>VIGENTE</v>
      </c>
      <c r="DI46" s="13">
        <v>45196</v>
      </c>
      <c r="DJ46" s="14">
        <v>45834</v>
      </c>
      <c r="DK46" s="14">
        <f t="shared" ref="DK46:DK53" si="218">DATE(YEAR(DJ46)+2,MONTH(DJ46),DAY(DJ46))</f>
        <v>46564</v>
      </c>
      <c r="DL46" s="65">
        <f t="shared" ca="1" si="43"/>
        <v>433</v>
      </c>
      <c r="DM46" s="15" t="str">
        <f t="shared" ca="1" si="44"/>
        <v>VIGENTE</v>
      </c>
      <c r="DN46" s="14">
        <v>45198</v>
      </c>
      <c r="DO46" s="14">
        <v>45873</v>
      </c>
      <c r="DP46" s="14">
        <f t="shared" si="212"/>
        <v>46603</v>
      </c>
      <c r="DQ46" s="65">
        <f t="shared" ca="1" si="46"/>
        <v>472</v>
      </c>
      <c r="DR46" s="15" t="str">
        <f t="shared" ca="1" si="47"/>
        <v>VIGENTE</v>
      </c>
      <c r="DS46" s="13">
        <v>45180</v>
      </c>
      <c r="DT46" s="14">
        <v>45852</v>
      </c>
      <c r="DU46" s="14">
        <f>DATE(YEAR(DT46)+2,MONTH(DT46),DAY(DT46))</f>
        <v>46582</v>
      </c>
      <c r="DV46" s="65">
        <f t="shared" ca="1" si="48"/>
        <v>451</v>
      </c>
      <c r="DW46" s="15" t="str">
        <f t="shared" ca="1" si="49"/>
        <v>VIGENTE</v>
      </c>
      <c r="DX46" s="13"/>
      <c r="DY46" s="14">
        <v>45934</v>
      </c>
      <c r="DZ46" s="14">
        <f>DATE(YEAR(DY46)+2,MONTH(DY46),DAY(DY46))</f>
        <v>46664</v>
      </c>
      <c r="EA46" s="65">
        <f t="shared" ca="1" si="50"/>
        <v>533</v>
      </c>
      <c r="EB46" s="15" t="str">
        <f t="shared" ca="1" si="51"/>
        <v>VIGENTE</v>
      </c>
      <c r="EC46" s="13">
        <v>45255</v>
      </c>
      <c r="ED46" s="14">
        <v>45913</v>
      </c>
      <c r="EE46" s="14">
        <f>DATE(YEAR(ED46)+2,MONTH(ED46),DAY(ED46))</f>
        <v>46643</v>
      </c>
      <c r="EF46" s="65">
        <f t="shared" ca="1" si="52"/>
        <v>512</v>
      </c>
      <c r="EG46" s="15" t="str">
        <f t="shared" ca="1" si="53"/>
        <v>VIGENTE</v>
      </c>
      <c r="EH46" s="13">
        <v>45253</v>
      </c>
      <c r="EI46" s="13">
        <v>45909</v>
      </c>
      <c r="EJ46" s="13">
        <v>45910</v>
      </c>
      <c r="EK46" s="13">
        <v>45911</v>
      </c>
      <c r="EL46" s="14">
        <f t="shared" si="128"/>
        <v>46276</v>
      </c>
      <c r="EM46" s="65">
        <f t="shared" ca="1" si="54"/>
        <v>145</v>
      </c>
      <c r="EN46" s="15" t="str">
        <f t="shared" ca="1" si="55"/>
        <v>VIGENTE</v>
      </c>
      <c r="EO46" s="13">
        <v>45262</v>
      </c>
      <c r="EP46" s="14">
        <v>45966</v>
      </c>
      <c r="EQ46" s="14">
        <f>DATE(YEAR(EP46)+2,MONTH(EP46),DAY(EP46))</f>
        <v>46696</v>
      </c>
      <c r="ER46" s="65">
        <f t="shared" ca="1" si="56"/>
        <v>565</v>
      </c>
      <c r="ES46" s="15" t="str">
        <f t="shared" ca="1" si="57"/>
        <v>VIGENTE</v>
      </c>
      <c r="ET46" s="12"/>
      <c r="EU46" s="14">
        <v>45922</v>
      </c>
      <c r="EV46" s="14">
        <f>DATE(YEAR(EU46)+2,MONTH(EU46),DAY(EU46))</f>
        <v>46652</v>
      </c>
      <c r="EW46" s="65">
        <f t="shared" ca="1" si="58"/>
        <v>521</v>
      </c>
      <c r="EX46" s="15" t="str">
        <f t="shared" ca="1" si="59"/>
        <v>VIGENTE</v>
      </c>
      <c r="EY46" s="13">
        <v>45271</v>
      </c>
      <c r="EZ46" s="14">
        <v>45917</v>
      </c>
      <c r="FA46" s="14">
        <f t="shared" si="208"/>
        <v>46647</v>
      </c>
      <c r="FB46" s="65">
        <f t="shared" ca="1" si="60"/>
        <v>516</v>
      </c>
      <c r="FC46" s="15" t="str">
        <f t="shared" ca="1" si="61"/>
        <v>VIGENTE</v>
      </c>
      <c r="FD46" s="12"/>
      <c r="FE46" s="14">
        <v>45931</v>
      </c>
      <c r="FF46" s="14">
        <f t="shared" si="209"/>
        <v>46661</v>
      </c>
      <c r="FG46" s="65">
        <f t="shared" ca="1" si="62"/>
        <v>530</v>
      </c>
      <c r="FH46" s="15" t="str">
        <f t="shared" ca="1" si="63"/>
        <v>VIGENTE</v>
      </c>
      <c r="FI46" s="12"/>
      <c r="FJ46" s="14">
        <v>45932</v>
      </c>
      <c r="FK46" s="14">
        <f t="shared" si="210"/>
        <v>46662</v>
      </c>
      <c r="FL46" s="65">
        <f t="shared" ca="1" si="64"/>
        <v>531</v>
      </c>
      <c r="FM46" s="15" t="str">
        <f t="shared" ca="1" si="65"/>
        <v>VIGENTE</v>
      </c>
      <c r="FN46" s="13"/>
      <c r="FO46" s="14">
        <v>45933</v>
      </c>
      <c r="FP46" s="14">
        <f>DATE(YEAR(FO46)+2,MONTH(FO46),DAY(FO46))</f>
        <v>46663</v>
      </c>
      <c r="FQ46" s="65">
        <f t="shared" ca="1" si="67"/>
        <v>532</v>
      </c>
      <c r="FR46" s="15" t="str">
        <f t="shared" ca="1" si="68"/>
        <v>VIGENTE</v>
      </c>
      <c r="FS46" s="13">
        <v>45304</v>
      </c>
      <c r="FT46" s="14">
        <v>46013</v>
      </c>
      <c r="FU46" s="14">
        <f>DATE(YEAR(FT46)+2,MONTH(FT46),DAY(FT46))</f>
        <v>46743</v>
      </c>
      <c r="FV46" s="65">
        <f t="shared" ca="1" si="69"/>
        <v>612</v>
      </c>
      <c r="FW46" s="15" t="str">
        <f t="shared" ca="1" si="70"/>
        <v>VIGENTE</v>
      </c>
      <c r="FX46" s="13">
        <v>45281</v>
      </c>
      <c r="FY46" s="14">
        <v>45961</v>
      </c>
      <c r="FZ46" s="14">
        <f>DATE(YEAR(FY46)+2,MONTH(FY46),DAY(FY46))</f>
        <v>46691</v>
      </c>
      <c r="GA46" s="65">
        <f t="shared" ca="1" si="71"/>
        <v>560</v>
      </c>
      <c r="GB46" s="15" t="str">
        <f t="shared" ca="1" si="72"/>
        <v>VIGENTE</v>
      </c>
      <c r="GC46" s="13"/>
      <c r="GD46" s="14">
        <v>45925</v>
      </c>
      <c r="GE46" s="14">
        <f>DATE(YEAR(GD46)+2,MONTH(GD46),DAY(GD46))</f>
        <v>46655</v>
      </c>
      <c r="GF46" s="65">
        <f t="shared" ca="1" si="73"/>
        <v>524</v>
      </c>
      <c r="GG46" s="15" t="str">
        <f t="shared" ca="1" si="74"/>
        <v>VIGENTE</v>
      </c>
      <c r="GH46" s="13">
        <v>45332</v>
      </c>
      <c r="GI46" s="14">
        <v>45985</v>
      </c>
      <c r="GJ46" s="14">
        <f>DATE(YEAR(GI46)+2,MONTH(GI46),DAY(GI46))</f>
        <v>46715</v>
      </c>
      <c r="GK46" s="65">
        <f t="shared" ca="1" si="75"/>
        <v>584</v>
      </c>
      <c r="GL46" s="15" t="str">
        <f t="shared" ca="1" si="76"/>
        <v>VIGENTE</v>
      </c>
      <c r="GM46" s="13">
        <v>45275</v>
      </c>
      <c r="GN46" s="14">
        <v>45958</v>
      </c>
      <c r="GO46" s="14">
        <f t="shared" si="211"/>
        <v>46688</v>
      </c>
      <c r="GP46" s="65">
        <f t="shared" ca="1" si="77"/>
        <v>557</v>
      </c>
      <c r="GQ46" s="15" t="str">
        <f t="shared" ca="1" si="78"/>
        <v>VIGENTE</v>
      </c>
      <c r="GR46" s="14"/>
      <c r="GS46" s="14">
        <v>45181</v>
      </c>
      <c r="GT46" s="14">
        <f t="shared" si="79"/>
        <v>47008</v>
      </c>
      <c r="GU46" s="65">
        <f t="shared" ca="1" si="172"/>
        <v>877</v>
      </c>
      <c r="GV46" s="15" t="str">
        <f t="shared" ca="1" si="81"/>
        <v>VIGENTE</v>
      </c>
      <c r="GW46" s="13"/>
      <c r="GX46" s="14">
        <v>45329</v>
      </c>
      <c r="GY46" s="14">
        <f t="shared" si="82"/>
        <v>47156</v>
      </c>
      <c r="GZ46" s="65">
        <f t="shared" ca="1" si="83"/>
        <v>1025</v>
      </c>
      <c r="HA46" s="15" t="str">
        <f t="shared" ca="1" si="84"/>
        <v>VIGENTE</v>
      </c>
      <c r="HB46" s="12"/>
      <c r="HC46" s="14">
        <v>45258</v>
      </c>
      <c r="HD46" s="14">
        <f t="shared" si="85"/>
        <v>47085</v>
      </c>
      <c r="HE46" s="65">
        <f t="shared" ca="1" si="86"/>
        <v>954</v>
      </c>
      <c r="HF46" s="15" t="str">
        <f t="shared" ca="1" si="87"/>
        <v>VIGENTE</v>
      </c>
      <c r="HG46" s="16"/>
      <c r="HH46" s="16"/>
      <c r="HI46" s="14"/>
      <c r="HJ46" s="65"/>
      <c r="HK46" s="15" t="str">
        <f t="shared" si="217"/>
        <v>NO APLICA</v>
      </c>
      <c r="HL46" s="12"/>
      <c r="HM46" s="16"/>
      <c r="HN46" s="14"/>
      <c r="HO46" s="65"/>
      <c r="HP46" s="15" t="str">
        <f t="shared" si="196"/>
        <v>NO APLICA</v>
      </c>
      <c r="HQ46" s="12"/>
      <c r="HR46" s="12"/>
      <c r="HS46" s="14"/>
      <c r="HT46" s="12"/>
      <c r="HU46" s="15" t="str">
        <f t="shared" si="92"/>
        <v>NO APLICA</v>
      </c>
      <c r="HV46" s="12"/>
      <c r="HW46" s="16"/>
      <c r="HX46" s="14"/>
      <c r="HY46" s="65"/>
      <c r="HZ46" s="15" t="str">
        <f t="shared" si="93"/>
        <v>NO APLICA</v>
      </c>
      <c r="IA46" s="12"/>
      <c r="IB46" s="16"/>
      <c r="IC46" s="14"/>
      <c r="ID46" s="65"/>
      <c r="IE46" s="15" t="str">
        <f t="shared" si="94"/>
        <v>NO APLICA</v>
      </c>
      <c r="IF46" s="12"/>
      <c r="IG46" s="16"/>
      <c r="IH46" s="14"/>
      <c r="II46" s="65"/>
      <c r="IJ46" s="15" t="str">
        <f t="shared" si="95"/>
        <v>NO APLICA</v>
      </c>
      <c r="IK46" s="16"/>
      <c r="IL46" s="16"/>
      <c r="IM46" s="14"/>
      <c r="IN46" s="65"/>
      <c r="IO46" s="15" t="str">
        <f t="shared" si="96"/>
        <v>NO APLICA</v>
      </c>
      <c r="IP46" s="12"/>
      <c r="IQ46" s="16"/>
      <c r="IR46" s="14"/>
      <c r="IS46" s="65"/>
      <c r="IT46" s="15" t="str">
        <f t="shared" si="97"/>
        <v>NO APLICA</v>
      </c>
      <c r="IU46" s="12"/>
      <c r="IV46" s="16"/>
      <c r="IW46" s="14"/>
      <c r="IX46" s="65"/>
      <c r="IY46" s="15" t="str">
        <f t="shared" si="98"/>
        <v>NO APLICA</v>
      </c>
      <c r="IZ46" s="12"/>
      <c r="JA46" s="16"/>
      <c r="JB46" s="14"/>
      <c r="JC46" s="65"/>
      <c r="JD46" s="15" t="str">
        <f t="shared" si="99"/>
        <v>NO APLICA</v>
      </c>
      <c r="JE46" s="13"/>
      <c r="JF46" s="13"/>
      <c r="JG46" s="14"/>
      <c r="JH46" s="65"/>
      <c r="JI46" s="15" t="str">
        <f t="shared" si="100"/>
        <v>NO APLICA</v>
      </c>
      <c r="JJ46" s="16"/>
      <c r="JK46" s="16"/>
      <c r="JL46" s="16"/>
      <c r="JM46" s="15" t="str">
        <f t="shared" si="101"/>
        <v>NO APLICA</v>
      </c>
      <c r="JN46" s="16"/>
      <c r="JO46" s="16"/>
      <c r="JP46" s="16"/>
      <c r="JQ46" s="15" t="str">
        <f t="shared" si="102"/>
        <v>NO APLICA</v>
      </c>
      <c r="JR46" s="16"/>
      <c r="JS46" s="16"/>
      <c r="JT46" s="16"/>
      <c r="JU46" s="16"/>
      <c r="JV46" s="15" t="str">
        <f t="shared" si="103"/>
        <v>NO APLICA</v>
      </c>
      <c r="JW46" s="15"/>
      <c r="JX46" s="15"/>
      <c r="JY46" s="15"/>
      <c r="JZ46" s="15"/>
      <c r="KA46" s="15" t="str">
        <f t="shared" si="104"/>
        <v>NO APLICA</v>
      </c>
      <c r="KB46" s="12"/>
      <c r="KC46" s="14"/>
      <c r="KD46" s="65"/>
      <c r="KE46" s="15" t="str">
        <f t="shared" si="105"/>
        <v>NO APLICA</v>
      </c>
      <c r="KF46" s="12"/>
      <c r="KG46" s="14"/>
      <c r="KH46" s="65"/>
      <c r="KI46" s="15" t="str">
        <f t="shared" si="132"/>
        <v>NO APLICA</v>
      </c>
      <c r="KJ46" s="12"/>
      <c r="KK46" s="14"/>
      <c r="KL46" s="65"/>
      <c r="KM46" s="15" t="str">
        <f t="shared" si="106"/>
        <v>NO APLICA</v>
      </c>
      <c r="KN46" s="12"/>
      <c r="KO46" s="14"/>
      <c r="KP46" s="65"/>
      <c r="KQ46" s="15" t="str">
        <f t="shared" si="133"/>
        <v>NO APLICA</v>
      </c>
      <c r="KR46" s="12"/>
      <c r="KS46" s="16"/>
      <c r="KT46" s="14"/>
      <c r="KU46" s="65"/>
      <c r="KV46" s="15" t="str">
        <f t="shared" si="147"/>
        <v>NO APLICA</v>
      </c>
      <c r="KW46" s="16"/>
      <c r="KX46" s="14"/>
      <c r="KY46" s="65"/>
      <c r="KZ46" s="15" t="str">
        <f t="shared" si="134"/>
        <v>NO APLICA</v>
      </c>
      <c r="LA46" s="16"/>
      <c r="LB46" s="16"/>
      <c r="LC46" s="14"/>
      <c r="LD46" s="65"/>
      <c r="LE46" s="15" t="str">
        <f t="shared" si="107"/>
        <v>NO APLICA</v>
      </c>
      <c r="LF46" s="15"/>
      <c r="LG46" s="15"/>
      <c r="LH46" s="14"/>
      <c r="LI46" s="65"/>
      <c r="LJ46" s="15" t="str">
        <f t="shared" si="148"/>
        <v>NO APLICA</v>
      </c>
      <c r="LK46" s="12"/>
      <c r="LL46" s="16"/>
      <c r="LM46" s="14"/>
      <c r="LN46" s="65"/>
      <c r="LO46" s="15" t="str">
        <f t="shared" si="135"/>
        <v>NO APLICA</v>
      </c>
      <c r="LP46" s="16"/>
      <c r="LQ46" s="16"/>
      <c r="LR46" s="14"/>
      <c r="LS46" s="65"/>
      <c r="LT46" s="15" t="str">
        <f t="shared" si="136"/>
        <v>NO APLICA</v>
      </c>
      <c r="LU46" s="16"/>
      <c r="LV46" s="16"/>
      <c r="LW46" s="14"/>
      <c r="LX46" s="65"/>
      <c r="LY46" s="15" t="str">
        <f t="shared" si="137"/>
        <v>NO APLICA</v>
      </c>
      <c r="LZ46" s="12"/>
      <c r="MA46" s="12"/>
      <c r="MB46" s="14"/>
      <c r="MC46" s="65"/>
      <c r="MD46" s="15" t="str">
        <f t="shared" si="108"/>
        <v>NO APLICA</v>
      </c>
      <c r="ME46" s="12"/>
      <c r="MF46" s="12"/>
      <c r="MG46" s="14"/>
      <c r="MH46" s="65"/>
      <c r="MI46" s="15" t="str">
        <f t="shared" si="109"/>
        <v>NO APLICA</v>
      </c>
      <c r="MJ46" s="12"/>
      <c r="MK46" s="14"/>
      <c r="ML46" s="65"/>
      <c r="MM46" s="15" t="str">
        <f t="shared" si="110"/>
        <v>NO APLICA</v>
      </c>
      <c r="MN46" s="12"/>
      <c r="MO46" s="14"/>
      <c r="MP46" s="12"/>
      <c r="MQ46" s="15" t="str">
        <f t="shared" si="111"/>
        <v>NO APLICA</v>
      </c>
      <c r="MR46" s="12"/>
      <c r="MS46" s="16"/>
      <c r="MT46" s="14"/>
      <c r="MU46" s="65"/>
      <c r="MV46" s="15" t="str">
        <f t="shared" si="112"/>
        <v>NO APLICA</v>
      </c>
      <c r="MW46" s="12"/>
      <c r="MX46" s="16"/>
      <c r="MY46" s="14"/>
      <c r="MZ46" s="65"/>
      <c r="NA46" s="15" t="str">
        <f t="shared" si="113"/>
        <v>NO APLICA</v>
      </c>
      <c r="NB46" s="12"/>
      <c r="NC46" s="16"/>
      <c r="ND46" s="14"/>
      <c r="NE46" s="65"/>
      <c r="NF46" s="15" t="str">
        <f t="shared" si="114"/>
        <v>NO APLICA</v>
      </c>
      <c r="NG46" s="12"/>
      <c r="NH46" s="12"/>
      <c r="NI46" s="14"/>
      <c r="NJ46" s="65"/>
      <c r="NK46" s="15" t="str">
        <f t="shared" si="115"/>
        <v>NO APLICA</v>
      </c>
      <c r="NL46" s="12"/>
      <c r="NM46" s="12"/>
      <c r="NN46" s="14"/>
      <c r="NO46" s="12"/>
      <c r="NP46" s="15" t="str">
        <f t="shared" si="116"/>
        <v>NO APLICA</v>
      </c>
      <c r="NQ46" s="16"/>
      <c r="NR46" s="16"/>
      <c r="NS46" s="14"/>
      <c r="NT46" s="65"/>
      <c r="NU46" s="15" t="str">
        <f t="shared" si="117"/>
        <v>NO APLICA</v>
      </c>
      <c r="NV46" s="16"/>
      <c r="NW46" s="16"/>
      <c r="NX46" s="16"/>
      <c r="NY46" s="16"/>
      <c r="NZ46" s="15" t="str">
        <f t="shared" si="118"/>
        <v>NO APLICA</v>
      </c>
    </row>
    <row r="47" spans="1:390" ht="15.6" thickTop="1" thickBot="1" x14ac:dyDescent="0.35">
      <c r="A47" s="9">
        <v>1069</v>
      </c>
      <c r="B47" s="10" t="s">
        <v>252</v>
      </c>
      <c r="C47" s="21" t="s">
        <v>104</v>
      </c>
      <c r="D47" s="64" t="s">
        <v>168</v>
      </c>
      <c r="E47" s="15"/>
      <c r="F47" s="16"/>
      <c r="G47" s="14"/>
      <c r="H47" s="65"/>
      <c r="I47" s="15" t="str">
        <f t="shared" si="0"/>
        <v>NO APLICA</v>
      </c>
      <c r="J47" s="15"/>
      <c r="K47" s="16"/>
      <c r="L47" s="16"/>
      <c r="M47" s="65"/>
      <c r="N47" s="15" t="str">
        <f t="shared" si="1"/>
        <v>NO APLICA</v>
      </c>
      <c r="O47" s="16"/>
      <c r="P47" s="16"/>
      <c r="Q47" s="14"/>
      <c r="R47" s="65"/>
      <c r="S47" s="15" t="str">
        <f t="shared" si="119"/>
        <v>NO APLICA</v>
      </c>
      <c r="T47" s="12" t="s">
        <v>253</v>
      </c>
      <c r="U47" s="13">
        <v>45336</v>
      </c>
      <c r="V47" s="14">
        <v>45337</v>
      </c>
      <c r="W47" s="14">
        <f t="shared" si="2"/>
        <v>47164</v>
      </c>
      <c r="X47" s="65">
        <f t="shared" ca="1" si="3"/>
        <v>1033</v>
      </c>
      <c r="Y47" s="15" t="str">
        <f t="shared" ca="1" si="4"/>
        <v>VIGENTE</v>
      </c>
      <c r="Z47" s="12" t="s">
        <v>254</v>
      </c>
      <c r="AA47" s="13">
        <v>44823</v>
      </c>
      <c r="AB47" s="14">
        <v>44824</v>
      </c>
      <c r="AC47" s="14">
        <f>DATE(YEAR(AB47)+5,MONTH(AB47),DAY(AB47))</f>
        <v>46650</v>
      </c>
      <c r="AD47" s="65">
        <f ca="1">AC47-TODAY()</f>
        <v>519</v>
      </c>
      <c r="AE47" s="15" t="str">
        <f t="shared" ca="1" si="7"/>
        <v>VIGENTE</v>
      </c>
      <c r="AF47" s="13">
        <v>44928</v>
      </c>
      <c r="AG47" s="14">
        <v>45589</v>
      </c>
      <c r="AH47" s="14">
        <f>DATE(YEAR(AG47)+2,MONTH(AG47),DAY(AG47)-1)</f>
        <v>46318</v>
      </c>
      <c r="AI47" s="65">
        <f t="shared" ca="1" si="8"/>
        <v>187</v>
      </c>
      <c r="AJ47" s="15" t="str">
        <f t="shared" ca="1" si="213"/>
        <v>VIGENTE</v>
      </c>
      <c r="AK47" s="13">
        <v>45215</v>
      </c>
      <c r="AL47" s="14">
        <v>45903</v>
      </c>
      <c r="AM47" s="14">
        <f>DATE(YEAR(AL47)+2,MONTH(AL47),DAY(AL47))</f>
        <v>46633</v>
      </c>
      <c r="AN47" s="65">
        <f t="shared" ca="1" si="10"/>
        <v>502</v>
      </c>
      <c r="AO47" s="15" t="str">
        <f t="shared" ca="1" si="11"/>
        <v>VIGENTE</v>
      </c>
      <c r="AP47" s="13">
        <v>45357</v>
      </c>
      <c r="AQ47" s="14">
        <v>45989</v>
      </c>
      <c r="AR47" s="14">
        <f t="shared" si="214"/>
        <v>46719</v>
      </c>
      <c r="AS47" s="65">
        <f t="shared" ca="1" si="12"/>
        <v>588</v>
      </c>
      <c r="AT47" s="15" t="str">
        <f t="shared" ca="1" si="13"/>
        <v>VIGENTE</v>
      </c>
      <c r="AU47" s="13">
        <v>45323</v>
      </c>
      <c r="AV47" s="14">
        <v>45972</v>
      </c>
      <c r="AW47" s="14">
        <f t="shared" si="215"/>
        <v>46702</v>
      </c>
      <c r="AX47" s="65">
        <f t="shared" ca="1" si="15"/>
        <v>571</v>
      </c>
      <c r="AY47" s="15" t="str">
        <f t="shared" ca="1" si="16"/>
        <v>VIGENTE</v>
      </c>
      <c r="AZ47" s="13">
        <v>45075</v>
      </c>
      <c r="BA47" s="14">
        <v>45717</v>
      </c>
      <c r="BB47" s="14">
        <f>DATE(YEAR(BA47)+2,MONTH(BA47),DAY(BA47)-1)</f>
        <v>46446</v>
      </c>
      <c r="BC47" s="65">
        <f t="shared" ca="1" si="17"/>
        <v>315</v>
      </c>
      <c r="BD47" s="15" t="str">
        <f t="shared" ca="1" si="18"/>
        <v>VIGENTE</v>
      </c>
      <c r="BE47" s="13">
        <v>45302</v>
      </c>
      <c r="BF47" s="14">
        <v>45968</v>
      </c>
      <c r="BG47" s="14">
        <f t="shared" si="216"/>
        <v>46698</v>
      </c>
      <c r="BH47" s="65">
        <f t="shared" ca="1" si="19"/>
        <v>567</v>
      </c>
      <c r="BI47" s="15" t="str">
        <f t="shared" ca="1" si="20"/>
        <v>VIGENTE</v>
      </c>
      <c r="BJ47" s="13">
        <v>45372</v>
      </c>
      <c r="BK47" s="14">
        <v>46035</v>
      </c>
      <c r="BL47" s="14">
        <f>DATE(YEAR(BK47)+2,MONTH(BK47),DAY(BK47))</f>
        <v>46765</v>
      </c>
      <c r="BM47" s="65">
        <f t="shared" ca="1" si="21"/>
        <v>634</v>
      </c>
      <c r="BN47" s="15" t="str">
        <f t="shared" ca="1" si="22"/>
        <v>VIGENTE</v>
      </c>
      <c r="BO47" s="13">
        <v>44743</v>
      </c>
      <c r="BP47" s="14">
        <v>46050</v>
      </c>
      <c r="BQ47" s="14">
        <f>DATE(YEAR(BP47)+2,MONTH(BP47),DAY(BP47))</f>
        <v>46780</v>
      </c>
      <c r="BR47" s="65">
        <f t="shared" ca="1" si="23"/>
        <v>649</v>
      </c>
      <c r="BS47" s="15" t="str">
        <f t="shared" ca="1" si="24"/>
        <v>VIGENTE</v>
      </c>
      <c r="BT47" s="13">
        <v>45086</v>
      </c>
      <c r="BU47" s="14">
        <v>45736</v>
      </c>
      <c r="BV47" s="14">
        <f>DATE(YEAR(BU47)+2,MONTH(BU47),DAY(BU47)-1)</f>
        <v>46465</v>
      </c>
      <c r="BW47" s="65">
        <f t="shared" ca="1" si="25"/>
        <v>334</v>
      </c>
      <c r="BX47" s="15" t="str">
        <f t="shared" ca="1" si="26"/>
        <v>VIGENTE</v>
      </c>
      <c r="BY47" s="13">
        <v>44634</v>
      </c>
      <c r="BZ47" s="14">
        <v>45944</v>
      </c>
      <c r="CA47" s="14">
        <f>DATE(YEAR(BZ47)+2,MONTH(BZ47),DAY(BZ47))</f>
        <v>46674</v>
      </c>
      <c r="CB47" s="65">
        <f t="shared" ca="1" si="27"/>
        <v>543</v>
      </c>
      <c r="CC47" s="15" t="str">
        <f t="shared" ca="1" si="28"/>
        <v>VIGENTE</v>
      </c>
      <c r="CD47" s="16" t="s">
        <v>108</v>
      </c>
      <c r="CE47" s="14">
        <v>45281</v>
      </c>
      <c r="CF47" s="14">
        <v>45282</v>
      </c>
      <c r="CG47" s="14">
        <f t="shared" si="29"/>
        <v>46743</v>
      </c>
      <c r="CH47" s="65">
        <f t="shared" ca="1" si="30"/>
        <v>612</v>
      </c>
      <c r="CI47" s="15" t="str">
        <f t="shared" ca="1" si="31"/>
        <v>VIGENTE</v>
      </c>
      <c r="CJ47" s="14">
        <v>45085</v>
      </c>
      <c r="CK47" s="14">
        <v>45723</v>
      </c>
      <c r="CL47" s="14">
        <f t="shared" ref="CL47:CL52" si="219">DATE(YEAR(CK47)+2,MONTH(CK47),DAY(CK47)-1)</f>
        <v>46452</v>
      </c>
      <c r="CM47" s="65">
        <f t="shared" ca="1" si="32"/>
        <v>321</v>
      </c>
      <c r="CN47" s="15" t="str">
        <f t="shared" ca="1" si="33"/>
        <v>VIGENTE</v>
      </c>
      <c r="CO47" s="13">
        <v>44900</v>
      </c>
      <c r="CP47" s="14">
        <v>45517</v>
      </c>
      <c r="CQ47" s="14">
        <f>DATE(YEAR(CP47)+2,MONTH(CP47),DAY(CP47)-1)</f>
        <v>46246</v>
      </c>
      <c r="CR47" s="65">
        <f t="shared" ca="1" si="34"/>
        <v>115</v>
      </c>
      <c r="CS47" s="15" t="str">
        <f t="shared" ca="1" si="35"/>
        <v>VIGENTE</v>
      </c>
      <c r="CT47" s="13">
        <v>44967</v>
      </c>
      <c r="CU47" s="14">
        <v>45639</v>
      </c>
      <c r="CV47" s="14">
        <f>DATE(YEAR(CU47)+2,MONTH(CU47),DAY(CU47)-1)</f>
        <v>46368</v>
      </c>
      <c r="CW47" s="65">
        <f t="shared" ca="1" si="36"/>
        <v>237</v>
      </c>
      <c r="CX47" s="15" t="str">
        <f t="shared" ca="1" si="37"/>
        <v>VIGENTE</v>
      </c>
      <c r="CY47" s="13">
        <v>44695</v>
      </c>
      <c r="CZ47" s="14">
        <v>46000</v>
      </c>
      <c r="DA47" s="14">
        <f>DATE(YEAR(CZ47)+2,MONTH(CZ47),DAY(CZ47))</f>
        <v>46730</v>
      </c>
      <c r="DB47" s="65">
        <f t="shared" ca="1" si="38"/>
        <v>599</v>
      </c>
      <c r="DC47" s="15" t="str">
        <f t="shared" ca="1" si="39"/>
        <v>VIGENTE</v>
      </c>
      <c r="DD47" s="13">
        <v>45079</v>
      </c>
      <c r="DE47" s="14">
        <v>45761</v>
      </c>
      <c r="DF47" s="14">
        <f>DATE(YEAR(DE47)+2,MONTH(DE47),DAY(DE47))</f>
        <v>46491</v>
      </c>
      <c r="DG47" s="65">
        <f t="shared" ca="1" si="40"/>
        <v>360</v>
      </c>
      <c r="DH47" s="15" t="str">
        <f t="shared" ca="1" si="41"/>
        <v>VIGENTE</v>
      </c>
      <c r="DI47" s="13">
        <v>45296</v>
      </c>
      <c r="DJ47" s="14">
        <v>45955</v>
      </c>
      <c r="DK47" s="14">
        <f t="shared" si="218"/>
        <v>46685</v>
      </c>
      <c r="DL47" s="65">
        <f t="shared" ca="1" si="43"/>
        <v>554</v>
      </c>
      <c r="DM47" s="15" t="str">
        <f t="shared" ca="1" si="44"/>
        <v>VIGENTE</v>
      </c>
      <c r="DN47" s="13">
        <v>45054</v>
      </c>
      <c r="DO47" s="14">
        <v>45731</v>
      </c>
      <c r="DP47" s="14">
        <f>DATE(YEAR(DO47)+2,MONTH(DO47),DAY(DO47)-1)</f>
        <v>46460</v>
      </c>
      <c r="DQ47" s="65">
        <f t="shared" ca="1" si="46"/>
        <v>329</v>
      </c>
      <c r="DR47" s="15" t="str">
        <f t="shared" ca="1" si="47"/>
        <v>VIGENTE</v>
      </c>
      <c r="DS47" s="13">
        <v>45066</v>
      </c>
      <c r="DT47" s="14">
        <v>45685</v>
      </c>
      <c r="DU47" s="14">
        <f>DATE(YEAR(DT47)+2,MONTH(DT47),DAY(DT47)-1)</f>
        <v>46414</v>
      </c>
      <c r="DV47" s="65">
        <f t="shared" ca="1" si="48"/>
        <v>283</v>
      </c>
      <c r="DW47" s="15" t="str">
        <f t="shared" ca="1" si="49"/>
        <v>VIGENTE</v>
      </c>
      <c r="DX47" s="13">
        <v>45089</v>
      </c>
      <c r="DY47" s="14">
        <v>45751</v>
      </c>
      <c r="DZ47" s="14">
        <f>DATE(YEAR(DY47)+2,MONTH(DY47),DAY(DY47)-1)</f>
        <v>46480</v>
      </c>
      <c r="EA47" s="65">
        <f t="shared" ca="1" si="50"/>
        <v>349</v>
      </c>
      <c r="EB47" s="15" t="str">
        <f t="shared" ca="1" si="51"/>
        <v>VIGENTE</v>
      </c>
      <c r="EC47" s="13">
        <v>45090</v>
      </c>
      <c r="ED47" s="14">
        <v>45768</v>
      </c>
      <c r="EE47" s="14">
        <f>DATE(YEAR(ED47)+2,MONTH(ED47),DAY(ED47))</f>
        <v>46498</v>
      </c>
      <c r="EF47" s="65">
        <f t="shared" ca="1" si="52"/>
        <v>367</v>
      </c>
      <c r="EG47" s="15" t="str">
        <f t="shared" ca="1" si="53"/>
        <v>VIGENTE</v>
      </c>
      <c r="EH47" s="14">
        <v>45083</v>
      </c>
      <c r="EI47" s="13">
        <v>45946</v>
      </c>
      <c r="EJ47" s="13">
        <v>45947</v>
      </c>
      <c r="EK47" s="14">
        <v>45948</v>
      </c>
      <c r="EL47" s="14">
        <f t="shared" si="128"/>
        <v>46313</v>
      </c>
      <c r="EM47" s="65">
        <f t="shared" ca="1" si="54"/>
        <v>182</v>
      </c>
      <c r="EN47" s="15" t="str">
        <f t="shared" ca="1" si="55"/>
        <v>VIGENTE</v>
      </c>
      <c r="EO47" s="13">
        <v>45092</v>
      </c>
      <c r="EP47" s="14">
        <v>45737</v>
      </c>
      <c r="EQ47" s="14">
        <f>DATE(YEAR(EP47)+2,MONTH(EP47),DAY(EP47)-1)</f>
        <v>46466</v>
      </c>
      <c r="ER47" s="65">
        <f t="shared" ca="1" si="56"/>
        <v>335</v>
      </c>
      <c r="ES47" s="15" t="str">
        <f t="shared" ca="1" si="57"/>
        <v>VIGENTE</v>
      </c>
      <c r="ET47" s="13">
        <v>45096</v>
      </c>
      <c r="EU47" s="14">
        <v>45755</v>
      </c>
      <c r="EV47" s="14">
        <f>DATE(YEAR(EU47)+2,MONTH(EU47),DAY(EU47)-1)</f>
        <v>46484</v>
      </c>
      <c r="EW47" s="65">
        <f t="shared" ca="1" si="58"/>
        <v>353</v>
      </c>
      <c r="EX47" s="15" t="str">
        <f t="shared" ca="1" si="59"/>
        <v>VIGENTE</v>
      </c>
      <c r="EY47" s="13">
        <v>44636</v>
      </c>
      <c r="EZ47" s="14">
        <v>45953</v>
      </c>
      <c r="FA47" s="14">
        <f t="shared" si="208"/>
        <v>46683</v>
      </c>
      <c r="FB47" s="65">
        <f t="shared" ca="1" si="60"/>
        <v>552</v>
      </c>
      <c r="FC47" s="15" t="str">
        <f t="shared" ca="1" si="61"/>
        <v>VIGENTE</v>
      </c>
      <c r="FD47" s="13">
        <v>45223</v>
      </c>
      <c r="FE47" s="14">
        <v>45922</v>
      </c>
      <c r="FF47" s="14">
        <f t="shared" si="209"/>
        <v>46652</v>
      </c>
      <c r="FG47" s="65">
        <f t="shared" ca="1" si="62"/>
        <v>521</v>
      </c>
      <c r="FH47" s="15" t="str">
        <f t="shared" ca="1" si="63"/>
        <v>VIGENTE</v>
      </c>
      <c r="FI47" s="13">
        <v>37282</v>
      </c>
      <c r="FJ47" s="14">
        <v>45969</v>
      </c>
      <c r="FK47" s="14">
        <f t="shared" si="210"/>
        <v>46699</v>
      </c>
      <c r="FL47" s="65">
        <f t="shared" ca="1" si="64"/>
        <v>568</v>
      </c>
      <c r="FM47" s="15" t="str">
        <f t="shared" ca="1" si="65"/>
        <v>VIGENTE</v>
      </c>
      <c r="FN47" s="13">
        <v>45084</v>
      </c>
      <c r="FO47" s="14">
        <v>45738</v>
      </c>
      <c r="FP47" s="14">
        <f>DATE(YEAR(FO47)+2,MONTH(FO47),DAY(FO47)-1)</f>
        <v>46467</v>
      </c>
      <c r="FQ47" s="65">
        <f t="shared" ca="1" si="67"/>
        <v>336</v>
      </c>
      <c r="FR47" s="15" t="str">
        <f t="shared" ca="1" si="68"/>
        <v>VIGENTE</v>
      </c>
      <c r="FS47" s="13">
        <v>45078</v>
      </c>
      <c r="FT47" s="14">
        <v>45724</v>
      </c>
      <c r="FU47" s="14">
        <f>DATE(YEAR(FT47)+2,MONTH(FT47),DAY(FT47)-1)</f>
        <v>46453</v>
      </c>
      <c r="FV47" s="65">
        <f t="shared" ca="1" si="69"/>
        <v>322</v>
      </c>
      <c r="FW47" s="15" t="str">
        <f t="shared" ca="1" si="70"/>
        <v>VIGENTE</v>
      </c>
      <c r="FX47" s="13">
        <v>44965</v>
      </c>
      <c r="FY47" s="14">
        <v>45574</v>
      </c>
      <c r="FZ47" s="14">
        <f>DATE(YEAR(FY47)+2,MONTH(FY47),DAY(FY47)-1)</f>
        <v>46303</v>
      </c>
      <c r="GA47" s="65">
        <f t="shared" ca="1" si="71"/>
        <v>172</v>
      </c>
      <c r="GB47" s="15" t="str">
        <f t="shared" ca="1" si="72"/>
        <v>VIGENTE</v>
      </c>
      <c r="GC47" s="13">
        <v>45088</v>
      </c>
      <c r="GD47" s="14">
        <v>45741</v>
      </c>
      <c r="GE47" s="14">
        <f>DATE(YEAR(GD47)+2,MONTH(GD47),DAY(GD47)-1)</f>
        <v>46470</v>
      </c>
      <c r="GF47" s="65">
        <f t="shared" ca="1" si="73"/>
        <v>339</v>
      </c>
      <c r="GG47" s="15" t="str">
        <f t="shared" ca="1" si="74"/>
        <v>VIGENTE</v>
      </c>
      <c r="GH47" s="13">
        <v>45082</v>
      </c>
      <c r="GI47" s="14">
        <v>45752</v>
      </c>
      <c r="GJ47" s="14">
        <f>DATE(YEAR(GI47)+2,MONTH(GI47),DAY(GI47)-1)</f>
        <v>46481</v>
      </c>
      <c r="GK47" s="65">
        <f t="shared" ca="1" si="75"/>
        <v>350</v>
      </c>
      <c r="GL47" s="15" t="str">
        <f t="shared" ca="1" si="76"/>
        <v>VIGENTE</v>
      </c>
      <c r="GM47" s="13">
        <v>45242</v>
      </c>
      <c r="GN47" s="14">
        <v>45923</v>
      </c>
      <c r="GO47" s="14">
        <f t="shared" si="211"/>
        <v>46653</v>
      </c>
      <c r="GP47" s="65">
        <f t="shared" ca="1" si="77"/>
        <v>522</v>
      </c>
      <c r="GQ47" s="15" t="str">
        <f t="shared" ca="1" si="78"/>
        <v>VIGENTE</v>
      </c>
      <c r="GR47" s="14">
        <v>44571</v>
      </c>
      <c r="GS47" s="14">
        <v>45224</v>
      </c>
      <c r="GT47" s="14">
        <f t="shared" si="79"/>
        <v>47051</v>
      </c>
      <c r="GU47" s="65">
        <f t="shared" ca="1" si="172"/>
        <v>920</v>
      </c>
      <c r="GV47" s="15" t="str">
        <f t="shared" ca="1" si="81"/>
        <v>VIGENTE</v>
      </c>
      <c r="GW47" s="13">
        <v>44573</v>
      </c>
      <c r="GX47" s="14">
        <v>45277</v>
      </c>
      <c r="GY47" s="14">
        <f t="shared" si="82"/>
        <v>47104</v>
      </c>
      <c r="GZ47" s="65">
        <f t="shared" ca="1" si="83"/>
        <v>973</v>
      </c>
      <c r="HA47" s="15" t="str">
        <f t="shared" ca="1" si="84"/>
        <v>VIGENTE</v>
      </c>
      <c r="HB47" s="13">
        <v>44565</v>
      </c>
      <c r="HC47" s="14">
        <v>45268</v>
      </c>
      <c r="HD47" s="14">
        <f t="shared" si="85"/>
        <v>47095</v>
      </c>
      <c r="HE47" s="65">
        <f t="shared" ca="1" si="86"/>
        <v>964</v>
      </c>
      <c r="HF47" s="15" t="str">
        <f t="shared" ca="1" si="87"/>
        <v>VIGENTE</v>
      </c>
      <c r="HG47" s="16"/>
      <c r="HH47" s="14">
        <v>44921</v>
      </c>
      <c r="HI47" s="14">
        <f>DATE(YEAR(HH47)+5,MONTH(HH47),DAY(HH47))</f>
        <v>46747</v>
      </c>
      <c r="HJ47" s="65">
        <f ca="1">HI47-TODAY()</f>
        <v>616</v>
      </c>
      <c r="HK47" s="15" t="str">
        <f t="shared" ca="1" si="217"/>
        <v>VIGENTE</v>
      </c>
      <c r="HL47" s="12"/>
      <c r="HM47" s="16"/>
      <c r="HN47" s="14"/>
      <c r="HO47" s="65"/>
      <c r="HP47" s="15" t="str">
        <f t="shared" si="196"/>
        <v>NO APLICA</v>
      </c>
      <c r="HQ47" s="12"/>
      <c r="HR47" s="12"/>
      <c r="HS47" s="14"/>
      <c r="HT47" s="12"/>
      <c r="HU47" s="15" t="str">
        <f t="shared" si="92"/>
        <v>NO APLICA</v>
      </c>
      <c r="HV47" s="13">
        <v>44560</v>
      </c>
      <c r="HW47" s="14">
        <v>45260</v>
      </c>
      <c r="HX47" s="14">
        <f>DATE(YEAR(HW47)+5,MONTH(HW47),DAY(HW47))</f>
        <v>47087</v>
      </c>
      <c r="HY47" s="65">
        <f ca="1">HX47-TODAY()</f>
        <v>956</v>
      </c>
      <c r="HZ47" s="15" t="str">
        <f t="shared" ca="1" si="93"/>
        <v>VIGENTE</v>
      </c>
      <c r="IA47" s="13">
        <v>44781</v>
      </c>
      <c r="IB47" s="14">
        <v>45475</v>
      </c>
      <c r="IC47" s="14">
        <f>DATE(YEAR(IB47)+5,MONTH(IB47),DAY(IB47))</f>
        <v>47301</v>
      </c>
      <c r="ID47" s="65">
        <f ca="1">IC47-TODAY()</f>
        <v>1170</v>
      </c>
      <c r="IE47" s="15" t="str">
        <f t="shared" ca="1" si="94"/>
        <v>VIGENTE</v>
      </c>
      <c r="IF47" s="13">
        <v>44558</v>
      </c>
      <c r="IG47" s="14">
        <v>45230</v>
      </c>
      <c r="IH47" s="14">
        <f>DATE(YEAR(IG47)+5,MONTH(IG47),DAY(IG47))</f>
        <v>47057</v>
      </c>
      <c r="II47" s="65">
        <f ca="1">IH47-TODAY()</f>
        <v>926</v>
      </c>
      <c r="IJ47" s="15" t="str">
        <f t="shared" ca="1" si="95"/>
        <v>VIGENTE</v>
      </c>
      <c r="IK47" s="14">
        <v>44568</v>
      </c>
      <c r="IL47" s="14">
        <v>45225</v>
      </c>
      <c r="IM47" s="14">
        <f>DATE(YEAR(IL47)+5,MONTH(IL47),DAY(IL47))</f>
        <v>47052</v>
      </c>
      <c r="IN47" s="65">
        <f ca="1">IM47-TODAY()</f>
        <v>921</v>
      </c>
      <c r="IO47" s="15" t="str">
        <f t="shared" ca="1" si="96"/>
        <v>VIGENTE</v>
      </c>
      <c r="IP47" s="13">
        <v>44568</v>
      </c>
      <c r="IQ47" s="14">
        <v>45259</v>
      </c>
      <c r="IR47" s="14">
        <f>DATE(YEAR(IQ47)+5,MONTH(IQ47),DAY(IQ47))</f>
        <v>47086</v>
      </c>
      <c r="IS47" s="65">
        <f ca="1">IR47-TODAY()</f>
        <v>955</v>
      </c>
      <c r="IT47" s="15" t="str">
        <f t="shared" ca="1" si="97"/>
        <v>VIGENTE</v>
      </c>
      <c r="IU47" s="13">
        <v>44567</v>
      </c>
      <c r="IV47" s="14">
        <v>45240</v>
      </c>
      <c r="IW47" s="14">
        <f>DATE(YEAR(IV47)+5,MONTH(IV47),DAY(IV47))</f>
        <v>47067</v>
      </c>
      <c r="IX47" s="65">
        <f ca="1">IW47-TODAY()</f>
        <v>936</v>
      </c>
      <c r="IY47" s="15" t="str">
        <f t="shared" ca="1" si="98"/>
        <v>VIGENTE</v>
      </c>
      <c r="IZ47" s="13">
        <v>44781</v>
      </c>
      <c r="JA47" s="14">
        <v>45446</v>
      </c>
      <c r="JB47" s="14">
        <f>DATE(YEAR(JA47)+5,MONTH(JA47),DAY(JA47))</f>
        <v>47272</v>
      </c>
      <c r="JC47" s="65">
        <f ca="1">JB47-TODAY()</f>
        <v>1141</v>
      </c>
      <c r="JD47" s="15" t="str">
        <f t="shared" ca="1" si="99"/>
        <v>VIGENTE</v>
      </c>
      <c r="JE47" s="13"/>
      <c r="JF47" s="13"/>
      <c r="JG47" s="14"/>
      <c r="JH47" s="65"/>
      <c r="JI47" s="15" t="str">
        <f t="shared" si="100"/>
        <v>NO APLICA</v>
      </c>
      <c r="JJ47" s="16"/>
      <c r="JK47" s="16"/>
      <c r="JL47" s="16"/>
      <c r="JM47" s="15" t="str">
        <f t="shared" si="101"/>
        <v>NO APLICA</v>
      </c>
      <c r="JN47" s="16"/>
      <c r="JO47" s="16"/>
      <c r="JP47" s="16"/>
      <c r="JQ47" s="15" t="str">
        <f t="shared" si="102"/>
        <v>NO APLICA</v>
      </c>
      <c r="JR47" s="16"/>
      <c r="JS47" s="16"/>
      <c r="JT47" s="16"/>
      <c r="JU47" s="16"/>
      <c r="JV47" s="15" t="str">
        <f t="shared" si="103"/>
        <v>NO APLICA</v>
      </c>
      <c r="JW47" s="15"/>
      <c r="JX47" s="15"/>
      <c r="JY47" s="15"/>
      <c r="JZ47" s="15"/>
      <c r="KA47" s="15" t="str">
        <f t="shared" si="104"/>
        <v>NO APLICA</v>
      </c>
      <c r="KB47" s="12"/>
      <c r="KC47" s="14"/>
      <c r="KD47" s="65"/>
      <c r="KE47" s="15" t="str">
        <f t="shared" si="105"/>
        <v>NO APLICA</v>
      </c>
      <c r="KF47" s="13">
        <v>45328</v>
      </c>
      <c r="KG47" s="14">
        <f>DATE(YEAR(KF47)+5,MONTH(KF47),DAY(KF47)-1)</f>
        <v>47154</v>
      </c>
      <c r="KH47" s="65">
        <f ca="1">KG47-TODAY()</f>
        <v>1023</v>
      </c>
      <c r="KI47" s="15" t="str">
        <f t="shared" ca="1" si="132"/>
        <v>VIGENTE</v>
      </c>
      <c r="KJ47" s="12"/>
      <c r="KK47" s="14"/>
      <c r="KL47" s="65"/>
      <c r="KM47" s="15" t="str">
        <f t="shared" si="106"/>
        <v>NO APLICA</v>
      </c>
      <c r="KN47" s="12"/>
      <c r="KO47" s="14"/>
      <c r="KP47" s="65"/>
      <c r="KQ47" s="15" t="str">
        <f t="shared" si="133"/>
        <v>NO APLICA</v>
      </c>
      <c r="KR47" s="13">
        <v>44650</v>
      </c>
      <c r="KS47" s="14">
        <v>44651</v>
      </c>
      <c r="KT47" s="14">
        <f>DATE(YEAR(KS47)+5,MONTH(KS47),DAY(KS47))</f>
        <v>46477</v>
      </c>
      <c r="KU47" s="65">
        <f ca="1">KT47-TODAY()</f>
        <v>346</v>
      </c>
      <c r="KV47" s="15" t="str">
        <f t="shared" ca="1" si="147"/>
        <v>VIGENTE</v>
      </c>
      <c r="KW47" s="14">
        <v>44608</v>
      </c>
      <c r="KX47" s="14">
        <f>DATE(YEAR(KW47)+5,MONTH(KW47),DAY(KW47))</f>
        <v>46434</v>
      </c>
      <c r="KY47" s="65">
        <f ca="1">KX47-TODAY()</f>
        <v>303</v>
      </c>
      <c r="KZ47" s="15" t="str">
        <f t="shared" ca="1" si="134"/>
        <v>VIGENTE</v>
      </c>
      <c r="LA47" s="16"/>
      <c r="LB47" s="16"/>
      <c r="LC47" s="14"/>
      <c r="LD47" s="65"/>
      <c r="LE47" s="15" t="str">
        <f t="shared" si="107"/>
        <v>NO APLICA</v>
      </c>
      <c r="LF47" s="15"/>
      <c r="LG47" s="15"/>
      <c r="LH47" s="15"/>
      <c r="LI47" s="15"/>
      <c r="LJ47" s="15" t="str">
        <f t="shared" si="148"/>
        <v>NO APLICA</v>
      </c>
      <c r="LK47" s="12"/>
      <c r="LL47" s="16"/>
      <c r="LM47" s="14"/>
      <c r="LN47" s="65"/>
      <c r="LO47" s="15" t="str">
        <f t="shared" si="135"/>
        <v>NO APLICA</v>
      </c>
      <c r="LP47" s="16"/>
      <c r="LQ47" s="16"/>
      <c r="LR47" s="14"/>
      <c r="LS47" s="65"/>
      <c r="LT47" s="15" t="str">
        <f t="shared" si="136"/>
        <v>NO APLICA</v>
      </c>
      <c r="LU47" s="16"/>
      <c r="LV47" s="16"/>
      <c r="LW47" s="14"/>
      <c r="LX47" s="65"/>
      <c r="LY47" s="15" t="str">
        <f t="shared" si="137"/>
        <v>NO APLICA</v>
      </c>
      <c r="LZ47" s="12"/>
      <c r="MA47" s="12"/>
      <c r="MB47" s="14"/>
      <c r="MC47" s="65"/>
      <c r="MD47" s="15" t="str">
        <f t="shared" si="108"/>
        <v>NO APLICA</v>
      </c>
      <c r="ME47" s="12"/>
      <c r="MF47" s="12"/>
      <c r="MG47" s="14"/>
      <c r="MH47" s="65"/>
      <c r="MI47" s="15" t="str">
        <f t="shared" si="109"/>
        <v>NO APLICA</v>
      </c>
      <c r="MJ47" s="12"/>
      <c r="MK47" s="14"/>
      <c r="ML47" s="65"/>
      <c r="MM47" s="15" t="str">
        <f t="shared" si="110"/>
        <v>NO APLICA</v>
      </c>
      <c r="MN47" s="12"/>
      <c r="MO47" s="14"/>
      <c r="MP47" s="12"/>
      <c r="MQ47" s="15" t="str">
        <f t="shared" si="111"/>
        <v>NO APLICA</v>
      </c>
      <c r="MR47" s="12"/>
      <c r="MS47" s="16"/>
      <c r="MT47" s="14"/>
      <c r="MU47" s="65"/>
      <c r="MV47" s="15" t="str">
        <f t="shared" si="112"/>
        <v>NO APLICA</v>
      </c>
      <c r="MW47" s="12"/>
      <c r="MX47" s="16"/>
      <c r="MY47" s="14"/>
      <c r="MZ47" s="65"/>
      <c r="NA47" s="15" t="str">
        <f t="shared" si="113"/>
        <v>NO APLICA</v>
      </c>
      <c r="NB47" s="12"/>
      <c r="NC47" s="16"/>
      <c r="ND47" s="14"/>
      <c r="NE47" s="65"/>
      <c r="NF47" s="15" t="str">
        <f t="shared" si="114"/>
        <v>NO APLICA</v>
      </c>
      <c r="NG47" s="12"/>
      <c r="NH47" s="12"/>
      <c r="NI47" s="14"/>
      <c r="NJ47" s="12"/>
      <c r="NK47" s="15" t="str">
        <f t="shared" si="115"/>
        <v>NO APLICA</v>
      </c>
      <c r="NL47" s="14">
        <v>45102</v>
      </c>
      <c r="NM47" s="14">
        <v>45103</v>
      </c>
      <c r="NN47" s="14">
        <f>DATE(YEAR(NM47)+5,MONTH(NM47),DAY(NM47))</f>
        <v>46930</v>
      </c>
      <c r="NO47" s="65">
        <f ca="1">NN47-TODAY()</f>
        <v>799</v>
      </c>
      <c r="NP47" s="15" t="str">
        <f t="shared" ca="1" si="116"/>
        <v>VIGENTE</v>
      </c>
      <c r="NQ47" s="16"/>
      <c r="NR47" s="16"/>
      <c r="NS47" s="14"/>
      <c r="NT47" s="65"/>
      <c r="NU47" s="15" t="str">
        <f t="shared" si="117"/>
        <v>NO APLICA</v>
      </c>
      <c r="NV47" s="16"/>
      <c r="NW47" s="16"/>
      <c r="NX47" s="16"/>
      <c r="NY47" s="16"/>
      <c r="NZ47" s="15" t="str">
        <f t="shared" si="118"/>
        <v>NO APLICA</v>
      </c>
    </row>
    <row r="48" spans="1:390" ht="15.6" thickTop="1" thickBot="1" x14ac:dyDescent="0.35">
      <c r="A48" s="11">
        <v>828</v>
      </c>
      <c r="B48" s="10" t="s">
        <v>255</v>
      </c>
      <c r="C48" s="21" t="s">
        <v>104</v>
      </c>
      <c r="D48" s="64" t="s">
        <v>193</v>
      </c>
      <c r="E48" s="16"/>
      <c r="F48" s="16"/>
      <c r="G48" s="16"/>
      <c r="H48" s="16"/>
      <c r="I48" s="15" t="str">
        <f t="shared" si="0"/>
        <v>NO APLICA</v>
      </c>
      <c r="J48" s="16"/>
      <c r="K48" s="16"/>
      <c r="L48" s="16"/>
      <c r="M48" s="16"/>
      <c r="N48" s="15" t="str">
        <f t="shared" si="1"/>
        <v>NO APLICA</v>
      </c>
      <c r="O48" s="16"/>
      <c r="P48" s="16"/>
      <c r="Q48" s="16"/>
      <c r="R48" s="16"/>
      <c r="S48" s="15" t="str">
        <f t="shared" si="119"/>
        <v>NO APLICA</v>
      </c>
      <c r="T48" s="16" t="s">
        <v>256</v>
      </c>
      <c r="U48" s="14">
        <v>45400</v>
      </c>
      <c r="V48" s="14">
        <v>45401</v>
      </c>
      <c r="W48" s="14">
        <f t="shared" si="2"/>
        <v>47227</v>
      </c>
      <c r="X48" s="65">
        <f t="shared" ca="1" si="3"/>
        <v>1096</v>
      </c>
      <c r="Y48" s="15" t="str">
        <f t="shared" ca="1" si="4"/>
        <v>VIGENTE</v>
      </c>
      <c r="Z48" s="16" t="s">
        <v>257</v>
      </c>
      <c r="AA48" s="14">
        <v>45576</v>
      </c>
      <c r="AB48" s="14">
        <v>45577</v>
      </c>
      <c r="AC48" s="14">
        <f>DATE(YEAR(AB48)+5,MONTH(AB48),DAY(AB48))</f>
        <v>47403</v>
      </c>
      <c r="AD48" s="65">
        <f ca="1">AC48-TODAY()</f>
        <v>1272</v>
      </c>
      <c r="AE48" s="15" t="str">
        <f t="shared" ca="1" si="7"/>
        <v>VIGENTE</v>
      </c>
      <c r="AF48" s="14">
        <v>45394</v>
      </c>
      <c r="AG48" s="14">
        <v>46085</v>
      </c>
      <c r="AH48" s="14">
        <f>DATE(YEAR(AG48)+2,MONTH(AG48),DAY(AG48))</f>
        <v>46816</v>
      </c>
      <c r="AI48" s="65">
        <f t="shared" ca="1" si="8"/>
        <v>685</v>
      </c>
      <c r="AJ48" s="15" t="str">
        <f t="shared" ca="1" si="213"/>
        <v>VIGENTE</v>
      </c>
      <c r="AK48" s="14">
        <v>45446</v>
      </c>
      <c r="AL48" s="14">
        <v>46084</v>
      </c>
      <c r="AM48" s="14">
        <f>DATE(YEAR(AL48)+2,MONTH(AL48),DAY(AL48))</f>
        <v>46815</v>
      </c>
      <c r="AN48" s="65">
        <f t="shared" ca="1" si="10"/>
        <v>684</v>
      </c>
      <c r="AO48" s="15" t="str">
        <f t="shared" ca="1" si="11"/>
        <v>VIGENTE</v>
      </c>
      <c r="AP48" s="16"/>
      <c r="AQ48" s="14">
        <v>46048</v>
      </c>
      <c r="AR48" s="14">
        <f t="shared" si="214"/>
        <v>46778</v>
      </c>
      <c r="AS48" s="65">
        <f t="shared" ca="1" si="12"/>
        <v>647</v>
      </c>
      <c r="AT48" s="15" t="str">
        <f t="shared" ca="1" si="13"/>
        <v>VIGENTE</v>
      </c>
      <c r="AU48" s="16"/>
      <c r="AV48" s="14">
        <v>46070</v>
      </c>
      <c r="AW48" s="14">
        <f t="shared" si="215"/>
        <v>46800</v>
      </c>
      <c r="AX48" s="65">
        <f t="shared" ca="1" si="15"/>
        <v>669</v>
      </c>
      <c r="AY48" s="15" t="str">
        <f t="shared" ca="1" si="16"/>
        <v>VIGENTE</v>
      </c>
      <c r="AZ48" s="14"/>
      <c r="BA48" s="14">
        <v>45454</v>
      </c>
      <c r="BB48" s="14">
        <f>DATE(YEAR(BA48)+2,MONTH(BA48),DAY(BA48)-1)</f>
        <v>46183</v>
      </c>
      <c r="BC48" s="65">
        <f t="shared" ca="1" si="17"/>
        <v>52</v>
      </c>
      <c r="BD48" s="15" t="str">
        <f t="shared" ca="1" si="18"/>
        <v>POR VENCER</v>
      </c>
      <c r="BE48" s="16"/>
      <c r="BF48" s="14">
        <v>46067</v>
      </c>
      <c r="BG48" s="14">
        <f t="shared" si="216"/>
        <v>46797</v>
      </c>
      <c r="BH48" s="65">
        <f t="shared" ca="1" si="19"/>
        <v>666</v>
      </c>
      <c r="BI48" s="15" t="str">
        <f t="shared" ca="1" si="20"/>
        <v>VIGENTE</v>
      </c>
      <c r="BJ48" s="14"/>
      <c r="BK48" s="14">
        <v>46051</v>
      </c>
      <c r="BL48" s="14">
        <f>DATE(YEAR(BK48)+2,MONTH(BK48),DAY(BK48))</f>
        <v>46781</v>
      </c>
      <c r="BM48" s="65">
        <f t="shared" ca="1" si="21"/>
        <v>650</v>
      </c>
      <c r="BN48" s="15" t="str">
        <f t="shared" ca="1" si="22"/>
        <v>VIGENTE</v>
      </c>
      <c r="BO48" s="14"/>
      <c r="BP48" s="14">
        <v>46069</v>
      </c>
      <c r="BQ48" s="14">
        <f>DATE(YEAR(BP48)+2,MONTH(BP48),DAY(BP48))</f>
        <v>46799</v>
      </c>
      <c r="BR48" s="65">
        <f t="shared" ca="1" si="23"/>
        <v>668</v>
      </c>
      <c r="BS48" s="15" t="str">
        <f t="shared" ca="1" si="24"/>
        <v>VIGENTE</v>
      </c>
      <c r="BT48" s="16"/>
      <c r="BU48" s="14">
        <v>45455</v>
      </c>
      <c r="BV48" s="14">
        <f>DATE(YEAR(BU48)+2,MONTH(BU48),DAY(BU48)-1)</f>
        <v>46184</v>
      </c>
      <c r="BW48" s="65">
        <f t="shared" ca="1" si="25"/>
        <v>53</v>
      </c>
      <c r="BX48" s="15" t="str">
        <f t="shared" ca="1" si="26"/>
        <v>POR VENCER</v>
      </c>
      <c r="BY48" s="16"/>
      <c r="BZ48" s="14">
        <v>45480</v>
      </c>
      <c r="CA48" s="14">
        <f>DATE(YEAR(BZ48)+2,MONTH(BZ48),DAY(BZ48)-1)</f>
        <v>46209</v>
      </c>
      <c r="CB48" s="65">
        <f t="shared" ca="1" si="27"/>
        <v>78</v>
      </c>
      <c r="CC48" s="15" t="str">
        <f t="shared" ca="1" si="28"/>
        <v>POR VENCER</v>
      </c>
      <c r="CD48" s="16" t="s">
        <v>108</v>
      </c>
      <c r="CE48" s="14">
        <v>45532</v>
      </c>
      <c r="CF48" s="14">
        <v>45533</v>
      </c>
      <c r="CG48" s="14">
        <f t="shared" si="29"/>
        <v>46994</v>
      </c>
      <c r="CH48" s="65">
        <f t="shared" ca="1" si="30"/>
        <v>863</v>
      </c>
      <c r="CI48" s="15" t="str">
        <f t="shared" ca="1" si="31"/>
        <v>VIGENTE</v>
      </c>
      <c r="CJ48" s="16"/>
      <c r="CK48" s="14">
        <v>45504</v>
      </c>
      <c r="CL48" s="14">
        <f t="shared" si="219"/>
        <v>46233</v>
      </c>
      <c r="CM48" s="65">
        <f t="shared" ca="1" si="32"/>
        <v>102</v>
      </c>
      <c r="CN48" s="15" t="str">
        <f t="shared" ca="1" si="33"/>
        <v>VIGENTE</v>
      </c>
      <c r="CO48" s="14">
        <v>45428</v>
      </c>
      <c r="CP48" s="14">
        <v>46101</v>
      </c>
      <c r="CQ48" s="14">
        <f>DATE(YEAR(CP48)+2,MONTH(CP48),DAY(CP48))</f>
        <v>46832</v>
      </c>
      <c r="CR48" s="65">
        <f t="shared" ca="1" si="34"/>
        <v>701</v>
      </c>
      <c r="CS48" s="15" t="str">
        <f t="shared" ca="1" si="35"/>
        <v>VIGENTE</v>
      </c>
      <c r="CT48" s="14">
        <v>45408</v>
      </c>
      <c r="CU48" s="14">
        <v>46043</v>
      </c>
      <c r="CV48" s="14">
        <f>DATE(YEAR(CU48)+2,MONTH(CU48),DAY(CU48))</f>
        <v>46773</v>
      </c>
      <c r="CW48" s="65">
        <f t="shared" ca="1" si="36"/>
        <v>642</v>
      </c>
      <c r="CX48" s="15" t="str">
        <f t="shared" ca="1" si="37"/>
        <v>VIGENTE</v>
      </c>
      <c r="CY48" s="14">
        <v>45407</v>
      </c>
      <c r="CZ48" s="14">
        <v>46028</v>
      </c>
      <c r="DA48" s="14">
        <f>DATE(YEAR(CZ48)+2,MONTH(CZ48),DAY(CZ48))</f>
        <v>46758</v>
      </c>
      <c r="DB48" s="65">
        <f t="shared" ca="1" si="38"/>
        <v>627</v>
      </c>
      <c r="DC48" s="15" t="str">
        <f t="shared" ca="1" si="39"/>
        <v>VIGENTE</v>
      </c>
      <c r="DD48" s="14">
        <v>45404</v>
      </c>
      <c r="DE48" s="14">
        <v>46066</v>
      </c>
      <c r="DF48" s="14">
        <f>DATE(YEAR(DE48)+2,MONTH(DE48),DAY(DE48))</f>
        <v>46796</v>
      </c>
      <c r="DG48" s="65">
        <f t="shared" ca="1" si="40"/>
        <v>665</v>
      </c>
      <c r="DH48" s="15" t="str">
        <f t="shared" ca="1" si="41"/>
        <v>VIGENTE</v>
      </c>
      <c r="DI48" s="16"/>
      <c r="DJ48" s="14">
        <v>46073</v>
      </c>
      <c r="DK48" s="14">
        <f t="shared" si="218"/>
        <v>46803</v>
      </c>
      <c r="DL48" s="65">
        <f t="shared" ca="1" si="43"/>
        <v>672</v>
      </c>
      <c r="DM48" s="15" t="str">
        <f t="shared" ca="1" si="44"/>
        <v>VIGENTE</v>
      </c>
      <c r="DN48" s="14"/>
      <c r="DO48" s="14">
        <v>45520</v>
      </c>
      <c r="DP48" s="14">
        <f>DATE(YEAR(DO48)+2,MONTH(DO48),DAY(DO48)-1)</f>
        <v>46249</v>
      </c>
      <c r="DQ48" s="65">
        <f t="shared" ca="1" si="46"/>
        <v>118</v>
      </c>
      <c r="DR48" s="15" t="str">
        <f t="shared" ca="1" si="47"/>
        <v>VIGENTE</v>
      </c>
      <c r="DS48" s="16"/>
      <c r="DT48" s="14">
        <v>46053</v>
      </c>
      <c r="DU48" s="14">
        <f>DATE(YEAR(DT48)+2,MONTH(DT48),DAY(DT48))</f>
        <v>46783</v>
      </c>
      <c r="DV48" s="65">
        <f t="shared" ca="1" si="48"/>
        <v>652</v>
      </c>
      <c r="DW48" s="15" t="str">
        <f t="shared" ca="1" si="49"/>
        <v>VIGENTE</v>
      </c>
      <c r="DX48" s="14">
        <v>45432</v>
      </c>
      <c r="DY48" s="14">
        <v>46099</v>
      </c>
      <c r="DZ48" s="14">
        <f>DATE(YEAR(DY48)+2,MONTH(DY48),DAY(DY48))</f>
        <v>46830</v>
      </c>
      <c r="EA48" s="65">
        <f t="shared" ca="1" si="50"/>
        <v>699</v>
      </c>
      <c r="EB48" s="15" t="str">
        <f t="shared" ca="1" si="51"/>
        <v>VIGENTE</v>
      </c>
      <c r="EC48" s="14"/>
      <c r="ED48" s="14">
        <v>45462</v>
      </c>
      <c r="EE48" s="14">
        <f>DATE(YEAR(ED48)+2,MONTH(ED48),DAY(ED48)-1)</f>
        <v>46191</v>
      </c>
      <c r="EF48" s="65">
        <f t="shared" ca="1" si="52"/>
        <v>60</v>
      </c>
      <c r="EG48" s="15" t="str">
        <f t="shared" ca="1" si="53"/>
        <v>POR VENCER</v>
      </c>
      <c r="EH48" s="14">
        <v>45423</v>
      </c>
      <c r="EI48" s="14">
        <v>45806</v>
      </c>
      <c r="EJ48" s="14">
        <v>45807</v>
      </c>
      <c r="EK48" s="14">
        <v>45808</v>
      </c>
      <c r="EL48" s="14">
        <f t="shared" si="128"/>
        <v>46173</v>
      </c>
      <c r="EM48" s="65">
        <f t="shared" ca="1" si="54"/>
        <v>42</v>
      </c>
      <c r="EN48" s="15" t="str">
        <f t="shared" ca="1" si="55"/>
        <v>POR VENCER</v>
      </c>
      <c r="EO48" s="14"/>
      <c r="EP48" s="14">
        <v>45465</v>
      </c>
      <c r="EQ48" s="14">
        <f>DATE(YEAR(EP48)+2,MONTH(EP48),DAY(EP48)-1)</f>
        <v>46194</v>
      </c>
      <c r="ER48" s="65">
        <f t="shared" ca="1" si="56"/>
        <v>63</v>
      </c>
      <c r="ES48" s="15" t="str">
        <f t="shared" ca="1" si="57"/>
        <v>POR VENCER</v>
      </c>
      <c r="ET48" s="16"/>
      <c r="EU48" s="14">
        <v>45467</v>
      </c>
      <c r="EV48" s="14">
        <f>DATE(YEAR(EU48)+2,MONTH(EU48),DAY(EU48)-1)</f>
        <v>46196</v>
      </c>
      <c r="EW48" s="65">
        <f t="shared" ca="1" si="58"/>
        <v>65</v>
      </c>
      <c r="EX48" s="15" t="str">
        <f t="shared" ca="1" si="59"/>
        <v>POR VENCER</v>
      </c>
      <c r="EY48" s="16"/>
      <c r="EZ48" s="14">
        <v>45502</v>
      </c>
      <c r="FA48" s="14">
        <f>DATE(YEAR(EZ48)+2,MONTH(EZ48),DAY(EZ48)-1)</f>
        <v>46231</v>
      </c>
      <c r="FB48" s="65">
        <f t="shared" ca="1" si="60"/>
        <v>100</v>
      </c>
      <c r="FC48" s="15" t="str">
        <f t="shared" ca="1" si="61"/>
        <v>VIGENTE</v>
      </c>
      <c r="FD48" s="16"/>
      <c r="FE48" s="14">
        <v>46091</v>
      </c>
      <c r="FF48" s="14">
        <f t="shared" si="209"/>
        <v>46822</v>
      </c>
      <c r="FG48" s="65">
        <f t="shared" ca="1" si="62"/>
        <v>691</v>
      </c>
      <c r="FH48" s="15" t="str">
        <f t="shared" ca="1" si="63"/>
        <v>VIGENTE</v>
      </c>
      <c r="FI48" s="16"/>
      <c r="FJ48" s="14">
        <v>45542</v>
      </c>
      <c r="FK48" s="14">
        <f>DATE(YEAR(FJ48)+2,MONTH(FJ48),DAY(FJ48)-1)</f>
        <v>46271</v>
      </c>
      <c r="FL48" s="65">
        <f t="shared" ca="1" si="64"/>
        <v>140</v>
      </c>
      <c r="FM48" s="15" t="str">
        <f t="shared" ca="1" si="65"/>
        <v>VIGENTE</v>
      </c>
      <c r="FN48" s="14">
        <v>45395</v>
      </c>
      <c r="FO48" s="14">
        <v>46039</v>
      </c>
      <c r="FP48" s="14">
        <f>DATE(YEAR(FO48)+2,MONTH(FO48),DAY(FO48))</f>
        <v>46769</v>
      </c>
      <c r="FQ48" s="65">
        <f t="shared" ca="1" si="67"/>
        <v>638</v>
      </c>
      <c r="FR48" s="15" t="str">
        <f t="shared" ca="1" si="68"/>
        <v>VIGENTE</v>
      </c>
      <c r="FS48" s="14"/>
      <c r="FT48" s="14">
        <v>45458</v>
      </c>
      <c r="FU48" s="14">
        <f>DATE(YEAR(FT48)+2,MONTH(FT48),DAY(FT48)-1)</f>
        <v>46187</v>
      </c>
      <c r="FV48" s="65">
        <f t="shared" ca="1" si="69"/>
        <v>56</v>
      </c>
      <c r="FW48" s="15" t="str">
        <f t="shared" ca="1" si="70"/>
        <v>POR VENCER</v>
      </c>
      <c r="FX48" s="14"/>
      <c r="FY48" s="14">
        <v>45541</v>
      </c>
      <c r="FZ48" s="14">
        <f>DATE(YEAR(FY48)+2,MONTH(FY48),DAY(FY48)-1)</f>
        <v>46270</v>
      </c>
      <c r="GA48" s="65">
        <f t="shared" ca="1" si="71"/>
        <v>139</v>
      </c>
      <c r="GB48" s="15" t="str">
        <f t="shared" ca="1" si="72"/>
        <v>VIGENTE</v>
      </c>
      <c r="GC48" s="14">
        <v>45396</v>
      </c>
      <c r="GD48" s="14">
        <v>46030</v>
      </c>
      <c r="GE48" s="14">
        <f>DATE(YEAR(GD48)+2,MONTH(GD48),DAY(GD48))</f>
        <v>46760</v>
      </c>
      <c r="GF48" s="65">
        <f t="shared" ca="1" si="73"/>
        <v>629</v>
      </c>
      <c r="GG48" s="15" t="str">
        <f t="shared" ca="1" si="74"/>
        <v>VIGENTE</v>
      </c>
      <c r="GH48" s="14"/>
      <c r="GI48" s="14">
        <v>46092</v>
      </c>
      <c r="GJ48" s="14">
        <f>DATE(YEAR(GI48)+2,MONTH(GI48),DAY(GI48))</f>
        <v>46823</v>
      </c>
      <c r="GK48" s="65">
        <f t="shared" ca="1" si="75"/>
        <v>692</v>
      </c>
      <c r="GL48" s="15" t="str">
        <f t="shared" ca="1" si="76"/>
        <v>VIGENTE</v>
      </c>
      <c r="GM48" s="14"/>
      <c r="GN48" s="14">
        <v>45499</v>
      </c>
      <c r="GO48" s="14">
        <f>DATE(YEAR(GN48)+2,MONTH(GN48),DAY(GN48)-1)</f>
        <v>46228</v>
      </c>
      <c r="GP48" s="65">
        <f t="shared" ca="1" si="77"/>
        <v>97</v>
      </c>
      <c r="GQ48" s="15" t="str">
        <f t="shared" ca="1" si="78"/>
        <v>VIGENTE</v>
      </c>
      <c r="GR48" s="14"/>
      <c r="GS48" s="14">
        <v>45468</v>
      </c>
      <c r="GT48" s="14">
        <f t="shared" si="79"/>
        <v>47294</v>
      </c>
      <c r="GU48" s="65">
        <f t="shared" ca="1" si="172"/>
        <v>1163</v>
      </c>
      <c r="GV48" s="15" t="str">
        <f t="shared" ca="1" si="81"/>
        <v>VIGENTE</v>
      </c>
      <c r="GW48" s="14"/>
      <c r="GX48" s="14">
        <v>45464</v>
      </c>
      <c r="GY48" s="14">
        <f t="shared" si="82"/>
        <v>47290</v>
      </c>
      <c r="GZ48" s="65">
        <f t="shared" ca="1" si="83"/>
        <v>1159</v>
      </c>
      <c r="HA48" s="15" t="str">
        <f t="shared" ca="1" si="84"/>
        <v>VIGENTE</v>
      </c>
      <c r="HB48" s="16"/>
      <c r="HC48" s="14">
        <v>45479</v>
      </c>
      <c r="HD48" s="14">
        <f t="shared" si="85"/>
        <v>47305</v>
      </c>
      <c r="HE48" s="65">
        <f t="shared" ca="1" si="86"/>
        <v>1174</v>
      </c>
      <c r="HF48" s="15" t="str">
        <f t="shared" ca="1" si="87"/>
        <v>VIGENTE</v>
      </c>
      <c r="HG48" s="16"/>
      <c r="HH48" s="14">
        <v>45401</v>
      </c>
      <c r="HI48" s="14">
        <f>DATE(YEAR(HH48)+5,MONTH(HH48),DAY(HH48))</f>
        <v>47227</v>
      </c>
      <c r="HJ48" s="65">
        <f ca="1">HI48-TODAY()</f>
        <v>1096</v>
      </c>
      <c r="HK48" s="15" t="str">
        <f t="shared" ca="1" si="217"/>
        <v>VIGENTE</v>
      </c>
      <c r="HL48" s="16"/>
      <c r="HM48" s="16"/>
      <c r="HN48" s="14">
        <f>DATE(YEAR(HM48)+5,MONTH(HM48),DAY(HM48))</f>
        <v>1827</v>
      </c>
      <c r="HO48" s="65">
        <f ca="1">HN48-TODAY()</f>
        <v>-44304</v>
      </c>
      <c r="HP48" s="15" t="str">
        <f ca="1">IF(HO48&gt;=61,"VIGENTE",IF(HO48&gt;=1,"POR VENCER",IF(HO48&lt;=-1,"PROGRAMAR",IF(HM48=0,"NO APLICA"))))</f>
        <v>PROGRAMAR</v>
      </c>
      <c r="HQ48" s="16"/>
      <c r="HR48" s="16"/>
      <c r="HS48" s="14"/>
      <c r="HT48" s="16"/>
      <c r="HU48" s="15" t="str">
        <f t="shared" si="92"/>
        <v>NO APLICA</v>
      </c>
      <c r="HV48" s="16"/>
      <c r="HW48" s="16"/>
      <c r="HX48" s="14"/>
      <c r="HY48" s="65"/>
      <c r="HZ48" s="15" t="str">
        <f t="shared" si="93"/>
        <v>NO APLICA</v>
      </c>
      <c r="IA48" s="16"/>
      <c r="IB48" s="16"/>
      <c r="IC48" s="14"/>
      <c r="ID48" s="65"/>
      <c r="IE48" s="15" t="str">
        <f t="shared" si="94"/>
        <v>NO APLICA</v>
      </c>
      <c r="IF48" s="16"/>
      <c r="IG48" s="16"/>
      <c r="IH48" s="14"/>
      <c r="II48" s="65"/>
      <c r="IJ48" s="15" t="str">
        <f t="shared" si="95"/>
        <v>NO APLICA</v>
      </c>
      <c r="IK48" s="16"/>
      <c r="IL48" s="16"/>
      <c r="IM48" s="14"/>
      <c r="IN48" s="16"/>
      <c r="IO48" s="15" t="str">
        <f t="shared" si="96"/>
        <v>NO APLICA</v>
      </c>
      <c r="IP48" s="16"/>
      <c r="IQ48" s="14">
        <v>45490</v>
      </c>
      <c r="IR48" s="14">
        <f>DATE(YEAR(IQ48)+5,MONTH(IQ48),DAY(IQ48))</f>
        <v>47316</v>
      </c>
      <c r="IS48" s="65">
        <f ca="1">IR48-TODAY()</f>
        <v>1185</v>
      </c>
      <c r="IT48" s="15" t="str">
        <f t="shared" ca="1" si="97"/>
        <v>VIGENTE</v>
      </c>
      <c r="IU48" s="16"/>
      <c r="IV48" s="14">
        <v>45402</v>
      </c>
      <c r="IW48" s="14">
        <f>DATE(YEAR(IV48)+5,MONTH(IV48),DAY(IV48))</f>
        <v>47228</v>
      </c>
      <c r="IX48" s="65">
        <f ca="1">IW48-TODAY()</f>
        <v>1097</v>
      </c>
      <c r="IY48" s="15" t="str">
        <f t="shared" ca="1" si="98"/>
        <v>VIGENTE</v>
      </c>
      <c r="IZ48" s="16"/>
      <c r="JA48" s="14">
        <v>45491</v>
      </c>
      <c r="JB48" s="14">
        <f>DATE(YEAR(JA48)+5,MONTH(JA48),DAY(JA48))</f>
        <v>47317</v>
      </c>
      <c r="JC48" s="65">
        <f ca="1">JB48-TODAY()</f>
        <v>1186</v>
      </c>
      <c r="JD48" s="15" t="str">
        <f t="shared" ca="1" si="99"/>
        <v>VIGENTE</v>
      </c>
      <c r="JE48" s="16"/>
      <c r="JF48" s="16"/>
      <c r="JG48" s="16"/>
      <c r="JH48" s="16"/>
      <c r="JI48" s="15" t="str">
        <f t="shared" si="100"/>
        <v>NO APLICA</v>
      </c>
      <c r="JJ48" s="16"/>
      <c r="JK48" s="16"/>
      <c r="JL48" s="16"/>
      <c r="JM48" s="15" t="str">
        <f t="shared" si="101"/>
        <v>NO APLICA</v>
      </c>
      <c r="JN48" s="16"/>
      <c r="JO48" s="16"/>
      <c r="JP48" s="16"/>
      <c r="JQ48" s="15" t="str">
        <f t="shared" si="102"/>
        <v>NO APLICA</v>
      </c>
      <c r="JR48" s="16"/>
      <c r="JS48" s="16"/>
      <c r="JT48" s="16"/>
      <c r="JU48" s="16"/>
      <c r="JV48" s="15" t="str">
        <f t="shared" si="103"/>
        <v>NO APLICA</v>
      </c>
      <c r="JW48" s="15"/>
      <c r="JX48" s="15"/>
      <c r="JY48" s="15"/>
      <c r="JZ48" s="15"/>
      <c r="KA48" s="15" t="str">
        <f t="shared" si="104"/>
        <v>NO APLICA</v>
      </c>
      <c r="KB48" s="16"/>
      <c r="KC48" s="14"/>
      <c r="KD48" s="16"/>
      <c r="KE48" s="15" t="str">
        <f t="shared" si="105"/>
        <v>NO APLICA</v>
      </c>
      <c r="KF48" s="16"/>
      <c r="KG48" s="14"/>
      <c r="KH48" s="16"/>
      <c r="KI48" s="15" t="str">
        <f t="shared" si="132"/>
        <v>NO APLICA</v>
      </c>
      <c r="KJ48" s="16"/>
      <c r="KK48" s="14"/>
      <c r="KL48" s="16"/>
      <c r="KM48" s="15" t="str">
        <f t="shared" si="106"/>
        <v>NO APLICA</v>
      </c>
      <c r="KN48" s="16"/>
      <c r="KO48" s="14"/>
      <c r="KP48" s="16"/>
      <c r="KQ48" s="15" t="str">
        <f t="shared" si="133"/>
        <v>NO APLICA</v>
      </c>
      <c r="KR48" s="16"/>
      <c r="KS48" s="16"/>
      <c r="KT48" s="14"/>
      <c r="KU48" s="16"/>
      <c r="KV48" s="15" t="str">
        <f t="shared" si="147"/>
        <v>NO APLICA</v>
      </c>
      <c r="KW48" s="16"/>
      <c r="KX48" s="14"/>
      <c r="KY48" s="16"/>
      <c r="KZ48" s="15" t="str">
        <f t="shared" si="134"/>
        <v>NO APLICA</v>
      </c>
      <c r="LA48" s="16"/>
      <c r="LB48" s="14">
        <v>45615</v>
      </c>
      <c r="LC48" s="14">
        <f>DATE(YEAR(LB48)+2,MONTH(LB48),DAY(LB48))</f>
        <v>46345</v>
      </c>
      <c r="LD48" s="65">
        <f ca="1">LC48-TODAY()</f>
        <v>214</v>
      </c>
      <c r="LE48" s="15" t="str">
        <f t="shared" ca="1" si="107"/>
        <v>VIGENTE</v>
      </c>
      <c r="LF48" s="15"/>
      <c r="LG48" s="15"/>
      <c r="LH48" s="14"/>
      <c r="LI48" s="65"/>
      <c r="LJ48" s="15" t="str">
        <f t="shared" si="148"/>
        <v>NO APLICA</v>
      </c>
      <c r="LK48" s="16"/>
      <c r="LL48" s="16"/>
      <c r="LM48" s="14"/>
      <c r="LN48" s="65"/>
      <c r="LO48" s="15" t="str">
        <f t="shared" si="135"/>
        <v>NO APLICA</v>
      </c>
      <c r="LP48" s="16"/>
      <c r="LQ48" s="16"/>
      <c r="LR48" s="14"/>
      <c r="LS48" s="16"/>
      <c r="LT48" s="15" t="str">
        <f t="shared" si="136"/>
        <v>NO APLICA</v>
      </c>
      <c r="LU48" s="16"/>
      <c r="LV48" s="16"/>
      <c r="LW48" s="14"/>
      <c r="LX48" s="16"/>
      <c r="LY48" s="15" t="str">
        <f t="shared" si="137"/>
        <v>NO APLICA</v>
      </c>
      <c r="LZ48" s="16"/>
      <c r="MA48" s="16"/>
      <c r="MB48" s="14"/>
      <c r="MC48" s="16"/>
      <c r="MD48" s="15" t="str">
        <f t="shared" si="108"/>
        <v>NO APLICA</v>
      </c>
      <c r="ME48" s="16"/>
      <c r="MF48" s="16"/>
      <c r="MG48" s="14"/>
      <c r="MH48" s="16"/>
      <c r="MI48" s="15" t="str">
        <f t="shared" si="109"/>
        <v>NO APLICA</v>
      </c>
      <c r="MJ48" s="16"/>
      <c r="MK48" s="14"/>
      <c r="ML48" s="16"/>
      <c r="MM48" s="15" t="str">
        <f t="shared" si="110"/>
        <v>NO APLICA</v>
      </c>
      <c r="MN48" s="16"/>
      <c r="MO48" s="16"/>
      <c r="MP48" s="16"/>
      <c r="MQ48" s="15" t="str">
        <f t="shared" si="111"/>
        <v>NO APLICA</v>
      </c>
      <c r="MR48" s="16"/>
      <c r="MS48" s="16"/>
      <c r="MT48" s="14"/>
      <c r="MU48" s="16"/>
      <c r="MV48" s="15" t="str">
        <f t="shared" si="112"/>
        <v>NO APLICA</v>
      </c>
      <c r="MW48" s="16"/>
      <c r="MX48" s="16"/>
      <c r="MY48" s="14"/>
      <c r="MZ48" s="16"/>
      <c r="NA48" s="15" t="str">
        <f t="shared" si="113"/>
        <v>NO APLICA</v>
      </c>
      <c r="NB48" s="16"/>
      <c r="NC48" s="16"/>
      <c r="ND48" s="14"/>
      <c r="NE48" s="16"/>
      <c r="NF48" s="15" t="str">
        <f t="shared" si="114"/>
        <v>NO APLICA</v>
      </c>
      <c r="NG48" s="16"/>
      <c r="NH48" s="16"/>
      <c r="NI48" s="14"/>
      <c r="NJ48" s="16"/>
      <c r="NK48" s="15" t="str">
        <f t="shared" si="115"/>
        <v>NO APLICA</v>
      </c>
      <c r="NL48" s="16"/>
      <c r="NM48" s="16"/>
      <c r="NN48" s="14"/>
      <c r="NO48" s="16"/>
      <c r="NP48" s="15" t="str">
        <f t="shared" si="116"/>
        <v>NO APLICA</v>
      </c>
      <c r="NQ48" s="16"/>
      <c r="NR48" s="16"/>
      <c r="NS48" s="14"/>
      <c r="NT48" s="65"/>
      <c r="NU48" s="15" t="str">
        <f t="shared" si="117"/>
        <v>NO APLICA</v>
      </c>
      <c r="NV48" s="16"/>
      <c r="NW48" s="16"/>
      <c r="NX48" s="16"/>
      <c r="NY48" s="16"/>
      <c r="NZ48" s="15" t="str">
        <f t="shared" si="118"/>
        <v>NO APLICA</v>
      </c>
    </row>
    <row r="49" spans="1:390" ht="15.6" thickTop="1" thickBot="1" x14ac:dyDescent="0.35">
      <c r="A49" s="9">
        <v>613</v>
      </c>
      <c r="B49" s="10" t="s">
        <v>258</v>
      </c>
      <c r="C49" s="21" t="s">
        <v>104</v>
      </c>
      <c r="D49" s="64" t="s">
        <v>228</v>
      </c>
      <c r="E49" s="15"/>
      <c r="F49" s="16"/>
      <c r="G49" s="14"/>
      <c r="H49" s="65"/>
      <c r="I49" s="15" t="str">
        <f t="shared" si="0"/>
        <v>NO APLICA</v>
      </c>
      <c r="J49" s="15"/>
      <c r="K49" s="16"/>
      <c r="L49" s="16"/>
      <c r="M49" s="65"/>
      <c r="N49" s="15" t="str">
        <f t="shared" si="1"/>
        <v>NO APLICA</v>
      </c>
      <c r="O49" s="16"/>
      <c r="P49" s="16"/>
      <c r="Q49" s="14"/>
      <c r="R49" s="65"/>
      <c r="S49" s="15" t="str">
        <f t="shared" si="119"/>
        <v>NO APLICA</v>
      </c>
      <c r="T49" s="12" t="s">
        <v>259</v>
      </c>
      <c r="U49" s="13">
        <v>44800</v>
      </c>
      <c r="V49" s="14">
        <v>44801</v>
      </c>
      <c r="W49" s="14">
        <f t="shared" si="2"/>
        <v>46627</v>
      </c>
      <c r="X49" s="65">
        <f t="shared" ca="1" si="3"/>
        <v>496</v>
      </c>
      <c r="Y49" s="15" t="str">
        <f t="shared" ca="1" si="4"/>
        <v>VIGENTE</v>
      </c>
      <c r="Z49" s="12" t="s">
        <v>260</v>
      </c>
      <c r="AA49" s="13">
        <v>44825</v>
      </c>
      <c r="AB49" s="14">
        <v>44826</v>
      </c>
      <c r="AC49" s="14">
        <f>DATE(YEAR(AB49)+5,MONTH(AB49),DAY(AB49))</f>
        <v>46652</v>
      </c>
      <c r="AD49" s="65">
        <f ca="1">AC49-TODAY()</f>
        <v>521</v>
      </c>
      <c r="AE49" s="15" t="str">
        <f t="shared" ca="1" si="7"/>
        <v>VIGENTE</v>
      </c>
      <c r="AF49" s="13">
        <v>44935</v>
      </c>
      <c r="AG49" s="13">
        <v>45628</v>
      </c>
      <c r="AH49" s="14">
        <f>DATE(YEAR(AG49)+2,MONTH(AG49),DAY(AG49)-1)</f>
        <v>46357</v>
      </c>
      <c r="AI49" s="65">
        <f t="shared" ca="1" si="8"/>
        <v>226</v>
      </c>
      <c r="AJ49" s="15" t="str">
        <f t="shared" ca="1" si="213"/>
        <v>VIGENTE</v>
      </c>
      <c r="AK49" s="13">
        <v>45108</v>
      </c>
      <c r="AL49" s="14">
        <v>45748</v>
      </c>
      <c r="AM49" s="14">
        <f>DATE(YEAR(AL49)+2,MONTH(AL49),DAY(AL49)-1)</f>
        <v>46477</v>
      </c>
      <c r="AN49" s="65">
        <f t="shared" ca="1" si="10"/>
        <v>346</v>
      </c>
      <c r="AO49" s="15" t="str">
        <f t="shared" ca="1" si="11"/>
        <v>VIGENTE</v>
      </c>
      <c r="AP49" s="13">
        <v>45349</v>
      </c>
      <c r="AQ49" s="14">
        <v>45996</v>
      </c>
      <c r="AR49" s="14">
        <f t="shared" si="214"/>
        <v>46726</v>
      </c>
      <c r="AS49" s="65">
        <f t="shared" ca="1" si="12"/>
        <v>595</v>
      </c>
      <c r="AT49" s="15" t="str">
        <f t="shared" ca="1" si="13"/>
        <v>VIGENTE</v>
      </c>
      <c r="AU49" s="13">
        <v>44694</v>
      </c>
      <c r="AV49" s="14">
        <v>45952</v>
      </c>
      <c r="AW49" s="14">
        <f t="shared" si="215"/>
        <v>46682</v>
      </c>
      <c r="AX49" s="65">
        <f t="shared" ca="1" si="15"/>
        <v>551</v>
      </c>
      <c r="AY49" s="15" t="str">
        <f t="shared" ca="1" si="16"/>
        <v>VIGENTE</v>
      </c>
      <c r="AZ49" s="13">
        <v>45075</v>
      </c>
      <c r="BA49" s="14">
        <v>45717</v>
      </c>
      <c r="BB49" s="14">
        <f>DATE(YEAR(BA49)+2,MONTH(BA49),DAY(BA49)-1)</f>
        <v>46446</v>
      </c>
      <c r="BC49" s="65">
        <f t="shared" ca="1" si="17"/>
        <v>315</v>
      </c>
      <c r="BD49" s="15" t="str">
        <f t="shared" ca="1" si="18"/>
        <v>VIGENTE</v>
      </c>
      <c r="BE49" s="13">
        <v>45071</v>
      </c>
      <c r="BF49" s="14">
        <v>45698</v>
      </c>
      <c r="BG49" s="14">
        <f>DATE(YEAR(BF49)+2,MONTH(BF49),DAY(BF49)-1)</f>
        <v>46427</v>
      </c>
      <c r="BH49" s="65">
        <f t="shared" ca="1" si="19"/>
        <v>296</v>
      </c>
      <c r="BI49" s="15" t="str">
        <f t="shared" ca="1" si="20"/>
        <v>VIGENTE</v>
      </c>
      <c r="BJ49" s="13">
        <v>44795</v>
      </c>
      <c r="BK49" s="14">
        <v>45477</v>
      </c>
      <c r="BL49" s="14">
        <f>DATE(YEAR(BK49)+2,MONTH(BK49),DAY(BK49)-1)</f>
        <v>46206</v>
      </c>
      <c r="BM49" s="65">
        <f t="shared" ca="1" si="21"/>
        <v>75</v>
      </c>
      <c r="BN49" s="15" t="str">
        <f t="shared" ca="1" si="22"/>
        <v>POR VENCER</v>
      </c>
      <c r="BO49" s="13">
        <v>44798</v>
      </c>
      <c r="BP49" s="14">
        <v>45470</v>
      </c>
      <c r="BQ49" s="14">
        <f>DATE(YEAR(BP49)+2,MONTH(BP49),DAY(BP49)-1)</f>
        <v>46199</v>
      </c>
      <c r="BR49" s="65">
        <f t="shared" ca="1" si="23"/>
        <v>68</v>
      </c>
      <c r="BS49" s="15" t="str">
        <f t="shared" ca="1" si="24"/>
        <v>POR VENCER</v>
      </c>
      <c r="BT49" s="13">
        <v>45086</v>
      </c>
      <c r="BU49" s="14">
        <v>45736</v>
      </c>
      <c r="BV49" s="14">
        <f>DATE(YEAR(BU49)+2,MONTH(BU49),DAY(BU49)-1)</f>
        <v>46465</v>
      </c>
      <c r="BW49" s="65">
        <f t="shared" ca="1" si="25"/>
        <v>334</v>
      </c>
      <c r="BX49" s="15" t="str">
        <f t="shared" ca="1" si="26"/>
        <v>VIGENTE</v>
      </c>
      <c r="BY49" s="13">
        <v>44960</v>
      </c>
      <c r="BZ49" s="14">
        <v>45629</v>
      </c>
      <c r="CA49" s="14">
        <f>DATE(YEAR(BZ49)+2,MONTH(BZ49),DAY(BZ49)-1)</f>
        <v>46358</v>
      </c>
      <c r="CB49" s="65">
        <f t="shared" ca="1" si="27"/>
        <v>227</v>
      </c>
      <c r="CC49" s="15" t="str">
        <f t="shared" ca="1" si="28"/>
        <v>VIGENTE</v>
      </c>
      <c r="CD49" s="16" t="s">
        <v>108</v>
      </c>
      <c r="CE49" s="14">
        <v>45246</v>
      </c>
      <c r="CF49" s="14">
        <v>45247</v>
      </c>
      <c r="CG49" s="14">
        <f t="shared" si="29"/>
        <v>46708</v>
      </c>
      <c r="CH49" s="65">
        <f t="shared" ca="1" si="30"/>
        <v>577</v>
      </c>
      <c r="CI49" s="15" t="str">
        <f t="shared" ca="1" si="31"/>
        <v>VIGENTE</v>
      </c>
      <c r="CJ49" s="14">
        <v>45051</v>
      </c>
      <c r="CK49" s="14">
        <v>45688</v>
      </c>
      <c r="CL49" s="14">
        <f t="shared" si="219"/>
        <v>46417</v>
      </c>
      <c r="CM49" s="65">
        <f t="shared" ca="1" si="32"/>
        <v>286</v>
      </c>
      <c r="CN49" s="15" t="str">
        <f t="shared" ca="1" si="33"/>
        <v>VIGENTE</v>
      </c>
      <c r="CO49" s="13">
        <v>45087</v>
      </c>
      <c r="CP49" s="14">
        <v>45726</v>
      </c>
      <c r="CQ49" s="14">
        <f>DATE(YEAR(CP49)+2,MONTH(CP49),DAY(CP49)-1)</f>
        <v>46455</v>
      </c>
      <c r="CR49" s="65">
        <f t="shared" ca="1" si="34"/>
        <v>324</v>
      </c>
      <c r="CS49" s="15" t="str">
        <f t="shared" ca="1" si="35"/>
        <v>VIGENTE</v>
      </c>
      <c r="CT49" s="13">
        <v>44692</v>
      </c>
      <c r="CU49" s="14">
        <v>45939</v>
      </c>
      <c r="CV49" s="14">
        <f>DATE(YEAR(CU49)+2,MONTH(CU49),DAY(CU49))</f>
        <v>46669</v>
      </c>
      <c r="CW49" s="65">
        <f t="shared" ca="1" si="36"/>
        <v>538</v>
      </c>
      <c r="CX49" s="15" t="str">
        <f t="shared" ca="1" si="37"/>
        <v>VIGENTE</v>
      </c>
      <c r="CY49" s="13">
        <v>45407</v>
      </c>
      <c r="CZ49" s="14">
        <v>46028</v>
      </c>
      <c r="DA49" s="14">
        <f>DATE(YEAR(CZ49)+2,MONTH(CZ49),DAY(CZ49))</f>
        <v>46758</v>
      </c>
      <c r="DB49" s="65">
        <f t="shared" ca="1" si="38"/>
        <v>627</v>
      </c>
      <c r="DC49" s="15" t="str">
        <f t="shared" ca="1" si="39"/>
        <v>VIGENTE</v>
      </c>
      <c r="DD49" s="13">
        <v>44798</v>
      </c>
      <c r="DE49" s="14">
        <v>45463</v>
      </c>
      <c r="DF49" s="14">
        <f t="shared" ref="DF49:DF60" si="220">DATE(YEAR(DE49)+2,MONTH(DE49),DAY(DE49)-1)</f>
        <v>46192</v>
      </c>
      <c r="DG49" s="65">
        <f t="shared" ca="1" si="40"/>
        <v>61</v>
      </c>
      <c r="DH49" s="15" t="str">
        <f t="shared" ca="1" si="41"/>
        <v>POR VENCER</v>
      </c>
      <c r="DI49" s="13">
        <v>45312</v>
      </c>
      <c r="DJ49" s="14">
        <v>45955</v>
      </c>
      <c r="DK49" s="14">
        <f t="shared" si="218"/>
        <v>46685</v>
      </c>
      <c r="DL49" s="65">
        <f t="shared" ca="1" si="43"/>
        <v>554</v>
      </c>
      <c r="DM49" s="15" t="str">
        <f t="shared" ca="1" si="44"/>
        <v>VIGENTE</v>
      </c>
      <c r="DN49" s="13">
        <v>45316</v>
      </c>
      <c r="DO49" s="14">
        <v>45982</v>
      </c>
      <c r="DP49" s="14">
        <f>DATE(YEAR(DO49)+2,MONTH(DO49),DAY(DO49))</f>
        <v>46712</v>
      </c>
      <c r="DQ49" s="65">
        <f t="shared" ca="1" si="46"/>
        <v>581</v>
      </c>
      <c r="DR49" s="15" t="str">
        <f t="shared" ca="1" si="47"/>
        <v>VIGENTE</v>
      </c>
      <c r="DS49" s="13">
        <v>44999</v>
      </c>
      <c r="DT49" s="14">
        <v>45685</v>
      </c>
      <c r="DU49" s="14">
        <f>DATE(YEAR(DT49)+2,MONTH(DT49),DAY(DT49)-1)</f>
        <v>46414</v>
      </c>
      <c r="DV49" s="65">
        <f t="shared" ca="1" si="48"/>
        <v>283</v>
      </c>
      <c r="DW49" s="15" t="str">
        <f t="shared" ca="1" si="49"/>
        <v>VIGENTE</v>
      </c>
      <c r="DX49" s="13">
        <v>44992</v>
      </c>
      <c r="DY49" s="14">
        <v>45663</v>
      </c>
      <c r="DZ49" s="14">
        <f>DATE(YEAR(DY49)+2,MONTH(DY49),DAY(DY49)-1)</f>
        <v>46392</v>
      </c>
      <c r="EA49" s="65">
        <f t="shared" ca="1" si="50"/>
        <v>261</v>
      </c>
      <c r="EB49" s="15" t="str">
        <f t="shared" ca="1" si="51"/>
        <v>VIGENTE</v>
      </c>
      <c r="EC49" s="13">
        <v>44994</v>
      </c>
      <c r="ED49" s="14">
        <v>45674</v>
      </c>
      <c r="EE49" s="14">
        <f>DATE(YEAR(ED49)+2,MONTH(ED49),DAY(ED49)-1)</f>
        <v>46403</v>
      </c>
      <c r="EF49" s="65">
        <f t="shared" ca="1" si="52"/>
        <v>272</v>
      </c>
      <c r="EG49" s="15" t="str">
        <f t="shared" ca="1" si="53"/>
        <v>VIGENTE</v>
      </c>
      <c r="EH49" s="13">
        <v>45675</v>
      </c>
      <c r="EI49" s="13">
        <v>45810</v>
      </c>
      <c r="EJ49" s="13">
        <v>45811</v>
      </c>
      <c r="EK49" s="14">
        <v>45812</v>
      </c>
      <c r="EL49" s="14">
        <f t="shared" si="128"/>
        <v>46177</v>
      </c>
      <c r="EM49" s="65">
        <f t="shared" ca="1" si="54"/>
        <v>46</v>
      </c>
      <c r="EN49" s="15" t="str">
        <f t="shared" ca="1" si="55"/>
        <v>POR VENCER</v>
      </c>
      <c r="EO49" s="13">
        <v>44796</v>
      </c>
      <c r="EP49" s="14">
        <v>46100</v>
      </c>
      <c r="EQ49" s="14">
        <f>DATE(YEAR(EP49)+2,MONTH(EP49),DAY(EP49))</f>
        <v>46831</v>
      </c>
      <c r="ER49" s="65">
        <f t="shared" ca="1" si="56"/>
        <v>700</v>
      </c>
      <c r="ES49" s="15" t="str">
        <f t="shared" ca="1" si="57"/>
        <v>VIGENTE</v>
      </c>
      <c r="ET49" s="13">
        <v>45012</v>
      </c>
      <c r="EU49" s="14">
        <v>45677</v>
      </c>
      <c r="EV49" s="14">
        <f>DATE(YEAR(EU49)+2,MONTH(EU49),DAY(EU49)-1)</f>
        <v>46406</v>
      </c>
      <c r="EW49" s="65">
        <f t="shared" ca="1" si="58"/>
        <v>275</v>
      </c>
      <c r="EX49" s="15" t="str">
        <f t="shared" ca="1" si="59"/>
        <v>VIGENTE</v>
      </c>
      <c r="EY49" s="13">
        <v>44957</v>
      </c>
      <c r="EZ49" s="14">
        <v>45630</v>
      </c>
      <c r="FA49" s="14">
        <f>DATE(YEAR(EZ49)+2,MONTH(EZ49),DAY(EZ49)-1)</f>
        <v>46359</v>
      </c>
      <c r="FB49" s="65">
        <f t="shared" ca="1" si="60"/>
        <v>228</v>
      </c>
      <c r="FC49" s="15" t="str">
        <f t="shared" ca="1" si="61"/>
        <v>VIGENTE</v>
      </c>
      <c r="FD49" s="13">
        <v>44936</v>
      </c>
      <c r="FE49" s="14">
        <v>45632</v>
      </c>
      <c r="FF49" s="14">
        <f>DATE(YEAR(FE49)+2,MONTH(FE49),DAY(FE49)-1)</f>
        <v>46361</v>
      </c>
      <c r="FG49" s="65">
        <f t="shared" ca="1" si="62"/>
        <v>230</v>
      </c>
      <c r="FH49" s="15" t="str">
        <f t="shared" ca="1" si="63"/>
        <v>VIGENTE</v>
      </c>
      <c r="FI49" s="12">
        <v>45113</v>
      </c>
      <c r="FJ49" s="14">
        <v>45756</v>
      </c>
      <c r="FK49" s="14">
        <f>DATE(YEAR(FJ49)+2,MONTH(FJ49),DAY(FJ49))</f>
        <v>46486</v>
      </c>
      <c r="FL49" s="65">
        <f t="shared" ca="1" si="64"/>
        <v>355</v>
      </c>
      <c r="FM49" s="15" t="str">
        <f t="shared" ca="1" si="65"/>
        <v>VIGENTE</v>
      </c>
      <c r="FN49" s="13">
        <v>44947</v>
      </c>
      <c r="FO49" s="14">
        <v>45576</v>
      </c>
      <c r="FP49" s="14">
        <f>DATE(YEAR(FO49)+2,MONTH(FO49),DAY(FO49)-1)</f>
        <v>46305</v>
      </c>
      <c r="FQ49" s="65">
        <f t="shared" ca="1" si="67"/>
        <v>174</v>
      </c>
      <c r="FR49" s="15" t="str">
        <f t="shared" ca="1" si="68"/>
        <v>VIGENTE</v>
      </c>
      <c r="FS49" s="13">
        <v>44797</v>
      </c>
      <c r="FT49" s="14">
        <v>46080</v>
      </c>
      <c r="FU49" s="14">
        <f>DATE(YEAR(FT49)+2,MONTH(FT49),DAY(FT49))</f>
        <v>46810</v>
      </c>
      <c r="FV49" s="65">
        <f t="shared" ca="1" si="69"/>
        <v>679</v>
      </c>
      <c r="FW49" s="15" t="str">
        <f t="shared" ca="1" si="70"/>
        <v>VIGENTE</v>
      </c>
      <c r="FX49" s="13">
        <v>45028</v>
      </c>
      <c r="FY49" s="14">
        <v>45700</v>
      </c>
      <c r="FZ49" s="14">
        <f>DATE(YEAR(FY49)+2,MONTH(FY49),DAY(FY49)-1)</f>
        <v>46429</v>
      </c>
      <c r="GA49" s="65">
        <f t="shared" ca="1" si="71"/>
        <v>298</v>
      </c>
      <c r="GB49" s="15" t="str">
        <f t="shared" ca="1" si="72"/>
        <v>VIGENTE</v>
      </c>
      <c r="GC49" s="13">
        <v>44922</v>
      </c>
      <c r="GD49" s="14">
        <v>45560</v>
      </c>
      <c r="GE49" s="14">
        <f>DATE(YEAR(GD49)+2,MONTH(GD49),DAY(GD49)-1)</f>
        <v>46289</v>
      </c>
      <c r="GF49" s="65">
        <f t="shared" ca="1" si="73"/>
        <v>158</v>
      </c>
      <c r="GG49" s="15" t="str">
        <f t="shared" ca="1" si="74"/>
        <v>VIGENTE</v>
      </c>
      <c r="GH49" s="13">
        <v>44796</v>
      </c>
      <c r="GI49" s="14">
        <v>46079</v>
      </c>
      <c r="GJ49" s="14">
        <f>DATE(YEAR(GI49)+2,MONTH(GI49),DAY(GI49))</f>
        <v>46809</v>
      </c>
      <c r="GK49" s="65">
        <f t="shared" ca="1" si="75"/>
        <v>678</v>
      </c>
      <c r="GL49" s="15" t="str">
        <f t="shared" ca="1" si="76"/>
        <v>VIGENTE</v>
      </c>
      <c r="GM49" s="13">
        <v>44945</v>
      </c>
      <c r="GN49" s="14">
        <v>45633</v>
      </c>
      <c r="GO49" s="14">
        <f>DATE(YEAR(GN49)+2,MONTH(GN49),DAY(GN49)-1)</f>
        <v>46362</v>
      </c>
      <c r="GP49" s="65">
        <f t="shared" ca="1" si="77"/>
        <v>231</v>
      </c>
      <c r="GQ49" s="15" t="str">
        <f t="shared" ca="1" si="78"/>
        <v>VIGENTE</v>
      </c>
      <c r="GR49" s="14"/>
      <c r="GS49" s="14">
        <v>45013</v>
      </c>
      <c r="GT49" s="14">
        <f t="shared" si="79"/>
        <v>46840</v>
      </c>
      <c r="GU49" s="65">
        <f t="shared" ca="1" si="172"/>
        <v>709</v>
      </c>
      <c r="GV49" s="15" t="str">
        <f t="shared" ca="1" si="81"/>
        <v>VIGENTE</v>
      </c>
      <c r="GW49" s="13">
        <v>44762</v>
      </c>
      <c r="GX49" s="14">
        <v>45464</v>
      </c>
      <c r="GY49" s="14">
        <f t="shared" si="82"/>
        <v>47290</v>
      </c>
      <c r="GZ49" s="65">
        <f t="shared" ca="1" si="83"/>
        <v>1159</v>
      </c>
      <c r="HA49" s="15" t="str">
        <f t="shared" ca="1" si="84"/>
        <v>VIGENTE</v>
      </c>
      <c r="HB49" s="12"/>
      <c r="HC49" s="14">
        <v>45016</v>
      </c>
      <c r="HD49" s="14">
        <f t="shared" si="85"/>
        <v>46843</v>
      </c>
      <c r="HE49" s="65">
        <f t="shared" ca="1" si="86"/>
        <v>712</v>
      </c>
      <c r="HF49" s="15" t="str">
        <f t="shared" ca="1" si="87"/>
        <v>VIGENTE</v>
      </c>
      <c r="HG49" s="16"/>
      <c r="HH49" s="14">
        <v>44956</v>
      </c>
      <c r="HI49" s="14">
        <f>DATE(YEAR(HH49)+5,MONTH(HH49),DAY(HH49))</f>
        <v>46782</v>
      </c>
      <c r="HJ49" s="65">
        <f ca="1">HI49-TODAY()</f>
        <v>651</v>
      </c>
      <c r="HK49" s="15" t="str">
        <f t="shared" ca="1" si="217"/>
        <v>VIGENTE</v>
      </c>
      <c r="HL49" s="12"/>
      <c r="HM49" s="16"/>
      <c r="HN49" s="14"/>
      <c r="HO49" s="65"/>
      <c r="HP49" s="15" t="str">
        <f t="shared" ref="HP49:HP78" si="221">IF(HO49&gt;=61,"VIGENTE",IF(HO49&gt;=1,"POR VENCER",IF(HO49&lt;=-1,"VENCIDA",IF(HM49=0,"NO APLICA"))))</f>
        <v>NO APLICA</v>
      </c>
      <c r="HQ49" s="12"/>
      <c r="HR49" s="15"/>
      <c r="HS49" s="14"/>
      <c r="HT49" s="15"/>
      <c r="HU49" s="15" t="str">
        <f t="shared" si="92"/>
        <v>NO APLICA</v>
      </c>
      <c r="HV49" s="12"/>
      <c r="HW49" s="14">
        <v>45089</v>
      </c>
      <c r="HX49" s="14">
        <f>DATE(YEAR(HW49)+5,MONTH(HW49),DAY(HW49))</f>
        <v>46916</v>
      </c>
      <c r="HY49" s="65">
        <f ca="1">HX49-TODAY()</f>
        <v>785</v>
      </c>
      <c r="HZ49" s="15" t="str">
        <f t="shared" ca="1" si="93"/>
        <v>VIGENTE</v>
      </c>
      <c r="IA49" s="13">
        <v>44761</v>
      </c>
      <c r="IB49" s="14">
        <v>45428</v>
      </c>
      <c r="IC49" s="14">
        <f>DATE(YEAR(IB49)+5,MONTH(IB49),DAY(IB49))</f>
        <v>47254</v>
      </c>
      <c r="ID49" s="65">
        <f ca="1">IC49-TODAY()</f>
        <v>1123</v>
      </c>
      <c r="IE49" s="15" t="str">
        <f t="shared" ca="1" si="94"/>
        <v>VIGENTE</v>
      </c>
      <c r="IF49" s="13">
        <v>44754</v>
      </c>
      <c r="IG49" s="14">
        <v>45425</v>
      </c>
      <c r="IH49" s="14">
        <f>DATE(YEAR(IG49)+5,MONTH(IG49),DAY(IG49))</f>
        <v>47251</v>
      </c>
      <c r="II49" s="65">
        <f ca="1">IH49-TODAY()</f>
        <v>1120</v>
      </c>
      <c r="IJ49" s="15" t="str">
        <f t="shared" ca="1" si="95"/>
        <v>VIGENTE</v>
      </c>
      <c r="IK49" s="14">
        <v>44753</v>
      </c>
      <c r="IL49" s="14">
        <v>45449</v>
      </c>
      <c r="IM49" s="14">
        <f>DATE(YEAR(IL49)+5,MONTH(IL49),DAY(IL49))</f>
        <v>47275</v>
      </c>
      <c r="IN49" s="65">
        <f ca="1">IM49-TODAY()</f>
        <v>1144</v>
      </c>
      <c r="IO49" s="15" t="str">
        <f t="shared" ca="1" si="96"/>
        <v>VIGENTE</v>
      </c>
      <c r="IP49" s="13">
        <v>44761</v>
      </c>
      <c r="IQ49" s="14">
        <v>45433</v>
      </c>
      <c r="IR49" s="14">
        <f>DATE(YEAR(IQ49)+5,MONTH(IQ49),DAY(IQ49))</f>
        <v>47259</v>
      </c>
      <c r="IS49" s="65">
        <f ca="1">IR49-TODAY()</f>
        <v>1128</v>
      </c>
      <c r="IT49" s="15" t="str">
        <f t="shared" ca="1" si="97"/>
        <v>VIGENTE</v>
      </c>
      <c r="IU49" s="13">
        <v>44754</v>
      </c>
      <c r="IV49" s="14">
        <v>45423</v>
      </c>
      <c r="IW49" s="14">
        <f>DATE(YEAR(IV49)+5,MONTH(IV49),DAY(IV49))</f>
        <v>47249</v>
      </c>
      <c r="IX49" s="65">
        <f ca="1">IW49-TODAY()</f>
        <v>1118</v>
      </c>
      <c r="IY49" s="15" t="str">
        <f t="shared" ca="1" si="98"/>
        <v>VIGENTE</v>
      </c>
      <c r="IZ49" s="13">
        <v>44753</v>
      </c>
      <c r="JA49" s="14">
        <v>45461</v>
      </c>
      <c r="JB49" s="14">
        <f>DATE(YEAR(JA49)+5,MONTH(JA49),DAY(JA49))</f>
        <v>47287</v>
      </c>
      <c r="JC49" s="65">
        <f ca="1">JB49-TODAY()</f>
        <v>1156</v>
      </c>
      <c r="JD49" s="15" t="str">
        <f t="shared" ca="1" si="99"/>
        <v>VIGENTE</v>
      </c>
      <c r="JE49" s="13"/>
      <c r="JF49" s="13"/>
      <c r="JG49" s="14"/>
      <c r="JH49" s="65"/>
      <c r="JI49" s="15" t="str">
        <f t="shared" si="100"/>
        <v>NO APLICA</v>
      </c>
      <c r="JJ49" s="16"/>
      <c r="JK49" s="16"/>
      <c r="JL49" s="16"/>
      <c r="JM49" s="15" t="str">
        <f t="shared" si="101"/>
        <v>NO APLICA</v>
      </c>
      <c r="JN49" s="16"/>
      <c r="JO49" s="16"/>
      <c r="JP49" s="16"/>
      <c r="JQ49" s="15" t="str">
        <f t="shared" si="102"/>
        <v>NO APLICA</v>
      </c>
      <c r="JR49" s="16"/>
      <c r="JS49" s="16"/>
      <c r="JT49" s="16"/>
      <c r="JU49" s="16"/>
      <c r="JV49" s="15" t="str">
        <f t="shared" si="103"/>
        <v>NO APLICA</v>
      </c>
      <c r="JW49" s="15"/>
      <c r="JX49" s="13">
        <v>45948</v>
      </c>
      <c r="JY49" s="14">
        <f>DATE(YEAR(JX49)+2,MONTH(JX49),DAY(JX49))</f>
        <v>46678</v>
      </c>
      <c r="JZ49" s="65">
        <f ca="1">JY49-TODAY()</f>
        <v>547</v>
      </c>
      <c r="KA49" s="15" t="str">
        <f t="shared" ca="1" si="104"/>
        <v>VIGENTE</v>
      </c>
      <c r="KB49" s="15"/>
      <c r="KC49" s="14"/>
      <c r="KD49" s="65"/>
      <c r="KE49" s="15" t="str">
        <f t="shared" si="105"/>
        <v>NO APLICA</v>
      </c>
      <c r="KF49" s="15"/>
      <c r="KG49" s="14"/>
      <c r="KH49" s="65"/>
      <c r="KI49" s="15" t="str">
        <f t="shared" si="132"/>
        <v>NO APLICA</v>
      </c>
      <c r="KJ49" s="15"/>
      <c r="KK49" s="14"/>
      <c r="KL49" s="65"/>
      <c r="KM49" s="15" t="str">
        <f t="shared" si="106"/>
        <v>NO APLICA</v>
      </c>
      <c r="KN49" s="12"/>
      <c r="KO49" s="14"/>
      <c r="KP49" s="65"/>
      <c r="KQ49" s="15" t="str">
        <f t="shared" si="133"/>
        <v>NO APLICA</v>
      </c>
      <c r="KR49" s="13">
        <v>44652</v>
      </c>
      <c r="KS49" s="14">
        <v>44653</v>
      </c>
      <c r="KT49" s="14">
        <f>DATE(YEAR(KS49)+5,MONTH(KS49),DAY(KS49))</f>
        <v>46479</v>
      </c>
      <c r="KU49" s="65">
        <f ca="1">KT49-TODAY()</f>
        <v>348</v>
      </c>
      <c r="KV49" s="15" t="str">
        <f t="shared" ca="1" si="147"/>
        <v>VIGENTE</v>
      </c>
      <c r="KW49" s="16"/>
      <c r="KX49" s="14"/>
      <c r="KY49" s="65"/>
      <c r="KZ49" s="15" t="str">
        <f t="shared" si="134"/>
        <v>NO APLICA</v>
      </c>
      <c r="LA49" s="14">
        <v>44494</v>
      </c>
      <c r="LB49" s="14"/>
      <c r="LC49" s="14"/>
      <c r="LD49" s="65"/>
      <c r="LE49" s="15" t="str">
        <f t="shared" si="107"/>
        <v>NO APLICA</v>
      </c>
      <c r="LF49" s="15"/>
      <c r="LG49" s="15"/>
      <c r="LH49" s="14"/>
      <c r="LI49" s="65"/>
      <c r="LJ49" s="15" t="str">
        <f t="shared" si="148"/>
        <v>NO APLICA</v>
      </c>
      <c r="LK49" s="15"/>
      <c r="LL49" s="16"/>
      <c r="LM49" s="14"/>
      <c r="LN49" s="65"/>
      <c r="LO49" s="15" t="str">
        <f t="shared" si="135"/>
        <v>NO APLICA</v>
      </c>
      <c r="LP49" s="16"/>
      <c r="LQ49" s="16"/>
      <c r="LR49" s="14"/>
      <c r="LS49" s="65"/>
      <c r="LT49" s="15" t="str">
        <f t="shared" si="136"/>
        <v>NO APLICA</v>
      </c>
      <c r="LU49" s="16"/>
      <c r="LV49" s="16"/>
      <c r="LW49" s="14"/>
      <c r="LX49" s="65"/>
      <c r="LY49" s="15" t="str">
        <f t="shared" si="137"/>
        <v>NO APLICA</v>
      </c>
      <c r="LZ49" s="15"/>
      <c r="MA49" s="15"/>
      <c r="MB49" s="14"/>
      <c r="MC49" s="65"/>
      <c r="MD49" s="15" t="str">
        <f t="shared" si="108"/>
        <v>NO APLICA</v>
      </c>
      <c r="ME49" s="15"/>
      <c r="MF49" s="15"/>
      <c r="MG49" s="14"/>
      <c r="MH49" s="65"/>
      <c r="MI49" s="15" t="str">
        <f t="shared" si="109"/>
        <v>NO APLICA</v>
      </c>
      <c r="MJ49" s="15"/>
      <c r="MK49" s="14"/>
      <c r="ML49" s="65"/>
      <c r="MM49" s="15" t="str">
        <f t="shared" si="110"/>
        <v>NO APLICA</v>
      </c>
      <c r="MN49" s="15"/>
      <c r="MO49" s="14"/>
      <c r="MP49" s="15"/>
      <c r="MQ49" s="15" t="str">
        <f t="shared" si="111"/>
        <v>NO APLICA</v>
      </c>
      <c r="MR49" s="15"/>
      <c r="MS49" s="16"/>
      <c r="MT49" s="14"/>
      <c r="MU49" s="65"/>
      <c r="MV49" s="15" t="str">
        <f t="shared" si="112"/>
        <v>NO APLICA</v>
      </c>
      <c r="MW49" s="15"/>
      <c r="MX49" s="16"/>
      <c r="MY49" s="14"/>
      <c r="MZ49" s="65"/>
      <c r="NA49" s="15" t="str">
        <f t="shared" si="113"/>
        <v>NO APLICA</v>
      </c>
      <c r="NB49" s="15"/>
      <c r="NC49" s="16"/>
      <c r="ND49" s="14"/>
      <c r="NE49" s="65"/>
      <c r="NF49" s="15" t="str">
        <f t="shared" si="114"/>
        <v>NO APLICA</v>
      </c>
      <c r="NG49" s="15"/>
      <c r="NH49" s="15"/>
      <c r="NI49" s="14"/>
      <c r="NJ49" s="65"/>
      <c r="NK49" s="15" t="str">
        <f t="shared" si="115"/>
        <v>NO APLICA</v>
      </c>
      <c r="NL49" s="15"/>
      <c r="NM49" s="15"/>
      <c r="NN49" s="15"/>
      <c r="NO49" s="15"/>
      <c r="NP49" s="15" t="str">
        <f t="shared" si="116"/>
        <v>NO APLICA</v>
      </c>
      <c r="NQ49" s="16"/>
      <c r="NR49" s="16"/>
      <c r="NS49" s="14"/>
      <c r="NT49" s="65"/>
      <c r="NU49" s="15" t="str">
        <f t="shared" si="117"/>
        <v>NO APLICA</v>
      </c>
      <c r="NV49" s="16"/>
      <c r="NW49" s="16"/>
      <c r="NX49" s="16"/>
      <c r="NY49" s="16"/>
      <c r="NZ49" s="15" t="str">
        <f t="shared" si="118"/>
        <v>NO APLICA</v>
      </c>
    </row>
    <row r="50" spans="1:390" ht="15.6" thickTop="1" thickBot="1" x14ac:dyDescent="0.35">
      <c r="A50" s="9">
        <v>1555</v>
      </c>
      <c r="B50" s="10" t="s">
        <v>261</v>
      </c>
      <c r="C50" s="21" t="s">
        <v>98</v>
      </c>
      <c r="D50" s="64" t="s">
        <v>172</v>
      </c>
      <c r="E50" s="15"/>
      <c r="F50" s="16"/>
      <c r="G50" s="14"/>
      <c r="H50" s="65"/>
      <c r="I50" s="15" t="str">
        <f t="shared" si="0"/>
        <v>NO APLICA</v>
      </c>
      <c r="J50" s="12"/>
      <c r="K50" s="16"/>
      <c r="L50" s="16"/>
      <c r="M50" s="65"/>
      <c r="N50" s="15" t="str">
        <f t="shared" si="1"/>
        <v>NO APLICA</v>
      </c>
      <c r="O50" s="14">
        <v>45603</v>
      </c>
      <c r="P50" s="14">
        <v>45604</v>
      </c>
      <c r="Q50" s="14">
        <f>DATE(YEAR(P50)+2,MONTH(P50),DAY(P50)-1)</f>
        <v>46333</v>
      </c>
      <c r="R50" s="65">
        <f ca="1">Q50-TODAY()</f>
        <v>202</v>
      </c>
      <c r="S50" s="15" t="str">
        <f t="shared" ca="1" si="119"/>
        <v>VIGENTE</v>
      </c>
      <c r="T50" s="12" t="s">
        <v>262</v>
      </c>
      <c r="U50" s="13">
        <v>45692</v>
      </c>
      <c r="V50" s="14">
        <v>45693</v>
      </c>
      <c r="W50" s="14">
        <f t="shared" si="2"/>
        <v>47519</v>
      </c>
      <c r="X50" s="65">
        <f t="shared" ca="1" si="3"/>
        <v>1388</v>
      </c>
      <c r="Y50" s="15" t="str">
        <f t="shared" ca="1" si="4"/>
        <v>VIGENTE</v>
      </c>
      <c r="Z50" s="12" t="s">
        <v>263</v>
      </c>
      <c r="AA50" s="13">
        <v>45191</v>
      </c>
      <c r="AB50" s="14">
        <v>45192</v>
      </c>
      <c r="AC50" s="14">
        <f>DATE(YEAR(AB50)+5,MONTH(AB50),DAY(AB50))</f>
        <v>47019</v>
      </c>
      <c r="AD50" s="65">
        <f ca="1">AC50-TODAY()</f>
        <v>888</v>
      </c>
      <c r="AE50" s="15" t="str">
        <f t="shared" ca="1" si="7"/>
        <v>VIGENTE</v>
      </c>
      <c r="AF50" s="13">
        <v>45243</v>
      </c>
      <c r="AG50" s="14">
        <v>45902</v>
      </c>
      <c r="AH50" s="14">
        <f>DATE(YEAR(AG50)+2,MONTH(AG50),DAY(AG50))</f>
        <v>46632</v>
      </c>
      <c r="AI50" s="65">
        <f t="shared" ca="1" si="8"/>
        <v>501</v>
      </c>
      <c r="AJ50" s="15" t="str">
        <f t="shared" ca="1" si="213"/>
        <v>VIGENTE</v>
      </c>
      <c r="AK50" s="13">
        <v>44594</v>
      </c>
      <c r="AL50" s="14">
        <v>45937</v>
      </c>
      <c r="AM50" s="14">
        <f>DATE(YEAR(AL50)+2,MONTH(AL50),DAY(AL50))</f>
        <v>46667</v>
      </c>
      <c r="AN50" s="65">
        <f t="shared" ca="1" si="10"/>
        <v>536</v>
      </c>
      <c r="AO50" s="15" t="str">
        <f t="shared" ca="1" si="11"/>
        <v>VIGENTE</v>
      </c>
      <c r="AP50" s="13">
        <v>44652</v>
      </c>
      <c r="AQ50" s="14">
        <v>45904</v>
      </c>
      <c r="AR50" s="14">
        <f t="shared" si="214"/>
        <v>46634</v>
      </c>
      <c r="AS50" s="65">
        <f t="shared" ca="1" si="12"/>
        <v>503</v>
      </c>
      <c r="AT50" s="15" t="str">
        <f t="shared" ca="1" si="13"/>
        <v>VIGENTE</v>
      </c>
      <c r="AU50" s="13">
        <v>44652</v>
      </c>
      <c r="AV50" s="14">
        <v>45927</v>
      </c>
      <c r="AW50" s="14">
        <f t="shared" si="215"/>
        <v>46657</v>
      </c>
      <c r="AX50" s="65">
        <f t="shared" ca="1" si="15"/>
        <v>526</v>
      </c>
      <c r="AY50" s="15" t="str">
        <f t="shared" ca="1" si="16"/>
        <v>VIGENTE</v>
      </c>
      <c r="AZ50" s="13">
        <v>45387</v>
      </c>
      <c r="BA50" s="14">
        <v>46041</v>
      </c>
      <c r="BB50" s="14">
        <f>DATE(YEAR(BA50)+2,MONTH(BA50),DAY(BA50))</f>
        <v>46771</v>
      </c>
      <c r="BC50" s="65">
        <f t="shared" ca="1" si="17"/>
        <v>640</v>
      </c>
      <c r="BD50" s="15" t="str">
        <f t="shared" ca="1" si="18"/>
        <v>VIGENTE</v>
      </c>
      <c r="BE50" s="13">
        <v>45399</v>
      </c>
      <c r="BF50" s="14">
        <v>46027</v>
      </c>
      <c r="BG50" s="14">
        <f>DATE(YEAR(BF50)+2,MONTH(BF50),DAY(BF50))</f>
        <v>46757</v>
      </c>
      <c r="BH50" s="65">
        <f t="shared" ca="1" si="19"/>
        <v>626</v>
      </c>
      <c r="BI50" s="15" t="str">
        <f t="shared" ca="1" si="20"/>
        <v>VIGENTE</v>
      </c>
      <c r="BJ50" s="13">
        <v>45389</v>
      </c>
      <c r="BK50" s="14">
        <v>46035</v>
      </c>
      <c r="BL50" s="14">
        <f>DATE(YEAR(BK50)+2,MONTH(BK50),DAY(BK50))</f>
        <v>46765</v>
      </c>
      <c r="BM50" s="65">
        <f t="shared" ca="1" si="21"/>
        <v>634</v>
      </c>
      <c r="BN50" s="15" t="str">
        <f t="shared" ca="1" si="22"/>
        <v>VIGENTE</v>
      </c>
      <c r="BO50" s="13">
        <v>44750</v>
      </c>
      <c r="BP50" s="14">
        <v>46050</v>
      </c>
      <c r="BQ50" s="14">
        <f>DATE(YEAR(BP50)+2,MONTH(BP50),DAY(BP50))</f>
        <v>46780</v>
      </c>
      <c r="BR50" s="65">
        <f t="shared" ca="1" si="23"/>
        <v>649</v>
      </c>
      <c r="BS50" s="15" t="str">
        <f t="shared" ca="1" si="24"/>
        <v>VIGENTE</v>
      </c>
      <c r="BT50" s="13">
        <v>44624</v>
      </c>
      <c r="BU50" s="14">
        <v>45950</v>
      </c>
      <c r="BV50" s="14">
        <f>DATE(YEAR(BU50)+2,MONTH(BU50),DAY(BU50))</f>
        <v>46680</v>
      </c>
      <c r="BW50" s="65">
        <f t="shared" ca="1" si="25"/>
        <v>549</v>
      </c>
      <c r="BX50" s="15" t="str">
        <f t="shared" ca="1" si="26"/>
        <v>VIGENTE</v>
      </c>
      <c r="BY50" s="13">
        <v>44594</v>
      </c>
      <c r="BZ50" s="14">
        <v>45944</v>
      </c>
      <c r="CA50" s="14">
        <f>DATE(YEAR(BZ50)+2,MONTH(BZ50),DAY(BZ50))</f>
        <v>46674</v>
      </c>
      <c r="CB50" s="65">
        <f t="shared" ca="1" si="27"/>
        <v>543</v>
      </c>
      <c r="CC50" s="15" t="str">
        <f t="shared" ca="1" si="28"/>
        <v>VIGENTE</v>
      </c>
      <c r="CD50" s="16" t="s">
        <v>108</v>
      </c>
      <c r="CE50" s="14">
        <v>45615</v>
      </c>
      <c r="CF50" s="14">
        <v>45616</v>
      </c>
      <c r="CG50" s="14">
        <f t="shared" si="29"/>
        <v>47077</v>
      </c>
      <c r="CH50" s="65">
        <f t="shared" ca="1" si="30"/>
        <v>946</v>
      </c>
      <c r="CI50" s="15" t="str">
        <f t="shared" ca="1" si="31"/>
        <v>VIGENTE</v>
      </c>
      <c r="CJ50" s="14">
        <v>44875</v>
      </c>
      <c r="CK50" s="14">
        <v>45504</v>
      </c>
      <c r="CL50" s="14">
        <f t="shared" si="219"/>
        <v>46233</v>
      </c>
      <c r="CM50" s="65">
        <f t="shared" ca="1" si="32"/>
        <v>102</v>
      </c>
      <c r="CN50" s="15" t="str">
        <f t="shared" ca="1" si="33"/>
        <v>VIGENTE</v>
      </c>
      <c r="CO50" s="13">
        <v>44900</v>
      </c>
      <c r="CP50" s="14">
        <v>45517</v>
      </c>
      <c r="CQ50" s="14">
        <f>DATE(YEAR(CP50)+2,MONTH(CP50),DAY(CP50)-1)</f>
        <v>46246</v>
      </c>
      <c r="CR50" s="65">
        <f t="shared" ca="1" si="34"/>
        <v>115</v>
      </c>
      <c r="CS50" s="15" t="str">
        <f t="shared" ca="1" si="35"/>
        <v>VIGENTE</v>
      </c>
      <c r="CT50" s="13">
        <v>44651</v>
      </c>
      <c r="CU50" s="14">
        <v>45905</v>
      </c>
      <c r="CV50" s="14">
        <f>DATE(YEAR(CU50)+2,MONTH(CU50),DAY(CU50))</f>
        <v>46635</v>
      </c>
      <c r="CW50" s="65">
        <f t="shared" ca="1" si="36"/>
        <v>504</v>
      </c>
      <c r="CX50" s="15" t="str">
        <f t="shared" ca="1" si="37"/>
        <v>VIGENTE</v>
      </c>
      <c r="CY50" s="13">
        <v>44653</v>
      </c>
      <c r="CZ50" s="14">
        <v>46000</v>
      </c>
      <c r="DA50" s="14">
        <f>DATE(YEAR(CZ50)+2,MONTH(CZ50),DAY(CZ50))</f>
        <v>46730</v>
      </c>
      <c r="DB50" s="65">
        <f t="shared" ca="1" si="38"/>
        <v>599</v>
      </c>
      <c r="DC50" s="15" t="str">
        <f t="shared" ca="1" si="39"/>
        <v>VIGENTE</v>
      </c>
      <c r="DD50" s="13">
        <v>45019</v>
      </c>
      <c r="DE50" s="14">
        <v>45689</v>
      </c>
      <c r="DF50" s="14">
        <f t="shared" si="220"/>
        <v>46418</v>
      </c>
      <c r="DG50" s="65">
        <f t="shared" ca="1" si="40"/>
        <v>287</v>
      </c>
      <c r="DH50" s="15" t="str">
        <f t="shared" ca="1" si="41"/>
        <v>VIGENTE</v>
      </c>
      <c r="DI50" s="13">
        <v>45296</v>
      </c>
      <c r="DJ50" s="14">
        <v>45975</v>
      </c>
      <c r="DK50" s="14">
        <f t="shared" si="218"/>
        <v>46705</v>
      </c>
      <c r="DL50" s="65">
        <f t="shared" ca="1" si="43"/>
        <v>574</v>
      </c>
      <c r="DM50" s="15" t="str">
        <f t="shared" ca="1" si="44"/>
        <v>VIGENTE</v>
      </c>
      <c r="DN50" s="13">
        <v>45316</v>
      </c>
      <c r="DO50" s="14">
        <v>45982</v>
      </c>
      <c r="DP50" s="14">
        <f>DATE(YEAR(DO50)+2,MONTH(DO50),DAY(DO50))</f>
        <v>46712</v>
      </c>
      <c r="DQ50" s="65">
        <f t="shared" ca="1" si="46"/>
        <v>581</v>
      </c>
      <c r="DR50" s="15" t="str">
        <f t="shared" ca="1" si="47"/>
        <v>VIGENTE</v>
      </c>
      <c r="DS50" s="13">
        <v>44714</v>
      </c>
      <c r="DT50" s="14">
        <v>46053</v>
      </c>
      <c r="DU50" s="14">
        <f>DATE(YEAR(DT50)+2,MONTH(DT50),DAY(DT50))</f>
        <v>46783</v>
      </c>
      <c r="DV50" s="65">
        <f t="shared" ca="1" si="48"/>
        <v>652</v>
      </c>
      <c r="DW50" s="15" t="str">
        <f t="shared" ca="1" si="49"/>
        <v>VIGENTE</v>
      </c>
      <c r="DX50" s="13">
        <v>44992</v>
      </c>
      <c r="DY50" s="14">
        <v>45663</v>
      </c>
      <c r="DZ50" s="14">
        <f>DATE(YEAR(DY50)+2,MONTH(DY50),DAY(DY50)-1)</f>
        <v>46392</v>
      </c>
      <c r="EA50" s="65">
        <f t="shared" ca="1" si="50"/>
        <v>261</v>
      </c>
      <c r="EB50" s="15" t="str">
        <f t="shared" ca="1" si="51"/>
        <v>VIGENTE</v>
      </c>
      <c r="EC50" s="13">
        <v>44994</v>
      </c>
      <c r="ED50" s="14">
        <v>45674</v>
      </c>
      <c r="EE50" s="14">
        <f>DATE(YEAR(ED50)+2,MONTH(ED50),DAY(ED50)-1)</f>
        <v>46403</v>
      </c>
      <c r="EF50" s="65">
        <f t="shared" ca="1" si="52"/>
        <v>272</v>
      </c>
      <c r="EG50" s="15" t="str">
        <f t="shared" ca="1" si="53"/>
        <v>VIGENTE</v>
      </c>
      <c r="EH50" s="13">
        <v>44889</v>
      </c>
      <c r="EI50" s="13">
        <v>46105</v>
      </c>
      <c r="EJ50" s="13">
        <v>46106</v>
      </c>
      <c r="EK50" s="13">
        <v>46107</v>
      </c>
      <c r="EL50" s="14">
        <f t="shared" si="128"/>
        <v>46472</v>
      </c>
      <c r="EM50" s="65">
        <f t="shared" ca="1" si="54"/>
        <v>341</v>
      </c>
      <c r="EN50" s="15" t="str">
        <f t="shared" ca="1" si="55"/>
        <v>VIGENTE</v>
      </c>
      <c r="EO50" s="13">
        <v>45076</v>
      </c>
      <c r="EP50" s="14">
        <v>45660</v>
      </c>
      <c r="EQ50" s="14">
        <f>DATE(YEAR(EP50)+2,MONTH(EP50),DAY(EP50)-1)</f>
        <v>46389</v>
      </c>
      <c r="ER50" s="65">
        <f t="shared" ca="1" si="56"/>
        <v>258</v>
      </c>
      <c r="ES50" s="15" t="str">
        <f t="shared" ca="1" si="57"/>
        <v>VIGENTE</v>
      </c>
      <c r="ET50" s="13">
        <v>44713</v>
      </c>
      <c r="EU50" s="14">
        <v>45999</v>
      </c>
      <c r="EV50" s="14">
        <f>DATE(YEAR(EU50)+2,MONTH(EU50),DAY(EU50))</f>
        <v>46729</v>
      </c>
      <c r="EW50" s="65">
        <f t="shared" ca="1" si="58"/>
        <v>598</v>
      </c>
      <c r="EX50" s="15" t="str">
        <f t="shared" ca="1" si="59"/>
        <v>VIGENTE</v>
      </c>
      <c r="EY50" s="13">
        <v>45271</v>
      </c>
      <c r="EZ50" s="14">
        <v>45917</v>
      </c>
      <c r="FA50" s="14">
        <f>DATE(YEAR(EZ50)+2,MONTH(EZ50),DAY(EZ50))</f>
        <v>46647</v>
      </c>
      <c r="FB50" s="65">
        <f t="shared" ca="1" si="60"/>
        <v>516</v>
      </c>
      <c r="FC50" s="15" t="str">
        <f t="shared" ca="1" si="61"/>
        <v>VIGENTE</v>
      </c>
      <c r="FD50" s="13">
        <v>44595</v>
      </c>
      <c r="FE50" s="14">
        <v>45931</v>
      </c>
      <c r="FF50" s="14">
        <f>DATE(YEAR(FE50)+2,MONTH(FE50),DAY(FE50))</f>
        <v>46661</v>
      </c>
      <c r="FG50" s="65">
        <f t="shared" ca="1" si="62"/>
        <v>530</v>
      </c>
      <c r="FH50" s="15" t="str">
        <f t="shared" ca="1" si="63"/>
        <v>VIGENTE</v>
      </c>
      <c r="FI50" s="13">
        <v>45248</v>
      </c>
      <c r="FJ50" s="14">
        <v>45919</v>
      </c>
      <c r="FK50" s="14">
        <f>DATE(YEAR(FJ50)+2,MONTH(FJ50),DAY(FJ50))</f>
        <v>46649</v>
      </c>
      <c r="FL50" s="65">
        <f t="shared" ca="1" si="64"/>
        <v>518</v>
      </c>
      <c r="FM50" s="15" t="str">
        <f t="shared" ca="1" si="65"/>
        <v>VIGENTE</v>
      </c>
      <c r="FN50" s="13">
        <v>45055</v>
      </c>
      <c r="FO50" s="14">
        <v>45670</v>
      </c>
      <c r="FP50" s="14">
        <f>DATE(YEAR(FO50)+2,MONTH(FO50),DAY(FO50)-1)</f>
        <v>46399</v>
      </c>
      <c r="FQ50" s="65">
        <f t="shared" ca="1" si="67"/>
        <v>268</v>
      </c>
      <c r="FR50" s="15" t="str">
        <f t="shared" ca="1" si="68"/>
        <v>VIGENTE</v>
      </c>
      <c r="FS50" s="13">
        <v>45052</v>
      </c>
      <c r="FT50" s="14">
        <v>45664</v>
      </c>
      <c r="FU50" s="14">
        <f>DATE(YEAR(FT50)+2,MONTH(FT50),DAY(FT50)-1)</f>
        <v>46393</v>
      </c>
      <c r="FV50" s="65">
        <f t="shared" ca="1" si="69"/>
        <v>262</v>
      </c>
      <c r="FW50" s="15" t="str">
        <f t="shared" ca="1" si="70"/>
        <v>VIGENTE</v>
      </c>
      <c r="FX50" s="13">
        <v>45281</v>
      </c>
      <c r="FY50" s="14">
        <v>45961</v>
      </c>
      <c r="FZ50" s="14">
        <f>DATE(YEAR(FY50)+2,MONTH(FY50),DAY(FY50))</f>
        <v>46691</v>
      </c>
      <c r="GA50" s="65">
        <f t="shared" ca="1" si="71"/>
        <v>560</v>
      </c>
      <c r="GB50" s="15" t="str">
        <f t="shared" ca="1" si="72"/>
        <v>VIGENTE</v>
      </c>
      <c r="GC50" s="13">
        <v>44995</v>
      </c>
      <c r="GD50" s="14">
        <v>45667</v>
      </c>
      <c r="GE50" s="14">
        <f>DATE(YEAR(GD50)+2,MONTH(GD50),DAY(GD50)-1)</f>
        <v>46396</v>
      </c>
      <c r="GF50" s="65">
        <f t="shared" ca="1" si="73"/>
        <v>265</v>
      </c>
      <c r="GG50" s="15" t="str">
        <f t="shared" ca="1" si="74"/>
        <v>VIGENTE</v>
      </c>
      <c r="GH50" s="13">
        <v>44996</v>
      </c>
      <c r="GI50" s="14">
        <v>45672</v>
      </c>
      <c r="GJ50" s="14">
        <f>DATE(YEAR(GI50)+2,MONTH(GI50),DAY(GI50)-1)</f>
        <v>46401</v>
      </c>
      <c r="GK50" s="65">
        <f t="shared" ca="1" si="75"/>
        <v>270</v>
      </c>
      <c r="GL50" s="15" t="str">
        <f t="shared" ca="1" si="76"/>
        <v>VIGENTE</v>
      </c>
      <c r="GM50" s="13">
        <v>45275</v>
      </c>
      <c r="GN50" s="14">
        <v>45945</v>
      </c>
      <c r="GO50" s="14">
        <f>DATE(YEAR(GN50)+2,MONTH(GN50),DAY(GN50))</f>
        <v>46675</v>
      </c>
      <c r="GP50" s="65">
        <f t="shared" ca="1" si="77"/>
        <v>544</v>
      </c>
      <c r="GQ50" s="15" t="str">
        <f t="shared" ca="1" si="78"/>
        <v>VIGENTE</v>
      </c>
      <c r="GR50" s="14"/>
      <c r="GS50" s="14">
        <v>45017</v>
      </c>
      <c r="GT50" s="14">
        <f t="shared" si="79"/>
        <v>46844</v>
      </c>
      <c r="GU50" s="65">
        <f t="shared" ca="1" si="172"/>
        <v>713</v>
      </c>
      <c r="GV50" s="15" t="str">
        <f t="shared" ca="1" si="81"/>
        <v>VIGENTE</v>
      </c>
      <c r="GW50" s="13"/>
      <c r="GX50" s="14">
        <v>45067</v>
      </c>
      <c r="GY50" s="14">
        <f t="shared" si="82"/>
        <v>46894</v>
      </c>
      <c r="GZ50" s="65">
        <f t="shared" ca="1" si="83"/>
        <v>763</v>
      </c>
      <c r="HA50" s="15" t="str">
        <f t="shared" ca="1" si="84"/>
        <v>VIGENTE</v>
      </c>
      <c r="HB50" s="13">
        <v>44567</v>
      </c>
      <c r="HC50" s="14">
        <v>45294</v>
      </c>
      <c r="HD50" s="14">
        <f t="shared" si="85"/>
        <v>47121</v>
      </c>
      <c r="HE50" s="65">
        <f t="shared" ca="1" si="86"/>
        <v>990</v>
      </c>
      <c r="HF50" s="15" t="str">
        <f t="shared" ca="1" si="87"/>
        <v>VIGENTE</v>
      </c>
      <c r="HG50" s="16"/>
      <c r="HH50" s="14">
        <v>45020</v>
      </c>
      <c r="HI50" s="14">
        <f>DATE(YEAR(HH50)+5,MONTH(HH50),DAY(HH50))</f>
        <v>46847</v>
      </c>
      <c r="HJ50" s="65">
        <f ca="1">HI50-TODAY()</f>
        <v>716</v>
      </c>
      <c r="HK50" s="15" t="str">
        <f t="shared" ca="1" si="217"/>
        <v>VIGENTE</v>
      </c>
      <c r="HL50" s="13">
        <v>44631</v>
      </c>
      <c r="HM50" s="14">
        <v>45414</v>
      </c>
      <c r="HN50" s="14">
        <f>DATE(YEAR(HM50)+5,MONTH(HM50),DAY(HM50))</f>
        <v>47240</v>
      </c>
      <c r="HO50" s="65">
        <f ca="1">HN50-TODAY()</f>
        <v>1109</v>
      </c>
      <c r="HP50" s="15" t="str">
        <f t="shared" ca="1" si="221"/>
        <v>VIGENTE</v>
      </c>
      <c r="HQ50" s="12"/>
      <c r="HR50" s="12"/>
      <c r="HS50" s="14"/>
      <c r="HT50" s="12"/>
      <c r="HU50" s="15" t="str">
        <f t="shared" si="92"/>
        <v>NO APLICA</v>
      </c>
      <c r="HV50" s="12"/>
      <c r="HW50" s="16"/>
      <c r="HX50" s="14"/>
      <c r="HY50" s="65"/>
      <c r="HZ50" s="15" t="str">
        <f t="shared" si="93"/>
        <v>NO APLICA</v>
      </c>
      <c r="IA50" s="12"/>
      <c r="IB50" s="16"/>
      <c r="IC50" s="14"/>
      <c r="ID50" s="65"/>
      <c r="IE50" s="15" t="str">
        <f t="shared" si="94"/>
        <v>NO APLICA</v>
      </c>
      <c r="IF50" s="12"/>
      <c r="IG50" s="16"/>
      <c r="IH50" s="14"/>
      <c r="II50" s="65"/>
      <c r="IJ50" s="15" t="str">
        <f t="shared" si="95"/>
        <v>NO APLICA</v>
      </c>
      <c r="IK50" s="16"/>
      <c r="IL50" s="16"/>
      <c r="IM50" s="14"/>
      <c r="IN50" s="65"/>
      <c r="IO50" s="15" t="str">
        <f t="shared" si="96"/>
        <v>NO APLICA</v>
      </c>
      <c r="IP50" s="12"/>
      <c r="IQ50" s="16"/>
      <c r="IR50" s="14"/>
      <c r="IS50" s="65"/>
      <c r="IT50" s="15" t="str">
        <f t="shared" si="97"/>
        <v>NO APLICA</v>
      </c>
      <c r="IU50" s="12"/>
      <c r="IV50" s="16"/>
      <c r="IW50" s="14"/>
      <c r="IX50" s="65"/>
      <c r="IY50" s="15" t="str">
        <f t="shared" si="98"/>
        <v>NO APLICA</v>
      </c>
      <c r="IZ50" s="12"/>
      <c r="JA50" s="16"/>
      <c r="JB50" s="14"/>
      <c r="JC50" s="65"/>
      <c r="JD50" s="15" t="str">
        <f t="shared" si="99"/>
        <v>NO APLICA</v>
      </c>
      <c r="JE50" s="13"/>
      <c r="JF50" s="13"/>
      <c r="JG50" s="14"/>
      <c r="JH50" s="65"/>
      <c r="JI50" s="15" t="str">
        <f t="shared" si="100"/>
        <v>NO APLICA</v>
      </c>
      <c r="JJ50" s="16"/>
      <c r="JK50" s="16"/>
      <c r="JL50" s="16"/>
      <c r="JM50" s="15" t="str">
        <f t="shared" si="101"/>
        <v>NO APLICA</v>
      </c>
      <c r="JN50" s="16"/>
      <c r="JO50" s="16"/>
      <c r="JP50" s="16"/>
      <c r="JQ50" s="15" t="str">
        <f t="shared" si="102"/>
        <v>NO APLICA</v>
      </c>
      <c r="JR50" s="16"/>
      <c r="JS50" s="16"/>
      <c r="JT50" s="16"/>
      <c r="JU50" s="16"/>
      <c r="JV50" s="15" t="str">
        <f t="shared" si="103"/>
        <v>NO APLICA</v>
      </c>
      <c r="JW50" s="15"/>
      <c r="JX50" s="15"/>
      <c r="JY50" s="15"/>
      <c r="JZ50" s="15"/>
      <c r="KA50" s="15" t="str">
        <f t="shared" si="104"/>
        <v>NO APLICA</v>
      </c>
      <c r="KB50" s="12"/>
      <c r="KC50" s="14"/>
      <c r="KD50" s="65"/>
      <c r="KE50" s="15" t="str">
        <f t="shared" si="105"/>
        <v>NO APLICA</v>
      </c>
      <c r="KF50" s="12"/>
      <c r="KG50" s="14"/>
      <c r="KH50" s="65"/>
      <c r="KI50" s="15" t="str">
        <f t="shared" si="132"/>
        <v>NO APLICA</v>
      </c>
      <c r="KJ50" s="12"/>
      <c r="KK50" s="14"/>
      <c r="KL50" s="65"/>
      <c r="KM50" s="15" t="str">
        <f t="shared" si="106"/>
        <v>NO APLICA</v>
      </c>
      <c r="KN50" s="12"/>
      <c r="KO50" s="14"/>
      <c r="KP50" s="65"/>
      <c r="KQ50" s="15" t="str">
        <f t="shared" si="133"/>
        <v>NO APLICA</v>
      </c>
      <c r="KR50" s="13">
        <v>44648</v>
      </c>
      <c r="KS50" s="14">
        <v>44649</v>
      </c>
      <c r="KT50" s="14">
        <f>DATE(YEAR(KS50)+5,MONTH(KS50),DAY(KS50))</f>
        <v>46475</v>
      </c>
      <c r="KU50" s="65">
        <f ca="1">KT50-TODAY()</f>
        <v>344</v>
      </c>
      <c r="KV50" s="15" t="str">
        <f t="shared" ca="1" si="147"/>
        <v>VIGENTE</v>
      </c>
      <c r="KW50" s="14">
        <v>44603</v>
      </c>
      <c r="KX50" s="14">
        <f>DATE(YEAR(KW50)+5,MONTH(KW50),DAY(KW50))</f>
        <v>46429</v>
      </c>
      <c r="KY50" s="65">
        <f ca="1">KX50-TODAY()</f>
        <v>298</v>
      </c>
      <c r="KZ50" s="15" t="str">
        <f t="shared" ca="1" si="134"/>
        <v>VIGENTE</v>
      </c>
      <c r="LA50" s="16"/>
      <c r="LB50" s="16"/>
      <c r="LC50" s="14"/>
      <c r="LD50" s="65"/>
      <c r="LE50" s="15" t="str">
        <f t="shared" si="107"/>
        <v>NO APLICA</v>
      </c>
      <c r="LF50" s="15"/>
      <c r="LG50" s="15"/>
      <c r="LH50" s="14"/>
      <c r="LI50" s="65"/>
      <c r="LJ50" s="15" t="str">
        <f t="shared" si="148"/>
        <v>NO APLICA</v>
      </c>
      <c r="LK50" s="12"/>
      <c r="LL50" s="16"/>
      <c r="LM50" s="14"/>
      <c r="LN50" s="65"/>
      <c r="LO50" s="15" t="str">
        <f t="shared" si="135"/>
        <v>NO APLICA</v>
      </c>
      <c r="LP50" s="16"/>
      <c r="LQ50" s="16"/>
      <c r="LR50" s="14"/>
      <c r="LS50" s="65"/>
      <c r="LT50" s="15" t="str">
        <f t="shared" si="136"/>
        <v>NO APLICA</v>
      </c>
      <c r="LU50" s="16"/>
      <c r="LV50" s="16"/>
      <c r="LW50" s="14"/>
      <c r="LX50" s="65"/>
      <c r="LY50" s="15" t="str">
        <f t="shared" si="137"/>
        <v>NO APLICA</v>
      </c>
      <c r="LZ50" s="12"/>
      <c r="MA50" s="12"/>
      <c r="MB50" s="14"/>
      <c r="MC50" s="65"/>
      <c r="MD50" s="15" t="str">
        <f t="shared" si="108"/>
        <v>NO APLICA</v>
      </c>
      <c r="ME50" s="12"/>
      <c r="MF50" s="12"/>
      <c r="MG50" s="14"/>
      <c r="MH50" s="65"/>
      <c r="MI50" s="15" t="str">
        <f t="shared" si="109"/>
        <v>NO APLICA</v>
      </c>
      <c r="MJ50" s="12"/>
      <c r="MK50" s="14"/>
      <c r="ML50" s="65"/>
      <c r="MM50" s="15" t="str">
        <f t="shared" si="110"/>
        <v>NO APLICA</v>
      </c>
      <c r="MN50" s="12"/>
      <c r="MO50" s="14"/>
      <c r="MP50" s="12"/>
      <c r="MQ50" s="15" t="str">
        <f t="shared" si="111"/>
        <v>NO APLICA</v>
      </c>
      <c r="MR50" s="12"/>
      <c r="MS50" s="16"/>
      <c r="MT50" s="14"/>
      <c r="MU50" s="65"/>
      <c r="MV50" s="15" t="str">
        <f t="shared" si="112"/>
        <v>NO APLICA</v>
      </c>
      <c r="MW50" s="12"/>
      <c r="MX50" s="16"/>
      <c r="MY50" s="14"/>
      <c r="MZ50" s="65"/>
      <c r="NA50" s="15" t="str">
        <f t="shared" si="113"/>
        <v>NO APLICA</v>
      </c>
      <c r="NB50" s="12"/>
      <c r="NC50" s="16"/>
      <c r="ND50" s="14"/>
      <c r="NE50" s="65"/>
      <c r="NF50" s="15" t="str">
        <f t="shared" si="114"/>
        <v>NO APLICA</v>
      </c>
      <c r="NG50" s="12"/>
      <c r="NH50" s="12"/>
      <c r="NI50" s="14"/>
      <c r="NJ50" s="65"/>
      <c r="NK50" s="15" t="str">
        <f t="shared" si="115"/>
        <v>NO APLICA</v>
      </c>
      <c r="NL50" s="12"/>
      <c r="NM50" s="12"/>
      <c r="NN50" s="14"/>
      <c r="NO50" s="12"/>
      <c r="NP50" s="15" t="str">
        <f t="shared" si="116"/>
        <v>NO APLICA</v>
      </c>
      <c r="NQ50" s="16"/>
      <c r="NR50" s="14">
        <v>45320</v>
      </c>
      <c r="NS50" s="14">
        <f>DATE(YEAR(NR50)+2,MONTH(NR50),DAY(NR50))</f>
        <v>46051</v>
      </c>
      <c r="NT50" s="65">
        <f ca="1">NS50-TODAY()</f>
        <v>-80</v>
      </c>
      <c r="NU50" s="15" t="str">
        <f t="shared" ca="1" si="117"/>
        <v>VENCIDA</v>
      </c>
      <c r="NV50" s="14">
        <v>44760</v>
      </c>
      <c r="NW50" s="14">
        <v>44762</v>
      </c>
      <c r="NX50" s="14">
        <f>DATE(YEAR(NW50)+5,MONTH(NW50),DAY(NW50))</f>
        <v>46588</v>
      </c>
      <c r="NY50" s="65">
        <f ca="1">NX50-TODAY()</f>
        <v>457</v>
      </c>
      <c r="NZ50" s="15" t="str">
        <f t="shared" ca="1" si="118"/>
        <v>VIGENTE</v>
      </c>
    </row>
    <row r="51" spans="1:390" ht="15.6" thickTop="1" thickBot="1" x14ac:dyDescent="0.35">
      <c r="A51" s="11">
        <v>1654</v>
      </c>
      <c r="B51" s="10" t="s">
        <v>264</v>
      </c>
      <c r="C51" s="21" t="s">
        <v>151</v>
      </c>
      <c r="D51" s="64" t="s">
        <v>188</v>
      </c>
      <c r="E51" s="13">
        <v>46118</v>
      </c>
      <c r="F51" s="14">
        <v>46119</v>
      </c>
      <c r="G51" s="14">
        <f>DATE(YEAR(F51)+2,MONTH(F51),DAY(F51))</f>
        <v>46850</v>
      </c>
      <c r="H51" s="65">
        <f ca="1">G51-TODAY()</f>
        <v>719</v>
      </c>
      <c r="I51" s="15" t="str">
        <f t="shared" ca="1" si="0"/>
        <v>VIGENTE</v>
      </c>
      <c r="J51" s="12"/>
      <c r="K51" s="16"/>
      <c r="L51" s="16"/>
      <c r="M51" s="65"/>
      <c r="N51" s="15" t="str">
        <f t="shared" si="1"/>
        <v>NO APLICA</v>
      </c>
      <c r="O51" s="16"/>
      <c r="P51" s="16"/>
      <c r="Q51" s="14"/>
      <c r="R51" s="65"/>
      <c r="S51" s="15" t="str">
        <f t="shared" si="119"/>
        <v>NO APLICA</v>
      </c>
      <c r="T51" s="12" t="s">
        <v>265</v>
      </c>
      <c r="U51" s="13">
        <v>44943</v>
      </c>
      <c r="V51" s="14">
        <v>44944</v>
      </c>
      <c r="W51" s="14">
        <f t="shared" si="2"/>
        <v>46770</v>
      </c>
      <c r="X51" s="65">
        <f t="shared" ca="1" si="3"/>
        <v>639</v>
      </c>
      <c r="Y51" s="15" t="str">
        <f t="shared" ca="1" si="4"/>
        <v>VIGENTE</v>
      </c>
      <c r="Z51" s="12"/>
      <c r="AA51" s="12"/>
      <c r="AB51" s="16"/>
      <c r="AC51" s="14"/>
      <c r="AD51" s="65"/>
      <c r="AE51" s="15" t="str">
        <f t="shared" si="7"/>
        <v>NO APLICA</v>
      </c>
      <c r="AF51" s="13">
        <v>44929</v>
      </c>
      <c r="AG51" s="14">
        <v>45589</v>
      </c>
      <c r="AH51" s="14">
        <f>DATE(YEAR(AG51)+2,MONTH(AG51),DAY(AG51)-1)</f>
        <v>46318</v>
      </c>
      <c r="AI51" s="65">
        <f t="shared" ca="1" si="8"/>
        <v>187</v>
      </c>
      <c r="AJ51" s="15" t="str">
        <f t="shared" ca="1" si="213"/>
        <v>VIGENTE</v>
      </c>
      <c r="AK51" s="13">
        <v>45108</v>
      </c>
      <c r="AL51" s="14">
        <v>45748</v>
      </c>
      <c r="AM51" s="14">
        <f>DATE(YEAR(AL51)+2,MONTH(AL51),DAY(AL51)-1)</f>
        <v>46477</v>
      </c>
      <c r="AN51" s="65">
        <f t="shared" ca="1" si="10"/>
        <v>346</v>
      </c>
      <c r="AO51" s="15" t="str">
        <f t="shared" ca="1" si="11"/>
        <v>VIGENTE</v>
      </c>
      <c r="AP51" s="13">
        <v>44921</v>
      </c>
      <c r="AQ51" s="14">
        <v>45591</v>
      </c>
      <c r="AR51" s="14">
        <f>DATE(YEAR(AQ51)+2,MONTH(AQ51),DAY(AQ51)-1)</f>
        <v>46320</v>
      </c>
      <c r="AS51" s="65">
        <f t="shared" ca="1" si="12"/>
        <v>189</v>
      </c>
      <c r="AT51" s="15" t="str">
        <f t="shared" ca="1" si="13"/>
        <v>VIGENTE</v>
      </c>
      <c r="AU51" s="13">
        <v>45021</v>
      </c>
      <c r="AV51" s="14">
        <v>45702</v>
      </c>
      <c r="AW51" s="14">
        <f>DATE(YEAR(AV51)+2,MONTH(AV51),DAY(AV51)-1)</f>
        <v>46431</v>
      </c>
      <c r="AX51" s="65">
        <f t="shared" ca="1" si="15"/>
        <v>300</v>
      </c>
      <c r="AY51" s="15" t="str">
        <f t="shared" ca="1" si="16"/>
        <v>VIGENTE</v>
      </c>
      <c r="AZ51" s="13">
        <v>44930</v>
      </c>
      <c r="BA51" s="14">
        <v>45622</v>
      </c>
      <c r="BB51" s="14">
        <f>DATE(YEAR(BA51)+2,MONTH(BA51),DAY(BA51)-1)</f>
        <v>46351</v>
      </c>
      <c r="BC51" s="65">
        <f t="shared" ca="1" si="17"/>
        <v>220</v>
      </c>
      <c r="BD51" s="15" t="str">
        <f t="shared" ca="1" si="18"/>
        <v>VIGENTE</v>
      </c>
      <c r="BE51" s="13">
        <v>45141</v>
      </c>
      <c r="BF51" s="14">
        <v>45826</v>
      </c>
      <c r="BG51" s="14">
        <f>DATE(YEAR(BF51)+2,MONTH(BF51),DAY(BF51))</f>
        <v>46556</v>
      </c>
      <c r="BH51" s="65">
        <f t="shared" ca="1" si="19"/>
        <v>425</v>
      </c>
      <c r="BI51" s="15" t="str">
        <f t="shared" ca="1" si="20"/>
        <v>VIGENTE</v>
      </c>
      <c r="BJ51" s="13">
        <v>45155</v>
      </c>
      <c r="BK51" s="14">
        <v>45819</v>
      </c>
      <c r="BL51" s="14">
        <f>DATE(YEAR(BK51)+2,MONTH(BK51),DAY(BK51))</f>
        <v>46549</v>
      </c>
      <c r="BM51" s="65">
        <f t="shared" ca="1" si="21"/>
        <v>418</v>
      </c>
      <c r="BN51" s="15" t="str">
        <f t="shared" ca="1" si="22"/>
        <v>VIGENTE</v>
      </c>
      <c r="BO51" s="13">
        <v>44951</v>
      </c>
      <c r="BP51" s="14">
        <v>45604</v>
      </c>
      <c r="BQ51" s="14">
        <f>DATE(YEAR(BP51)+2,MONTH(BP51),DAY(BP51)-1)</f>
        <v>46333</v>
      </c>
      <c r="BR51" s="65">
        <f t="shared" ca="1" si="23"/>
        <v>202</v>
      </c>
      <c r="BS51" s="15" t="str">
        <f t="shared" ca="1" si="24"/>
        <v>VIGENTE</v>
      </c>
      <c r="BT51" s="12">
        <v>45086</v>
      </c>
      <c r="BU51" s="14">
        <v>45736</v>
      </c>
      <c r="BV51" s="14">
        <f>DATE(YEAR(BU51)+2,MONTH(BU51),DAY(BU51)-1)</f>
        <v>46465</v>
      </c>
      <c r="BW51" s="65">
        <f t="shared" ca="1" si="25"/>
        <v>334</v>
      </c>
      <c r="BX51" s="15" t="str">
        <f t="shared" ca="1" si="26"/>
        <v>VIGENTE</v>
      </c>
      <c r="BY51" s="13">
        <v>45063</v>
      </c>
      <c r="BZ51" s="14">
        <v>45730</v>
      </c>
      <c r="CA51" s="14">
        <f>DATE(YEAR(BZ51)+2,MONTH(BZ51),DAY(BZ51)-1)</f>
        <v>46459</v>
      </c>
      <c r="CB51" s="65">
        <f t="shared" ca="1" si="27"/>
        <v>328</v>
      </c>
      <c r="CC51" s="15" t="str">
        <f t="shared" ca="1" si="28"/>
        <v>VIGENTE</v>
      </c>
      <c r="CD51" s="16" t="s">
        <v>102</v>
      </c>
      <c r="CE51" s="14">
        <v>45831</v>
      </c>
      <c r="CF51" s="14">
        <v>45832</v>
      </c>
      <c r="CG51" s="14">
        <f t="shared" si="29"/>
        <v>47293</v>
      </c>
      <c r="CH51" s="65">
        <f t="shared" ca="1" si="30"/>
        <v>1162</v>
      </c>
      <c r="CI51" s="15" t="str">
        <f t="shared" ca="1" si="31"/>
        <v>VIGENTE</v>
      </c>
      <c r="CJ51" s="14">
        <v>45156</v>
      </c>
      <c r="CK51" s="14">
        <v>45801</v>
      </c>
      <c r="CL51" s="14">
        <f t="shared" si="219"/>
        <v>46530</v>
      </c>
      <c r="CM51" s="65">
        <f t="shared" ca="1" si="32"/>
        <v>399</v>
      </c>
      <c r="CN51" s="15" t="str">
        <f t="shared" ca="1" si="33"/>
        <v>VIGENTE</v>
      </c>
      <c r="CO51" s="13">
        <v>45087</v>
      </c>
      <c r="CP51" s="14">
        <v>45769</v>
      </c>
      <c r="CQ51" s="14">
        <f>DATE(YEAR(CP51)+2,MONTH(CP51),DAY(CP51))</f>
        <v>46499</v>
      </c>
      <c r="CR51" s="65">
        <f t="shared" ca="1" si="34"/>
        <v>368</v>
      </c>
      <c r="CS51" s="15" t="str">
        <f t="shared" ca="1" si="35"/>
        <v>VIGENTE</v>
      </c>
      <c r="CT51" s="13">
        <v>44982</v>
      </c>
      <c r="CU51" s="14">
        <v>45624</v>
      </c>
      <c r="CV51" s="14">
        <f>DATE(YEAR(CU51)+2,MONTH(CU51),DAY(CU51)-1)</f>
        <v>46353</v>
      </c>
      <c r="CW51" s="65">
        <f t="shared" ca="1" si="36"/>
        <v>222</v>
      </c>
      <c r="CX51" s="15" t="str">
        <f t="shared" ca="1" si="37"/>
        <v>VIGENTE</v>
      </c>
      <c r="CY51" s="13">
        <v>44991</v>
      </c>
      <c r="CZ51" s="14">
        <v>45681</v>
      </c>
      <c r="DA51" s="14">
        <f>DATE(YEAR(CZ51)+2,MONTH(CZ51),DAY(CZ51)-1)</f>
        <v>46410</v>
      </c>
      <c r="DB51" s="65">
        <f t="shared" ca="1" si="38"/>
        <v>279</v>
      </c>
      <c r="DC51" s="15" t="str">
        <f t="shared" ca="1" si="39"/>
        <v>VIGENTE</v>
      </c>
      <c r="DD51" s="13">
        <v>45129</v>
      </c>
      <c r="DE51" s="14">
        <v>45723</v>
      </c>
      <c r="DF51" s="14">
        <f t="shared" si="220"/>
        <v>46452</v>
      </c>
      <c r="DG51" s="65">
        <f t="shared" ca="1" si="40"/>
        <v>321</v>
      </c>
      <c r="DH51" s="15" t="str">
        <f t="shared" ca="1" si="41"/>
        <v>VIGENTE</v>
      </c>
      <c r="DI51" s="13">
        <v>45167</v>
      </c>
      <c r="DJ51" s="14">
        <v>45779</v>
      </c>
      <c r="DK51" s="14">
        <f t="shared" si="218"/>
        <v>46509</v>
      </c>
      <c r="DL51" s="65">
        <f t="shared" ca="1" si="43"/>
        <v>378</v>
      </c>
      <c r="DM51" s="15" t="str">
        <f t="shared" ca="1" si="44"/>
        <v>VIGENTE</v>
      </c>
      <c r="DN51" s="13">
        <v>44918</v>
      </c>
      <c r="DO51" s="14">
        <v>45590</v>
      </c>
      <c r="DP51" s="14">
        <f>DATE(YEAR(DO51)+2,MONTH(DO51),DAY(DO51)-1)</f>
        <v>46319</v>
      </c>
      <c r="DQ51" s="65">
        <f t="shared" ca="1" si="46"/>
        <v>188</v>
      </c>
      <c r="DR51" s="15" t="str">
        <f t="shared" ca="1" si="47"/>
        <v>VIGENTE</v>
      </c>
      <c r="DS51" s="13">
        <v>44935</v>
      </c>
      <c r="DT51" s="14">
        <v>45608</v>
      </c>
      <c r="DU51" s="14">
        <f>DATE(YEAR(DT51)+2,MONTH(DT51),DAY(DT51)-1)</f>
        <v>46337</v>
      </c>
      <c r="DV51" s="65">
        <f t="shared" ca="1" si="48"/>
        <v>206</v>
      </c>
      <c r="DW51" s="15" t="str">
        <f t="shared" ca="1" si="49"/>
        <v>VIGENTE</v>
      </c>
      <c r="DX51" s="13">
        <v>44993</v>
      </c>
      <c r="DY51" s="14">
        <v>45663</v>
      </c>
      <c r="DZ51" s="14">
        <f>DATE(YEAR(DY51)+2,MONTH(DY51),DAY(DY51)-1)</f>
        <v>46392</v>
      </c>
      <c r="EA51" s="65">
        <f t="shared" ca="1" si="50"/>
        <v>261</v>
      </c>
      <c r="EB51" s="15" t="str">
        <f t="shared" ca="1" si="51"/>
        <v>VIGENTE</v>
      </c>
      <c r="EC51" s="13">
        <v>45157</v>
      </c>
      <c r="ED51" s="14">
        <v>45829</v>
      </c>
      <c r="EE51" s="14">
        <f>DATE(YEAR(ED51)+2,MONTH(ED51),DAY(ED51))</f>
        <v>46559</v>
      </c>
      <c r="EF51" s="65">
        <f t="shared" ca="1" si="52"/>
        <v>428</v>
      </c>
      <c r="EG51" s="15" t="str">
        <f t="shared" ca="1" si="53"/>
        <v>VIGENTE</v>
      </c>
      <c r="EH51" s="13">
        <v>45000</v>
      </c>
      <c r="EI51" s="13">
        <v>46083</v>
      </c>
      <c r="EJ51" s="13">
        <v>46084</v>
      </c>
      <c r="EK51" s="13">
        <v>46085</v>
      </c>
      <c r="EL51" s="14">
        <f t="shared" si="128"/>
        <v>46450</v>
      </c>
      <c r="EM51" s="65">
        <f t="shared" ca="1" si="54"/>
        <v>319</v>
      </c>
      <c r="EN51" s="15" t="str">
        <f t="shared" ca="1" si="55"/>
        <v>VIGENTE</v>
      </c>
      <c r="EO51" s="13">
        <v>44985</v>
      </c>
      <c r="EP51" s="14">
        <v>45671</v>
      </c>
      <c r="EQ51" s="14">
        <f>DATE(YEAR(EP51)+2,MONTH(EP51),DAY(EP51)-1)</f>
        <v>46400</v>
      </c>
      <c r="ER51" s="65">
        <f t="shared" ca="1" si="56"/>
        <v>269</v>
      </c>
      <c r="ES51" s="15" t="str">
        <f t="shared" ca="1" si="57"/>
        <v>VIGENTE</v>
      </c>
      <c r="ET51" s="13">
        <v>45159</v>
      </c>
      <c r="EU51" s="14">
        <v>45824</v>
      </c>
      <c r="EV51" s="14">
        <f>DATE(YEAR(EU51)+2,MONTH(EU51),DAY(EU51))</f>
        <v>46554</v>
      </c>
      <c r="EW51" s="65">
        <f t="shared" ca="1" si="58"/>
        <v>423</v>
      </c>
      <c r="EX51" s="15" t="str">
        <f t="shared" ca="1" si="59"/>
        <v>VIGENTE</v>
      </c>
      <c r="EY51" s="13">
        <v>44957</v>
      </c>
      <c r="EZ51" s="14">
        <v>45610</v>
      </c>
      <c r="FA51" s="14">
        <f>DATE(YEAR(EZ51)+2,MONTH(EZ51),DAY(EZ51)-1)</f>
        <v>46339</v>
      </c>
      <c r="FB51" s="65">
        <f t="shared" ca="1" si="60"/>
        <v>208</v>
      </c>
      <c r="FC51" s="15" t="str">
        <f t="shared" ca="1" si="61"/>
        <v>VIGENTE</v>
      </c>
      <c r="FD51" s="13">
        <v>44936</v>
      </c>
      <c r="FE51" s="14">
        <v>45611</v>
      </c>
      <c r="FF51" s="14">
        <f>DATE(YEAR(FE51)+2,MONTH(FE51),DAY(FE51)-1)</f>
        <v>46340</v>
      </c>
      <c r="FG51" s="65">
        <f t="shared" ca="1" si="62"/>
        <v>209</v>
      </c>
      <c r="FH51" s="15" t="str">
        <f t="shared" ca="1" si="63"/>
        <v>VIGENTE</v>
      </c>
      <c r="FI51" s="13">
        <v>45006</v>
      </c>
      <c r="FJ51" s="14">
        <v>45668</v>
      </c>
      <c r="FK51" s="14">
        <f>DATE(YEAR(FJ51)+2,MONTH(FJ51),DAY(FJ51)-1)</f>
        <v>46397</v>
      </c>
      <c r="FL51" s="65">
        <f t="shared" ca="1" si="64"/>
        <v>266</v>
      </c>
      <c r="FM51" s="15" t="str">
        <f t="shared" ca="1" si="65"/>
        <v>VIGENTE</v>
      </c>
      <c r="FN51" s="13">
        <v>45084</v>
      </c>
      <c r="FO51" s="14">
        <v>45738</v>
      </c>
      <c r="FP51" s="14">
        <f>DATE(YEAR(FO51)+2,MONTH(FO51),DAY(FO51)-1)</f>
        <v>46467</v>
      </c>
      <c r="FQ51" s="65">
        <f t="shared" ca="1" si="67"/>
        <v>336</v>
      </c>
      <c r="FR51" s="15" t="str">
        <f t="shared" ca="1" si="68"/>
        <v>VIGENTE</v>
      </c>
      <c r="FS51" s="13">
        <v>44998</v>
      </c>
      <c r="FT51" s="14">
        <v>45664</v>
      </c>
      <c r="FU51" s="14">
        <f>DATE(YEAR(FT51)+2,MONTH(FT51),DAY(FT51)-1)</f>
        <v>46393</v>
      </c>
      <c r="FV51" s="65">
        <f t="shared" ca="1" si="69"/>
        <v>262</v>
      </c>
      <c r="FW51" s="15" t="str">
        <f t="shared" ca="1" si="70"/>
        <v>VIGENTE</v>
      </c>
      <c r="FX51" s="13">
        <v>44938</v>
      </c>
      <c r="FY51" s="14">
        <v>45574</v>
      </c>
      <c r="FZ51" s="14">
        <f>DATE(YEAR(FY51)+2,MONTH(FY51),DAY(FY51)-1)</f>
        <v>46303</v>
      </c>
      <c r="GA51" s="65">
        <f t="shared" ca="1" si="71"/>
        <v>172</v>
      </c>
      <c r="GB51" s="15" t="str">
        <f t="shared" ca="1" si="72"/>
        <v>VIGENTE</v>
      </c>
      <c r="GC51" s="13">
        <v>44995</v>
      </c>
      <c r="GD51" s="14">
        <v>45667</v>
      </c>
      <c r="GE51" s="14">
        <f>DATE(YEAR(GD51)+2,MONTH(GD51),DAY(GD51)-1)</f>
        <v>46396</v>
      </c>
      <c r="GF51" s="65">
        <f t="shared" ca="1" si="73"/>
        <v>265</v>
      </c>
      <c r="GG51" s="15" t="str">
        <f t="shared" ca="1" si="74"/>
        <v>VIGENTE</v>
      </c>
      <c r="GH51" s="13">
        <v>44937</v>
      </c>
      <c r="GI51" s="14">
        <v>45579</v>
      </c>
      <c r="GJ51" s="14">
        <f>DATE(YEAR(GI51)+2,MONTH(GI51),DAY(GI51)-1)</f>
        <v>46308</v>
      </c>
      <c r="GK51" s="65">
        <f t="shared" ca="1" si="75"/>
        <v>177</v>
      </c>
      <c r="GL51" s="15" t="str">
        <f t="shared" ca="1" si="76"/>
        <v>VIGENTE</v>
      </c>
      <c r="GM51" s="13">
        <v>45028</v>
      </c>
      <c r="GN51" s="14">
        <v>45687</v>
      </c>
      <c r="GO51" s="14">
        <f>DATE(YEAR(GN51)+2,MONTH(GN51),DAY(GN51)-1)</f>
        <v>46416</v>
      </c>
      <c r="GP51" s="65">
        <f t="shared" ca="1" si="77"/>
        <v>285</v>
      </c>
      <c r="GQ51" s="15" t="str">
        <f t="shared" ca="1" si="78"/>
        <v>VIGENTE</v>
      </c>
      <c r="GR51" s="14"/>
      <c r="GS51" s="14">
        <v>45136</v>
      </c>
      <c r="GT51" s="14">
        <f t="shared" si="79"/>
        <v>46963</v>
      </c>
      <c r="GU51" s="65">
        <f t="shared" ca="1" si="172"/>
        <v>832</v>
      </c>
      <c r="GV51" s="15" t="str">
        <f t="shared" ca="1" si="81"/>
        <v>VIGENTE</v>
      </c>
      <c r="GW51" s="13"/>
      <c r="GX51" s="14">
        <v>45010</v>
      </c>
      <c r="GY51" s="14">
        <f t="shared" si="82"/>
        <v>46837</v>
      </c>
      <c r="GZ51" s="65">
        <f t="shared" ca="1" si="83"/>
        <v>706</v>
      </c>
      <c r="HA51" s="15" t="str">
        <f t="shared" ca="1" si="84"/>
        <v>VIGENTE</v>
      </c>
      <c r="HB51" s="12"/>
      <c r="HC51" s="14">
        <v>45016</v>
      </c>
      <c r="HD51" s="14">
        <f t="shared" si="85"/>
        <v>46843</v>
      </c>
      <c r="HE51" s="65">
        <f t="shared" ca="1" si="86"/>
        <v>712</v>
      </c>
      <c r="HF51" s="15" t="str">
        <f t="shared" ca="1" si="87"/>
        <v>VIGENTE</v>
      </c>
      <c r="HG51" s="16"/>
      <c r="HH51" s="16"/>
      <c r="HI51" s="14"/>
      <c r="HJ51" s="65"/>
      <c r="HK51" s="15" t="str">
        <f t="shared" si="217"/>
        <v>NO APLICA</v>
      </c>
      <c r="HL51" s="12"/>
      <c r="HM51" s="16"/>
      <c r="HN51" s="14"/>
      <c r="HO51" s="65"/>
      <c r="HP51" s="15" t="str">
        <f t="shared" si="221"/>
        <v>NO APLICA</v>
      </c>
      <c r="HQ51" s="12"/>
      <c r="HR51" s="12"/>
      <c r="HS51" s="14"/>
      <c r="HT51" s="12"/>
      <c r="HU51" s="15" t="str">
        <f t="shared" si="92"/>
        <v>NO APLICA</v>
      </c>
      <c r="HV51" s="12"/>
      <c r="HW51" s="16"/>
      <c r="HX51" s="14"/>
      <c r="HY51" s="65"/>
      <c r="HZ51" s="15" t="str">
        <f t="shared" si="93"/>
        <v>NO APLICA</v>
      </c>
      <c r="IA51" s="12"/>
      <c r="IB51" s="16"/>
      <c r="IC51" s="14"/>
      <c r="ID51" s="65"/>
      <c r="IE51" s="15" t="str">
        <f t="shared" si="94"/>
        <v>NO APLICA</v>
      </c>
      <c r="IF51" s="12"/>
      <c r="IG51" s="16"/>
      <c r="IH51" s="14"/>
      <c r="II51" s="65"/>
      <c r="IJ51" s="15" t="str">
        <f t="shared" si="95"/>
        <v>NO APLICA</v>
      </c>
      <c r="IK51" s="16"/>
      <c r="IL51" s="16"/>
      <c r="IM51" s="14"/>
      <c r="IN51" s="65"/>
      <c r="IO51" s="15" t="str">
        <f t="shared" si="96"/>
        <v>NO APLICA</v>
      </c>
      <c r="IP51" s="12"/>
      <c r="IQ51" s="16"/>
      <c r="IR51" s="14"/>
      <c r="IS51" s="65"/>
      <c r="IT51" s="15" t="str">
        <f t="shared" si="97"/>
        <v>NO APLICA</v>
      </c>
      <c r="IU51" s="12"/>
      <c r="IV51" s="16"/>
      <c r="IW51" s="14"/>
      <c r="IX51" s="65"/>
      <c r="IY51" s="15" t="str">
        <f t="shared" si="98"/>
        <v>NO APLICA</v>
      </c>
      <c r="IZ51" s="12"/>
      <c r="JA51" s="16"/>
      <c r="JB51" s="14"/>
      <c r="JC51" s="65"/>
      <c r="JD51" s="15" t="str">
        <f t="shared" si="99"/>
        <v>NO APLICA</v>
      </c>
      <c r="JE51" s="13"/>
      <c r="JF51" s="13"/>
      <c r="JG51" s="14"/>
      <c r="JH51" s="65"/>
      <c r="JI51" s="15" t="str">
        <f t="shared" si="100"/>
        <v>NO APLICA</v>
      </c>
      <c r="JJ51" s="16"/>
      <c r="JK51" s="16"/>
      <c r="JL51" s="16"/>
      <c r="JM51" s="15" t="str">
        <f t="shared" si="101"/>
        <v>NO APLICA</v>
      </c>
      <c r="JN51" s="16"/>
      <c r="JO51" s="16"/>
      <c r="JP51" s="16"/>
      <c r="JQ51" s="15" t="str">
        <f t="shared" si="102"/>
        <v>NO APLICA</v>
      </c>
      <c r="JR51" s="16"/>
      <c r="JS51" s="16"/>
      <c r="JT51" s="16"/>
      <c r="JU51" s="16"/>
      <c r="JV51" s="15" t="str">
        <f t="shared" si="103"/>
        <v>NO APLICA</v>
      </c>
      <c r="JW51" s="15"/>
      <c r="JX51" s="15"/>
      <c r="JY51" s="15"/>
      <c r="JZ51" s="15"/>
      <c r="KA51" s="15" t="str">
        <f t="shared" si="104"/>
        <v>NO APLICA</v>
      </c>
      <c r="KB51" s="12"/>
      <c r="KC51" s="14"/>
      <c r="KD51" s="65"/>
      <c r="KE51" s="15" t="str">
        <f t="shared" si="105"/>
        <v>NO APLICA</v>
      </c>
      <c r="KF51" s="12"/>
      <c r="KG51" s="14"/>
      <c r="KH51" s="65"/>
      <c r="KI51" s="15" t="str">
        <f t="shared" si="132"/>
        <v>NO APLICA</v>
      </c>
      <c r="KJ51" s="12"/>
      <c r="KK51" s="14"/>
      <c r="KL51" s="65"/>
      <c r="KM51" s="15" t="str">
        <f t="shared" si="106"/>
        <v>NO APLICA</v>
      </c>
      <c r="KN51" s="12"/>
      <c r="KO51" s="14"/>
      <c r="KP51" s="65"/>
      <c r="KQ51" s="15" t="str">
        <f t="shared" si="133"/>
        <v>NO APLICA</v>
      </c>
      <c r="KR51" s="12"/>
      <c r="KS51" s="16"/>
      <c r="KT51" s="14"/>
      <c r="KU51" s="65"/>
      <c r="KV51" s="15" t="str">
        <f t="shared" si="147"/>
        <v>NO APLICA</v>
      </c>
      <c r="KW51" s="16"/>
      <c r="KX51" s="14"/>
      <c r="KY51" s="65"/>
      <c r="KZ51" s="15" t="str">
        <f t="shared" si="134"/>
        <v>NO APLICA</v>
      </c>
      <c r="LA51" s="16"/>
      <c r="LB51" s="16"/>
      <c r="LC51" s="14"/>
      <c r="LD51" s="65"/>
      <c r="LE51" s="15" t="str">
        <f t="shared" si="107"/>
        <v>NO APLICA</v>
      </c>
      <c r="LF51" s="15"/>
      <c r="LG51" s="15"/>
      <c r="LH51" s="14"/>
      <c r="LI51" s="65"/>
      <c r="LJ51" s="15" t="str">
        <f t="shared" si="148"/>
        <v>NO APLICA</v>
      </c>
      <c r="LK51" s="12"/>
      <c r="LL51" s="16"/>
      <c r="LM51" s="14"/>
      <c r="LN51" s="65"/>
      <c r="LO51" s="15" t="str">
        <f t="shared" si="135"/>
        <v>NO APLICA</v>
      </c>
      <c r="LP51" s="16"/>
      <c r="LQ51" s="16"/>
      <c r="LR51" s="14"/>
      <c r="LS51" s="65"/>
      <c r="LT51" s="15" t="str">
        <f t="shared" si="136"/>
        <v>NO APLICA</v>
      </c>
      <c r="LU51" s="16"/>
      <c r="LV51" s="16"/>
      <c r="LW51" s="14"/>
      <c r="LX51" s="65"/>
      <c r="LY51" s="15" t="str">
        <f t="shared" si="137"/>
        <v>NO APLICA</v>
      </c>
      <c r="LZ51" s="12"/>
      <c r="MA51" s="12"/>
      <c r="MB51" s="14"/>
      <c r="MC51" s="65"/>
      <c r="MD51" s="15" t="str">
        <f t="shared" si="108"/>
        <v>NO APLICA</v>
      </c>
      <c r="ME51" s="12"/>
      <c r="MF51" s="12"/>
      <c r="MG51" s="14"/>
      <c r="MH51" s="65"/>
      <c r="MI51" s="15" t="str">
        <f t="shared" si="109"/>
        <v>NO APLICA</v>
      </c>
      <c r="MJ51" s="12"/>
      <c r="MK51" s="14"/>
      <c r="ML51" s="65"/>
      <c r="MM51" s="15" t="str">
        <f t="shared" si="110"/>
        <v>NO APLICA</v>
      </c>
      <c r="MN51" s="12"/>
      <c r="MO51" s="14"/>
      <c r="MP51" s="12"/>
      <c r="MQ51" s="15" t="str">
        <f t="shared" si="111"/>
        <v>NO APLICA</v>
      </c>
      <c r="MR51" s="12"/>
      <c r="MS51" s="16"/>
      <c r="MT51" s="14"/>
      <c r="MU51" s="65"/>
      <c r="MV51" s="15" t="str">
        <f t="shared" si="112"/>
        <v>NO APLICA</v>
      </c>
      <c r="MW51" s="12"/>
      <c r="MX51" s="16"/>
      <c r="MY51" s="14"/>
      <c r="MZ51" s="65"/>
      <c r="NA51" s="15" t="str">
        <f t="shared" si="113"/>
        <v>NO APLICA</v>
      </c>
      <c r="NB51" s="12"/>
      <c r="NC51" s="16"/>
      <c r="ND51" s="14"/>
      <c r="NE51" s="65"/>
      <c r="NF51" s="15" t="str">
        <f t="shared" si="114"/>
        <v>NO APLICA</v>
      </c>
      <c r="NG51" s="12"/>
      <c r="NH51" s="12"/>
      <c r="NI51" s="14"/>
      <c r="NJ51" s="65"/>
      <c r="NK51" s="15" t="str">
        <f t="shared" si="115"/>
        <v>NO APLICA</v>
      </c>
      <c r="NL51" s="12"/>
      <c r="NM51" s="12"/>
      <c r="NN51" s="14"/>
      <c r="NO51" s="12"/>
      <c r="NP51" s="15" t="str">
        <f t="shared" si="116"/>
        <v>NO APLICA</v>
      </c>
      <c r="NQ51" s="16"/>
      <c r="NR51" s="16"/>
      <c r="NS51" s="14"/>
      <c r="NT51" s="65"/>
      <c r="NU51" s="15" t="str">
        <f t="shared" si="117"/>
        <v>NO APLICA</v>
      </c>
      <c r="NV51" s="16"/>
      <c r="NW51" s="16"/>
      <c r="NX51" s="16"/>
      <c r="NY51" s="16"/>
      <c r="NZ51" s="15" t="str">
        <f t="shared" si="118"/>
        <v>NO APLICA</v>
      </c>
    </row>
    <row r="52" spans="1:390" ht="15.6" thickTop="1" thickBot="1" x14ac:dyDescent="0.35">
      <c r="A52" s="9">
        <v>1012</v>
      </c>
      <c r="B52" s="10" t="s">
        <v>266</v>
      </c>
      <c r="C52" s="21" t="s">
        <v>151</v>
      </c>
      <c r="D52" s="64" t="s">
        <v>165</v>
      </c>
      <c r="E52" s="13">
        <v>46059</v>
      </c>
      <c r="F52" s="14">
        <v>46060</v>
      </c>
      <c r="G52" s="14">
        <f>DATE(YEAR(F52)+2,MONTH(F52),DAY(F52))</f>
        <v>46790</v>
      </c>
      <c r="H52" s="65">
        <f ca="1">G52-TODAY()</f>
        <v>659</v>
      </c>
      <c r="I52" s="15" t="str">
        <f t="shared" ca="1" si="0"/>
        <v>VIGENTE</v>
      </c>
      <c r="J52" s="15"/>
      <c r="K52" s="16"/>
      <c r="L52" s="16"/>
      <c r="M52" s="65"/>
      <c r="N52" s="15" t="str">
        <f t="shared" si="1"/>
        <v>NO APLICA</v>
      </c>
      <c r="O52" s="16"/>
      <c r="P52" s="16"/>
      <c r="Q52" s="14"/>
      <c r="R52" s="65"/>
      <c r="S52" s="15" t="str">
        <f t="shared" si="119"/>
        <v>NO APLICA</v>
      </c>
      <c r="T52" s="12" t="s">
        <v>267</v>
      </c>
      <c r="U52" s="13">
        <v>45425</v>
      </c>
      <c r="V52" s="14">
        <v>45426</v>
      </c>
      <c r="W52" s="14">
        <f t="shared" si="2"/>
        <v>47252</v>
      </c>
      <c r="X52" s="65">
        <f t="shared" ca="1" si="3"/>
        <v>1121</v>
      </c>
      <c r="Y52" s="15" t="str">
        <f t="shared" ca="1" si="4"/>
        <v>VIGENTE</v>
      </c>
      <c r="Z52" s="12"/>
      <c r="AA52" s="12"/>
      <c r="AB52" s="16"/>
      <c r="AC52" s="14"/>
      <c r="AD52" s="65"/>
      <c r="AE52" s="15" t="str">
        <f t="shared" si="7"/>
        <v>NO APLICA</v>
      </c>
      <c r="AF52" s="13">
        <v>44621</v>
      </c>
      <c r="AG52" s="14">
        <v>45902</v>
      </c>
      <c r="AH52" s="14">
        <f>DATE(YEAR(AG52)+2,MONTH(AG52),DAY(AG52))</f>
        <v>46632</v>
      </c>
      <c r="AI52" s="65">
        <f t="shared" ca="1" si="8"/>
        <v>501</v>
      </c>
      <c r="AJ52" s="15" t="str">
        <f t="shared" ca="1" si="213"/>
        <v>VIGENTE</v>
      </c>
      <c r="AK52" s="13">
        <v>44620</v>
      </c>
      <c r="AL52" s="14">
        <v>45937</v>
      </c>
      <c r="AM52" s="14">
        <f>DATE(YEAR(AL52)+2,MONTH(AL52),DAY(AL52))</f>
        <v>46667</v>
      </c>
      <c r="AN52" s="65">
        <f t="shared" ca="1" si="10"/>
        <v>536</v>
      </c>
      <c r="AO52" s="15" t="str">
        <f t="shared" ca="1" si="11"/>
        <v>VIGENTE</v>
      </c>
      <c r="AP52" s="13">
        <v>44680</v>
      </c>
      <c r="AQ52" s="14">
        <v>45904</v>
      </c>
      <c r="AR52" s="14">
        <f>DATE(YEAR(AQ52)+2,MONTH(AQ52),DAY(AQ52))</f>
        <v>46634</v>
      </c>
      <c r="AS52" s="65">
        <f t="shared" ca="1" si="12"/>
        <v>503</v>
      </c>
      <c r="AT52" s="15" t="str">
        <f t="shared" ca="1" si="13"/>
        <v>VIGENTE</v>
      </c>
      <c r="AU52" s="13">
        <v>45323</v>
      </c>
      <c r="AV52" s="14">
        <v>45975</v>
      </c>
      <c r="AW52" s="14">
        <f>DATE(YEAR(AV52)+2,MONTH(AV52),DAY(AV52))</f>
        <v>46705</v>
      </c>
      <c r="AX52" s="65">
        <f t="shared" ca="1" si="15"/>
        <v>574</v>
      </c>
      <c r="AY52" s="15" t="str">
        <f t="shared" ca="1" si="16"/>
        <v>VIGENTE</v>
      </c>
      <c r="AZ52" s="13">
        <v>45093</v>
      </c>
      <c r="BA52" s="14">
        <v>45742</v>
      </c>
      <c r="BB52" s="14">
        <f>DATE(YEAR(BA52)+2,MONTH(BA52),DAY(BA52)-1)</f>
        <v>46471</v>
      </c>
      <c r="BC52" s="65">
        <f t="shared" ca="1" si="17"/>
        <v>340</v>
      </c>
      <c r="BD52" s="15" t="str">
        <f t="shared" ca="1" si="18"/>
        <v>VIGENTE</v>
      </c>
      <c r="BE52" s="13">
        <v>45052</v>
      </c>
      <c r="BF52" s="14">
        <v>45698</v>
      </c>
      <c r="BG52" s="14">
        <f>DATE(YEAR(BF52)+2,MONTH(BF52),DAY(BF52)-1)</f>
        <v>46427</v>
      </c>
      <c r="BH52" s="65">
        <f t="shared" ca="1" si="19"/>
        <v>296</v>
      </c>
      <c r="BI52" s="15" t="str">
        <f t="shared" ca="1" si="20"/>
        <v>VIGENTE</v>
      </c>
      <c r="BJ52" s="13">
        <v>44956</v>
      </c>
      <c r="BK52" s="14">
        <v>45570</v>
      </c>
      <c r="BL52" s="14">
        <f>DATE(YEAR(BK52)+2,MONTH(BK52),DAY(BK52)-1)</f>
        <v>46299</v>
      </c>
      <c r="BM52" s="65">
        <f t="shared" ca="1" si="21"/>
        <v>168</v>
      </c>
      <c r="BN52" s="15" t="str">
        <f t="shared" ca="1" si="22"/>
        <v>VIGENTE</v>
      </c>
      <c r="BO52" s="13">
        <v>44951</v>
      </c>
      <c r="BP52" s="14">
        <v>45621</v>
      </c>
      <c r="BQ52" s="14">
        <f>DATE(YEAR(BP52)+2,MONTH(BP52),DAY(BP52)-1)</f>
        <v>46350</v>
      </c>
      <c r="BR52" s="65">
        <f t="shared" ca="1" si="23"/>
        <v>219</v>
      </c>
      <c r="BS52" s="15" t="str">
        <f t="shared" ca="1" si="24"/>
        <v>VIGENTE</v>
      </c>
      <c r="BT52" s="13">
        <v>44963</v>
      </c>
      <c r="BU52" s="14">
        <v>45572</v>
      </c>
      <c r="BV52" s="14">
        <f>DATE(YEAR(BU52)+2,MONTH(BU52),DAY(BU52)-1)</f>
        <v>46301</v>
      </c>
      <c r="BW52" s="65">
        <f t="shared" ca="1" si="25"/>
        <v>170</v>
      </c>
      <c r="BX52" s="15" t="str">
        <f t="shared" ca="1" si="26"/>
        <v>VIGENTE</v>
      </c>
      <c r="BY52" s="13">
        <v>44622</v>
      </c>
      <c r="BZ52" s="14">
        <v>45944</v>
      </c>
      <c r="CA52" s="14">
        <f>DATE(YEAR(BZ52)+2,MONTH(BZ52),DAY(BZ52))</f>
        <v>46674</v>
      </c>
      <c r="CB52" s="65">
        <f t="shared" ca="1" si="27"/>
        <v>543</v>
      </c>
      <c r="CC52" s="15" t="str">
        <f t="shared" ca="1" si="28"/>
        <v>VIGENTE</v>
      </c>
      <c r="CD52" s="16" t="s">
        <v>108</v>
      </c>
      <c r="CE52" s="14">
        <v>45615</v>
      </c>
      <c r="CF52" s="14">
        <v>45616</v>
      </c>
      <c r="CG52" s="14">
        <f t="shared" si="29"/>
        <v>47077</v>
      </c>
      <c r="CH52" s="65">
        <f t="shared" ca="1" si="30"/>
        <v>946</v>
      </c>
      <c r="CI52" s="15" t="str">
        <f t="shared" ca="1" si="31"/>
        <v>VIGENTE</v>
      </c>
      <c r="CJ52" s="14">
        <v>44980</v>
      </c>
      <c r="CK52" s="14">
        <v>45688</v>
      </c>
      <c r="CL52" s="14">
        <f t="shared" si="219"/>
        <v>46417</v>
      </c>
      <c r="CM52" s="65">
        <f t="shared" ca="1" si="32"/>
        <v>286</v>
      </c>
      <c r="CN52" s="15" t="str">
        <f t="shared" ca="1" si="33"/>
        <v>VIGENTE</v>
      </c>
      <c r="CO52" s="13">
        <v>44970</v>
      </c>
      <c r="CP52" s="14">
        <v>45684</v>
      </c>
      <c r="CQ52" s="14">
        <f>DATE(YEAR(CP52)+2,MONTH(CP52),DAY(CP52)-1)</f>
        <v>46413</v>
      </c>
      <c r="CR52" s="65">
        <f t="shared" ca="1" si="34"/>
        <v>282</v>
      </c>
      <c r="CS52" s="15" t="str">
        <f t="shared" ca="1" si="35"/>
        <v>VIGENTE</v>
      </c>
      <c r="CT52" s="13">
        <v>45287</v>
      </c>
      <c r="CU52" s="14">
        <v>45965</v>
      </c>
      <c r="CV52" s="14">
        <f>DATE(YEAR(CU52)+2,MONTH(CU52),DAY(CU52))</f>
        <v>46695</v>
      </c>
      <c r="CW52" s="65">
        <f t="shared" ca="1" si="36"/>
        <v>564</v>
      </c>
      <c r="CX52" s="15" t="str">
        <f t="shared" ca="1" si="37"/>
        <v>VIGENTE</v>
      </c>
      <c r="CY52" s="13">
        <v>44681</v>
      </c>
      <c r="CZ52" s="14">
        <v>46000</v>
      </c>
      <c r="DA52" s="14">
        <f>DATE(YEAR(CZ52)+2,MONTH(CZ52),DAY(CZ52))</f>
        <v>46730</v>
      </c>
      <c r="DB52" s="65">
        <f t="shared" ca="1" si="38"/>
        <v>599</v>
      </c>
      <c r="DC52" s="15" t="str">
        <f t="shared" ca="1" si="39"/>
        <v>VIGENTE</v>
      </c>
      <c r="DD52" s="13">
        <v>45037</v>
      </c>
      <c r="DE52" s="14">
        <v>45689</v>
      </c>
      <c r="DF52" s="14">
        <f t="shared" si="220"/>
        <v>46418</v>
      </c>
      <c r="DG52" s="65">
        <f t="shared" ca="1" si="40"/>
        <v>287</v>
      </c>
      <c r="DH52" s="15" t="str">
        <f t="shared" ca="1" si="41"/>
        <v>VIGENTE</v>
      </c>
      <c r="DI52" s="13">
        <v>45251</v>
      </c>
      <c r="DJ52" s="14">
        <v>45899</v>
      </c>
      <c r="DK52" s="14">
        <f t="shared" si="218"/>
        <v>46629</v>
      </c>
      <c r="DL52" s="65">
        <f t="shared" ca="1" si="43"/>
        <v>498</v>
      </c>
      <c r="DM52" s="15" t="str">
        <f t="shared" ca="1" si="44"/>
        <v>VIGENTE</v>
      </c>
      <c r="DN52" s="13">
        <v>45390</v>
      </c>
      <c r="DO52" s="14">
        <v>46088</v>
      </c>
      <c r="DP52" s="14">
        <f>DATE(YEAR(DO52)+2,MONTH(DO52),DAY(DO52))</f>
        <v>46819</v>
      </c>
      <c r="DQ52" s="65">
        <f t="shared" ca="1" si="46"/>
        <v>688</v>
      </c>
      <c r="DR52" s="15" t="str">
        <f t="shared" ca="1" si="47"/>
        <v>VIGENTE</v>
      </c>
      <c r="DS52" s="13">
        <v>45066</v>
      </c>
      <c r="DT52" s="14">
        <v>45685</v>
      </c>
      <c r="DU52" s="14">
        <f>DATE(YEAR(DT52)+2,MONTH(DT52),DAY(DT52)-1)</f>
        <v>46414</v>
      </c>
      <c r="DV52" s="65">
        <f t="shared" ca="1" si="48"/>
        <v>283</v>
      </c>
      <c r="DW52" s="15" t="str">
        <f t="shared" ca="1" si="49"/>
        <v>VIGENTE</v>
      </c>
      <c r="DX52" s="13">
        <v>44992</v>
      </c>
      <c r="DY52" s="14">
        <v>45682</v>
      </c>
      <c r="DZ52" s="14">
        <f>DATE(YEAR(DY52)+2,MONTH(DY52),DAY(DY52)-1)</f>
        <v>46411</v>
      </c>
      <c r="EA52" s="65">
        <f t="shared" ca="1" si="50"/>
        <v>280</v>
      </c>
      <c r="EB52" s="15" t="str">
        <f t="shared" ca="1" si="51"/>
        <v>VIGENTE</v>
      </c>
      <c r="EC52" s="13">
        <v>44994</v>
      </c>
      <c r="ED52" s="14">
        <v>45674</v>
      </c>
      <c r="EE52" s="14">
        <f>DATE(YEAR(ED52)+2,MONTH(ED52),DAY(ED52)-1)</f>
        <v>46403</v>
      </c>
      <c r="EF52" s="65">
        <f t="shared" ca="1" si="52"/>
        <v>272</v>
      </c>
      <c r="EG52" s="15" t="str">
        <f t="shared" ca="1" si="53"/>
        <v>VIGENTE</v>
      </c>
      <c r="EH52" s="13">
        <v>45048</v>
      </c>
      <c r="EI52" s="13">
        <v>46105</v>
      </c>
      <c r="EJ52" s="13">
        <v>46106</v>
      </c>
      <c r="EK52" s="13">
        <v>46107</v>
      </c>
      <c r="EL52" s="14">
        <f t="shared" si="128"/>
        <v>46472</v>
      </c>
      <c r="EM52" s="65">
        <f t="shared" ca="1" si="54"/>
        <v>341</v>
      </c>
      <c r="EN52" s="15" t="str">
        <f t="shared" ca="1" si="55"/>
        <v>VIGENTE</v>
      </c>
      <c r="EO52" s="13">
        <v>45076</v>
      </c>
      <c r="EP52" s="14">
        <v>45705</v>
      </c>
      <c r="EQ52" s="14">
        <f>DATE(YEAR(EP52)+2,MONTH(EP52),DAY(EP52)-1)</f>
        <v>46434</v>
      </c>
      <c r="ER52" s="65">
        <f t="shared" ca="1" si="56"/>
        <v>303</v>
      </c>
      <c r="ES52" s="15" t="str">
        <f t="shared" ca="1" si="57"/>
        <v>VIGENTE</v>
      </c>
      <c r="ET52" s="13">
        <v>45043</v>
      </c>
      <c r="EU52" s="14">
        <v>45677</v>
      </c>
      <c r="EV52" s="14">
        <f>DATE(YEAR(EU52)+2,MONTH(EU52),DAY(EU52)-1)</f>
        <v>46406</v>
      </c>
      <c r="EW52" s="65">
        <f t="shared" ca="1" si="58"/>
        <v>275</v>
      </c>
      <c r="EX52" s="15" t="str">
        <f t="shared" ca="1" si="59"/>
        <v>VIGENTE</v>
      </c>
      <c r="EY52" s="13">
        <v>45299</v>
      </c>
      <c r="EZ52" s="14">
        <v>46010</v>
      </c>
      <c r="FA52" s="14">
        <f>DATE(YEAR(EZ52)+2,MONTH(EZ52),DAY(EZ52))</f>
        <v>46740</v>
      </c>
      <c r="FB52" s="65">
        <f t="shared" ca="1" si="60"/>
        <v>609</v>
      </c>
      <c r="FC52" s="15" t="str">
        <f t="shared" ca="1" si="61"/>
        <v>VIGENTE</v>
      </c>
      <c r="FD52" s="13">
        <v>44622</v>
      </c>
      <c r="FE52" s="14">
        <v>45931</v>
      </c>
      <c r="FF52" s="14">
        <f>DATE(YEAR(FE52)+2,MONTH(FE52),DAY(FE52))</f>
        <v>46661</v>
      </c>
      <c r="FG52" s="65">
        <f t="shared" ca="1" si="62"/>
        <v>530</v>
      </c>
      <c r="FH52" s="15" t="str">
        <f t="shared" ca="1" si="63"/>
        <v>VIGENTE</v>
      </c>
      <c r="FI52" s="13">
        <v>44624</v>
      </c>
      <c r="FJ52" s="14">
        <v>45919</v>
      </c>
      <c r="FK52" s="14">
        <f>DATE(YEAR(FJ52)+2,MONTH(FJ52),DAY(FJ52))</f>
        <v>46649</v>
      </c>
      <c r="FL52" s="65">
        <f t="shared" ca="1" si="64"/>
        <v>518</v>
      </c>
      <c r="FM52" s="15" t="str">
        <f t="shared" ca="1" si="65"/>
        <v>VIGENTE</v>
      </c>
      <c r="FN52" s="13">
        <v>44947</v>
      </c>
      <c r="FO52" s="14">
        <v>45576</v>
      </c>
      <c r="FP52" s="14">
        <f>DATE(YEAR(FO52)+2,MONTH(FO52),DAY(FO52)-1)</f>
        <v>46305</v>
      </c>
      <c r="FQ52" s="65">
        <f t="shared" ca="1" si="67"/>
        <v>174</v>
      </c>
      <c r="FR52" s="15" t="str">
        <f t="shared" ca="1" si="68"/>
        <v>VIGENTE</v>
      </c>
      <c r="FS52" s="13">
        <v>45078</v>
      </c>
      <c r="FT52" s="14">
        <v>45747</v>
      </c>
      <c r="FU52" s="14">
        <f>DATE(YEAR(FT52)+2,MONTH(FT52),DAY(FT52)-1)</f>
        <v>46476</v>
      </c>
      <c r="FV52" s="65">
        <f t="shared" ca="1" si="69"/>
        <v>345</v>
      </c>
      <c r="FW52" s="15" t="str">
        <f t="shared" ca="1" si="70"/>
        <v>VIGENTE</v>
      </c>
      <c r="FX52" s="13">
        <v>44623</v>
      </c>
      <c r="FY52" s="14">
        <v>45941</v>
      </c>
      <c r="FZ52" s="14">
        <f>DATE(YEAR(FY52)+2,MONTH(FY52),DAY(FY52))</f>
        <v>46671</v>
      </c>
      <c r="GA52" s="65">
        <f t="shared" ca="1" si="71"/>
        <v>540</v>
      </c>
      <c r="GB52" s="15" t="str">
        <f t="shared" ca="1" si="72"/>
        <v>VIGENTE</v>
      </c>
      <c r="GC52" s="13">
        <v>45049</v>
      </c>
      <c r="GD52" s="14">
        <v>45667</v>
      </c>
      <c r="GE52" s="14">
        <f>DATE(YEAR(GD52)+2,MONTH(GD52),DAY(GD52)-1)</f>
        <v>46396</v>
      </c>
      <c r="GF52" s="65">
        <f t="shared" ca="1" si="73"/>
        <v>265</v>
      </c>
      <c r="GG52" s="15" t="str">
        <f t="shared" ca="1" si="74"/>
        <v>VIGENTE</v>
      </c>
      <c r="GH52" s="13">
        <v>45082</v>
      </c>
      <c r="GI52" s="14">
        <v>45731</v>
      </c>
      <c r="GJ52" s="14">
        <f>DATE(YEAR(GI52)+2,MONTH(GI52),DAY(GI52)-1)</f>
        <v>46460</v>
      </c>
      <c r="GK52" s="65">
        <f t="shared" ca="1" si="75"/>
        <v>329</v>
      </c>
      <c r="GL52" s="15" t="str">
        <f t="shared" ca="1" si="76"/>
        <v>VIGENTE</v>
      </c>
      <c r="GM52" s="13">
        <v>45024</v>
      </c>
      <c r="GN52" s="14">
        <v>45687</v>
      </c>
      <c r="GO52" s="14">
        <f>DATE(YEAR(GN52)+2,MONTH(GN52),DAY(GN52)-1)</f>
        <v>46416</v>
      </c>
      <c r="GP52" s="65">
        <f t="shared" ca="1" si="77"/>
        <v>285</v>
      </c>
      <c r="GQ52" s="15" t="str">
        <f t="shared" ca="1" si="78"/>
        <v>VIGENTE</v>
      </c>
      <c r="GR52" s="14"/>
      <c r="GS52" s="14">
        <v>45072</v>
      </c>
      <c r="GT52" s="14">
        <f t="shared" si="79"/>
        <v>46899</v>
      </c>
      <c r="GU52" s="65">
        <f t="shared" ca="1" si="172"/>
        <v>768</v>
      </c>
      <c r="GV52" s="15" t="str">
        <f t="shared" ca="1" si="81"/>
        <v>VIGENTE</v>
      </c>
      <c r="GW52" s="13"/>
      <c r="GX52" s="14">
        <v>45006</v>
      </c>
      <c r="GY52" s="14">
        <f t="shared" si="82"/>
        <v>46833</v>
      </c>
      <c r="GZ52" s="65">
        <f t="shared" ca="1" si="83"/>
        <v>702</v>
      </c>
      <c r="HA52" s="15" t="str">
        <f t="shared" ca="1" si="84"/>
        <v>VIGENTE</v>
      </c>
      <c r="HB52" s="12"/>
      <c r="HC52" s="14">
        <v>45003</v>
      </c>
      <c r="HD52" s="14">
        <f t="shared" si="85"/>
        <v>46830</v>
      </c>
      <c r="HE52" s="65">
        <f t="shared" ca="1" si="86"/>
        <v>699</v>
      </c>
      <c r="HF52" s="15" t="str">
        <f t="shared" ca="1" si="87"/>
        <v>VIGENTE</v>
      </c>
      <c r="HG52" s="16"/>
      <c r="HH52" s="16"/>
      <c r="HI52" s="14"/>
      <c r="HJ52" s="65"/>
      <c r="HK52" s="15" t="str">
        <f t="shared" si="217"/>
        <v>NO APLICA</v>
      </c>
      <c r="HL52" s="12"/>
      <c r="HM52" s="16"/>
      <c r="HN52" s="14"/>
      <c r="HO52" s="65"/>
      <c r="HP52" s="15" t="str">
        <f t="shared" si="221"/>
        <v>NO APLICA</v>
      </c>
      <c r="HQ52" s="12"/>
      <c r="HR52" s="12"/>
      <c r="HS52" s="14"/>
      <c r="HT52" s="12"/>
      <c r="HU52" s="15" t="str">
        <f t="shared" si="92"/>
        <v>NO APLICA</v>
      </c>
      <c r="HV52" s="12"/>
      <c r="HW52" s="16"/>
      <c r="HX52" s="14"/>
      <c r="HY52" s="65"/>
      <c r="HZ52" s="15" t="str">
        <f t="shared" si="93"/>
        <v>NO APLICA</v>
      </c>
      <c r="IA52" s="12"/>
      <c r="IB52" s="16"/>
      <c r="IC52" s="14"/>
      <c r="ID52" s="65"/>
      <c r="IE52" s="15" t="str">
        <f t="shared" si="94"/>
        <v>NO APLICA</v>
      </c>
      <c r="IF52" s="12"/>
      <c r="IG52" s="16"/>
      <c r="IH52" s="14"/>
      <c r="II52" s="65"/>
      <c r="IJ52" s="15" t="str">
        <f t="shared" si="95"/>
        <v>NO APLICA</v>
      </c>
      <c r="IK52" s="16"/>
      <c r="IL52" s="16"/>
      <c r="IM52" s="14"/>
      <c r="IN52" s="65"/>
      <c r="IO52" s="15" t="str">
        <f t="shared" si="96"/>
        <v>NO APLICA</v>
      </c>
      <c r="IP52" s="12"/>
      <c r="IQ52" s="16"/>
      <c r="IR52" s="14"/>
      <c r="IS52" s="65"/>
      <c r="IT52" s="15" t="str">
        <f t="shared" si="97"/>
        <v>NO APLICA</v>
      </c>
      <c r="IU52" s="12"/>
      <c r="IV52" s="16"/>
      <c r="IW52" s="14"/>
      <c r="IX52" s="65"/>
      <c r="IY52" s="15" t="str">
        <f t="shared" si="98"/>
        <v>NO APLICA</v>
      </c>
      <c r="IZ52" s="12"/>
      <c r="JA52" s="16"/>
      <c r="JB52" s="14"/>
      <c r="JC52" s="65"/>
      <c r="JD52" s="15" t="str">
        <f t="shared" si="99"/>
        <v>NO APLICA</v>
      </c>
      <c r="JE52" s="13"/>
      <c r="JF52" s="13"/>
      <c r="JG52" s="14"/>
      <c r="JH52" s="65"/>
      <c r="JI52" s="15" t="str">
        <f t="shared" si="100"/>
        <v>NO APLICA</v>
      </c>
      <c r="JJ52" s="16"/>
      <c r="JK52" s="16"/>
      <c r="JL52" s="16"/>
      <c r="JM52" s="15" t="str">
        <f t="shared" si="101"/>
        <v>NO APLICA</v>
      </c>
      <c r="JN52" s="16"/>
      <c r="JO52" s="16"/>
      <c r="JP52" s="16"/>
      <c r="JQ52" s="15" t="str">
        <f t="shared" si="102"/>
        <v>NO APLICA</v>
      </c>
      <c r="JR52" s="16"/>
      <c r="JS52" s="16"/>
      <c r="JT52" s="16"/>
      <c r="JU52" s="16"/>
      <c r="JV52" s="15" t="str">
        <f t="shared" si="103"/>
        <v>NO APLICA</v>
      </c>
      <c r="JW52" s="15"/>
      <c r="JX52" s="13">
        <v>45948</v>
      </c>
      <c r="JY52" s="14">
        <f>DATE(YEAR(JX52)+2,MONTH(JX52),DAY(JX52))</f>
        <v>46678</v>
      </c>
      <c r="JZ52" s="65">
        <f ca="1">JY52-TODAY()</f>
        <v>547</v>
      </c>
      <c r="KA52" s="15" t="str">
        <f t="shared" ca="1" si="104"/>
        <v>VIGENTE</v>
      </c>
      <c r="KB52" s="12"/>
      <c r="KC52" s="14"/>
      <c r="KD52" s="65"/>
      <c r="KE52" s="15" t="str">
        <f t="shared" si="105"/>
        <v>NO APLICA</v>
      </c>
      <c r="KF52" s="12"/>
      <c r="KG52" s="14"/>
      <c r="KH52" s="65"/>
      <c r="KI52" s="15" t="str">
        <f t="shared" si="132"/>
        <v>NO APLICA</v>
      </c>
      <c r="KJ52" s="12"/>
      <c r="KK52" s="14"/>
      <c r="KL52" s="65"/>
      <c r="KM52" s="15" t="str">
        <f t="shared" si="106"/>
        <v>NO APLICA</v>
      </c>
      <c r="KN52" s="12"/>
      <c r="KO52" s="14"/>
      <c r="KP52" s="65"/>
      <c r="KQ52" s="15" t="str">
        <f t="shared" si="133"/>
        <v>NO APLICA</v>
      </c>
      <c r="KR52" s="12"/>
      <c r="KS52" s="16"/>
      <c r="KT52" s="14"/>
      <c r="KU52" s="65"/>
      <c r="KV52" s="15" t="str">
        <f t="shared" si="147"/>
        <v>NO APLICA</v>
      </c>
      <c r="KW52" s="16"/>
      <c r="KX52" s="14"/>
      <c r="KY52" s="65"/>
      <c r="KZ52" s="15" t="str">
        <f t="shared" si="134"/>
        <v>NO APLICA</v>
      </c>
      <c r="LA52" s="16"/>
      <c r="LB52" s="16"/>
      <c r="LC52" s="14"/>
      <c r="LD52" s="65"/>
      <c r="LE52" s="15" t="str">
        <f t="shared" si="107"/>
        <v>NO APLICA</v>
      </c>
      <c r="LF52" s="15"/>
      <c r="LG52" s="15"/>
      <c r="LH52" s="15"/>
      <c r="LI52" s="15"/>
      <c r="LJ52" s="15" t="str">
        <f t="shared" si="148"/>
        <v>NO APLICA</v>
      </c>
      <c r="LK52" s="12"/>
      <c r="LL52" s="16"/>
      <c r="LM52" s="14"/>
      <c r="LN52" s="65"/>
      <c r="LO52" s="15" t="str">
        <f t="shared" si="135"/>
        <v>NO APLICA</v>
      </c>
      <c r="LP52" s="16"/>
      <c r="LQ52" s="16"/>
      <c r="LR52" s="14"/>
      <c r="LS52" s="65"/>
      <c r="LT52" s="15" t="str">
        <f t="shared" si="136"/>
        <v>NO APLICA</v>
      </c>
      <c r="LU52" s="16"/>
      <c r="LV52" s="16"/>
      <c r="LW52" s="14"/>
      <c r="LX52" s="65"/>
      <c r="LY52" s="15" t="str">
        <f t="shared" si="137"/>
        <v>NO APLICA</v>
      </c>
      <c r="LZ52" s="12"/>
      <c r="MA52" s="12"/>
      <c r="MB52" s="14"/>
      <c r="MC52" s="65"/>
      <c r="MD52" s="15" t="str">
        <f t="shared" si="108"/>
        <v>NO APLICA</v>
      </c>
      <c r="ME52" s="12"/>
      <c r="MF52" s="12"/>
      <c r="MG52" s="14"/>
      <c r="MH52" s="65"/>
      <c r="MI52" s="15" t="str">
        <f t="shared" si="109"/>
        <v>NO APLICA</v>
      </c>
      <c r="MJ52" s="12"/>
      <c r="MK52" s="14"/>
      <c r="ML52" s="65"/>
      <c r="MM52" s="15" t="str">
        <f t="shared" si="110"/>
        <v>NO APLICA</v>
      </c>
      <c r="MN52" s="12"/>
      <c r="MO52" s="14"/>
      <c r="MP52" s="12"/>
      <c r="MQ52" s="15" t="str">
        <f t="shared" si="111"/>
        <v>NO APLICA</v>
      </c>
      <c r="MR52" s="12"/>
      <c r="MS52" s="16"/>
      <c r="MT52" s="14"/>
      <c r="MU52" s="65"/>
      <c r="MV52" s="15" t="str">
        <f t="shared" si="112"/>
        <v>NO APLICA</v>
      </c>
      <c r="MW52" s="12"/>
      <c r="MX52" s="16"/>
      <c r="MY52" s="14"/>
      <c r="MZ52" s="65"/>
      <c r="NA52" s="15" t="str">
        <f t="shared" si="113"/>
        <v>NO APLICA</v>
      </c>
      <c r="NB52" s="12"/>
      <c r="NC52" s="16"/>
      <c r="ND52" s="14"/>
      <c r="NE52" s="65"/>
      <c r="NF52" s="15" t="str">
        <f t="shared" si="114"/>
        <v>NO APLICA</v>
      </c>
      <c r="NG52" s="12"/>
      <c r="NH52" s="12"/>
      <c r="NI52" s="14"/>
      <c r="NJ52" s="12"/>
      <c r="NK52" s="15" t="str">
        <f t="shared" si="115"/>
        <v>NO APLICA</v>
      </c>
      <c r="NL52" s="12"/>
      <c r="NM52" s="12"/>
      <c r="NN52" s="12"/>
      <c r="NO52" s="12"/>
      <c r="NP52" s="15" t="str">
        <f t="shared" si="116"/>
        <v>NO APLICA</v>
      </c>
      <c r="NQ52" s="16"/>
      <c r="NR52" s="16"/>
      <c r="NS52" s="14"/>
      <c r="NT52" s="65"/>
      <c r="NU52" s="15" t="str">
        <f t="shared" si="117"/>
        <v>NO APLICA</v>
      </c>
      <c r="NV52" s="16"/>
      <c r="NW52" s="16"/>
      <c r="NX52" s="16"/>
      <c r="NY52" s="16"/>
      <c r="NZ52" s="15" t="str">
        <f t="shared" si="118"/>
        <v>NO APLICA</v>
      </c>
    </row>
    <row r="53" spans="1:390" ht="15.6" thickTop="1" thickBot="1" x14ac:dyDescent="0.35">
      <c r="A53" s="9">
        <v>1401</v>
      </c>
      <c r="B53" s="10" t="s">
        <v>268</v>
      </c>
      <c r="C53" s="21" t="s">
        <v>104</v>
      </c>
      <c r="D53" s="64" t="s">
        <v>105</v>
      </c>
      <c r="E53" s="15"/>
      <c r="F53" s="16"/>
      <c r="G53" s="14"/>
      <c r="H53" s="65"/>
      <c r="I53" s="15" t="str">
        <f t="shared" si="0"/>
        <v>NO APLICA</v>
      </c>
      <c r="J53" s="15"/>
      <c r="K53" s="16"/>
      <c r="L53" s="16"/>
      <c r="M53" s="65"/>
      <c r="N53" s="15" t="str">
        <f t="shared" si="1"/>
        <v>NO APLICA</v>
      </c>
      <c r="O53" s="16"/>
      <c r="P53" s="16"/>
      <c r="Q53" s="14"/>
      <c r="R53" s="65"/>
      <c r="S53" s="15" t="str">
        <f t="shared" si="119"/>
        <v>NO APLICA</v>
      </c>
      <c r="T53" s="12" t="s">
        <v>269</v>
      </c>
      <c r="U53" s="13">
        <v>45853</v>
      </c>
      <c r="V53" s="14">
        <v>45854</v>
      </c>
      <c r="W53" s="14">
        <f t="shared" si="2"/>
        <v>47680</v>
      </c>
      <c r="X53" s="65">
        <f t="shared" ca="1" si="3"/>
        <v>1549</v>
      </c>
      <c r="Y53" s="15" t="str">
        <f t="shared" ca="1" si="4"/>
        <v>VIGENTE</v>
      </c>
      <c r="Z53" s="12" t="s">
        <v>270</v>
      </c>
      <c r="AA53" s="13">
        <v>44823</v>
      </c>
      <c r="AB53" s="14">
        <v>44824</v>
      </c>
      <c r="AC53" s="14">
        <f>DATE(YEAR(AB53)+5,MONTH(AB53),DAY(AB53))</f>
        <v>46650</v>
      </c>
      <c r="AD53" s="65">
        <f ca="1">AC53-TODAY()</f>
        <v>519</v>
      </c>
      <c r="AE53" s="15" t="str">
        <f t="shared" ca="1" si="7"/>
        <v>VIGENTE</v>
      </c>
      <c r="AF53" s="13">
        <v>44948</v>
      </c>
      <c r="AG53" s="14">
        <v>45589</v>
      </c>
      <c r="AH53" s="14">
        <f t="shared" ref="AH53:AH58" si="222">DATE(YEAR(AG53)+2,MONTH(AG53),DAY(AG53)-1)</f>
        <v>46318</v>
      </c>
      <c r="AI53" s="65">
        <f t="shared" ca="1" si="8"/>
        <v>187</v>
      </c>
      <c r="AJ53" s="15" t="str">
        <f t="shared" ca="1" si="213"/>
        <v>VIGENTE</v>
      </c>
      <c r="AK53" s="13">
        <v>45315</v>
      </c>
      <c r="AL53" s="14">
        <v>45959</v>
      </c>
      <c r="AM53" s="14">
        <f>DATE(YEAR(AL53)+2,MONTH(AL53),DAY(AL53))</f>
        <v>46689</v>
      </c>
      <c r="AN53" s="65">
        <f t="shared" ca="1" si="10"/>
        <v>558</v>
      </c>
      <c r="AO53" s="15" t="str">
        <f t="shared" ca="1" si="11"/>
        <v>VIGENTE</v>
      </c>
      <c r="AP53" s="13">
        <v>45258</v>
      </c>
      <c r="AQ53" s="14">
        <v>45904</v>
      </c>
      <c r="AR53" s="14">
        <f>DATE(YEAR(AQ53)+2,MONTH(AQ53),DAY(AQ53))</f>
        <v>46634</v>
      </c>
      <c r="AS53" s="65">
        <f t="shared" ca="1" si="12"/>
        <v>503</v>
      </c>
      <c r="AT53" s="15" t="str">
        <f t="shared" ca="1" si="13"/>
        <v>VIGENTE</v>
      </c>
      <c r="AU53" s="13">
        <v>44620</v>
      </c>
      <c r="AV53" s="14">
        <v>45952</v>
      </c>
      <c r="AW53" s="14">
        <f>DATE(YEAR(AV53)+2,MONTH(AV53),DAY(AV53))</f>
        <v>46682</v>
      </c>
      <c r="AX53" s="65">
        <f t="shared" ca="1" si="15"/>
        <v>551</v>
      </c>
      <c r="AY53" s="15" t="str">
        <f t="shared" ca="1" si="16"/>
        <v>VIGENTE</v>
      </c>
      <c r="AZ53" s="13">
        <v>45387</v>
      </c>
      <c r="BA53" s="14">
        <v>46041</v>
      </c>
      <c r="BB53" s="14">
        <f>DATE(YEAR(BA53)+2,MONTH(BA53),DAY(BA53))</f>
        <v>46771</v>
      </c>
      <c r="BC53" s="65">
        <f t="shared" ca="1" si="17"/>
        <v>640</v>
      </c>
      <c r="BD53" s="15" t="str">
        <f t="shared" ca="1" si="18"/>
        <v>VIGENTE</v>
      </c>
      <c r="BE53" s="13">
        <v>44734</v>
      </c>
      <c r="BF53" s="14">
        <v>45457</v>
      </c>
      <c r="BG53" s="14">
        <f>DATE(YEAR(BF53)+2,MONTH(BF53),DAY(BF53)-1)</f>
        <v>46186</v>
      </c>
      <c r="BH53" s="65">
        <f t="shared" ca="1" si="19"/>
        <v>55</v>
      </c>
      <c r="BI53" s="15" t="str">
        <f t="shared" ca="1" si="20"/>
        <v>POR VENCER</v>
      </c>
      <c r="BJ53" s="13">
        <v>45389</v>
      </c>
      <c r="BK53" s="14">
        <v>46035</v>
      </c>
      <c r="BL53" s="14">
        <f t="shared" ref="BL53:BL59" si="223">DATE(YEAR(BK53)+2,MONTH(BK53),DAY(BK53))</f>
        <v>46765</v>
      </c>
      <c r="BM53" s="65">
        <f t="shared" ca="1" si="21"/>
        <v>634</v>
      </c>
      <c r="BN53" s="15" t="str">
        <f t="shared" ca="1" si="22"/>
        <v>VIGENTE</v>
      </c>
      <c r="BO53" s="13">
        <v>45319</v>
      </c>
      <c r="BP53" s="14">
        <v>45981</v>
      </c>
      <c r="BQ53" s="14">
        <f>DATE(YEAR(BP53)+2,MONTH(BP53),DAY(BP53))</f>
        <v>46711</v>
      </c>
      <c r="BR53" s="65">
        <f t="shared" ca="1" si="23"/>
        <v>580</v>
      </c>
      <c r="BS53" s="15" t="str">
        <f t="shared" ca="1" si="24"/>
        <v>VIGENTE</v>
      </c>
      <c r="BT53" s="13">
        <v>44733</v>
      </c>
      <c r="BU53" s="14">
        <v>45449</v>
      </c>
      <c r="BV53" s="14">
        <f>DATE(YEAR(BU53)+2,MONTH(BU53),DAY(BU53)-1)</f>
        <v>46178</v>
      </c>
      <c r="BW53" s="65">
        <f t="shared" ca="1" si="25"/>
        <v>47</v>
      </c>
      <c r="BX53" s="15" t="str">
        <f t="shared" ca="1" si="26"/>
        <v>POR VENCER</v>
      </c>
      <c r="BY53" s="13">
        <v>45300</v>
      </c>
      <c r="BZ53" s="14">
        <v>45954</v>
      </c>
      <c r="CA53" s="14">
        <f>DATE(YEAR(BZ53)+2,MONTH(BZ53),DAY(BZ53))</f>
        <v>46684</v>
      </c>
      <c r="CB53" s="65">
        <f t="shared" ca="1" si="27"/>
        <v>553</v>
      </c>
      <c r="CC53" s="15" t="str">
        <f t="shared" ca="1" si="28"/>
        <v>VIGENTE</v>
      </c>
      <c r="CD53" s="16" t="s">
        <v>108</v>
      </c>
      <c r="CE53" s="14">
        <v>45210</v>
      </c>
      <c r="CF53" s="14">
        <v>45211</v>
      </c>
      <c r="CG53" s="14">
        <f t="shared" si="29"/>
        <v>46672</v>
      </c>
      <c r="CH53" s="65">
        <f t="shared" ca="1" si="30"/>
        <v>541</v>
      </c>
      <c r="CI53" s="15" t="str">
        <f t="shared" ca="1" si="31"/>
        <v>VIGENTE</v>
      </c>
      <c r="CJ53" s="14">
        <v>45238</v>
      </c>
      <c r="CK53" s="14">
        <v>45895</v>
      </c>
      <c r="CL53" s="14">
        <f>DATE(YEAR(CK53)+2,MONTH(CK53),DAY(CK53))</f>
        <v>46625</v>
      </c>
      <c r="CM53" s="65">
        <f t="shared" ca="1" si="32"/>
        <v>494</v>
      </c>
      <c r="CN53" s="15" t="str">
        <f t="shared" ca="1" si="33"/>
        <v>VIGENTE</v>
      </c>
      <c r="CO53" s="13">
        <v>45240</v>
      </c>
      <c r="CP53" s="14">
        <v>45898</v>
      </c>
      <c r="CQ53" s="14">
        <f>DATE(YEAR(CP53)+2,MONTH(CP53),DAY(CP53))</f>
        <v>46628</v>
      </c>
      <c r="CR53" s="65">
        <f t="shared" ca="1" si="34"/>
        <v>497</v>
      </c>
      <c r="CS53" s="15" t="str">
        <f t="shared" ca="1" si="35"/>
        <v>VIGENTE</v>
      </c>
      <c r="CT53" s="13">
        <v>44966</v>
      </c>
      <c r="CU53" s="14">
        <v>45639</v>
      </c>
      <c r="CV53" s="14">
        <f>DATE(YEAR(CU53)+2,MONTH(CU53),DAY(CU53)-1)</f>
        <v>46368</v>
      </c>
      <c r="CW53" s="65">
        <f t="shared" ca="1" si="36"/>
        <v>237</v>
      </c>
      <c r="CX53" s="15" t="str">
        <f t="shared" ca="1" si="37"/>
        <v>VIGENTE</v>
      </c>
      <c r="CY53" s="13">
        <v>44987</v>
      </c>
      <c r="CZ53" s="14">
        <v>45646</v>
      </c>
      <c r="DA53" s="14">
        <f>DATE(YEAR(CZ53)+2,MONTH(CZ53),DAY(CZ53)-1)</f>
        <v>46375</v>
      </c>
      <c r="DB53" s="65">
        <f t="shared" ca="1" si="38"/>
        <v>244</v>
      </c>
      <c r="DC53" s="15" t="str">
        <f t="shared" ca="1" si="39"/>
        <v>VIGENTE</v>
      </c>
      <c r="DD53" s="13">
        <v>45027</v>
      </c>
      <c r="DE53" s="14">
        <v>45689</v>
      </c>
      <c r="DF53" s="14">
        <f t="shared" si="220"/>
        <v>46418</v>
      </c>
      <c r="DG53" s="65">
        <f t="shared" ca="1" si="40"/>
        <v>287</v>
      </c>
      <c r="DH53" s="15" t="str">
        <f t="shared" ca="1" si="41"/>
        <v>VIGENTE</v>
      </c>
      <c r="DI53" s="13">
        <v>45296</v>
      </c>
      <c r="DJ53" s="14">
        <v>45975</v>
      </c>
      <c r="DK53" s="14">
        <f t="shared" si="218"/>
        <v>46705</v>
      </c>
      <c r="DL53" s="65">
        <f t="shared" ca="1" si="43"/>
        <v>574</v>
      </c>
      <c r="DM53" s="15" t="str">
        <f t="shared" ca="1" si="44"/>
        <v>VIGENTE</v>
      </c>
      <c r="DN53" s="13">
        <v>45054</v>
      </c>
      <c r="DO53" s="14">
        <v>45731</v>
      </c>
      <c r="DP53" s="14">
        <f>DATE(YEAR(DO53)+2,MONTH(DO53),DAY(DO53)-1)</f>
        <v>46460</v>
      </c>
      <c r="DQ53" s="65">
        <f t="shared" ca="1" si="46"/>
        <v>329</v>
      </c>
      <c r="DR53" s="15" t="str">
        <f t="shared" ca="1" si="47"/>
        <v>VIGENTE</v>
      </c>
      <c r="DS53" s="13">
        <v>44734</v>
      </c>
      <c r="DT53" s="14">
        <v>46053</v>
      </c>
      <c r="DU53" s="14">
        <f>DATE(YEAR(DT53)+2,MONTH(DT53),DAY(DT53))</f>
        <v>46783</v>
      </c>
      <c r="DV53" s="65">
        <f t="shared" ca="1" si="48"/>
        <v>652</v>
      </c>
      <c r="DW53" s="15" t="str">
        <f t="shared" ca="1" si="49"/>
        <v>VIGENTE</v>
      </c>
      <c r="DX53" s="13">
        <v>45355</v>
      </c>
      <c r="DY53" s="14">
        <v>46032</v>
      </c>
      <c r="DZ53" s="14">
        <f>DATE(YEAR(DY53)+2,MONTH(DY53),DAY(DY53))</f>
        <v>46762</v>
      </c>
      <c r="EA53" s="65">
        <f t="shared" ca="1" si="50"/>
        <v>631</v>
      </c>
      <c r="EB53" s="15" t="str">
        <f t="shared" ca="1" si="51"/>
        <v>VIGENTE</v>
      </c>
      <c r="EC53" s="13">
        <v>44650</v>
      </c>
      <c r="ED53" s="14">
        <v>45994</v>
      </c>
      <c r="EE53" s="14">
        <f>DATE(YEAR(ED53)+2,MONTH(ED53),DAY(ED53))</f>
        <v>46724</v>
      </c>
      <c r="EF53" s="65">
        <f t="shared" ca="1" si="52"/>
        <v>593</v>
      </c>
      <c r="EG53" s="15" t="str">
        <f t="shared" ca="1" si="53"/>
        <v>VIGENTE</v>
      </c>
      <c r="EH53" s="14">
        <v>45229</v>
      </c>
      <c r="EI53" s="13">
        <v>45946</v>
      </c>
      <c r="EJ53" s="13">
        <v>45947</v>
      </c>
      <c r="EK53" s="14">
        <v>45948</v>
      </c>
      <c r="EL53" s="14">
        <f t="shared" si="128"/>
        <v>46313</v>
      </c>
      <c r="EM53" s="65">
        <f t="shared" ca="1" si="54"/>
        <v>182</v>
      </c>
      <c r="EN53" s="15" t="str">
        <f t="shared" ca="1" si="55"/>
        <v>VIGENTE</v>
      </c>
      <c r="EO53" s="13">
        <v>44600</v>
      </c>
      <c r="EP53" s="14">
        <v>45940</v>
      </c>
      <c r="EQ53" s="14">
        <f>DATE(YEAR(EP53)+2,MONTH(EP53),DAY(EP53))</f>
        <v>46670</v>
      </c>
      <c r="ER53" s="65">
        <f t="shared" ca="1" si="56"/>
        <v>539</v>
      </c>
      <c r="ES53" s="15" t="str">
        <f t="shared" ca="1" si="57"/>
        <v>VIGENTE</v>
      </c>
      <c r="ET53" s="13">
        <v>45370</v>
      </c>
      <c r="EU53" s="14">
        <v>46042</v>
      </c>
      <c r="EV53" s="14">
        <f>DATE(YEAR(EU53)+2,MONTH(EU53),DAY(EU53))</f>
        <v>46772</v>
      </c>
      <c r="EW53" s="65">
        <f t="shared" ca="1" si="58"/>
        <v>641</v>
      </c>
      <c r="EX53" s="15" t="str">
        <f t="shared" ca="1" si="59"/>
        <v>VIGENTE</v>
      </c>
      <c r="EY53" s="13">
        <v>44630</v>
      </c>
      <c r="EZ53" s="14">
        <v>45953</v>
      </c>
      <c r="FA53" s="14">
        <f>DATE(YEAR(EZ53)+2,MONTH(EZ53),DAY(EZ53))</f>
        <v>46683</v>
      </c>
      <c r="FB53" s="65">
        <f t="shared" ca="1" si="60"/>
        <v>552</v>
      </c>
      <c r="FC53" s="15" t="str">
        <f t="shared" ca="1" si="61"/>
        <v>VIGENTE</v>
      </c>
      <c r="FD53" s="13">
        <v>44629</v>
      </c>
      <c r="FE53" s="14">
        <v>45951</v>
      </c>
      <c r="FF53" s="14">
        <f>DATE(YEAR(FE53)+2,MONTH(FE53),DAY(FE53))</f>
        <v>46681</v>
      </c>
      <c r="FG53" s="65">
        <f t="shared" ca="1" si="62"/>
        <v>550</v>
      </c>
      <c r="FH53" s="15" t="str">
        <f t="shared" ca="1" si="63"/>
        <v>VIGENTE</v>
      </c>
      <c r="FI53" s="13">
        <v>45317</v>
      </c>
      <c r="FJ53" s="14">
        <v>45962</v>
      </c>
      <c r="FK53" s="14">
        <f>DATE(YEAR(FJ53)+2,MONTH(FJ53),DAY(FJ53))</f>
        <v>46692</v>
      </c>
      <c r="FL53" s="65">
        <f t="shared" ca="1" si="64"/>
        <v>561</v>
      </c>
      <c r="FM53" s="15" t="str">
        <f t="shared" ca="1" si="65"/>
        <v>VIGENTE</v>
      </c>
      <c r="FN53" s="13">
        <v>44592</v>
      </c>
      <c r="FO53" s="14">
        <v>45933</v>
      </c>
      <c r="FP53" s="14">
        <f>DATE(YEAR(FO53)+2,MONTH(FO53),DAY(FO53))</f>
        <v>46663</v>
      </c>
      <c r="FQ53" s="65">
        <f t="shared" ca="1" si="67"/>
        <v>532</v>
      </c>
      <c r="FR53" s="15" t="str">
        <f t="shared" ca="1" si="68"/>
        <v>VIGENTE</v>
      </c>
      <c r="FS53" s="13">
        <v>45333</v>
      </c>
      <c r="FT53" s="14">
        <v>45957</v>
      </c>
      <c r="FU53" s="14">
        <f>DATE(YEAR(FT53)+2,MONTH(FT53),DAY(FT53))</f>
        <v>46687</v>
      </c>
      <c r="FV53" s="65">
        <f t="shared" ca="1" si="69"/>
        <v>556</v>
      </c>
      <c r="FW53" s="15" t="str">
        <f t="shared" ca="1" si="70"/>
        <v>VIGENTE</v>
      </c>
      <c r="FX53" s="13">
        <v>44924</v>
      </c>
      <c r="FY53" s="14">
        <v>45581</v>
      </c>
      <c r="FZ53" s="14">
        <f>DATE(YEAR(FY53)+2,MONTH(FY53),DAY(FY53)-1)</f>
        <v>46310</v>
      </c>
      <c r="GA53" s="65">
        <f t="shared" ca="1" si="71"/>
        <v>179</v>
      </c>
      <c r="GB53" s="15" t="str">
        <f t="shared" ca="1" si="72"/>
        <v>VIGENTE</v>
      </c>
      <c r="GC53" s="13">
        <v>45396</v>
      </c>
      <c r="GD53" s="14">
        <v>46030</v>
      </c>
      <c r="GE53" s="14">
        <f>DATE(YEAR(GD53)+2,MONTH(GD53),DAY(GD53))</f>
        <v>46760</v>
      </c>
      <c r="GF53" s="65">
        <f t="shared" ca="1" si="73"/>
        <v>629</v>
      </c>
      <c r="GG53" s="15" t="str">
        <f t="shared" ca="1" si="74"/>
        <v>VIGENTE</v>
      </c>
      <c r="GH53" s="13">
        <v>45332</v>
      </c>
      <c r="GI53" s="14">
        <v>45960</v>
      </c>
      <c r="GJ53" s="14">
        <f>DATE(YEAR(GI53)+2,MONTH(GI53),DAY(GI53))</f>
        <v>46690</v>
      </c>
      <c r="GK53" s="65">
        <f t="shared" ca="1" si="75"/>
        <v>559</v>
      </c>
      <c r="GL53" s="15" t="str">
        <f t="shared" ca="1" si="76"/>
        <v>VIGENTE</v>
      </c>
      <c r="GM53" s="13">
        <v>44610</v>
      </c>
      <c r="GN53" s="14">
        <v>45945</v>
      </c>
      <c r="GO53" s="14">
        <f>DATE(YEAR(GN53)+2,MONTH(GN53),DAY(GN53))</f>
        <v>46675</v>
      </c>
      <c r="GP53" s="65">
        <f t="shared" ca="1" si="77"/>
        <v>544</v>
      </c>
      <c r="GQ53" s="15" t="str">
        <f t="shared" ca="1" si="78"/>
        <v>VIGENTE</v>
      </c>
      <c r="GR53" s="14">
        <v>44966</v>
      </c>
      <c r="GS53" s="14">
        <v>45017</v>
      </c>
      <c r="GT53" s="14">
        <f t="shared" si="79"/>
        <v>46844</v>
      </c>
      <c r="GU53" s="65">
        <f t="shared" ca="1" si="172"/>
        <v>713</v>
      </c>
      <c r="GV53" s="15" t="str">
        <f t="shared" ca="1" si="81"/>
        <v>VIGENTE</v>
      </c>
      <c r="GW53" s="13">
        <v>44571</v>
      </c>
      <c r="GX53" s="14">
        <v>45277</v>
      </c>
      <c r="GY53" s="14">
        <f t="shared" si="82"/>
        <v>47104</v>
      </c>
      <c r="GZ53" s="65">
        <f t="shared" ca="1" si="83"/>
        <v>973</v>
      </c>
      <c r="HA53" s="15" t="str">
        <f t="shared" ca="1" si="84"/>
        <v>VIGENTE</v>
      </c>
      <c r="HB53" s="13">
        <v>44460</v>
      </c>
      <c r="HC53" s="14">
        <v>45119</v>
      </c>
      <c r="HD53" s="14">
        <f t="shared" si="85"/>
        <v>46946</v>
      </c>
      <c r="HE53" s="65">
        <f t="shared" ca="1" si="86"/>
        <v>815</v>
      </c>
      <c r="HF53" s="15" t="str">
        <f t="shared" ca="1" si="87"/>
        <v>VIGENTE</v>
      </c>
      <c r="HG53" s="16"/>
      <c r="HH53" s="14">
        <v>44887</v>
      </c>
      <c r="HI53" s="14">
        <f>DATE(YEAR(HH53)+5,MONTH(HH53),DAY(HH53))</f>
        <v>46713</v>
      </c>
      <c r="HJ53" s="65">
        <f ca="1">HI53-TODAY()</f>
        <v>582</v>
      </c>
      <c r="HK53" s="15" t="str">
        <f t="shared" ca="1" si="217"/>
        <v>VIGENTE</v>
      </c>
      <c r="HL53" s="12"/>
      <c r="HM53" s="16"/>
      <c r="HN53" s="14"/>
      <c r="HO53" s="65"/>
      <c r="HP53" s="15" t="str">
        <f t="shared" si="221"/>
        <v>NO APLICA</v>
      </c>
      <c r="HQ53" s="12"/>
      <c r="HR53" s="12"/>
      <c r="HS53" s="14"/>
      <c r="HT53" s="12"/>
      <c r="HU53" s="15" t="str">
        <f t="shared" si="92"/>
        <v>NO APLICA</v>
      </c>
      <c r="HV53" s="13">
        <v>44560</v>
      </c>
      <c r="HW53" s="14">
        <v>45260</v>
      </c>
      <c r="HX53" s="14">
        <f>DATE(YEAR(HW53)+5,MONTH(HW53),DAY(HW53))</f>
        <v>47087</v>
      </c>
      <c r="HY53" s="65">
        <f ca="1">HX53-TODAY()</f>
        <v>956</v>
      </c>
      <c r="HZ53" s="15" t="str">
        <f t="shared" ca="1" si="93"/>
        <v>VIGENTE</v>
      </c>
      <c r="IA53" s="13">
        <v>44557</v>
      </c>
      <c r="IB53" s="14">
        <v>45241</v>
      </c>
      <c r="IC53" s="14">
        <f>DATE(YEAR(IB53)+5,MONTH(IB53),DAY(IB53))</f>
        <v>47068</v>
      </c>
      <c r="ID53" s="65">
        <f ca="1">IC53-TODAY()</f>
        <v>937</v>
      </c>
      <c r="IE53" s="15" t="str">
        <f t="shared" ca="1" si="94"/>
        <v>VIGENTE</v>
      </c>
      <c r="IF53" s="13">
        <v>44792</v>
      </c>
      <c r="IG53" s="14">
        <v>45444</v>
      </c>
      <c r="IH53" s="14">
        <f>DATE(YEAR(IG53)+5,MONTH(IG53),DAY(IG53))</f>
        <v>47270</v>
      </c>
      <c r="II53" s="65">
        <f ca="1">IH53-TODAY()</f>
        <v>1139</v>
      </c>
      <c r="IJ53" s="15" t="str">
        <f t="shared" ca="1" si="95"/>
        <v>VIGENTE</v>
      </c>
      <c r="IK53" s="14">
        <v>44768</v>
      </c>
      <c r="IL53" s="14">
        <v>45485</v>
      </c>
      <c r="IM53" s="14">
        <f>DATE(YEAR(IL53)+5,MONTH(IL53),DAY(IL53))</f>
        <v>47311</v>
      </c>
      <c r="IN53" s="65">
        <f ca="1">IM53-TODAY()</f>
        <v>1180</v>
      </c>
      <c r="IO53" s="15" t="str">
        <f t="shared" ca="1" si="96"/>
        <v>VIGENTE</v>
      </c>
      <c r="IP53" s="13">
        <v>44793</v>
      </c>
      <c r="IQ53" s="14">
        <v>45433</v>
      </c>
      <c r="IR53" s="14">
        <f>DATE(YEAR(IQ53)+5,MONTH(IQ53),DAY(IQ53))</f>
        <v>47259</v>
      </c>
      <c r="IS53" s="65">
        <f ca="1">IR53-TODAY()</f>
        <v>1128</v>
      </c>
      <c r="IT53" s="15" t="str">
        <f t="shared" ca="1" si="97"/>
        <v>VIGENTE</v>
      </c>
      <c r="IU53" s="13">
        <v>44792</v>
      </c>
      <c r="IV53" s="14">
        <v>45484</v>
      </c>
      <c r="IW53" s="14">
        <f>DATE(YEAR(IV53)+5,MONTH(IV53),DAY(IV53))</f>
        <v>47310</v>
      </c>
      <c r="IX53" s="65">
        <f ca="1">IW53-TODAY()</f>
        <v>1179</v>
      </c>
      <c r="IY53" s="15" t="str">
        <f t="shared" ca="1" si="98"/>
        <v>VIGENTE</v>
      </c>
      <c r="IZ53" s="13">
        <v>44557</v>
      </c>
      <c r="JA53" s="14">
        <v>45261</v>
      </c>
      <c r="JB53" s="14">
        <f>DATE(YEAR(JA53)+5,MONTH(JA53),DAY(JA53))</f>
        <v>47088</v>
      </c>
      <c r="JC53" s="65">
        <f ca="1">JB53-TODAY()</f>
        <v>957</v>
      </c>
      <c r="JD53" s="15" t="str">
        <f t="shared" ca="1" si="99"/>
        <v>VIGENTE</v>
      </c>
      <c r="JE53" s="13"/>
      <c r="JF53" s="13"/>
      <c r="JG53" s="14"/>
      <c r="JH53" s="65"/>
      <c r="JI53" s="15" t="str">
        <f t="shared" si="100"/>
        <v>NO APLICA</v>
      </c>
      <c r="JJ53" s="16"/>
      <c r="JK53" s="16"/>
      <c r="JL53" s="16"/>
      <c r="JM53" s="15" t="str">
        <f t="shared" si="101"/>
        <v>NO APLICA</v>
      </c>
      <c r="JN53" s="16"/>
      <c r="JO53" s="16"/>
      <c r="JP53" s="16"/>
      <c r="JQ53" s="15" t="str">
        <f t="shared" si="102"/>
        <v>NO APLICA</v>
      </c>
      <c r="JR53" s="16"/>
      <c r="JS53" s="16"/>
      <c r="JT53" s="16"/>
      <c r="JU53" s="16"/>
      <c r="JV53" s="15" t="str">
        <f t="shared" si="103"/>
        <v>NO APLICA</v>
      </c>
      <c r="JW53" s="15"/>
      <c r="JX53" s="15"/>
      <c r="JY53" s="15"/>
      <c r="JZ53" s="15"/>
      <c r="KA53" s="15" t="str">
        <f t="shared" si="104"/>
        <v>NO APLICA</v>
      </c>
      <c r="KB53" s="12"/>
      <c r="KC53" s="14"/>
      <c r="KD53" s="65"/>
      <c r="KE53" s="15" t="str">
        <f t="shared" si="105"/>
        <v>NO APLICA</v>
      </c>
      <c r="KF53" s="12"/>
      <c r="KG53" s="14"/>
      <c r="KH53" s="65"/>
      <c r="KI53" s="15" t="str">
        <f t="shared" si="132"/>
        <v>NO APLICA</v>
      </c>
      <c r="KJ53" s="13">
        <v>45364</v>
      </c>
      <c r="KK53" s="14">
        <f>DATE(YEAR(KJ53)+5,MONTH(KJ53),DAY(KJ53))</f>
        <v>47190</v>
      </c>
      <c r="KL53" s="65">
        <f ca="1">KK53-TODAY()</f>
        <v>1059</v>
      </c>
      <c r="KM53" s="15" t="str">
        <f t="shared" ca="1" si="106"/>
        <v>VIGENTE</v>
      </c>
      <c r="KN53" s="12"/>
      <c r="KO53" s="14"/>
      <c r="KP53" s="65"/>
      <c r="KQ53" s="15" t="str">
        <f t="shared" si="133"/>
        <v>NO APLICA</v>
      </c>
      <c r="KR53" s="12"/>
      <c r="KS53" s="16"/>
      <c r="KT53" s="14"/>
      <c r="KU53" s="65"/>
      <c r="KV53" s="15" t="str">
        <f t="shared" si="147"/>
        <v>NO APLICA</v>
      </c>
      <c r="KW53" s="16"/>
      <c r="KX53" s="14"/>
      <c r="KY53" s="65"/>
      <c r="KZ53" s="15" t="str">
        <f t="shared" si="134"/>
        <v>NO APLICA</v>
      </c>
      <c r="LA53" s="16"/>
      <c r="LB53" s="16"/>
      <c r="LC53" s="14"/>
      <c r="LD53" s="65"/>
      <c r="LE53" s="15" t="str">
        <f t="shared" si="107"/>
        <v>NO APLICA</v>
      </c>
      <c r="LF53" s="15"/>
      <c r="LG53" s="15"/>
      <c r="LH53" s="15"/>
      <c r="LI53" s="15"/>
      <c r="LJ53" s="15" t="str">
        <f t="shared" si="148"/>
        <v>NO APLICA</v>
      </c>
      <c r="LK53" s="12"/>
      <c r="LL53" s="16"/>
      <c r="LM53" s="14"/>
      <c r="LN53" s="65"/>
      <c r="LO53" s="15" t="str">
        <f t="shared" si="135"/>
        <v>NO APLICA</v>
      </c>
      <c r="LP53" s="16"/>
      <c r="LQ53" s="16"/>
      <c r="LR53" s="14"/>
      <c r="LS53" s="65"/>
      <c r="LT53" s="15" t="str">
        <f t="shared" si="136"/>
        <v>NO APLICA</v>
      </c>
      <c r="LU53" s="16"/>
      <c r="LV53" s="16"/>
      <c r="LW53" s="14"/>
      <c r="LX53" s="65"/>
      <c r="LY53" s="15" t="str">
        <f t="shared" si="137"/>
        <v>NO APLICA</v>
      </c>
      <c r="LZ53" s="14">
        <v>44998</v>
      </c>
      <c r="MA53" s="14">
        <v>45010</v>
      </c>
      <c r="MB53" s="14">
        <f>DATE(YEAR(MA53)+5,MONTH(MA53),DAY(MA53))</f>
        <v>46837</v>
      </c>
      <c r="MC53" s="65">
        <f ca="1">MB53-TODAY()</f>
        <v>706</v>
      </c>
      <c r="MD53" s="15" t="str">
        <f t="shared" ca="1" si="108"/>
        <v>VIGENTE</v>
      </c>
      <c r="ME53" s="12"/>
      <c r="MF53" s="12"/>
      <c r="MG53" s="14"/>
      <c r="MH53" s="65"/>
      <c r="MI53" s="15" t="str">
        <f t="shared" si="109"/>
        <v>NO APLICA</v>
      </c>
      <c r="MJ53" s="12"/>
      <c r="MK53" s="14"/>
      <c r="ML53" s="65"/>
      <c r="MM53" s="15" t="str">
        <f t="shared" si="110"/>
        <v>NO APLICA</v>
      </c>
      <c r="MN53" s="12"/>
      <c r="MO53" s="14"/>
      <c r="MP53" s="12"/>
      <c r="MQ53" s="15" t="str">
        <f t="shared" si="111"/>
        <v>NO APLICA</v>
      </c>
      <c r="MR53" s="12"/>
      <c r="MS53" s="16"/>
      <c r="MT53" s="14"/>
      <c r="MU53" s="65"/>
      <c r="MV53" s="15" t="str">
        <f t="shared" si="112"/>
        <v>NO APLICA</v>
      </c>
      <c r="MW53" s="12"/>
      <c r="MX53" s="16"/>
      <c r="MY53" s="14"/>
      <c r="MZ53" s="65"/>
      <c r="NA53" s="15" t="str">
        <f t="shared" si="113"/>
        <v>NO APLICA</v>
      </c>
      <c r="NB53" s="12"/>
      <c r="NC53" s="16"/>
      <c r="ND53" s="14"/>
      <c r="NE53" s="65"/>
      <c r="NF53" s="15" t="str">
        <f t="shared" si="114"/>
        <v>NO APLICA</v>
      </c>
      <c r="NG53" s="12"/>
      <c r="NH53" s="12"/>
      <c r="NI53" s="14"/>
      <c r="NJ53" s="12"/>
      <c r="NK53" s="15" t="str">
        <f t="shared" si="115"/>
        <v>NO APLICA</v>
      </c>
      <c r="NL53" s="12"/>
      <c r="NM53" s="12"/>
      <c r="NN53" s="14"/>
      <c r="NO53" s="12"/>
      <c r="NP53" s="15" t="str">
        <f t="shared" si="116"/>
        <v>NO APLICA</v>
      </c>
      <c r="NQ53" s="16"/>
      <c r="NR53" s="16"/>
      <c r="NS53" s="14"/>
      <c r="NT53" s="65"/>
      <c r="NU53" s="15" t="str">
        <f t="shared" si="117"/>
        <v>NO APLICA</v>
      </c>
      <c r="NV53" s="16"/>
      <c r="NW53" s="16"/>
      <c r="NX53" s="16"/>
      <c r="NY53" s="16"/>
      <c r="NZ53" s="15" t="str">
        <f t="shared" si="118"/>
        <v>NO APLICA</v>
      </c>
    </row>
    <row r="54" spans="1:390" ht="15.6" thickTop="1" thickBot="1" x14ac:dyDescent="0.35">
      <c r="A54" s="11">
        <v>1670</v>
      </c>
      <c r="B54" s="10" t="s">
        <v>271</v>
      </c>
      <c r="C54" s="21" t="s">
        <v>151</v>
      </c>
      <c r="D54" s="64" t="s">
        <v>165</v>
      </c>
      <c r="E54" s="13">
        <v>46118</v>
      </c>
      <c r="F54" s="14">
        <v>46119</v>
      </c>
      <c r="G54" s="14">
        <f>DATE(YEAR(F54)+2,MONTH(F54),DAY(F54))</f>
        <v>46850</v>
      </c>
      <c r="H54" s="65">
        <f ca="1">G54-TODAY()</f>
        <v>719</v>
      </c>
      <c r="I54" s="15" t="str">
        <f t="shared" ca="1" si="0"/>
        <v>VIGENTE</v>
      </c>
      <c r="J54" s="15"/>
      <c r="K54" s="16"/>
      <c r="L54" s="16"/>
      <c r="M54" s="65"/>
      <c r="N54" s="15" t="str">
        <f t="shared" si="1"/>
        <v>NO APLICA</v>
      </c>
      <c r="O54" s="16"/>
      <c r="P54" s="16"/>
      <c r="Q54" s="14"/>
      <c r="R54" s="65"/>
      <c r="S54" s="15" t="str">
        <f t="shared" si="119"/>
        <v>NO APLICA</v>
      </c>
      <c r="T54" s="12" t="s">
        <v>272</v>
      </c>
      <c r="U54" s="13">
        <v>45040</v>
      </c>
      <c r="V54" s="14">
        <v>45041</v>
      </c>
      <c r="W54" s="14">
        <f t="shared" si="2"/>
        <v>46868</v>
      </c>
      <c r="X54" s="65">
        <f t="shared" ca="1" si="3"/>
        <v>737</v>
      </c>
      <c r="Y54" s="15" t="str">
        <f t="shared" ca="1" si="4"/>
        <v>VIGENTE</v>
      </c>
      <c r="Z54" s="12"/>
      <c r="AA54" s="12"/>
      <c r="AB54" s="16"/>
      <c r="AC54" s="14"/>
      <c r="AD54" s="65"/>
      <c r="AE54" s="15" t="str">
        <f t="shared" si="7"/>
        <v>NO APLICA</v>
      </c>
      <c r="AF54" s="13">
        <v>45037</v>
      </c>
      <c r="AG54" s="14">
        <v>45680</v>
      </c>
      <c r="AH54" s="14">
        <f t="shared" si="222"/>
        <v>46409</v>
      </c>
      <c r="AI54" s="65">
        <f t="shared" ca="1" si="8"/>
        <v>278</v>
      </c>
      <c r="AJ54" s="15" t="str">
        <f t="shared" ca="1" si="213"/>
        <v>VIGENTE</v>
      </c>
      <c r="AK54" s="13">
        <v>45215</v>
      </c>
      <c r="AL54" s="14">
        <v>45903</v>
      </c>
      <c r="AM54" s="14">
        <f>DATE(YEAR(AL54)+2,MONTH(AL54),DAY(AL54))</f>
        <v>46633</v>
      </c>
      <c r="AN54" s="65">
        <f t="shared" ca="1" si="10"/>
        <v>502</v>
      </c>
      <c r="AO54" s="15" t="str">
        <f t="shared" ca="1" si="11"/>
        <v>VIGENTE</v>
      </c>
      <c r="AP54" s="13">
        <v>45047</v>
      </c>
      <c r="AQ54" s="14">
        <v>45703</v>
      </c>
      <c r="AR54" s="14">
        <f>DATE(YEAR(AQ54)+2,MONTH(AQ54),DAY(AQ54)-1)</f>
        <v>46432</v>
      </c>
      <c r="AS54" s="65">
        <f t="shared" ca="1" si="12"/>
        <v>301</v>
      </c>
      <c r="AT54" s="15" t="str">
        <f t="shared" ca="1" si="13"/>
        <v>VIGENTE</v>
      </c>
      <c r="AU54" s="13">
        <v>45161</v>
      </c>
      <c r="AV54" s="14">
        <v>45786</v>
      </c>
      <c r="AW54" s="14">
        <f>DATE(YEAR(AV54)+2,MONTH(AV54),DAY(AV54)-1)</f>
        <v>46515</v>
      </c>
      <c r="AX54" s="65">
        <f t="shared" ca="1" si="15"/>
        <v>384</v>
      </c>
      <c r="AY54" s="15" t="str">
        <f t="shared" ca="1" si="16"/>
        <v>VIGENTE</v>
      </c>
      <c r="AZ54" s="13">
        <v>45030</v>
      </c>
      <c r="BA54" s="14">
        <v>45717</v>
      </c>
      <c r="BB54" s="14">
        <f>DATE(YEAR(BA54)+2,MONTH(BA54),DAY(BA54)-1)</f>
        <v>46446</v>
      </c>
      <c r="BC54" s="65">
        <f t="shared" ca="1" si="17"/>
        <v>315</v>
      </c>
      <c r="BD54" s="15" t="str">
        <f t="shared" ca="1" si="18"/>
        <v>VIGENTE</v>
      </c>
      <c r="BE54" s="13">
        <v>45201</v>
      </c>
      <c r="BF54" s="14">
        <v>45880</v>
      </c>
      <c r="BG54" s="14">
        <f>DATE(YEAR(BF54)+2,MONTH(BF54),DAY(BF54))</f>
        <v>46610</v>
      </c>
      <c r="BH54" s="65">
        <f t="shared" ca="1" si="19"/>
        <v>479</v>
      </c>
      <c r="BI54" s="15" t="str">
        <f t="shared" ca="1" si="20"/>
        <v>VIGENTE</v>
      </c>
      <c r="BJ54" s="13">
        <v>45140</v>
      </c>
      <c r="BK54" s="14">
        <v>45797</v>
      </c>
      <c r="BL54" s="14">
        <f t="shared" si="223"/>
        <v>46527</v>
      </c>
      <c r="BM54" s="65">
        <f t="shared" ca="1" si="21"/>
        <v>396</v>
      </c>
      <c r="BN54" s="15" t="str">
        <f t="shared" ca="1" si="22"/>
        <v>VIGENTE</v>
      </c>
      <c r="BO54" s="13">
        <v>45031</v>
      </c>
      <c r="BP54" s="14">
        <v>45701</v>
      </c>
      <c r="BQ54" s="14">
        <f>DATE(YEAR(BP54)+2,MONTH(BP54),DAY(BP54)-1)</f>
        <v>46430</v>
      </c>
      <c r="BR54" s="65">
        <f t="shared" ca="1" si="23"/>
        <v>299</v>
      </c>
      <c r="BS54" s="15" t="str">
        <f t="shared" ca="1" si="24"/>
        <v>VIGENTE</v>
      </c>
      <c r="BT54" s="13">
        <v>45183</v>
      </c>
      <c r="BU54" s="14">
        <v>45853</v>
      </c>
      <c r="BV54" s="14">
        <f>DATE(YEAR(BU54)+2,MONTH(BU54),DAY(BU54))</f>
        <v>46583</v>
      </c>
      <c r="BW54" s="65">
        <f t="shared" ca="1" si="25"/>
        <v>452</v>
      </c>
      <c r="BX54" s="15" t="str">
        <f t="shared" ca="1" si="26"/>
        <v>VIGENTE</v>
      </c>
      <c r="BY54" s="12"/>
      <c r="BZ54" s="14">
        <v>45944</v>
      </c>
      <c r="CA54" s="14">
        <f>DATE(YEAR(BZ54)+2,MONTH(BZ54),DAY(BZ54))</f>
        <v>46674</v>
      </c>
      <c r="CB54" s="65">
        <f t="shared" ca="1" si="27"/>
        <v>543</v>
      </c>
      <c r="CC54" s="15" t="str">
        <f t="shared" ca="1" si="28"/>
        <v>VIGENTE</v>
      </c>
      <c r="CD54" s="16" t="s">
        <v>102</v>
      </c>
      <c r="CE54" s="14">
        <v>45831</v>
      </c>
      <c r="CF54" s="14">
        <v>45832</v>
      </c>
      <c r="CG54" s="14">
        <f t="shared" si="29"/>
        <v>47293</v>
      </c>
      <c r="CH54" s="65">
        <f t="shared" ca="1" si="30"/>
        <v>1162</v>
      </c>
      <c r="CI54" s="15" t="str">
        <f t="shared" ca="1" si="31"/>
        <v>VIGENTE</v>
      </c>
      <c r="CJ54" s="14">
        <v>45085</v>
      </c>
      <c r="CK54" s="14">
        <v>45777</v>
      </c>
      <c r="CL54" s="14">
        <f>DATE(YEAR(CK54)+2,MONTH(CK54),DAY(CK54))</f>
        <v>46507</v>
      </c>
      <c r="CM54" s="65">
        <f t="shared" ca="1" si="32"/>
        <v>376</v>
      </c>
      <c r="CN54" s="15" t="str">
        <f t="shared" ca="1" si="33"/>
        <v>VIGENTE</v>
      </c>
      <c r="CO54" s="13">
        <v>45246</v>
      </c>
      <c r="CP54" s="14">
        <v>45888</v>
      </c>
      <c r="CQ54" s="14">
        <f>DATE(YEAR(CP54)+2,MONTH(CP54),DAY(CP54))</f>
        <v>46618</v>
      </c>
      <c r="CR54" s="65">
        <f t="shared" ca="1" si="34"/>
        <v>487</v>
      </c>
      <c r="CS54" s="15" t="str">
        <f t="shared" ca="1" si="35"/>
        <v>VIGENTE</v>
      </c>
      <c r="CT54" s="13">
        <v>45147</v>
      </c>
      <c r="CU54" s="14">
        <v>45805</v>
      </c>
      <c r="CV54" s="14">
        <f>DATE(YEAR(CU54)+2,MONTH(CU54),DAY(CU54))</f>
        <v>46535</v>
      </c>
      <c r="CW54" s="65">
        <f t="shared" ca="1" si="36"/>
        <v>404</v>
      </c>
      <c r="CX54" s="15" t="str">
        <f t="shared" ca="1" si="37"/>
        <v>VIGENTE</v>
      </c>
      <c r="CY54" s="13">
        <v>45331</v>
      </c>
      <c r="CZ54" s="14">
        <v>45989</v>
      </c>
      <c r="DA54" s="14">
        <f>DATE(YEAR(CZ54)+2,MONTH(CZ54),DAY(CZ54))</f>
        <v>46719</v>
      </c>
      <c r="DB54" s="65">
        <f t="shared" ca="1" si="38"/>
        <v>588</v>
      </c>
      <c r="DC54" s="15" t="str">
        <f t="shared" ca="1" si="39"/>
        <v>VIGENTE</v>
      </c>
      <c r="DD54" s="13">
        <v>45029</v>
      </c>
      <c r="DE54" s="14">
        <v>45689</v>
      </c>
      <c r="DF54" s="14">
        <f t="shared" si="220"/>
        <v>46418</v>
      </c>
      <c r="DG54" s="65">
        <f t="shared" ca="1" si="40"/>
        <v>287</v>
      </c>
      <c r="DH54" s="15" t="str">
        <f t="shared" ca="1" si="41"/>
        <v>VIGENTE</v>
      </c>
      <c r="DI54" s="13">
        <v>45038</v>
      </c>
      <c r="DJ54" s="14">
        <v>45696</v>
      </c>
      <c r="DK54" s="14">
        <f>DATE(YEAR(DJ54)+2,MONTH(DJ54),DAY(DJ54)-1)</f>
        <v>46425</v>
      </c>
      <c r="DL54" s="65">
        <f t="shared" ca="1" si="43"/>
        <v>294</v>
      </c>
      <c r="DM54" s="15" t="str">
        <f t="shared" ca="1" si="44"/>
        <v>VIGENTE</v>
      </c>
      <c r="DN54" s="13"/>
      <c r="DO54" s="14">
        <v>46007</v>
      </c>
      <c r="DP54" s="14">
        <f>DATE(YEAR(DO54)+2,MONTH(DO54),DAY(DO54))</f>
        <v>46737</v>
      </c>
      <c r="DQ54" s="65">
        <f t="shared" ca="1" si="46"/>
        <v>606</v>
      </c>
      <c r="DR54" s="15" t="str">
        <f t="shared" ca="1" si="47"/>
        <v>VIGENTE</v>
      </c>
      <c r="DS54" s="13">
        <v>45180</v>
      </c>
      <c r="DT54" s="14">
        <v>45885</v>
      </c>
      <c r="DU54" s="14">
        <f>DATE(YEAR(DT54)+2,MONTH(DT54),DAY(DT54))</f>
        <v>46615</v>
      </c>
      <c r="DV54" s="65">
        <f t="shared" ca="1" si="48"/>
        <v>484</v>
      </c>
      <c r="DW54" s="15" t="str">
        <f t="shared" ca="1" si="49"/>
        <v>VIGENTE</v>
      </c>
      <c r="DX54" s="13">
        <v>45100</v>
      </c>
      <c r="DY54" s="14">
        <v>45769</v>
      </c>
      <c r="DZ54" s="14">
        <f>DATE(YEAR(DY54)+2,MONTH(DY54),DAY(DY54))</f>
        <v>46499</v>
      </c>
      <c r="EA54" s="65">
        <f t="shared" ca="1" si="50"/>
        <v>368</v>
      </c>
      <c r="EB54" s="15" t="str">
        <f t="shared" ca="1" si="51"/>
        <v>VIGENTE</v>
      </c>
      <c r="EC54" s="13">
        <v>45090</v>
      </c>
      <c r="ED54" s="14">
        <v>45730</v>
      </c>
      <c r="EE54" s="14">
        <f>DATE(YEAR(ED54)+2,MONTH(ED54),DAY(ED54)-1)</f>
        <v>46459</v>
      </c>
      <c r="EF54" s="65">
        <f t="shared" ca="1" si="52"/>
        <v>328</v>
      </c>
      <c r="EG54" s="15" t="str">
        <f t="shared" ca="1" si="53"/>
        <v>VIGENTE</v>
      </c>
      <c r="EH54" s="13">
        <v>45253</v>
      </c>
      <c r="EI54" s="13">
        <v>45909</v>
      </c>
      <c r="EJ54" s="13">
        <v>45910</v>
      </c>
      <c r="EK54" s="13">
        <v>45911</v>
      </c>
      <c r="EL54" s="14">
        <f t="shared" si="128"/>
        <v>46276</v>
      </c>
      <c r="EM54" s="65">
        <f t="shared" ca="1" si="54"/>
        <v>145</v>
      </c>
      <c r="EN54" s="15" t="str">
        <f t="shared" ca="1" si="55"/>
        <v>VIGENTE</v>
      </c>
      <c r="EO54" s="13">
        <v>45083</v>
      </c>
      <c r="EP54" s="14">
        <v>45737</v>
      </c>
      <c r="EQ54" s="14">
        <f>DATE(YEAR(EP54)+2,MONTH(EP54),DAY(EP54)-1)</f>
        <v>46466</v>
      </c>
      <c r="ER54" s="65">
        <f t="shared" ca="1" si="56"/>
        <v>335</v>
      </c>
      <c r="ES54" s="15" t="str">
        <f t="shared" ca="1" si="57"/>
        <v>VIGENTE</v>
      </c>
      <c r="ET54" s="12"/>
      <c r="EU54" s="14">
        <v>45999</v>
      </c>
      <c r="EV54" s="14">
        <f>DATE(YEAR(EU54)+2,MONTH(EU54),DAY(EU54))</f>
        <v>46729</v>
      </c>
      <c r="EW54" s="65">
        <f t="shared" ca="1" si="58"/>
        <v>598</v>
      </c>
      <c r="EX54" s="15" t="str">
        <f t="shared" ca="1" si="59"/>
        <v>VIGENTE</v>
      </c>
      <c r="EY54" s="13">
        <v>45162</v>
      </c>
      <c r="EZ54" s="14">
        <v>45794</v>
      </c>
      <c r="FA54" s="14">
        <f>DATE(YEAR(EZ54)+2,MONTH(EZ54),DAY(EZ54))</f>
        <v>46524</v>
      </c>
      <c r="FB54" s="65">
        <f t="shared" ca="1" si="60"/>
        <v>393</v>
      </c>
      <c r="FC54" s="15" t="str">
        <f t="shared" ca="1" si="61"/>
        <v>VIGENTE</v>
      </c>
      <c r="FD54" s="13">
        <v>45280</v>
      </c>
      <c r="FE54" s="14">
        <v>45988</v>
      </c>
      <c r="FF54" s="14">
        <f>DATE(YEAR(FE54)+2,MONTH(FE54),DAY(FE54))</f>
        <v>46718</v>
      </c>
      <c r="FG54" s="65">
        <f t="shared" ca="1" si="62"/>
        <v>587</v>
      </c>
      <c r="FH54" s="15" t="str">
        <f t="shared" ca="1" si="63"/>
        <v>VIGENTE</v>
      </c>
      <c r="FI54" s="13">
        <v>45176</v>
      </c>
      <c r="FJ54" s="14">
        <v>45878</v>
      </c>
      <c r="FK54" s="14">
        <f>DATE(YEAR(FJ54)+2,MONTH(FJ54),DAY(FJ54))</f>
        <v>46608</v>
      </c>
      <c r="FL54" s="65">
        <f t="shared" ca="1" si="64"/>
        <v>477</v>
      </c>
      <c r="FM54" s="15" t="str">
        <f t="shared" ca="1" si="65"/>
        <v>VIGENTE</v>
      </c>
      <c r="FN54" s="13">
        <v>45197</v>
      </c>
      <c r="FO54" s="14">
        <v>45850</v>
      </c>
      <c r="FP54" s="14">
        <f>DATE(YEAR(FO54)+2,MONTH(FO54),DAY(FO54))</f>
        <v>46580</v>
      </c>
      <c r="FQ54" s="65">
        <f t="shared" ca="1" si="67"/>
        <v>449</v>
      </c>
      <c r="FR54" s="15" t="str">
        <f t="shared" ca="1" si="68"/>
        <v>VIGENTE</v>
      </c>
      <c r="FS54" s="13">
        <v>45135</v>
      </c>
      <c r="FT54" s="14">
        <v>45782</v>
      </c>
      <c r="FU54" s="14">
        <f>DATE(YEAR(FT54)+2,MONTH(FT54),DAY(FT54))</f>
        <v>46512</v>
      </c>
      <c r="FV54" s="65">
        <f t="shared" ca="1" si="69"/>
        <v>381</v>
      </c>
      <c r="FW54" s="15" t="str">
        <f t="shared" ca="1" si="70"/>
        <v>VIGENTE</v>
      </c>
      <c r="FX54" s="13"/>
      <c r="FY54" s="14">
        <v>46014</v>
      </c>
      <c r="FZ54" s="14">
        <f>DATE(YEAR(FY54)+2,MONTH(FY54),DAY(FY54))</f>
        <v>46744</v>
      </c>
      <c r="GA54" s="65">
        <f t="shared" ca="1" si="71"/>
        <v>613</v>
      </c>
      <c r="GB54" s="15" t="str">
        <f t="shared" ca="1" si="72"/>
        <v>VIGENTE</v>
      </c>
      <c r="GC54" s="13"/>
      <c r="GD54" s="14">
        <v>45925</v>
      </c>
      <c r="GE54" s="14">
        <f>DATE(YEAR(GD54)+2,MONTH(GD54),DAY(GD54))</f>
        <v>46655</v>
      </c>
      <c r="GF54" s="65">
        <f t="shared" ca="1" si="73"/>
        <v>524</v>
      </c>
      <c r="GG54" s="15" t="str">
        <f t="shared" ca="1" si="74"/>
        <v>VIGENTE</v>
      </c>
      <c r="GH54" s="13">
        <v>45332</v>
      </c>
      <c r="GI54" s="14">
        <v>45960</v>
      </c>
      <c r="GJ54" s="14">
        <f>DATE(YEAR(GI54)+2,MONTH(GI54),DAY(GI54))</f>
        <v>46690</v>
      </c>
      <c r="GK54" s="65">
        <f t="shared" ca="1" si="75"/>
        <v>559</v>
      </c>
      <c r="GL54" s="15" t="str">
        <f t="shared" ca="1" si="76"/>
        <v>VIGENTE</v>
      </c>
      <c r="GM54" s="13">
        <v>45182</v>
      </c>
      <c r="GN54" s="14">
        <v>45848</v>
      </c>
      <c r="GO54" s="14">
        <f>DATE(YEAR(GN54)+2,MONTH(GN54),DAY(GN54))</f>
        <v>46578</v>
      </c>
      <c r="GP54" s="65">
        <f t="shared" ca="1" si="77"/>
        <v>447</v>
      </c>
      <c r="GQ54" s="15" t="str">
        <f t="shared" ca="1" si="78"/>
        <v>VIGENTE</v>
      </c>
      <c r="GR54" s="14"/>
      <c r="GS54" s="14">
        <v>45048</v>
      </c>
      <c r="GT54" s="14">
        <f t="shared" si="79"/>
        <v>46875</v>
      </c>
      <c r="GU54" s="65">
        <f t="shared" ca="1" si="172"/>
        <v>744</v>
      </c>
      <c r="GV54" s="15" t="str">
        <f t="shared" ca="1" si="81"/>
        <v>VIGENTE</v>
      </c>
      <c r="GW54" s="13"/>
      <c r="GX54" s="14">
        <v>45245</v>
      </c>
      <c r="GY54" s="14">
        <f t="shared" si="82"/>
        <v>47072</v>
      </c>
      <c r="GZ54" s="65">
        <f t="shared" ca="1" si="83"/>
        <v>941</v>
      </c>
      <c r="HA54" s="15" t="str">
        <f t="shared" ca="1" si="84"/>
        <v>VIGENTE</v>
      </c>
      <c r="HB54" s="12"/>
      <c r="HC54" s="14">
        <v>45160</v>
      </c>
      <c r="HD54" s="14">
        <f t="shared" si="85"/>
        <v>46987</v>
      </c>
      <c r="HE54" s="65">
        <f t="shared" ca="1" si="86"/>
        <v>856</v>
      </c>
      <c r="HF54" s="15" t="str">
        <f t="shared" ca="1" si="87"/>
        <v>VIGENTE</v>
      </c>
      <c r="HG54" s="16"/>
      <c r="HH54" s="16"/>
      <c r="HI54" s="14"/>
      <c r="HJ54" s="65"/>
      <c r="HK54" s="15" t="str">
        <f t="shared" si="217"/>
        <v>NO APLICA</v>
      </c>
      <c r="HL54" s="12"/>
      <c r="HM54" s="16"/>
      <c r="HN54" s="14"/>
      <c r="HO54" s="65"/>
      <c r="HP54" s="15" t="str">
        <f t="shared" si="221"/>
        <v>NO APLICA</v>
      </c>
      <c r="HQ54" s="12"/>
      <c r="HR54" s="12"/>
      <c r="HS54" s="14"/>
      <c r="HT54" s="12"/>
      <c r="HU54" s="15" t="str">
        <f t="shared" si="92"/>
        <v>NO APLICA</v>
      </c>
      <c r="HV54" s="12"/>
      <c r="HW54" s="16"/>
      <c r="HX54" s="14"/>
      <c r="HY54" s="65"/>
      <c r="HZ54" s="15" t="str">
        <f t="shared" si="93"/>
        <v>NO APLICA</v>
      </c>
      <c r="IA54" s="12"/>
      <c r="IB54" s="16"/>
      <c r="IC54" s="14"/>
      <c r="ID54" s="65"/>
      <c r="IE54" s="15" t="str">
        <f t="shared" si="94"/>
        <v>NO APLICA</v>
      </c>
      <c r="IF54" s="12"/>
      <c r="IG54" s="16"/>
      <c r="IH54" s="14"/>
      <c r="II54" s="65"/>
      <c r="IJ54" s="15" t="str">
        <f t="shared" si="95"/>
        <v>NO APLICA</v>
      </c>
      <c r="IK54" s="16"/>
      <c r="IL54" s="16"/>
      <c r="IM54" s="14"/>
      <c r="IN54" s="65"/>
      <c r="IO54" s="15" t="str">
        <f t="shared" si="96"/>
        <v>NO APLICA</v>
      </c>
      <c r="IP54" s="12"/>
      <c r="IQ54" s="16"/>
      <c r="IR54" s="14"/>
      <c r="IS54" s="65"/>
      <c r="IT54" s="15" t="str">
        <f t="shared" si="97"/>
        <v>NO APLICA</v>
      </c>
      <c r="IU54" s="12"/>
      <c r="IV54" s="16"/>
      <c r="IW54" s="14"/>
      <c r="IX54" s="65"/>
      <c r="IY54" s="15" t="str">
        <f t="shared" si="98"/>
        <v>NO APLICA</v>
      </c>
      <c r="IZ54" s="12"/>
      <c r="JA54" s="16"/>
      <c r="JB54" s="14"/>
      <c r="JC54" s="65"/>
      <c r="JD54" s="15" t="str">
        <f t="shared" si="99"/>
        <v>NO APLICA</v>
      </c>
      <c r="JE54" s="13"/>
      <c r="JF54" s="13"/>
      <c r="JG54" s="14"/>
      <c r="JH54" s="65"/>
      <c r="JI54" s="15" t="str">
        <f t="shared" si="100"/>
        <v>NO APLICA</v>
      </c>
      <c r="JJ54" s="16"/>
      <c r="JK54" s="16"/>
      <c r="JL54" s="16"/>
      <c r="JM54" s="15" t="str">
        <f t="shared" si="101"/>
        <v>NO APLICA</v>
      </c>
      <c r="JN54" s="16"/>
      <c r="JO54" s="16"/>
      <c r="JP54" s="16"/>
      <c r="JQ54" s="15" t="str">
        <f t="shared" si="102"/>
        <v>NO APLICA</v>
      </c>
      <c r="JR54" s="16"/>
      <c r="JS54" s="16"/>
      <c r="JT54" s="16"/>
      <c r="JU54" s="16"/>
      <c r="JV54" s="15" t="str">
        <f t="shared" si="103"/>
        <v>NO APLICA</v>
      </c>
      <c r="JW54" s="15"/>
      <c r="JX54" s="15"/>
      <c r="JY54" s="15"/>
      <c r="JZ54" s="15"/>
      <c r="KA54" s="15" t="str">
        <f t="shared" si="104"/>
        <v>NO APLICA</v>
      </c>
      <c r="KB54" s="12"/>
      <c r="KC54" s="14"/>
      <c r="KD54" s="65"/>
      <c r="KE54" s="15" t="str">
        <f t="shared" si="105"/>
        <v>NO APLICA</v>
      </c>
      <c r="KF54" s="12"/>
      <c r="KG54" s="14"/>
      <c r="KH54" s="65"/>
      <c r="KI54" s="15" t="str">
        <f t="shared" si="132"/>
        <v>NO APLICA</v>
      </c>
      <c r="KJ54" s="12"/>
      <c r="KK54" s="14"/>
      <c r="KL54" s="65"/>
      <c r="KM54" s="15" t="str">
        <f t="shared" si="106"/>
        <v>NO APLICA</v>
      </c>
      <c r="KN54" s="12"/>
      <c r="KO54" s="14"/>
      <c r="KP54" s="65"/>
      <c r="KQ54" s="15" t="str">
        <f t="shared" si="133"/>
        <v>NO APLICA</v>
      </c>
      <c r="KR54" s="12"/>
      <c r="KS54" s="16"/>
      <c r="KT54" s="14"/>
      <c r="KU54" s="65"/>
      <c r="KV54" s="15" t="str">
        <f t="shared" si="147"/>
        <v>NO APLICA</v>
      </c>
      <c r="KW54" s="16"/>
      <c r="KX54" s="14"/>
      <c r="KY54" s="65"/>
      <c r="KZ54" s="15" t="str">
        <f t="shared" si="134"/>
        <v>NO APLICA</v>
      </c>
      <c r="LA54" s="16"/>
      <c r="LB54" s="16"/>
      <c r="LC54" s="14"/>
      <c r="LD54" s="65"/>
      <c r="LE54" s="15" t="str">
        <f t="shared" si="107"/>
        <v>NO APLICA</v>
      </c>
      <c r="LF54" s="15"/>
      <c r="LG54" s="15"/>
      <c r="LH54" s="15"/>
      <c r="LI54" s="15"/>
      <c r="LJ54" s="15" t="str">
        <f t="shared" si="148"/>
        <v>NO APLICA</v>
      </c>
      <c r="LK54" s="12"/>
      <c r="LL54" s="16"/>
      <c r="LM54" s="14"/>
      <c r="LN54" s="65"/>
      <c r="LO54" s="15" t="str">
        <f t="shared" si="135"/>
        <v>NO APLICA</v>
      </c>
      <c r="LP54" s="16"/>
      <c r="LQ54" s="16"/>
      <c r="LR54" s="14"/>
      <c r="LS54" s="65"/>
      <c r="LT54" s="15" t="str">
        <f t="shared" si="136"/>
        <v>NO APLICA</v>
      </c>
      <c r="LU54" s="16"/>
      <c r="LV54" s="16"/>
      <c r="LW54" s="14"/>
      <c r="LX54" s="65"/>
      <c r="LY54" s="15" t="str">
        <f t="shared" si="137"/>
        <v>NO APLICA</v>
      </c>
      <c r="LZ54" s="12"/>
      <c r="MA54" s="12"/>
      <c r="MB54" s="14"/>
      <c r="MC54" s="65"/>
      <c r="MD54" s="15" t="str">
        <f t="shared" si="108"/>
        <v>NO APLICA</v>
      </c>
      <c r="ME54" s="12"/>
      <c r="MF54" s="12"/>
      <c r="MG54" s="14"/>
      <c r="MH54" s="65"/>
      <c r="MI54" s="15" t="str">
        <f t="shared" si="109"/>
        <v>NO APLICA</v>
      </c>
      <c r="MJ54" s="12"/>
      <c r="MK54" s="14"/>
      <c r="ML54" s="65"/>
      <c r="MM54" s="15" t="str">
        <f t="shared" si="110"/>
        <v>NO APLICA</v>
      </c>
      <c r="MN54" s="12"/>
      <c r="MO54" s="14"/>
      <c r="MP54" s="12"/>
      <c r="MQ54" s="15" t="str">
        <f t="shared" si="111"/>
        <v>NO APLICA</v>
      </c>
      <c r="MR54" s="12"/>
      <c r="MS54" s="16"/>
      <c r="MT54" s="14"/>
      <c r="MU54" s="65"/>
      <c r="MV54" s="15" t="str">
        <f t="shared" si="112"/>
        <v>NO APLICA</v>
      </c>
      <c r="MW54" s="12"/>
      <c r="MX54" s="16"/>
      <c r="MY54" s="14"/>
      <c r="MZ54" s="65"/>
      <c r="NA54" s="15" t="str">
        <f t="shared" si="113"/>
        <v>NO APLICA</v>
      </c>
      <c r="NB54" s="12"/>
      <c r="NC54" s="16"/>
      <c r="ND54" s="14"/>
      <c r="NE54" s="65"/>
      <c r="NF54" s="15" t="str">
        <f t="shared" si="114"/>
        <v>NO APLICA</v>
      </c>
      <c r="NG54" s="12"/>
      <c r="NH54" s="12"/>
      <c r="NI54" s="14"/>
      <c r="NJ54" s="12"/>
      <c r="NK54" s="15" t="str">
        <f t="shared" si="115"/>
        <v>NO APLICA</v>
      </c>
      <c r="NL54" s="12"/>
      <c r="NM54" s="12"/>
      <c r="NN54" s="14"/>
      <c r="NO54" s="12"/>
      <c r="NP54" s="15" t="str">
        <f t="shared" si="116"/>
        <v>NO APLICA</v>
      </c>
      <c r="NQ54" s="16"/>
      <c r="NR54" s="16"/>
      <c r="NS54" s="14"/>
      <c r="NT54" s="65"/>
      <c r="NU54" s="15" t="str">
        <f t="shared" si="117"/>
        <v>NO APLICA</v>
      </c>
      <c r="NV54" s="16"/>
      <c r="NW54" s="16"/>
      <c r="NX54" s="16"/>
      <c r="NY54" s="16"/>
      <c r="NZ54" s="15" t="str">
        <f t="shared" si="118"/>
        <v>NO APLICA</v>
      </c>
    </row>
    <row r="55" spans="1:390" ht="15.6" thickTop="1" thickBot="1" x14ac:dyDescent="0.35">
      <c r="A55" s="9">
        <v>1253</v>
      </c>
      <c r="B55" s="10" t="s">
        <v>273</v>
      </c>
      <c r="C55" s="21" t="s">
        <v>104</v>
      </c>
      <c r="D55" s="64" t="s">
        <v>236</v>
      </c>
      <c r="E55" s="15"/>
      <c r="F55" s="16"/>
      <c r="G55" s="14"/>
      <c r="H55" s="65"/>
      <c r="I55" s="15" t="str">
        <f t="shared" si="0"/>
        <v>NO APLICA</v>
      </c>
      <c r="J55" s="15"/>
      <c r="K55" s="16"/>
      <c r="L55" s="16"/>
      <c r="M55" s="65"/>
      <c r="N55" s="15" t="str">
        <f t="shared" si="1"/>
        <v>NO APLICA</v>
      </c>
      <c r="O55" s="14">
        <v>45603</v>
      </c>
      <c r="P55" s="14">
        <v>45604</v>
      </c>
      <c r="Q55" s="14">
        <f>DATE(YEAR(P55)+2,MONTH(P55),DAY(P55)-1)</f>
        <v>46333</v>
      </c>
      <c r="R55" s="65">
        <f ca="1">Q55-TODAY()</f>
        <v>202</v>
      </c>
      <c r="S55" s="15" t="str">
        <f t="shared" ca="1" si="119"/>
        <v>VIGENTE</v>
      </c>
      <c r="T55" s="12" t="s">
        <v>274</v>
      </c>
      <c r="U55" s="13">
        <v>44771</v>
      </c>
      <c r="V55" s="14">
        <v>44772</v>
      </c>
      <c r="W55" s="14">
        <f t="shared" si="2"/>
        <v>46598</v>
      </c>
      <c r="X55" s="65">
        <f t="shared" ca="1" si="3"/>
        <v>467</v>
      </c>
      <c r="Y55" s="15" t="str">
        <f t="shared" ca="1" si="4"/>
        <v>VIGENTE</v>
      </c>
      <c r="Z55" s="12" t="s">
        <v>275</v>
      </c>
      <c r="AA55" s="13">
        <v>44987</v>
      </c>
      <c r="AB55" s="14">
        <v>44988</v>
      </c>
      <c r="AC55" s="14">
        <f>DATE(YEAR(AB55)+5,MONTH(AB55),DAY(AB55))</f>
        <v>46815</v>
      </c>
      <c r="AD55" s="65">
        <f ca="1">AC55-TODAY()</f>
        <v>684</v>
      </c>
      <c r="AE55" s="15" t="str">
        <f t="shared" ca="1" si="7"/>
        <v>VIGENTE</v>
      </c>
      <c r="AF55" s="13">
        <v>44928</v>
      </c>
      <c r="AG55" s="14">
        <v>45589</v>
      </c>
      <c r="AH55" s="14">
        <f t="shared" si="222"/>
        <v>46318</v>
      </c>
      <c r="AI55" s="65">
        <f t="shared" ca="1" si="8"/>
        <v>187</v>
      </c>
      <c r="AJ55" s="15" t="str">
        <f t="shared" ca="1" si="213"/>
        <v>VIGENTE</v>
      </c>
      <c r="AK55" s="13">
        <v>44756</v>
      </c>
      <c r="AL55" s="14">
        <v>46062</v>
      </c>
      <c r="AM55" s="14">
        <f>DATE(YEAR(AL55)+2,MONTH(AL55),DAY(AL55))</f>
        <v>46792</v>
      </c>
      <c r="AN55" s="65">
        <f t="shared" ca="1" si="10"/>
        <v>661</v>
      </c>
      <c r="AO55" s="15" t="str">
        <f t="shared" ca="1" si="11"/>
        <v>VIGENTE</v>
      </c>
      <c r="AP55" s="13">
        <v>45420</v>
      </c>
      <c r="AQ55" s="14">
        <v>46083</v>
      </c>
      <c r="AR55" s="14">
        <f>DATE(YEAR(AQ55)+2,MONTH(AQ55),DAY(AQ55))</f>
        <v>46814</v>
      </c>
      <c r="AS55" s="65">
        <f t="shared" ca="1" si="12"/>
        <v>683</v>
      </c>
      <c r="AT55" s="15" t="str">
        <f t="shared" ca="1" si="13"/>
        <v>VIGENTE</v>
      </c>
      <c r="AU55" s="13">
        <v>44744</v>
      </c>
      <c r="AV55" s="14">
        <v>46070</v>
      </c>
      <c r="AW55" s="14">
        <f>DATE(YEAR(AV55)+2,MONTH(AV55),DAY(AV55))</f>
        <v>46800</v>
      </c>
      <c r="AX55" s="65">
        <f t="shared" ca="1" si="15"/>
        <v>669</v>
      </c>
      <c r="AY55" s="15" t="str">
        <f t="shared" ca="1" si="16"/>
        <v>VIGENTE</v>
      </c>
      <c r="AZ55" s="13">
        <v>44817</v>
      </c>
      <c r="BA55" s="14">
        <v>45476</v>
      </c>
      <c r="BB55" s="14">
        <f>DATE(YEAR(BA55)+2,MONTH(BA55),DAY(BA55)-1)</f>
        <v>46205</v>
      </c>
      <c r="BC55" s="65">
        <f t="shared" ca="1" si="17"/>
        <v>74</v>
      </c>
      <c r="BD55" s="15" t="str">
        <f t="shared" ca="1" si="18"/>
        <v>POR VENCER</v>
      </c>
      <c r="BE55" s="13">
        <v>45399</v>
      </c>
      <c r="BF55" s="14">
        <v>46027</v>
      </c>
      <c r="BG55" s="14">
        <f>DATE(YEAR(BF55)+2,MONTH(BF55),DAY(BF55))</f>
        <v>46757</v>
      </c>
      <c r="BH55" s="65">
        <f t="shared" ca="1" si="19"/>
        <v>626</v>
      </c>
      <c r="BI55" s="15" t="str">
        <f t="shared" ca="1" si="20"/>
        <v>VIGENTE</v>
      </c>
      <c r="BJ55" s="13">
        <v>44824</v>
      </c>
      <c r="BK55" s="14">
        <v>46051</v>
      </c>
      <c r="BL55" s="14">
        <f t="shared" si="223"/>
        <v>46781</v>
      </c>
      <c r="BM55" s="65">
        <f t="shared" ca="1" si="21"/>
        <v>650</v>
      </c>
      <c r="BN55" s="15" t="str">
        <f t="shared" ca="1" si="22"/>
        <v>VIGENTE</v>
      </c>
      <c r="BO55" s="13">
        <v>44750</v>
      </c>
      <c r="BP55" s="14">
        <v>46069</v>
      </c>
      <c r="BQ55" s="14">
        <f>DATE(YEAR(BP55)+2,MONTH(BP55),DAY(BP55))</f>
        <v>46799</v>
      </c>
      <c r="BR55" s="65">
        <f t="shared" ca="1" si="23"/>
        <v>668</v>
      </c>
      <c r="BS55" s="15" t="str">
        <f t="shared" ca="1" si="24"/>
        <v>VIGENTE</v>
      </c>
      <c r="BT55" s="13">
        <v>44825</v>
      </c>
      <c r="BU55" s="14">
        <v>45449</v>
      </c>
      <c r="BV55" s="14">
        <f>DATE(YEAR(BU55)+2,MONTH(BU55),DAY(BU55)-1)</f>
        <v>46178</v>
      </c>
      <c r="BW55" s="65">
        <f t="shared" ca="1" si="25"/>
        <v>47</v>
      </c>
      <c r="BX55" s="15" t="str">
        <f t="shared" ca="1" si="26"/>
        <v>POR VENCER</v>
      </c>
      <c r="BY55" s="13">
        <v>44736</v>
      </c>
      <c r="BZ55" s="14">
        <v>46065</v>
      </c>
      <c r="CA55" s="14">
        <f>DATE(YEAR(BZ55)+2,MONTH(BZ55),DAY(BZ55))</f>
        <v>46795</v>
      </c>
      <c r="CB55" s="65">
        <f t="shared" ca="1" si="27"/>
        <v>664</v>
      </c>
      <c r="CC55" s="15" t="str">
        <f t="shared" ca="1" si="28"/>
        <v>VIGENTE</v>
      </c>
      <c r="CD55" s="16" t="s">
        <v>108</v>
      </c>
      <c r="CE55" s="14">
        <v>45226</v>
      </c>
      <c r="CF55" s="14">
        <v>45227</v>
      </c>
      <c r="CG55" s="14">
        <f t="shared" si="29"/>
        <v>46688</v>
      </c>
      <c r="CH55" s="65">
        <f t="shared" ca="1" si="30"/>
        <v>557</v>
      </c>
      <c r="CI55" s="15" t="str">
        <f t="shared" ca="1" si="31"/>
        <v>VIGENTE</v>
      </c>
      <c r="CJ55" s="14">
        <v>44756</v>
      </c>
      <c r="CK55" s="14">
        <v>46064</v>
      </c>
      <c r="CL55" s="14">
        <f>DATE(YEAR(CK55)+2,MONTH(CK55),DAY(CK55))</f>
        <v>46794</v>
      </c>
      <c r="CM55" s="65">
        <f t="shared" ca="1" si="32"/>
        <v>663</v>
      </c>
      <c r="CN55" s="15" t="str">
        <f t="shared" ca="1" si="33"/>
        <v>VIGENTE</v>
      </c>
      <c r="CO55" s="13">
        <v>45379</v>
      </c>
      <c r="CP55" s="14">
        <v>46038</v>
      </c>
      <c r="CQ55" s="14">
        <f>DATE(YEAR(CP55)+2,MONTH(CP55),DAY(CP55))</f>
        <v>46768</v>
      </c>
      <c r="CR55" s="65">
        <f t="shared" ca="1" si="34"/>
        <v>637</v>
      </c>
      <c r="CS55" s="15" t="str">
        <f t="shared" ca="1" si="35"/>
        <v>VIGENTE</v>
      </c>
      <c r="CT55" s="13">
        <v>44980</v>
      </c>
      <c r="CU55" s="14">
        <v>45639</v>
      </c>
      <c r="CV55" s="14">
        <f>DATE(YEAR(CU55)+2,MONTH(CU55),DAY(CU55)-1)</f>
        <v>46368</v>
      </c>
      <c r="CW55" s="65">
        <f t="shared" ca="1" si="36"/>
        <v>237</v>
      </c>
      <c r="CX55" s="15" t="str">
        <f t="shared" ca="1" si="37"/>
        <v>VIGENTE</v>
      </c>
      <c r="CY55" s="13">
        <v>44991</v>
      </c>
      <c r="CZ55" s="14">
        <v>45665</v>
      </c>
      <c r="DA55" s="14">
        <f>DATE(YEAR(CZ55)+2,MONTH(CZ55),DAY(CZ55)-1)</f>
        <v>46394</v>
      </c>
      <c r="DB55" s="65">
        <f t="shared" ca="1" si="38"/>
        <v>263</v>
      </c>
      <c r="DC55" s="15" t="str">
        <f t="shared" ca="1" si="39"/>
        <v>VIGENTE</v>
      </c>
      <c r="DD55" s="13">
        <v>45020</v>
      </c>
      <c r="DE55" s="14">
        <v>45689</v>
      </c>
      <c r="DF55" s="14">
        <f t="shared" si="220"/>
        <v>46418</v>
      </c>
      <c r="DG55" s="65">
        <f t="shared" ca="1" si="40"/>
        <v>287</v>
      </c>
      <c r="DH55" s="15" t="str">
        <f t="shared" ca="1" si="41"/>
        <v>VIGENTE</v>
      </c>
      <c r="DI55" s="13">
        <v>45402</v>
      </c>
      <c r="DJ55" s="14">
        <v>46029</v>
      </c>
      <c r="DK55" s="14">
        <f>DATE(YEAR(DJ55)+2,MONTH(DJ55),DAY(DJ55))</f>
        <v>46759</v>
      </c>
      <c r="DL55" s="65">
        <f t="shared" ca="1" si="43"/>
        <v>628</v>
      </c>
      <c r="DM55" s="15" t="str">
        <f t="shared" ca="1" si="44"/>
        <v>VIGENTE</v>
      </c>
      <c r="DN55" s="13">
        <v>44796</v>
      </c>
      <c r="DO55" s="14">
        <v>45486</v>
      </c>
      <c r="DP55" s="14">
        <f>DATE(YEAR(DO55)+2,MONTH(DO55),DAY(DO55)-1)</f>
        <v>46215</v>
      </c>
      <c r="DQ55" s="65">
        <f t="shared" ca="1" si="46"/>
        <v>84</v>
      </c>
      <c r="DR55" s="15" t="str">
        <f t="shared" ca="1" si="47"/>
        <v>POR VENCER</v>
      </c>
      <c r="DS55" s="13">
        <v>44734</v>
      </c>
      <c r="DT55" s="14">
        <v>46053</v>
      </c>
      <c r="DU55" s="14">
        <f>DATE(YEAR(DT55)+2,MONTH(DT55),DAY(DT55))</f>
        <v>46783</v>
      </c>
      <c r="DV55" s="65">
        <f t="shared" ca="1" si="48"/>
        <v>652</v>
      </c>
      <c r="DW55" s="15" t="str">
        <f t="shared" ca="1" si="49"/>
        <v>VIGENTE</v>
      </c>
      <c r="DX55" s="13">
        <v>45432</v>
      </c>
      <c r="DY55" s="14">
        <v>46099</v>
      </c>
      <c r="DZ55" s="14">
        <f>DATE(YEAR(DY55)+2,MONTH(DY55),DAY(DY55))</f>
        <v>46830</v>
      </c>
      <c r="EA55" s="65">
        <f t="shared" ca="1" si="50"/>
        <v>699</v>
      </c>
      <c r="EB55" s="15" t="str">
        <f t="shared" ca="1" si="51"/>
        <v>VIGENTE</v>
      </c>
      <c r="EC55" s="13">
        <v>45450</v>
      </c>
      <c r="ED55" s="14">
        <v>46104</v>
      </c>
      <c r="EE55" s="14">
        <f>DATE(YEAR(ED55)+2,MONTH(ED55),DAY(ED55))</f>
        <v>46835</v>
      </c>
      <c r="EF55" s="65">
        <f t="shared" ca="1" si="52"/>
        <v>704</v>
      </c>
      <c r="EG55" s="15" t="str">
        <f t="shared" ca="1" si="53"/>
        <v>VIGENTE</v>
      </c>
      <c r="EH55" s="14">
        <v>45434</v>
      </c>
      <c r="EI55" s="13">
        <v>45946</v>
      </c>
      <c r="EJ55" s="13">
        <v>45947</v>
      </c>
      <c r="EK55" s="14">
        <v>45948</v>
      </c>
      <c r="EL55" s="14">
        <f t="shared" si="128"/>
        <v>46313</v>
      </c>
      <c r="EM55" s="65">
        <f t="shared" ca="1" si="54"/>
        <v>182</v>
      </c>
      <c r="EN55" s="15" t="str">
        <f t="shared" ca="1" si="55"/>
        <v>VIGENTE</v>
      </c>
      <c r="EO55" s="13">
        <v>44740</v>
      </c>
      <c r="EP55" s="14">
        <v>46100</v>
      </c>
      <c r="EQ55" s="14">
        <f>DATE(YEAR(EP55)+2,MONTH(EP55),DAY(EP55))</f>
        <v>46831</v>
      </c>
      <c r="ER55" s="65">
        <f t="shared" ca="1" si="56"/>
        <v>700</v>
      </c>
      <c r="ES55" s="15" t="str">
        <f t="shared" ca="1" si="57"/>
        <v>VIGENTE</v>
      </c>
      <c r="ET55" s="13">
        <v>44800</v>
      </c>
      <c r="EU55" s="14">
        <v>46094</v>
      </c>
      <c r="EV55" s="14">
        <f>DATE(YEAR(EU55)+2,MONTH(EU55),DAY(EU55))</f>
        <v>46825</v>
      </c>
      <c r="EW55" s="65">
        <f t="shared" ca="1" si="58"/>
        <v>694</v>
      </c>
      <c r="EX55" s="15" t="str">
        <f t="shared" ca="1" si="59"/>
        <v>VIGENTE</v>
      </c>
      <c r="EY55" s="13">
        <v>45436</v>
      </c>
      <c r="EZ55" s="14">
        <v>46063</v>
      </c>
      <c r="FA55" s="14">
        <f>DATE(YEAR(EZ55)+2,MONTH(EZ55),DAY(EZ55))</f>
        <v>46793</v>
      </c>
      <c r="FB55" s="65">
        <f t="shared" ca="1" si="60"/>
        <v>662</v>
      </c>
      <c r="FC55" s="15" t="str">
        <f t="shared" ca="1" si="61"/>
        <v>VIGENTE</v>
      </c>
      <c r="FD55" s="13">
        <v>44743</v>
      </c>
      <c r="FE55" s="14">
        <v>46091</v>
      </c>
      <c r="FF55" s="14">
        <f>DATE(YEAR(FE55)+2,MONTH(FE55),DAY(FE55))</f>
        <v>46822</v>
      </c>
      <c r="FG55" s="65">
        <f t="shared" ca="1" si="62"/>
        <v>691</v>
      </c>
      <c r="FH55" s="15" t="str">
        <f t="shared" ca="1" si="63"/>
        <v>VIGENTE</v>
      </c>
      <c r="FI55" s="13">
        <v>44755</v>
      </c>
      <c r="FJ55" s="14">
        <v>46066</v>
      </c>
      <c r="FK55" s="14">
        <f>DATE(YEAR(FJ55)+2,MONTH(FJ55),DAY(FJ55))</f>
        <v>46796</v>
      </c>
      <c r="FL55" s="65">
        <f t="shared" ca="1" si="64"/>
        <v>665</v>
      </c>
      <c r="FM55" s="15" t="str">
        <f t="shared" ca="1" si="65"/>
        <v>VIGENTE</v>
      </c>
      <c r="FN55" s="13">
        <v>44750</v>
      </c>
      <c r="FO55" s="14">
        <v>46102</v>
      </c>
      <c r="FP55" s="14">
        <f>DATE(YEAR(FO55)+2,MONTH(FO55),DAY(FO55))</f>
        <v>46833</v>
      </c>
      <c r="FQ55" s="65">
        <f t="shared" ca="1" si="67"/>
        <v>702</v>
      </c>
      <c r="FR55" s="15" t="str">
        <f t="shared" ca="1" si="68"/>
        <v>VIGENTE</v>
      </c>
      <c r="FS55" s="13">
        <v>44746</v>
      </c>
      <c r="FT55" s="14">
        <v>46057</v>
      </c>
      <c r="FU55" s="14">
        <f>DATE(YEAR(FT55)+2,MONTH(FT55),DAY(FT55))</f>
        <v>46787</v>
      </c>
      <c r="FV55" s="65">
        <f t="shared" ca="1" si="69"/>
        <v>656</v>
      </c>
      <c r="FW55" s="15" t="str">
        <f t="shared" ca="1" si="70"/>
        <v>VIGENTE</v>
      </c>
      <c r="FX55" s="13">
        <v>44924</v>
      </c>
      <c r="FY55" s="14">
        <v>45581</v>
      </c>
      <c r="FZ55" s="14">
        <f>DATE(YEAR(FY55)+2,MONTH(FY55),DAY(FY55)-1)</f>
        <v>46310</v>
      </c>
      <c r="GA55" s="65">
        <f t="shared" ca="1" si="71"/>
        <v>179</v>
      </c>
      <c r="GB55" s="15" t="str">
        <f t="shared" ca="1" si="72"/>
        <v>VIGENTE</v>
      </c>
      <c r="GC55" s="13">
        <v>45406</v>
      </c>
      <c r="GD55" s="14">
        <v>46030</v>
      </c>
      <c r="GE55" s="14">
        <f>DATE(YEAR(GD55)+2,MONTH(GD55),DAY(GD55))</f>
        <v>46760</v>
      </c>
      <c r="GF55" s="65">
        <f t="shared" ca="1" si="73"/>
        <v>629</v>
      </c>
      <c r="GG55" s="15" t="str">
        <f t="shared" ca="1" si="74"/>
        <v>VIGENTE</v>
      </c>
      <c r="GH55" s="13">
        <v>45400</v>
      </c>
      <c r="GI55" s="14">
        <v>46036</v>
      </c>
      <c r="GJ55" s="14">
        <f>DATE(YEAR(GI55)+2,MONTH(GI55),DAY(GI55))</f>
        <v>46766</v>
      </c>
      <c r="GK55" s="65">
        <f t="shared" ca="1" si="75"/>
        <v>635</v>
      </c>
      <c r="GL55" s="15" t="str">
        <f t="shared" ca="1" si="76"/>
        <v>VIGENTE</v>
      </c>
      <c r="GM55" s="13">
        <v>45405</v>
      </c>
      <c r="GN55" s="14">
        <v>46071</v>
      </c>
      <c r="GO55" s="14">
        <f>DATE(YEAR(GN55)+2,MONTH(GN55),DAY(GN55))</f>
        <v>46801</v>
      </c>
      <c r="GP55" s="65">
        <f t="shared" ca="1" si="77"/>
        <v>670</v>
      </c>
      <c r="GQ55" s="15" t="str">
        <f t="shared" ca="1" si="78"/>
        <v>VIGENTE</v>
      </c>
      <c r="GR55" s="14">
        <v>44758</v>
      </c>
      <c r="GS55" s="14">
        <v>45468</v>
      </c>
      <c r="GT55" s="14">
        <f t="shared" si="79"/>
        <v>47294</v>
      </c>
      <c r="GU55" s="65">
        <f t="shared" ca="1" si="172"/>
        <v>1163</v>
      </c>
      <c r="GV55" s="15" t="str">
        <f t="shared" ca="1" si="81"/>
        <v>VIGENTE</v>
      </c>
      <c r="GW55" s="13">
        <v>44758</v>
      </c>
      <c r="GX55" s="14">
        <v>45417</v>
      </c>
      <c r="GY55" s="14">
        <f t="shared" si="82"/>
        <v>47243</v>
      </c>
      <c r="GZ55" s="65">
        <f t="shared" ca="1" si="83"/>
        <v>1112</v>
      </c>
      <c r="HA55" s="15" t="str">
        <f t="shared" ca="1" si="84"/>
        <v>VIGENTE</v>
      </c>
      <c r="HB55" s="13">
        <v>44757</v>
      </c>
      <c r="HC55" s="14">
        <v>45466</v>
      </c>
      <c r="HD55" s="14">
        <f t="shared" si="85"/>
        <v>47292</v>
      </c>
      <c r="HE55" s="65">
        <f t="shared" ca="1" si="86"/>
        <v>1161</v>
      </c>
      <c r="HF55" s="15" t="str">
        <f t="shared" ca="1" si="87"/>
        <v>VIGENTE</v>
      </c>
      <c r="HG55" s="16"/>
      <c r="HH55" s="14">
        <v>44879</v>
      </c>
      <c r="HI55" s="14">
        <f>DATE(YEAR(HH55)+5,MONTH(HH55),DAY(HH55))</f>
        <v>46705</v>
      </c>
      <c r="HJ55" s="65">
        <f ca="1">HI55-TODAY()</f>
        <v>574</v>
      </c>
      <c r="HK55" s="15" t="str">
        <f t="shared" ca="1" si="217"/>
        <v>VIGENTE</v>
      </c>
      <c r="HL55" s="12"/>
      <c r="HM55" s="14">
        <v>45331</v>
      </c>
      <c r="HN55" s="14">
        <f>DATE(YEAR(HM55)+5,MONTH(HM55),DAY(HM55))</f>
        <v>47158</v>
      </c>
      <c r="HO55" s="65">
        <f ca="1">HN55-TODAY()</f>
        <v>1027</v>
      </c>
      <c r="HP55" s="15" t="str">
        <f t="shared" ca="1" si="221"/>
        <v>VIGENTE</v>
      </c>
      <c r="HQ55" s="12"/>
      <c r="HR55" s="13">
        <v>45374</v>
      </c>
      <c r="HS55" s="14">
        <f>DATE(YEAR(HR55)+5,MONTH(HR55),DAY(HR55))</f>
        <v>47200</v>
      </c>
      <c r="HT55" s="65">
        <f ca="1">HS55-TODAY()</f>
        <v>1069</v>
      </c>
      <c r="HU55" s="15" t="str">
        <f t="shared" ca="1" si="92"/>
        <v>VIGENTE</v>
      </c>
      <c r="HV55" s="13">
        <v>44782</v>
      </c>
      <c r="HW55" s="14">
        <v>45469</v>
      </c>
      <c r="HX55" s="14">
        <f>DATE(YEAR(HW55)+5,MONTH(HW55),DAY(HW55))</f>
        <v>47295</v>
      </c>
      <c r="HY55" s="65">
        <f ca="1">HX55-TODAY()</f>
        <v>1164</v>
      </c>
      <c r="HZ55" s="15" t="str">
        <f t="shared" ca="1" si="93"/>
        <v>VIGENTE</v>
      </c>
      <c r="IA55" s="13">
        <v>44781</v>
      </c>
      <c r="IB55" s="14">
        <v>45492</v>
      </c>
      <c r="IC55" s="14">
        <f>DATE(YEAR(IB55)+5,MONTH(IB55),DAY(IB55))</f>
        <v>47318</v>
      </c>
      <c r="ID55" s="65">
        <f ca="1">IC55-TODAY()</f>
        <v>1187</v>
      </c>
      <c r="IE55" s="15" t="str">
        <f t="shared" ca="1" si="94"/>
        <v>VIGENTE</v>
      </c>
      <c r="IF55" s="13">
        <v>44792</v>
      </c>
      <c r="IG55" s="14">
        <v>45470</v>
      </c>
      <c r="IH55" s="14">
        <f>DATE(YEAR(IG55)+5,MONTH(IG55),DAY(IG55))</f>
        <v>47296</v>
      </c>
      <c r="II55" s="65">
        <f ca="1">IH55-TODAY()</f>
        <v>1165</v>
      </c>
      <c r="IJ55" s="15" t="str">
        <f t="shared" ca="1" si="95"/>
        <v>VIGENTE</v>
      </c>
      <c r="IK55" s="14">
        <v>44795</v>
      </c>
      <c r="IL55" s="14">
        <v>45485</v>
      </c>
      <c r="IM55" s="14">
        <f>DATE(YEAR(IL55)+5,MONTH(IL55),DAY(IL55))</f>
        <v>47311</v>
      </c>
      <c r="IN55" s="65">
        <f ca="1">IM55-TODAY()</f>
        <v>1180</v>
      </c>
      <c r="IO55" s="15" t="str">
        <f t="shared" ca="1" si="96"/>
        <v>VIGENTE</v>
      </c>
      <c r="IP55" s="13">
        <v>44795</v>
      </c>
      <c r="IQ55" s="14">
        <v>45433</v>
      </c>
      <c r="IR55" s="14">
        <f>DATE(YEAR(IQ55)+5,MONTH(IQ55),DAY(IQ55))</f>
        <v>47259</v>
      </c>
      <c r="IS55" s="65">
        <f ca="1">IR55-TODAY()</f>
        <v>1128</v>
      </c>
      <c r="IT55" s="15" t="str">
        <f t="shared" ca="1" si="97"/>
        <v>VIGENTE</v>
      </c>
      <c r="IU55" s="13">
        <v>44792</v>
      </c>
      <c r="IV55" s="13">
        <v>45471</v>
      </c>
      <c r="IW55" s="14">
        <f>DATE(YEAR(IV55)+5,MONTH(IV55),DAY(IV55))</f>
        <v>47297</v>
      </c>
      <c r="IX55" s="65">
        <f ca="1">IW55-TODAY()</f>
        <v>1166</v>
      </c>
      <c r="IY55" s="15" t="str">
        <f t="shared" ca="1" si="98"/>
        <v>VIGENTE</v>
      </c>
      <c r="IZ55" s="13">
        <v>44781</v>
      </c>
      <c r="JA55" s="14">
        <v>45477</v>
      </c>
      <c r="JB55" s="14">
        <f>DATE(YEAR(JA55)+5,MONTH(JA55),DAY(JA55))</f>
        <v>47303</v>
      </c>
      <c r="JC55" s="65">
        <f ca="1">JB55-TODAY()</f>
        <v>1172</v>
      </c>
      <c r="JD55" s="15" t="str">
        <f t="shared" ca="1" si="99"/>
        <v>VIGENTE</v>
      </c>
      <c r="JE55" s="13"/>
      <c r="JF55" s="13"/>
      <c r="JG55" s="14"/>
      <c r="JH55" s="65"/>
      <c r="JI55" s="15" t="str">
        <f t="shared" si="100"/>
        <v>NO APLICA</v>
      </c>
      <c r="JJ55" s="16"/>
      <c r="JK55" s="16"/>
      <c r="JL55" s="16"/>
      <c r="JM55" s="15" t="str">
        <f t="shared" si="101"/>
        <v>NO APLICA</v>
      </c>
      <c r="JN55" s="16"/>
      <c r="JO55" s="16"/>
      <c r="JP55" s="16"/>
      <c r="JQ55" s="15" t="str">
        <f t="shared" si="102"/>
        <v>NO APLICA</v>
      </c>
      <c r="JR55" s="16"/>
      <c r="JS55" s="16"/>
      <c r="JT55" s="16"/>
      <c r="JU55" s="16"/>
      <c r="JV55" s="15" t="str">
        <f t="shared" si="103"/>
        <v>NO APLICA</v>
      </c>
      <c r="JW55" s="15"/>
      <c r="JX55" s="15"/>
      <c r="JY55" s="15"/>
      <c r="JZ55" s="15"/>
      <c r="KA55" s="15" t="str">
        <f t="shared" si="104"/>
        <v>NO APLICA</v>
      </c>
      <c r="KB55" s="12"/>
      <c r="KC55" s="14"/>
      <c r="KD55" s="65"/>
      <c r="KE55" s="15" t="str">
        <f t="shared" si="105"/>
        <v>NO APLICA</v>
      </c>
      <c r="KF55" s="12"/>
      <c r="KG55" s="14"/>
      <c r="KH55" s="65"/>
      <c r="KI55" s="15" t="str">
        <f t="shared" si="132"/>
        <v>NO APLICA</v>
      </c>
      <c r="KJ55" s="12"/>
      <c r="KK55" s="14"/>
      <c r="KL55" s="65"/>
      <c r="KM55" s="15" t="str">
        <f t="shared" si="106"/>
        <v>NO APLICA</v>
      </c>
      <c r="KN55" s="12"/>
      <c r="KO55" s="14"/>
      <c r="KP55" s="65"/>
      <c r="KQ55" s="15" t="str">
        <f t="shared" si="133"/>
        <v>NO APLICA</v>
      </c>
      <c r="KR55" s="12"/>
      <c r="KS55" s="16"/>
      <c r="KT55" s="14"/>
      <c r="KU55" s="65"/>
      <c r="KV55" s="15" t="str">
        <f t="shared" si="147"/>
        <v>NO APLICA</v>
      </c>
      <c r="KW55" s="16"/>
      <c r="KX55" s="14"/>
      <c r="KY55" s="65"/>
      <c r="KZ55" s="15" t="str">
        <f t="shared" si="134"/>
        <v>NO APLICA</v>
      </c>
      <c r="LA55" s="16"/>
      <c r="LB55" s="16"/>
      <c r="LC55" s="14"/>
      <c r="LD55" s="65"/>
      <c r="LE55" s="15" t="str">
        <f t="shared" si="107"/>
        <v>NO APLICA</v>
      </c>
      <c r="LF55" s="15"/>
      <c r="LG55" s="15"/>
      <c r="LH55" s="14"/>
      <c r="LI55" s="65"/>
      <c r="LJ55" s="15" t="str">
        <f t="shared" si="148"/>
        <v>NO APLICA</v>
      </c>
      <c r="LK55" s="12"/>
      <c r="LL55" s="16"/>
      <c r="LM55" s="14"/>
      <c r="LN55" s="65"/>
      <c r="LO55" s="15" t="str">
        <f t="shared" si="135"/>
        <v>NO APLICA</v>
      </c>
      <c r="LP55" s="16"/>
      <c r="LQ55" s="16"/>
      <c r="LR55" s="14"/>
      <c r="LS55" s="65"/>
      <c r="LT55" s="15" t="str">
        <f t="shared" si="136"/>
        <v>NO APLICA</v>
      </c>
      <c r="LU55" s="16"/>
      <c r="LV55" s="16"/>
      <c r="LW55" s="14"/>
      <c r="LX55" s="65"/>
      <c r="LY55" s="15" t="str">
        <f t="shared" si="137"/>
        <v>NO APLICA</v>
      </c>
      <c r="LZ55" s="12"/>
      <c r="MA55" s="12"/>
      <c r="MB55" s="14"/>
      <c r="MC55" s="65"/>
      <c r="MD55" s="15" t="str">
        <f t="shared" si="108"/>
        <v>NO APLICA</v>
      </c>
      <c r="ME55" s="12"/>
      <c r="MF55" s="12"/>
      <c r="MG55" s="14"/>
      <c r="MH55" s="65"/>
      <c r="MI55" s="15" t="str">
        <f t="shared" si="109"/>
        <v>NO APLICA</v>
      </c>
      <c r="MJ55" s="12"/>
      <c r="MK55" s="14"/>
      <c r="ML55" s="65"/>
      <c r="MM55" s="15" t="str">
        <f t="shared" si="110"/>
        <v>NO APLICA</v>
      </c>
      <c r="MN55" s="12"/>
      <c r="MO55" s="14"/>
      <c r="MP55" s="12"/>
      <c r="MQ55" s="15" t="str">
        <f t="shared" si="111"/>
        <v>NO APLICA</v>
      </c>
      <c r="MR55" s="12"/>
      <c r="MS55" s="16"/>
      <c r="MT55" s="14"/>
      <c r="MU55" s="65"/>
      <c r="MV55" s="15" t="str">
        <f t="shared" si="112"/>
        <v>NO APLICA</v>
      </c>
      <c r="MW55" s="12"/>
      <c r="MX55" s="16"/>
      <c r="MY55" s="14"/>
      <c r="MZ55" s="65"/>
      <c r="NA55" s="15" t="str">
        <f t="shared" si="113"/>
        <v>NO APLICA</v>
      </c>
      <c r="NB55" s="12"/>
      <c r="NC55" s="16"/>
      <c r="ND55" s="14"/>
      <c r="NE55" s="65"/>
      <c r="NF55" s="15" t="str">
        <f t="shared" si="114"/>
        <v>NO APLICA</v>
      </c>
      <c r="NG55" s="12"/>
      <c r="NH55" s="12"/>
      <c r="NI55" s="14"/>
      <c r="NJ55" s="12"/>
      <c r="NK55" s="15" t="str">
        <f t="shared" si="115"/>
        <v>NO APLICA</v>
      </c>
      <c r="NL55" s="12"/>
      <c r="NM55" s="12"/>
      <c r="NN55" s="14"/>
      <c r="NO55" s="12"/>
      <c r="NP55" s="15" t="str">
        <f t="shared" si="116"/>
        <v>NO APLICA</v>
      </c>
      <c r="NQ55" s="16"/>
      <c r="NR55" s="16"/>
      <c r="NS55" s="14"/>
      <c r="NT55" s="65"/>
      <c r="NU55" s="15" t="str">
        <f t="shared" si="117"/>
        <v>NO APLICA</v>
      </c>
      <c r="NV55" s="16"/>
      <c r="NW55" s="16"/>
      <c r="NX55" s="16"/>
      <c r="NY55" s="16"/>
      <c r="NZ55" s="15" t="str">
        <f t="shared" si="118"/>
        <v>NO APLICA</v>
      </c>
    </row>
    <row r="56" spans="1:390" ht="15.6" thickTop="1" thickBot="1" x14ac:dyDescent="0.35">
      <c r="A56" s="9">
        <v>400</v>
      </c>
      <c r="B56" s="10" t="s">
        <v>276</v>
      </c>
      <c r="C56" s="21" t="s">
        <v>104</v>
      </c>
      <c r="D56" s="64" t="s">
        <v>131</v>
      </c>
      <c r="E56" s="15"/>
      <c r="F56" s="16"/>
      <c r="G56" s="14"/>
      <c r="H56" s="65"/>
      <c r="I56" s="15" t="str">
        <f t="shared" si="0"/>
        <v>NO APLICA</v>
      </c>
      <c r="J56" s="15"/>
      <c r="K56" s="16"/>
      <c r="L56" s="16"/>
      <c r="M56" s="65"/>
      <c r="N56" s="15" t="str">
        <f t="shared" si="1"/>
        <v>NO APLICA</v>
      </c>
      <c r="O56" s="16"/>
      <c r="P56" s="16"/>
      <c r="Q56" s="14"/>
      <c r="R56" s="65"/>
      <c r="S56" s="15" t="str">
        <f t="shared" si="119"/>
        <v>NO APLICA</v>
      </c>
      <c r="T56" s="12" t="s">
        <v>277</v>
      </c>
      <c r="U56" s="13">
        <v>44828</v>
      </c>
      <c r="V56" s="14">
        <v>44829</v>
      </c>
      <c r="W56" s="14">
        <f t="shared" si="2"/>
        <v>46655</v>
      </c>
      <c r="X56" s="65">
        <f t="shared" ca="1" si="3"/>
        <v>524</v>
      </c>
      <c r="Y56" s="15" t="str">
        <f t="shared" ca="1" si="4"/>
        <v>VIGENTE</v>
      </c>
      <c r="Z56" s="12" t="s">
        <v>278</v>
      </c>
      <c r="AA56" s="13">
        <v>44827</v>
      </c>
      <c r="AB56" s="14">
        <v>44828</v>
      </c>
      <c r="AC56" s="14">
        <f>DATE(YEAR(AB56)+5,MONTH(AB56),DAY(AB56))</f>
        <v>46654</v>
      </c>
      <c r="AD56" s="65">
        <f ca="1">AC56-TODAY()</f>
        <v>523</v>
      </c>
      <c r="AE56" s="15" t="str">
        <f t="shared" ca="1" si="7"/>
        <v>VIGENTE</v>
      </c>
      <c r="AF56" s="13">
        <v>44932</v>
      </c>
      <c r="AG56" s="13">
        <v>45589</v>
      </c>
      <c r="AH56" s="14">
        <f t="shared" si="222"/>
        <v>46318</v>
      </c>
      <c r="AI56" s="65">
        <f t="shared" ca="1" si="8"/>
        <v>187</v>
      </c>
      <c r="AJ56" s="15" t="str">
        <f t="shared" ca="1" si="213"/>
        <v>VIGENTE</v>
      </c>
      <c r="AK56" s="13">
        <v>45269</v>
      </c>
      <c r="AL56" s="14">
        <v>45926</v>
      </c>
      <c r="AM56" s="14">
        <f>DATE(YEAR(AL56)+2,MONTH(AL56),DAY(AL56))</f>
        <v>46656</v>
      </c>
      <c r="AN56" s="65">
        <f t="shared" ca="1" si="10"/>
        <v>525</v>
      </c>
      <c r="AO56" s="15" t="str">
        <f t="shared" ca="1" si="11"/>
        <v>VIGENTE</v>
      </c>
      <c r="AP56" s="13">
        <v>45326</v>
      </c>
      <c r="AQ56" s="14">
        <v>45971</v>
      </c>
      <c r="AR56" s="14">
        <f>DATE(YEAR(AQ56)+2,MONTH(AQ56),DAY(AQ56))</f>
        <v>46701</v>
      </c>
      <c r="AS56" s="65">
        <f t="shared" ca="1" si="12"/>
        <v>570</v>
      </c>
      <c r="AT56" s="15" t="str">
        <f t="shared" ca="1" si="13"/>
        <v>VIGENTE</v>
      </c>
      <c r="AU56" s="13">
        <v>44694</v>
      </c>
      <c r="AV56" s="14">
        <v>45952</v>
      </c>
      <c r="AW56" s="14">
        <f>DATE(YEAR(AV56)+2,MONTH(AV56),DAY(AV56))</f>
        <v>46682</v>
      </c>
      <c r="AX56" s="65">
        <f t="shared" ca="1" si="15"/>
        <v>551</v>
      </c>
      <c r="AY56" s="15" t="str">
        <f t="shared" ca="1" si="16"/>
        <v>VIGENTE</v>
      </c>
      <c r="AZ56" s="13">
        <v>45387</v>
      </c>
      <c r="BA56" s="14">
        <v>46041</v>
      </c>
      <c r="BB56" s="14">
        <f>DATE(YEAR(BA56)+2,MONTH(BA56),DAY(BA56))</f>
        <v>46771</v>
      </c>
      <c r="BC56" s="65">
        <f t="shared" ca="1" si="17"/>
        <v>640</v>
      </c>
      <c r="BD56" s="15" t="str">
        <f t="shared" ca="1" si="18"/>
        <v>VIGENTE</v>
      </c>
      <c r="BE56" s="13">
        <v>44734</v>
      </c>
      <c r="BF56" s="14">
        <v>45987</v>
      </c>
      <c r="BG56" s="14">
        <f>DATE(YEAR(BF56)+2,MONTH(BF56),DAY(BF56))</f>
        <v>46717</v>
      </c>
      <c r="BH56" s="65">
        <f t="shared" ca="1" si="19"/>
        <v>586</v>
      </c>
      <c r="BI56" s="15" t="str">
        <f t="shared" ca="1" si="20"/>
        <v>VIGENTE</v>
      </c>
      <c r="BJ56" s="13">
        <v>45389</v>
      </c>
      <c r="BK56" s="14">
        <v>46035</v>
      </c>
      <c r="BL56" s="14">
        <f t="shared" si="223"/>
        <v>46765</v>
      </c>
      <c r="BM56" s="65">
        <f t="shared" ca="1" si="21"/>
        <v>634</v>
      </c>
      <c r="BN56" s="15" t="str">
        <f t="shared" ca="1" si="22"/>
        <v>VIGENTE</v>
      </c>
      <c r="BO56" s="13">
        <v>44753</v>
      </c>
      <c r="BP56" s="14">
        <v>46069</v>
      </c>
      <c r="BQ56" s="14">
        <f>DATE(YEAR(BP56)+2,MONTH(BP56),DAY(BP56))</f>
        <v>46799</v>
      </c>
      <c r="BR56" s="65">
        <f t="shared" ca="1" si="23"/>
        <v>668</v>
      </c>
      <c r="BS56" s="15" t="str">
        <f t="shared" ca="1" si="24"/>
        <v>VIGENTE</v>
      </c>
      <c r="BT56" s="13">
        <v>45362</v>
      </c>
      <c r="BU56" s="14">
        <v>46031</v>
      </c>
      <c r="BV56" s="14">
        <f>DATE(YEAR(BU56)+2,MONTH(BU56),DAY(BU56))</f>
        <v>46761</v>
      </c>
      <c r="BW56" s="65">
        <f t="shared" ca="1" si="25"/>
        <v>630</v>
      </c>
      <c r="BX56" s="15" t="str">
        <f t="shared" ca="1" si="26"/>
        <v>VIGENTE</v>
      </c>
      <c r="BY56" s="13">
        <v>45300</v>
      </c>
      <c r="BZ56" s="14">
        <v>45954</v>
      </c>
      <c r="CA56" s="14">
        <f>DATE(YEAR(BZ56)+2,MONTH(BZ56),DAY(BZ56))</f>
        <v>46684</v>
      </c>
      <c r="CB56" s="65">
        <f t="shared" ca="1" si="27"/>
        <v>553</v>
      </c>
      <c r="CC56" s="15" t="str">
        <f t="shared" ca="1" si="28"/>
        <v>VIGENTE</v>
      </c>
      <c r="CD56" s="16" t="s">
        <v>108</v>
      </c>
      <c r="CE56" s="14">
        <v>45246</v>
      </c>
      <c r="CF56" s="14">
        <v>45247</v>
      </c>
      <c r="CG56" s="14">
        <f t="shared" si="29"/>
        <v>46708</v>
      </c>
      <c r="CH56" s="65">
        <f t="shared" ca="1" si="30"/>
        <v>577</v>
      </c>
      <c r="CI56" s="15" t="str">
        <f t="shared" ca="1" si="31"/>
        <v>VIGENTE</v>
      </c>
      <c r="CJ56" s="14">
        <v>45363</v>
      </c>
      <c r="CK56" s="14">
        <v>46018</v>
      </c>
      <c r="CL56" s="14">
        <f>DATE(YEAR(CK56)+2,MONTH(CK56),DAY(CK56))</f>
        <v>46748</v>
      </c>
      <c r="CM56" s="65">
        <f t="shared" ca="1" si="32"/>
        <v>617</v>
      </c>
      <c r="CN56" s="15" t="str">
        <f t="shared" ca="1" si="33"/>
        <v>VIGENTE</v>
      </c>
      <c r="CO56" s="13">
        <v>44900</v>
      </c>
      <c r="CP56" s="14">
        <v>45517</v>
      </c>
      <c r="CQ56" s="14">
        <f>DATE(YEAR(CP56)+2,MONTH(CP56),DAY(CP56)-1)</f>
        <v>46246</v>
      </c>
      <c r="CR56" s="65">
        <f t="shared" ca="1" si="34"/>
        <v>115</v>
      </c>
      <c r="CS56" s="15" t="str">
        <f t="shared" ca="1" si="35"/>
        <v>VIGENTE</v>
      </c>
      <c r="CT56" s="13">
        <v>44970</v>
      </c>
      <c r="CU56" s="14">
        <v>45631</v>
      </c>
      <c r="CV56" s="14">
        <f>DATE(YEAR(CU56)+2,MONTH(CU56),DAY(CU56)-1)</f>
        <v>46360</v>
      </c>
      <c r="CW56" s="65">
        <f t="shared" ca="1" si="36"/>
        <v>229</v>
      </c>
      <c r="CX56" s="15" t="str">
        <f t="shared" ca="1" si="37"/>
        <v>VIGENTE</v>
      </c>
      <c r="CY56" s="13">
        <v>45381</v>
      </c>
      <c r="CZ56" s="14">
        <v>46028</v>
      </c>
      <c r="DA56" s="14">
        <f>DATE(YEAR(CZ56)+2,MONTH(CZ56),DAY(CZ56))</f>
        <v>46758</v>
      </c>
      <c r="DB56" s="65">
        <f t="shared" ca="1" si="38"/>
        <v>627</v>
      </c>
      <c r="DC56" s="15" t="str">
        <f t="shared" ca="1" si="39"/>
        <v>VIGENTE</v>
      </c>
      <c r="DD56" s="13">
        <v>45019</v>
      </c>
      <c r="DE56" s="14">
        <v>45689</v>
      </c>
      <c r="DF56" s="14">
        <f t="shared" si="220"/>
        <v>46418</v>
      </c>
      <c r="DG56" s="65">
        <f t="shared" ca="1" si="40"/>
        <v>287</v>
      </c>
      <c r="DH56" s="15" t="str">
        <f t="shared" ca="1" si="41"/>
        <v>VIGENTE</v>
      </c>
      <c r="DI56" s="13">
        <v>45402</v>
      </c>
      <c r="DJ56" s="14">
        <v>46029</v>
      </c>
      <c r="DK56" s="14">
        <f>DATE(YEAR(DJ56)+2,MONTH(DJ56),DAY(DJ56))</f>
        <v>46759</v>
      </c>
      <c r="DL56" s="65">
        <f t="shared" ca="1" si="43"/>
        <v>628</v>
      </c>
      <c r="DM56" s="15" t="str">
        <f t="shared" ca="1" si="44"/>
        <v>VIGENTE</v>
      </c>
      <c r="DN56" s="13">
        <v>45345</v>
      </c>
      <c r="DO56" s="14">
        <v>45982</v>
      </c>
      <c r="DP56" s="14">
        <f>DATE(YEAR(DO56)+2,MONTH(DO56),DAY(DO56))</f>
        <v>46712</v>
      </c>
      <c r="DQ56" s="65">
        <f t="shared" ca="1" si="46"/>
        <v>581</v>
      </c>
      <c r="DR56" s="15" t="str">
        <f t="shared" ca="1" si="47"/>
        <v>VIGENTE</v>
      </c>
      <c r="DS56" s="13">
        <v>44734</v>
      </c>
      <c r="DT56" s="14">
        <v>46053</v>
      </c>
      <c r="DU56" s="14">
        <f>DATE(YEAR(DT56)+2,MONTH(DT56),DAY(DT56))</f>
        <v>46783</v>
      </c>
      <c r="DV56" s="65">
        <f t="shared" ca="1" si="48"/>
        <v>652</v>
      </c>
      <c r="DW56" s="15" t="str">
        <f t="shared" ca="1" si="49"/>
        <v>VIGENTE</v>
      </c>
      <c r="DX56" s="13">
        <v>45355</v>
      </c>
      <c r="DY56" s="14">
        <v>46032</v>
      </c>
      <c r="DZ56" s="14">
        <f>DATE(YEAR(DY56)+2,MONTH(DY56),DAY(DY56))</f>
        <v>46762</v>
      </c>
      <c r="EA56" s="65">
        <f t="shared" ca="1" si="50"/>
        <v>631</v>
      </c>
      <c r="EB56" s="15" t="str">
        <f t="shared" ca="1" si="51"/>
        <v>VIGENTE</v>
      </c>
      <c r="EC56" s="13">
        <v>45090</v>
      </c>
      <c r="ED56" s="14">
        <v>45768</v>
      </c>
      <c r="EE56" s="14">
        <f>DATE(YEAR(ED56)+2,MONTH(ED56),DAY(ED56))</f>
        <v>46498</v>
      </c>
      <c r="EF56" s="65">
        <f t="shared" ca="1" si="52"/>
        <v>367</v>
      </c>
      <c r="EG56" s="15" t="str">
        <f t="shared" ca="1" si="53"/>
        <v>VIGENTE</v>
      </c>
      <c r="EH56" s="13">
        <v>45380</v>
      </c>
      <c r="EI56" s="13">
        <v>45806</v>
      </c>
      <c r="EJ56" s="13">
        <v>45807</v>
      </c>
      <c r="EK56" s="14">
        <v>45808</v>
      </c>
      <c r="EL56" s="14">
        <f t="shared" si="128"/>
        <v>46173</v>
      </c>
      <c r="EM56" s="65">
        <f t="shared" ca="1" si="54"/>
        <v>42</v>
      </c>
      <c r="EN56" s="15" t="str">
        <f t="shared" ca="1" si="55"/>
        <v>POR VENCER</v>
      </c>
      <c r="EO56" s="14">
        <v>45092</v>
      </c>
      <c r="EP56" s="14">
        <v>45737</v>
      </c>
      <c r="EQ56" s="14">
        <f t="shared" ref="EQ56:EQ61" si="224">DATE(YEAR(EP56)+2,MONTH(EP56),DAY(EP56)-1)</f>
        <v>46466</v>
      </c>
      <c r="ER56" s="65">
        <f t="shared" ca="1" si="56"/>
        <v>335</v>
      </c>
      <c r="ES56" s="15" t="str">
        <f t="shared" ca="1" si="57"/>
        <v>VIGENTE</v>
      </c>
      <c r="ET56" s="13">
        <v>44732</v>
      </c>
      <c r="EU56" s="14">
        <v>45999</v>
      </c>
      <c r="EV56" s="14">
        <f>DATE(YEAR(EU56)+2,MONTH(EU56),DAY(EU56))</f>
        <v>46729</v>
      </c>
      <c r="EW56" s="65">
        <f t="shared" ca="1" si="58"/>
        <v>598</v>
      </c>
      <c r="EX56" s="15" t="str">
        <f t="shared" ca="1" si="59"/>
        <v>VIGENTE</v>
      </c>
      <c r="EY56" s="13">
        <v>44595</v>
      </c>
      <c r="EZ56" s="14">
        <v>45953</v>
      </c>
      <c r="FA56" s="14">
        <f>DATE(YEAR(EZ56)+2,MONTH(EZ56),DAY(EZ56))</f>
        <v>46683</v>
      </c>
      <c r="FB56" s="65">
        <f t="shared" ca="1" si="60"/>
        <v>552</v>
      </c>
      <c r="FC56" s="15" t="str">
        <f t="shared" ca="1" si="61"/>
        <v>VIGENTE</v>
      </c>
      <c r="FD56" s="13">
        <v>45280</v>
      </c>
      <c r="FE56" s="14">
        <v>45951</v>
      </c>
      <c r="FF56" s="14">
        <f>DATE(YEAR(FE56)+2,MONTH(FE56),DAY(FE56))</f>
        <v>46681</v>
      </c>
      <c r="FG56" s="65">
        <f t="shared" ca="1" si="62"/>
        <v>550</v>
      </c>
      <c r="FH56" s="15" t="str">
        <f t="shared" ca="1" si="63"/>
        <v>VIGENTE</v>
      </c>
      <c r="FI56" s="13">
        <v>45282</v>
      </c>
      <c r="FJ56" s="14">
        <v>45932</v>
      </c>
      <c r="FK56" s="14">
        <f>DATE(YEAR(FJ56)+2,MONTH(FJ56),DAY(FJ56))</f>
        <v>46662</v>
      </c>
      <c r="FL56" s="65">
        <f t="shared" ca="1" si="64"/>
        <v>531</v>
      </c>
      <c r="FM56" s="15" t="str">
        <f t="shared" ca="1" si="65"/>
        <v>VIGENTE</v>
      </c>
      <c r="FN56" s="13">
        <v>44905</v>
      </c>
      <c r="FO56" s="14">
        <v>45530</v>
      </c>
      <c r="FP56" s="14">
        <f>DATE(YEAR(FO56)+2,MONTH(FO56),DAY(FO56)-1)</f>
        <v>46259</v>
      </c>
      <c r="FQ56" s="65">
        <f t="shared" ca="1" si="67"/>
        <v>128</v>
      </c>
      <c r="FR56" s="15" t="str">
        <f t="shared" ca="1" si="68"/>
        <v>VIGENTE</v>
      </c>
      <c r="FS56" s="13">
        <v>45069</v>
      </c>
      <c r="FT56" s="14">
        <v>45678</v>
      </c>
      <c r="FU56" s="14">
        <f>DATE(YEAR(FT56)+2,MONTH(FT56),DAY(FT56)-1)</f>
        <v>46407</v>
      </c>
      <c r="FV56" s="65">
        <f t="shared" ca="1" si="69"/>
        <v>276</v>
      </c>
      <c r="FW56" s="15" t="str">
        <f t="shared" ca="1" si="70"/>
        <v>VIGENTE</v>
      </c>
      <c r="FX56" s="13">
        <v>45210</v>
      </c>
      <c r="FY56" s="14">
        <v>45908</v>
      </c>
      <c r="FZ56" s="14">
        <f>DATE(YEAR(FY56)+2,MONTH(FY56),DAY(FY56))</f>
        <v>46638</v>
      </c>
      <c r="GA56" s="65">
        <f t="shared" ca="1" si="71"/>
        <v>507</v>
      </c>
      <c r="GB56" s="15" t="str">
        <f t="shared" ca="1" si="72"/>
        <v>VIGENTE</v>
      </c>
      <c r="GC56" s="13">
        <v>45396</v>
      </c>
      <c r="GD56" s="14">
        <v>46030</v>
      </c>
      <c r="GE56" s="14">
        <f>DATE(YEAR(GD56)+2,MONTH(GD56),DAY(GD56))</f>
        <v>46760</v>
      </c>
      <c r="GF56" s="65">
        <f t="shared" ca="1" si="73"/>
        <v>629</v>
      </c>
      <c r="GG56" s="15" t="str">
        <f t="shared" ca="1" si="74"/>
        <v>VIGENTE</v>
      </c>
      <c r="GH56" s="13">
        <v>45022</v>
      </c>
      <c r="GI56" s="14">
        <v>45672</v>
      </c>
      <c r="GJ56" s="14">
        <f>DATE(YEAR(GI56)+2,MONTH(GI56),DAY(GI56)-1)</f>
        <v>46401</v>
      </c>
      <c r="GK56" s="65">
        <f t="shared" ca="1" si="75"/>
        <v>270</v>
      </c>
      <c r="GL56" s="15" t="str">
        <f t="shared" ca="1" si="76"/>
        <v>VIGENTE</v>
      </c>
      <c r="GM56" s="14">
        <v>44915</v>
      </c>
      <c r="GN56" s="14">
        <v>45557</v>
      </c>
      <c r="GO56" s="14">
        <f>DATE(YEAR(GN56)+2,MONTH(GN56),DAY(GN56)-1)</f>
        <v>46286</v>
      </c>
      <c r="GP56" s="65">
        <f t="shared" ca="1" si="77"/>
        <v>155</v>
      </c>
      <c r="GQ56" s="15" t="str">
        <f t="shared" ca="1" si="78"/>
        <v>VIGENTE</v>
      </c>
      <c r="GR56" s="14">
        <v>44571</v>
      </c>
      <c r="GS56" s="14">
        <v>45283</v>
      </c>
      <c r="GT56" s="14">
        <f t="shared" si="79"/>
        <v>47110</v>
      </c>
      <c r="GU56" s="65">
        <f t="shared" ca="1" si="172"/>
        <v>979</v>
      </c>
      <c r="GV56" s="15" t="str">
        <f t="shared" ca="1" si="81"/>
        <v>VIGENTE</v>
      </c>
      <c r="GW56" s="13">
        <v>44571</v>
      </c>
      <c r="GX56" s="14">
        <v>45254</v>
      </c>
      <c r="GY56" s="14">
        <f t="shared" si="82"/>
        <v>47081</v>
      </c>
      <c r="GZ56" s="65">
        <f t="shared" ca="1" si="83"/>
        <v>950</v>
      </c>
      <c r="HA56" s="15" t="str">
        <f t="shared" ca="1" si="84"/>
        <v>VIGENTE</v>
      </c>
      <c r="HB56" s="13">
        <v>44565</v>
      </c>
      <c r="HC56" s="14">
        <v>45174</v>
      </c>
      <c r="HD56" s="14">
        <f t="shared" si="85"/>
        <v>47001</v>
      </c>
      <c r="HE56" s="65">
        <f t="shared" ca="1" si="86"/>
        <v>870</v>
      </c>
      <c r="HF56" s="15" t="str">
        <f t="shared" ca="1" si="87"/>
        <v>VIGENTE</v>
      </c>
      <c r="HG56" s="16"/>
      <c r="HH56" s="14">
        <v>44883</v>
      </c>
      <c r="HI56" s="14">
        <f>DATE(YEAR(HH56)+5,MONTH(HH56),DAY(HH56))</f>
        <v>46709</v>
      </c>
      <c r="HJ56" s="65">
        <f ca="1">HI56-TODAY()</f>
        <v>578</v>
      </c>
      <c r="HK56" s="15" t="str">
        <f t="shared" ca="1" si="217"/>
        <v>VIGENTE</v>
      </c>
      <c r="HL56" s="13">
        <v>44631</v>
      </c>
      <c r="HM56" s="14">
        <v>45368</v>
      </c>
      <c r="HN56" s="14">
        <f>DATE(YEAR(HM56)+5,MONTH(HM56),DAY(HM56))</f>
        <v>47194</v>
      </c>
      <c r="HO56" s="65">
        <f ca="1">HN56-TODAY()</f>
        <v>1063</v>
      </c>
      <c r="HP56" s="15" t="str">
        <f t="shared" ca="1" si="221"/>
        <v>VIGENTE</v>
      </c>
      <c r="HQ56" s="12"/>
      <c r="HR56" s="13">
        <v>45698</v>
      </c>
      <c r="HS56" s="14">
        <f>DATE(YEAR(HR56)+5,MONTH(HR56),DAY(HR56))</f>
        <v>47524</v>
      </c>
      <c r="HT56" s="65">
        <f ca="1">HS56-TODAY()</f>
        <v>1393</v>
      </c>
      <c r="HU56" s="15" t="str">
        <f t="shared" ca="1" si="92"/>
        <v>VIGENTE</v>
      </c>
      <c r="HV56" s="13">
        <v>44782</v>
      </c>
      <c r="HW56" s="14">
        <v>45469</v>
      </c>
      <c r="HX56" s="14">
        <f>DATE(YEAR(HW56)+5,MONTH(HW56),DAY(HW56))</f>
        <v>47295</v>
      </c>
      <c r="HY56" s="65">
        <f ca="1">HX56-TODAY()</f>
        <v>1164</v>
      </c>
      <c r="HZ56" s="15" t="str">
        <f t="shared" ca="1" si="93"/>
        <v>VIGENTE</v>
      </c>
      <c r="IA56" s="13">
        <v>44557</v>
      </c>
      <c r="IB56" s="14">
        <v>45234</v>
      </c>
      <c r="IC56" s="14">
        <f>DATE(YEAR(IB56)+5,MONTH(IB56),DAY(IB56))</f>
        <v>47061</v>
      </c>
      <c r="ID56" s="65">
        <f ca="1">IC56-TODAY()</f>
        <v>930</v>
      </c>
      <c r="IE56" s="15" t="str">
        <f t="shared" ca="1" si="94"/>
        <v>VIGENTE</v>
      </c>
      <c r="IF56" s="13">
        <v>44558</v>
      </c>
      <c r="IG56" s="14">
        <v>45236</v>
      </c>
      <c r="IH56" s="14">
        <f>DATE(YEAR(IG56)+5,MONTH(IG56),DAY(IG56))</f>
        <v>47063</v>
      </c>
      <c r="II56" s="65">
        <f ca="1">IH56-TODAY()</f>
        <v>932</v>
      </c>
      <c r="IJ56" s="15" t="str">
        <f t="shared" ca="1" si="95"/>
        <v>VIGENTE</v>
      </c>
      <c r="IK56" s="14">
        <v>44795</v>
      </c>
      <c r="IL56" s="14">
        <v>45449</v>
      </c>
      <c r="IM56" s="14">
        <f>DATE(YEAR(IL56)+5,MONTH(IL56),DAY(IL56))</f>
        <v>47275</v>
      </c>
      <c r="IN56" s="65">
        <f ca="1">IM56-TODAY()</f>
        <v>1144</v>
      </c>
      <c r="IO56" s="15" t="str">
        <f t="shared" ca="1" si="96"/>
        <v>VIGENTE</v>
      </c>
      <c r="IP56" s="13">
        <v>44795</v>
      </c>
      <c r="IQ56" s="14">
        <v>45460</v>
      </c>
      <c r="IR56" s="14">
        <f>DATE(YEAR(IQ56)+5,MONTH(IQ56),DAY(IQ56))</f>
        <v>47286</v>
      </c>
      <c r="IS56" s="65">
        <f ca="1">IR56-TODAY()</f>
        <v>1155</v>
      </c>
      <c r="IT56" s="15" t="str">
        <f t="shared" ca="1" si="97"/>
        <v>VIGENTE</v>
      </c>
      <c r="IU56" s="13">
        <v>44558</v>
      </c>
      <c r="IV56" s="14">
        <v>45191</v>
      </c>
      <c r="IW56" s="14">
        <f>DATE(YEAR(IV56)+5,MONTH(IV56),DAY(IV56))</f>
        <v>47018</v>
      </c>
      <c r="IX56" s="65">
        <f ca="1">IW56-TODAY()</f>
        <v>887</v>
      </c>
      <c r="IY56" s="15" t="str">
        <f t="shared" ca="1" si="98"/>
        <v>VIGENTE</v>
      </c>
      <c r="IZ56" s="13">
        <v>44557</v>
      </c>
      <c r="JA56" s="14">
        <v>45189</v>
      </c>
      <c r="JB56" s="14">
        <f>DATE(YEAR(JA56)+5,MONTH(JA56),DAY(JA56))</f>
        <v>47016</v>
      </c>
      <c r="JC56" s="65">
        <f ca="1">JB56-TODAY()</f>
        <v>885</v>
      </c>
      <c r="JD56" s="15" t="str">
        <f t="shared" ca="1" si="99"/>
        <v>VIGENTE</v>
      </c>
      <c r="JE56" s="13"/>
      <c r="JF56" s="13"/>
      <c r="JG56" s="14"/>
      <c r="JH56" s="65"/>
      <c r="JI56" s="15" t="str">
        <f t="shared" si="100"/>
        <v>NO APLICA</v>
      </c>
      <c r="JJ56" s="16"/>
      <c r="JK56" s="16"/>
      <c r="JL56" s="16"/>
      <c r="JM56" s="15" t="str">
        <f t="shared" si="101"/>
        <v>NO APLICA</v>
      </c>
      <c r="JN56" s="16"/>
      <c r="JO56" s="16"/>
      <c r="JP56" s="16"/>
      <c r="JQ56" s="15" t="str">
        <f t="shared" si="102"/>
        <v>NO APLICA</v>
      </c>
      <c r="JR56" s="16"/>
      <c r="JS56" s="16"/>
      <c r="JT56" s="16"/>
      <c r="JU56" s="16"/>
      <c r="JV56" s="15" t="str">
        <f t="shared" si="103"/>
        <v>NO APLICA</v>
      </c>
      <c r="JW56" s="15"/>
      <c r="JX56" s="15"/>
      <c r="JY56" s="15"/>
      <c r="JZ56" s="15"/>
      <c r="KA56" s="15" t="str">
        <f t="shared" si="104"/>
        <v>NO APLICA</v>
      </c>
      <c r="KB56" s="15"/>
      <c r="KC56" s="14"/>
      <c r="KD56" s="65"/>
      <c r="KE56" s="15" t="str">
        <f t="shared" si="105"/>
        <v>NO APLICA</v>
      </c>
      <c r="KF56" s="15"/>
      <c r="KG56" s="14"/>
      <c r="KH56" s="65"/>
      <c r="KI56" s="15" t="str">
        <f t="shared" si="132"/>
        <v>NO APLICA</v>
      </c>
      <c r="KJ56" s="15"/>
      <c r="KK56" s="14"/>
      <c r="KL56" s="65"/>
      <c r="KM56" s="15" t="str">
        <f t="shared" si="106"/>
        <v>NO APLICA</v>
      </c>
      <c r="KN56" s="13">
        <v>45346</v>
      </c>
      <c r="KO56" s="14">
        <f>DATE(YEAR(KN56)+5,MONTH(KN56),DAY(KN56))</f>
        <v>47173</v>
      </c>
      <c r="KP56" s="65">
        <f ca="1">KO56-TODAY()</f>
        <v>1042</v>
      </c>
      <c r="KQ56" s="15" t="str">
        <f t="shared" ca="1" si="133"/>
        <v>VIGENTE</v>
      </c>
      <c r="KR56" s="12"/>
      <c r="KS56" s="16"/>
      <c r="KT56" s="14"/>
      <c r="KU56" s="65"/>
      <c r="KV56" s="15" t="str">
        <f t="shared" si="147"/>
        <v>NO APLICA</v>
      </c>
      <c r="KW56" s="14">
        <v>44608</v>
      </c>
      <c r="KX56" s="14">
        <f>DATE(YEAR(KW56)+5,MONTH(KW56),DAY(KW56))</f>
        <v>46434</v>
      </c>
      <c r="KY56" s="65">
        <f ca="1">KX56-TODAY()</f>
        <v>303</v>
      </c>
      <c r="KZ56" s="15" t="str">
        <f t="shared" ca="1" si="134"/>
        <v>VIGENTE</v>
      </c>
      <c r="LA56" s="16"/>
      <c r="LB56" s="14">
        <v>45611</v>
      </c>
      <c r="LC56" s="14">
        <f>DATE(YEAR(LB56)+2,MONTH(LB56),DAY(LB56))</f>
        <v>46341</v>
      </c>
      <c r="LD56" s="65">
        <f ca="1">LC56-TODAY()</f>
        <v>210</v>
      </c>
      <c r="LE56" s="15" t="str">
        <f t="shared" ca="1" si="107"/>
        <v>VIGENTE</v>
      </c>
      <c r="LF56" s="15"/>
      <c r="LG56" s="15"/>
      <c r="LH56" s="14"/>
      <c r="LI56" s="65"/>
      <c r="LJ56" s="15" t="str">
        <f t="shared" si="148"/>
        <v>NO APLICA</v>
      </c>
      <c r="LK56" s="15"/>
      <c r="LL56" s="16"/>
      <c r="LM56" s="14"/>
      <c r="LN56" s="65"/>
      <c r="LO56" s="15" t="str">
        <f t="shared" si="135"/>
        <v>NO APLICA</v>
      </c>
      <c r="LP56" s="14">
        <v>44984</v>
      </c>
      <c r="LQ56" s="14">
        <v>44986</v>
      </c>
      <c r="LR56" s="14">
        <f>DATE(YEAR(LQ56)+5,MONTH(LQ56),DAY(LQ56))</f>
        <v>46813</v>
      </c>
      <c r="LS56" s="65">
        <f ca="1">LR56-TODAY()</f>
        <v>682</v>
      </c>
      <c r="LT56" s="15" t="str">
        <f t="shared" ca="1" si="136"/>
        <v>VIGENTE</v>
      </c>
      <c r="LU56" s="14">
        <v>44987</v>
      </c>
      <c r="LV56" s="14">
        <v>44988</v>
      </c>
      <c r="LW56" s="14">
        <f>DATE(YEAR(LV56)+5,MONTH(LV56),DAY(LV56))</f>
        <v>46815</v>
      </c>
      <c r="LX56" s="65">
        <f ca="1">LW56-TODAY()</f>
        <v>684</v>
      </c>
      <c r="LY56" s="15" t="str">
        <f t="shared" ca="1" si="137"/>
        <v>VIGENTE</v>
      </c>
      <c r="LZ56" s="15"/>
      <c r="MA56" s="15"/>
      <c r="MB56" s="14"/>
      <c r="MC56" s="65"/>
      <c r="MD56" s="15" t="str">
        <f t="shared" si="108"/>
        <v>NO APLICA</v>
      </c>
      <c r="ME56" s="15"/>
      <c r="MF56" s="15"/>
      <c r="MG56" s="14"/>
      <c r="MH56" s="65"/>
      <c r="MI56" s="15" t="str">
        <f t="shared" si="109"/>
        <v>NO APLICA</v>
      </c>
      <c r="MJ56" s="15"/>
      <c r="MK56" s="14"/>
      <c r="ML56" s="65"/>
      <c r="MM56" s="15" t="str">
        <f t="shared" si="110"/>
        <v>NO APLICA</v>
      </c>
      <c r="MN56" s="15"/>
      <c r="MO56" s="14"/>
      <c r="MP56" s="15"/>
      <c r="MQ56" s="15" t="str">
        <f t="shared" si="111"/>
        <v>NO APLICA</v>
      </c>
      <c r="MR56" s="15"/>
      <c r="MS56" s="16"/>
      <c r="MT56" s="14"/>
      <c r="MU56" s="65"/>
      <c r="MV56" s="15" t="str">
        <f t="shared" si="112"/>
        <v>NO APLICA</v>
      </c>
      <c r="MW56" s="15"/>
      <c r="MX56" s="16"/>
      <c r="MY56" s="14"/>
      <c r="MZ56" s="65"/>
      <c r="NA56" s="15" t="str">
        <f t="shared" si="113"/>
        <v>NO APLICA</v>
      </c>
      <c r="NB56" s="15"/>
      <c r="NC56" s="16"/>
      <c r="ND56" s="14"/>
      <c r="NE56" s="65"/>
      <c r="NF56" s="15" t="str">
        <f t="shared" si="114"/>
        <v>NO APLICA</v>
      </c>
      <c r="NG56" s="15"/>
      <c r="NH56" s="15"/>
      <c r="NI56" s="14"/>
      <c r="NJ56" s="65"/>
      <c r="NK56" s="15" t="str">
        <f t="shared" si="115"/>
        <v>NO APLICA</v>
      </c>
      <c r="NL56" s="15"/>
      <c r="NM56" s="15"/>
      <c r="NN56" s="15"/>
      <c r="NO56" s="15"/>
      <c r="NP56" s="15" t="str">
        <f t="shared" si="116"/>
        <v>NO APLICA</v>
      </c>
      <c r="NQ56" s="16"/>
      <c r="NR56" s="16"/>
      <c r="NS56" s="14"/>
      <c r="NT56" s="65"/>
      <c r="NU56" s="15" t="str">
        <f t="shared" si="117"/>
        <v>NO APLICA</v>
      </c>
      <c r="NV56" s="16"/>
      <c r="NW56" s="16"/>
      <c r="NX56" s="16"/>
      <c r="NY56" s="16"/>
      <c r="NZ56" s="15" t="str">
        <f t="shared" si="118"/>
        <v>NO APLICA</v>
      </c>
    </row>
    <row r="57" spans="1:390" ht="15.6" thickTop="1" thickBot="1" x14ac:dyDescent="0.35">
      <c r="A57" s="9">
        <v>1569</v>
      </c>
      <c r="B57" s="10" t="s">
        <v>279</v>
      </c>
      <c r="C57" s="21" t="s">
        <v>104</v>
      </c>
      <c r="D57" s="64" t="s">
        <v>193</v>
      </c>
      <c r="E57" s="15"/>
      <c r="F57" s="16"/>
      <c r="G57" s="14"/>
      <c r="H57" s="65"/>
      <c r="I57" s="15" t="str">
        <f t="shared" si="0"/>
        <v>NO APLICA</v>
      </c>
      <c r="J57" s="15"/>
      <c r="K57" s="16"/>
      <c r="L57" s="16"/>
      <c r="M57" s="65"/>
      <c r="N57" s="15" t="str">
        <f t="shared" si="1"/>
        <v>NO APLICA</v>
      </c>
      <c r="O57" s="16"/>
      <c r="P57" s="16"/>
      <c r="Q57" s="14"/>
      <c r="R57" s="65"/>
      <c r="S57" s="15" t="str">
        <f t="shared" si="119"/>
        <v>NO APLICA</v>
      </c>
      <c r="T57" s="12" t="s">
        <v>280</v>
      </c>
      <c r="U57" s="13">
        <v>45957</v>
      </c>
      <c r="V57" s="14">
        <v>45958</v>
      </c>
      <c r="W57" s="14">
        <f t="shared" si="2"/>
        <v>47784</v>
      </c>
      <c r="X57" s="65">
        <f t="shared" ca="1" si="3"/>
        <v>1653</v>
      </c>
      <c r="Y57" s="15" t="str">
        <f t="shared" ca="1" si="4"/>
        <v>VIGENTE</v>
      </c>
      <c r="Z57" s="67" t="s">
        <v>281</v>
      </c>
      <c r="AA57" s="13">
        <v>44825</v>
      </c>
      <c r="AB57" s="14">
        <v>44826</v>
      </c>
      <c r="AC57" s="14">
        <f>DATE(YEAR(AB57)+5,MONTH(AB57),DAY(AB57))</f>
        <v>46652</v>
      </c>
      <c r="AD57" s="65">
        <f ca="1">AC57-TODAY()</f>
        <v>521</v>
      </c>
      <c r="AE57" s="15" t="str">
        <f t="shared" ca="1" si="7"/>
        <v>VIGENTE</v>
      </c>
      <c r="AF57" s="13">
        <v>44929</v>
      </c>
      <c r="AG57" s="13">
        <v>45609</v>
      </c>
      <c r="AH57" s="14">
        <f t="shared" si="222"/>
        <v>46338</v>
      </c>
      <c r="AI57" s="65">
        <f t="shared" ca="1" si="8"/>
        <v>207</v>
      </c>
      <c r="AJ57" s="15" t="str">
        <f t="shared" ca="1" si="213"/>
        <v>VIGENTE</v>
      </c>
      <c r="AK57" s="13">
        <v>45044</v>
      </c>
      <c r="AL57" s="14">
        <v>45710</v>
      </c>
      <c r="AM57" s="14">
        <f>DATE(YEAR(AL57)+2,MONTH(AL57),DAY(AL57)-1)</f>
        <v>46439</v>
      </c>
      <c r="AN57" s="65">
        <f t="shared" ca="1" si="10"/>
        <v>308</v>
      </c>
      <c r="AO57" s="15" t="str">
        <f t="shared" ca="1" si="11"/>
        <v>VIGENTE</v>
      </c>
      <c r="AP57" s="13">
        <v>44967</v>
      </c>
      <c r="AQ57" s="14">
        <v>45591</v>
      </c>
      <c r="AR57" s="14">
        <f>DATE(YEAR(AQ57)+2,MONTH(AQ57),DAY(AQ57)-1)</f>
        <v>46320</v>
      </c>
      <c r="AS57" s="65">
        <f t="shared" ca="1" si="12"/>
        <v>189</v>
      </c>
      <c r="AT57" s="15" t="str">
        <f t="shared" ca="1" si="13"/>
        <v>VIGENTE</v>
      </c>
      <c r="AU57" s="13">
        <v>44968</v>
      </c>
      <c r="AV57" s="14">
        <v>45644</v>
      </c>
      <c r="AW57" s="14">
        <f>DATE(YEAR(AV57)+2,MONTH(AV57),DAY(AV57)-1)</f>
        <v>46373</v>
      </c>
      <c r="AX57" s="65">
        <f t="shared" ca="1" si="15"/>
        <v>242</v>
      </c>
      <c r="AY57" s="15" t="str">
        <f t="shared" ca="1" si="16"/>
        <v>VIGENTE</v>
      </c>
      <c r="AZ57" s="13">
        <v>45075</v>
      </c>
      <c r="BA57" s="14">
        <v>45717</v>
      </c>
      <c r="BB57" s="14">
        <f>DATE(YEAR(BA57)+2,MONTH(BA57),DAY(BA57)-1)</f>
        <v>46446</v>
      </c>
      <c r="BC57" s="65">
        <f t="shared" ca="1" si="17"/>
        <v>315</v>
      </c>
      <c r="BD57" s="15" t="str">
        <f t="shared" ca="1" si="18"/>
        <v>VIGENTE</v>
      </c>
      <c r="BE57" s="13">
        <v>45010</v>
      </c>
      <c r="BF57" s="14">
        <v>45673</v>
      </c>
      <c r="BG57" s="14">
        <f>DATE(YEAR(BF57)+2,MONTH(BF57),DAY(BF57)-1)</f>
        <v>46402</v>
      </c>
      <c r="BH57" s="65">
        <f t="shared" ca="1" si="19"/>
        <v>271</v>
      </c>
      <c r="BI57" s="15" t="str">
        <f t="shared" ca="1" si="20"/>
        <v>VIGENTE</v>
      </c>
      <c r="BJ57" s="13">
        <v>45348</v>
      </c>
      <c r="BK57" s="14">
        <v>46017</v>
      </c>
      <c r="BL57" s="14">
        <f t="shared" si="223"/>
        <v>46747</v>
      </c>
      <c r="BM57" s="65">
        <f t="shared" ca="1" si="21"/>
        <v>616</v>
      </c>
      <c r="BN57" s="15" t="str">
        <f t="shared" ca="1" si="22"/>
        <v>VIGENTE</v>
      </c>
      <c r="BO57" s="13">
        <v>44951</v>
      </c>
      <c r="BP57" s="14">
        <v>45604</v>
      </c>
      <c r="BQ57" s="14">
        <f>DATE(YEAR(BP57)+2,MONTH(BP57),DAY(BP57)-1)</f>
        <v>46333</v>
      </c>
      <c r="BR57" s="65">
        <f t="shared" ca="1" si="23"/>
        <v>202</v>
      </c>
      <c r="BS57" s="15" t="str">
        <f t="shared" ca="1" si="24"/>
        <v>VIGENTE</v>
      </c>
      <c r="BT57" s="14">
        <v>45086</v>
      </c>
      <c r="BU57" s="14">
        <v>45736</v>
      </c>
      <c r="BV57" s="14">
        <f>DATE(YEAR(BU57)+2,MONTH(BU57),DAY(BU57)-1)</f>
        <v>46465</v>
      </c>
      <c r="BW57" s="65">
        <f t="shared" ca="1" si="25"/>
        <v>334</v>
      </c>
      <c r="BX57" s="15" t="str">
        <f t="shared" ca="1" si="26"/>
        <v>VIGENTE</v>
      </c>
      <c r="BY57" s="13">
        <v>44975</v>
      </c>
      <c r="BZ57" s="14">
        <v>45600</v>
      </c>
      <c r="CA57" s="14">
        <f>DATE(YEAR(BZ57)+2,MONTH(BZ57),DAY(BZ57)-1)</f>
        <v>46329</v>
      </c>
      <c r="CB57" s="65">
        <f t="shared" ca="1" si="27"/>
        <v>198</v>
      </c>
      <c r="CC57" s="15" t="str">
        <f t="shared" ca="1" si="28"/>
        <v>VIGENTE</v>
      </c>
      <c r="CD57" s="16" t="s">
        <v>108</v>
      </c>
      <c r="CE57" s="14">
        <v>45281</v>
      </c>
      <c r="CF57" s="14">
        <v>45282</v>
      </c>
      <c r="CG57" s="14">
        <f t="shared" si="29"/>
        <v>46743</v>
      </c>
      <c r="CH57" s="65">
        <f t="shared" ca="1" si="30"/>
        <v>612</v>
      </c>
      <c r="CI57" s="15" t="str">
        <f t="shared" ca="1" si="31"/>
        <v>VIGENTE</v>
      </c>
      <c r="CJ57" s="14">
        <v>45085</v>
      </c>
      <c r="CK57" s="14">
        <v>45741</v>
      </c>
      <c r="CL57" s="14">
        <f>DATE(YEAR(CK57)+2,MONTH(CK57),DAY(CK57)-1)</f>
        <v>46470</v>
      </c>
      <c r="CM57" s="65">
        <f t="shared" ca="1" si="32"/>
        <v>339</v>
      </c>
      <c r="CN57" s="15" t="str">
        <f t="shared" ca="1" si="33"/>
        <v>VIGENTE</v>
      </c>
      <c r="CO57" s="14">
        <v>45087</v>
      </c>
      <c r="CP57" s="14">
        <v>45726</v>
      </c>
      <c r="CQ57" s="14">
        <f>DATE(YEAR(CP57)+2,MONTH(CP57),DAY(CP57)-1)</f>
        <v>46455</v>
      </c>
      <c r="CR57" s="65">
        <f t="shared" ca="1" si="34"/>
        <v>324</v>
      </c>
      <c r="CS57" s="15" t="str">
        <f t="shared" ca="1" si="35"/>
        <v>VIGENTE</v>
      </c>
      <c r="CT57" s="13">
        <v>44970</v>
      </c>
      <c r="CU57" s="14">
        <v>45639</v>
      </c>
      <c r="CV57" s="14">
        <f>DATE(YEAR(CU57)+2,MONTH(CU57),DAY(CU57)-1)</f>
        <v>46368</v>
      </c>
      <c r="CW57" s="65">
        <f t="shared" ca="1" si="36"/>
        <v>237</v>
      </c>
      <c r="CX57" s="15" t="str">
        <f t="shared" ca="1" si="37"/>
        <v>VIGENTE</v>
      </c>
      <c r="CY57" s="13">
        <v>44992</v>
      </c>
      <c r="CZ57" s="14">
        <v>45665</v>
      </c>
      <c r="DA57" s="14">
        <f>DATE(YEAR(CZ57)+2,MONTH(CZ57),DAY(CZ57)-1)</f>
        <v>46394</v>
      </c>
      <c r="DB57" s="65">
        <f t="shared" ca="1" si="38"/>
        <v>263</v>
      </c>
      <c r="DC57" s="15" t="str">
        <f t="shared" ca="1" si="39"/>
        <v>VIGENTE</v>
      </c>
      <c r="DD57" s="13">
        <v>45019</v>
      </c>
      <c r="DE57" s="14">
        <v>45689</v>
      </c>
      <c r="DF57" s="14">
        <f t="shared" si="220"/>
        <v>46418</v>
      </c>
      <c r="DG57" s="65">
        <f t="shared" ca="1" si="40"/>
        <v>287</v>
      </c>
      <c r="DH57" s="15" t="str">
        <f t="shared" ca="1" si="41"/>
        <v>VIGENTE</v>
      </c>
      <c r="DI57" s="13">
        <v>45058</v>
      </c>
      <c r="DJ57" s="14">
        <v>45696</v>
      </c>
      <c r="DK57" s="14">
        <f>DATE(YEAR(DJ57)+2,MONTH(DJ57),DAY(DJ57)-1)</f>
        <v>46425</v>
      </c>
      <c r="DL57" s="65">
        <f t="shared" ca="1" si="43"/>
        <v>294</v>
      </c>
      <c r="DM57" s="15" t="str">
        <f t="shared" ca="1" si="44"/>
        <v>VIGENTE</v>
      </c>
      <c r="DN57" s="13">
        <v>45325</v>
      </c>
      <c r="DO57" s="14">
        <v>45982</v>
      </c>
      <c r="DP57" s="14">
        <f>DATE(YEAR(DO57)+2,MONTH(DO57),DAY(DO57))</f>
        <v>46712</v>
      </c>
      <c r="DQ57" s="65">
        <f t="shared" ca="1" si="46"/>
        <v>581</v>
      </c>
      <c r="DR57" s="15" t="str">
        <f t="shared" ca="1" si="47"/>
        <v>VIGENTE</v>
      </c>
      <c r="DS57" s="13">
        <v>44999</v>
      </c>
      <c r="DT57" s="14">
        <v>45685</v>
      </c>
      <c r="DU57" s="14">
        <f>DATE(YEAR(DT57)+2,MONTH(DT57),DAY(DT57)-1)</f>
        <v>46414</v>
      </c>
      <c r="DV57" s="65">
        <f t="shared" ca="1" si="48"/>
        <v>283</v>
      </c>
      <c r="DW57" s="15" t="str">
        <f t="shared" ca="1" si="49"/>
        <v>VIGENTE</v>
      </c>
      <c r="DX57" s="13">
        <v>44993</v>
      </c>
      <c r="DY57" s="14">
        <v>45663</v>
      </c>
      <c r="DZ57" s="14">
        <f>DATE(YEAR(DY57)+2,MONTH(DY57),DAY(DY57)-1)</f>
        <v>46392</v>
      </c>
      <c r="EA57" s="65">
        <f t="shared" ca="1" si="50"/>
        <v>261</v>
      </c>
      <c r="EB57" s="15" t="str">
        <f t="shared" ca="1" si="51"/>
        <v>VIGENTE</v>
      </c>
      <c r="EC57" s="13">
        <v>44994</v>
      </c>
      <c r="ED57" s="14">
        <v>45674</v>
      </c>
      <c r="EE57" s="14">
        <f>DATE(YEAR(ED57)+2,MONTH(ED57),DAY(ED57)-1)</f>
        <v>46403</v>
      </c>
      <c r="EF57" s="65">
        <f t="shared" ca="1" si="52"/>
        <v>272</v>
      </c>
      <c r="EG57" s="15" t="str">
        <f t="shared" ca="1" si="53"/>
        <v>VIGENTE</v>
      </c>
      <c r="EH57" s="13">
        <v>45750</v>
      </c>
      <c r="EI57" s="13">
        <v>46083</v>
      </c>
      <c r="EJ57" s="13">
        <v>46084</v>
      </c>
      <c r="EK57" s="13">
        <v>46085</v>
      </c>
      <c r="EL57" s="14">
        <f t="shared" si="128"/>
        <v>46450</v>
      </c>
      <c r="EM57" s="65">
        <f t="shared" ca="1" si="54"/>
        <v>319</v>
      </c>
      <c r="EN57" s="15" t="str">
        <f t="shared" ca="1" si="55"/>
        <v>VIGENTE</v>
      </c>
      <c r="EO57" s="13">
        <v>45076</v>
      </c>
      <c r="EP57" s="14">
        <v>45737</v>
      </c>
      <c r="EQ57" s="14">
        <f t="shared" si="224"/>
        <v>46466</v>
      </c>
      <c r="ER57" s="65">
        <f t="shared" ca="1" si="56"/>
        <v>335</v>
      </c>
      <c r="ES57" s="15" t="str">
        <f t="shared" ca="1" si="57"/>
        <v>VIGENTE</v>
      </c>
      <c r="ET57" s="13">
        <v>45043</v>
      </c>
      <c r="EU57" s="14">
        <v>45677</v>
      </c>
      <c r="EV57" s="14">
        <f>DATE(YEAR(EU57)+2,MONTH(EU57),DAY(EU57)-1)</f>
        <v>46406</v>
      </c>
      <c r="EW57" s="65">
        <f t="shared" ca="1" si="58"/>
        <v>275</v>
      </c>
      <c r="EX57" s="15" t="str">
        <f t="shared" ca="1" si="59"/>
        <v>VIGENTE</v>
      </c>
      <c r="EY57" s="13">
        <v>45017</v>
      </c>
      <c r="EZ57" s="14">
        <v>45694</v>
      </c>
      <c r="FA57" s="14">
        <f>DATE(YEAR(EZ57)+2,MONTH(EZ57),DAY(EZ57)-1)</f>
        <v>46423</v>
      </c>
      <c r="FB57" s="65">
        <f t="shared" ca="1" si="60"/>
        <v>292</v>
      </c>
      <c r="FC57" s="15" t="str">
        <f t="shared" ca="1" si="61"/>
        <v>VIGENTE</v>
      </c>
      <c r="FD57" s="13">
        <v>45009</v>
      </c>
      <c r="FE57" s="14">
        <v>45666</v>
      </c>
      <c r="FF57" s="14">
        <f>DATE(YEAR(FE57)+2,MONTH(FE57),DAY(FE57)-1)</f>
        <v>46395</v>
      </c>
      <c r="FG57" s="65">
        <f t="shared" ca="1" si="62"/>
        <v>264</v>
      </c>
      <c r="FH57" s="15" t="str">
        <f t="shared" ca="1" si="63"/>
        <v>VIGENTE</v>
      </c>
      <c r="FI57" s="13">
        <v>45045</v>
      </c>
      <c r="FJ57" s="14">
        <v>45668</v>
      </c>
      <c r="FK57" s="14">
        <f>DATE(YEAR(FJ57)+2,MONTH(FJ57),DAY(FJ57)-1)</f>
        <v>46397</v>
      </c>
      <c r="FL57" s="65">
        <f t="shared" ca="1" si="64"/>
        <v>266</v>
      </c>
      <c r="FM57" s="15" t="str">
        <f t="shared" ca="1" si="65"/>
        <v>VIGENTE</v>
      </c>
      <c r="FN57" s="13">
        <v>45002</v>
      </c>
      <c r="FO57" s="14">
        <v>45670</v>
      </c>
      <c r="FP57" s="14">
        <f>DATE(YEAR(FO57)+2,MONTH(FO57),DAY(FO57)-1)</f>
        <v>46399</v>
      </c>
      <c r="FQ57" s="65">
        <f t="shared" ca="1" si="67"/>
        <v>268</v>
      </c>
      <c r="FR57" s="15" t="str">
        <f t="shared" ca="1" si="68"/>
        <v>VIGENTE</v>
      </c>
      <c r="FS57" s="13">
        <v>44998</v>
      </c>
      <c r="FT57" s="14">
        <v>45664</v>
      </c>
      <c r="FU57" s="14">
        <f>DATE(YEAR(FT57)+2,MONTH(FT57),DAY(FT57)-1)</f>
        <v>46393</v>
      </c>
      <c r="FV57" s="65">
        <f t="shared" ca="1" si="69"/>
        <v>262</v>
      </c>
      <c r="FW57" s="15" t="str">
        <f t="shared" ca="1" si="70"/>
        <v>VIGENTE</v>
      </c>
      <c r="FX57" s="13">
        <v>44965</v>
      </c>
      <c r="FY57" s="14">
        <v>45574</v>
      </c>
      <c r="FZ57" s="14">
        <f>DATE(YEAR(FY57)+2,MONTH(FY57),DAY(FY57)-1)</f>
        <v>46303</v>
      </c>
      <c r="GA57" s="65">
        <f t="shared" ca="1" si="71"/>
        <v>172</v>
      </c>
      <c r="GB57" s="15" t="str">
        <f t="shared" ca="1" si="72"/>
        <v>VIGENTE</v>
      </c>
      <c r="GC57" s="13">
        <v>44995</v>
      </c>
      <c r="GD57" s="14">
        <v>45667</v>
      </c>
      <c r="GE57" s="14">
        <f>DATE(YEAR(GD57)+2,MONTH(GD57),DAY(GD57)-1)</f>
        <v>46396</v>
      </c>
      <c r="GF57" s="65">
        <f t="shared" ca="1" si="73"/>
        <v>265</v>
      </c>
      <c r="GG57" s="15" t="str">
        <f t="shared" ca="1" si="74"/>
        <v>VIGENTE</v>
      </c>
      <c r="GH57" s="13">
        <v>44996</v>
      </c>
      <c r="GI57" s="14">
        <v>45672</v>
      </c>
      <c r="GJ57" s="14">
        <f>DATE(YEAR(GI57)+2,MONTH(GI57),DAY(GI57)-1)</f>
        <v>46401</v>
      </c>
      <c r="GK57" s="65">
        <f t="shared" ca="1" si="75"/>
        <v>270</v>
      </c>
      <c r="GL57" s="15" t="str">
        <f t="shared" ca="1" si="76"/>
        <v>VIGENTE</v>
      </c>
      <c r="GM57" s="13">
        <v>45024</v>
      </c>
      <c r="GN57" s="14">
        <v>45687</v>
      </c>
      <c r="GO57" s="14">
        <f>DATE(YEAR(GN57)+2,MONTH(GN57),DAY(GN57)-1)</f>
        <v>46416</v>
      </c>
      <c r="GP57" s="65">
        <f t="shared" ca="1" si="77"/>
        <v>285</v>
      </c>
      <c r="GQ57" s="15" t="str">
        <f t="shared" ca="1" si="78"/>
        <v>VIGENTE</v>
      </c>
      <c r="GR57" s="14">
        <v>44571</v>
      </c>
      <c r="GS57" s="14">
        <v>45265</v>
      </c>
      <c r="GT57" s="14">
        <f t="shared" si="79"/>
        <v>47092</v>
      </c>
      <c r="GU57" s="65">
        <f t="shared" ca="1" si="172"/>
        <v>961</v>
      </c>
      <c r="GV57" s="15" t="str">
        <f t="shared" ca="1" si="81"/>
        <v>VIGENTE</v>
      </c>
      <c r="GW57" s="13">
        <v>44573</v>
      </c>
      <c r="GX57" s="14">
        <v>45200</v>
      </c>
      <c r="GY57" s="14">
        <f t="shared" si="82"/>
        <v>47027</v>
      </c>
      <c r="GZ57" s="65">
        <f t="shared" ca="1" si="83"/>
        <v>896</v>
      </c>
      <c r="HA57" s="15" t="str">
        <f t="shared" ca="1" si="84"/>
        <v>VIGENTE</v>
      </c>
      <c r="HB57" s="13">
        <v>44565</v>
      </c>
      <c r="HC57" s="14">
        <v>45268</v>
      </c>
      <c r="HD57" s="14">
        <f t="shared" si="85"/>
        <v>47095</v>
      </c>
      <c r="HE57" s="65">
        <f t="shared" ca="1" si="86"/>
        <v>964</v>
      </c>
      <c r="HF57" s="15" t="str">
        <f t="shared" ca="1" si="87"/>
        <v>VIGENTE</v>
      </c>
      <c r="HG57" s="16"/>
      <c r="HH57" s="14">
        <v>44900</v>
      </c>
      <c r="HI57" s="14">
        <f>DATE(YEAR(HH57)+5,MONTH(HH57),DAY(HH57))</f>
        <v>46726</v>
      </c>
      <c r="HJ57" s="65">
        <f ca="1">HI57-TODAY()</f>
        <v>595</v>
      </c>
      <c r="HK57" s="15" t="str">
        <f t="shared" ca="1" si="217"/>
        <v>VIGENTE</v>
      </c>
      <c r="HL57" s="12"/>
      <c r="HM57" s="14">
        <v>45341</v>
      </c>
      <c r="HN57" s="14">
        <f>DATE(YEAR(HM57)+5,MONTH(HM57),DAY(HM57))</f>
        <v>47168</v>
      </c>
      <c r="HO57" s="65">
        <f ca="1">HN57-TODAY()</f>
        <v>1037</v>
      </c>
      <c r="HP57" s="15" t="str">
        <f t="shared" ca="1" si="221"/>
        <v>VIGENTE</v>
      </c>
      <c r="HQ57" s="12"/>
      <c r="HR57" s="13">
        <v>45386</v>
      </c>
      <c r="HS57" s="14">
        <f>DATE(YEAR(HR57)+5,MONTH(HR57),DAY(HR57))</f>
        <v>47212</v>
      </c>
      <c r="HT57" s="65">
        <f ca="1">HS57-TODAY()</f>
        <v>1081</v>
      </c>
      <c r="HU57" s="15" t="str">
        <f t="shared" ca="1" si="92"/>
        <v>VIGENTE</v>
      </c>
      <c r="HV57" s="13">
        <v>44812</v>
      </c>
      <c r="HW57" s="14">
        <v>45469</v>
      </c>
      <c r="HX57" s="14">
        <f>DATE(YEAR(HW57)+5,MONTH(HW57),DAY(HW57))</f>
        <v>47295</v>
      </c>
      <c r="HY57" s="65">
        <f ca="1">HX57-TODAY()</f>
        <v>1164</v>
      </c>
      <c r="HZ57" s="15" t="str">
        <f t="shared" ca="1" si="93"/>
        <v>VIGENTE</v>
      </c>
      <c r="IA57" s="13">
        <v>44781</v>
      </c>
      <c r="IB57" s="14">
        <v>45492</v>
      </c>
      <c r="IC57" s="14">
        <f>DATE(YEAR(IB57)+5,MONTH(IB57),DAY(IB57))</f>
        <v>47318</v>
      </c>
      <c r="ID57" s="65">
        <f ca="1">IC57-TODAY()</f>
        <v>1187</v>
      </c>
      <c r="IE57" s="15" t="str">
        <f t="shared" ca="1" si="94"/>
        <v>VIGENTE</v>
      </c>
      <c r="IF57" s="13">
        <v>44510</v>
      </c>
      <c r="IG57" s="14">
        <v>45192</v>
      </c>
      <c r="IH57" s="14">
        <f>DATE(YEAR(IG57)+5,MONTH(IG57),DAY(IG57))</f>
        <v>47019</v>
      </c>
      <c r="II57" s="65">
        <f ca="1">IH57-TODAY()</f>
        <v>888</v>
      </c>
      <c r="IJ57" s="15" t="str">
        <f t="shared" ca="1" si="95"/>
        <v>VIGENTE</v>
      </c>
      <c r="IK57" s="14">
        <v>44559</v>
      </c>
      <c r="IL57" s="14">
        <v>45262</v>
      </c>
      <c r="IM57" s="14">
        <f>DATE(YEAR(IL57)+5,MONTH(IL57),DAY(IL57))</f>
        <v>47089</v>
      </c>
      <c r="IN57" s="65">
        <f ca="1">IM57-TODAY()</f>
        <v>958</v>
      </c>
      <c r="IO57" s="15" t="str">
        <f t="shared" ca="1" si="96"/>
        <v>VIGENTE</v>
      </c>
      <c r="IP57" s="13">
        <v>44559</v>
      </c>
      <c r="IQ57" s="14">
        <v>45259</v>
      </c>
      <c r="IR57" s="14">
        <f>DATE(YEAR(IQ57)+5,MONTH(IQ57),DAY(IQ57))</f>
        <v>47086</v>
      </c>
      <c r="IS57" s="65">
        <f ca="1">IR57-TODAY()</f>
        <v>955</v>
      </c>
      <c r="IT57" s="15" t="str">
        <f t="shared" ca="1" si="97"/>
        <v>VIGENTE</v>
      </c>
      <c r="IU57" s="13">
        <v>44510</v>
      </c>
      <c r="IV57" s="14">
        <v>45199</v>
      </c>
      <c r="IW57" s="14">
        <f>DATE(YEAR(IV57)+5,MONTH(IV57),DAY(IV57))</f>
        <v>47026</v>
      </c>
      <c r="IX57" s="65">
        <f ca="1">IW57-TODAY()</f>
        <v>895</v>
      </c>
      <c r="IY57" s="15" t="str">
        <f t="shared" ca="1" si="98"/>
        <v>VIGENTE</v>
      </c>
      <c r="IZ57" s="13">
        <v>44781</v>
      </c>
      <c r="JA57" s="14">
        <v>45491</v>
      </c>
      <c r="JB57" s="14">
        <f>DATE(YEAR(JA57)+5,MONTH(JA57),DAY(JA57))</f>
        <v>47317</v>
      </c>
      <c r="JC57" s="65">
        <f ca="1">JB57-TODAY()</f>
        <v>1186</v>
      </c>
      <c r="JD57" s="15" t="str">
        <f t="shared" ca="1" si="99"/>
        <v>VIGENTE</v>
      </c>
      <c r="JE57" s="13"/>
      <c r="JF57" s="13"/>
      <c r="JG57" s="14"/>
      <c r="JH57" s="65"/>
      <c r="JI57" s="15" t="str">
        <f t="shared" si="100"/>
        <v>NO APLICA</v>
      </c>
      <c r="JJ57" s="16"/>
      <c r="JK57" s="16"/>
      <c r="JL57" s="16"/>
      <c r="JM57" s="15" t="str">
        <f t="shared" si="101"/>
        <v>NO APLICA</v>
      </c>
      <c r="JN57" s="16"/>
      <c r="JO57" s="16"/>
      <c r="JP57" s="16"/>
      <c r="JQ57" s="15" t="str">
        <f t="shared" si="102"/>
        <v>NO APLICA</v>
      </c>
      <c r="JR57" s="16"/>
      <c r="JS57" s="16"/>
      <c r="JT57" s="16"/>
      <c r="JU57" s="16"/>
      <c r="JV57" s="15" t="str">
        <f t="shared" si="103"/>
        <v>NO APLICA</v>
      </c>
      <c r="JW57" s="15"/>
      <c r="JX57" s="15"/>
      <c r="JY57" s="15"/>
      <c r="JZ57" s="15"/>
      <c r="KA57" s="15" t="str">
        <f t="shared" si="104"/>
        <v>NO APLICA</v>
      </c>
      <c r="KB57" s="13">
        <v>45362</v>
      </c>
      <c r="KC57" s="14">
        <f>DATE(YEAR(KB57)+5,MONTH(KB57),DAY(KB57))</f>
        <v>47188</v>
      </c>
      <c r="KD57" s="65">
        <f ca="1">KC57-TODAY()</f>
        <v>1057</v>
      </c>
      <c r="KE57" s="15" t="str">
        <f t="shared" ca="1" si="105"/>
        <v>VIGENTE</v>
      </c>
      <c r="KF57" s="12"/>
      <c r="KG57" s="14"/>
      <c r="KH57" s="65"/>
      <c r="KI57" s="15" t="str">
        <f t="shared" si="132"/>
        <v>NO APLICA</v>
      </c>
      <c r="KJ57" s="12"/>
      <c r="KK57" s="14"/>
      <c r="KL57" s="65"/>
      <c r="KM57" s="15" t="str">
        <f t="shared" si="106"/>
        <v>NO APLICA</v>
      </c>
      <c r="KN57" s="12"/>
      <c r="KO57" s="14"/>
      <c r="KP57" s="65"/>
      <c r="KQ57" s="15" t="str">
        <f t="shared" si="133"/>
        <v>NO APLICA</v>
      </c>
      <c r="KR57" s="12"/>
      <c r="KS57" s="16"/>
      <c r="KT57" s="14"/>
      <c r="KU57" s="65"/>
      <c r="KV57" s="15" t="str">
        <f t="shared" si="147"/>
        <v>NO APLICA</v>
      </c>
      <c r="KW57" s="16"/>
      <c r="KX57" s="14"/>
      <c r="KY57" s="65"/>
      <c r="KZ57" s="15" t="str">
        <f t="shared" si="134"/>
        <v>NO APLICA</v>
      </c>
      <c r="LA57" s="16"/>
      <c r="LB57" s="16"/>
      <c r="LC57" s="14"/>
      <c r="LD57" s="65"/>
      <c r="LE57" s="15" t="str">
        <f t="shared" si="107"/>
        <v>NO APLICA</v>
      </c>
      <c r="LF57" s="15"/>
      <c r="LG57" s="15"/>
      <c r="LH57" s="14"/>
      <c r="LI57" s="65"/>
      <c r="LJ57" s="15" t="str">
        <f t="shared" si="148"/>
        <v>NO APLICA</v>
      </c>
      <c r="LK57" s="12"/>
      <c r="LL57" s="16"/>
      <c r="LM57" s="14"/>
      <c r="LN57" s="65"/>
      <c r="LO57" s="15" t="str">
        <f t="shared" si="135"/>
        <v>NO APLICA</v>
      </c>
      <c r="LP57" s="14">
        <v>44984</v>
      </c>
      <c r="LQ57" s="14">
        <v>44986</v>
      </c>
      <c r="LR57" s="14">
        <f>DATE(YEAR(LQ57)+5,MONTH(LQ57),DAY(LQ57))</f>
        <v>46813</v>
      </c>
      <c r="LS57" s="65">
        <f ca="1">LR57-TODAY()</f>
        <v>682</v>
      </c>
      <c r="LT57" s="15" t="str">
        <f t="shared" ca="1" si="136"/>
        <v>VIGENTE</v>
      </c>
      <c r="LU57" s="14">
        <v>44987</v>
      </c>
      <c r="LV57" s="14">
        <v>44988</v>
      </c>
      <c r="LW57" s="14">
        <f>DATE(YEAR(LV57)+5,MONTH(LV57),DAY(LV57))</f>
        <v>46815</v>
      </c>
      <c r="LX57" s="65">
        <f ca="1">LW57-TODAY()</f>
        <v>684</v>
      </c>
      <c r="LY57" s="15" t="str">
        <f t="shared" ca="1" si="137"/>
        <v>VIGENTE</v>
      </c>
      <c r="LZ57" s="12"/>
      <c r="MA57" s="12"/>
      <c r="MB57" s="14"/>
      <c r="MC57" s="65"/>
      <c r="MD57" s="15" t="str">
        <f t="shared" si="108"/>
        <v>NO APLICA</v>
      </c>
      <c r="ME57" s="12"/>
      <c r="MF57" s="12"/>
      <c r="MG57" s="14"/>
      <c r="MH57" s="65"/>
      <c r="MI57" s="15" t="str">
        <f t="shared" si="109"/>
        <v>NO APLICA</v>
      </c>
      <c r="MJ57" s="12"/>
      <c r="MK57" s="14"/>
      <c r="ML57" s="65"/>
      <c r="MM57" s="15" t="str">
        <f t="shared" si="110"/>
        <v>NO APLICA</v>
      </c>
      <c r="MN57" s="12"/>
      <c r="MO57" s="14"/>
      <c r="MP57" s="12"/>
      <c r="MQ57" s="15" t="str">
        <f t="shared" si="111"/>
        <v>NO APLICA</v>
      </c>
      <c r="MR57" s="12"/>
      <c r="MS57" s="16"/>
      <c r="MT57" s="14"/>
      <c r="MU57" s="65"/>
      <c r="MV57" s="15" t="str">
        <f t="shared" si="112"/>
        <v>NO APLICA</v>
      </c>
      <c r="MW57" s="12"/>
      <c r="MX57" s="16"/>
      <c r="MY57" s="14"/>
      <c r="MZ57" s="65"/>
      <c r="NA57" s="15" t="str">
        <f t="shared" si="113"/>
        <v>NO APLICA</v>
      </c>
      <c r="NB57" s="12"/>
      <c r="NC57" s="16"/>
      <c r="ND57" s="14"/>
      <c r="NE57" s="65"/>
      <c r="NF57" s="15" t="str">
        <f t="shared" si="114"/>
        <v>NO APLICA</v>
      </c>
      <c r="NG57" s="12"/>
      <c r="NH57" s="12"/>
      <c r="NI57" s="14"/>
      <c r="NJ57" s="12"/>
      <c r="NK57" s="15" t="str">
        <f t="shared" si="115"/>
        <v>NO APLICA</v>
      </c>
      <c r="NL57" s="14">
        <v>45102</v>
      </c>
      <c r="NM57" s="14">
        <v>45103</v>
      </c>
      <c r="NN57" s="14">
        <f>DATE(YEAR(NM57)+5,MONTH(NM57),DAY(NM57))</f>
        <v>46930</v>
      </c>
      <c r="NO57" s="65">
        <f ca="1">NN57-TODAY()</f>
        <v>799</v>
      </c>
      <c r="NP57" s="15" t="str">
        <f t="shared" ca="1" si="116"/>
        <v>VIGENTE</v>
      </c>
      <c r="NQ57" s="16"/>
      <c r="NR57" s="16"/>
      <c r="NS57" s="14"/>
      <c r="NT57" s="65"/>
      <c r="NU57" s="15" t="str">
        <f t="shared" si="117"/>
        <v>NO APLICA</v>
      </c>
      <c r="NV57" s="16"/>
      <c r="NW57" s="16"/>
      <c r="NX57" s="16"/>
      <c r="NY57" s="16"/>
      <c r="NZ57" s="15" t="str">
        <f t="shared" si="118"/>
        <v>NO APLICA</v>
      </c>
    </row>
    <row r="58" spans="1:390" ht="15.6" thickTop="1" thickBot="1" x14ac:dyDescent="0.35">
      <c r="A58" s="9">
        <v>605</v>
      </c>
      <c r="B58" s="10" t="s">
        <v>282</v>
      </c>
      <c r="C58" s="21" t="s">
        <v>104</v>
      </c>
      <c r="D58" s="64" t="s">
        <v>160</v>
      </c>
      <c r="E58" s="15"/>
      <c r="F58" s="16"/>
      <c r="G58" s="14"/>
      <c r="H58" s="65"/>
      <c r="I58" s="15" t="str">
        <f t="shared" si="0"/>
        <v>NO APLICA</v>
      </c>
      <c r="J58" s="15"/>
      <c r="K58" s="16"/>
      <c r="L58" s="16"/>
      <c r="M58" s="65"/>
      <c r="N58" s="15" t="str">
        <f t="shared" si="1"/>
        <v>NO APLICA</v>
      </c>
      <c r="O58" s="16"/>
      <c r="P58" s="16"/>
      <c r="Q58" s="14"/>
      <c r="R58" s="65"/>
      <c r="S58" s="15" t="str">
        <f t="shared" si="119"/>
        <v>NO APLICA</v>
      </c>
      <c r="T58" s="12" t="s">
        <v>283</v>
      </c>
      <c r="U58" s="13">
        <v>44837</v>
      </c>
      <c r="V58" s="14">
        <v>44838</v>
      </c>
      <c r="W58" s="14">
        <f t="shared" si="2"/>
        <v>46664</v>
      </c>
      <c r="X58" s="65">
        <f t="shared" ca="1" si="3"/>
        <v>533</v>
      </c>
      <c r="Y58" s="15" t="str">
        <f t="shared" ca="1" si="4"/>
        <v>VIGENTE</v>
      </c>
      <c r="Z58" s="12" t="s">
        <v>284</v>
      </c>
      <c r="AA58" s="13">
        <v>44825</v>
      </c>
      <c r="AB58" s="14">
        <v>44826</v>
      </c>
      <c r="AC58" s="14">
        <f>DATE(YEAR(AB58)+5,MONTH(AB58),DAY(AB58))</f>
        <v>46652</v>
      </c>
      <c r="AD58" s="65">
        <f ca="1">AC58-TODAY()</f>
        <v>521</v>
      </c>
      <c r="AE58" s="15" t="str">
        <f t="shared" ca="1" si="7"/>
        <v>VIGENTE</v>
      </c>
      <c r="AF58" s="13">
        <v>44928</v>
      </c>
      <c r="AG58" s="13">
        <v>45594</v>
      </c>
      <c r="AH58" s="14">
        <f t="shared" si="222"/>
        <v>46323</v>
      </c>
      <c r="AI58" s="65">
        <f t="shared" ca="1" si="8"/>
        <v>192</v>
      </c>
      <c r="AJ58" s="15" t="str">
        <f t="shared" ca="1" si="213"/>
        <v>VIGENTE</v>
      </c>
      <c r="AK58" s="13">
        <v>45269</v>
      </c>
      <c r="AL58" s="14">
        <v>45980</v>
      </c>
      <c r="AM58" s="14">
        <f>DATE(YEAR(AL58)+2,MONTH(AL58),DAY(AL58))</f>
        <v>46710</v>
      </c>
      <c r="AN58" s="65">
        <f t="shared" ca="1" si="10"/>
        <v>579</v>
      </c>
      <c r="AO58" s="15" t="str">
        <f t="shared" ca="1" si="11"/>
        <v>VIGENTE</v>
      </c>
      <c r="AP58" s="13">
        <v>45074</v>
      </c>
      <c r="AQ58" s="14">
        <v>45703</v>
      </c>
      <c r="AR58" s="14">
        <f>DATE(YEAR(AQ58)+2,MONTH(AQ58),DAY(AQ58)-1)</f>
        <v>46432</v>
      </c>
      <c r="AS58" s="65">
        <f t="shared" ca="1" si="12"/>
        <v>301</v>
      </c>
      <c r="AT58" s="15" t="str">
        <f t="shared" ca="1" si="13"/>
        <v>VIGENTE</v>
      </c>
      <c r="AU58" s="13">
        <v>45323</v>
      </c>
      <c r="AV58" s="14">
        <v>45972</v>
      </c>
      <c r="AW58" s="14">
        <f t="shared" ref="AW58:AW71" si="225">DATE(YEAR(AV58)+2,MONTH(AV58),DAY(AV58))</f>
        <v>46702</v>
      </c>
      <c r="AX58" s="65">
        <f t="shared" ca="1" si="15"/>
        <v>571</v>
      </c>
      <c r="AY58" s="15" t="str">
        <f t="shared" ca="1" si="16"/>
        <v>VIGENTE</v>
      </c>
      <c r="AZ58" s="13">
        <v>45375</v>
      </c>
      <c r="BA58" s="14">
        <v>46041</v>
      </c>
      <c r="BB58" s="14">
        <f>DATE(YEAR(BA58)+2,MONTH(BA58),DAY(BA58))</f>
        <v>46771</v>
      </c>
      <c r="BC58" s="65">
        <f t="shared" ca="1" si="17"/>
        <v>640</v>
      </c>
      <c r="BD58" s="15" t="str">
        <f t="shared" ca="1" si="18"/>
        <v>VIGENTE</v>
      </c>
      <c r="BE58" s="13">
        <v>45382</v>
      </c>
      <c r="BF58" s="14">
        <v>46027</v>
      </c>
      <c r="BG58" s="14">
        <f t="shared" ref="BG58:BG63" si="226">DATE(YEAR(BF58)+2,MONTH(BF58),DAY(BF58))</f>
        <v>46757</v>
      </c>
      <c r="BH58" s="65">
        <f t="shared" ca="1" si="19"/>
        <v>626</v>
      </c>
      <c r="BI58" s="15" t="str">
        <f t="shared" ca="1" si="20"/>
        <v>VIGENTE</v>
      </c>
      <c r="BJ58" s="13">
        <v>44721</v>
      </c>
      <c r="BK58" s="14">
        <v>46051</v>
      </c>
      <c r="BL58" s="14">
        <f t="shared" si="223"/>
        <v>46781</v>
      </c>
      <c r="BM58" s="65">
        <f t="shared" ca="1" si="21"/>
        <v>650</v>
      </c>
      <c r="BN58" s="15" t="str">
        <f t="shared" ca="1" si="22"/>
        <v>VIGENTE</v>
      </c>
      <c r="BO58" s="13">
        <v>44747</v>
      </c>
      <c r="BP58" s="14">
        <v>46069</v>
      </c>
      <c r="BQ58" s="14">
        <f>DATE(YEAR(BP58)+2,MONTH(BP58),DAY(BP58))</f>
        <v>46799</v>
      </c>
      <c r="BR58" s="65">
        <f t="shared" ca="1" si="23"/>
        <v>668</v>
      </c>
      <c r="BS58" s="15" t="str">
        <f t="shared" ca="1" si="24"/>
        <v>VIGENTE</v>
      </c>
      <c r="BT58" s="13">
        <v>45362</v>
      </c>
      <c r="BU58" s="14">
        <v>46031</v>
      </c>
      <c r="BV58" s="14">
        <f>DATE(YEAR(BU58)+2,MONTH(BU58),DAY(BU58))</f>
        <v>46761</v>
      </c>
      <c r="BW58" s="65">
        <f t="shared" ca="1" si="25"/>
        <v>630</v>
      </c>
      <c r="BX58" s="15" t="str">
        <f t="shared" ca="1" si="26"/>
        <v>VIGENTE</v>
      </c>
      <c r="BY58" s="13">
        <v>44643</v>
      </c>
      <c r="BZ58" s="14">
        <v>45944</v>
      </c>
      <c r="CA58" s="14">
        <f>DATE(YEAR(BZ58)+2,MONTH(BZ58),DAY(BZ58))</f>
        <v>46674</v>
      </c>
      <c r="CB58" s="65">
        <f t="shared" ca="1" si="27"/>
        <v>543</v>
      </c>
      <c r="CC58" s="15" t="str">
        <f t="shared" ca="1" si="28"/>
        <v>VIGENTE</v>
      </c>
      <c r="CD58" s="16" t="s">
        <v>108</v>
      </c>
      <c r="CE58" s="14">
        <v>45226</v>
      </c>
      <c r="CF58" s="14">
        <v>45227</v>
      </c>
      <c r="CG58" s="14">
        <f t="shared" si="29"/>
        <v>46688</v>
      </c>
      <c r="CH58" s="65">
        <f t="shared" ca="1" si="30"/>
        <v>557</v>
      </c>
      <c r="CI58" s="15" t="str">
        <f t="shared" ca="1" si="31"/>
        <v>VIGENTE</v>
      </c>
      <c r="CJ58" s="14">
        <v>44874</v>
      </c>
      <c r="CK58" s="14">
        <v>45511</v>
      </c>
      <c r="CL58" s="14">
        <f>DATE(YEAR(CK58)+2,MONTH(CK58),DAY(CK58)-1)</f>
        <v>46240</v>
      </c>
      <c r="CM58" s="65">
        <f t="shared" ca="1" si="32"/>
        <v>109</v>
      </c>
      <c r="CN58" s="15" t="str">
        <f t="shared" ca="1" si="33"/>
        <v>VIGENTE</v>
      </c>
      <c r="CO58" s="13">
        <v>45087</v>
      </c>
      <c r="CP58" s="14">
        <v>45726</v>
      </c>
      <c r="CQ58" s="14">
        <f>DATE(YEAR(CP58)+2,MONTH(CP58),DAY(CP58)-1)</f>
        <v>46455</v>
      </c>
      <c r="CR58" s="65">
        <f t="shared" ca="1" si="34"/>
        <v>324</v>
      </c>
      <c r="CS58" s="15" t="str">
        <f t="shared" ca="1" si="35"/>
        <v>VIGENTE</v>
      </c>
      <c r="CT58" s="13">
        <v>44970</v>
      </c>
      <c r="CU58" s="14">
        <v>45631</v>
      </c>
      <c r="CV58" s="14">
        <f>DATE(YEAR(CU58)+2,MONTH(CU58),DAY(CU58)-1)</f>
        <v>46360</v>
      </c>
      <c r="CW58" s="65">
        <f t="shared" ca="1" si="36"/>
        <v>229</v>
      </c>
      <c r="CX58" s="15" t="str">
        <f t="shared" ca="1" si="37"/>
        <v>VIGENTE</v>
      </c>
      <c r="CY58" s="13">
        <v>44998</v>
      </c>
      <c r="CZ58" s="14">
        <v>45661</v>
      </c>
      <c r="DA58" s="14">
        <f>DATE(YEAR(CZ58)+2,MONTH(CZ58),DAY(CZ58)-1)</f>
        <v>46390</v>
      </c>
      <c r="DB58" s="65">
        <f t="shared" ca="1" si="38"/>
        <v>259</v>
      </c>
      <c r="DC58" s="15" t="str">
        <f t="shared" ca="1" si="39"/>
        <v>VIGENTE</v>
      </c>
      <c r="DD58" s="13">
        <v>44910</v>
      </c>
      <c r="DE58" s="14">
        <v>45535</v>
      </c>
      <c r="DF58" s="14">
        <f t="shared" si="220"/>
        <v>46264</v>
      </c>
      <c r="DG58" s="65">
        <f t="shared" ca="1" si="40"/>
        <v>133</v>
      </c>
      <c r="DH58" s="15" t="str">
        <f t="shared" ca="1" si="41"/>
        <v>VIGENTE</v>
      </c>
      <c r="DI58" s="13">
        <v>45058</v>
      </c>
      <c r="DJ58" s="14">
        <v>45696</v>
      </c>
      <c r="DK58" s="14">
        <f>DATE(YEAR(DJ58)+2,MONTH(DJ58),DAY(DJ58)-1)</f>
        <v>46425</v>
      </c>
      <c r="DL58" s="65">
        <f t="shared" ca="1" si="43"/>
        <v>294</v>
      </c>
      <c r="DM58" s="15" t="str">
        <f t="shared" ca="1" si="44"/>
        <v>VIGENTE</v>
      </c>
      <c r="DN58" s="13">
        <v>44792</v>
      </c>
      <c r="DO58" s="14">
        <v>45473</v>
      </c>
      <c r="DP58" s="14">
        <f>DATE(YEAR(DO58)+2,MONTH(DO58),DAY(DO58)-1)</f>
        <v>46202</v>
      </c>
      <c r="DQ58" s="65">
        <f t="shared" ca="1" si="46"/>
        <v>71</v>
      </c>
      <c r="DR58" s="15" t="str">
        <f t="shared" ca="1" si="47"/>
        <v>POR VENCER</v>
      </c>
      <c r="DS58" s="13">
        <v>44734</v>
      </c>
      <c r="DT58" s="14">
        <v>46053</v>
      </c>
      <c r="DU58" s="14">
        <f>DATE(YEAR(DT58)+2,MONTH(DT58),DAY(DT58))</f>
        <v>46783</v>
      </c>
      <c r="DV58" s="65">
        <f t="shared" ca="1" si="48"/>
        <v>652</v>
      </c>
      <c r="DW58" s="15" t="str">
        <f t="shared" ca="1" si="49"/>
        <v>VIGENTE</v>
      </c>
      <c r="DX58" s="13">
        <v>45089</v>
      </c>
      <c r="DY58" s="14">
        <v>45751</v>
      </c>
      <c r="DZ58" s="14">
        <f>DATE(YEAR(DY58)+2,MONTH(DY58),DAY(DY58)-1)</f>
        <v>46480</v>
      </c>
      <c r="EA58" s="65">
        <f t="shared" ca="1" si="50"/>
        <v>349</v>
      </c>
      <c r="EB58" s="15" t="str">
        <f t="shared" ca="1" si="51"/>
        <v>VIGENTE</v>
      </c>
      <c r="EC58" s="13">
        <v>45051</v>
      </c>
      <c r="ED58" s="14">
        <v>45674</v>
      </c>
      <c r="EE58" s="14">
        <f>DATE(YEAR(ED58)+2,MONTH(ED58),DAY(ED58)-1)</f>
        <v>46403</v>
      </c>
      <c r="EF58" s="65">
        <f t="shared" ca="1" si="52"/>
        <v>272</v>
      </c>
      <c r="EG58" s="15" t="str">
        <f t="shared" ca="1" si="53"/>
        <v>VIGENTE</v>
      </c>
      <c r="EH58" s="13">
        <v>45675</v>
      </c>
      <c r="EI58" s="13">
        <v>45806</v>
      </c>
      <c r="EJ58" s="13">
        <v>45807</v>
      </c>
      <c r="EK58" s="14">
        <v>45808</v>
      </c>
      <c r="EL58" s="14">
        <f t="shared" si="128"/>
        <v>46173</v>
      </c>
      <c r="EM58" s="65">
        <f t="shared" ca="1" si="54"/>
        <v>42</v>
      </c>
      <c r="EN58" s="15" t="str">
        <f t="shared" ca="1" si="55"/>
        <v>POR VENCER</v>
      </c>
      <c r="EO58" s="13">
        <v>45070</v>
      </c>
      <c r="EP58" s="14">
        <v>45671</v>
      </c>
      <c r="EQ58" s="14">
        <f t="shared" si="224"/>
        <v>46400</v>
      </c>
      <c r="ER58" s="65">
        <f t="shared" ca="1" si="56"/>
        <v>269</v>
      </c>
      <c r="ES58" s="15" t="str">
        <f t="shared" ca="1" si="57"/>
        <v>VIGENTE</v>
      </c>
      <c r="ET58" s="13">
        <v>44732</v>
      </c>
      <c r="EU58" s="14">
        <v>46094</v>
      </c>
      <c r="EV58" s="14">
        <f>DATE(YEAR(EU58)+2,MONTH(EU58),DAY(EU58))</f>
        <v>46825</v>
      </c>
      <c r="EW58" s="65">
        <f t="shared" ca="1" si="58"/>
        <v>694</v>
      </c>
      <c r="EX58" s="15" t="str">
        <f t="shared" ca="1" si="59"/>
        <v>VIGENTE</v>
      </c>
      <c r="EY58" s="13">
        <v>44644</v>
      </c>
      <c r="EZ58" s="14">
        <v>45953</v>
      </c>
      <c r="FA58" s="14">
        <f t="shared" ref="FA58:FA70" si="227">DATE(YEAR(EZ58)+2,MONTH(EZ58),DAY(EZ58))</f>
        <v>46683</v>
      </c>
      <c r="FB58" s="65">
        <f t="shared" ca="1" si="60"/>
        <v>552</v>
      </c>
      <c r="FC58" s="15" t="str">
        <f t="shared" ca="1" si="61"/>
        <v>VIGENTE</v>
      </c>
      <c r="FD58" s="13">
        <v>44644</v>
      </c>
      <c r="FE58" s="14">
        <v>45951</v>
      </c>
      <c r="FF58" s="14">
        <f t="shared" ref="FF58:FF70" si="228">DATE(YEAR(FE58)+2,MONTH(FE58),DAY(FE58))</f>
        <v>46681</v>
      </c>
      <c r="FG58" s="65">
        <f t="shared" ca="1" si="62"/>
        <v>550</v>
      </c>
      <c r="FH58" s="15" t="str">
        <f t="shared" ca="1" si="63"/>
        <v>VIGENTE</v>
      </c>
      <c r="FI58" s="13">
        <v>44645</v>
      </c>
      <c r="FJ58" s="14">
        <v>45992</v>
      </c>
      <c r="FK58" s="14">
        <f t="shared" ref="FK58:FK71" si="229">DATE(YEAR(FJ58)+2,MONTH(FJ58),DAY(FJ58))</f>
        <v>46722</v>
      </c>
      <c r="FL58" s="65">
        <f t="shared" ca="1" si="64"/>
        <v>591</v>
      </c>
      <c r="FM58" s="15" t="str">
        <f t="shared" ca="1" si="65"/>
        <v>VIGENTE</v>
      </c>
      <c r="FN58" s="13">
        <v>45002</v>
      </c>
      <c r="FO58" s="14">
        <v>45670</v>
      </c>
      <c r="FP58" s="14">
        <f>DATE(YEAR(FO58)+2,MONTH(FO58),DAY(FO58)-1)</f>
        <v>46399</v>
      </c>
      <c r="FQ58" s="65">
        <f t="shared" ca="1" si="67"/>
        <v>268</v>
      </c>
      <c r="FR58" s="15" t="str">
        <f t="shared" ca="1" si="68"/>
        <v>VIGENTE</v>
      </c>
      <c r="FS58" s="13">
        <v>44994</v>
      </c>
      <c r="FT58" s="14">
        <v>45678</v>
      </c>
      <c r="FU58" s="14">
        <f>DATE(YEAR(FT58)+2,MONTH(FT58),DAY(FT58)-1)</f>
        <v>46407</v>
      </c>
      <c r="FV58" s="65">
        <f t="shared" ca="1" si="69"/>
        <v>276</v>
      </c>
      <c r="FW58" s="15" t="str">
        <f t="shared" ca="1" si="70"/>
        <v>VIGENTE</v>
      </c>
      <c r="FX58" s="13">
        <v>44965</v>
      </c>
      <c r="FY58" s="14">
        <v>45581</v>
      </c>
      <c r="FZ58" s="14">
        <f>DATE(YEAR(FY58)+2,MONTH(FY58),DAY(FY58)-1)</f>
        <v>46310</v>
      </c>
      <c r="GA58" s="65">
        <f t="shared" ca="1" si="71"/>
        <v>179</v>
      </c>
      <c r="GB58" s="15" t="str">
        <f t="shared" ca="1" si="72"/>
        <v>VIGENTE</v>
      </c>
      <c r="GC58" s="13">
        <v>45396</v>
      </c>
      <c r="GD58" s="14">
        <v>46030</v>
      </c>
      <c r="GE58" s="14">
        <f>DATE(YEAR(GD58)+2,MONTH(GD58),DAY(GD58))</f>
        <v>46760</v>
      </c>
      <c r="GF58" s="65">
        <f t="shared" ca="1" si="73"/>
        <v>629</v>
      </c>
      <c r="GG58" s="15" t="str">
        <f t="shared" ca="1" si="74"/>
        <v>VIGENTE</v>
      </c>
      <c r="GH58" s="13">
        <v>44996</v>
      </c>
      <c r="GI58" s="14">
        <v>45672</v>
      </c>
      <c r="GJ58" s="14">
        <f>DATE(YEAR(GI58)+2,MONTH(GI58),DAY(GI58)-1)</f>
        <v>46401</v>
      </c>
      <c r="GK58" s="65">
        <f t="shared" ca="1" si="75"/>
        <v>270</v>
      </c>
      <c r="GL58" s="15" t="str">
        <f t="shared" ca="1" si="76"/>
        <v>VIGENTE</v>
      </c>
      <c r="GM58" s="14">
        <v>44567</v>
      </c>
      <c r="GN58" s="14">
        <v>45945</v>
      </c>
      <c r="GO58" s="14">
        <f>DATE(YEAR(GN58)+2,MONTH(GN58),DAY(GN58))</f>
        <v>46675</v>
      </c>
      <c r="GP58" s="65">
        <f t="shared" ca="1" si="77"/>
        <v>544</v>
      </c>
      <c r="GQ58" s="15" t="str">
        <f t="shared" ca="1" si="78"/>
        <v>VIGENTE</v>
      </c>
      <c r="GR58" s="14">
        <v>44792</v>
      </c>
      <c r="GS58" s="14">
        <v>45441</v>
      </c>
      <c r="GT58" s="14">
        <f t="shared" si="79"/>
        <v>47267</v>
      </c>
      <c r="GU58" s="65">
        <f t="shared" ca="1" si="172"/>
        <v>1136</v>
      </c>
      <c r="GV58" s="15" t="str">
        <f t="shared" ca="1" si="81"/>
        <v>VIGENTE</v>
      </c>
      <c r="GW58" s="13">
        <v>44791</v>
      </c>
      <c r="GX58" s="14">
        <v>45464</v>
      </c>
      <c r="GY58" s="14">
        <f t="shared" si="82"/>
        <v>47290</v>
      </c>
      <c r="GZ58" s="65">
        <f t="shared" ca="1" si="83"/>
        <v>1159</v>
      </c>
      <c r="HA58" s="15" t="str">
        <f t="shared" ca="1" si="84"/>
        <v>VIGENTE</v>
      </c>
      <c r="HB58" s="13">
        <v>44792</v>
      </c>
      <c r="HC58" s="14">
        <v>45466</v>
      </c>
      <c r="HD58" s="14">
        <f t="shared" si="85"/>
        <v>47292</v>
      </c>
      <c r="HE58" s="65">
        <f t="shared" ca="1" si="86"/>
        <v>1161</v>
      </c>
      <c r="HF58" s="15" t="str">
        <f t="shared" ca="1" si="87"/>
        <v>VIGENTE</v>
      </c>
      <c r="HG58" s="16"/>
      <c r="HH58" s="14">
        <v>44921</v>
      </c>
      <c r="HI58" s="14">
        <f>DATE(YEAR(HH58)+5,MONTH(HH58),DAY(HH58))</f>
        <v>46747</v>
      </c>
      <c r="HJ58" s="65">
        <f ca="1">HI58-TODAY()</f>
        <v>616</v>
      </c>
      <c r="HK58" s="15" t="str">
        <f t="shared" ca="1" si="217"/>
        <v>VIGENTE</v>
      </c>
      <c r="HL58" s="12"/>
      <c r="HM58" s="16"/>
      <c r="HN58" s="14"/>
      <c r="HO58" s="65"/>
      <c r="HP58" s="15" t="str">
        <f t="shared" si="221"/>
        <v>NO APLICA</v>
      </c>
      <c r="HQ58" s="12"/>
      <c r="HR58" s="15"/>
      <c r="HS58" s="14"/>
      <c r="HT58" s="15"/>
      <c r="HU58" s="15" t="str">
        <f t="shared" si="92"/>
        <v>NO APLICA</v>
      </c>
      <c r="HV58" s="13">
        <v>44560</v>
      </c>
      <c r="HW58" s="14">
        <v>45208</v>
      </c>
      <c r="HX58" s="14">
        <f>DATE(YEAR(HW58)+5,MONTH(HW58),DAY(HW58))</f>
        <v>47035</v>
      </c>
      <c r="HY58" s="65">
        <f ca="1">HX58-TODAY()</f>
        <v>904</v>
      </c>
      <c r="HZ58" s="15" t="str">
        <f t="shared" ca="1" si="93"/>
        <v>VIGENTE</v>
      </c>
      <c r="IA58" s="13">
        <v>44557</v>
      </c>
      <c r="IB58" s="14">
        <v>45194</v>
      </c>
      <c r="IC58" s="14">
        <f>DATE(YEAR(IB58)+5,MONTH(IB58),DAY(IB58))</f>
        <v>47021</v>
      </c>
      <c r="ID58" s="65">
        <f ca="1">IC58-TODAY()</f>
        <v>890</v>
      </c>
      <c r="IE58" s="15" t="str">
        <f t="shared" ca="1" si="94"/>
        <v>VIGENTE</v>
      </c>
      <c r="IF58" s="14">
        <v>44558</v>
      </c>
      <c r="IG58" s="14">
        <v>45192</v>
      </c>
      <c r="IH58" s="14">
        <f>DATE(YEAR(IG58)+5,MONTH(IG58),DAY(IG58))</f>
        <v>47019</v>
      </c>
      <c r="II58" s="65">
        <f ca="1">IH58-TODAY()</f>
        <v>888</v>
      </c>
      <c r="IJ58" s="15" t="str">
        <f t="shared" ca="1" si="95"/>
        <v>VIGENTE</v>
      </c>
      <c r="IK58" s="14">
        <v>44559</v>
      </c>
      <c r="IL58" s="14">
        <v>45266</v>
      </c>
      <c r="IM58" s="14">
        <f>DATE(YEAR(IL58)+5,MONTH(IL58),DAY(IL58))</f>
        <v>47093</v>
      </c>
      <c r="IN58" s="65">
        <f ca="1">IM58-TODAY()</f>
        <v>962</v>
      </c>
      <c r="IO58" s="15" t="str">
        <f t="shared" ca="1" si="96"/>
        <v>VIGENTE</v>
      </c>
      <c r="IP58" s="13">
        <v>44559</v>
      </c>
      <c r="IQ58" s="14">
        <v>45196</v>
      </c>
      <c r="IR58" s="14">
        <f>DATE(YEAR(IQ58)+5,MONTH(IQ58),DAY(IQ58))</f>
        <v>47023</v>
      </c>
      <c r="IS58" s="65">
        <f ca="1">IR58-TODAY()</f>
        <v>892</v>
      </c>
      <c r="IT58" s="15" t="str">
        <f t="shared" ca="1" si="97"/>
        <v>VIGENTE</v>
      </c>
      <c r="IU58" s="13">
        <v>44558</v>
      </c>
      <c r="IV58" s="14">
        <v>45191</v>
      </c>
      <c r="IW58" s="14">
        <f>DATE(YEAR(IV58)+5,MONTH(IV58),DAY(IV58))</f>
        <v>47018</v>
      </c>
      <c r="IX58" s="65">
        <f ca="1">IW58-TODAY()</f>
        <v>887</v>
      </c>
      <c r="IY58" s="15" t="str">
        <f t="shared" ca="1" si="98"/>
        <v>VIGENTE</v>
      </c>
      <c r="IZ58" s="13">
        <v>44557</v>
      </c>
      <c r="JA58" s="14">
        <v>45251</v>
      </c>
      <c r="JB58" s="14">
        <f>DATE(YEAR(JA58)+5,MONTH(JA58),DAY(JA58))</f>
        <v>47078</v>
      </c>
      <c r="JC58" s="65">
        <f ca="1">JB58-TODAY()</f>
        <v>947</v>
      </c>
      <c r="JD58" s="15" t="str">
        <f t="shared" ca="1" si="99"/>
        <v>VIGENTE</v>
      </c>
      <c r="JE58" s="13"/>
      <c r="JF58" s="13"/>
      <c r="JG58" s="14"/>
      <c r="JH58" s="65"/>
      <c r="JI58" s="15" t="str">
        <f t="shared" si="100"/>
        <v>NO APLICA</v>
      </c>
      <c r="JJ58" s="16"/>
      <c r="JK58" s="16"/>
      <c r="JL58" s="16"/>
      <c r="JM58" s="15" t="str">
        <f t="shared" si="101"/>
        <v>NO APLICA</v>
      </c>
      <c r="JN58" s="16"/>
      <c r="JO58" s="16"/>
      <c r="JP58" s="16"/>
      <c r="JQ58" s="15" t="str">
        <f t="shared" si="102"/>
        <v>NO APLICA</v>
      </c>
      <c r="JR58" s="16"/>
      <c r="JS58" s="16"/>
      <c r="JT58" s="16"/>
      <c r="JU58" s="16"/>
      <c r="JV58" s="15" t="str">
        <f t="shared" si="103"/>
        <v>NO APLICA</v>
      </c>
      <c r="JW58" s="15"/>
      <c r="JX58" s="15"/>
      <c r="JY58" s="15"/>
      <c r="JZ58" s="15"/>
      <c r="KA58" s="15" t="str">
        <f t="shared" si="104"/>
        <v>NO APLICA</v>
      </c>
      <c r="KB58" s="15"/>
      <c r="KC58" s="14"/>
      <c r="KD58" s="65"/>
      <c r="KE58" s="15" t="str">
        <f t="shared" si="105"/>
        <v>NO APLICA</v>
      </c>
      <c r="KF58" s="15"/>
      <c r="KG58" s="14"/>
      <c r="KH58" s="65"/>
      <c r="KI58" s="15" t="str">
        <f t="shared" si="132"/>
        <v>NO APLICA</v>
      </c>
      <c r="KJ58" s="15"/>
      <c r="KK58" s="14"/>
      <c r="KL58" s="65"/>
      <c r="KM58" s="15" t="str">
        <f t="shared" si="106"/>
        <v>NO APLICA</v>
      </c>
      <c r="KN58" s="13">
        <v>45346</v>
      </c>
      <c r="KO58" s="14">
        <f>DATE(YEAR(KN58)+5,MONTH(KN58),DAY(KN58))</f>
        <v>47173</v>
      </c>
      <c r="KP58" s="65">
        <f ca="1">KO58-TODAY()</f>
        <v>1042</v>
      </c>
      <c r="KQ58" s="15" t="str">
        <f t="shared" ca="1" si="133"/>
        <v>VIGENTE</v>
      </c>
      <c r="KR58" s="12"/>
      <c r="KS58" s="16"/>
      <c r="KT58" s="14"/>
      <c r="KU58" s="65"/>
      <c r="KV58" s="15" t="str">
        <f t="shared" si="147"/>
        <v>NO APLICA</v>
      </c>
      <c r="KW58" s="16"/>
      <c r="KX58" s="14"/>
      <c r="KY58" s="65"/>
      <c r="KZ58" s="15" t="str">
        <f t="shared" si="134"/>
        <v>NO APLICA</v>
      </c>
      <c r="LA58" s="14">
        <v>44490</v>
      </c>
      <c r="LB58" s="14"/>
      <c r="LC58" s="14"/>
      <c r="LD58" s="65"/>
      <c r="LE58" s="15" t="str">
        <f t="shared" si="107"/>
        <v>NO APLICA</v>
      </c>
      <c r="LF58" s="15"/>
      <c r="LG58" s="15"/>
      <c r="LH58" s="14"/>
      <c r="LI58" s="65"/>
      <c r="LJ58" s="15" t="str">
        <f t="shared" si="148"/>
        <v>NO APLICA</v>
      </c>
      <c r="LK58" s="15"/>
      <c r="LL58" s="16"/>
      <c r="LM58" s="14"/>
      <c r="LN58" s="65"/>
      <c r="LO58" s="15" t="str">
        <f t="shared" si="135"/>
        <v>NO APLICA</v>
      </c>
      <c r="LP58" s="16"/>
      <c r="LQ58" s="16"/>
      <c r="LR58" s="14"/>
      <c r="LS58" s="65"/>
      <c r="LT58" s="15" t="str">
        <f t="shared" si="136"/>
        <v>NO APLICA</v>
      </c>
      <c r="LU58" s="16"/>
      <c r="LV58" s="16"/>
      <c r="LW58" s="14"/>
      <c r="LX58" s="65"/>
      <c r="LY58" s="15" t="str">
        <f t="shared" si="137"/>
        <v>NO APLICA</v>
      </c>
      <c r="LZ58" s="15"/>
      <c r="MA58" s="15"/>
      <c r="MB58" s="14"/>
      <c r="MC58" s="65"/>
      <c r="MD58" s="15" t="str">
        <f t="shared" si="108"/>
        <v>NO APLICA</v>
      </c>
      <c r="ME58" s="15"/>
      <c r="MF58" s="15"/>
      <c r="MG58" s="14"/>
      <c r="MH58" s="65"/>
      <c r="MI58" s="15" t="str">
        <f t="shared" si="109"/>
        <v>NO APLICA</v>
      </c>
      <c r="MJ58" s="13">
        <v>45154</v>
      </c>
      <c r="MK58" s="14">
        <f>DATE(YEAR(MJ58)+5,MONTH(MJ58),DAY(MJ58))</f>
        <v>46981</v>
      </c>
      <c r="ML58" s="65">
        <f ca="1">MK58-TODAY()</f>
        <v>850</v>
      </c>
      <c r="MM58" s="15" t="str">
        <f t="shared" ca="1" si="110"/>
        <v>VIGENTE</v>
      </c>
      <c r="MN58" s="13">
        <v>45155</v>
      </c>
      <c r="MO58" s="14">
        <f>DATE(YEAR(MN58)+5,MONTH(MN58),DAY(MN58))</f>
        <v>46982</v>
      </c>
      <c r="MP58" s="65">
        <f ca="1">MO58-TODAY()</f>
        <v>851</v>
      </c>
      <c r="MQ58" s="15" t="str">
        <f t="shared" ca="1" si="111"/>
        <v>VIGENTE</v>
      </c>
      <c r="MR58" s="15"/>
      <c r="MS58" s="16"/>
      <c r="MT58" s="14"/>
      <c r="MU58" s="65"/>
      <c r="MV58" s="15" t="str">
        <f t="shared" si="112"/>
        <v>NO APLICA</v>
      </c>
      <c r="MW58" s="15"/>
      <c r="MX58" s="16"/>
      <c r="MY58" s="14"/>
      <c r="MZ58" s="65"/>
      <c r="NA58" s="15" t="str">
        <f t="shared" si="113"/>
        <v>NO APLICA</v>
      </c>
      <c r="NB58" s="15"/>
      <c r="NC58" s="16"/>
      <c r="ND58" s="14"/>
      <c r="NE58" s="65"/>
      <c r="NF58" s="15" t="str">
        <f t="shared" si="114"/>
        <v>NO APLICA</v>
      </c>
      <c r="NG58" s="15"/>
      <c r="NH58" s="15"/>
      <c r="NI58" s="14"/>
      <c r="NJ58" s="65"/>
      <c r="NK58" s="15" t="str">
        <f t="shared" si="115"/>
        <v>NO APLICA</v>
      </c>
      <c r="NL58" s="15"/>
      <c r="NM58" s="15"/>
      <c r="NN58" s="15"/>
      <c r="NO58" s="15"/>
      <c r="NP58" s="15" t="str">
        <f t="shared" si="116"/>
        <v>NO APLICA</v>
      </c>
      <c r="NQ58" s="16"/>
      <c r="NR58" s="16"/>
      <c r="NS58" s="14"/>
      <c r="NT58" s="65"/>
      <c r="NU58" s="15" t="str">
        <f t="shared" si="117"/>
        <v>NO APLICA</v>
      </c>
      <c r="NV58" s="16"/>
      <c r="NW58" s="16"/>
      <c r="NX58" s="16"/>
      <c r="NY58" s="16"/>
      <c r="NZ58" s="15" t="str">
        <f t="shared" si="118"/>
        <v>NO APLICA</v>
      </c>
    </row>
    <row r="59" spans="1:390" ht="15.6" thickTop="1" thickBot="1" x14ac:dyDescent="0.35">
      <c r="A59" s="9">
        <v>1550</v>
      </c>
      <c r="B59" s="10" t="s">
        <v>285</v>
      </c>
      <c r="C59" s="21" t="s">
        <v>104</v>
      </c>
      <c r="D59" s="64" t="s">
        <v>105</v>
      </c>
      <c r="E59" s="15"/>
      <c r="F59" s="16"/>
      <c r="G59" s="14"/>
      <c r="H59" s="65"/>
      <c r="I59" s="15" t="str">
        <f t="shared" si="0"/>
        <v>NO APLICA</v>
      </c>
      <c r="J59" s="15"/>
      <c r="K59" s="16"/>
      <c r="L59" s="16"/>
      <c r="M59" s="65"/>
      <c r="N59" s="15" t="str">
        <f t="shared" si="1"/>
        <v>NO APLICA</v>
      </c>
      <c r="O59" s="14">
        <v>45207</v>
      </c>
      <c r="P59" s="14"/>
      <c r="Q59" s="14"/>
      <c r="R59" s="65"/>
      <c r="S59" s="15" t="str">
        <f t="shared" si="119"/>
        <v>NO APLICA</v>
      </c>
      <c r="T59" s="12" t="s">
        <v>286</v>
      </c>
      <c r="U59" s="13">
        <v>45544</v>
      </c>
      <c r="V59" s="14">
        <v>45545</v>
      </c>
      <c r="W59" s="14">
        <f t="shared" si="2"/>
        <v>47371</v>
      </c>
      <c r="X59" s="65">
        <f t="shared" ca="1" si="3"/>
        <v>1240</v>
      </c>
      <c r="Y59" s="15" t="str">
        <f t="shared" ca="1" si="4"/>
        <v>VIGENTE</v>
      </c>
      <c r="Z59" s="12" t="s">
        <v>287</v>
      </c>
      <c r="AA59" s="13">
        <v>45151</v>
      </c>
      <c r="AB59" s="14">
        <v>45152</v>
      </c>
      <c r="AC59" s="14">
        <f>DATE(YEAR(AB59)+5,MONTH(AB59),DAY(AB59))</f>
        <v>46979</v>
      </c>
      <c r="AD59" s="65">
        <f ca="1">AC59-TODAY()</f>
        <v>848</v>
      </c>
      <c r="AE59" s="15" t="str">
        <f t="shared" ca="1" si="7"/>
        <v>VIGENTE</v>
      </c>
      <c r="AF59" s="13">
        <v>45243</v>
      </c>
      <c r="AG59" s="14">
        <v>45902</v>
      </c>
      <c r="AH59" s="14">
        <f>DATE(YEAR(AG59)+2,MONTH(AG59),DAY(AG59))</f>
        <v>46632</v>
      </c>
      <c r="AI59" s="65">
        <f t="shared" ca="1" si="8"/>
        <v>501</v>
      </c>
      <c r="AJ59" s="15" t="str">
        <f t="shared" ca="1" si="213"/>
        <v>VIGENTE</v>
      </c>
      <c r="AK59" s="13">
        <v>45307</v>
      </c>
      <c r="AL59" s="14">
        <v>45959</v>
      </c>
      <c r="AM59" s="14">
        <f>DATE(YEAR(AL59)+2,MONTH(AL59),DAY(AL59))</f>
        <v>46689</v>
      </c>
      <c r="AN59" s="65">
        <f t="shared" ca="1" si="10"/>
        <v>558</v>
      </c>
      <c r="AO59" s="15" t="str">
        <f t="shared" ca="1" si="11"/>
        <v>VIGENTE</v>
      </c>
      <c r="AP59" s="13">
        <v>45298</v>
      </c>
      <c r="AQ59" s="14">
        <v>45967</v>
      </c>
      <c r="AR59" s="14">
        <f t="shared" ref="AR59:AR71" si="230">DATE(YEAR(AQ59)+2,MONTH(AQ59),DAY(AQ59))</f>
        <v>46697</v>
      </c>
      <c r="AS59" s="65">
        <f t="shared" ca="1" si="12"/>
        <v>566</v>
      </c>
      <c r="AT59" s="15" t="str">
        <f t="shared" ca="1" si="13"/>
        <v>VIGENTE</v>
      </c>
      <c r="AU59" s="13">
        <v>44652</v>
      </c>
      <c r="AV59" s="14">
        <v>45952</v>
      </c>
      <c r="AW59" s="14">
        <f t="shared" si="225"/>
        <v>46682</v>
      </c>
      <c r="AX59" s="65">
        <f t="shared" ca="1" si="15"/>
        <v>551</v>
      </c>
      <c r="AY59" s="15" t="str">
        <f t="shared" ca="1" si="16"/>
        <v>VIGENTE</v>
      </c>
      <c r="AZ59" s="13">
        <v>45038</v>
      </c>
      <c r="BA59" s="14">
        <v>45708</v>
      </c>
      <c r="BB59" s="14">
        <f>DATE(YEAR(BA59)+2,MONTH(BA59),DAY(BA59)-1)</f>
        <v>46437</v>
      </c>
      <c r="BC59" s="65">
        <f t="shared" ca="1" si="17"/>
        <v>306</v>
      </c>
      <c r="BD59" s="15" t="str">
        <f t="shared" ca="1" si="18"/>
        <v>VIGENTE</v>
      </c>
      <c r="BE59" s="13">
        <v>44687</v>
      </c>
      <c r="BF59" s="14">
        <v>45987</v>
      </c>
      <c r="BG59" s="14">
        <f t="shared" si="226"/>
        <v>46717</v>
      </c>
      <c r="BH59" s="65">
        <f t="shared" ca="1" si="19"/>
        <v>586</v>
      </c>
      <c r="BI59" s="15" t="str">
        <f t="shared" ca="1" si="20"/>
        <v>VIGENTE</v>
      </c>
      <c r="BJ59" s="13">
        <v>45389</v>
      </c>
      <c r="BK59" s="14">
        <v>46035</v>
      </c>
      <c r="BL59" s="14">
        <f t="shared" si="223"/>
        <v>46765</v>
      </c>
      <c r="BM59" s="65">
        <f t="shared" ca="1" si="21"/>
        <v>634</v>
      </c>
      <c r="BN59" s="15" t="str">
        <f t="shared" ca="1" si="22"/>
        <v>VIGENTE</v>
      </c>
      <c r="BO59" s="13">
        <v>44749</v>
      </c>
      <c r="BP59" s="14">
        <v>46069</v>
      </c>
      <c r="BQ59" s="14">
        <f>DATE(YEAR(BP59)+2,MONTH(BP59),DAY(BP59))</f>
        <v>46799</v>
      </c>
      <c r="BR59" s="65">
        <f t="shared" ca="1" si="23"/>
        <v>668</v>
      </c>
      <c r="BS59" s="15" t="str">
        <f t="shared" ca="1" si="24"/>
        <v>VIGENTE</v>
      </c>
      <c r="BT59" s="13">
        <v>45034</v>
      </c>
      <c r="BU59" s="14">
        <v>45695</v>
      </c>
      <c r="BV59" s="14">
        <f>DATE(YEAR(BU59)+2,MONTH(BU59),DAY(BU59)-1)</f>
        <v>46424</v>
      </c>
      <c r="BW59" s="65">
        <f t="shared" ca="1" si="25"/>
        <v>293</v>
      </c>
      <c r="BX59" s="15" t="str">
        <f t="shared" ca="1" si="26"/>
        <v>VIGENTE</v>
      </c>
      <c r="BY59" s="13">
        <v>44594</v>
      </c>
      <c r="BZ59" s="14">
        <v>45944</v>
      </c>
      <c r="CA59" s="14">
        <f>DATE(YEAR(BZ59)+2,MONTH(BZ59),DAY(BZ59))</f>
        <v>46674</v>
      </c>
      <c r="CB59" s="65">
        <f t="shared" ca="1" si="27"/>
        <v>543</v>
      </c>
      <c r="CC59" s="15" t="str">
        <f t="shared" ca="1" si="28"/>
        <v>VIGENTE</v>
      </c>
      <c r="CD59" s="16" t="s">
        <v>108</v>
      </c>
      <c r="CE59" s="14">
        <v>45532</v>
      </c>
      <c r="CF59" s="14">
        <v>45533</v>
      </c>
      <c r="CG59" s="14">
        <f t="shared" si="29"/>
        <v>46994</v>
      </c>
      <c r="CH59" s="65">
        <f t="shared" ca="1" si="30"/>
        <v>863</v>
      </c>
      <c r="CI59" s="15" t="str">
        <f t="shared" ca="1" si="31"/>
        <v>VIGENTE</v>
      </c>
      <c r="CJ59" s="14">
        <v>45006</v>
      </c>
      <c r="CK59" s="14">
        <v>45688</v>
      </c>
      <c r="CL59" s="14">
        <f>DATE(YEAR(CK59)+2,MONTH(CK59),DAY(CK59)-1)</f>
        <v>46417</v>
      </c>
      <c r="CM59" s="65">
        <f t="shared" ca="1" si="32"/>
        <v>286</v>
      </c>
      <c r="CN59" s="15" t="str">
        <f t="shared" ca="1" si="33"/>
        <v>VIGENTE</v>
      </c>
      <c r="CO59" s="12">
        <v>45132</v>
      </c>
      <c r="CP59" s="14">
        <v>45769</v>
      </c>
      <c r="CQ59" s="14">
        <f>DATE(YEAR(CP59)+2,MONTH(CP59),DAY(CP59))</f>
        <v>46499</v>
      </c>
      <c r="CR59" s="65">
        <f t="shared" ca="1" si="34"/>
        <v>368</v>
      </c>
      <c r="CS59" s="15" t="str">
        <f t="shared" ca="1" si="35"/>
        <v>VIGENTE</v>
      </c>
      <c r="CT59" s="13">
        <v>44651</v>
      </c>
      <c r="CU59" s="14">
        <v>45939</v>
      </c>
      <c r="CV59" s="14">
        <f>DATE(YEAR(CU59)+2,MONTH(CU59),DAY(CU59))</f>
        <v>46669</v>
      </c>
      <c r="CW59" s="65">
        <f t="shared" ca="1" si="36"/>
        <v>538</v>
      </c>
      <c r="CX59" s="15" t="str">
        <f t="shared" ca="1" si="37"/>
        <v>VIGENTE</v>
      </c>
      <c r="CY59" s="13">
        <v>44653</v>
      </c>
      <c r="CZ59" s="14">
        <v>45924</v>
      </c>
      <c r="DA59" s="14">
        <f>DATE(YEAR(CZ59)+2,MONTH(CZ59),DAY(CZ59))</f>
        <v>46654</v>
      </c>
      <c r="DB59" s="65">
        <f t="shared" ca="1" si="38"/>
        <v>523</v>
      </c>
      <c r="DC59" s="15" t="str">
        <f t="shared" ca="1" si="39"/>
        <v>VIGENTE</v>
      </c>
      <c r="DD59" s="13">
        <v>45027</v>
      </c>
      <c r="DE59" s="14">
        <v>45689</v>
      </c>
      <c r="DF59" s="14">
        <f t="shared" si="220"/>
        <v>46418</v>
      </c>
      <c r="DG59" s="65">
        <f t="shared" ca="1" si="40"/>
        <v>287</v>
      </c>
      <c r="DH59" s="15" t="str">
        <f t="shared" ca="1" si="41"/>
        <v>VIGENTE</v>
      </c>
      <c r="DI59" s="13">
        <v>45296</v>
      </c>
      <c r="DJ59" s="14">
        <v>45955</v>
      </c>
      <c r="DK59" s="14">
        <f>DATE(YEAR(DJ59)+2,MONTH(DJ59),DAY(DJ59))</f>
        <v>46685</v>
      </c>
      <c r="DL59" s="65">
        <f t="shared" ca="1" si="43"/>
        <v>554</v>
      </c>
      <c r="DM59" s="15" t="str">
        <f t="shared" ca="1" si="44"/>
        <v>VIGENTE</v>
      </c>
      <c r="DN59" s="13">
        <v>44650</v>
      </c>
      <c r="DO59" s="14">
        <v>46007</v>
      </c>
      <c r="DP59" s="14">
        <f>DATE(YEAR(DO59)+2,MONTH(DO59),DAY(DO59))</f>
        <v>46737</v>
      </c>
      <c r="DQ59" s="65">
        <f t="shared" ca="1" si="46"/>
        <v>606</v>
      </c>
      <c r="DR59" s="15" t="str">
        <f t="shared" ca="1" si="47"/>
        <v>VIGENTE</v>
      </c>
      <c r="DS59" s="13">
        <v>45035</v>
      </c>
      <c r="DT59" s="14">
        <v>45685</v>
      </c>
      <c r="DU59" s="14">
        <f>DATE(YEAR(DT59)+2,MONTH(DT59),DAY(DT59)-1)</f>
        <v>46414</v>
      </c>
      <c r="DV59" s="65">
        <f t="shared" ca="1" si="48"/>
        <v>283</v>
      </c>
      <c r="DW59" s="15" t="str">
        <f t="shared" ca="1" si="49"/>
        <v>VIGENTE</v>
      </c>
      <c r="DX59" s="13">
        <v>44992</v>
      </c>
      <c r="DY59" s="14">
        <v>45663</v>
      </c>
      <c r="DZ59" s="14">
        <f>DATE(YEAR(DY59)+2,MONTH(DY59),DAY(DY59)-1)</f>
        <v>46392</v>
      </c>
      <c r="EA59" s="65">
        <f t="shared" ca="1" si="50"/>
        <v>261</v>
      </c>
      <c r="EB59" s="15" t="str">
        <f t="shared" ca="1" si="51"/>
        <v>VIGENTE</v>
      </c>
      <c r="EC59" s="13">
        <v>44982</v>
      </c>
      <c r="ED59" s="14">
        <v>45602</v>
      </c>
      <c r="EE59" s="14">
        <f>DATE(YEAR(ED59)+2,MONTH(ED59),DAY(ED59)-1)</f>
        <v>46331</v>
      </c>
      <c r="EF59" s="65">
        <f t="shared" ca="1" si="52"/>
        <v>200</v>
      </c>
      <c r="EG59" s="15" t="str">
        <f t="shared" ca="1" si="53"/>
        <v>VIGENTE</v>
      </c>
      <c r="EH59" s="13">
        <v>45750</v>
      </c>
      <c r="EI59" s="13">
        <v>46083</v>
      </c>
      <c r="EJ59" s="13">
        <v>46084</v>
      </c>
      <c r="EK59" s="13">
        <v>46085</v>
      </c>
      <c r="EL59" s="14">
        <f t="shared" si="128"/>
        <v>46450</v>
      </c>
      <c r="EM59" s="65">
        <f t="shared" ca="1" si="54"/>
        <v>319</v>
      </c>
      <c r="EN59" s="15" t="str">
        <f t="shared" ca="1" si="55"/>
        <v>VIGENTE</v>
      </c>
      <c r="EO59" s="13">
        <v>44981</v>
      </c>
      <c r="EP59" s="13">
        <v>45596</v>
      </c>
      <c r="EQ59" s="14">
        <f t="shared" si="224"/>
        <v>46325</v>
      </c>
      <c r="ER59" s="65">
        <f t="shared" ca="1" si="56"/>
        <v>194</v>
      </c>
      <c r="ES59" s="15" t="str">
        <f t="shared" ca="1" si="57"/>
        <v>VIGENTE</v>
      </c>
      <c r="ET59" s="13">
        <v>45043</v>
      </c>
      <c r="EU59" s="14">
        <v>45677</v>
      </c>
      <c r="EV59" s="14">
        <f>DATE(YEAR(EU59)+2,MONTH(EU59),DAY(EU59)-1)</f>
        <v>46406</v>
      </c>
      <c r="EW59" s="65">
        <f t="shared" ca="1" si="58"/>
        <v>275</v>
      </c>
      <c r="EX59" s="15" t="str">
        <f t="shared" ca="1" si="59"/>
        <v>VIGENTE</v>
      </c>
      <c r="EY59" s="13">
        <v>44595</v>
      </c>
      <c r="EZ59" s="14">
        <v>45953</v>
      </c>
      <c r="FA59" s="14">
        <f t="shared" si="227"/>
        <v>46683</v>
      </c>
      <c r="FB59" s="65">
        <f t="shared" ca="1" si="60"/>
        <v>552</v>
      </c>
      <c r="FC59" s="15" t="str">
        <f t="shared" ca="1" si="61"/>
        <v>VIGENTE</v>
      </c>
      <c r="FD59" s="13">
        <v>45280</v>
      </c>
      <c r="FE59" s="14">
        <v>45951</v>
      </c>
      <c r="FF59" s="14">
        <f t="shared" si="228"/>
        <v>46681</v>
      </c>
      <c r="FG59" s="65">
        <f t="shared" ca="1" si="62"/>
        <v>550</v>
      </c>
      <c r="FH59" s="15" t="str">
        <f t="shared" ca="1" si="63"/>
        <v>VIGENTE</v>
      </c>
      <c r="FI59" s="13">
        <v>45248</v>
      </c>
      <c r="FJ59" s="14">
        <v>45919</v>
      </c>
      <c r="FK59" s="14">
        <f t="shared" si="229"/>
        <v>46649</v>
      </c>
      <c r="FL59" s="65">
        <f t="shared" ca="1" si="64"/>
        <v>518</v>
      </c>
      <c r="FM59" s="15" t="str">
        <f t="shared" ca="1" si="65"/>
        <v>VIGENTE</v>
      </c>
      <c r="FN59" s="13">
        <v>45055</v>
      </c>
      <c r="FO59" s="14">
        <v>45670</v>
      </c>
      <c r="FP59" s="14">
        <f>DATE(YEAR(FO59)+2,MONTH(FO59),DAY(FO59)-1)</f>
        <v>46399</v>
      </c>
      <c r="FQ59" s="65">
        <f t="shared" ca="1" si="67"/>
        <v>268</v>
      </c>
      <c r="FR59" s="15" t="str">
        <f t="shared" ca="1" si="68"/>
        <v>VIGENTE</v>
      </c>
      <c r="FS59" s="13">
        <v>44954</v>
      </c>
      <c r="FT59" s="14">
        <v>45586</v>
      </c>
      <c r="FU59" s="14">
        <f>DATE(YEAR(FT59)+2,MONTH(FT59),DAY(FT59)-1)</f>
        <v>46315</v>
      </c>
      <c r="FV59" s="65">
        <f t="shared" ca="1" si="69"/>
        <v>184</v>
      </c>
      <c r="FW59" s="15" t="str">
        <f t="shared" ca="1" si="70"/>
        <v>VIGENTE</v>
      </c>
      <c r="FX59" s="13">
        <v>44596</v>
      </c>
      <c r="FY59" s="14">
        <v>45941</v>
      </c>
      <c r="FZ59" s="14">
        <f>DATE(YEAR(FY59)+2,MONTH(FY59),DAY(FY59))</f>
        <v>46671</v>
      </c>
      <c r="GA59" s="65">
        <f t="shared" ca="1" si="71"/>
        <v>540</v>
      </c>
      <c r="GB59" s="15" t="str">
        <f t="shared" ca="1" si="72"/>
        <v>VIGENTE</v>
      </c>
      <c r="GC59" s="13">
        <v>45036</v>
      </c>
      <c r="GD59" s="14">
        <v>45667</v>
      </c>
      <c r="GE59" s="14">
        <f>DATE(YEAR(GD59)+2,MONTH(GD59),DAY(GD59)-1)</f>
        <v>46396</v>
      </c>
      <c r="GF59" s="65">
        <f t="shared" ca="1" si="73"/>
        <v>265</v>
      </c>
      <c r="GG59" s="15" t="str">
        <f t="shared" ca="1" si="74"/>
        <v>VIGENTE</v>
      </c>
      <c r="GH59" s="13">
        <v>44937</v>
      </c>
      <c r="GI59" s="14">
        <v>45579</v>
      </c>
      <c r="GJ59" s="14">
        <f>DATE(YEAR(GI59)+2,MONTH(GI59),DAY(GI59)-1)</f>
        <v>46308</v>
      </c>
      <c r="GK59" s="65">
        <f t="shared" ca="1" si="75"/>
        <v>177</v>
      </c>
      <c r="GL59" s="15" t="str">
        <f t="shared" ca="1" si="76"/>
        <v>VIGENTE</v>
      </c>
      <c r="GM59" s="13">
        <v>44568</v>
      </c>
      <c r="GN59" s="14">
        <v>45945</v>
      </c>
      <c r="GO59" s="14">
        <f>DATE(YEAR(GN59)+2,MONTH(GN59),DAY(GN59))</f>
        <v>46675</v>
      </c>
      <c r="GP59" s="65">
        <f t="shared" ca="1" si="77"/>
        <v>544</v>
      </c>
      <c r="GQ59" s="15" t="str">
        <f t="shared" ca="1" si="78"/>
        <v>VIGENTE</v>
      </c>
      <c r="GR59" s="14"/>
      <c r="GS59" s="14">
        <v>44952</v>
      </c>
      <c r="GT59" s="14">
        <f t="shared" si="79"/>
        <v>46778</v>
      </c>
      <c r="GU59" s="65">
        <f t="shared" ca="1" si="172"/>
        <v>647</v>
      </c>
      <c r="GV59" s="15" t="str">
        <f t="shared" ca="1" si="81"/>
        <v>VIGENTE</v>
      </c>
      <c r="GW59" s="13"/>
      <c r="GX59" s="14">
        <v>45067</v>
      </c>
      <c r="GY59" s="14">
        <f t="shared" si="82"/>
        <v>46894</v>
      </c>
      <c r="GZ59" s="65">
        <f t="shared" ca="1" si="83"/>
        <v>763</v>
      </c>
      <c r="HA59" s="15" t="str">
        <f t="shared" ca="1" si="84"/>
        <v>VIGENTE</v>
      </c>
      <c r="HB59" s="13">
        <v>44566</v>
      </c>
      <c r="HC59" s="14">
        <v>45294</v>
      </c>
      <c r="HD59" s="14">
        <f t="shared" si="85"/>
        <v>47121</v>
      </c>
      <c r="HE59" s="65">
        <f t="shared" ca="1" si="86"/>
        <v>990</v>
      </c>
      <c r="HF59" s="15" t="str">
        <f t="shared" ca="1" si="87"/>
        <v>VIGENTE</v>
      </c>
      <c r="HG59" s="16"/>
      <c r="HH59" s="14">
        <v>45094</v>
      </c>
      <c r="HI59" s="14">
        <f>DATE(YEAR(HH59)+5,MONTH(HH59),DAY(HH59))</f>
        <v>46921</v>
      </c>
      <c r="HJ59" s="65">
        <f ca="1">HI59-TODAY()</f>
        <v>790</v>
      </c>
      <c r="HK59" s="15" t="str">
        <f t="shared" ca="1" si="217"/>
        <v>VIGENTE</v>
      </c>
      <c r="HL59" s="13">
        <v>44630</v>
      </c>
      <c r="HM59" s="14">
        <v>45414</v>
      </c>
      <c r="HN59" s="14">
        <f>DATE(YEAR(HM59)+5,MONTH(HM59),DAY(HM59))</f>
        <v>47240</v>
      </c>
      <c r="HO59" s="65">
        <f ca="1">HN59-TODAY()</f>
        <v>1109</v>
      </c>
      <c r="HP59" s="15" t="str">
        <f t="shared" ca="1" si="221"/>
        <v>VIGENTE</v>
      </c>
      <c r="HQ59" s="12"/>
      <c r="HR59" s="12"/>
      <c r="HS59" s="14"/>
      <c r="HT59" s="12"/>
      <c r="HU59" s="15" t="str">
        <f t="shared" si="92"/>
        <v>NO APLICA</v>
      </c>
      <c r="HV59" s="12"/>
      <c r="HW59" s="16"/>
      <c r="HX59" s="14"/>
      <c r="HY59" s="65"/>
      <c r="HZ59" s="15" t="str">
        <f t="shared" si="93"/>
        <v>NO APLICA</v>
      </c>
      <c r="IA59" s="12"/>
      <c r="IB59" s="16"/>
      <c r="IC59" s="14"/>
      <c r="ID59" s="65"/>
      <c r="IE59" s="15" t="str">
        <f t="shared" si="94"/>
        <v>NO APLICA</v>
      </c>
      <c r="IF59" s="12"/>
      <c r="IG59" s="16"/>
      <c r="IH59" s="14"/>
      <c r="II59" s="65"/>
      <c r="IJ59" s="15" t="str">
        <f t="shared" si="95"/>
        <v>NO APLICA</v>
      </c>
      <c r="IK59" s="16"/>
      <c r="IL59" s="16"/>
      <c r="IM59" s="14"/>
      <c r="IN59" s="65"/>
      <c r="IO59" s="15" t="str">
        <f t="shared" si="96"/>
        <v>NO APLICA</v>
      </c>
      <c r="IP59" s="12"/>
      <c r="IQ59" s="16"/>
      <c r="IR59" s="14"/>
      <c r="IS59" s="65"/>
      <c r="IT59" s="15" t="str">
        <f t="shared" si="97"/>
        <v>NO APLICA</v>
      </c>
      <c r="IU59" s="12"/>
      <c r="IV59" s="16"/>
      <c r="IW59" s="14"/>
      <c r="IX59" s="65"/>
      <c r="IY59" s="15" t="str">
        <f t="shared" si="98"/>
        <v>NO APLICA</v>
      </c>
      <c r="IZ59" s="12"/>
      <c r="JA59" s="16"/>
      <c r="JB59" s="14"/>
      <c r="JC59" s="65"/>
      <c r="JD59" s="15" t="str">
        <f t="shared" si="99"/>
        <v>NO APLICA</v>
      </c>
      <c r="JE59" s="13"/>
      <c r="JF59" s="13"/>
      <c r="JG59" s="14"/>
      <c r="JH59" s="65"/>
      <c r="JI59" s="15" t="str">
        <f t="shared" si="100"/>
        <v>NO APLICA</v>
      </c>
      <c r="JJ59" s="16"/>
      <c r="JK59" s="16"/>
      <c r="JL59" s="16"/>
      <c r="JM59" s="15" t="str">
        <f t="shared" si="101"/>
        <v>NO APLICA</v>
      </c>
      <c r="JN59" s="16"/>
      <c r="JO59" s="16"/>
      <c r="JP59" s="16"/>
      <c r="JQ59" s="15" t="str">
        <f t="shared" si="102"/>
        <v>NO APLICA</v>
      </c>
      <c r="JR59" s="16"/>
      <c r="JS59" s="16"/>
      <c r="JT59" s="16"/>
      <c r="JU59" s="16"/>
      <c r="JV59" s="15" t="str">
        <f t="shared" si="103"/>
        <v>NO APLICA</v>
      </c>
      <c r="JW59" s="15"/>
      <c r="JX59" s="15"/>
      <c r="JY59" s="15"/>
      <c r="JZ59" s="15"/>
      <c r="KA59" s="15" t="str">
        <f t="shared" si="104"/>
        <v>NO APLICA</v>
      </c>
      <c r="KB59" s="12"/>
      <c r="KC59" s="14"/>
      <c r="KD59" s="65"/>
      <c r="KE59" s="15" t="str">
        <f t="shared" si="105"/>
        <v>NO APLICA</v>
      </c>
      <c r="KF59" s="13">
        <v>45328</v>
      </c>
      <c r="KG59" s="14">
        <f>DATE(YEAR(KF59)+5,MONTH(KF59),DAY(KF59)-1)</f>
        <v>47154</v>
      </c>
      <c r="KH59" s="65">
        <f ca="1">KG59-TODAY()</f>
        <v>1023</v>
      </c>
      <c r="KI59" s="15" t="str">
        <f t="shared" ca="1" si="132"/>
        <v>VIGENTE</v>
      </c>
      <c r="KJ59" s="13">
        <v>45364</v>
      </c>
      <c r="KK59" s="14">
        <f>DATE(YEAR(KJ59)+5,MONTH(KJ59),DAY(KJ59))</f>
        <v>47190</v>
      </c>
      <c r="KL59" s="65">
        <f ca="1">KK59-TODAY()</f>
        <v>1059</v>
      </c>
      <c r="KM59" s="15" t="str">
        <f t="shared" ca="1" si="106"/>
        <v>VIGENTE</v>
      </c>
      <c r="KN59" s="12"/>
      <c r="KO59" s="14"/>
      <c r="KP59" s="65"/>
      <c r="KQ59" s="15" t="str">
        <f t="shared" si="133"/>
        <v>NO APLICA</v>
      </c>
      <c r="KR59" s="13">
        <v>44648</v>
      </c>
      <c r="KS59" s="14">
        <v>44649</v>
      </c>
      <c r="KT59" s="14">
        <f>DATE(YEAR(KS59)+5,MONTH(KS59),DAY(KS59))</f>
        <v>46475</v>
      </c>
      <c r="KU59" s="65">
        <f ca="1">KT59-TODAY()</f>
        <v>344</v>
      </c>
      <c r="KV59" s="15" t="str">
        <f t="shared" ca="1" si="147"/>
        <v>VIGENTE</v>
      </c>
      <c r="KW59" s="14">
        <v>44607</v>
      </c>
      <c r="KX59" s="14">
        <f>DATE(YEAR(KW59)+5,MONTH(KW59),DAY(KW59))</f>
        <v>46433</v>
      </c>
      <c r="KY59" s="65">
        <f ca="1">KX59-TODAY()</f>
        <v>302</v>
      </c>
      <c r="KZ59" s="15" t="str">
        <f t="shared" ca="1" si="134"/>
        <v>VIGENTE</v>
      </c>
      <c r="LA59" s="16"/>
      <c r="LB59" s="16"/>
      <c r="LC59" s="14"/>
      <c r="LD59" s="65"/>
      <c r="LE59" s="15" t="str">
        <f t="shared" si="107"/>
        <v>NO APLICA</v>
      </c>
      <c r="LF59" s="15"/>
      <c r="LG59" s="66">
        <v>44086</v>
      </c>
      <c r="LH59" s="14">
        <f>DATE(YEAR(LG59)+5,MONTH(LG59),DAY(LG59))</f>
        <v>45912</v>
      </c>
      <c r="LI59" s="65">
        <f ca="1">LH59-TODAY()</f>
        <v>-219</v>
      </c>
      <c r="LJ59" s="15" t="str">
        <f t="shared" ca="1" si="148"/>
        <v>VENCIDA</v>
      </c>
      <c r="LK59" s="12"/>
      <c r="LL59" s="16"/>
      <c r="LM59" s="14"/>
      <c r="LN59" s="65"/>
      <c r="LO59" s="15" t="str">
        <f t="shared" si="135"/>
        <v>NO APLICA</v>
      </c>
      <c r="LP59" s="16"/>
      <c r="LQ59" s="16"/>
      <c r="LR59" s="14"/>
      <c r="LS59" s="65"/>
      <c r="LT59" s="15" t="str">
        <f t="shared" si="136"/>
        <v>NO APLICA</v>
      </c>
      <c r="LU59" s="16"/>
      <c r="LV59" s="16"/>
      <c r="LW59" s="14"/>
      <c r="LX59" s="65"/>
      <c r="LY59" s="15" t="str">
        <f t="shared" si="137"/>
        <v>NO APLICA</v>
      </c>
      <c r="LZ59" s="14">
        <v>44998</v>
      </c>
      <c r="MA59" s="14">
        <v>45010</v>
      </c>
      <c r="MB59" s="14">
        <f>DATE(YEAR(MA59)+5,MONTH(MA59),DAY(MA59))</f>
        <v>46837</v>
      </c>
      <c r="MC59" s="65">
        <f ca="1">MB59-TODAY()</f>
        <v>706</v>
      </c>
      <c r="MD59" s="15" t="str">
        <f t="shared" ca="1" si="108"/>
        <v>VIGENTE</v>
      </c>
      <c r="ME59" s="12"/>
      <c r="MF59" s="12"/>
      <c r="MG59" s="14"/>
      <c r="MH59" s="65"/>
      <c r="MI59" s="15" t="str">
        <f t="shared" si="109"/>
        <v>NO APLICA</v>
      </c>
      <c r="MJ59" s="12"/>
      <c r="MK59" s="14"/>
      <c r="ML59" s="65"/>
      <c r="MM59" s="15" t="str">
        <f t="shared" si="110"/>
        <v>NO APLICA</v>
      </c>
      <c r="MN59" s="12"/>
      <c r="MO59" s="14"/>
      <c r="MP59" s="12"/>
      <c r="MQ59" s="15" t="str">
        <f t="shared" si="111"/>
        <v>NO APLICA</v>
      </c>
      <c r="MR59" s="12"/>
      <c r="MS59" s="16"/>
      <c r="MT59" s="14"/>
      <c r="MU59" s="65"/>
      <c r="MV59" s="15" t="str">
        <f t="shared" si="112"/>
        <v>NO APLICA</v>
      </c>
      <c r="MW59" s="12"/>
      <c r="MX59" s="16"/>
      <c r="MY59" s="14"/>
      <c r="MZ59" s="65"/>
      <c r="NA59" s="15" t="str">
        <f t="shared" si="113"/>
        <v>NO APLICA</v>
      </c>
      <c r="NB59" s="12"/>
      <c r="NC59" s="14">
        <v>44751</v>
      </c>
      <c r="ND59" s="14">
        <f>DATE(YEAR(NC59)+5,MONTH(NC59),DAY(NC59))</f>
        <v>46577</v>
      </c>
      <c r="NE59" s="65">
        <f ca="1">ND59-TODAY()</f>
        <v>446</v>
      </c>
      <c r="NF59" s="15" t="str">
        <f t="shared" ca="1" si="114"/>
        <v>VIGENTE</v>
      </c>
      <c r="NG59" s="13">
        <v>45001</v>
      </c>
      <c r="NH59" s="14">
        <v>45001</v>
      </c>
      <c r="NI59" s="14">
        <f>DATE(YEAR(NH59)+5,MONTH(NH59),DAY(NH59))</f>
        <v>46828</v>
      </c>
      <c r="NJ59" s="65">
        <f ca="1">NI59-TODAY()</f>
        <v>697</v>
      </c>
      <c r="NK59" s="15" t="str">
        <f t="shared" ca="1" si="115"/>
        <v>VIGENTE</v>
      </c>
      <c r="NL59" s="12"/>
      <c r="NM59" s="12"/>
      <c r="NN59" s="14"/>
      <c r="NO59" s="12"/>
      <c r="NP59" s="15" t="str">
        <f t="shared" si="116"/>
        <v>NO APLICA</v>
      </c>
      <c r="NQ59" s="16"/>
      <c r="NR59" s="16"/>
      <c r="NS59" s="14"/>
      <c r="NT59" s="65"/>
      <c r="NU59" s="15" t="str">
        <f t="shared" si="117"/>
        <v>NO APLICA</v>
      </c>
      <c r="NV59" s="16"/>
      <c r="NW59" s="16"/>
      <c r="NX59" s="16"/>
      <c r="NY59" s="16"/>
      <c r="NZ59" s="15" t="str">
        <f t="shared" si="118"/>
        <v>NO APLICA</v>
      </c>
    </row>
    <row r="60" spans="1:390" ht="15.6" thickTop="1" thickBot="1" x14ac:dyDescent="0.35">
      <c r="A60" s="9">
        <v>1366</v>
      </c>
      <c r="B60" s="10" t="s">
        <v>288</v>
      </c>
      <c r="C60" s="21" t="s">
        <v>151</v>
      </c>
      <c r="D60" s="64" t="s">
        <v>188</v>
      </c>
      <c r="E60" s="13">
        <v>46059</v>
      </c>
      <c r="F60" s="14">
        <v>46060</v>
      </c>
      <c r="G60" s="14">
        <f>DATE(YEAR(F60)+2,MONTH(F60),DAY(F60))</f>
        <v>46790</v>
      </c>
      <c r="H60" s="65">
        <f ca="1">G60-TODAY()</f>
        <v>659</v>
      </c>
      <c r="I60" s="15" t="str">
        <f t="shared" ca="1" si="0"/>
        <v>VIGENTE</v>
      </c>
      <c r="J60" s="12"/>
      <c r="K60" s="16"/>
      <c r="L60" s="16"/>
      <c r="M60" s="65"/>
      <c r="N60" s="15" t="str">
        <f t="shared" si="1"/>
        <v>NO APLICA</v>
      </c>
      <c r="O60" s="16"/>
      <c r="P60" s="16"/>
      <c r="Q60" s="14"/>
      <c r="R60" s="65"/>
      <c r="S60" s="15" t="str">
        <f t="shared" si="119"/>
        <v>NO APLICA</v>
      </c>
      <c r="T60" s="12" t="s">
        <v>289</v>
      </c>
      <c r="U60" s="13">
        <v>45734</v>
      </c>
      <c r="V60" s="14">
        <v>45735</v>
      </c>
      <c r="W60" s="14">
        <f t="shared" si="2"/>
        <v>47561</v>
      </c>
      <c r="X60" s="65">
        <f t="shared" ca="1" si="3"/>
        <v>1430</v>
      </c>
      <c r="Y60" s="15" t="str">
        <f t="shared" ca="1" si="4"/>
        <v>VIGENTE</v>
      </c>
      <c r="Z60" s="12"/>
      <c r="AA60" s="12"/>
      <c r="AB60" s="16"/>
      <c r="AC60" s="14"/>
      <c r="AD60" s="65"/>
      <c r="AE60" s="15" t="str">
        <f t="shared" si="7"/>
        <v>NO APLICA</v>
      </c>
      <c r="AF60" s="13">
        <v>44593</v>
      </c>
      <c r="AG60" s="14">
        <v>45936</v>
      </c>
      <c r="AH60" s="14">
        <f>DATE(YEAR(AG60)+2,MONTH(AG60),DAY(AG60))</f>
        <v>46666</v>
      </c>
      <c r="AI60" s="65">
        <f t="shared" ca="1" si="8"/>
        <v>535</v>
      </c>
      <c r="AJ60" s="15" t="str">
        <f t="shared" ca="1" si="213"/>
        <v>VIGENTE</v>
      </c>
      <c r="AK60" s="13">
        <v>45189</v>
      </c>
      <c r="AL60" s="14">
        <v>45838</v>
      </c>
      <c r="AM60" s="14">
        <f>DATE(YEAR(AL60)+2,MONTH(AL60),DAY(AL60))</f>
        <v>46568</v>
      </c>
      <c r="AN60" s="65">
        <f t="shared" ca="1" si="10"/>
        <v>437</v>
      </c>
      <c r="AO60" s="15" t="str">
        <f t="shared" ca="1" si="11"/>
        <v>VIGENTE</v>
      </c>
      <c r="AP60" s="13">
        <v>44694</v>
      </c>
      <c r="AQ60" s="14">
        <v>45904</v>
      </c>
      <c r="AR60" s="14">
        <f t="shared" si="230"/>
        <v>46634</v>
      </c>
      <c r="AS60" s="65">
        <f t="shared" ca="1" si="12"/>
        <v>503</v>
      </c>
      <c r="AT60" s="15" t="str">
        <f t="shared" ca="1" si="13"/>
        <v>VIGENTE</v>
      </c>
      <c r="AU60" s="13">
        <v>44694</v>
      </c>
      <c r="AV60" s="14">
        <v>45927</v>
      </c>
      <c r="AW60" s="14">
        <f t="shared" si="225"/>
        <v>46657</v>
      </c>
      <c r="AX60" s="65">
        <f t="shared" ca="1" si="15"/>
        <v>526</v>
      </c>
      <c r="AY60" s="15" t="str">
        <f t="shared" ca="1" si="16"/>
        <v>VIGENTE</v>
      </c>
      <c r="AZ60" s="13">
        <v>45375</v>
      </c>
      <c r="BA60" s="14">
        <v>46041</v>
      </c>
      <c r="BB60" s="14">
        <f>DATE(YEAR(BA60)+2,MONTH(BA60),DAY(BA60))</f>
        <v>46771</v>
      </c>
      <c r="BC60" s="65">
        <f t="shared" ca="1" si="17"/>
        <v>640</v>
      </c>
      <c r="BD60" s="15" t="str">
        <f t="shared" ca="1" si="18"/>
        <v>VIGENTE</v>
      </c>
      <c r="BE60" s="13">
        <v>44714</v>
      </c>
      <c r="BF60" s="14">
        <v>46067</v>
      </c>
      <c r="BG60" s="14">
        <f t="shared" si="226"/>
        <v>46797</v>
      </c>
      <c r="BH60" s="65">
        <f t="shared" ca="1" si="19"/>
        <v>666</v>
      </c>
      <c r="BI60" s="15" t="str">
        <f t="shared" ca="1" si="20"/>
        <v>VIGENTE</v>
      </c>
      <c r="BJ60" s="13">
        <v>44974</v>
      </c>
      <c r="BK60" s="14">
        <v>45570</v>
      </c>
      <c r="BL60" s="14">
        <f>DATE(YEAR(BK60)+2,MONTH(BK60),DAY(BK60)-1)</f>
        <v>46299</v>
      </c>
      <c r="BM60" s="65">
        <f t="shared" ca="1" si="21"/>
        <v>168</v>
      </c>
      <c r="BN60" s="15" t="str">
        <f t="shared" ca="1" si="22"/>
        <v>VIGENTE</v>
      </c>
      <c r="BO60" s="13">
        <v>45117</v>
      </c>
      <c r="BP60" s="14">
        <v>45772</v>
      </c>
      <c r="BQ60" s="14">
        <f>DATE(YEAR(BP60)+2,MONTH(BP60),DAY(BP60))</f>
        <v>46502</v>
      </c>
      <c r="BR60" s="65">
        <f t="shared" ca="1" si="23"/>
        <v>371</v>
      </c>
      <c r="BS60" s="15" t="str">
        <f t="shared" ca="1" si="24"/>
        <v>VIGENTE</v>
      </c>
      <c r="BT60" s="13">
        <v>45283</v>
      </c>
      <c r="BU60" s="14">
        <v>45950</v>
      </c>
      <c r="BV60" s="14">
        <f>DATE(YEAR(BU60)+2,MONTH(BU60),DAY(BU60))</f>
        <v>46680</v>
      </c>
      <c r="BW60" s="65">
        <f t="shared" ca="1" si="25"/>
        <v>549</v>
      </c>
      <c r="BX60" s="15" t="str">
        <f t="shared" ca="1" si="26"/>
        <v>VIGENTE</v>
      </c>
      <c r="BY60" s="13">
        <v>44594</v>
      </c>
      <c r="BZ60" s="14">
        <v>45944</v>
      </c>
      <c r="CA60" s="14">
        <f>DATE(YEAR(BZ60)+2,MONTH(BZ60),DAY(BZ60))</f>
        <v>46674</v>
      </c>
      <c r="CB60" s="65">
        <f t="shared" ca="1" si="27"/>
        <v>543</v>
      </c>
      <c r="CC60" s="15" t="str">
        <f t="shared" ca="1" si="28"/>
        <v>VIGENTE</v>
      </c>
      <c r="CD60" s="16" t="s">
        <v>108</v>
      </c>
      <c r="CE60" s="14">
        <v>45528</v>
      </c>
      <c r="CF60" s="14">
        <v>45529</v>
      </c>
      <c r="CG60" s="14">
        <f t="shared" si="29"/>
        <v>46990</v>
      </c>
      <c r="CH60" s="65">
        <f t="shared" ca="1" si="30"/>
        <v>859</v>
      </c>
      <c r="CI60" s="15" t="str">
        <f t="shared" ca="1" si="31"/>
        <v>VIGENTE</v>
      </c>
      <c r="CJ60" s="14">
        <v>44992</v>
      </c>
      <c r="CK60" s="14">
        <v>45688</v>
      </c>
      <c r="CL60" s="14">
        <f>DATE(YEAR(CK60)+2,MONTH(CK60),DAY(CK60)-1)</f>
        <v>46417</v>
      </c>
      <c r="CM60" s="65">
        <f t="shared" ca="1" si="32"/>
        <v>286</v>
      </c>
      <c r="CN60" s="15" t="str">
        <f t="shared" ca="1" si="33"/>
        <v>VIGENTE</v>
      </c>
      <c r="CO60" s="13">
        <v>45011</v>
      </c>
      <c r="CP60" s="14">
        <v>45684</v>
      </c>
      <c r="CQ60" s="14">
        <f>DATE(YEAR(CP60)+2,MONTH(CP60),DAY(CP60)-1)</f>
        <v>46413</v>
      </c>
      <c r="CR60" s="65">
        <f t="shared" ca="1" si="34"/>
        <v>282</v>
      </c>
      <c r="CS60" s="15" t="str">
        <f t="shared" ca="1" si="35"/>
        <v>VIGENTE</v>
      </c>
      <c r="CT60" s="13">
        <v>45419</v>
      </c>
      <c r="CU60" s="14">
        <v>46069</v>
      </c>
      <c r="CV60" s="14">
        <f>DATE(YEAR(CU60)+2,MONTH(CU60),DAY(CU60))</f>
        <v>46799</v>
      </c>
      <c r="CW60" s="65">
        <f t="shared" ca="1" si="36"/>
        <v>668</v>
      </c>
      <c r="CX60" s="15" t="str">
        <f t="shared" ca="1" si="37"/>
        <v>VIGENTE</v>
      </c>
      <c r="CY60" s="13">
        <v>44695</v>
      </c>
      <c r="CZ60" s="14">
        <v>46028</v>
      </c>
      <c r="DA60" s="14">
        <f>DATE(YEAR(CZ60)+2,MONTH(CZ60),DAY(CZ60))</f>
        <v>46758</v>
      </c>
      <c r="DB60" s="65">
        <f t="shared" ca="1" si="38"/>
        <v>627</v>
      </c>
      <c r="DC60" s="15" t="str">
        <f t="shared" ca="1" si="39"/>
        <v>VIGENTE</v>
      </c>
      <c r="DD60" s="13">
        <v>44968</v>
      </c>
      <c r="DE60" s="14">
        <v>45607</v>
      </c>
      <c r="DF60" s="14">
        <f t="shared" si="220"/>
        <v>46336</v>
      </c>
      <c r="DG60" s="65">
        <f t="shared" ca="1" si="40"/>
        <v>205</v>
      </c>
      <c r="DH60" s="15" t="str">
        <f t="shared" ca="1" si="41"/>
        <v>VIGENTE</v>
      </c>
      <c r="DI60" s="13">
        <v>45198</v>
      </c>
      <c r="DJ60" s="14">
        <v>45834</v>
      </c>
      <c r="DK60" s="14">
        <f>DATE(YEAR(DJ60)+2,MONTH(DJ60),DAY(DJ60))</f>
        <v>46564</v>
      </c>
      <c r="DL60" s="65">
        <f t="shared" ca="1" si="43"/>
        <v>433</v>
      </c>
      <c r="DM60" s="15" t="str">
        <f t="shared" ca="1" si="44"/>
        <v>VIGENTE</v>
      </c>
      <c r="DN60" s="13">
        <v>44691</v>
      </c>
      <c r="DO60" s="14">
        <v>45982</v>
      </c>
      <c r="DP60" s="14">
        <f>DATE(YEAR(DO60)+2,MONTH(DO60),DAY(DO60))</f>
        <v>46712</v>
      </c>
      <c r="DQ60" s="65">
        <f t="shared" ca="1" si="46"/>
        <v>581</v>
      </c>
      <c r="DR60" s="15" t="str">
        <f t="shared" ca="1" si="47"/>
        <v>VIGENTE</v>
      </c>
      <c r="DS60" s="13">
        <v>44714</v>
      </c>
      <c r="DT60" s="14">
        <v>46072</v>
      </c>
      <c r="DU60" s="14">
        <f>DATE(YEAR(DT60)+2,MONTH(DT60),DAY(DT60))</f>
        <v>46802</v>
      </c>
      <c r="DV60" s="65">
        <f t="shared" ca="1" si="48"/>
        <v>671</v>
      </c>
      <c r="DW60" s="15" t="str">
        <f t="shared" ca="1" si="49"/>
        <v>VIGENTE</v>
      </c>
      <c r="DX60" s="13">
        <v>44931</v>
      </c>
      <c r="DY60" s="14">
        <v>45612</v>
      </c>
      <c r="DZ60" s="14">
        <f>DATE(YEAR(DY60)+2,MONTH(DY60),DAY(DY60)-1)</f>
        <v>46341</v>
      </c>
      <c r="EA60" s="65">
        <f t="shared" ca="1" si="50"/>
        <v>210</v>
      </c>
      <c r="EB60" s="15" t="str">
        <f t="shared" ca="1" si="51"/>
        <v>VIGENTE</v>
      </c>
      <c r="EC60" s="13">
        <v>44940</v>
      </c>
      <c r="ED60" s="14">
        <v>45730</v>
      </c>
      <c r="EE60" s="14">
        <f>DATE(YEAR(ED60)+2,MONTH(ED60),DAY(ED60)-1)</f>
        <v>46459</v>
      </c>
      <c r="EF60" s="65">
        <f t="shared" ca="1" si="52"/>
        <v>328</v>
      </c>
      <c r="EG60" s="15" t="str">
        <f t="shared" ca="1" si="53"/>
        <v>VIGENTE</v>
      </c>
      <c r="EH60" s="13">
        <v>44928</v>
      </c>
      <c r="EI60" s="13">
        <v>46083</v>
      </c>
      <c r="EJ60" s="13">
        <v>46084</v>
      </c>
      <c r="EK60" s="13">
        <v>46085</v>
      </c>
      <c r="EL60" s="14">
        <f t="shared" si="128"/>
        <v>46450</v>
      </c>
      <c r="EM60" s="65">
        <f t="shared" ca="1" si="54"/>
        <v>319</v>
      </c>
      <c r="EN60" s="15" t="str">
        <f t="shared" ca="1" si="55"/>
        <v>VIGENTE</v>
      </c>
      <c r="EO60" s="13">
        <v>44918</v>
      </c>
      <c r="EP60" s="13">
        <v>45596</v>
      </c>
      <c r="EQ60" s="14">
        <f t="shared" si="224"/>
        <v>46325</v>
      </c>
      <c r="ER60" s="65">
        <f t="shared" ca="1" si="56"/>
        <v>194</v>
      </c>
      <c r="ES60" s="15" t="str">
        <f t="shared" ca="1" si="57"/>
        <v>VIGENTE</v>
      </c>
      <c r="ET60" s="13">
        <v>44713</v>
      </c>
      <c r="EU60" s="14">
        <v>45999</v>
      </c>
      <c r="EV60" s="14">
        <f>DATE(YEAR(EU60)+2,MONTH(EU60),DAY(EU60))</f>
        <v>46729</v>
      </c>
      <c r="EW60" s="65">
        <f t="shared" ca="1" si="58"/>
        <v>598</v>
      </c>
      <c r="EX60" s="15" t="str">
        <f t="shared" ca="1" si="59"/>
        <v>VIGENTE</v>
      </c>
      <c r="EY60" s="13">
        <v>45294</v>
      </c>
      <c r="EZ60" s="14">
        <v>45917</v>
      </c>
      <c r="FA60" s="14">
        <f t="shared" si="227"/>
        <v>46647</v>
      </c>
      <c r="FB60" s="65">
        <f t="shared" ca="1" si="60"/>
        <v>516</v>
      </c>
      <c r="FC60" s="15" t="str">
        <f t="shared" ca="1" si="61"/>
        <v>VIGENTE</v>
      </c>
      <c r="FD60" s="13">
        <v>44595</v>
      </c>
      <c r="FE60" s="14">
        <v>45931</v>
      </c>
      <c r="FF60" s="14">
        <f t="shared" si="228"/>
        <v>46661</v>
      </c>
      <c r="FG60" s="65">
        <f t="shared" ca="1" si="62"/>
        <v>530</v>
      </c>
      <c r="FH60" s="15" t="str">
        <f t="shared" ca="1" si="63"/>
        <v>VIGENTE</v>
      </c>
      <c r="FI60" s="13">
        <v>44596</v>
      </c>
      <c r="FJ60" s="14">
        <v>45932</v>
      </c>
      <c r="FK60" s="14">
        <f t="shared" si="229"/>
        <v>46662</v>
      </c>
      <c r="FL60" s="65">
        <f t="shared" ca="1" si="64"/>
        <v>531</v>
      </c>
      <c r="FM60" s="15" t="str">
        <f t="shared" ca="1" si="65"/>
        <v>VIGENTE</v>
      </c>
      <c r="FN60" s="13">
        <v>44905</v>
      </c>
      <c r="FO60" s="14">
        <v>45479</v>
      </c>
      <c r="FP60" s="14">
        <f>DATE(YEAR(FO60)+2,MONTH(FO60),DAY(FO60)-1)</f>
        <v>46208</v>
      </c>
      <c r="FQ60" s="65">
        <f t="shared" ca="1" si="67"/>
        <v>77</v>
      </c>
      <c r="FR60" s="15" t="str">
        <f t="shared" ca="1" si="68"/>
        <v>POR VENCER</v>
      </c>
      <c r="FS60" s="13">
        <v>44998</v>
      </c>
      <c r="FT60" s="14">
        <v>45664</v>
      </c>
      <c r="FU60" s="14">
        <f>DATE(YEAR(FT60)+2,MONTH(FT60),DAY(FT60)-1)</f>
        <v>46393</v>
      </c>
      <c r="FV60" s="65">
        <f t="shared" ca="1" si="69"/>
        <v>262</v>
      </c>
      <c r="FW60" s="15" t="str">
        <f t="shared" ca="1" si="70"/>
        <v>VIGENTE</v>
      </c>
      <c r="FX60" s="13">
        <v>44596</v>
      </c>
      <c r="FY60" s="14">
        <v>45941</v>
      </c>
      <c r="FZ60" s="14">
        <f>DATE(YEAR(FY60)+2,MONTH(FY60),DAY(FY60))</f>
        <v>46671</v>
      </c>
      <c r="GA60" s="65">
        <f t="shared" ca="1" si="71"/>
        <v>540</v>
      </c>
      <c r="GB60" s="15" t="str">
        <f t="shared" ca="1" si="72"/>
        <v>VIGENTE</v>
      </c>
      <c r="GC60" s="13">
        <v>44922</v>
      </c>
      <c r="GD60" s="14">
        <v>45595</v>
      </c>
      <c r="GE60" s="14">
        <f>DATE(YEAR(GD60)+2,MONTH(GD60),DAY(GD60)-1)</f>
        <v>46324</v>
      </c>
      <c r="GF60" s="65">
        <f t="shared" ca="1" si="73"/>
        <v>193</v>
      </c>
      <c r="GG60" s="15" t="str">
        <f t="shared" ca="1" si="74"/>
        <v>VIGENTE</v>
      </c>
      <c r="GH60" s="13">
        <v>44924</v>
      </c>
      <c r="GI60" s="14">
        <v>45579</v>
      </c>
      <c r="GJ60" s="14">
        <f>DATE(YEAR(GI60)+2,MONTH(GI60),DAY(GI60)-1)</f>
        <v>46308</v>
      </c>
      <c r="GK60" s="65">
        <f t="shared" ca="1" si="75"/>
        <v>177</v>
      </c>
      <c r="GL60" s="15" t="str">
        <f t="shared" ca="1" si="76"/>
        <v>VIGENTE</v>
      </c>
      <c r="GM60" s="13">
        <v>44875</v>
      </c>
      <c r="GN60" s="14">
        <v>45567</v>
      </c>
      <c r="GO60" s="14">
        <f>DATE(YEAR(GN60)+2,MONTH(GN60),DAY(GN60)-1)</f>
        <v>46296</v>
      </c>
      <c r="GP60" s="65">
        <f t="shared" ca="1" si="77"/>
        <v>165</v>
      </c>
      <c r="GQ60" s="15" t="str">
        <f t="shared" ca="1" si="78"/>
        <v>VIGENTE</v>
      </c>
      <c r="GR60" s="14"/>
      <c r="GS60" s="14">
        <v>44966</v>
      </c>
      <c r="GT60" s="14">
        <f t="shared" si="79"/>
        <v>46792</v>
      </c>
      <c r="GU60" s="65">
        <f t="shared" ca="1" si="172"/>
        <v>661</v>
      </c>
      <c r="GV60" s="15" t="str">
        <f t="shared" ca="1" si="81"/>
        <v>VIGENTE</v>
      </c>
      <c r="GW60" s="13"/>
      <c r="GX60" s="14">
        <v>44952</v>
      </c>
      <c r="GY60" s="14">
        <f t="shared" si="82"/>
        <v>46778</v>
      </c>
      <c r="GZ60" s="65">
        <f t="shared" ca="1" si="83"/>
        <v>647</v>
      </c>
      <c r="HA60" s="15" t="str">
        <f t="shared" ca="1" si="84"/>
        <v>VIGENTE</v>
      </c>
      <c r="HB60" s="12"/>
      <c r="HC60" s="14">
        <v>44919</v>
      </c>
      <c r="HD60" s="14">
        <f t="shared" si="85"/>
        <v>46745</v>
      </c>
      <c r="HE60" s="65">
        <f t="shared" ca="1" si="86"/>
        <v>614</v>
      </c>
      <c r="HF60" s="15" t="str">
        <f t="shared" ca="1" si="87"/>
        <v>VIGENTE</v>
      </c>
      <c r="HG60" s="16"/>
      <c r="HH60" s="16"/>
      <c r="HI60" s="14"/>
      <c r="HJ60" s="65"/>
      <c r="HK60" s="15" t="str">
        <f t="shared" si="217"/>
        <v>NO APLICA</v>
      </c>
      <c r="HL60" s="12"/>
      <c r="HM60" s="16"/>
      <c r="HN60" s="14"/>
      <c r="HO60" s="65"/>
      <c r="HP60" s="15" t="str">
        <f t="shared" si="221"/>
        <v>NO APLICA</v>
      </c>
      <c r="HQ60" s="12"/>
      <c r="HR60" s="12"/>
      <c r="HS60" s="14"/>
      <c r="HT60" s="12"/>
      <c r="HU60" s="15" t="str">
        <f t="shared" si="92"/>
        <v>NO APLICA</v>
      </c>
      <c r="HV60" s="12"/>
      <c r="HW60" s="16"/>
      <c r="HX60" s="14"/>
      <c r="HY60" s="65"/>
      <c r="HZ60" s="15" t="str">
        <f t="shared" si="93"/>
        <v>NO APLICA</v>
      </c>
      <c r="IA60" s="12"/>
      <c r="IB60" s="16"/>
      <c r="IC60" s="14"/>
      <c r="ID60" s="65"/>
      <c r="IE60" s="15" t="str">
        <f t="shared" si="94"/>
        <v>NO APLICA</v>
      </c>
      <c r="IF60" s="12"/>
      <c r="IG60" s="16"/>
      <c r="IH60" s="14"/>
      <c r="II60" s="65"/>
      <c r="IJ60" s="15" t="str">
        <f t="shared" si="95"/>
        <v>NO APLICA</v>
      </c>
      <c r="IK60" s="16"/>
      <c r="IL60" s="16"/>
      <c r="IM60" s="14"/>
      <c r="IN60" s="65"/>
      <c r="IO60" s="15" t="str">
        <f t="shared" si="96"/>
        <v>NO APLICA</v>
      </c>
      <c r="IP60" s="12"/>
      <c r="IQ60" s="16"/>
      <c r="IR60" s="14"/>
      <c r="IS60" s="65"/>
      <c r="IT60" s="15" t="str">
        <f t="shared" si="97"/>
        <v>NO APLICA</v>
      </c>
      <c r="IU60" s="12"/>
      <c r="IV60" s="16"/>
      <c r="IW60" s="14"/>
      <c r="IX60" s="65"/>
      <c r="IY60" s="15" t="str">
        <f t="shared" si="98"/>
        <v>NO APLICA</v>
      </c>
      <c r="IZ60" s="12"/>
      <c r="JA60" s="16"/>
      <c r="JB60" s="14"/>
      <c r="JC60" s="65"/>
      <c r="JD60" s="15" t="str">
        <f t="shared" si="99"/>
        <v>NO APLICA</v>
      </c>
      <c r="JE60" s="13"/>
      <c r="JF60" s="13"/>
      <c r="JG60" s="14"/>
      <c r="JH60" s="65"/>
      <c r="JI60" s="15" t="str">
        <f t="shared" si="100"/>
        <v>NO APLICA</v>
      </c>
      <c r="JJ60" s="16"/>
      <c r="JK60" s="16"/>
      <c r="JL60" s="16"/>
      <c r="JM60" s="15" t="str">
        <f t="shared" si="101"/>
        <v>NO APLICA</v>
      </c>
      <c r="JN60" s="16"/>
      <c r="JO60" s="16"/>
      <c r="JP60" s="16"/>
      <c r="JQ60" s="15" t="str">
        <f t="shared" si="102"/>
        <v>NO APLICA</v>
      </c>
      <c r="JR60" s="16"/>
      <c r="JS60" s="16"/>
      <c r="JT60" s="16"/>
      <c r="JU60" s="16"/>
      <c r="JV60" s="15" t="str">
        <f t="shared" si="103"/>
        <v>NO APLICA</v>
      </c>
      <c r="JW60" s="15"/>
      <c r="JX60" s="13">
        <v>45948</v>
      </c>
      <c r="JY60" s="14">
        <f>DATE(YEAR(JX60)+2,MONTH(JX60),DAY(JX60))</f>
        <v>46678</v>
      </c>
      <c r="JZ60" s="65">
        <f ca="1">JY60-TODAY()</f>
        <v>547</v>
      </c>
      <c r="KA60" s="15" t="str">
        <f t="shared" ca="1" si="104"/>
        <v>VIGENTE</v>
      </c>
      <c r="KB60" s="12"/>
      <c r="KC60" s="14"/>
      <c r="KD60" s="65"/>
      <c r="KE60" s="15" t="str">
        <f t="shared" si="105"/>
        <v>NO APLICA</v>
      </c>
      <c r="KF60" s="12"/>
      <c r="KG60" s="14"/>
      <c r="KH60" s="65"/>
      <c r="KI60" s="15" t="str">
        <f t="shared" si="132"/>
        <v>NO APLICA</v>
      </c>
      <c r="KJ60" s="12"/>
      <c r="KK60" s="14"/>
      <c r="KL60" s="65"/>
      <c r="KM60" s="15" t="str">
        <f t="shared" si="106"/>
        <v>NO APLICA</v>
      </c>
      <c r="KN60" s="12"/>
      <c r="KO60" s="14"/>
      <c r="KP60" s="65"/>
      <c r="KQ60" s="15" t="str">
        <f t="shared" si="133"/>
        <v>NO APLICA</v>
      </c>
      <c r="KR60" s="12"/>
      <c r="KS60" s="16"/>
      <c r="KT60" s="14"/>
      <c r="KU60" s="65"/>
      <c r="KV60" s="15" t="str">
        <f t="shared" si="147"/>
        <v>NO APLICA</v>
      </c>
      <c r="KW60" s="16"/>
      <c r="KX60" s="14"/>
      <c r="KY60" s="65"/>
      <c r="KZ60" s="15" t="str">
        <f t="shared" si="134"/>
        <v>NO APLICA</v>
      </c>
      <c r="LA60" s="16"/>
      <c r="LB60" s="16"/>
      <c r="LC60" s="14"/>
      <c r="LD60" s="65"/>
      <c r="LE60" s="15" t="str">
        <f t="shared" si="107"/>
        <v>NO APLICA</v>
      </c>
      <c r="LF60" s="15"/>
      <c r="LG60" s="15"/>
      <c r="LH60" s="14"/>
      <c r="LI60" s="65"/>
      <c r="LJ60" s="15" t="str">
        <f t="shared" si="148"/>
        <v>NO APLICA</v>
      </c>
      <c r="LK60" s="12"/>
      <c r="LL60" s="16"/>
      <c r="LM60" s="14"/>
      <c r="LN60" s="65"/>
      <c r="LO60" s="15" t="str">
        <f t="shared" si="135"/>
        <v>NO APLICA</v>
      </c>
      <c r="LP60" s="16"/>
      <c r="LQ60" s="16"/>
      <c r="LR60" s="14"/>
      <c r="LS60" s="65"/>
      <c r="LT60" s="15" t="str">
        <f t="shared" si="136"/>
        <v>NO APLICA</v>
      </c>
      <c r="LU60" s="16"/>
      <c r="LV60" s="16"/>
      <c r="LW60" s="14"/>
      <c r="LX60" s="65"/>
      <c r="LY60" s="15" t="str">
        <f t="shared" si="137"/>
        <v>NO APLICA</v>
      </c>
      <c r="LZ60" s="12"/>
      <c r="MA60" s="12"/>
      <c r="MB60" s="14"/>
      <c r="MC60" s="65"/>
      <c r="MD60" s="15" t="str">
        <f t="shared" si="108"/>
        <v>NO APLICA</v>
      </c>
      <c r="ME60" s="12"/>
      <c r="MF60" s="12"/>
      <c r="MG60" s="14"/>
      <c r="MH60" s="65"/>
      <c r="MI60" s="15" t="str">
        <f t="shared" si="109"/>
        <v>NO APLICA</v>
      </c>
      <c r="MJ60" s="12"/>
      <c r="MK60" s="14"/>
      <c r="ML60" s="65"/>
      <c r="MM60" s="15" t="str">
        <f t="shared" si="110"/>
        <v>NO APLICA</v>
      </c>
      <c r="MN60" s="12"/>
      <c r="MO60" s="14"/>
      <c r="MP60" s="12"/>
      <c r="MQ60" s="15" t="str">
        <f t="shared" si="111"/>
        <v>NO APLICA</v>
      </c>
      <c r="MR60" s="12"/>
      <c r="MS60" s="16"/>
      <c r="MT60" s="14"/>
      <c r="MU60" s="65"/>
      <c r="MV60" s="15" t="str">
        <f t="shared" si="112"/>
        <v>NO APLICA</v>
      </c>
      <c r="MW60" s="12"/>
      <c r="MX60" s="16"/>
      <c r="MY60" s="14"/>
      <c r="MZ60" s="65"/>
      <c r="NA60" s="15" t="str">
        <f t="shared" si="113"/>
        <v>NO APLICA</v>
      </c>
      <c r="NB60" s="12"/>
      <c r="NC60" s="16"/>
      <c r="ND60" s="14"/>
      <c r="NE60" s="65"/>
      <c r="NF60" s="15" t="str">
        <f t="shared" si="114"/>
        <v>NO APLICA</v>
      </c>
      <c r="NG60" s="12"/>
      <c r="NH60" s="12"/>
      <c r="NI60" s="14"/>
      <c r="NJ60" s="65"/>
      <c r="NK60" s="15" t="str">
        <f t="shared" si="115"/>
        <v>NO APLICA</v>
      </c>
      <c r="NL60" s="12"/>
      <c r="NM60" s="12"/>
      <c r="NN60" s="14"/>
      <c r="NO60" s="12"/>
      <c r="NP60" s="15" t="str">
        <f t="shared" si="116"/>
        <v>NO APLICA</v>
      </c>
      <c r="NQ60" s="16"/>
      <c r="NR60" s="16"/>
      <c r="NS60" s="14"/>
      <c r="NT60" s="65"/>
      <c r="NU60" s="15" t="str">
        <f t="shared" si="117"/>
        <v>NO APLICA</v>
      </c>
      <c r="NV60" s="16"/>
      <c r="NW60" s="16"/>
      <c r="NX60" s="16"/>
      <c r="NY60" s="16"/>
      <c r="NZ60" s="15" t="str">
        <f t="shared" si="118"/>
        <v>NO APLICA</v>
      </c>
    </row>
    <row r="61" spans="1:390" ht="15.6" thickTop="1" thickBot="1" x14ac:dyDescent="0.35">
      <c r="A61" s="9">
        <v>1619</v>
      </c>
      <c r="B61" s="10" t="s">
        <v>290</v>
      </c>
      <c r="C61" s="21" t="s">
        <v>104</v>
      </c>
      <c r="D61" s="64" t="s">
        <v>110</v>
      </c>
      <c r="E61" s="15"/>
      <c r="F61" s="16"/>
      <c r="G61" s="14"/>
      <c r="H61" s="65"/>
      <c r="I61" s="15" t="str">
        <f t="shared" si="0"/>
        <v>NO APLICA</v>
      </c>
      <c r="J61" s="12"/>
      <c r="K61" s="16"/>
      <c r="L61" s="16"/>
      <c r="M61" s="65"/>
      <c r="N61" s="15" t="str">
        <f t="shared" si="1"/>
        <v>NO APLICA</v>
      </c>
      <c r="O61" s="14">
        <v>45603</v>
      </c>
      <c r="P61" s="14">
        <v>45604</v>
      </c>
      <c r="Q61" s="14">
        <f>DATE(YEAR(P61)+2,MONTH(P61),DAY(P61)-1)</f>
        <v>46333</v>
      </c>
      <c r="R61" s="65">
        <f ca="1">Q61-TODAY()</f>
        <v>202</v>
      </c>
      <c r="S61" s="15" t="str">
        <f t="shared" ca="1" si="119"/>
        <v>VIGENTE</v>
      </c>
      <c r="T61" s="12" t="s">
        <v>291</v>
      </c>
      <c r="U61" s="13">
        <v>44771</v>
      </c>
      <c r="V61" s="14">
        <v>44772</v>
      </c>
      <c r="W61" s="14">
        <f t="shared" si="2"/>
        <v>46598</v>
      </c>
      <c r="X61" s="65">
        <f t="shared" ca="1" si="3"/>
        <v>467</v>
      </c>
      <c r="Y61" s="15" t="str">
        <f t="shared" ca="1" si="4"/>
        <v>VIGENTE</v>
      </c>
      <c r="Z61" s="12" t="s">
        <v>292</v>
      </c>
      <c r="AA61" s="13">
        <v>45463</v>
      </c>
      <c r="AB61" s="14">
        <v>45464</v>
      </c>
      <c r="AC61" s="14">
        <f>DATE(YEAR(AB61)+5,MONTH(AB61),DAY(AB61))</f>
        <v>47290</v>
      </c>
      <c r="AD61" s="65">
        <f ca="1">AC61-TODAY()</f>
        <v>1159</v>
      </c>
      <c r="AE61" s="15" t="str">
        <f t="shared" ca="1" si="7"/>
        <v>VIGENTE</v>
      </c>
      <c r="AF61" s="13">
        <v>45163</v>
      </c>
      <c r="AG61" s="14">
        <v>45780</v>
      </c>
      <c r="AH61" s="14">
        <f>DATE(YEAR(AG61)+2,MONTH(AG61),DAY(AG61))</f>
        <v>46510</v>
      </c>
      <c r="AI61" s="65">
        <f t="shared" ca="1" si="8"/>
        <v>379</v>
      </c>
      <c r="AJ61" s="15" t="str">
        <f t="shared" ca="1" si="213"/>
        <v>VIGENTE</v>
      </c>
      <c r="AK61" s="13">
        <v>45108</v>
      </c>
      <c r="AL61" s="14">
        <v>45748</v>
      </c>
      <c r="AM61" s="14">
        <f>DATE(YEAR(AL61)+2,MONTH(AL61),DAY(AL61)-1)</f>
        <v>46477</v>
      </c>
      <c r="AN61" s="65">
        <f t="shared" ca="1" si="10"/>
        <v>346</v>
      </c>
      <c r="AO61" s="15" t="str">
        <f t="shared" ca="1" si="11"/>
        <v>VIGENTE</v>
      </c>
      <c r="AP61" s="13">
        <v>45168</v>
      </c>
      <c r="AQ61" s="14">
        <v>45820</v>
      </c>
      <c r="AR61" s="14">
        <f t="shared" si="230"/>
        <v>46550</v>
      </c>
      <c r="AS61" s="65">
        <f t="shared" ca="1" si="12"/>
        <v>419</v>
      </c>
      <c r="AT61" s="15" t="str">
        <f t="shared" ca="1" si="13"/>
        <v>VIGENTE</v>
      </c>
      <c r="AU61" s="13">
        <v>45128</v>
      </c>
      <c r="AV61" s="14">
        <v>45765</v>
      </c>
      <c r="AW61" s="14">
        <f t="shared" si="225"/>
        <v>46495</v>
      </c>
      <c r="AX61" s="65">
        <f t="shared" ca="1" si="15"/>
        <v>364</v>
      </c>
      <c r="AY61" s="15" t="str">
        <f t="shared" ca="1" si="16"/>
        <v>VIGENTE</v>
      </c>
      <c r="AZ61" s="13">
        <v>45075</v>
      </c>
      <c r="BA61" s="14">
        <v>45717</v>
      </c>
      <c r="BB61" s="14">
        <f>DATE(YEAR(BA61)+2,MONTH(BA61),DAY(BA61)-1)</f>
        <v>46446</v>
      </c>
      <c r="BC61" s="65">
        <f t="shared" ca="1" si="17"/>
        <v>315</v>
      </c>
      <c r="BD61" s="15" t="str">
        <f t="shared" ca="1" si="18"/>
        <v>VIGENTE</v>
      </c>
      <c r="BE61" s="13">
        <v>45141</v>
      </c>
      <c r="BF61" s="14">
        <v>45842</v>
      </c>
      <c r="BG61" s="14">
        <f t="shared" si="226"/>
        <v>46572</v>
      </c>
      <c r="BH61" s="65">
        <f t="shared" ca="1" si="19"/>
        <v>441</v>
      </c>
      <c r="BI61" s="15" t="str">
        <f t="shared" ca="1" si="20"/>
        <v>VIGENTE</v>
      </c>
      <c r="BJ61" s="13">
        <v>45140</v>
      </c>
      <c r="BK61" s="14">
        <v>45797</v>
      </c>
      <c r="BL61" s="14">
        <f>DATE(YEAR(BK61)+2,MONTH(BK61),DAY(BK61))</f>
        <v>46527</v>
      </c>
      <c r="BM61" s="65">
        <f t="shared" ca="1" si="21"/>
        <v>396</v>
      </c>
      <c r="BN61" s="15" t="str">
        <f t="shared" ca="1" si="22"/>
        <v>VIGENTE</v>
      </c>
      <c r="BO61" s="13">
        <v>45190</v>
      </c>
      <c r="BP61" s="14">
        <v>45841</v>
      </c>
      <c r="BQ61" s="14">
        <f>DATE(YEAR(BP61)+2,MONTH(BP61),DAY(BP61))</f>
        <v>46571</v>
      </c>
      <c r="BR61" s="65">
        <f t="shared" ca="1" si="23"/>
        <v>440</v>
      </c>
      <c r="BS61" s="15" t="str">
        <f t="shared" ca="1" si="24"/>
        <v>VIGENTE</v>
      </c>
      <c r="BT61" s="13">
        <v>45183</v>
      </c>
      <c r="BU61" s="14">
        <v>45853</v>
      </c>
      <c r="BV61" s="14">
        <f>DATE(YEAR(BU61)+2,MONTH(BU61),DAY(BU61))</f>
        <v>46583</v>
      </c>
      <c r="BW61" s="65">
        <f t="shared" ca="1" si="25"/>
        <v>452</v>
      </c>
      <c r="BX61" s="15" t="str">
        <f t="shared" ca="1" si="26"/>
        <v>VIGENTE</v>
      </c>
      <c r="BY61" s="13">
        <v>45063</v>
      </c>
      <c r="BZ61" s="14">
        <v>45730</v>
      </c>
      <c r="CA61" s="14">
        <f>DATE(YEAR(BZ61)+2,MONTH(BZ61),DAY(BZ61)-1)</f>
        <v>46459</v>
      </c>
      <c r="CB61" s="65">
        <f t="shared" ca="1" si="27"/>
        <v>328</v>
      </c>
      <c r="CC61" s="15" t="str">
        <f t="shared" ca="1" si="28"/>
        <v>VIGENTE</v>
      </c>
      <c r="CD61" s="16" t="s">
        <v>108</v>
      </c>
      <c r="CE61" s="14">
        <v>45300</v>
      </c>
      <c r="CF61" s="14">
        <v>45301</v>
      </c>
      <c r="CG61" s="14">
        <f t="shared" si="29"/>
        <v>46762</v>
      </c>
      <c r="CH61" s="65">
        <f t="shared" ca="1" si="30"/>
        <v>631</v>
      </c>
      <c r="CI61" s="15" t="str">
        <f t="shared" ca="1" si="31"/>
        <v>VIGENTE</v>
      </c>
      <c r="CJ61" s="14">
        <v>45156</v>
      </c>
      <c r="CK61" s="14">
        <v>45801</v>
      </c>
      <c r="CL61" s="14">
        <f>DATE(YEAR(CK61)+2,MONTH(CK61),DAY(CK61)-1)</f>
        <v>46530</v>
      </c>
      <c r="CM61" s="65">
        <f t="shared" ca="1" si="32"/>
        <v>399</v>
      </c>
      <c r="CN61" s="15" t="str">
        <f t="shared" ca="1" si="33"/>
        <v>VIGENTE</v>
      </c>
      <c r="CO61" s="12">
        <v>45132</v>
      </c>
      <c r="CP61" s="14">
        <v>45769</v>
      </c>
      <c r="CQ61" s="14">
        <f>DATE(YEAR(CP61)+2,MONTH(CP61),DAY(CP61))</f>
        <v>46499</v>
      </c>
      <c r="CR61" s="65">
        <f t="shared" ca="1" si="34"/>
        <v>368</v>
      </c>
      <c r="CS61" s="15" t="str">
        <f t="shared" ca="1" si="35"/>
        <v>VIGENTE</v>
      </c>
      <c r="CT61" s="13">
        <v>45142</v>
      </c>
      <c r="CU61" s="14">
        <v>45805</v>
      </c>
      <c r="CV61" s="14">
        <f>DATE(YEAR(CU61)+2,MONTH(CU61),DAY(CU61))</f>
        <v>46535</v>
      </c>
      <c r="CW61" s="65">
        <f t="shared" ca="1" si="36"/>
        <v>404</v>
      </c>
      <c r="CX61" s="15" t="str">
        <f t="shared" ca="1" si="37"/>
        <v>VIGENTE</v>
      </c>
      <c r="CY61" s="13">
        <v>45087</v>
      </c>
      <c r="CZ61" s="14">
        <v>45744</v>
      </c>
      <c r="DA61" s="14">
        <f>DATE(YEAR(CZ61)+2,MONTH(CZ61),DAY(CZ61)-1)</f>
        <v>46473</v>
      </c>
      <c r="DB61" s="65">
        <f t="shared" ca="1" si="38"/>
        <v>342</v>
      </c>
      <c r="DC61" s="15" t="str">
        <f t="shared" ca="1" si="39"/>
        <v>VIGENTE</v>
      </c>
      <c r="DD61" s="13">
        <v>45079</v>
      </c>
      <c r="DE61" s="14">
        <v>45761</v>
      </c>
      <c r="DF61" s="14">
        <f>DATE(YEAR(DE61)+2,MONTH(DE61),DAY(DE61))</f>
        <v>46491</v>
      </c>
      <c r="DG61" s="65">
        <f t="shared" ca="1" si="40"/>
        <v>360</v>
      </c>
      <c r="DH61" s="15" t="str">
        <f t="shared" ca="1" si="41"/>
        <v>VIGENTE</v>
      </c>
      <c r="DI61" s="12">
        <v>45115</v>
      </c>
      <c r="DJ61" s="14">
        <v>45734</v>
      </c>
      <c r="DK61" s="14">
        <f>DATE(YEAR(DJ61)+2,MONTH(DJ61),DAY(DJ61)-1)</f>
        <v>46463</v>
      </c>
      <c r="DL61" s="65">
        <f t="shared" ca="1" si="43"/>
        <v>332</v>
      </c>
      <c r="DM61" s="15" t="str">
        <f t="shared" ca="1" si="44"/>
        <v>VIGENTE</v>
      </c>
      <c r="DN61" s="13">
        <v>45198</v>
      </c>
      <c r="DO61" s="14">
        <v>45857</v>
      </c>
      <c r="DP61" s="14">
        <f>DATE(YEAR(DO61)+2,MONTH(DO61),DAY(DO61))</f>
        <v>46587</v>
      </c>
      <c r="DQ61" s="65">
        <f t="shared" ca="1" si="46"/>
        <v>456</v>
      </c>
      <c r="DR61" s="15" t="str">
        <f t="shared" ca="1" si="47"/>
        <v>VIGENTE</v>
      </c>
      <c r="DS61" s="12">
        <v>45131</v>
      </c>
      <c r="DT61" s="14">
        <v>45770</v>
      </c>
      <c r="DU61" s="14">
        <f>DATE(YEAR(DT61)+2,MONTH(DT61),DAY(DT61))</f>
        <v>46500</v>
      </c>
      <c r="DV61" s="65">
        <f t="shared" ca="1" si="48"/>
        <v>369</v>
      </c>
      <c r="DW61" s="15" t="str">
        <f t="shared" ca="1" si="49"/>
        <v>VIGENTE</v>
      </c>
      <c r="DX61" s="13">
        <v>45170</v>
      </c>
      <c r="DY61" s="14">
        <v>45847</v>
      </c>
      <c r="DZ61" s="14">
        <f>DATE(YEAR(DY61)+2,MONTH(DY61),DAY(DY61))</f>
        <v>46577</v>
      </c>
      <c r="EA61" s="65">
        <f t="shared" ca="1" si="50"/>
        <v>446</v>
      </c>
      <c r="EB61" s="15" t="str">
        <f t="shared" ca="1" si="51"/>
        <v>VIGENTE</v>
      </c>
      <c r="EC61" s="13">
        <v>45157</v>
      </c>
      <c r="ED61" s="14">
        <v>45787</v>
      </c>
      <c r="EE61" s="14">
        <f>DATE(YEAR(ED61)+2,MONTH(ED61),DAY(ED61))</f>
        <v>46517</v>
      </c>
      <c r="EF61" s="65">
        <f t="shared" ca="1" si="52"/>
        <v>386</v>
      </c>
      <c r="EG61" s="15" t="str">
        <f t="shared" ca="1" si="53"/>
        <v>VIGENTE</v>
      </c>
      <c r="EH61" s="13">
        <v>45184</v>
      </c>
      <c r="EI61" s="13">
        <v>45806</v>
      </c>
      <c r="EJ61" s="13">
        <v>45807</v>
      </c>
      <c r="EK61" s="14">
        <v>45808</v>
      </c>
      <c r="EL61" s="14">
        <f t="shared" si="128"/>
        <v>46173</v>
      </c>
      <c r="EM61" s="65">
        <f t="shared" ca="1" si="54"/>
        <v>42</v>
      </c>
      <c r="EN61" s="15" t="str">
        <f t="shared" ca="1" si="55"/>
        <v>POR VENCER</v>
      </c>
      <c r="EO61" s="13">
        <v>45092</v>
      </c>
      <c r="EP61" s="14">
        <v>45737</v>
      </c>
      <c r="EQ61" s="14">
        <f t="shared" si="224"/>
        <v>46466</v>
      </c>
      <c r="ER61" s="65">
        <f t="shared" ca="1" si="56"/>
        <v>335</v>
      </c>
      <c r="ES61" s="15" t="str">
        <f t="shared" ca="1" si="57"/>
        <v>VIGENTE</v>
      </c>
      <c r="ET61" s="13">
        <v>45159</v>
      </c>
      <c r="EU61" s="14">
        <v>45796</v>
      </c>
      <c r="EV61" s="14">
        <f>DATE(YEAR(EU61)+2,MONTH(EU61),DAY(EU61))</f>
        <v>46526</v>
      </c>
      <c r="EW61" s="65">
        <f t="shared" ca="1" si="58"/>
        <v>395</v>
      </c>
      <c r="EX61" s="15" t="str">
        <f t="shared" ca="1" si="59"/>
        <v>VIGENTE</v>
      </c>
      <c r="EY61" s="13">
        <v>45162</v>
      </c>
      <c r="EZ61" s="14">
        <v>45794</v>
      </c>
      <c r="FA61" s="14">
        <f t="shared" si="227"/>
        <v>46524</v>
      </c>
      <c r="FB61" s="65">
        <f t="shared" ca="1" si="60"/>
        <v>393</v>
      </c>
      <c r="FC61" s="15" t="str">
        <f t="shared" ca="1" si="61"/>
        <v>VIGENTE</v>
      </c>
      <c r="FD61" s="13">
        <v>45136</v>
      </c>
      <c r="FE61" s="14">
        <v>45783</v>
      </c>
      <c r="FF61" s="14">
        <f t="shared" si="228"/>
        <v>46513</v>
      </c>
      <c r="FG61" s="65">
        <f t="shared" ca="1" si="62"/>
        <v>382</v>
      </c>
      <c r="FH61" s="15" t="str">
        <f t="shared" ca="1" si="63"/>
        <v>VIGENTE</v>
      </c>
      <c r="FI61" s="12">
        <v>45113</v>
      </c>
      <c r="FJ61" s="14">
        <v>45756</v>
      </c>
      <c r="FK61" s="14">
        <f t="shared" si="229"/>
        <v>46486</v>
      </c>
      <c r="FL61" s="65">
        <f t="shared" ca="1" si="64"/>
        <v>355</v>
      </c>
      <c r="FM61" s="15" t="str">
        <f t="shared" ca="1" si="65"/>
        <v>VIGENTE</v>
      </c>
      <c r="FN61" s="13">
        <v>45197</v>
      </c>
      <c r="FO61" s="14">
        <v>45850</v>
      </c>
      <c r="FP61" s="14">
        <f>DATE(YEAR(FO61)+2,MONTH(FO61),DAY(FO61))</f>
        <v>46580</v>
      </c>
      <c r="FQ61" s="65">
        <f t="shared" ca="1" si="67"/>
        <v>449</v>
      </c>
      <c r="FR61" s="15" t="str">
        <f t="shared" ca="1" si="68"/>
        <v>VIGENTE</v>
      </c>
      <c r="FS61" s="13">
        <v>45135</v>
      </c>
      <c r="FT61" s="14">
        <v>45782</v>
      </c>
      <c r="FU61" s="14">
        <f>DATE(YEAR(FT61)+2,MONTH(FT61),DAY(FT61))</f>
        <v>46512</v>
      </c>
      <c r="FV61" s="65">
        <f t="shared" ca="1" si="69"/>
        <v>381</v>
      </c>
      <c r="FW61" s="15" t="str">
        <f t="shared" ca="1" si="70"/>
        <v>VIGENTE</v>
      </c>
      <c r="FX61" s="13">
        <v>45112</v>
      </c>
      <c r="FY61" s="14">
        <v>45758</v>
      </c>
      <c r="FZ61" s="14">
        <f>DATE(YEAR(FY61)+2,MONTH(FY61),DAY(FY61)-1)</f>
        <v>46487</v>
      </c>
      <c r="GA61" s="65">
        <f t="shared" ca="1" si="71"/>
        <v>356</v>
      </c>
      <c r="GB61" s="15" t="str">
        <f t="shared" ca="1" si="72"/>
        <v>VIGENTE</v>
      </c>
      <c r="GC61" s="13">
        <v>45173</v>
      </c>
      <c r="GD61" s="14">
        <v>45821</v>
      </c>
      <c r="GE61" s="14">
        <f>DATE(YEAR(GD61)+2,MONTH(GD61),DAY(GD61))</f>
        <v>46551</v>
      </c>
      <c r="GF61" s="65">
        <f t="shared" ca="1" si="73"/>
        <v>420</v>
      </c>
      <c r="GG61" s="15" t="str">
        <f t="shared" ca="1" si="74"/>
        <v>VIGENTE</v>
      </c>
      <c r="GH61" s="13">
        <v>45139</v>
      </c>
      <c r="GI61" s="14">
        <v>45814</v>
      </c>
      <c r="GJ61" s="14">
        <f>DATE(YEAR(GI61)+2,MONTH(GI61),DAY(GI61))</f>
        <v>46544</v>
      </c>
      <c r="GK61" s="65">
        <f t="shared" ca="1" si="75"/>
        <v>413</v>
      </c>
      <c r="GL61" s="15" t="str">
        <f t="shared" ca="1" si="76"/>
        <v>VIGENTE</v>
      </c>
      <c r="GM61" s="13">
        <v>45084</v>
      </c>
      <c r="GN61" s="14">
        <v>45764</v>
      </c>
      <c r="GO61" s="14">
        <f t="shared" ref="GO61:GO66" si="231">DATE(YEAR(GN61)+2,MONTH(GN61),DAY(GN61))</f>
        <v>46494</v>
      </c>
      <c r="GP61" s="65">
        <f t="shared" ca="1" si="77"/>
        <v>363</v>
      </c>
      <c r="GQ61" s="15" t="str">
        <f t="shared" ca="1" si="78"/>
        <v>VIGENTE</v>
      </c>
      <c r="GR61" s="14"/>
      <c r="GS61" s="14">
        <v>45181</v>
      </c>
      <c r="GT61" s="14">
        <f t="shared" si="79"/>
        <v>47008</v>
      </c>
      <c r="GU61" s="65">
        <f t="shared" ca="1" si="172"/>
        <v>877</v>
      </c>
      <c r="GV61" s="15" t="str">
        <f t="shared" ca="1" si="81"/>
        <v>VIGENTE</v>
      </c>
      <c r="GW61" s="13"/>
      <c r="GX61" s="14">
        <v>45138</v>
      </c>
      <c r="GY61" s="14">
        <f t="shared" si="82"/>
        <v>46965</v>
      </c>
      <c r="GZ61" s="65">
        <f t="shared" ca="1" si="83"/>
        <v>834</v>
      </c>
      <c r="HA61" s="15" t="str">
        <f t="shared" ca="1" si="84"/>
        <v>VIGENTE</v>
      </c>
      <c r="HB61" s="12"/>
      <c r="HC61" s="14">
        <v>45182</v>
      </c>
      <c r="HD61" s="14">
        <f t="shared" si="85"/>
        <v>47009</v>
      </c>
      <c r="HE61" s="65">
        <f t="shared" ca="1" si="86"/>
        <v>878</v>
      </c>
      <c r="HF61" s="15" t="str">
        <f t="shared" ca="1" si="87"/>
        <v>VIGENTE</v>
      </c>
      <c r="HG61" s="16"/>
      <c r="HH61" s="14">
        <v>45121</v>
      </c>
      <c r="HI61" s="14">
        <f>DATE(YEAR(HH61)+5,MONTH(HH61),DAY(HH61))</f>
        <v>46948</v>
      </c>
      <c r="HJ61" s="65">
        <f ca="1">HI61-TODAY()</f>
        <v>817</v>
      </c>
      <c r="HK61" s="15" t="str">
        <f t="shared" ca="1" si="217"/>
        <v>VIGENTE</v>
      </c>
      <c r="HL61" s="12"/>
      <c r="HM61" s="16"/>
      <c r="HN61" s="14"/>
      <c r="HO61" s="65"/>
      <c r="HP61" s="15" t="str">
        <f t="shared" si="221"/>
        <v>NO APLICA</v>
      </c>
      <c r="HQ61" s="12"/>
      <c r="HR61" s="12"/>
      <c r="HS61" s="14"/>
      <c r="HT61" s="12"/>
      <c r="HU61" s="15" t="str">
        <f t="shared" si="92"/>
        <v>NO APLICA</v>
      </c>
      <c r="HV61" s="12"/>
      <c r="HW61" s="16"/>
      <c r="HX61" s="14"/>
      <c r="HY61" s="65"/>
      <c r="HZ61" s="15" t="str">
        <f t="shared" si="93"/>
        <v>NO APLICA</v>
      </c>
      <c r="IA61" s="12"/>
      <c r="IB61" s="14">
        <v>45282</v>
      </c>
      <c r="IC61" s="14">
        <f>DATE(YEAR(IB61)+5,MONTH(IB61),DAY(IB61))</f>
        <v>47109</v>
      </c>
      <c r="ID61" s="65">
        <f ca="1">IC61-TODAY()</f>
        <v>978</v>
      </c>
      <c r="IE61" s="15" t="str">
        <f t="shared" ca="1" si="94"/>
        <v>VIGENTE</v>
      </c>
      <c r="IF61" s="12"/>
      <c r="IG61" s="14">
        <v>45264</v>
      </c>
      <c r="IH61" s="14">
        <f>DATE(YEAR(IG61)+5,MONTH(IG61),DAY(IG61))</f>
        <v>47091</v>
      </c>
      <c r="II61" s="65">
        <f ca="1">IH61-TODAY()</f>
        <v>960</v>
      </c>
      <c r="IJ61" s="15" t="str">
        <f t="shared" ca="1" si="95"/>
        <v>VIGENTE</v>
      </c>
      <c r="IK61" s="16"/>
      <c r="IL61" s="16"/>
      <c r="IM61" s="14"/>
      <c r="IN61" s="65"/>
      <c r="IO61" s="15" t="str">
        <f t="shared" si="96"/>
        <v>NO APLICA</v>
      </c>
      <c r="IP61" s="12"/>
      <c r="IQ61" s="14">
        <v>45354</v>
      </c>
      <c r="IR61" s="14">
        <f>DATE(YEAR(IQ61)+5,MONTH(IQ61),DAY(IQ61))</f>
        <v>47180</v>
      </c>
      <c r="IS61" s="65">
        <f ca="1">IR61-TODAY()</f>
        <v>1049</v>
      </c>
      <c r="IT61" s="15" t="str">
        <f t="shared" ca="1" si="97"/>
        <v>VIGENTE</v>
      </c>
      <c r="IU61" s="12"/>
      <c r="IV61" s="14">
        <v>45350</v>
      </c>
      <c r="IW61" s="14">
        <f>DATE(YEAR(IV61)+5,MONTH(IV61),DAY(IV61))</f>
        <v>47177</v>
      </c>
      <c r="IX61" s="65">
        <f ca="1">IW61-TODAY()</f>
        <v>1046</v>
      </c>
      <c r="IY61" s="15" t="str">
        <f t="shared" ca="1" si="98"/>
        <v>VIGENTE</v>
      </c>
      <c r="IZ61" s="12"/>
      <c r="JA61" s="14">
        <v>45261</v>
      </c>
      <c r="JB61" s="14">
        <f>DATE(YEAR(JA61)+5,MONTH(JA61),DAY(JA61))</f>
        <v>47088</v>
      </c>
      <c r="JC61" s="65">
        <f ca="1">JB61-TODAY()</f>
        <v>957</v>
      </c>
      <c r="JD61" s="15" t="str">
        <f t="shared" ca="1" si="99"/>
        <v>VIGENTE</v>
      </c>
      <c r="JE61" s="13"/>
      <c r="JF61" s="13"/>
      <c r="JG61" s="14"/>
      <c r="JH61" s="65"/>
      <c r="JI61" s="15" t="str">
        <f t="shared" si="100"/>
        <v>NO APLICA</v>
      </c>
      <c r="JJ61" s="16"/>
      <c r="JK61" s="16"/>
      <c r="JL61" s="16"/>
      <c r="JM61" s="15" t="str">
        <f t="shared" si="101"/>
        <v>NO APLICA</v>
      </c>
      <c r="JN61" s="16"/>
      <c r="JO61" s="16"/>
      <c r="JP61" s="16"/>
      <c r="JQ61" s="15" t="str">
        <f t="shared" si="102"/>
        <v>NO APLICA</v>
      </c>
      <c r="JR61" s="16"/>
      <c r="JS61" s="16"/>
      <c r="JT61" s="16"/>
      <c r="JU61" s="16"/>
      <c r="JV61" s="15" t="str">
        <f t="shared" si="103"/>
        <v>NO APLICA</v>
      </c>
      <c r="JW61" s="15"/>
      <c r="JX61" s="15"/>
      <c r="JY61" s="15"/>
      <c r="JZ61" s="15"/>
      <c r="KA61" s="15" t="str">
        <f t="shared" si="104"/>
        <v>NO APLICA</v>
      </c>
      <c r="KB61" s="12"/>
      <c r="KC61" s="14"/>
      <c r="KD61" s="65"/>
      <c r="KE61" s="15" t="str">
        <f t="shared" si="105"/>
        <v>NO APLICA</v>
      </c>
      <c r="KF61" s="12"/>
      <c r="KG61" s="14"/>
      <c r="KH61" s="65"/>
      <c r="KI61" s="15" t="str">
        <f t="shared" si="132"/>
        <v>NO APLICA</v>
      </c>
      <c r="KJ61" s="13">
        <v>45364</v>
      </c>
      <c r="KK61" s="14">
        <f>DATE(YEAR(KJ61)+5,MONTH(KJ61),DAY(KJ61))</f>
        <v>47190</v>
      </c>
      <c r="KL61" s="65">
        <f ca="1">KK61-TODAY()</f>
        <v>1059</v>
      </c>
      <c r="KM61" s="15" t="str">
        <f t="shared" ca="1" si="106"/>
        <v>VIGENTE</v>
      </c>
      <c r="KN61" s="12"/>
      <c r="KO61" s="14"/>
      <c r="KP61" s="65"/>
      <c r="KQ61" s="15" t="str">
        <f t="shared" si="133"/>
        <v>NO APLICA</v>
      </c>
      <c r="KR61" s="12"/>
      <c r="KS61" s="16"/>
      <c r="KT61" s="14"/>
      <c r="KU61" s="65"/>
      <c r="KV61" s="15" t="str">
        <f t="shared" si="147"/>
        <v>NO APLICA</v>
      </c>
      <c r="KW61" s="16"/>
      <c r="KX61" s="14"/>
      <c r="KY61" s="65"/>
      <c r="KZ61" s="15" t="str">
        <f t="shared" si="134"/>
        <v>NO APLICA</v>
      </c>
      <c r="LA61" s="16"/>
      <c r="LB61" s="16"/>
      <c r="LC61" s="14"/>
      <c r="LD61" s="65"/>
      <c r="LE61" s="15" t="str">
        <f t="shared" si="107"/>
        <v>NO APLICA</v>
      </c>
      <c r="LF61" s="15"/>
      <c r="LG61" s="15"/>
      <c r="LH61" s="14"/>
      <c r="LI61" s="65"/>
      <c r="LJ61" s="15" t="str">
        <f t="shared" si="148"/>
        <v>NO APLICA</v>
      </c>
      <c r="LK61" s="12"/>
      <c r="LL61" s="16"/>
      <c r="LM61" s="14"/>
      <c r="LN61" s="65"/>
      <c r="LO61" s="15" t="str">
        <f t="shared" si="135"/>
        <v>NO APLICA</v>
      </c>
      <c r="LP61" s="16"/>
      <c r="LQ61" s="16"/>
      <c r="LR61" s="14"/>
      <c r="LS61" s="65"/>
      <c r="LT61" s="15" t="str">
        <f t="shared" si="136"/>
        <v>NO APLICA</v>
      </c>
      <c r="LU61" s="16"/>
      <c r="LV61" s="16"/>
      <c r="LW61" s="14"/>
      <c r="LX61" s="65"/>
      <c r="LY61" s="15" t="str">
        <f t="shared" si="137"/>
        <v>NO APLICA</v>
      </c>
      <c r="LZ61" s="12"/>
      <c r="MA61" s="12"/>
      <c r="MB61" s="14"/>
      <c r="MC61" s="65"/>
      <c r="MD61" s="15" t="str">
        <f t="shared" si="108"/>
        <v>NO APLICA</v>
      </c>
      <c r="ME61" s="12"/>
      <c r="MF61" s="12"/>
      <c r="MG61" s="14"/>
      <c r="MH61" s="65"/>
      <c r="MI61" s="15" t="str">
        <f t="shared" si="109"/>
        <v>NO APLICA</v>
      </c>
      <c r="MJ61" s="12"/>
      <c r="MK61" s="14"/>
      <c r="ML61" s="65"/>
      <c r="MM61" s="15" t="str">
        <f t="shared" si="110"/>
        <v>NO APLICA</v>
      </c>
      <c r="MN61" s="12"/>
      <c r="MO61" s="14"/>
      <c r="MP61" s="12"/>
      <c r="MQ61" s="15" t="str">
        <f t="shared" si="111"/>
        <v>NO APLICA</v>
      </c>
      <c r="MR61" s="12"/>
      <c r="MS61" s="16"/>
      <c r="MT61" s="14"/>
      <c r="MU61" s="65"/>
      <c r="MV61" s="15" t="str">
        <f t="shared" si="112"/>
        <v>NO APLICA</v>
      </c>
      <c r="MW61" s="12"/>
      <c r="MX61" s="16"/>
      <c r="MY61" s="14"/>
      <c r="MZ61" s="65"/>
      <c r="NA61" s="15" t="str">
        <f t="shared" si="113"/>
        <v>NO APLICA</v>
      </c>
      <c r="NB61" s="12"/>
      <c r="NC61" s="16"/>
      <c r="ND61" s="14"/>
      <c r="NE61" s="65"/>
      <c r="NF61" s="15" t="str">
        <f t="shared" si="114"/>
        <v>NO APLICA</v>
      </c>
      <c r="NG61" s="12"/>
      <c r="NH61" s="12"/>
      <c r="NI61" s="14"/>
      <c r="NJ61" s="65"/>
      <c r="NK61" s="15" t="str">
        <f t="shared" si="115"/>
        <v>NO APLICA</v>
      </c>
      <c r="NL61" s="12"/>
      <c r="NM61" s="12"/>
      <c r="NN61" s="14"/>
      <c r="NO61" s="12"/>
      <c r="NP61" s="15" t="str">
        <f t="shared" si="116"/>
        <v>NO APLICA</v>
      </c>
      <c r="NQ61" s="16"/>
      <c r="NR61" s="16"/>
      <c r="NS61" s="14"/>
      <c r="NT61" s="65"/>
      <c r="NU61" s="15" t="str">
        <f t="shared" si="117"/>
        <v>NO APLICA</v>
      </c>
      <c r="NV61" s="16"/>
      <c r="NW61" s="16"/>
      <c r="NX61" s="16"/>
      <c r="NY61" s="16"/>
      <c r="NZ61" s="15" t="str">
        <f t="shared" si="118"/>
        <v>NO APLICA</v>
      </c>
    </row>
    <row r="62" spans="1:390" ht="15.6" thickTop="1" thickBot="1" x14ac:dyDescent="0.35">
      <c r="A62" s="9">
        <v>920</v>
      </c>
      <c r="B62" s="10" t="s">
        <v>293</v>
      </c>
      <c r="C62" s="21" t="s">
        <v>104</v>
      </c>
      <c r="D62" s="64" t="s">
        <v>131</v>
      </c>
      <c r="E62" s="15"/>
      <c r="F62" s="16"/>
      <c r="G62" s="14"/>
      <c r="H62" s="65"/>
      <c r="I62" s="15" t="str">
        <f t="shared" si="0"/>
        <v>NO APLICA</v>
      </c>
      <c r="J62" s="15"/>
      <c r="K62" s="16"/>
      <c r="L62" s="16"/>
      <c r="M62" s="65"/>
      <c r="N62" s="15" t="str">
        <f t="shared" si="1"/>
        <v>NO APLICA</v>
      </c>
      <c r="O62" s="16"/>
      <c r="P62" s="16"/>
      <c r="Q62" s="14"/>
      <c r="R62" s="65"/>
      <c r="S62" s="15" t="str">
        <f t="shared" si="119"/>
        <v>NO APLICA</v>
      </c>
      <c r="T62" s="12" t="s">
        <v>294</v>
      </c>
      <c r="U62" s="13">
        <v>44837</v>
      </c>
      <c r="V62" s="14">
        <v>44838</v>
      </c>
      <c r="W62" s="14">
        <f t="shared" si="2"/>
        <v>46664</v>
      </c>
      <c r="X62" s="65">
        <f t="shared" ca="1" si="3"/>
        <v>533</v>
      </c>
      <c r="Y62" s="15" t="str">
        <f t="shared" ca="1" si="4"/>
        <v>VIGENTE</v>
      </c>
      <c r="Z62" s="12" t="s">
        <v>295</v>
      </c>
      <c r="AA62" s="13">
        <v>44825</v>
      </c>
      <c r="AB62" s="14">
        <v>44826</v>
      </c>
      <c r="AC62" s="14">
        <f>DATE(YEAR(AB62)+5,MONTH(AB62),DAY(AB62))</f>
        <v>46652</v>
      </c>
      <c r="AD62" s="65">
        <f ca="1">AC62-TODAY()</f>
        <v>521</v>
      </c>
      <c r="AE62" s="15" t="str">
        <f t="shared" ca="1" si="7"/>
        <v>VIGENTE</v>
      </c>
      <c r="AF62" s="13">
        <v>44938</v>
      </c>
      <c r="AG62" s="13">
        <v>45589</v>
      </c>
      <c r="AH62" s="14">
        <f>DATE(YEAR(AG62)+2,MONTH(AG62),DAY(AG62)-1)</f>
        <v>46318</v>
      </c>
      <c r="AI62" s="65">
        <f t="shared" ca="1" si="8"/>
        <v>187</v>
      </c>
      <c r="AJ62" s="15" t="str">
        <f t="shared" ca="1" si="213"/>
        <v>VIGENTE</v>
      </c>
      <c r="AK62" s="13">
        <v>45215</v>
      </c>
      <c r="AL62" s="14">
        <v>45903</v>
      </c>
      <c r="AM62" s="14">
        <f>DATE(YEAR(AL62)+2,MONTH(AL62),DAY(AL62))</f>
        <v>46633</v>
      </c>
      <c r="AN62" s="65">
        <f t="shared" ca="1" si="10"/>
        <v>502</v>
      </c>
      <c r="AO62" s="15" t="str">
        <f t="shared" ca="1" si="11"/>
        <v>VIGENTE</v>
      </c>
      <c r="AP62" s="13">
        <v>45298</v>
      </c>
      <c r="AQ62" s="14">
        <v>45971</v>
      </c>
      <c r="AR62" s="14">
        <f t="shared" si="230"/>
        <v>46701</v>
      </c>
      <c r="AS62" s="65">
        <f t="shared" ca="1" si="12"/>
        <v>570</v>
      </c>
      <c r="AT62" s="15" t="str">
        <f t="shared" ca="1" si="13"/>
        <v>VIGENTE</v>
      </c>
      <c r="AU62" s="13">
        <v>44663</v>
      </c>
      <c r="AV62" s="14">
        <v>45952</v>
      </c>
      <c r="AW62" s="14">
        <f t="shared" si="225"/>
        <v>46682</v>
      </c>
      <c r="AX62" s="65">
        <f t="shared" ca="1" si="15"/>
        <v>551</v>
      </c>
      <c r="AY62" s="15" t="str">
        <f t="shared" ca="1" si="16"/>
        <v>VIGENTE</v>
      </c>
      <c r="AZ62" s="13">
        <v>45375</v>
      </c>
      <c r="BA62" s="14">
        <v>46071</v>
      </c>
      <c r="BB62" s="14">
        <f>DATE(YEAR(BA62)+2,MONTH(BA62),DAY(BA62))</f>
        <v>46801</v>
      </c>
      <c r="BC62" s="65">
        <f t="shared" ca="1" si="17"/>
        <v>670</v>
      </c>
      <c r="BD62" s="15" t="str">
        <f t="shared" ca="1" si="18"/>
        <v>VIGENTE</v>
      </c>
      <c r="BE62" s="13">
        <v>45382</v>
      </c>
      <c r="BF62" s="14">
        <v>46027</v>
      </c>
      <c r="BG62" s="14">
        <f t="shared" si="226"/>
        <v>46757</v>
      </c>
      <c r="BH62" s="65">
        <f t="shared" ca="1" si="19"/>
        <v>626</v>
      </c>
      <c r="BI62" s="15" t="str">
        <f t="shared" ca="1" si="20"/>
        <v>VIGENTE</v>
      </c>
      <c r="BJ62" s="13">
        <v>45372</v>
      </c>
      <c r="BK62" s="14">
        <v>46035</v>
      </c>
      <c r="BL62" s="14">
        <f>DATE(YEAR(BK62)+2,MONTH(BK62),DAY(BK62))</f>
        <v>46765</v>
      </c>
      <c r="BM62" s="65">
        <f t="shared" ca="1" si="21"/>
        <v>634</v>
      </c>
      <c r="BN62" s="15" t="str">
        <f t="shared" ca="1" si="22"/>
        <v>VIGENTE</v>
      </c>
      <c r="BO62" s="13">
        <v>44748</v>
      </c>
      <c r="BP62" s="14">
        <v>46069</v>
      </c>
      <c r="BQ62" s="14">
        <f>DATE(YEAR(BP62)+2,MONTH(BP62),DAY(BP62))</f>
        <v>46799</v>
      </c>
      <c r="BR62" s="65">
        <f t="shared" ca="1" si="23"/>
        <v>668</v>
      </c>
      <c r="BS62" s="15" t="str">
        <f t="shared" ca="1" si="24"/>
        <v>VIGENTE</v>
      </c>
      <c r="BT62" s="13">
        <v>45362</v>
      </c>
      <c r="BU62" s="14">
        <v>46031</v>
      </c>
      <c r="BV62" s="14">
        <f>DATE(YEAR(BU62)+2,MONTH(BU62),DAY(BU62))</f>
        <v>46761</v>
      </c>
      <c r="BW62" s="65">
        <f t="shared" ca="1" si="25"/>
        <v>630</v>
      </c>
      <c r="BX62" s="15" t="str">
        <f t="shared" ca="1" si="26"/>
        <v>VIGENTE</v>
      </c>
      <c r="BY62" s="13">
        <v>44615</v>
      </c>
      <c r="BZ62" s="14">
        <v>45944</v>
      </c>
      <c r="CA62" s="14">
        <f t="shared" ref="CA62:CA70" si="232">DATE(YEAR(BZ62)+2,MONTH(BZ62),DAY(BZ62))</f>
        <v>46674</v>
      </c>
      <c r="CB62" s="65">
        <f t="shared" ca="1" si="27"/>
        <v>543</v>
      </c>
      <c r="CC62" s="15" t="str">
        <f t="shared" ca="1" si="28"/>
        <v>VIGENTE</v>
      </c>
      <c r="CD62" s="16" t="s">
        <v>108</v>
      </c>
      <c r="CE62" s="14">
        <v>45210</v>
      </c>
      <c r="CF62" s="14">
        <v>45211</v>
      </c>
      <c r="CG62" s="14">
        <f t="shared" si="29"/>
        <v>46672</v>
      </c>
      <c r="CH62" s="65">
        <f t="shared" ca="1" si="30"/>
        <v>541</v>
      </c>
      <c r="CI62" s="15" t="str">
        <f t="shared" ca="1" si="31"/>
        <v>VIGENTE</v>
      </c>
      <c r="CJ62" s="14">
        <v>44588</v>
      </c>
      <c r="CK62" s="14">
        <v>45929</v>
      </c>
      <c r="CL62" s="14">
        <f>DATE(YEAR(CK62)+2,MONTH(CK62),DAY(CK62))</f>
        <v>46659</v>
      </c>
      <c r="CM62" s="65">
        <f t="shared" ca="1" si="32"/>
        <v>528</v>
      </c>
      <c r="CN62" s="15" t="str">
        <f t="shared" ca="1" si="33"/>
        <v>VIGENTE</v>
      </c>
      <c r="CO62" s="13">
        <v>45246</v>
      </c>
      <c r="CP62" s="14">
        <v>45888</v>
      </c>
      <c r="CQ62" s="14">
        <f>DATE(YEAR(CP62)+2,MONTH(CP62),DAY(CP62))</f>
        <v>46618</v>
      </c>
      <c r="CR62" s="65">
        <f t="shared" ca="1" si="34"/>
        <v>487</v>
      </c>
      <c r="CS62" s="15" t="str">
        <f t="shared" ca="1" si="35"/>
        <v>VIGENTE</v>
      </c>
      <c r="CT62" s="13">
        <v>44970</v>
      </c>
      <c r="CU62" s="14">
        <v>45631</v>
      </c>
      <c r="CV62" s="14">
        <f>DATE(YEAR(CU62)+2,MONTH(CU62),DAY(CU62)-1)</f>
        <v>46360</v>
      </c>
      <c r="CW62" s="65">
        <f t="shared" ca="1" si="36"/>
        <v>229</v>
      </c>
      <c r="CX62" s="15" t="str">
        <f t="shared" ca="1" si="37"/>
        <v>VIGENTE</v>
      </c>
      <c r="CY62" s="13">
        <v>44991</v>
      </c>
      <c r="CZ62" s="14">
        <v>45665</v>
      </c>
      <c r="DA62" s="14">
        <f>DATE(YEAR(CZ62)+2,MONTH(CZ62),DAY(CZ62)-1)</f>
        <v>46394</v>
      </c>
      <c r="DB62" s="65">
        <f t="shared" ca="1" si="38"/>
        <v>263</v>
      </c>
      <c r="DC62" s="15" t="str">
        <f t="shared" ca="1" si="39"/>
        <v>VIGENTE</v>
      </c>
      <c r="DD62" s="13">
        <v>45019</v>
      </c>
      <c r="DE62" s="14">
        <v>45689</v>
      </c>
      <c r="DF62" s="14">
        <f>DATE(YEAR(DE62)+2,MONTH(DE62),DAY(DE62)-1)</f>
        <v>46418</v>
      </c>
      <c r="DG62" s="65">
        <f t="shared" ca="1" si="40"/>
        <v>287</v>
      </c>
      <c r="DH62" s="15" t="str">
        <f t="shared" ca="1" si="41"/>
        <v>VIGENTE</v>
      </c>
      <c r="DI62" s="13">
        <v>45296</v>
      </c>
      <c r="DJ62" s="14">
        <v>45955</v>
      </c>
      <c r="DK62" s="14">
        <f>DATE(YEAR(DJ62)+2,MONTH(DJ62),DAY(DJ62))</f>
        <v>46685</v>
      </c>
      <c r="DL62" s="65">
        <f t="shared" ca="1" si="43"/>
        <v>554</v>
      </c>
      <c r="DM62" s="15" t="str">
        <f t="shared" ca="1" si="44"/>
        <v>VIGENTE</v>
      </c>
      <c r="DN62" s="13">
        <v>44697</v>
      </c>
      <c r="DO62" s="14">
        <v>46046</v>
      </c>
      <c r="DP62" s="14">
        <f>DATE(YEAR(DO62)+2,MONTH(DO62),DAY(DO62))</f>
        <v>46776</v>
      </c>
      <c r="DQ62" s="65">
        <f t="shared" ca="1" si="46"/>
        <v>645</v>
      </c>
      <c r="DR62" s="15" t="str">
        <f t="shared" ca="1" si="47"/>
        <v>VIGENTE</v>
      </c>
      <c r="DS62" s="13">
        <v>44734</v>
      </c>
      <c r="DT62" s="14">
        <v>46053</v>
      </c>
      <c r="DU62" s="14">
        <f>DATE(YEAR(DT62)+2,MONTH(DT62),DAY(DT62))</f>
        <v>46783</v>
      </c>
      <c r="DV62" s="65">
        <f t="shared" ca="1" si="48"/>
        <v>652</v>
      </c>
      <c r="DW62" s="15" t="str">
        <f t="shared" ca="1" si="49"/>
        <v>VIGENTE</v>
      </c>
      <c r="DX62" s="13">
        <v>45213</v>
      </c>
      <c r="DY62" s="14">
        <v>45866</v>
      </c>
      <c r="DZ62" s="14">
        <f>DATE(YEAR(DY62)+2,MONTH(DY62),DAY(DY62))</f>
        <v>46596</v>
      </c>
      <c r="EA62" s="65">
        <f t="shared" ca="1" si="50"/>
        <v>465</v>
      </c>
      <c r="EB62" s="15" t="str">
        <f t="shared" ca="1" si="51"/>
        <v>VIGENTE</v>
      </c>
      <c r="EC62" s="13">
        <v>45255</v>
      </c>
      <c r="ED62" s="14">
        <v>45913</v>
      </c>
      <c r="EE62" s="14">
        <f>DATE(YEAR(ED62)+2,MONTH(ED62),DAY(ED62))</f>
        <v>46643</v>
      </c>
      <c r="EF62" s="65">
        <f t="shared" ca="1" si="52"/>
        <v>512</v>
      </c>
      <c r="EG62" s="15" t="str">
        <f t="shared" ca="1" si="53"/>
        <v>VIGENTE</v>
      </c>
      <c r="EH62" s="13">
        <v>45750</v>
      </c>
      <c r="EI62" s="13">
        <v>46083</v>
      </c>
      <c r="EJ62" s="13">
        <v>46084</v>
      </c>
      <c r="EK62" s="13">
        <v>46085</v>
      </c>
      <c r="EL62" s="14">
        <f t="shared" si="128"/>
        <v>46450</v>
      </c>
      <c r="EM62" s="65">
        <f t="shared" ca="1" si="54"/>
        <v>319</v>
      </c>
      <c r="EN62" s="15" t="str">
        <f t="shared" ca="1" si="55"/>
        <v>VIGENTE</v>
      </c>
      <c r="EO62" s="13">
        <v>44573</v>
      </c>
      <c r="EP62" s="14">
        <v>45940</v>
      </c>
      <c r="EQ62" s="14">
        <f>DATE(YEAR(EP62)+2,MONTH(EP62),DAY(EP62))</f>
        <v>46670</v>
      </c>
      <c r="ER62" s="65">
        <f t="shared" ca="1" si="56"/>
        <v>539</v>
      </c>
      <c r="ES62" s="15" t="str">
        <f t="shared" ca="1" si="57"/>
        <v>VIGENTE</v>
      </c>
      <c r="ET62" s="13">
        <v>44732</v>
      </c>
      <c r="EU62" s="14">
        <v>45999</v>
      </c>
      <c r="EV62" s="14">
        <f>DATE(YEAR(EU62)+2,MONTH(EU62),DAY(EU62))</f>
        <v>46729</v>
      </c>
      <c r="EW62" s="65">
        <f t="shared" ca="1" si="58"/>
        <v>598</v>
      </c>
      <c r="EX62" s="15" t="str">
        <f t="shared" ca="1" si="59"/>
        <v>VIGENTE</v>
      </c>
      <c r="EY62" s="13">
        <v>44644</v>
      </c>
      <c r="EZ62" s="14">
        <v>45953</v>
      </c>
      <c r="FA62" s="14">
        <f t="shared" si="227"/>
        <v>46683</v>
      </c>
      <c r="FB62" s="65">
        <f t="shared" ca="1" si="60"/>
        <v>552</v>
      </c>
      <c r="FC62" s="15" t="str">
        <f t="shared" ca="1" si="61"/>
        <v>VIGENTE</v>
      </c>
      <c r="FD62" s="13">
        <v>44644</v>
      </c>
      <c r="FE62" s="14">
        <v>45951</v>
      </c>
      <c r="FF62" s="14">
        <f t="shared" si="228"/>
        <v>46681</v>
      </c>
      <c r="FG62" s="65">
        <f t="shared" ca="1" si="62"/>
        <v>550</v>
      </c>
      <c r="FH62" s="15" t="str">
        <f t="shared" ca="1" si="63"/>
        <v>VIGENTE</v>
      </c>
      <c r="FI62" s="13">
        <v>45317</v>
      </c>
      <c r="FJ62" s="14">
        <v>45969</v>
      </c>
      <c r="FK62" s="14">
        <f t="shared" si="229"/>
        <v>46699</v>
      </c>
      <c r="FL62" s="65">
        <f t="shared" ca="1" si="64"/>
        <v>568</v>
      </c>
      <c r="FM62" s="15" t="str">
        <f t="shared" ca="1" si="65"/>
        <v>VIGENTE</v>
      </c>
      <c r="FN62" s="13">
        <v>44567</v>
      </c>
      <c r="FO62" s="14">
        <v>45933</v>
      </c>
      <c r="FP62" s="14">
        <f>DATE(YEAR(FO62)+2,MONTH(FO62),DAY(FO62))</f>
        <v>46663</v>
      </c>
      <c r="FQ62" s="65">
        <f t="shared" ca="1" si="67"/>
        <v>532</v>
      </c>
      <c r="FR62" s="15" t="str">
        <f t="shared" ca="1" si="68"/>
        <v>VIGENTE</v>
      </c>
      <c r="FS62" s="13">
        <v>45304</v>
      </c>
      <c r="FT62" s="14">
        <v>45957</v>
      </c>
      <c r="FU62" s="14">
        <f>DATE(YEAR(FT62)+2,MONTH(FT62),DAY(FT62))</f>
        <v>46687</v>
      </c>
      <c r="FV62" s="65">
        <f t="shared" ca="1" si="69"/>
        <v>556</v>
      </c>
      <c r="FW62" s="15" t="str">
        <f t="shared" ca="1" si="70"/>
        <v>VIGENTE</v>
      </c>
      <c r="FX62" s="13">
        <v>44645</v>
      </c>
      <c r="FY62" s="14">
        <v>45993</v>
      </c>
      <c r="FZ62" s="14">
        <f>DATE(YEAR(FY62)+2,MONTH(FY62),DAY(FY62))</f>
        <v>46723</v>
      </c>
      <c r="GA62" s="65">
        <f t="shared" ca="1" si="71"/>
        <v>592</v>
      </c>
      <c r="GB62" s="15" t="str">
        <f t="shared" ca="1" si="72"/>
        <v>VIGENTE</v>
      </c>
      <c r="GC62" s="13">
        <v>45396</v>
      </c>
      <c r="GD62" s="14">
        <v>46030</v>
      </c>
      <c r="GE62" s="14">
        <f>DATE(YEAR(GD62)+2,MONTH(GD62),DAY(GD62))</f>
        <v>46760</v>
      </c>
      <c r="GF62" s="65">
        <f t="shared" ca="1" si="73"/>
        <v>629</v>
      </c>
      <c r="GG62" s="15" t="str">
        <f t="shared" ca="1" si="74"/>
        <v>VIGENTE</v>
      </c>
      <c r="GH62" s="13">
        <v>45252</v>
      </c>
      <c r="GI62" s="14">
        <v>45912</v>
      </c>
      <c r="GJ62" s="14">
        <f>DATE(YEAR(GI62)+2,MONTH(GI62),DAY(GI62))</f>
        <v>46642</v>
      </c>
      <c r="GK62" s="65">
        <f t="shared" ca="1" si="75"/>
        <v>511</v>
      </c>
      <c r="GL62" s="15" t="str">
        <f t="shared" ca="1" si="76"/>
        <v>VIGENTE</v>
      </c>
      <c r="GM62" s="13">
        <v>45256</v>
      </c>
      <c r="GN62" s="14">
        <v>45923</v>
      </c>
      <c r="GO62" s="14">
        <f t="shared" si="231"/>
        <v>46653</v>
      </c>
      <c r="GP62" s="65">
        <f t="shared" ca="1" si="77"/>
        <v>522</v>
      </c>
      <c r="GQ62" s="15" t="str">
        <f t="shared" ca="1" si="78"/>
        <v>VIGENTE</v>
      </c>
      <c r="GR62" s="14">
        <v>44571</v>
      </c>
      <c r="GS62" s="14">
        <v>45224</v>
      </c>
      <c r="GT62" s="14">
        <f t="shared" si="79"/>
        <v>47051</v>
      </c>
      <c r="GU62" s="65">
        <f t="shared" ca="1" si="172"/>
        <v>920</v>
      </c>
      <c r="GV62" s="15" t="str">
        <f t="shared" ca="1" si="81"/>
        <v>VIGENTE</v>
      </c>
      <c r="GW62" s="13">
        <v>44573</v>
      </c>
      <c r="GX62" s="14">
        <v>45245</v>
      </c>
      <c r="GY62" s="14">
        <f t="shared" si="82"/>
        <v>47072</v>
      </c>
      <c r="GZ62" s="65">
        <f t="shared" ca="1" si="83"/>
        <v>941</v>
      </c>
      <c r="HA62" s="15" t="str">
        <f t="shared" ca="1" si="84"/>
        <v>VIGENTE</v>
      </c>
      <c r="HB62" s="13">
        <v>44565</v>
      </c>
      <c r="HC62" s="14">
        <v>45268</v>
      </c>
      <c r="HD62" s="14">
        <f t="shared" si="85"/>
        <v>47095</v>
      </c>
      <c r="HE62" s="65">
        <f t="shared" ca="1" si="86"/>
        <v>964</v>
      </c>
      <c r="HF62" s="15" t="str">
        <f t="shared" ca="1" si="87"/>
        <v>VIGENTE</v>
      </c>
      <c r="HG62" s="16"/>
      <c r="HH62" s="14">
        <v>44865</v>
      </c>
      <c r="HI62" s="14">
        <f>DATE(YEAR(HH62)+5,MONTH(HH62),DAY(HH62))</f>
        <v>46691</v>
      </c>
      <c r="HJ62" s="65">
        <f ca="1">HI62-TODAY()</f>
        <v>560</v>
      </c>
      <c r="HK62" s="15" t="str">
        <f t="shared" ca="1" si="217"/>
        <v>VIGENTE</v>
      </c>
      <c r="HL62" s="13">
        <v>44634</v>
      </c>
      <c r="HM62" s="14">
        <v>45368</v>
      </c>
      <c r="HN62" s="14">
        <f>DATE(YEAR(HM62)+5,MONTH(HM62),DAY(HM62))</f>
        <v>47194</v>
      </c>
      <c r="HO62" s="65">
        <f ca="1">HN62-TODAY()</f>
        <v>1063</v>
      </c>
      <c r="HP62" s="15" t="str">
        <f t="shared" ca="1" si="221"/>
        <v>VIGENTE</v>
      </c>
      <c r="HQ62" s="13">
        <v>45374</v>
      </c>
      <c r="HR62" s="13">
        <v>45698</v>
      </c>
      <c r="HS62" s="14">
        <f>DATE(YEAR(HR62)+5,MONTH(HR62),DAY(HR62))</f>
        <v>47524</v>
      </c>
      <c r="HT62" s="65">
        <f ca="1">HS62-TODAY()</f>
        <v>1393</v>
      </c>
      <c r="HU62" s="15" t="str">
        <f t="shared" ca="1" si="92"/>
        <v>VIGENTE</v>
      </c>
      <c r="HV62" s="13">
        <v>44560</v>
      </c>
      <c r="HW62" s="14">
        <v>45300</v>
      </c>
      <c r="HX62" s="14">
        <f>DATE(YEAR(HW62)+5,MONTH(HW62),DAY(HW62))</f>
        <v>47127</v>
      </c>
      <c r="HY62" s="65">
        <f ca="1">HX62-TODAY()</f>
        <v>996</v>
      </c>
      <c r="HZ62" s="15" t="str">
        <f t="shared" ca="1" si="93"/>
        <v>VIGENTE</v>
      </c>
      <c r="IA62" s="13">
        <v>44781</v>
      </c>
      <c r="IB62" s="14">
        <v>45475</v>
      </c>
      <c r="IC62" s="14">
        <f>DATE(YEAR(IB62)+5,MONTH(IB62),DAY(IB62))</f>
        <v>47301</v>
      </c>
      <c r="ID62" s="65">
        <f ca="1">IC62-TODAY()</f>
        <v>1170</v>
      </c>
      <c r="IE62" s="15" t="str">
        <f t="shared" ca="1" si="94"/>
        <v>VIGENTE</v>
      </c>
      <c r="IF62" s="13">
        <v>44792</v>
      </c>
      <c r="IG62" s="14">
        <v>45444</v>
      </c>
      <c r="IH62" s="14">
        <f>DATE(YEAR(IG62)+5,MONTH(IG62),DAY(IG62))</f>
        <v>47270</v>
      </c>
      <c r="II62" s="65">
        <f ca="1">IH62-TODAY()</f>
        <v>1139</v>
      </c>
      <c r="IJ62" s="15" t="str">
        <f t="shared" ca="1" si="95"/>
        <v>VIGENTE</v>
      </c>
      <c r="IK62" s="14">
        <v>44795</v>
      </c>
      <c r="IL62" s="14">
        <v>45452</v>
      </c>
      <c r="IM62" s="14">
        <f>DATE(YEAR(IL62)+5,MONTH(IL62),DAY(IL62))</f>
        <v>47278</v>
      </c>
      <c r="IN62" s="65">
        <f ca="1">IM62-TODAY()</f>
        <v>1147</v>
      </c>
      <c r="IO62" s="15" t="str">
        <f t="shared" ca="1" si="96"/>
        <v>VIGENTE</v>
      </c>
      <c r="IP62" s="13">
        <v>44795</v>
      </c>
      <c r="IQ62" s="14">
        <v>45453</v>
      </c>
      <c r="IR62" s="14">
        <f>DATE(YEAR(IQ62)+5,MONTH(IQ62),DAY(IQ62))</f>
        <v>47279</v>
      </c>
      <c r="IS62" s="65">
        <f ca="1">IR62-TODAY()</f>
        <v>1148</v>
      </c>
      <c r="IT62" s="15" t="str">
        <f t="shared" ca="1" si="97"/>
        <v>VIGENTE</v>
      </c>
      <c r="IU62" s="13">
        <v>44792</v>
      </c>
      <c r="IV62" s="14">
        <v>45435</v>
      </c>
      <c r="IW62" s="14">
        <f>DATE(YEAR(IV62)+5,MONTH(IV62),DAY(IV62))</f>
        <v>47261</v>
      </c>
      <c r="IX62" s="65">
        <f ca="1">IW62-TODAY()</f>
        <v>1130</v>
      </c>
      <c r="IY62" s="15" t="str">
        <f t="shared" ca="1" si="98"/>
        <v>VIGENTE</v>
      </c>
      <c r="IZ62" s="13">
        <v>44781</v>
      </c>
      <c r="JA62" s="14">
        <v>45461</v>
      </c>
      <c r="JB62" s="14">
        <f>DATE(YEAR(JA62)+5,MONTH(JA62),DAY(JA62))</f>
        <v>47287</v>
      </c>
      <c r="JC62" s="65">
        <f ca="1">JB62-TODAY()</f>
        <v>1156</v>
      </c>
      <c r="JD62" s="15" t="str">
        <f t="shared" ca="1" si="99"/>
        <v>VIGENTE</v>
      </c>
      <c r="JE62" s="13"/>
      <c r="JF62" s="13"/>
      <c r="JG62" s="14"/>
      <c r="JH62" s="65"/>
      <c r="JI62" s="15" t="str">
        <f t="shared" si="100"/>
        <v>NO APLICA</v>
      </c>
      <c r="JJ62" s="16"/>
      <c r="JK62" s="16"/>
      <c r="JL62" s="16"/>
      <c r="JM62" s="15" t="str">
        <f t="shared" si="101"/>
        <v>NO APLICA</v>
      </c>
      <c r="JN62" s="16"/>
      <c r="JO62" s="16"/>
      <c r="JP62" s="16"/>
      <c r="JQ62" s="15" t="str">
        <f t="shared" si="102"/>
        <v>NO APLICA</v>
      </c>
      <c r="JR62" s="16"/>
      <c r="JS62" s="16"/>
      <c r="JT62" s="16"/>
      <c r="JU62" s="16"/>
      <c r="JV62" s="15" t="str">
        <f t="shared" si="103"/>
        <v>NO APLICA</v>
      </c>
      <c r="JW62" s="15"/>
      <c r="JX62" s="15"/>
      <c r="JY62" s="15"/>
      <c r="JZ62" s="15"/>
      <c r="KA62" s="15" t="str">
        <f t="shared" si="104"/>
        <v>NO APLICA</v>
      </c>
      <c r="KB62" s="12"/>
      <c r="KC62" s="14"/>
      <c r="KD62" s="65"/>
      <c r="KE62" s="15" t="str">
        <f t="shared" si="105"/>
        <v>NO APLICA</v>
      </c>
      <c r="KF62" s="13">
        <v>45328</v>
      </c>
      <c r="KG62" s="14">
        <f>DATE(YEAR(KF62)+5,MONTH(KF62),DAY(KF62)-1)</f>
        <v>47154</v>
      </c>
      <c r="KH62" s="65">
        <f ca="1">KG62-TODAY()</f>
        <v>1023</v>
      </c>
      <c r="KI62" s="15" t="str">
        <f t="shared" ca="1" si="132"/>
        <v>VIGENTE</v>
      </c>
      <c r="KJ62" s="12"/>
      <c r="KK62" s="14"/>
      <c r="KL62" s="65"/>
      <c r="KM62" s="15" t="str">
        <f t="shared" si="106"/>
        <v>NO APLICA</v>
      </c>
      <c r="KN62" s="12"/>
      <c r="KO62" s="14"/>
      <c r="KP62" s="65"/>
      <c r="KQ62" s="15" t="str">
        <f t="shared" si="133"/>
        <v>NO APLICA</v>
      </c>
      <c r="KR62" s="13">
        <v>44648</v>
      </c>
      <c r="KS62" s="14">
        <v>44649</v>
      </c>
      <c r="KT62" s="14">
        <f>DATE(YEAR(KS62)+5,MONTH(KS62),DAY(KS62))</f>
        <v>46475</v>
      </c>
      <c r="KU62" s="65">
        <f ca="1">KT62-TODAY()</f>
        <v>344</v>
      </c>
      <c r="KV62" s="15" t="str">
        <f t="shared" ca="1" si="147"/>
        <v>VIGENTE</v>
      </c>
      <c r="KW62" s="16"/>
      <c r="KX62" s="14"/>
      <c r="KY62" s="65"/>
      <c r="KZ62" s="15" t="str">
        <f t="shared" si="134"/>
        <v>NO APLICA</v>
      </c>
      <c r="LA62" s="16"/>
      <c r="LB62" s="16"/>
      <c r="LC62" s="14"/>
      <c r="LD62" s="65"/>
      <c r="LE62" s="15" t="str">
        <f t="shared" si="107"/>
        <v>NO APLICA</v>
      </c>
      <c r="LF62" s="15"/>
      <c r="LG62" s="15"/>
      <c r="LH62" s="14"/>
      <c r="LI62" s="65"/>
      <c r="LJ62" s="15" t="str">
        <f t="shared" si="148"/>
        <v>NO APLICA</v>
      </c>
      <c r="LK62" s="12"/>
      <c r="LL62" s="16"/>
      <c r="LM62" s="14"/>
      <c r="LN62" s="65"/>
      <c r="LO62" s="15" t="str">
        <f t="shared" si="135"/>
        <v>NO APLICA</v>
      </c>
      <c r="LP62" s="16"/>
      <c r="LQ62" s="16"/>
      <c r="LR62" s="14"/>
      <c r="LS62" s="65"/>
      <c r="LT62" s="15" t="str">
        <f t="shared" si="136"/>
        <v>NO APLICA</v>
      </c>
      <c r="LU62" s="16"/>
      <c r="LV62" s="16"/>
      <c r="LW62" s="14"/>
      <c r="LX62" s="65"/>
      <c r="LY62" s="15" t="str">
        <f t="shared" si="137"/>
        <v>NO APLICA</v>
      </c>
      <c r="LZ62" s="12"/>
      <c r="MA62" s="12"/>
      <c r="MB62" s="14"/>
      <c r="MC62" s="65"/>
      <c r="MD62" s="15" t="str">
        <f t="shared" si="108"/>
        <v>NO APLICA</v>
      </c>
      <c r="ME62" s="12"/>
      <c r="MF62" s="12"/>
      <c r="MG62" s="14"/>
      <c r="MH62" s="65"/>
      <c r="MI62" s="15" t="str">
        <f t="shared" si="109"/>
        <v>NO APLICA</v>
      </c>
      <c r="MJ62" s="12"/>
      <c r="MK62" s="14"/>
      <c r="ML62" s="65"/>
      <c r="MM62" s="15" t="str">
        <f t="shared" si="110"/>
        <v>NO APLICA</v>
      </c>
      <c r="MN62" s="12"/>
      <c r="MO62" s="14"/>
      <c r="MP62" s="12"/>
      <c r="MQ62" s="15" t="str">
        <f t="shared" si="111"/>
        <v>NO APLICA</v>
      </c>
      <c r="MR62" s="12"/>
      <c r="MS62" s="16"/>
      <c r="MT62" s="14"/>
      <c r="MU62" s="65"/>
      <c r="MV62" s="15" t="str">
        <f t="shared" si="112"/>
        <v>NO APLICA</v>
      </c>
      <c r="MW62" s="12"/>
      <c r="MX62" s="16"/>
      <c r="MY62" s="14"/>
      <c r="MZ62" s="65"/>
      <c r="NA62" s="15" t="str">
        <f t="shared" si="113"/>
        <v>NO APLICA</v>
      </c>
      <c r="NB62" s="12"/>
      <c r="NC62" s="16"/>
      <c r="ND62" s="14"/>
      <c r="NE62" s="65"/>
      <c r="NF62" s="15" t="str">
        <f t="shared" si="114"/>
        <v>NO APLICA</v>
      </c>
      <c r="NG62" s="12"/>
      <c r="NH62" s="12"/>
      <c r="NI62" s="14"/>
      <c r="NJ62" s="65"/>
      <c r="NK62" s="15" t="str">
        <f t="shared" si="115"/>
        <v>NO APLICA</v>
      </c>
      <c r="NL62" s="12"/>
      <c r="NM62" s="12"/>
      <c r="NN62" s="12"/>
      <c r="NO62" s="12"/>
      <c r="NP62" s="15" t="str">
        <f t="shared" si="116"/>
        <v>NO APLICA</v>
      </c>
      <c r="NQ62" s="16"/>
      <c r="NR62" s="16"/>
      <c r="NS62" s="14"/>
      <c r="NT62" s="65"/>
      <c r="NU62" s="15" t="str">
        <f t="shared" si="117"/>
        <v>NO APLICA</v>
      </c>
      <c r="NV62" s="16"/>
      <c r="NW62" s="16"/>
      <c r="NX62" s="16"/>
      <c r="NY62" s="16"/>
      <c r="NZ62" s="15" t="str">
        <f t="shared" si="118"/>
        <v>NO APLICA</v>
      </c>
    </row>
    <row r="63" spans="1:390" ht="15.6" thickTop="1" thickBot="1" x14ac:dyDescent="0.35">
      <c r="A63" s="9">
        <v>1327</v>
      </c>
      <c r="B63" s="10" t="s">
        <v>296</v>
      </c>
      <c r="C63" s="21" t="s">
        <v>104</v>
      </c>
      <c r="D63" s="64" t="s">
        <v>131</v>
      </c>
      <c r="E63" s="15"/>
      <c r="F63" s="16"/>
      <c r="G63" s="14"/>
      <c r="H63" s="65"/>
      <c r="I63" s="15" t="str">
        <f t="shared" si="0"/>
        <v>NO APLICA</v>
      </c>
      <c r="J63" s="12"/>
      <c r="K63" s="16"/>
      <c r="L63" s="16"/>
      <c r="M63" s="65"/>
      <c r="N63" s="15" t="str">
        <f t="shared" si="1"/>
        <v>NO APLICA</v>
      </c>
      <c r="O63" s="16"/>
      <c r="P63" s="16"/>
      <c r="Q63" s="14"/>
      <c r="R63" s="65"/>
      <c r="S63" s="15" t="str">
        <f t="shared" si="119"/>
        <v>NO APLICA</v>
      </c>
      <c r="T63" s="12" t="s">
        <v>297</v>
      </c>
      <c r="U63" s="13">
        <v>45096</v>
      </c>
      <c r="V63" s="14">
        <v>45097</v>
      </c>
      <c r="W63" s="14">
        <f t="shared" si="2"/>
        <v>46924</v>
      </c>
      <c r="X63" s="65">
        <f t="shared" ca="1" si="3"/>
        <v>793</v>
      </c>
      <c r="Y63" s="15" t="str">
        <f t="shared" ca="1" si="4"/>
        <v>VIGENTE</v>
      </c>
      <c r="Z63" s="12" t="s">
        <v>298</v>
      </c>
      <c r="AA63" s="13">
        <v>44602</v>
      </c>
      <c r="AB63" s="14">
        <v>44603</v>
      </c>
      <c r="AC63" s="14">
        <f>DATE(YEAR(AB63)+5,MONTH(AB63),DAY(AB63))</f>
        <v>46429</v>
      </c>
      <c r="AD63" s="65">
        <f ca="1">AC63-TODAY()</f>
        <v>298</v>
      </c>
      <c r="AE63" s="15" t="str">
        <f t="shared" ca="1" si="7"/>
        <v>VIGENTE</v>
      </c>
      <c r="AF63" s="13">
        <v>44932</v>
      </c>
      <c r="AG63" s="13">
        <v>45617</v>
      </c>
      <c r="AH63" s="14">
        <f>DATE(YEAR(AG63)+2,MONTH(AG63),DAY(AG63)-1)</f>
        <v>46346</v>
      </c>
      <c r="AI63" s="65">
        <f t="shared" ca="1" si="8"/>
        <v>215</v>
      </c>
      <c r="AJ63" s="15" t="str">
        <f t="shared" ca="1" si="213"/>
        <v>VIGENTE</v>
      </c>
      <c r="AK63" s="13">
        <v>44643</v>
      </c>
      <c r="AL63" s="14">
        <v>45937</v>
      </c>
      <c r="AM63" s="14">
        <f>DATE(YEAR(AL63)+2,MONTH(AL63),DAY(AL63))</f>
        <v>46667</v>
      </c>
      <c r="AN63" s="65">
        <f t="shared" ca="1" si="10"/>
        <v>536</v>
      </c>
      <c r="AO63" s="15" t="str">
        <f t="shared" ca="1" si="11"/>
        <v>VIGENTE</v>
      </c>
      <c r="AP63" s="13">
        <v>45258</v>
      </c>
      <c r="AQ63" s="14">
        <v>45904</v>
      </c>
      <c r="AR63" s="14">
        <f t="shared" si="230"/>
        <v>46634</v>
      </c>
      <c r="AS63" s="65">
        <f t="shared" ca="1" si="12"/>
        <v>503</v>
      </c>
      <c r="AT63" s="15" t="str">
        <f t="shared" ca="1" si="13"/>
        <v>VIGENTE</v>
      </c>
      <c r="AU63" s="13">
        <v>44665</v>
      </c>
      <c r="AV63" s="14">
        <v>45972</v>
      </c>
      <c r="AW63" s="14">
        <f t="shared" si="225"/>
        <v>46702</v>
      </c>
      <c r="AX63" s="65">
        <f t="shared" ca="1" si="15"/>
        <v>571</v>
      </c>
      <c r="AY63" s="15" t="str">
        <f t="shared" ca="1" si="16"/>
        <v>VIGENTE</v>
      </c>
      <c r="AZ63" s="13">
        <v>44894</v>
      </c>
      <c r="BA63" s="14">
        <v>45515</v>
      </c>
      <c r="BB63" s="14">
        <f>DATE(YEAR(BA63)+2,MONTH(BA63),DAY(BA63)-1)</f>
        <v>46244</v>
      </c>
      <c r="BC63" s="65">
        <f t="shared" ca="1" si="17"/>
        <v>113</v>
      </c>
      <c r="BD63" s="15" t="str">
        <f t="shared" ca="1" si="18"/>
        <v>VIGENTE</v>
      </c>
      <c r="BE63" s="13">
        <v>45302</v>
      </c>
      <c r="BF63" s="14">
        <v>45968</v>
      </c>
      <c r="BG63" s="14">
        <f t="shared" si="226"/>
        <v>46698</v>
      </c>
      <c r="BH63" s="65">
        <f t="shared" ca="1" si="19"/>
        <v>567</v>
      </c>
      <c r="BI63" s="15" t="str">
        <f t="shared" ca="1" si="20"/>
        <v>VIGENTE</v>
      </c>
      <c r="BJ63" s="13">
        <v>44795</v>
      </c>
      <c r="BK63" s="14">
        <v>46056</v>
      </c>
      <c r="BL63" s="14">
        <f>DATE(YEAR(BK63)+2,MONTH(BK63),DAY(BK63))</f>
        <v>46786</v>
      </c>
      <c r="BM63" s="65">
        <f t="shared" ca="1" si="21"/>
        <v>655</v>
      </c>
      <c r="BN63" s="15" t="str">
        <f t="shared" ca="1" si="22"/>
        <v>VIGENTE</v>
      </c>
      <c r="BO63" s="13">
        <v>44798</v>
      </c>
      <c r="BP63" s="14">
        <v>45447</v>
      </c>
      <c r="BQ63" s="14">
        <f>DATE(YEAR(BP63)+2,MONTH(BP63),DAY(BP63)-1)</f>
        <v>46176</v>
      </c>
      <c r="BR63" s="65">
        <f t="shared" ca="1" si="23"/>
        <v>45</v>
      </c>
      <c r="BS63" s="15" t="str">
        <f t="shared" ca="1" si="24"/>
        <v>POR VENCER</v>
      </c>
      <c r="BT63" s="13">
        <v>44813</v>
      </c>
      <c r="BU63" s="14">
        <v>45449</v>
      </c>
      <c r="BV63" s="14">
        <f>DATE(YEAR(BU63)+2,MONTH(BU63),DAY(BU63)-1)</f>
        <v>46178</v>
      </c>
      <c r="BW63" s="65">
        <f t="shared" ca="1" si="25"/>
        <v>47</v>
      </c>
      <c r="BX63" s="15" t="str">
        <f t="shared" ca="1" si="26"/>
        <v>POR VENCER</v>
      </c>
      <c r="BY63" s="13">
        <v>45300</v>
      </c>
      <c r="BZ63" s="14">
        <v>45974</v>
      </c>
      <c r="CA63" s="14">
        <f t="shared" si="232"/>
        <v>46704</v>
      </c>
      <c r="CB63" s="65">
        <f t="shared" ca="1" si="27"/>
        <v>573</v>
      </c>
      <c r="CC63" s="15" t="str">
        <f t="shared" ca="1" si="28"/>
        <v>VIGENTE</v>
      </c>
      <c r="CD63" s="16" t="s">
        <v>108</v>
      </c>
      <c r="CE63" s="14">
        <v>45261</v>
      </c>
      <c r="CF63" s="14">
        <v>45262</v>
      </c>
      <c r="CG63" s="14">
        <f t="shared" si="29"/>
        <v>46723</v>
      </c>
      <c r="CH63" s="65">
        <f t="shared" ca="1" si="30"/>
        <v>592</v>
      </c>
      <c r="CI63" s="15" t="str">
        <f t="shared" ca="1" si="31"/>
        <v>VIGENTE</v>
      </c>
      <c r="CJ63" s="14">
        <v>44881</v>
      </c>
      <c r="CK63" s="14">
        <v>45511</v>
      </c>
      <c r="CL63" s="14">
        <f>DATE(YEAR(CK63)+2,MONTH(CK63),DAY(CK63)-1)</f>
        <v>46240</v>
      </c>
      <c r="CM63" s="65">
        <f t="shared" ca="1" si="32"/>
        <v>109</v>
      </c>
      <c r="CN63" s="15" t="str">
        <f t="shared" ca="1" si="33"/>
        <v>VIGENTE</v>
      </c>
      <c r="CO63" s="13">
        <v>44900</v>
      </c>
      <c r="CP63" s="14">
        <v>45513</v>
      </c>
      <c r="CQ63" s="14">
        <f>DATE(YEAR(CP63)+2,MONTH(CP63),DAY(CP63)-1)</f>
        <v>46242</v>
      </c>
      <c r="CR63" s="65">
        <f t="shared" ca="1" si="34"/>
        <v>111</v>
      </c>
      <c r="CS63" s="15" t="str">
        <f t="shared" ca="1" si="35"/>
        <v>VIGENTE</v>
      </c>
      <c r="CT63" s="13">
        <v>44978</v>
      </c>
      <c r="CU63" s="14">
        <v>45639</v>
      </c>
      <c r="CV63" s="14">
        <f>DATE(YEAR(CU63)+2,MONTH(CU63),DAY(CU63)-1)</f>
        <v>46368</v>
      </c>
      <c r="CW63" s="65">
        <f t="shared" ca="1" si="36"/>
        <v>237</v>
      </c>
      <c r="CX63" s="15" t="str">
        <f t="shared" ca="1" si="37"/>
        <v>VIGENTE</v>
      </c>
      <c r="CY63" s="13">
        <v>44991</v>
      </c>
      <c r="CZ63" s="14">
        <v>45665</v>
      </c>
      <c r="DA63" s="14">
        <f>DATE(YEAR(CZ63)+2,MONTH(CZ63),DAY(CZ63)-1)</f>
        <v>46394</v>
      </c>
      <c r="DB63" s="65">
        <f t="shared" ca="1" si="38"/>
        <v>263</v>
      </c>
      <c r="DC63" s="15" t="str">
        <f t="shared" ca="1" si="39"/>
        <v>VIGENTE</v>
      </c>
      <c r="DD63" s="13">
        <v>45019</v>
      </c>
      <c r="DE63" s="14">
        <v>45723</v>
      </c>
      <c r="DF63" s="14">
        <f>DATE(YEAR(DE63)+2,MONTH(DE63),DAY(DE63)-1)</f>
        <v>46452</v>
      </c>
      <c r="DG63" s="65">
        <f t="shared" ca="1" si="40"/>
        <v>321</v>
      </c>
      <c r="DH63" s="15" t="str">
        <f t="shared" ca="1" si="41"/>
        <v>VIGENTE</v>
      </c>
      <c r="DI63" s="13">
        <v>44914</v>
      </c>
      <c r="DJ63" s="14">
        <v>45562</v>
      </c>
      <c r="DK63" s="14">
        <f>DATE(YEAR(DJ63)+2,MONTH(DJ63),DAY(DJ63)-1)</f>
        <v>46291</v>
      </c>
      <c r="DL63" s="65">
        <f t="shared" ca="1" si="43"/>
        <v>160</v>
      </c>
      <c r="DM63" s="15" t="str">
        <f t="shared" ca="1" si="44"/>
        <v>VIGENTE</v>
      </c>
      <c r="DN63" s="13">
        <v>45316</v>
      </c>
      <c r="DO63" s="14">
        <v>45982</v>
      </c>
      <c r="DP63" s="14">
        <f>DATE(YEAR(DO63)+2,MONTH(DO63),DAY(DO63))</f>
        <v>46712</v>
      </c>
      <c r="DQ63" s="65">
        <f t="shared" ca="1" si="46"/>
        <v>581</v>
      </c>
      <c r="DR63" s="15" t="str">
        <f t="shared" ca="1" si="47"/>
        <v>VIGENTE</v>
      </c>
      <c r="DS63" s="13">
        <v>44950</v>
      </c>
      <c r="DT63" s="14">
        <v>45619</v>
      </c>
      <c r="DU63" s="14">
        <f>DATE(YEAR(DT63)+2,MONTH(DT63),DAY(DT63)-1)</f>
        <v>46348</v>
      </c>
      <c r="DV63" s="65">
        <f t="shared" ca="1" si="48"/>
        <v>217</v>
      </c>
      <c r="DW63" s="15" t="str">
        <f t="shared" ca="1" si="49"/>
        <v>VIGENTE</v>
      </c>
      <c r="DX63" s="13">
        <v>44951</v>
      </c>
      <c r="DY63" s="14">
        <v>45582</v>
      </c>
      <c r="DZ63" s="14">
        <f>DATE(YEAR(DY63)+2,MONTH(DY63),DAY(DY63)-1)</f>
        <v>46311</v>
      </c>
      <c r="EA63" s="65">
        <f t="shared" ca="1" si="50"/>
        <v>180</v>
      </c>
      <c r="EB63" s="15" t="str">
        <f t="shared" ca="1" si="51"/>
        <v>VIGENTE</v>
      </c>
      <c r="EC63" s="13">
        <v>44994</v>
      </c>
      <c r="ED63" s="14">
        <v>45674</v>
      </c>
      <c r="EE63" s="14">
        <f>DATE(YEAR(ED63)+2,MONTH(ED63),DAY(ED63)-1)</f>
        <v>46403</v>
      </c>
      <c r="EF63" s="65">
        <f t="shared" ca="1" si="52"/>
        <v>272</v>
      </c>
      <c r="EG63" s="15" t="str">
        <f t="shared" ca="1" si="53"/>
        <v>VIGENTE</v>
      </c>
      <c r="EH63" s="13">
        <v>45750</v>
      </c>
      <c r="EI63" s="13">
        <v>46083</v>
      </c>
      <c r="EJ63" s="13">
        <v>46084</v>
      </c>
      <c r="EK63" s="13">
        <v>46085</v>
      </c>
      <c r="EL63" s="14">
        <f t="shared" si="128"/>
        <v>46450</v>
      </c>
      <c r="EM63" s="65">
        <f t="shared" ca="1" si="54"/>
        <v>319</v>
      </c>
      <c r="EN63" s="15" t="str">
        <f t="shared" ca="1" si="55"/>
        <v>VIGENTE</v>
      </c>
      <c r="EO63" s="13">
        <v>44796</v>
      </c>
      <c r="EP63" s="14">
        <v>45460</v>
      </c>
      <c r="EQ63" s="14">
        <f>DATE(YEAR(EP63)+2,MONTH(EP63),DAY(EP63)-1)</f>
        <v>46189</v>
      </c>
      <c r="ER63" s="65">
        <f t="shared" ca="1" si="56"/>
        <v>58</v>
      </c>
      <c r="ES63" s="15" t="str">
        <f t="shared" ca="1" si="57"/>
        <v>POR VENCER</v>
      </c>
      <c r="ET63" s="13">
        <v>45043</v>
      </c>
      <c r="EU63" s="14">
        <v>45677</v>
      </c>
      <c r="EV63" s="14">
        <f>DATE(YEAR(EU63)+2,MONTH(EU63),DAY(EU63)-1)</f>
        <v>46406</v>
      </c>
      <c r="EW63" s="65">
        <f t="shared" ca="1" si="58"/>
        <v>275</v>
      </c>
      <c r="EX63" s="15" t="str">
        <f t="shared" ca="1" si="59"/>
        <v>VIGENTE</v>
      </c>
      <c r="EY63" s="13">
        <v>44644</v>
      </c>
      <c r="EZ63" s="14">
        <v>45953</v>
      </c>
      <c r="FA63" s="14">
        <f t="shared" si="227"/>
        <v>46683</v>
      </c>
      <c r="FB63" s="65">
        <f t="shared" ca="1" si="60"/>
        <v>552</v>
      </c>
      <c r="FC63" s="15" t="str">
        <f t="shared" ca="1" si="61"/>
        <v>VIGENTE</v>
      </c>
      <c r="FD63" s="13">
        <v>44644</v>
      </c>
      <c r="FE63" s="14">
        <v>45951</v>
      </c>
      <c r="FF63" s="14">
        <f t="shared" si="228"/>
        <v>46681</v>
      </c>
      <c r="FG63" s="65">
        <f t="shared" ca="1" si="62"/>
        <v>550</v>
      </c>
      <c r="FH63" s="15" t="str">
        <f t="shared" ca="1" si="63"/>
        <v>VIGENTE</v>
      </c>
      <c r="FI63" s="13">
        <v>45317</v>
      </c>
      <c r="FJ63" s="14">
        <v>45969</v>
      </c>
      <c r="FK63" s="14">
        <f t="shared" si="229"/>
        <v>46699</v>
      </c>
      <c r="FL63" s="65">
        <f t="shared" ca="1" si="64"/>
        <v>568</v>
      </c>
      <c r="FM63" s="15" t="str">
        <f t="shared" ca="1" si="65"/>
        <v>VIGENTE</v>
      </c>
      <c r="FN63" s="13">
        <v>45062</v>
      </c>
      <c r="FO63" s="14">
        <v>45670</v>
      </c>
      <c r="FP63" s="14">
        <f>DATE(YEAR(FO63)+2,MONTH(FO63),DAY(FO63)-1)</f>
        <v>46399</v>
      </c>
      <c r="FQ63" s="65">
        <f t="shared" ca="1" si="67"/>
        <v>268</v>
      </c>
      <c r="FR63" s="15" t="str">
        <f t="shared" ca="1" si="68"/>
        <v>VIGENTE</v>
      </c>
      <c r="FS63" s="13">
        <v>44797</v>
      </c>
      <c r="FT63" s="14">
        <v>45466</v>
      </c>
      <c r="FU63" s="14">
        <f>DATE(YEAR(FT63)+2,MONTH(FT63),DAY(FT63)-1)</f>
        <v>46195</v>
      </c>
      <c r="FV63" s="65">
        <f t="shared" ca="1" si="69"/>
        <v>64</v>
      </c>
      <c r="FW63" s="15" t="str">
        <f t="shared" ca="1" si="70"/>
        <v>POR VENCER</v>
      </c>
      <c r="FX63" s="13">
        <v>44645</v>
      </c>
      <c r="FY63" s="14">
        <v>46014</v>
      </c>
      <c r="FZ63" s="14">
        <f>DATE(YEAR(FY63)+2,MONTH(FY63),DAY(FY63))</f>
        <v>46744</v>
      </c>
      <c r="GA63" s="65">
        <f t="shared" ca="1" si="71"/>
        <v>613</v>
      </c>
      <c r="GB63" s="15" t="str">
        <f t="shared" ca="1" si="72"/>
        <v>VIGENTE</v>
      </c>
      <c r="GC63" s="13">
        <v>45049</v>
      </c>
      <c r="GD63" s="14">
        <v>45715</v>
      </c>
      <c r="GE63" s="14">
        <f>DATE(YEAR(GD63)+2,MONTH(GD63),DAY(GD63)-1)</f>
        <v>46444</v>
      </c>
      <c r="GF63" s="65">
        <f t="shared" ca="1" si="73"/>
        <v>313</v>
      </c>
      <c r="GG63" s="15" t="str">
        <f t="shared" ca="1" si="74"/>
        <v>VIGENTE</v>
      </c>
      <c r="GH63" s="13">
        <v>44796</v>
      </c>
      <c r="GI63" s="14">
        <v>46079</v>
      </c>
      <c r="GJ63" s="14">
        <f>DATE(YEAR(GI63)+2,MONTH(GI63),DAY(GI63))</f>
        <v>46809</v>
      </c>
      <c r="GK63" s="65">
        <f t="shared" ca="1" si="75"/>
        <v>678</v>
      </c>
      <c r="GL63" s="15" t="str">
        <f t="shared" ca="1" si="76"/>
        <v>VIGENTE</v>
      </c>
      <c r="GM63" s="13">
        <v>45275</v>
      </c>
      <c r="GN63" s="14">
        <v>45945</v>
      </c>
      <c r="GO63" s="14">
        <f t="shared" si="231"/>
        <v>46675</v>
      </c>
      <c r="GP63" s="65">
        <f t="shared" ca="1" si="77"/>
        <v>544</v>
      </c>
      <c r="GQ63" s="15" t="str">
        <f t="shared" ca="1" si="78"/>
        <v>VIGENTE</v>
      </c>
      <c r="GR63" s="14">
        <v>44459</v>
      </c>
      <c r="GS63" s="14">
        <v>45181</v>
      </c>
      <c r="GT63" s="14">
        <f t="shared" si="79"/>
        <v>47008</v>
      </c>
      <c r="GU63" s="65">
        <f t="shared" ca="1" si="172"/>
        <v>877</v>
      </c>
      <c r="GV63" s="15" t="str">
        <f t="shared" ca="1" si="81"/>
        <v>VIGENTE</v>
      </c>
      <c r="GW63" s="13">
        <v>44713</v>
      </c>
      <c r="GX63" s="14">
        <v>45329</v>
      </c>
      <c r="GY63" s="14">
        <f t="shared" si="82"/>
        <v>47156</v>
      </c>
      <c r="GZ63" s="65">
        <f t="shared" ca="1" si="83"/>
        <v>1025</v>
      </c>
      <c r="HA63" s="15" t="str">
        <f t="shared" ca="1" si="84"/>
        <v>VIGENTE</v>
      </c>
      <c r="HB63" s="13">
        <v>44460</v>
      </c>
      <c r="HC63" s="14">
        <v>45182</v>
      </c>
      <c r="HD63" s="14">
        <f t="shared" si="85"/>
        <v>47009</v>
      </c>
      <c r="HE63" s="65">
        <f t="shared" ca="1" si="86"/>
        <v>878</v>
      </c>
      <c r="HF63" s="15" t="str">
        <f t="shared" ca="1" si="87"/>
        <v>VIGENTE</v>
      </c>
      <c r="HG63" s="16"/>
      <c r="HH63" s="14">
        <v>44884</v>
      </c>
      <c r="HI63" s="14">
        <f>DATE(YEAR(HH63)+5,MONTH(HH63),DAY(HH63))</f>
        <v>46710</v>
      </c>
      <c r="HJ63" s="65">
        <f ca="1">HI63-TODAY()</f>
        <v>579</v>
      </c>
      <c r="HK63" s="15" t="str">
        <f t="shared" ca="1" si="217"/>
        <v>VIGENTE</v>
      </c>
      <c r="HL63" s="13">
        <v>44635</v>
      </c>
      <c r="HM63" s="14">
        <v>45331</v>
      </c>
      <c r="HN63" s="14">
        <f>DATE(YEAR(HM63)+5,MONTH(HM63),DAY(HM63))</f>
        <v>47158</v>
      </c>
      <c r="HO63" s="65">
        <f ca="1">HN63-TODAY()</f>
        <v>1027</v>
      </c>
      <c r="HP63" s="15" t="str">
        <f t="shared" ca="1" si="221"/>
        <v>VIGENTE</v>
      </c>
      <c r="HQ63" s="13">
        <v>45374</v>
      </c>
      <c r="HR63" s="13">
        <v>45698</v>
      </c>
      <c r="HS63" s="14">
        <f>DATE(YEAR(HR63)+5,MONTH(HR63),DAY(HR63))</f>
        <v>47524</v>
      </c>
      <c r="HT63" s="65">
        <f ca="1">HS63-TODAY()</f>
        <v>1393</v>
      </c>
      <c r="HU63" s="15" t="str">
        <f t="shared" ca="1" si="92"/>
        <v>VIGENTE</v>
      </c>
      <c r="HV63" s="13">
        <v>44782</v>
      </c>
      <c r="HW63" s="14">
        <v>45440</v>
      </c>
      <c r="HX63" s="14">
        <f>DATE(YEAR(HW63)+5,MONTH(HW63),DAY(HW63))</f>
        <v>47266</v>
      </c>
      <c r="HY63" s="65">
        <f ca="1">HX63-TODAY()</f>
        <v>1135</v>
      </c>
      <c r="HZ63" s="15" t="str">
        <f t="shared" ca="1" si="93"/>
        <v>VIGENTE</v>
      </c>
      <c r="IA63" s="13">
        <v>44522</v>
      </c>
      <c r="IB63" s="14">
        <v>45234</v>
      </c>
      <c r="IC63" s="14">
        <f>DATE(YEAR(IB63)+5,MONTH(IB63),DAY(IB63))</f>
        <v>47061</v>
      </c>
      <c r="ID63" s="65">
        <f ca="1">IC63-TODAY()</f>
        <v>930</v>
      </c>
      <c r="IE63" s="15" t="str">
        <f t="shared" ca="1" si="94"/>
        <v>VIGENTE</v>
      </c>
      <c r="IF63" s="13">
        <v>44510</v>
      </c>
      <c r="IG63" s="14">
        <v>45192</v>
      </c>
      <c r="IH63" s="14">
        <f>DATE(YEAR(IG63)+5,MONTH(IG63),DAY(IG63))</f>
        <v>47019</v>
      </c>
      <c r="II63" s="65">
        <f ca="1">IH63-TODAY()</f>
        <v>888</v>
      </c>
      <c r="IJ63" s="15" t="str">
        <f t="shared" ca="1" si="95"/>
        <v>VIGENTE</v>
      </c>
      <c r="IK63" s="14">
        <v>44559</v>
      </c>
      <c r="IL63" s="14">
        <v>45225</v>
      </c>
      <c r="IM63" s="14">
        <f>DATE(YEAR(IL63)+5,MONTH(IL63),DAY(IL63))</f>
        <v>47052</v>
      </c>
      <c r="IN63" s="65">
        <f ca="1">IM63-TODAY()</f>
        <v>921</v>
      </c>
      <c r="IO63" s="15" t="str">
        <f t="shared" ca="1" si="96"/>
        <v>VIGENTE</v>
      </c>
      <c r="IP63" s="13">
        <v>44559</v>
      </c>
      <c r="IQ63" s="14">
        <v>45273</v>
      </c>
      <c r="IR63" s="14">
        <f>DATE(YEAR(IQ63)+5,MONTH(IQ63),DAY(IQ63))</f>
        <v>47100</v>
      </c>
      <c r="IS63" s="65">
        <f ca="1">IR63-TODAY()</f>
        <v>969</v>
      </c>
      <c r="IT63" s="15" t="str">
        <f t="shared" ca="1" si="97"/>
        <v>VIGENTE</v>
      </c>
      <c r="IU63" s="13">
        <v>44510</v>
      </c>
      <c r="IV63" s="14">
        <v>45191</v>
      </c>
      <c r="IW63" s="14">
        <f>DATE(YEAR(IV63)+5,MONTH(IV63),DAY(IV63))</f>
        <v>47018</v>
      </c>
      <c r="IX63" s="65">
        <f ca="1">IW63-TODAY()</f>
        <v>887</v>
      </c>
      <c r="IY63" s="15" t="str">
        <f t="shared" ca="1" si="98"/>
        <v>VIGENTE</v>
      </c>
      <c r="IZ63" s="13">
        <v>44522</v>
      </c>
      <c r="JA63" s="14">
        <v>45224</v>
      </c>
      <c r="JB63" s="14">
        <f>DATE(YEAR(JA63)+5,MONTH(JA63),DAY(JA63))</f>
        <v>47051</v>
      </c>
      <c r="JC63" s="65">
        <f ca="1">JB63-TODAY()</f>
        <v>920</v>
      </c>
      <c r="JD63" s="15" t="str">
        <f t="shared" ca="1" si="99"/>
        <v>VIGENTE</v>
      </c>
      <c r="JE63" s="13"/>
      <c r="JF63" s="13"/>
      <c r="JG63" s="14"/>
      <c r="JH63" s="65"/>
      <c r="JI63" s="15" t="str">
        <f t="shared" si="100"/>
        <v>NO APLICA</v>
      </c>
      <c r="JJ63" s="16"/>
      <c r="JK63" s="16"/>
      <c r="JL63" s="16"/>
      <c r="JM63" s="15" t="str">
        <f t="shared" si="101"/>
        <v>NO APLICA</v>
      </c>
      <c r="JN63" s="16"/>
      <c r="JO63" s="16"/>
      <c r="JP63" s="16"/>
      <c r="JQ63" s="15" t="str">
        <f t="shared" si="102"/>
        <v>NO APLICA</v>
      </c>
      <c r="JR63" s="16"/>
      <c r="JS63" s="16"/>
      <c r="JT63" s="16"/>
      <c r="JU63" s="16"/>
      <c r="JV63" s="15" t="str">
        <f t="shared" si="103"/>
        <v>NO APLICA</v>
      </c>
      <c r="JW63" s="15"/>
      <c r="JX63" s="15"/>
      <c r="JY63" s="15"/>
      <c r="JZ63" s="15"/>
      <c r="KA63" s="15" t="str">
        <f t="shared" si="104"/>
        <v>NO APLICA</v>
      </c>
      <c r="KB63" s="12"/>
      <c r="KC63" s="14"/>
      <c r="KD63" s="65"/>
      <c r="KE63" s="15" t="str">
        <f t="shared" si="105"/>
        <v>NO APLICA</v>
      </c>
      <c r="KF63" s="13">
        <v>45328</v>
      </c>
      <c r="KG63" s="14">
        <f>DATE(YEAR(KF63)+5,MONTH(KF63),DAY(KF63)-1)</f>
        <v>47154</v>
      </c>
      <c r="KH63" s="65">
        <f ca="1">KG63-TODAY()</f>
        <v>1023</v>
      </c>
      <c r="KI63" s="15" t="str">
        <f t="shared" ca="1" si="132"/>
        <v>VIGENTE</v>
      </c>
      <c r="KJ63" s="12"/>
      <c r="KK63" s="14"/>
      <c r="KL63" s="65"/>
      <c r="KM63" s="15" t="str">
        <f t="shared" si="106"/>
        <v>NO APLICA</v>
      </c>
      <c r="KN63" s="12"/>
      <c r="KO63" s="14"/>
      <c r="KP63" s="65"/>
      <c r="KQ63" s="15" t="str">
        <f t="shared" si="133"/>
        <v>NO APLICA</v>
      </c>
      <c r="KR63" s="13">
        <v>44650</v>
      </c>
      <c r="KS63" s="14">
        <v>44651</v>
      </c>
      <c r="KT63" s="14">
        <f>DATE(YEAR(KS63)+5,MONTH(KS63),DAY(KS63))</f>
        <v>46477</v>
      </c>
      <c r="KU63" s="65">
        <f ca="1">KT63-TODAY()</f>
        <v>346</v>
      </c>
      <c r="KV63" s="15" t="str">
        <f t="shared" ca="1" si="147"/>
        <v>VIGENTE</v>
      </c>
      <c r="KW63" s="16"/>
      <c r="KX63" s="14"/>
      <c r="KY63" s="65"/>
      <c r="KZ63" s="15" t="str">
        <f t="shared" si="134"/>
        <v>NO APLICA</v>
      </c>
      <c r="LA63" s="14">
        <v>44488</v>
      </c>
      <c r="LB63" s="14"/>
      <c r="LC63" s="14"/>
      <c r="LD63" s="65"/>
      <c r="LE63" s="15" t="str">
        <f t="shared" si="107"/>
        <v>NO APLICA</v>
      </c>
      <c r="LF63" s="15"/>
      <c r="LG63" s="15"/>
      <c r="LH63" s="14"/>
      <c r="LI63" s="65"/>
      <c r="LJ63" s="15" t="str">
        <f t="shared" si="148"/>
        <v>NO APLICA</v>
      </c>
      <c r="LK63" s="12"/>
      <c r="LL63" s="16"/>
      <c r="LM63" s="14"/>
      <c r="LN63" s="65"/>
      <c r="LO63" s="15" t="str">
        <f t="shared" si="135"/>
        <v>NO APLICA</v>
      </c>
      <c r="LP63" s="16"/>
      <c r="LQ63" s="16"/>
      <c r="LR63" s="14"/>
      <c r="LS63" s="65"/>
      <c r="LT63" s="15" t="str">
        <f t="shared" si="136"/>
        <v>NO APLICA</v>
      </c>
      <c r="LU63" s="16"/>
      <c r="LV63" s="16"/>
      <c r="LW63" s="14"/>
      <c r="LX63" s="65"/>
      <c r="LY63" s="15" t="str">
        <f t="shared" si="137"/>
        <v>NO APLICA</v>
      </c>
      <c r="LZ63" s="12"/>
      <c r="MA63" s="12"/>
      <c r="MB63" s="14"/>
      <c r="MC63" s="65"/>
      <c r="MD63" s="15" t="str">
        <f t="shared" si="108"/>
        <v>NO APLICA</v>
      </c>
      <c r="ME63" s="12"/>
      <c r="MF63" s="12"/>
      <c r="MG63" s="14"/>
      <c r="MH63" s="65"/>
      <c r="MI63" s="15" t="str">
        <f t="shared" si="109"/>
        <v>NO APLICA</v>
      </c>
      <c r="MJ63" s="12"/>
      <c r="MK63" s="14"/>
      <c r="ML63" s="65"/>
      <c r="MM63" s="15" t="str">
        <f t="shared" si="110"/>
        <v>NO APLICA</v>
      </c>
      <c r="MN63" s="12"/>
      <c r="MO63" s="14"/>
      <c r="MP63" s="12"/>
      <c r="MQ63" s="15" t="str">
        <f t="shared" si="111"/>
        <v>NO APLICA</v>
      </c>
      <c r="MR63" s="12"/>
      <c r="MS63" s="16"/>
      <c r="MT63" s="14"/>
      <c r="MU63" s="65"/>
      <c r="MV63" s="15" t="str">
        <f t="shared" si="112"/>
        <v>NO APLICA</v>
      </c>
      <c r="MW63" s="12"/>
      <c r="MX63" s="16"/>
      <c r="MY63" s="14"/>
      <c r="MZ63" s="65"/>
      <c r="NA63" s="15" t="str">
        <f t="shared" si="113"/>
        <v>NO APLICA</v>
      </c>
      <c r="NB63" s="12"/>
      <c r="NC63" s="16"/>
      <c r="ND63" s="14"/>
      <c r="NE63" s="65"/>
      <c r="NF63" s="15" t="str">
        <f t="shared" si="114"/>
        <v>NO APLICA</v>
      </c>
      <c r="NG63" s="12"/>
      <c r="NH63" s="12"/>
      <c r="NI63" s="14"/>
      <c r="NJ63" s="65"/>
      <c r="NK63" s="15" t="str">
        <f t="shared" si="115"/>
        <v>NO APLICA</v>
      </c>
      <c r="NL63" s="12"/>
      <c r="NM63" s="12"/>
      <c r="NN63" s="14"/>
      <c r="NO63" s="12"/>
      <c r="NP63" s="15" t="str">
        <f t="shared" si="116"/>
        <v>NO APLICA</v>
      </c>
      <c r="NQ63" s="16"/>
      <c r="NR63" s="16"/>
      <c r="NS63" s="14"/>
      <c r="NT63" s="65"/>
      <c r="NU63" s="15" t="str">
        <f t="shared" si="117"/>
        <v>NO APLICA</v>
      </c>
      <c r="NV63" s="16"/>
      <c r="NW63" s="16"/>
      <c r="NX63" s="16"/>
      <c r="NY63" s="16"/>
      <c r="NZ63" s="15" t="str">
        <f t="shared" si="118"/>
        <v>NO APLICA</v>
      </c>
    </row>
    <row r="64" spans="1:390" ht="15.6" thickTop="1" thickBot="1" x14ac:dyDescent="0.35">
      <c r="A64" s="9">
        <v>370</v>
      </c>
      <c r="B64" s="10" t="s">
        <v>299</v>
      </c>
      <c r="C64" s="21" t="s">
        <v>104</v>
      </c>
      <c r="D64" s="64" t="s">
        <v>236</v>
      </c>
      <c r="E64" s="15"/>
      <c r="F64" s="16"/>
      <c r="G64" s="14"/>
      <c r="H64" s="65"/>
      <c r="I64" s="15" t="str">
        <f t="shared" si="0"/>
        <v>NO APLICA</v>
      </c>
      <c r="J64" s="15"/>
      <c r="K64" s="16"/>
      <c r="L64" s="16"/>
      <c r="M64" s="65"/>
      <c r="N64" s="15" t="str">
        <f t="shared" si="1"/>
        <v>NO APLICA</v>
      </c>
      <c r="O64" s="14">
        <v>45757</v>
      </c>
      <c r="P64" s="14">
        <v>45758</v>
      </c>
      <c r="Q64" s="14">
        <f>DATE(YEAR(P64)+2,MONTH(P64),DAY(P64)-1)</f>
        <v>46487</v>
      </c>
      <c r="R64" s="65">
        <f ca="1">Q64-TODAY()</f>
        <v>356</v>
      </c>
      <c r="S64" s="15" t="str">
        <f t="shared" ca="1" si="119"/>
        <v>VIGENTE</v>
      </c>
      <c r="T64" s="12" t="s">
        <v>300</v>
      </c>
      <c r="U64" s="13">
        <v>44785</v>
      </c>
      <c r="V64" s="14">
        <v>44786</v>
      </c>
      <c r="W64" s="14">
        <f t="shared" si="2"/>
        <v>46612</v>
      </c>
      <c r="X64" s="65">
        <f t="shared" ca="1" si="3"/>
        <v>481</v>
      </c>
      <c r="Y64" s="15" t="str">
        <f t="shared" ca="1" si="4"/>
        <v>VIGENTE</v>
      </c>
      <c r="Z64" s="12" t="s">
        <v>301</v>
      </c>
      <c r="AA64" s="13">
        <v>44578</v>
      </c>
      <c r="AB64" s="14">
        <v>44579</v>
      </c>
      <c r="AC64" s="14">
        <f>DATE(YEAR(AB64)+5,MONTH(AB64),DAY(AB64))</f>
        <v>46405</v>
      </c>
      <c r="AD64" s="65">
        <f ca="1">AC64-TODAY()</f>
        <v>274</v>
      </c>
      <c r="AE64" s="15" t="str">
        <f t="shared" ca="1" si="7"/>
        <v>VIGENTE</v>
      </c>
      <c r="AF64" s="13">
        <v>44932</v>
      </c>
      <c r="AG64" s="13">
        <v>45594</v>
      </c>
      <c r="AH64" s="14">
        <f>DATE(YEAR(AG64)+2,MONTH(AG64),DAY(AG64)-1)</f>
        <v>46323</v>
      </c>
      <c r="AI64" s="65">
        <f t="shared" ca="1" si="8"/>
        <v>192</v>
      </c>
      <c r="AJ64" s="15" t="str">
        <f t="shared" ca="1" si="213"/>
        <v>VIGENTE</v>
      </c>
      <c r="AK64" s="13">
        <v>44627</v>
      </c>
      <c r="AL64" s="14">
        <v>45937</v>
      </c>
      <c r="AM64" s="14">
        <f>DATE(YEAR(AL64)+2,MONTH(AL64),DAY(AL64))</f>
        <v>46667</v>
      </c>
      <c r="AN64" s="65">
        <f t="shared" ca="1" si="10"/>
        <v>536</v>
      </c>
      <c r="AO64" s="15" t="str">
        <f t="shared" ca="1" si="11"/>
        <v>VIGENTE</v>
      </c>
      <c r="AP64" s="13">
        <v>45453</v>
      </c>
      <c r="AQ64" s="14">
        <v>46083</v>
      </c>
      <c r="AR64" s="14">
        <f t="shared" si="230"/>
        <v>46814</v>
      </c>
      <c r="AS64" s="65">
        <f t="shared" ca="1" si="12"/>
        <v>683</v>
      </c>
      <c r="AT64" s="15" t="str">
        <f t="shared" ca="1" si="13"/>
        <v>VIGENTE</v>
      </c>
      <c r="AU64" s="13">
        <v>44818</v>
      </c>
      <c r="AV64" s="14">
        <v>46070</v>
      </c>
      <c r="AW64" s="14">
        <f t="shared" si="225"/>
        <v>46800</v>
      </c>
      <c r="AX64" s="65">
        <f t="shared" ca="1" si="15"/>
        <v>669</v>
      </c>
      <c r="AY64" s="15" t="str">
        <f t="shared" ca="1" si="16"/>
        <v>VIGENTE</v>
      </c>
      <c r="AZ64" s="13">
        <v>44823</v>
      </c>
      <c r="BA64" s="14">
        <v>45454</v>
      </c>
      <c r="BB64" s="14">
        <f>DATE(YEAR(BA64)+2,MONTH(BA64),DAY(BA64)-1)</f>
        <v>46183</v>
      </c>
      <c r="BC64" s="65">
        <f t="shared" ca="1" si="17"/>
        <v>52</v>
      </c>
      <c r="BD64" s="15" t="str">
        <f t="shared" ca="1" si="18"/>
        <v>POR VENCER</v>
      </c>
      <c r="BE64" s="13">
        <v>44825</v>
      </c>
      <c r="BF64" s="14">
        <v>45457</v>
      </c>
      <c r="BG64" s="14">
        <f>DATE(YEAR(BF64)+2,MONTH(BF64),DAY(BF64)-1)</f>
        <v>46186</v>
      </c>
      <c r="BH64" s="65">
        <f t="shared" ca="1" si="19"/>
        <v>55</v>
      </c>
      <c r="BI64" s="15" t="str">
        <f t="shared" ca="1" si="20"/>
        <v>POR VENCER</v>
      </c>
      <c r="BJ64" s="13">
        <v>45372</v>
      </c>
      <c r="BK64" s="14">
        <v>46035</v>
      </c>
      <c r="BL64" s="14">
        <f>DATE(YEAR(BK64)+2,MONTH(BK64),DAY(BK64))</f>
        <v>46765</v>
      </c>
      <c r="BM64" s="65">
        <f t="shared" ca="1" si="21"/>
        <v>634</v>
      </c>
      <c r="BN64" s="15" t="str">
        <f t="shared" ca="1" si="22"/>
        <v>VIGENTE</v>
      </c>
      <c r="BO64" s="13">
        <v>44832</v>
      </c>
      <c r="BP64" s="14">
        <v>45447</v>
      </c>
      <c r="BQ64" s="14">
        <f>DATE(YEAR(BP64)+2,MONTH(BP64),DAY(BP64)-1)</f>
        <v>46176</v>
      </c>
      <c r="BR64" s="65">
        <f t="shared" ca="1" si="23"/>
        <v>45</v>
      </c>
      <c r="BS64" s="15" t="str">
        <f t="shared" ca="1" si="24"/>
        <v>POR VENCER</v>
      </c>
      <c r="BT64" s="13">
        <v>44809</v>
      </c>
      <c r="BU64" s="14">
        <v>45449</v>
      </c>
      <c r="BV64" s="14">
        <f>DATE(YEAR(BU64)+2,MONTH(BU64),DAY(BU64)-1)</f>
        <v>46178</v>
      </c>
      <c r="BW64" s="65">
        <f t="shared" ca="1" si="25"/>
        <v>47</v>
      </c>
      <c r="BX64" s="15" t="str">
        <f t="shared" ca="1" si="26"/>
        <v>POR VENCER</v>
      </c>
      <c r="BY64" s="13">
        <v>44629</v>
      </c>
      <c r="BZ64" s="14">
        <v>45944</v>
      </c>
      <c r="CA64" s="14">
        <f t="shared" si="232"/>
        <v>46674</v>
      </c>
      <c r="CB64" s="65">
        <f t="shared" ca="1" si="27"/>
        <v>543</v>
      </c>
      <c r="CC64" s="15" t="str">
        <f t="shared" ca="1" si="28"/>
        <v>VIGENTE</v>
      </c>
      <c r="CD64" s="16" t="s">
        <v>108</v>
      </c>
      <c r="CE64" s="14">
        <v>45261</v>
      </c>
      <c r="CF64" s="14">
        <v>45262</v>
      </c>
      <c r="CG64" s="14">
        <f t="shared" si="29"/>
        <v>46723</v>
      </c>
      <c r="CH64" s="65">
        <f t="shared" ca="1" si="30"/>
        <v>592</v>
      </c>
      <c r="CI64" s="15" t="str">
        <f t="shared" ca="1" si="31"/>
        <v>VIGENTE</v>
      </c>
      <c r="CJ64" s="14">
        <v>45238</v>
      </c>
      <c r="CK64" s="14">
        <v>45895</v>
      </c>
      <c r="CL64" s="14">
        <f>DATE(YEAR(CK64)+2,MONTH(CK64),DAY(CK64))</f>
        <v>46625</v>
      </c>
      <c r="CM64" s="65">
        <f t="shared" ca="1" si="32"/>
        <v>494</v>
      </c>
      <c r="CN64" s="15" t="str">
        <f t="shared" ca="1" si="33"/>
        <v>VIGENTE</v>
      </c>
      <c r="CO64" s="13">
        <v>44813</v>
      </c>
      <c r="CP64" s="14">
        <v>45481</v>
      </c>
      <c r="CQ64" s="14">
        <f>DATE(YEAR(CP64)+2,MONTH(CP64),DAY(CP64)-1)</f>
        <v>46210</v>
      </c>
      <c r="CR64" s="65">
        <f t="shared" ca="1" si="34"/>
        <v>79</v>
      </c>
      <c r="CS64" s="15" t="str">
        <f t="shared" ca="1" si="35"/>
        <v>POR VENCER</v>
      </c>
      <c r="CT64" s="13">
        <v>44966</v>
      </c>
      <c r="CU64" s="14">
        <v>45631</v>
      </c>
      <c r="CV64" s="14">
        <f>DATE(YEAR(CU64)+2,MONTH(CU64),DAY(CU64)-1)</f>
        <v>46360</v>
      </c>
      <c r="CW64" s="65">
        <f t="shared" ca="1" si="36"/>
        <v>229</v>
      </c>
      <c r="CX64" s="15" t="str">
        <f t="shared" ca="1" si="37"/>
        <v>VIGENTE</v>
      </c>
      <c r="CY64" s="13">
        <v>44991</v>
      </c>
      <c r="CZ64" s="14">
        <v>45661</v>
      </c>
      <c r="DA64" s="14">
        <f>DATE(YEAR(CZ64)+2,MONTH(CZ64),DAY(CZ64)-1)</f>
        <v>46390</v>
      </c>
      <c r="DB64" s="65">
        <f t="shared" ca="1" si="38"/>
        <v>259</v>
      </c>
      <c r="DC64" s="15" t="str">
        <f t="shared" ca="1" si="39"/>
        <v>VIGENTE</v>
      </c>
      <c r="DD64" s="13">
        <v>45020</v>
      </c>
      <c r="DE64" s="14">
        <v>45689</v>
      </c>
      <c r="DF64" s="14">
        <f>DATE(YEAR(DE64)+2,MONTH(DE64),DAY(DE64)-1)</f>
        <v>46418</v>
      </c>
      <c r="DG64" s="65">
        <f t="shared" ca="1" si="40"/>
        <v>287</v>
      </c>
      <c r="DH64" s="15" t="str">
        <f t="shared" ca="1" si="41"/>
        <v>VIGENTE</v>
      </c>
      <c r="DI64" s="13">
        <v>44818</v>
      </c>
      <c r="DJ64" s="14">
        <v>45451</v>
      </c>
      <c r="DK64" s="14">
        <f>DATE(YEAR(DJ64)+2,MONTH(DJ64),DAY(DJ64)-1)</f>
        <v>46180</v>
      </c>
      <c r="DL64" s="65">
        <f t="shared" ca="1" si="43"/>
        <v>49</v>
      </c>
      <c r="DM64" s="15" t="str">
        <f t="shared" ca="1" si="44"/>
        <v>POR VENCER</v>
      </c>
      <c r="DN64" s="13">
        <v>44819</v>
      </c>
      <c r="DO64" s="14">
        <v>45473</v>
      </c>
      <c r="DP64" s="14">
        <f>DATE(YEAR(DO64)+2,MONTH(DO64),DAY(DO64)-1)</f>
        <v>46202</v>
      </c>
      <c r="DQ64" s="65">
        <f t="shared" ca="1" si="46"/>
        <v>71</v>
      </c>
      <c r="DR64" s="15" t="str">
        <f t="shared" ca="1" si="47"/>
        <v>POR VENCER</v>
      </c>
      <c r="DS64" s="13">
        <v>44824</v>
      </c>
      <c r="DT64" s="14">
        <v>46053</v>
      </c>
      <c r="DU64" s="14">
        <f>DATE(YEAR(DT64)+2,MONTH(DT64),DAY(DT64))</f>
        <v>46783</v>
      </c>
      <c r="DV64" s="65">
        <f t="shared" ca="1" si="48"/>
        <v>652</v>
      </c>
      <c r="DW64" s="15" t="str">
        <f t="shared" ca="1" si="49"/>
        <v>VIGENTE</v>
      </c>
      <c r="DX64" s="13">
        <v>44820</v>
      </c>
      <c r="DY64" s="14">
        <v>45474</v>
      </c>
      <c r="DZ64" s="14">
        <f>DATE(YEAR(DY64)+2,MONTH(DY64),DAY(DY64)-1)</f>
        <v>46203</v>
      </c>
      <c r="EA64" s="65">
        <f t="shared" ca="1" si="50"/>
        <v>72</v>
      </c>
      <c r="EB64" s="15" t="str">
        <f t="shared" ca="1" si="51"/>
        <v>POR VENCER</v>
      </c>
      <c r="EC64" s="13">
        <v>44834</v>
      </c>
      <c r="ED64" s="14">
        <v>45462</v>
      </c>
      <c r="EE64" s="14">
        <f>DATE(YEAR(ED64)+2,MONTH(ED64),DAY(ED64)-1)</f>
        <v>46191</v>
      </c>
      <c r="EF64" s="65">
        <f t="shared" ca="1" si="52"/>
        <v>60</v>
      </c>
      <c r="EG64" s="15" t="str">
        <f t="shared" ca="1" si="53"/>
        <v>POR VENCER</v>
      </c>
      <c r="EH64" s="13">
        <v>45434</v>
      </c>
      <c r="EI64" s="13">
        <v>45806</v>
      </c>
      <c r="EJ64" s="13">
        <v>45807</v>
      </c>
      <c r="EK64" s="14">
        <v>45808</v>
      </c>
      <c r="EL64" s="14">
        <f t="shared" si="128"/>
        <v>46173</v>
      </c>
      <c r="EM64" s="65">
        <f t="shared" ca="1" si="54"/>
        <v>42</v>
      </c>
      <c r="EN64" s="15" t="str">
        <f t="shared" ca="1" si="55"/>
        <v>POR VENCER</v>
      </c>
      <c r="EO64" s="13">
        <v>44831</v>
      </c>
      <c r="EP64" s="14">
        <v>45460</v>
      </c>
      <c r="EQ64" s="14">
        <f>DATE(YEAR(EP64)+2,MONTH(EP64),DAY(EP64)-1)</f>
        <v>46189</v>
      </c>
      <c r="ER64" s="65">
        <f t="shared" ca="1" si="56"/>
        <v>58</v>
      </c>
      <c r="ES64" s="15" t="str">
        <f t="shared" ca="1" si="57"/>
        <v>POR VENCER</v>
      </c>
      <c r="ET64" s="13">
        <v>44824</v>
      </c>
      <c r="EU64" s="14">
        <v>46094</v>
      </c>
      <c r="EV64" s="14">
        <f>DATE(YEAR(EU64)+2,MONTH(EU64),DAY(EU64))</f>
        <v>46825</v>
      </c>
      <c r="EW64" s="65">
        <f t="shared" ca="1" si="58"/>
        <v>694</v>
      </c>
      <c r="EX64" s="15" t="str">
        <f t="shared" ca="1" si="59"/>
        <v>VIGENTE</v>
      </c>
      <c r="EY64" s="13">
        <v>44630</v>
      </c>
      <c r="EZ64" s="14">
        <v>45953</v>
      </c>
      <c r="FA64" s="14">
        <f t="shared" si="227"/>
        <v>46683</v>
      </c>
      <c r="FB64" s="65">
        <f t="shared" ca="1" si="60"/>
        <v>552</v>
      </c>
      <c r="FC64" s="15" t="str">
        <f t="shared" ca="1" si="61"/>
        <v>VIGENTE</v>
      </c>
      <c r="FD64" s="13">
        <v>44629</v>
      </c>
      <c r="FE64" s="14">
        <v>45951</v>
      </c>
      <c r="FF64" s="14">
        <f t="shared" si="228"/>
        <v>46681</v>
      </c>
      <c r="FG64" s="65">
        <f t="shared" ca="1" si="62"/>
        <v>550</v>
      </c>
      <c r="FH64" s="15" t="str">
        <f t="shared" ca="1" si="63"/>
        <v>VIGENTE</v>
      </c>
      <c r="FI64" s="13">
        <v>45282</v>
      </c>
      <c r="FJ64" s="14">
        <v>45932</v>
      </c>
      <c r="FK64" s="14">
        <f t="shared" si="229"/>
        <v>46662</v>
      </c>
      <c r="FL64" s="65">
        <f t="shared" ca="1" si="64"/>
        <v>531</v>
      </c>
      <c r="FM64" s="15" t="str">
        <f t="shared" ca="1" si="65"/>
        <v>VIGENTE</v>
      </c>
      <c r="FN64" s="13">
        <v>44834</v>
      </c>
      <c r="FO64" s="14">
        <v>45479</v>
      </c>
      <c r="FP64" s="14">
        <f>DATE(YEAR(FO64)+2,MONTH(FO64),DAY(FO64)-1)</f>
        <v>46208</v>
      </c>
      <c r="FQ64" s="65">
        <f t="shared" ca="1" si="67"/>
        <v>77</v>
      </c>
      <c r="FR64" s="15" t="str">
        <f t="shared" ca="1" si="68"/>
        <v>POR VENCER</v>
      </c>
      <c r="FS64" s="13">
        <v>44832</v>
      </c>
      <c r="FT64" s="14">
        <v>45458</v>
      </c>
      <c r="FU64" s="14">
        <f>DATE(YEAR(FT64)+2,MONTH(FT64),DAY(FT64)-1)</f>
        <v>46187</v>
      </c>
      <c r="FV64" s="65">
        <f t="shared" ca="1" si="69"/>
        <v>56</v>
      </c>
      <c r="FW64" s="15" t="str">
        <f t="shared" ca="1" si="70"/>
        <v>POR VENCER</v>
      </c>
      <c r="FX64" s="13">
        <v>45230</v>
      </c>
      <c r="FY64" s="14">
        <v>45908</v>
      </c>
      <c r="FZ64" s="14">
        <f>DATE(YEAR(FY64)+2,MONTH(FY64),DAY(FY64))</f>
        <v>46638</v>
      </c>
      <c r="GA64" s="65">
        <f t="shared" ca="1" si="71"/>
        <v>507</v>
      </c>
      <c r="GB64" s="15" t="str">
        <f t="shared" ca="1" si="72"/>
        <v>VIGENTE</v>
      </c>
      <c r="GC64" s="13">
        <v>44826</v>
      </c>
      <c r="GD64" s="14">
        <v>45469</v>
      </c>
      <c r="GE64" s="14">
        <f>DATE(YEAR(GD64)+2,MONTH(GD64),DAY(GD64)-1)</f>
        <v>46198</v>
      </c>
      <c r="GF64" s="65">
        <f t="shared" ca="1" si="73"/>
        <v>67</v>
      </c>
      <c r="GG64" s="15" t="str">
        <f t="shared" ca="1" si="74"/>
        <v>POR VENCER</v>
      </c>
      <c r="GH64" s="13">
        <v>45562</v>
      </c>
      <c r="GI64" s="14">
        <v>45472</v>
      </c>
      <c r="GJ64" s="14">
        <f>DATE(YEAR(GI64)+2,MONTH(GI64),DAY(GI64)-1)</f>
        <v>46201</v>
      </c>
      <c r="GK64" s="65">
        <f t="shared" ca="1" si="75"/>
        <v>70</v>
      </c>
      <c r="GL64" s="15" t="str">
        <f t="shared" ca="1" si="76"/>
        <v>POR VENCER</v>
      </c>
      <c r="GM64" s="13">
        <v>44833</v>
      </c>
      <c r="GN64" s="14">
        <v>46093</v>
      </c>
      <c r="GO64" s="14">
        <f t="shared" si="231"/>
        <v>46824</v>
      </c>
      <c r="GP64" s="65">
        <f t="shared" ca="1" si="77"/>
        <v>693</v>
      </c>
      <c r="GQ64" s="15" t="str">
        <f t="shared" ca="1" si="78"/>
        <v>VIGENTE</v>
      </c>
      <c r="GR64" s="14">
        <v>44571</v>
      </c>
      <c r="GS64" s="14">
        <v>45244</v>
      </c>
      <c r="GT64" s="14">
        <f t="shared" si="79"/>
        <v>47071</v>
      </c>
      <c r="GU64" s="65">
        <f t="shared" ca="1" si="172"/>
        <v>940</v>
      </c>
      <c r="GV64" s="15" t="str">
        <f t="shared" ca="1" si="81"/>
        <v>VIGENTE</v>
      </c>
      <c r="GW64" s="13">
        <v>44573</v>
      </c>
      <c r="GX64" s="14">
        <v>45254</v>
      </c>
      <c r="GY64" s="14">
        <f t="shared" si="82"/>
        <v>47081</v>
      </c>
      <c r="GZ64" s="65">
        <f t="shared" ca="1" si="83"/>
        <v>950</v>
      </c>
      <c r="HA64" s="15" t="str">
        <f t="shared" ca="1" si="84"/>
        <v>VIGENTE</v>
      </c>
      <c r="HB64" s="13">
        <v>44565</v>
      </c>
      <c r="HC64" s="14">
        <v>45268</v>
      </c>
      <c r="HD64" s="14">
        <f t="shared" si="85"/>
        <v>47095</v>
      </c>
      <c r="HE64" s="65">
        <f t="shared" ca="1" si="86"/>
        <v>964</v>
      </c>
      <c r="HF64" s="15" t="str">
        <f t="shared" ca="1" si="87"/>
        <v>VIGENTE</v>
      </c>
      <c r="HG64" s="16"/>
      <c r="HH64" s="14">
        <v>44862</v>
      </c>
      <c r="HI64" s="14">
        <f>DATE(YEAR(HH64)+5,MONTH(HH64),DAY(HH64))</f>
        <v>46688</v>
      </c>
      <c r="HJ64" s="65">
        <f ca="1">HI64-TODAY()</f>
        <v>557</v>
      </c>
      <c r="HK64" s="15" t="str">
        <f t="shared" ca="1" si="217"/>
        <v>VIGENTE</v>
      </c>
      <c r="HL64" s="13">
        <v>44634</v>
      </c>
      <c r="HM64" s="14">
        <v>45370</v>
      </c>
      <c r="HN64" s="14">
        <f>DATE(YEAR(HM64)+5,MONTH(HM64),DAY(HM64))</f>
        <v>47196</v>
      </c>
      <c r="HO64" s="65">
        <f ca="1">HN64-TODAY()</f>
        <v>1065</v>
      </c>
      <c r="HP64" s="15" t="str">
        <f t="shared" ca="1" si="221"/>
        <v>VIGENTE</v>
      </c>
      <c r="HQ64" s="12"/>
      <c r="HR64" s="13">
        <v>45374</v>
      </c>
      <c r="HS64" s="14">
        <f>DATE(YEAR(HR64)+5,MONTH(HR64),DAY(HR64))</f>
        <v>47200</v>
      </c>
      <c r="HT64" s="65">
        <f ca="1">HS64-TODAY()</f>
        <v>1069</v>
      </c>
      <c r="HU64" s="15" t="str">
        <f t="shared" ca="1" si="92"/>
        <v>VIGENTE</v>
      </c>
      <c r="HV64" s="13">
        <v>44782</v>
      </c>
      <c r="HW64" s="14">
        <v>45440</v>
      </c>
      <c r="HX64" s="14">
        <f>DATE(YEAR(HW64)+5,MONTH(HW64),DAY(HW64))</f>
        <v>47266</v>
      </c>
      <c r="HY64" s="65">
        <f ca="1">HX64-TODAY()</f>
        <v>1135</v>
      </c>
      <c r="HZ64" s="15" t="str">
        <f t="shared" ca="1" si="93"/>
        <v>VIGENTE</v>
      </c>
      <c r="IA64" s="13">
        <v>44522</v>
      </c>
      <c r="IB64" s="14">
        <v>45234</v>
      </c>
      <c r="IC64" s="14">
        <f>DATE(YEAR(IB64)+5,MONTH(IB64),DAY(IB64))</f>
        <v>47061</v>
      </c>
      <c r="ID64" s="65">
        <f ca="1">IC64-TODAY()</f>
        <v>930</v>
      </c>
      <c r="IE64" s="15" t="str">
        <f t="shared" ca="1" si="94"/>
        <v>VIGENTE</v>
      </c>
      <c r="IF64" s="13">
        <v>44754</v>
      </c>
      <c r="IG64" s="14">
        <v>45470</v>
      </c>
      <c r="IH64" s="14">
        <f>DATE(YEAR(IG64)+5,MONTH(IG64),DAY(IG64))</f>
        <v>47296</v>
      </c>
      <c r="II64" s="65">
        <f ca="1">IH64-TODAY()</f>
        <v>1165</v>
      </c>
      <c r="IJ64" s="15" t="str">
        <f t="shared" ca="1" si="95"/>
        <v>VIGENTE</v>
      </c>
      <c r="IK64" s="14">
        <v>44795</v>
      </c>
      <c r="IL64" s="14">
        <v>45452</v>
      </c>
      <c r="IM64" s="14">
        <f>DATE(YEAR(IL64)+5,MONTH(IL64),DAY(IL64))</f>
        <v>47278</v>
      </c>
      <c r="IN64" s="65">
        <f ca="1">IM64-TODAY()</f>
        <v>1147</v>
      </c>
      <c r="IO64" s="15" t="str">
        <f t="shared" ca="1" si="96"/>
        <v>VIGENTE</v>
      </c>
      <c r="IP64" s="13">
        <v>44795</v>
      </c>
      <c r="IQ64" s="14">
        <v>45433</v>
      </c>
      <c r="IR64" s="14">
        <f>DATE(YEAR(IQ64)+5,MONTH(IQ64),DAY(IQ64))</f>
        <v>47259</v>
      </c>
      <c r="IS64" s="65">
        <f ca="1">IR64-TODAY()</f>
        <v>1128</v>
      </c>
      <c r="IT64" s="15" t="str">
        <f t="shared" ca="1" si="97"/>
        <v>VIGENTE</v>
      </c>
      <c r="IU64" s="13">
        <v>44792</v>
      </c>
      <c r="IV64" s="14">
        <v>45471</v>
      </c>
      <c r="IW64" s="14">
        <f>DATE(YEAR(IV64)+5,MONTH(IV64),DAY(IV64))</f>
        <v>47297</v>
      </c>
      <c r="IX64" s="65">
        <f ca="1">IW64-TODAY()</f>
        <v>1166</v>
      </c>
      <c r="IY64" s="15" t="str">
        <f t="shared" ca="1" si="98"/>
        <v>VIGENTE</v>
      </c>
      <c r="IZ64" s="13">
        <v>44522</v>
      </c>
      <c r="JA64" s="14">
        <v>45224</v>
      </c>
      <c r="JB64" s="14">
        <f>DATE(YEAR(JA64)+5,MONTH(JA64),DAY(JA64))</f>
        <v>47051</v>
      </c>
      <c r="JC64" s="65">
        <f ca="1">JB64-TODAY()</f>
        <v>920</v>
      </c>
      <c r="JD64" s="15" t="str">
        <f t="shared" ca="1" si="99"/>
        <v>VIGENTE</v>
      </c>
      <c r="JE64" s="13"/>
      <c r="JF64" s="13"/>
      <c r="JG64" s="14"/>
      <c r="JH64" s="65"/>
      <c r="JI64" s="15" t="str">
        <f t="shared" si="100"/>
        <v>NO APLICA</v>
      </c>
      <c r="JJ64" s="16"/>
      <c r="JK64" s="16"/>
      <c r="JL64" s="16"/>
      <c r="JM64" s="15" t="str">
        <f t="shared" si="101"/>
        <v>NO APLICA</v>
      </c>
      <c r="JN64" s="16"/>
      <c r="JO64" s="16"/>
      <c r="JP64" s="16"/>
      <c r="JQ64" s="15" t="str">
        <f t="shared" si="102"/>
        <v>NO APLICA</v>
      </c>
      <c r="JR64" s="16"/>
      <c r="JS64" s="16"/>
      <c r="JT64" s="16"/>
      <c r="JU64" s="16"/>
      <c r="JV64" s="15" t="str">
        <f t="shared" si="103"/>
        <v>NO APLICA</v>
      </c>
      <c r="JW64" s="15"/>
      <c r="JX64" s="15"/>
      <c r="JY64" s="15"/>
      <c r="JZ64" s="15"/>
      <c r="KA64" s="15" t="str">
        <f t="shared" si="104"/>
        <v>NO APLICA</v>
      </c>
      <c r="KB64" s="15"/>
      <c r="KC64" s="14"/>
      <c r="KD64" s="65"/>
      <c r="KE64" s="15" t="str">
        <f t="shared" si="105"/>
        <v>NO APLICA</v>
      </c>
      <c r="KF64" s="15"/>
      <c r="KG64" s="14"/>
      <c r="KH64" s="65"/>
      <c r="KI64" s="15" t="str">
        <f t="shared" si="132"/>
        <v>NO APLICA</v>
      </c>
      <c r="KJ64" s="15"/>
      <c r="KK64" s="14"/>
      <c r="KL64" s="65"/>
      <c r="KM64" s="15" t="str">
        <f t="shared" si="106"/>
        <v>NO APLICA</v>
      </c>
      <c r="KN64" s="13">
        <v>45346</v>
      </c>
      <c r="KO64" s="14">
        <f>DATE(YEAR(KN64)+5,MONTH(KN64),DAY(KN64))</f>
        <v>47173</v>
      </c>
      <c r="KP64" s="65">
        <f ca="1">KO64-TODAY()</f>
        <v>1042</v>
      </c>
      <c r="KQ64" s="15" t="str">
        <f t="shared" ca="1" si="133"/>
        <v>VIGENTE</v>
      </c>
      <c r="KR64" s="12"/>
      <c r="KS64" s="16"/>
      <c r="KT64" s="14"/>
      <c r="KU64" s="65"/>
      <c r="KV64" s="15" t="str">
        <f t="shared" si="147"/>
        <v>NO APLICA</v>
      </c>
      <c r="KW64" s="14">
        <v>44609</v>
      </c>
      <c r="KX64" s="14">
        <f>DATE(YEAR(KW64)+5,MONTH(KW64),DAY(KW64))</f>
        <v>46435</v>
      </c>
      <c r="KY64" s="65">
        <f ca="1">KX64-TODAY()</f>
        <v>304</v>
      </c>
      <c r="KZ64" s="15" t="str">
        <f t="shared" ca="1" si="134"/>
        <v>VIGENTE</v>
      </c>
      <c r="LA64" s="14">
        <v>44494</v>
      </c>
      <c r="LB64" s="14">
        <v>45611</v>
      </c>
      <c r="LC64" s="14">
        <f>DATE(YEAR(LB64)+2,MONTH(LB64),DAY(LB64))</f>
        <v>46341</v>
      </c>
      <c r="LD64" s="65">
        <f ca="1">LC64-TODAY()</f>
        <v>210</v>
      </c>
      <c r="LE64" s="15" t="str">
        <f t="shared" ca="1" si="107"/>
        <v>VIGENTE</v>
      </c>
      <c r="LF64" s="15"/>
      <c r="LG64" s="15"/>
      <c r="LH64" s="14"/>
      <c r="LI64" s="65"/>
      <c r="LJ64" s="15" t="str">
        <f t="shared" si="148"/>
        <v>NO APLICA</v>
      </c>
      <c r="LK64" s="15"/>
      <c r="LL64" s="16"/>
      <c r="LM64" s="14"/>
      <c r="LN64" s="65"/>
      <c r="LO64" s="15" t="str">
        <f t="shared" si="135"/>
        <v>NO APLICA</v>
      </c>
      <c r="LP64" s="16"/>
      <c r="LQ64" s="16"/>
      <c r="LR64" s="14"/>
      <c r="LS64" s="65"/>
      <c r="LT64" s="15" t="str">
        <f t="shared" si="136"/>
        <v>NO APLICA</v>
      </c>
      <c r="LU64" s="16"/>
      <c r="LV64" s="16"/>
      <c r="LW64" s="14"/>
      <c r="LX64" s="65"/>
      <c r="LY64" s="15" t="str">
        <f t="shared" si="137"/>
        <v>NO APLICA</v>
      </c>
      <c r="LZ64" s="15"/>
      <c r="MA64" s="15"/>
      <c r="MB64" s="14"/>
      <c r="MC64" s="65"/>
      <c r="MD64" s="15" t="str">
        <f t="shared" si="108"/>
        <v>NO APLICA</v>
      </c>
      <c r="ME64" s="15"/>
      <c r="MF64" s="15"/>
      <c r="MG64" s="14"/>
      <c r="MH64" s="65"/>
      <c r="MI64" s="15" t="str">
        <f t="shared" si="109"/>
        <v>NO APLICA</v>
      </c>
      <c r="MJ64" s="13">
        <v>45154</v>
      </c>
      <c r="MK64" s="14">
        <f>DATE(YEAR(MJ64)+5,MONTH(MJ64),DAY(MJ64))</f>
        <v>46981</v>
      </c>
      <c r="ML64" s="65">
        <f ca="1">MK64-TODAY()</f>
        <v>850</v>
      </c>
      <c r="MM64" s="15" t="str">
        <f t="shared" ca="1" si="110"/>
        <v>VIGENTE</v>
      </c>
      <c r="MN64" s="13">
        <v>45155</v>
      </c>
      <c r="MO64" s="14">
        <f>DATE(YEAR(MN64)+5,MONTH(MN64),DAY(MN64))</f>
        <v>46982</v>
      </c>
      <c r="MP64" s="65">
        <f ca="1">MO64-TODAY()</f>
        <v>851</v>
      </c>
      <c r="MQ64" s="15" t="str">
        <f t="shared" ca="1" si="111"/>
        <v>VIGENTE</v>
      </c>
      <c r="MR64" s="15"/>
      <c r="MS64" s="16"/>
      <c r="MT64" s="14"/>
      <c r="MU64" s="65"/>
      <c r="MV64" s="15" t="str">
        <f t="shared" si="112"/>
        <v>NO APLICA</v>
      </c>
      <c r="MW64" s="15"/>
      <c r="MX64" s="16"/>
      <c r="MY64" s="14"/>
      <c r="MZ64" s="65"/>
      <c r="NA64" s="15" t="str">
        <f t="shared" si="113"/>
        <v>NO APLICA</v>
      </c>
      <c r="NB64" s="15"/>
      <c r="NC64" s="16"/>
      <c r="ND64" s="14"/>
      <c r="NE64" s="65"/>
      <c r="NF64" s="15" t="str">
        <f t="shared" si="114"/>
        <v>NO APLICA</v>
      </c>
      <c r="NG64" s="15"/>
      <c r="NH64" s="15"/>
      <c r="NI64" s="15"/>
      <c r="NJ64" s="15"/>
      <c r="NK64" s="15" t="str">
        <f t="shared" si="115"/>
        <v>NO APLICA</v>
      </c>
      <c r="NL64" s="15"/>
      <c r="NM64" s="15"/>
      <c r="NN64" s="15"/>
      <c r="NO64" s="15"/>
      <c r="NP64" s="15" t="str">
        <f t="shared" si="116"/>
        <v>NO APLICA</v>
      </c>
      <c r="NQ64" s="16"/>
      <c r="NR64" s="16"/>
      <c r="NS64" s="14"/>
      <c r="NT64" s="65"/>
      <c r="NU64" s="15" t="str">
        <f t="shared" si="117"/>
        <v>NO APLICA</v>
      </c>
      <c r="NV64" s="16"/>
      <c r="NW64" s="16"/>
      <c r="NX64" s="16"/>
      <c r="NY64" s="16"/>
      <c r="NZ64" s="15" t="str">
        <f t="shared" si="118"/>
        <v>NO APLICA</v>
      </c>
    </row>
    <row r="65" spans="1:390" ht="15.6" thickTop="1" thickBot="1" x14ac:dyDescent="0.35">
      <c r="A65" s="9">
        <v>458</v>
      </c>
      <c r="B65" s="10" t="s">
        <v>302</v>
      </c>
      <c r="C65" s="21" t="s">
        <v>98</v>
      </c>
      <c r="D65" s="64" t="s">
        <v>172</v>
      </c>
      <c r="E65" s="15"/>
      <c r="F65" s="16"/>
      <c r="G65" s="14"/>
      <c r="H65" s="65"/>
      <c r="I65" s="15" t="str">
        <f t="shared" si="0"/>
        <v>NO APLICA</v>
      </c>
      <c r="J65" s="15"/>
      <c r="K65" s="16"/>
      <c r="L65" s="16"/>
      <c r="M65" s="65"/>
      <c r="N65" s="15" t="str">
        <f t="shared" si="1"/>
        <v>NO APLICA</v>
      </c>
      <c r="O65" s="14">
        <v>45582</v>
      </c>
      <c r="P65" s="14">
        <v>45583</v>
      </c>
      <c r="Q65" s="14">
        <f>DATE(YEAR(P65)+2,MONTH(P65),DAY(P65)-1)</f>
        <v>46312</v>
      </c>
      <c r="R65" s="65">
        <f ca="1">Q65-TODAY()</f>
        <v>181</v>
      </c>
      <c r="S65" s="15" t="str">
        <f t="shared" ca="1" si="119"/>
        <v>VIGENTE</v>
      </c>
      <c r="T65" s="12" t="s">
        <v>303</v>
      </c>
      <c r="U65" s="13">
        <v>45425</v>
      </c>
      <c r="V65" s="14">
        <v>45426</v>
      </c>
      <c r="W65" s="14">
        <f t="shared" si="2"/>
        <v>47252</v>
      </c>
      <c r="X65" s="65">
        <f t="shared" ca="1" si="3"/>
        <v>1121</v>
      </c>
      <c r="Y65" s="15" t="str">
        <f t="shared" ca="1" si="4"/>
        <v>VIGENTE</v>
      </c>
      <c r="Z65" s="12" t="s">
        <v>304</v>
      </c>
      <c r="AA65" s="13">
        <v>45189</v>
      </c>
      <c r="AB65" s="14">
        <v>45190</v>
      </c>
      <c r="AC65" s="14">
        <f>DATE(YEAR(AB65)+5,MONTH(AB65),DAY(AB65))</f>
        <v>47017</v>
      </c>
      <c r="AD65" s="65">
        <f ca="1">AC65-TODAY()</f>
        <v>886</v>
      </c>
      <c r="AE65" s="15" t="str">
        <f t="shared" ca="1" si="7"/>
        <v>VIGENTE</v>
      </c>
      <c r="AF65" s="13">
        <v>45234</v>
      </c>
      <c r="AG65" s="14">
        <v>45902</v>
      </c>
      <c r="AH65" s="14">
        <f>DATE(YEAR(AG65)+2,MONTH(AG65),DAY(AG65))</f>
        <v>46632</v>
      </c>
      <c r="AI65" s="65">
        <f t="shared" ca="1" si="8"/>
        <v>501</v>
      </c>
      <c r="AJ65" s="15" t="str">
        <f t="shared" ca="1" si="213"/>
        <v>VIGENTE</v>
      </c>
      <c r="AK65" s="13">
        <v>45108</v>
      </c>
      <c r="AL65" s="14">
        <v>45748</v>
      </c>
      <c r="AM65" s="14">
        <f>DATE(YEAR(AL65)+2,MONTH(AL65),DAY(AL65)-1)</f>
        <v>46477</v>
      </c>
      <c r="AN65" s="65">
        <f t="shared" ca="1" si="10"/>
        <v>346</v>
      </c>
      <c r="AO65" s="15" t="str">
        <f t="shared" ca="1" si="11"/>
        <v>VIGENTE</v>
      </c>
      <c r="AP65" s="13">
        <v>45226</v>
      </c>
      <c r="AQ65" s="14">
        <v>45887</v>
      </c>
      <c r="AR65" s="14">
        <f t="shared" si="230"/>
        <v>46617</v>
      </c>
      <c r="AS65" s="65">
        <f t="shared" ca="1" si="12"/>
        <v>486</v>
      </c>
      <c r="AT65" s="15" t="str">
        <f t="shared" ca="1" si="13"/>
        <v>VIGENTE</v>
      </c>
      <c r="AU65" s="13">
        <v>45227</v>
      </c>
      <c r="AV65" s="14">
        <v>45927</v>
      </c>
      <c r="AW65" s="14">
        <f t="shared" si="225"/>
        <v>46657</v>
      </c>
      <c r="AX65" s="65">
        <f t="shared" ca="1" si="15"/>
        <v>526</v>
      </c>
      <c r="AY65" s="15" t="str">
        <f t="shared" ca="1" si="16"/>
        <v>VIGENTE</v>
      </c>
      <c r="AZ65" s="13">
        <v>45237</v>
      </c>
      <c r="BA65" s="14">
        <v>45901</v>
      </c>
      <c r="BB65" s="14">
        <f>DATE(YEAR(BA65)+2,MONTH(BA65),DAY(BA65))</f>
        <v>46631</v>
      </c>
      <c r="BC65" s="65">
        <f t="shared" ca="1" si="17"/>
        <v>500</v>
      </c>
      <c r="BD65" s="15" t="str">
        <f t="shared" ca="1" si="18"/>
        <v>VIGENTE</v>
      </c>
      <c r="BE65" s="13">
        <v>45177</v>
      </c>
      <c r="BF65" s="14">
        <v>45826</v>
      </c>
      <c r="BG65" s="14">
        <f>DATE(YEAR(BF65)+2,MONTH(BF65),DAY(BF65))</f>
        <v>46556</v>
      </c>
      <c r="BH65" s="65">
        <f t="shared" ca="1" si="19"/>
        <v>425</v>
      </c>
      <c r="BI65" s="15" t="str">
        <f t="shared" ca="1" si="20"/>
        <v>VIGENTE</v>
      </c>
      <c r="BJ65" s="13">
        <v>45118</v>
      </c>
      <c r="BK65" s="14">
        <v>45759</v>
      </c>
      <c r="BL65" s="14">
        <f>DATE(YEAR(BK65)+2,MONTH(BK65),DAY(BK65)-1)</f>
        <v>46488</v>
      </c>
      <c r="BM65" s="65">
        <f t="shared" ca="1" si="21"/>
        <v>357</v>
      </c>
      <c r="BN65" s="15" t="str">
        <f t="shared" ca="1" si="22"/>
        <v>VIGENTE</v>
      </c>
      <c r="BO65" s="13">
        <v>45126</v>
      </c>
      <c r="BP65" s="14">
        <v>45750</v>
      </c>
      <c r="BQ65" s="14">
        <f>DATE(YEAR(BP65)+2,MONTH(BP65),DAY(BP65)-1)</f>
        <v>46479</v>
      </c>
      <c r="BR65" s="65">
        <f t="shared" ca="1" si="23"/>
        <v>348</v>
      </c>
      <c r="BS65" s="15" t="str">
        <f t="shared" ca="1" si="24"/>
        <v>VIGENTE</v>
      </c>
      <c r="BT65" s="13">
        <v>45183</v>
      </c>
      <c r="BU65" s="14">
        <v>45853</v>
      </c>
      <c r="BV65" s="14">
        <f>DATE(YEAR(BU65)+2,MONTH(BU65),DAY(BU65))</f>
        <v>46583</v>
      </c>
      <c r="BW65" s="65">
        <f t="shared" ca="1" si="25"/>
        <v>452</v>
      </c>
      <c r="BX65" s="15" t="str">
        <f t="shared" ca="1" si="26"/>
        <v>VIGENTE</v>
      </c>
      <c r="BY65" s="12">
        <v>45111</v>
      </c>
      <c r="BZ65" s="14">
        <v>45770</v>
      </c>
      <c r="CA65" s="14">
        <f t="shared" si="232"/>
        <v>46500</v>
      </c>
      <c r="CB65" s="65">
        <f t="shared" ca="1" si="27"/>
        <v>369</v>
      </c>
      <c r="CC65" s="15" t="str">
        <f t="shared" ca="1" si="28"/>
        <v>VIGENTE</v>
      </c>
      <c r="CD65" s="16" t="s">
        <v>108</v>
      </c>
      <c r="CE65" s="14">
        <v>45532</v>
      </c>
      <c r="CF65" s="14">
        <v>45533</v>
      </c>
      <c r="CG65" s="14">
        <f t="shared" si="29"/>
        <v>46994</v>
      </c>
      <c r="CH65" s="65">
        <f t="shared" ca="1" si="30"/>
        <v>863</v>
      </c>
      <c r="CI65" s="15" t="str">
        <f t="shared" ca="1" si="31"/>
        <v>VIGENTE</v>
      </c>
      <c r="CJ65" s="14">
        <v>45156</v>
      </c>
      <c r="CK65" s="14">
        <v>45801</v>
      </c>
      <c r="CL65" s="14">
        <f>DATE(YEAR(CK65)+2,MONTH(CK65),DAY(CK65)-1)</f>
        <v>46530</v>
      </c>
      <c r="CM65" s="65">
        <f t="shared" ca="1" si="32"/>
        <v>399</v>
      </c>
      <c r="CN65" s="15" t="str">
        <f t="shared" ca="1" si="33"/>
        <v>VIGENTE</v>
      </c>
      <c r="CO65" s="13">
        <v>45246</v>
      </c>
      <c r="CP65" s="14">
        <v>45888</v>
      </c>
      <c r="CQ65" s="14">
        <f>DATE(YEAR(CP65)+2,MONTH(CP65),DAY(CP65))</f>
        <v>46618</v>
      </c>
      <c r="CR65" s="65">
        <f t="shared" ca="1" si="34"/>
        <v>487</v>
      </c>
      <c r="CS65" s="15" t="str">
        <f t="shared" ca="1" si="35"/>
        <v>VIGENTE</v>
      </c>
      <c r="CT65" s="13">
        <v>45142</v>
      </c>
      <c r="CU65" s="14">
        <v>45805</v>
      </c>
      <c r="CV65" s="14">
        <f>DATE(YEAR(CU65)+2,MONTH(CU65),DAY(CU65))</f>
        <v>46535</v>
      </c>
      <c r="CW65" s="65">
        <f t="shared" ca="1" si="36"/>
        <v>404</v>
      </c>
      <c r="CX65" s="15" t="str">
        <f t="shared" ca="1" si="37"/>
        <v>VIGENTE</v>
      </c>
      <c r="CY65" s="13">
        <v>45171</v>
      </c>
      <c r="CZ65" s="14">
        <v>45835</v>
      </c>
      <c r="DA65" s="14">
        <f>DATE(YEAR(CZ65)+2,MONTH(CZ65),DAY(CZ65))</f>
        <v>46565</v>
      </c>
      <c r="DB65" s="65">
        <f t="shared" ca="1" si="38"/>
        <v>434</v>
      </c>
      <c r="DC65" s="15" t="str">
        <f t="shared" ca="1" si="39"/>
        <v>VIGENTE</v>
      </c>
      <c r="DD65" s="13">
        <v>45129</v>
      </c>
      <c r="DE65" s="14">
        <v>45761</v>
      </c>
      <c r="DF65" s="14">
        <f>DATE(YEAR(DE65)+2,MONTH(DE65),DAY(DE65))</f>
        <v>46491</v>
      </c>
      <c r="DG65" s="65">
        <f t="shared" ca="1" si="40"/>
        <v>360</v>
      </c>
      <c r="DH65" s="15" t="str">
        <f t="shared" ca="1" si="41"/>
        <v>VIGENTE</v>
      </c>
      <c r="DI65" s="13">
        <v>45167</v>
      </c>
      <c r="DJ65" s="14">
        <v>45779</v>
      </c>
      <c r="DK65" s="14">
        <f t="shared" ref="DK65:DK71" si="233">DATE(YEAR(DJ65)+2,MONTH(DJ65),DAY(DJ65))</f>
        <v>46509</v>
      </c>
      <c r="DL65" s="65">
        <f t="shared" ca="1" si="43"/>
        <v>378</v>
      </c>
      <c r="DM65" s="15" t="str">
        <f t="shared" ca="1" si="44"/>
        <v>VIGENTE</v>
      </c>
      <c r="DN65" s="13">
        <v>45198</v>
      </c>
      <c r="DO65" s="14">
        <v>45857</v>
      </c>
      <c r="DP65" s="14">
        <f>DATE(YEAR(DO65)+2,MONTH(DO65),DAY(DO65))</f>
        <v>46587</v>
      </c>
      <c r="DQ65" s="65">
        <f t="shared" ca="1" si="46"/>
        <v>456</v>
      </c>
      <c r="DR65" s="15" t="str">
        <f t="shared" ca="1" si="47"/>
        <v>VIGENTE</v>
      </c>
      <c r="DS65" s="13">
        <v>45131</v>
      </c>
      <c r="DT65" s="14">
        <v>45800</v>
      </c>
      <c r="DU65" s="14">
        <f>DATE(YEAR(DT65)+2,MONTH(DT65),DAY(DT65)-1)</f>
        <v>46529</v>
      </c>
      <c r="DV65" s="65">
        <f t="shared" ca="1" si="48"/>
        <v>398</v>
      </c>
      <c r="DW65" s="15" t="str">
        <f t="shared" ca="1" si="49"/>
        <v>VIGENTE</v>
      </c>
      <c r="DX65" s="13">
        <v>45149</v>
      </c>
      <c r="DY65" s="14">
        <v>45804</v>
      </c>
      <c r="DZ65" s="14">
        <f>DATE(YEAR(DY65)+2,MONTH(DY65),DAY(DY65))</f>
        <v>46534</v>
      </c>
      <c r="EA65" s="65">
        <f t="shared" ca="1" si="50"/>
        <v>403</v>
      </c>
      <c r="EB65" s="15" t="str">
        <f t="shared" ca="1" si="51"/>
        <v>VIGENTE</v>
      </c>
      <c r="EC65" s="13">
        <v>45157</v>
      </c>
      <c r="ED65" s="14">
        <v>45787</v>
      </c>
      <c r="EE65" s="14">
        <f>DATE(YEAR(ED65)+2,MONTH(ED65),DAY(ED65))</f>
        <v>46517</v>
      </c>
      <c r="EF65" s="65">
        <f t="shared" ca="1" si="52"/>
        <v>386</v>
      </c>
      <c r="EG65" s="15" t="str">
        <f t="shared" ca="1" si="53"/>
        <v>VIGENTE</v>
      </c>
      <c r="EH65" s="13">
        <v>45253</v>
      </c>
      <c r="EI65" s="13">
        <v>45909</v>
      </c>
      <c r="EJ65" s="13">
        <v>45910</v>
      </c>
      <c r="EK65" s="13">
        <v>45911</v>
      </c>
      <c r="EL65" s="14">
        <f t="shared" si="128"/>
        <v>46276</v>
      </c>
      <c r="EM65" s="65">
        <f t="shared" ca="1" si="54"/>
        <v>145</v>
      </c>
      <c r="EN65" s="15" t="str">
        <f t="shared" ca="1" si="55"/>
        <v>VIGENTE</v>
      </c>
      <c r="EO65" s="13">
        <v>45175</v>
      </c>
      <c r="EP65" s="14">
        <v>45840</v>
      </c>
      <c r="EQ65" s="14">
        <f>DATE(YEAR(EP65)+2,MONTH(EP65),DAY(EP65))</f>
        <v>46570</v>
      </c>
      <c r="ER65" s="65">
        <f t="shared" ca="1" si="56"/>
        <v>439</v>
      </c>
      <c r="ES65" s="15" t="str">
        <f t="shared" ca="1" si="57"/>
        <v>VIGENTE</v>
      </c>
      <c r="ET65" s="13">
        <v>45178</v>
      </c>
      <c r="EU65" s="14">
        <v>45824</v>
      </c>
      <c r="EV65" s="14">
        <f>DATE(YEAR(EU65)+2,MONTH(EU65),DAY(EU65))</f>
        <v>46554</v>
      </c>
      <c r="EW65" s="65">
        <f t="shared" ca="1" si="58"/>
        <v>423</v>
      </c>
      <c r="EX65" s="15" t="str">
        <f t="shared" ca="1" si="59"/>
        <v>VIGENTE</v>
      </c>
      <c r="EY65" s="13">
        <v>45143</v>
      </c>
      <c r="EZ65" s="14">
        <v>45794</v>
      </c>
      <c r="FA65" s="14">
        <f t="shared" si="227"/>
        <v>46524</v>
      </c>
      <c r="FB65" s="65">
        <f t="shared" ca="1" si="60"/>
        <v>393</v>
      </c>
      <c r="FC65" s="15" t="str">
        <f t="shared" ca="1" si="61"/>
        <v>VIGENTE</v>
      </c>
      <c r="FD65" s="13">
        <v>45241</v>
      </c>
      <c r="FE65" s="14">
        <v>45922</v>
      </c>
      <c r="FF65" s="14">
        <f t="shared" si="228"/>
        <v>46652</v>
      </c>
      <c r="FG65" s="65">
        <f t="shared" ca="1" si="62"/>
        <v>521</v>
      </c>
      <c r="FH65" s="15" t="str">
        <f t="shared" ca="1" si="63"/>
        <v>VIGENTE</v>
      </c>
      <c r="FI65" s="13">
        <v>45145</v>
      </c>
      <c r="FJ65" s="14">
        <v>45790</v>
      </c>
      <c r="FK65" s="14">
        <f t="shared" si="229"/>
        <v>46520</v>
      </c>
      <c r="FL65" s="65">
        <f t="shared" ca="1" si="64"/>
        <v>389</v>
      </c>
      <c r="FM65" s="15" t="str">
        <f t="shared" ca="1" si="65"/>
        <v>VIGENTE</v>
      </c>
      <c r="FN65" s="13">
        <v>45197</v>
      </c>
      <c r="FO65" s="14">
        <v>45850</v>
      </c>
      <c r="FP65" s="14">
        <f>DATE(YEAR(FO65)+2,MONTH(FO65),DAY(FO65))</f>
        <v>46580</v>
      </c>
      <c r="FQ65" s="65">
        <f t="shared" ca="1" si="67"/>
        <v>449</v>
      </c>
      <c r="FR65" s="15" t="str">
        <f t="shared" ca="1" si="68"/>
        <v>VIGENTE</v>
      </c>
      <c r="FS65" s="13">
        <v>45211</v>
      </c>
      <c r="FT65" s="14">
        <v>45884</v>
      </c>
      <c r="FU65" s="14">
        <f>DATE(YEAR(FT65)+2,MONTH(FT65),DAY(FT65))</f>
        <v>46614</v>
      </c>
      <c r="FV65" s="65">
        <f t="shared" ca="1" si="69"/>
        <v>483</v>
      </c>
      <c r="FW65" s="15" t="str">
        <f t="shared" ca="1" si="70"/>
        <v>VIGENTE</v>
      </c>
      <c r="FX65" s="13">
        <v>45128</v>
      </c>
      <c r="FY65" s="14">
        <v>45758</v>
      </c>
      <c r="FZ65" s="14">
        <f>DATE(YEAR(FY65)+2,MONTH(FY65),DAY(FY65)-1)</f>
        <v>46487</v>
      </c>
      <c r="GA65" s="65">
        <f t="shared" ca="1" si="71"/>
        <v>356</v>
      </c>
      <c r="GB65" s="15" t="str">
        <f t="shared" ca="1" si="72"/>
        <v>VIGENTE</v>
      </c>
      <c r="GC65" s="13">
        <v>45202</v>
      </c>
      <c r="GD65" s="14">
        <v>45874</v>
      </c>
      <c r="GE65" s="14">
        <f>DATE(YEAR(GD65)+2,MONTH(GD65),DAY(GD65))</f>
        <v>46604</v>
      </c>
      <c r="GF65" s="65">
        <f t="shared" ca="1" si="73"/>
        <v>473</v>
      </c>
      <c r="GG65" s="15" t="str">
        <f t="shared" ca="1" si="74"/>
        <v>VIGENTE</v>
      </c>
      <c r="GH65" s="13">
        <v>45252</v>
      </c>
      <c r="GI65" s="14">
        <v>45912</v>
      </c>
      <c r="GJ65" s="14">
        <f>DATE(YEAR(GI65)+2,MONTH(GI65),DAY(GI65))</f>
        <v>46642</v>
      </c>
      <c r="GK65" s="65">
        <f t="shared" ca="1" si="75"/>
        <v>511</v>
      </c>
      <c r="GL65" s="15" t="str">
        <f t="shared" ca="1" si="76"/>
        <v>VIGENTE</v>
      </c>
      <c r="GM65" s="13">
        <v>45247</v>
      </c>
      <c r="GN65" s="14">
        <v>45923</v>
      </c>
      <c r="GO65" s="14">
        <f t="shared" si="231"/>
        <v>46653</v>
      </c>
      <c r="GP65" s="65">
        <f t="shared" ca="1" si="77"/>
        <v>522</v>
      </c>
      <c r="GQ65" s="15" t="str">
        <f t="shared" ca="1" si="78"/>
        <v>VIGENTE</v>
      </c>
      <c r="GR65" s="14"/>
      <c r="GS65" s="14">
        <v>45219</v>
      </c>
      <c r="GT65" s="14">
        <f t="shared" si="79"/>
        <v>47046</v>
      </c>
      <c r="GU65" s="65">
        <f t="shared" ca="1" si="172"/>
        <v>915</v>
      </c>
      <c r="GV65" s="15" t="str">
        <f t="shared" ca="1" si="81"/>
        <v>VIGENTE</v>
      </c>
      <c r="GW65" s="13"/>
      <c r="GX65" s="14">
        <v>45203</v>
      </c>
      <c r="GY65" s="14">
        <f t="shared" si="82"/>
        <v>47030</v>
      </c>
      <c r="GZ65" s="65">
        <f t="shared" ca="1" si="83"/>
        <v>899</v>
      </c>
      <c r="HA65" s="15" t="str">
        <f t="shared" ca="1" si="84"/>
        <v>VIGENTE</v>
      </c>
      <c r="HB65" s="12"/>
      <c r="HC65" s="14">
        <v>45174</v>
      </c>
      <c r="HD65" s="14">
        <f t="shared" si="85"/>
        <v>47001</v>
      </c>
      <c r="HE65" s="65">
        <f t="shared" ca="1" si="86"/>
        <v>870</v>
      </c>
      <c r="HF65" s="15" t="str">
        <f t="shared" ca="1" si="87"/>
        <v>VIGENTE</v>
      </c>
      <c r="HG65" s="16"/>
      <c r="HH65" s="14">
        <v>45196</v>
      </c>
      <c r="HI65" s="14">
        <f>DATE(YEAR(HH65)+5,MONTH(HH65),DAY(HH65))</f>
        <v>47023</v>
      </c>
      <c r="HJ65" s="65">
        <f ca="1">HI65-TODAY()</f>
        <v>892</v>
      </c>
      <c r="HK65" s="15" t="str">
        <f t="shared" ca="1" si="217"/>
        <v>VIGENTE</v>
      </c>
      <c r="HL65" s="12"/>
      <c r="HM65" s="16"/>
      <c r="HN65" s="14"/>
      <c r="HO65" s="65"/>
      <c r="HP65" s="15" t="str">
        <f t="shared" si="221"/>
        <v>NO APLICA</v>
      </c>
      <c r="HQ65" s="12"/>
      <c r="HR65" s="15"/>
      <c r="HS65" s="14"/>
      <c r="HT65" s="15"/>
      <c r="HU65" s="15" t="str">
        <f t="shared" si="92"/>
        <v>NO APLICA</v>
      </c>
      <c r="HV65" s="12"/>
      <c r="HW65" s="16"/>
      <c r="HX65" s="14"/>
      <c r="HY65" s="65"/>
      <c r="HZ65" s="15" t="str">
        <f t="shared" si="93"/>
        <v>NO APLICA</v>
      </c>
      <c r="IA65" s="12"/>
      <c r="IB65" s="16"/>
      <c r="IC65" s="14"/>
      <c r="ID65" s="65"/>
      <c r="IE65" s="15" t="str">
        <f t="shared" si="94"/>
        <v>NO APLICA</v>
      </c>
      <c r="IF65" s="12"/>
      <c r="IG65" s="16"/>
      <c r="IH65" s="14"/>
      <c r="II65" s="65"/>
      <c r="IJ65" s="15" t="str">
        <f t="shared" si="95"/>
        <v>NO APLICA</v>
      </c>
      <c r="IK65" s="16"/>
      <c r="IL65" s="16"/>
      <c r="IM65" s="14"/>
      <c r="IN65" s="65"/>
      <c r="IO65" s="15" t="str">
        <f t="shared" si="96"/>
        <v>NO APLICA</v>
      </c>
      <c r="IP65" s="12"/>
      <c r="IQ65" s="16"/>
      <c r="IR65" s="14"/>
      <c r="IS65" s="65"/>
      <c r="IT65" s="15" t="str">
        <f t="shared" si="97"/>
        <v>NO APLICA</v>
      </c>
      <c r="IU65" s="12"/>
      <c r="IV65" s="16"/>
      <c r="IW65" s="14"/>
      <c r="IX65" s="65"/>
      <c r="IY65" s="15" t="str">
        <f t="shared" si="98"/>
        <v>NO APLICA</v>
      </c>
      <c r="IZ65" s="12"/>
      <c r="JA65" s="16"/>
      <c r="JB65" s="14"/>
      <c r="JC65" s="65"/>
      <c r="JD65" s="15" t="str">
        <f t="shared" si="99"/>
        <v>NO APLICA</v>
      </c>
      <c r="JE65" s="13"/>
      <c r="JF65" s="13"/>
      <c r="JG65" s="14"/>
      <c r="JH65" s="65"/>
      <c r="JI65" s="15" t="str">
        <f t="shared" si="100"/>
        <v>NO APLICA</v>
      </c>
      <c r="JJ65" s="16"/>
      <c r="JK65" s="16"/>
      <c r="JL65" s="16"/>
      <c r="JM65" s="15" t="str">
        <f t="shared" si="101"/>
        <v>NO APLICA</v>
      </c>
      <c r="JN65" s="16"/>
      <c r="JO65" s="16"/>
      <c r="JP65" s="16"/>
      <c r="JQ65" s="15" t="str">
        <f t="shared" si="102"/>
        <v>NO APLICA</v>
      </c>
      <c r="JR65" s="16"/>
      <c r="JS65" s="16"/>
      <c r="JT65" s="16"/>
      <c r="JU65" s="16"/>
      <c r="JV65" s="15" t="str">
        <f t="shared" si="103"/>
        <v>NO APLICA</v>
      </c>
      <c r="JW65" s="15"/>
      <c r="JX65" s="15"/>
      <c r="JY65" s="15"/>
      <c r="JZ65" s="15"/>
      <c r="KA65" s="15" t="str">
        <f t="shared" si="104"/>
        <v>NO APLICA</v>
      </c>
      <c r="KB65" s="15"/>
      <c r="KC65" s="14"/>
      <c r="KD65" s="65"/>
      <c r="KE65" s="15" t="str">
        <f t="shared" si="105"/>
        <v>NO APLICA</v>
      </c>
      <c r="KF65" s="15"/>
      <c r="KG65" s="14"/>
      <c r="KH65" s="65"/>
      <c r="KI65" s="15" t="str">
        <f t="shared" si="132"/>
        <v>NO APLICA</v>
      </c>
      <c r="KJ65" s="15"/>
      <c r="KK65" s="14"/>
      <c r="KL65" s="65"/>
      <c r="KM65" s="15" t="str">
        <f t="shared" si="106"/>
        <v>NO APLICA</v>
      </c>
      <c r="KN65" s="12"/>
      <c r="KO65" s="14"/>
      <c r="KP65" s="65"/>
      <c r="KQ65" s="15" t="str">
        <f t="shared" si="133"/>
        <v>NO APLICA</v>
      </c>
      <c r="KR65" s="13">
        <v>44650</v>
      </c>
      <c r="KS65" s="14">
        <v>44651</v>
      </c>
      <c r="KT65" s="14">
        <f>DATE(YEAR(KS65)+5,MONTH(KS65),DAY(KS65))</f>
        <v>46477</v>
      </c>
      <c r="KU65" s="65">
        <f ca="1">KT65-TODAY()</f>
        <v>346</v>
      </c>
      <c r="KV65" s="15" t="str">
        <f t="shared" ca="1" si="147"/>
        <v>VIGENTE</v>
      </c>
      <c r="KW65" s="16"/>
      <c r="KX65" s="14"/>
      <c r="KY65" s="65"/>
      <c r="KZ65" s="15" t="str">
        <f t="shared" si="134"/>
        <v>NO APLICA</v>
      </c>
      <c r="LA65" s="16"/>
      <c r="LB65" s="16"/>
      <c r="LC65" s="14"/>
      <c r="LD65" s="65"/>
      <c r="LE65" s="15" t="str">
        <f t="shared" si="107"/>
        <v>NO APLICA</v>
      </c>
      <c r="LF65" s="15"/>
      <c r="LG65" s="15"/>
      <c r="LH65" s="14"/>
      <c r="LI65" s="65"/>
      <c r="LJ65" s="15" t="str">
        <f t="shared" si="148"/>
        <v>NO APLICA</v>
      </c>
      <c r="LK65" s="15"/>
      <c r="LL65" s="16"/>
      <c r="LM65" s="14"/>
      <c r="LN65" s="65"/>
      <c r="LO65" s="15" t="str">
        <f t="shared" si="135"/>
        <v>NO APLICA</v>
      </c>
      <c r="LP65" s="16"/>
      <c r="LQ65" s="16"/>
      <c r="LR65" s="14"/>
      <c r="LS65" s="65"/>
      <c r="LT65" s="15" t="str">
        <f t="shared" si="136"/>
        <v>NO APLICA</v>
      </c>
      <c r="LU65" s="16"/>
      <c r="LV65" s="16"/>
      <c r="LW65" s="14"/>
      <c r="LX65" s="65"/>
      <c r="LY65" s="15" t="str">
        <f t="shared" si="137"/>
        <v>NO APLICA</v>
      </c>
      <c r="LZ65" s="15"/>
      <c r="MA65" s="15"/>
      <c r="MB65" s="14"/>
      <c r="MC65" s="65"/>
      <c r="MD65" s="15" t="str">
        <f t="shared" si="108"/>
        <v>NO APLICA</v>
      </c>
      <c r="ME65" s="15"/>
      <c r="MF65" s="15"/>
      <c r="MG65" s="14"/>
      <c r="MH65" s="65"/>
      <c r="MI65" s="15" t="str">
        <f t="shared" si="109"/>
        <v>NO APLICA</v>
      </c>
      <c r="MJ65" s="15"/>
      <c r="MK65" s="14"/>
      <c r="ML65" s="65"/>
      <c r="MM65" s="15" t="str">
        <f t="shared" si="110"/>
        <v>NO APLICA</v>
      </c>
      <c r="MN65" s="15"/>
      <c r="MO65" s="14"/>
      <c r="MP65" s="15"/>
      <c r="MQ65" s="15" t="str">
        <f t="shared" si="111"/>
        <v>NO APLICA</v>
      </c>
      <c r="MR65" s="15"/>
      <c r="MS65" s="16"/>
      <c r="MT65" s="14"/>
      <c r="MU65" s="65"/>
      <c r="MV65" s="15" t="str">
        <f t="shared" si="112"/>
        <v>NO APLICA</v>
      </c>
      <c r="MW65" s="15"/>
      <c r="MX65" s="16"/>
      <c r="MY65" s="14"/>
      <c r="MZ65" s="65"/>
      <c r="NA65" s="15" t="str">
        <f t="shared" si="113"/>
        <v>NO APLICA</v>
      </c>
      <c r="NB65" s="15"/>
      <c r="NC65" s="16"/>
      <c r="ND65" s="14"/>
      <c r="NE65" s="65"/>
      <c r="NF65" s="15" t="str">
        <f t="shared" si="114"/>
        <v>NO APLICA</v>
      </c>
      <c r="NG65" s="15"/>
      <c r="NH65" s="15"/>
      <c r="NI65" s="14"/>
      <c r="NJ65" s="65"/>
      <c r="NK65" s="15" t="str">
        <f t="shared" si="115"/>
        <v>NO APLICA</v>
      </c>
      <c r="NL65" s="15"/>
      <c r="NM65" s="15"/>
      <c r="NN65" s="15"/>
      <c r="NO65" s="15"/>
      <c r="NP65" s="15" t="str">
        <f t="shared" si="116"/>
        <v>NO APLICA</v>
      </c>
      <c r="NQ65" s="16"/>
      <c r="NR65" s="16"/>
      <c r="NS65" s="14"/>
      <c r="NT65" s="65"/>
      <c r="NU65" s="15" t="str">
        <f t="shared" si="117"/>
        <v>NO APLICA</v>
      </c>
      <c r="NV65" s="16"/>
      <c r="NW65" s="16"/>
      <c r="NX65" s="16"/>
      <c r="NY65" s="16"/>
      <c r="NZ65" s="15" t="str">
        <f t="shared" si="118"/>
        <v>NO APLICA</v>
      </c>
    </row>
    <row r="66" spans="1:390" ht="15.6" thickTop="1" thickBot="1" x14ac:dyDescent="0.35">
      <c r="A66" s="11">
        <v>1660</v>
      </c>
      <c r="B66" s="10" t="s">
        <v>305</v>
      </c>
      <c r="C66" s="21" t="s">
        <v>151</v>
      </c>
      <c r="D66" s="64" t="s">
        <v>188</v>
      </c>
      <c r="E66" s="13">
        <v>46118</v>
      </c>
      <c r="F66" s="14">
        <v>46119</v>
      </c>
      <c r="G66" s="14">
        <f>DATE(YEAR(F66)+2,MONTH(F66),DAY(F66))</f>
        <v>46850</v>
      </c>
      <c r="H66" s="65">
        <f ca="1">G66-TODAY()</f>
        <v>719</v>
      </c>
      <c r="I66" s="15" t="str">
        <f t="shared" ca="1" si="0"/>
        <v>VIGENTE</v>
      </c>
      <c r="J66" s="15"/>
      <c r="K66" s="16"/>
      <c r="L66" s="16"/>
      <c r="M66" s="65"/>
      <c r="N66" s="15" t="str">
        <f t="shared" si="1"/>
        <v>NO APLICA</v>
      </c>
      <c r="O66" s="16"/>
      <c r="P66" s="16"/>
      <c r="Q66" s="14"/>
      <c r="R66" s="65"/>
      <c r="S66" s="15" t="str">
        <f t="shared" si="119"/>
        <v>NO APLICA</v>
      </c>
      <c r="T66" s="12" t="s">
        <v>306</v>
      </c>
      <c r="U66" s="13">
        <v>44943</v>
      </c>
      <c r="V66" s="14">
        <v>44944</v>
      </c>
      <c r="W66" s="14">
        <f t="shared" si="2"/>
        <v>46770</v>
      </c>
      <c r="X66" s="65">
        <f t="shared" ca="1" si="3"/>
        <v>639</v>
      </c>
      <c r="Y66" s="15" t="str">
        <f t="shared" ca="1" si="4"/>
        <v>VIGENTE</v>
      </c>
      <c r="Z66" s="12"/>
      <c r="AA66" s="12"/>
      <c r="AB66" s="16"/>
      <c r="AC66" s="14"/>
      <c r="AD66" s="65"/>
      <c r="AE66" s="15" t="str">
        <f t="shared" si="7"/>
        <v>NO APLICA</v>
      </c>
      <c r="AF66" s="13">
        <v>45234</v>
      </c>
      <c r="AG66" s="14">
        <v>45902</v>
      </c>
      <c r="AH66" s="14">
        <f>DATE(YEAR(AG66)+2,MONTH(AG66),DAY(AG66))</f>
        <v>46632</v>
      </c>
      <c r="AI66" s="65">
        <f t="shared" ca="1" si="8"/>
        <v>501</v>
      </c>
      <c r="AJ66" s="15" t="str">
        <f t="shared" ca="1" si="213"/>
        <v>VIGENTE</v>
      </c>
      <c r="AK66" s="13">
        <v>45236</v>
      </c>
      <c r="AL66" s="14">
        <v>45903</v>
      </c>
      <c r="AM66" s="14">
        <f t="shared" ref="AM66:AM71" si="234">DATE(YEAR(AL66)+2,MONTH(AL66),DAY(AL66))</f>
        <v>46633</v>
      </c>
      <c r="AN66" s="65">
        <f t="shared" ca="1" si="10"/>
        <v>502</v>
      </c>
      <c r="AO66" s="15" t="str">
        <f t="shared" ca="1" si="11"/>
        <v>VIGENTE</v>
      </c>
      <c r="AP66" s="12"/>
      <c r="AQ66" s="14">
        <v>45904</v>
      </c>
      <c r="AR66" s="14">
        <f t="shared" si="230"/>
        <v>46634</v>
      </c>
      <c r="AS66" s="65">
        <f t="shared" ca="1" si="12"/>
        <v>503</v>
      </c>
      <c r="AT66" s="15" t="str">
        <f t="shared" ca="1" si="13"/>
        <v>VIGENTE</v>
      </c>
      <c r="AU66" s="12"/>
      <c r="AV66" s="14">
        <v>45990</v>
      </c>
      <c r="AW66" s="14">
        <f t="shared" si="225"/>
        <v>46720</v>
      </c>
      <c r="AX66" s="65">
        <f t="shared" ca="1" si="15"/>
        <v>589</v>
      </c>
      <c r="AY66" s="15" t="str">
        <f t="shared" ca="1" si="16"/>
        <v>VIGENTE</v>
      </c>
      <c r="AZ66" s="13"/>
      <c r="BA66" s="14">
        <v>45943</v>
      </c>
      <c r="BB66" s="14">
        <f>DATE(YEAR(BA66)+2,MONTH(BA66),DAY(BA66))</f>
        <v>46673</v>
      </c>
      <c r="BC66" s="65">
        <f t="shared" ca="1" si="17"/>
        <v>542</v>
      </c>
      <c r="BD66" s="15" t="str">
        <f t="shared" ca="1" si="18"/>
        <v>VIGENTE</v>
      </c>
      <c r="BE66" s="12"/>
      <c r="BF66" s="14">
        <v>45997</v>
      </c>
      <c r="BG66" s="14">
        <f>DATE(YEAR(BF66)+2,MONTH(BF66),DAY(BF66))</f>
        <v>46727</v>
      </c>
      <c r="BH66" s="65">
        <f t="shared" ca="1" si="19"/>
        <v>596</v>
      </c>
      <c r="BI66" s="15" t="str">
        <f t="shared" ca="1" si="20"/>
        <v>VIGENTE</v>
      </c>
      <c r="BJ66" s="13">
        <v>45306</v>
      </c>
      <c r="BK66" s="14">
        <v>45976</v>
      </c>
      <c r="BL66" s="14">
        <f>DATE(YEAR(BK66)+2,MONTH(BK66),DAY(BK66))</f>
        <v>46706</v>
      </c>
      <c r="BM66" s="65">
        <f t="shared" ca="1" si="21"/>
        <v>575</v>
      </c>
      <c r="BN66" s="15" t="str">
        <f t="shared" ca="1" si="22"/>
        <v>VIGENTE</v>
      </c>
      <c r="BO66" s="13">
        <v>45319</v>
      </c>
      <c r="BP66" s="14">
        <v>45981</v>
      </c>
      <c r="BQ66" s="14">
        <f>DATE(YEAR(BP66)+2,MONTH(BP66),DAY(BP66))</f>
        <v>46711</v>
      </c>
      <c r="BR66" s="65">
        <f t="shared" ca="1" si="23"/>
        <v>580</v>
      </c>
      <c r="BS66" s="15" t="str">
        <f t="shared" ca="1" si="24"/>
        <v>VIGENTE</v>
      </c>
      <c r="BT66" s="13">
        <v>45283</v>
      </c>
      <c r="BU66" s="14">
        <v>45950</v>
      </c>
      <c r="BV66" s="14">
        <f>DATE(YEAR(BU66)+2,MONTH(BU66),DAY(BU66))</f>
        <v>46680</v>
      </c>
      <c r="BW66" s="65">
        <f t="shared" ca="1" si="25"/>
        <v>549</v>
      </c>
      <c r="BX66" s="15" t="str">
        <f t="shared" ca="1" si="26"/>
        <v>VIGENTE</v>
      </c>
      <c r="BY66" s="13">
        <v>45293</v>
      </c>
      <c r="BZ66" s="14">
        <v>45954</v>
      </c>
      <c r="CA66" s="14">
        <f t="shared" si="232"/>
        <v>46684</v>
      </c>
      <c r="CB66" s="65">
        <f t="shared" ca="1" si="27"/>
        <v>553</v>
      </c>
      <c r="CC66" s="15" t="str">
        <f t="shared" ca="1" si="28"/>
        <v>VIGENTE</v>
      </c>
      <c r="CD66" s="16" t="s">
        <v>102</v>
      </c>
      <c r="CE66" s="14">
        <v>45827</v>
      </c>
      <c r="CF66" s="14">
        <v>45828</v>
      </c>
      <c r="CG66" s="14">
        <f t="shared" si="29"/>
        <v>47289</v>
      </c>
      <c r="CH66" s="65">
        <f t="shared" ca="1" si="30"/>
        <v>1158</v>
      </c>
      <c r="CI66" s="15" t="str">
        <f t="shared" ca="1" si="31"/>
        <v>VIGENTE</v>
      </c>
      <c r="CJ66" s="16"/>
      <c r="CK66" s="14">
        <v>45929</v>
      </c>
      <c r="CL66" s="14">
        <f>DATE(YEAR(CK66)+2,MONTH(CK66),DAY(CK66))</f>
        <v>46659</v>
      </c>
      <c r="CM66" s="65">
        <f t="shared" ca="1" si="32"/>
        <v>528</v>
      </c>
      <c r="CN66" s="15" t="str">
        <f t="shared" ca="1" si="33"/>
        <v>VIGENTE</v>
      </c>
      <c r="CO66" s="13">
        <v>45188</v>
      </c>
      <c r="CP66" s="14">
        <v>45882</v>
      </c>
      <c r="CQ66" s="14">
        <f>DATE(YEAR(CP66)+2,MONTH(CP66),DAY(CP66))</f>
        <v>46612</v>
      </c>
      <c r="CR66" s="65">
        <f t="shared" ca="1" si="34"/>
        <v>481</v>
      </c>
      <c r="CS66" s="15" t="str">
        <f t="shared" ca="1" si="35"/>
        <v>VIGENTE</v>
      </c>
      <c r="CT66" s="12"/>
      <c r="CU66" s="14">
        <v>45905</v>
      </c>
      <c r="CV66" s="14">
        <f>DATE(YEAR(CU66)+2,MONTH(CU66),DAY(CU66))</f>
        <v>46635</v>
      </c>
      <c r="CW66" s="65">
        <f t="shared" ca="1" si="36"/>
        <v>504</v>
      </c>
      <c r="CX66" s="15" t="str">
        <f t="shared" ca="1" si="37"/>
        <v>VIGENTE</v>
      </c>
      <c r="CY66" s="13"/>
      <c r="CZ66" s="14">
        <v>45924</v>
      </c>
      <c r="DA66" s="14">
        <f>DATE(YEAR(CZ66)+2,MONTH(CZ66),DAY(CZ66))</f>
        <v>46654</v>
      </c>
      <c r="DB66" s="65">
        <f t="shared" ca="1" si="38"/>
        <v>523</v>
      </c>
      <c r="DC66" s="15" t="str">
        <f t="shared" ca="1" si="39"/>
        <v>VIGENTE</v>
      </c>
      <c r="DD66" s="13">
        <v>45328</v>
      </c>
      <c r="DE66" s="14">
        <v>45986</v>
      </c>
      <c r="DF66" s="14">
        <f>DATE(YEAR(DE66)+2,MONTH(DE66),DAY(DE66))</f>
        <v>46716</v>
      </c>
      <c r="DG66" s="65">
        <f t="shared" ca="1" si="40"/>
        <v>585</v>
      </c>
      <c r="DH66" s="15" t="str">
        <f t="shared" ca="1" si="41"/>
        <v>VIGENTE</v>
      </c>
      <c r="DI66" s="12"/>
      <c r="DJ66" s="14">
        <v>45975</v>
      </c>
      <c r="DK66" s="14">
        <f t="shared" si="233"/>
        <v>46705</v>
      </c>
      <c r="DL66" s="65">
        <f t="shared" ca="1" si="43"/>
        <v>574</v>
      </c>
      <c r="DM66" s="15" t="str">
        <f t="shared" ca="1" si="44"/>
        <v>VIGENTE</v>
      </c>
      <c r="DN66" s="13"/>
      <c r="DO66" s="14">
        <v>45982</v>
      </c>
      <c r="DP66" s="14">
        <f>DATE(YEAR(DO66)+2,MONTH(DO66),DAY(DO66))</f>
        <v>46712</v>
      </c>
      <c r="DQ66" s="65">
        <f t="shared" ca="1" si="46"/>
        <v>581</v>
      </c>
      <c r="DR66" s="15" t="str">
        <f t="shared" ca="1" si="47"/>
        <v>VIGENTE</v>
      </c>
      <c r="DS66" s="14">
        <v>45336</v>
      </c>
      <c r="DT66" s="14">
        <v>46018</v>
      </c>
      <c r="DU66" s="14">
        <f>DATE(YEAR(DT66)+2,MONTH(DT66),DAY(DT66))</f>
        <v>46748</v>
      </c>
      <c r="DV66" s="65">
        <f t="shared" ca="1" si="48"/>
        <v>617</v>
      </c>
      <c r="DW66" s="15" t="str">
        <f t="shared" ca="1" si="49"/>
        <v>VIGENTE</v>
      </c>
      <c r="DX66" s="13">
        <v>45329</v>
      </c>
      <c r="DY66" s="14">
        <v>46020</v>
      </c>
      <c r="DZ66" s="14">
        <f>DATE(YEAR(DY66)+2,MONTH(DY66),DAY(DY66))</f>
        <v>46750</v>
      </c>
      <c r="EA66" s="65">
        <f t="shared" ca="1" si="50"/>
        <v>619</v>
      </c>
      <c r="EB66" s="15" t="str">
        <f t="shared" ca="1" si="51"/>
        <v>VIGENTE</v>
      </c>
      <c r="EC66" s="13">
        <v>45255</v>
      </c>
      <c r="ED66" s="14">
        <v>45913</v>
      </c>
      <c r="EE66" s="14">
        <f>DATE(YEAR(ED66)+2,MONTH(ED66),DAY(ED66))</f>
        <v>46643</v>
      </c>
      <c r="EF66" s="65">
        <f t="shared" ca="1" si="52"/>
        <v>512</v>
      </c>
      <c r="EG66" s="15" t="str">
        <f t="shared" ca="1" si="53"/>
        <v>VIGENTE</v>
      </c>
      <c r="EH66" s="13"/>
      <c r="EI66" s="13">
        <v>46013</v>
      </c>
      <c r="EJ66" s="13">
        <v>46014</v>
      </c>
      <c r="EK66" s="13">
        <v>46015</v>
      </c>
      <c r="EL66" s="14">
        <f t="shared" si="128"/>
        <v>46380</v>
      </c>
      <c r="EM66" s="65">
        <f t="shared" ca="1" si="54"/>
        <v>249</v>
      </c>
      <c r="EN66" s="15" t="str">
        <f t="shared" ca="1" si="55"/>
        <v>VIGENTE</v>
      </c>
      <c r="EO66" s="13"/>
      <c r="EP66" s="14">
        <v>45940</v>
      </c>
      <c r="EQ66" s="14">
        <f>DATE(YEAR(EP66)+2,MONTH(EP66),DAY(EP66))</f>
        <v>46670</v>
      </c>
      <c r="ER66" s="65">
        <f t="shared" ca="1" si="56"/>
        <v>539</v>
      </c>
      <c r="ES66" s="15" t="str">
        <f t="shared" ca="1" si="57"/>
        <v>VIGENTE</v>
      </c>
      <c r="ET66" s="12"/>
      <c r="EU66" s="14">
        <v>45922</v>
      </c>
      <c r="EV66" s="14">
        <f>DATE(YEAR(EU66)+2,MONTH(EU66),DAY(EU66))</f>
        <v>46652</v>
      </c>
      <c r="EW66" s="65">
        <f t="shared" ca="1" si="58"/>
        <v>521</v>
      </c>
      <c r="EX66" s="15" t="str">
        <f t="shared" ca="1" si="59"/>
        <v>VIGENTE</v>
      </c>
      <c r="EY66" s="13">
        <v>45294</v>
      </c>
      <c r="EZ66" s="14">
        <v>45973</v>
      </c>
      <c r="FA66" s="14">
        <f t="shared" si="227"/>
        <v>46703</v>
      </c>
      <c r="FB66" s="65">
        <f t="shared" ca="1" si="60"/>
        <v>572</v>
      </c>
      <c r="FC66" s="15" t="str">
        <f t="shared" ca="1" si="61"/>
        <v>VIGENTE</v>
      </c>
      <c r="FD66" s="13">
        <v>45280</v>
      </c>
      <c r="FE66" s="14">
        <v>45951</v>
      </c>
      <c r="FF66" s="14">
        <f t="shared" si="228"/>
        <v>46681</v>
      </c>
      <c r="FG66" s="65">
        <f t="shared" ca="1" si="62"/>
        <v>550</v>
      </c>
      <c r="FH66" s="15" t="str">
        <f t="shared" ca="1" si="63"/>
        <v>VIGENTE</v>
      </c>
      <c r="FI66" s="13">
        <v>45330</v>
      </c>
      <c r="FJ66" s="14">
        <v>45962</v>
      </c>
      <c r="FK66" s="14">
        <f t="shared" si="229"/>
        <v>46692</v>
      </c>
      <c r="FL66" s="65">
        <f t="shared" ca="1" si="64"/>
        <v>561</v>
      </c>
      <c r="FM66" s="15" t="str">
        <f t="shared" ca="1" si="65"/>
        <v>VIGENTE</v>
      </c>
      <c r="FN66" s="13"/>
      <c r="FO66" s="14">
        <v>45933</v>
      </c>
      <c r="FP66" s="14">
        <f>DATE(YEAR(FO66)+2,MONTH(FO66),DAY(FO66))</f>
        <v>46663</v>
      </c>
      <c r="FQ66" s="65">
        <f t="shared" ca="1" si="67"/>
        <v>532</v>
      </c>
      <c r="FR66" s="15" t="str">
        <f t="shared" ca="1" si="68"/>
        <v>VIGENTE</v>
      </c>
      <c r="FS66" s="13">
        <v>45279</v>
      </c>
      <c r="FT66" s="14">
        <v>45957</v>
      </c>
      <c r="FU66" s="14">
        <f>DATE(YEAR(FT66)+2,MONTH(FT66),DAY(FT66))</f>
        <v>46687</v>
      </c>
      <c r="FV66" s="65">
        <f t="shared" ca="1" si="69"/>
        <v>556</v>
      </c>
      <c r="FW66" s="15" t="str">
        <f t="shared" ca="1" si="70"/>
        <v>VIGENTE</v>
      </c>
      <c r="FX66" s="13"/>
      <c r="FY66" s="14">
        <v>45941</v>
      </c>
      <c r="FZ66" s="14">
        <f>DATE(YEAR(FY66)+2,MONTH(FY66),DAY(FY66))</f>
        <v>46671</v>
      </c>
      <c r="GA66" s="65">
        <f t="shared" ca="1" si="71"/>
        <v>540</v>
      </c>
      <c r="GB66" s="15" t="str">
        <f t="shared" ca="1" si="72"/>
        <v>VIGENTE</v>
      </c>
      <c r="GC66" s="13"/>
      <c r="GD66" s="14">
        <v>45925</v>
      </c>
      <c r="GE66" s="14">
        <f>DATE(YEAR(GD66)+2,MONTH(GD66),DAY(GD66))</f>
        <v>46655</v>
      </c>
      <c r="GF66" s="65">
        <f t="shared" ca="1" si="73"/>
        <v>524</v>
      </c>
      <c r="GG66" s="15" t="str">
        <f t="shared" ca="1" si="74"/>
        <v>VIGENTE</v>
      </c>
      <c r="GH66" s="13"/>
      <c r="GI66" s="14">
        <v>45912</v>
      </c>
      <c r="GJ66" s="14">
        <f>DATE(YEAR(GI66)+2,MONTH(GI66),DAY(GI66))</f>
        <v>46642</v>
      </c>
      <c r="GK66" s="65">
        <f t="shared" ca="1" si="75"/>
        <v>511</v>
      </c>
      <c r="GL66" s="15" t="str">
        <f t="shared" ca="1" si="76"/>
        <v>VIGENTE</v>
      </c>
      <c r="GM66" s="13">
        <v>45275</v>
      </c>
      <c r="GN66" s="14">
        <v>45945</v>
      </c>
      <c r="GO66" s="14">
        <f t="shared" si="231"/>
        <v>46675</v>
      </c>
      <c r="GP66" s="65">
        <f t="shared" ca="1" si="77"/>
        <v>544</v>
      </c>
      <c r="GQ66" s="15" t="str">
        <f t="shared" ca="1" si="78"/>
        <v>VIGENTE</v>
      </c>
      <c r="GR66" s="14"/>
      <c r="GS66" s="14">
        <v>45299</v>
      </c>
      <c r="GT66" s="14">
        <f t="shared" si="79"/>
        <v>47126</v>
      </c>
      <c r="GU66" s="65">
        <f t="shared" ca="1" si="172"/>
        <v>995</v>
      </c>
      <c r="GV66" s="15" t="str">
        <f t="shared" ca="1" si="81"/>
        <v>VIGENTE</v>
      </c>
      <c r="GW66" s="13"/>
      <c r="GX66" s="14">
        <v>45277</v>
      </c>
      <c r="GY66" s="14">
        <f t="shared" si="82"/>
        <v>47104</v>
      </c>
      <c r="GZ66" s="65">
        <f t="shared" ca="1" si="83"/>
        <v>973</v>
      </c>
      <c r="HA66" s="15" t="str">
        <f t="shared" ca="1" si="84"/>
        <v>VIGENTE</v>
      </c>
      <c r="HB66" s="12"/>
      <c r="HC66" s="14">
        <v>45258</v>
      </c>
      <c r="HD66" s="14">
        <f t="shared" si="85"/>
        <v>47085</v>
      </c>
      <c r="HE66" s="65">
        <f t="shared" ca="1" si="86"/>
        <v>954</v>
      </c>
      <c r="HF66" s="15" t="str">
        <f t="shared" ca="1" si="87"/>
        <v>VIGENTE</v>
      </c>
      <c r="HG66" s="16"/>
      <c r="HH66" s="16"/>
      <c r="HI66" s="14"/>
      <c r="HJ66" s="65"/>
      <c r="HK66" s="15" t="str">
        <f t="shared" si="217"/>
        <v>NO APLICA</v>
      </c>
      <c r="HL66" s="12"/>
      <c r="HM66" s="16"/>
      <c r="HN66" s="14"/>
      <c r="HO66" s="65"/>
      <c r="HP66" s="15" t="str">
        <f t="shared" si="221"/>
        <v>NO APLICA</v>
      </c>
      <c r="HQ66" s="12"/>
      <c r="HR66" s="12"/>
      <c r="HS66" s="14"/>
      <c r="HT66" s="12"/>
      <c r="HU66" s="15" t="str">
        <f t="shared" si="92"/>
        <v>NO APLICA</v>
      </c>
      <c r="HV66" s="12"/>
      <c r="HW66" s="16"/>
      <c r="HX66" s="14"/>
      <c r="HY66" s="65"/>
      <c r="HZ66" s="15" t="str">
        <f t="shared" si="93"/>
        <v>NO APLICA</v>
      </c>
      <c r="IA66" s="12"/>
      <c r="IB66" s="16"/>
      <c r="IC66" s="14"/>
      <c r="ID66" s="65"/>
      <c r="IE66" s="15" t="str">
        <f t="shared" si="94"/>
        <v>NO APLICA</v>
      </c>
      <c r="IF66" s="12"/>
      <c r="IG66" s="16"/>
      <c r="IH66" s="14"/>
      <c r="II66" s="65"/>
      <c r="IJ66" s="15" t="str">
        <f t="shared" si="95"/>
        <v>NO APLICA</v>
      </c>
      <c r="IK66" s="16"/>
      <c r="IL66" s="16"/>
      <c r="IM66" s="14"/>
      <c r="IN66" s="65"/>
      <c r="IO66" s="15" t="str">
        <f t="shared" si="96"/>
        <v>NO APLICA</v>
      </c>
      <c r="IP66" s="12"/>
      <c r="IQ66" s="16"/>
      <c r="IR66" s="14"/>
      <c r="IS66" s="65"/>
      <c r="IT66" s="15" t="str">
        <f t="shared" si="97"/>
        <v>NO APLICA</v>
      </c>
      <c r="IU66" s="12"/>
      <c r="IV66" s="16"/>
      <c r="IW66" s="14"/>
      <c r="IX66" s="65"/>
      <c r="IY66" s="15" t="str">
        <f t="shared" si="98"/>
        <v>NO APLICA</v>
      </c>
      <c r="IZ66" s="12"/>
      <c r="JA66" s="16"/>
      <c r="JB66" s="14"/>
      <c r="JC66" s="65"/>
      <c r="JD66" s="15" t="str">
        <f t="shared" si="99"/>
        <v>NO APLICA</v>
      </c>
      <c r="JE66" s="13"/>
      <c r="JF66" s="13"/>
      <c r="JG66" s="14"/>
      <c r="JH66" s="65"/>
      <c r="JI66" s="15" t="str">
        <f t="shared" si="100"/>
        <v>NO APLICA</v>
      </c>
      <c r="JJ66" s="16"/>
      <c r="JK66" s="16"/>
      <c r="JL66" s="16"/>
      <c r="JM66" s="15" t="str">
        <f t="shared" si="101"/>
        <v>NO APLICA</v>
      </c>
      <c r="JN66" s="16"/>
      <c r="JO66" s="16"/>
      <c r="JP66" s="16"/>
      <c r="JQ66" s="15" t="str">
        <f t="shared" si="102"/>
        <v>NO APLICA</v>
      </c>
      <c r="JR66" s="16"/>
      <c r="JS66" s="16"/>
      <c r="JT66" s="16"/>
      <c r="JU66" s="16"/>
      <c r="JV66" s="15" t="str">
        <f t="shared" si="103"/>
        <v>NO APLICA</v>
      </c>
      <c r="JW66" s="15"/>
      <c r="JX66" s="15"/>
      <c r="JY66" s="15"/>
      <c r="JZ66" s="15"/>
      <c r="KA66" s="15" t="str">
        <f t="shared" si="104"/>
        <v>NO APLICA</v>
      </c>
      <c r="KB66" s="12"/>
      <c r="KC66" s="14"/>
      <c r="KD66" s="65"/>
      <c r="KE66" s="15" t="str">
        <f t="shared" si="105"/>
        <v>NO APLICA</v>
      </c>
      <c r="KF66" s="12"/>
      <c r="KG66" s="14"/>
      <c r="KH66" s="65"/>
      <c r="KI66" s="15" t="str">
        <f t="shared" si="132"/>
        <v>NO APLICA</v>
      </c>
      <c r="KJ66" s="12"/>
      <c r="KK66" s="14"/>
      <c r="KL66" s="65"/>
      <c r="KM66" s="15" t="str">
        <f t="shared" si="106"/>
        <v>NO APLICA</v>
      </c>
      <c r="KN66" s="12"/>
      <c r="KO66" s="14"/>
      <c r="KP66" s="65"/>
      <c r="KQ66" s="15" t="str">
        <f t="shared" si="133"/>
        <v>NO APLICA</v>
      </c>
      <c r="KR66" s="12"/>
      <c r="KS66" s="16"/>
      <c r="KT66" s="14"/>
      <c r="KU66" s="65"/>
      <c r="KV66" s="15" t="str">
        <f t="shared" si="147"/>
        <v>NO APLICA</v>
      </c>
      <c r="KW66" s="16"/>
      <c r="KX66" s="14"/>
      <c r="KY66" s="65"/>
      <c r="KZ66" s="15" t="str">
        <f t="shared" si="134"/>
        <v>NO APLICA</v>
      </c>
      <c r="LA66" s="16"/>
      <c r="LB66" s="16"/>
      <c r="LC66" s="14"/>
      <c r="LD66" s="65"/>
      <c r="LE66" s="15" t="str">
        <f t="shared" si="107"/>
        <v>NO APLICA</v>
      </c>
      <c r="LF66" s="15"/>
      <c r="LG66" s="15"/>
      <c r="LH66" s="14"/>
      <c r="LI66" s="65"/>
      <c r="LJ66" s="15" t="str">
        <f t="shared" si="148"/>
        <v>NO APLICA</v>
      </c>
      <c r="LK66" s="12"/>
      <c r="LL66" s="16"/>
      <c r="LM66" s="14"/>
      <c r="LN66" s="65"/>
      <c r="LO66" s="15" t="str">
        <f t="shared" si="135"/>
        <v>NO APLICA</v>
      </c>
      <c r="LP66" s="16"/>
      <c r="LQ66" s="16"/>
      <c r="LR66" s="14"/>
      <c r="LS66" s="65"/>
      <c r="LT66" s="15" t="str">
        <f t="shared" si="136"/>
        <v>NO APLICA</v>
      </c>
      <c r="LU66" s="16"/>
      <c r="LV66" s="16"/>
      <c r="LW66" s="14"/>
      <c r="LX66" s="65"/>
      <c r="LY66" s="15" t="str">
        <f t="shared" si="137"/>
        <v>NO APLICA</v>
      </c>
      <c r="LZ66" s="12"/>
      <c r="MA66" s="12"/>
      <c r="MB66" s="14"/>
      <c r="MC66" s="65"/>
      <c r="MD66" s="15" t="str">
        <f t="shared" si="108"/>
        <v>NO APLICA</v>
      </c>
      <c r="ME66" s="12"/>
      <c r="MF66" s="12"/>
      <c r="MG66" s="14"/>
      <c r="MH66" s="65"/>
      <c r="MI66" s="15" t="str">
        <f t="shared" si="109"/>
        <v>NO APLICA</v>
      </c>
      <c r="MJ66" s="12"/>
      <c r="MK66" s="14"/>
      <c r="ML66" s="65"/>
      <c r="MM66" s="15" t="str">
        <f t="shared" si="110"/>
        <v>NO APLICA</v>
      </c>
      <c r="MN66" s="12"/>
      <c r="MO66" s="14"/>
      <c r="MP66" s="12"/>
      <c r="MQ66" s="15" t="str">
        <f t="shared" si="111"/>
        <v>NO APLICA</v>
      </c>
      <c r="MR66" s="12"/>
      <c r="MS66" s="16"/>
      <c r="MT66" s="14"/>
      <c r="MU66" s="65"/>
      <c r="MV66" s="15" t="str">
        <f t="shared" si="112"/>
        <v>NO APLICA</v>
      </c>
      <c r="MW66" s="12"/>
      <c r="MX66" s="16"/>
      <c r="MY66" s="14"/>
      <c r="MZ66" s="65"/>
      <c r="NA66" s="15" t="str">
        <f t="shared" si="113"/>
        <v>NO APLICA</v>
      </c>
      <c r="NB66" s="12"/>
      <c r="NC66" s="16"/>
      <c r="ND66" s="14"/>
      <c r="NE66" s="65"/>
      <c r="NF66" s="15" t="str">
        <f t="shared" si="114"/>
        <v>NO APLICA</v>
      </c>
      <c r="NG66" s="12"/>
      <c r="NH66" s="12"/>
      <c r="NI66" s="14"/>
      <c r="NJ66" s="12"/>
      <c r="NK66" s="15" t="str">
        <f t="shared" si="115"/>
        <v>NO APLICA</v>
      </c>
      <c r="NL66" s="12"/>
      <c r="NM66" s="12"/>
      <c r="NN66" s="14"/>
      <c r="NO66" s="12"/>
      <c r="NP66" s="15" t="str">
        <f t="shared" si="116"/>
        <v>NO APLICA</v>
      </c>
      <c r="NQ66" s="16"/>
      <c r="NR66" s="16"/>
      <c r="NS66" s="14"/>
      <c r="NT66" s="65"/>
      <c r="NU66" s="15" t="str">
        <f t="shared" si="117"/>
        <v>NO APLICA</v>
      </c>
      <c r="NV66" s="16"/>
      <c r="NW66" s="16"/>
      <c r="NX66" s="16"/>
      <c r="NY66" s="16"/>
      <c r="NZ66" s="15" t="str">
        <f t="shared" si="118"/>
        <v>NO APLICA</v>
      </c>
    </row>
    <row r="67" spans="1:390" ht="15.6" thickTop="1" thickBot="1" x14ac:dyDescent="0.35">
      <c r="A67" s="9">
        <v>503</v>
      </c>
      <c r="B67" s="10" t="s">
        <v>307</v>
      </c>
      <c r="C67" s="21" t="s">
        <v>151</v>
      </c>
      <c r="D67" s="64" t="s">
        <v>165</v>
      </c>
      <c r="E67" s="13">
        <v>46059</v>
      </c>
      <c r="F67" s="14">
        <v>46060</v>
      </c>
      <c r="G67" s="14">
        <f>DATE(YEAR(F67)+2,MONTH(F67),DAY(F67))</f>
        <v>46790</v>
      </c>
      <c r="H67" s="65">
        <f ca="1">G67-TODAY()</f>
        <v>659</v>
      </c>
      <c r="I67" s="15" t="str">
        <f t="shared" ref="I67:I130" ca="1" si="235">IF(H67&gt;=61,"VIGENTE",IF(H67&gt;=1,"POR VENCER",IF(H67&lt;=-1,"VENCIDA",IF(F67=0,"NO APLICA"))))</f>
        <v>VIGENTE</v>
      </c>
      <c r="J67" s="15"/>
      <c r="K67" s="16"/>
      <c r="L67" s="16"/>
      <c r="M67" s="65"/>
      <c r="N67" s="15" t="str">
        <f t="shared" ref="N67:N130" si="236">IF(M67&gt;=61,"VIGENTE",IF(M67&gt;=1,"POR VENCER",IF(M67&lt;=-1,"VENCIDA",IF(K67=0,"NO APLICA"))))</f>
        <v>NO APLICA</v>
      </c>
      <c r="O67" s="16"/>
      <c r="P67" s="16"/>
      <c r="Q67" s="14"/>
      <c r="R67" s="65"/>
      <c r="S67" s="15" t="str">
        <f t="shared" si="119"/>
        <v>NO APLICA</v>
      </c>
      <c r="T67" s="12" t="s">
        <v>308</v>
      </c>
      <c r="U67" s="13">
        <v>44837</v>
      </c>
      <c r="V67" s="14">
        <v>44838</v>
      </c>
      <c r="W67" s="14">
        <f t="shared" ref="W67:W107" si="237">DATE(YEAR(V67)+5,MONTH(V67),DAY(V67))</f>
        <v>46664</v>
      </c>
      <c r="X67" s="65">
        <f t="shared" ref="X67:X107" ca="1" si="238">W67-TODAY()</f>
        <v>533</v>
      </c>
      <c r="Y67" s="15" t="str">
        <f t="shared" ref="Y67:Y107" ca="1" si="239">IF(X67&gt;=90,"VIGENTE",IF(X67&gt;=1,"POR VENCER",IF(X67&lt;=-1,"VENCIDA",IF(V67=0,"NO APLICA"))))</f>
        <v>VIGENTE</v>
      </c>
      <c r="Z67" s="12"/>
      <c r="AA67" s="12"/>
      <c r="AB67" s="16"/>
      <c r="AC67" s="14"/>
      <c r="AD67" s="65"/>
      <c r="AE67" s="15" t="str">
        <f t="shared" ref="AE67:AE71" si="240">IF(AD67&gt;=91,"VIGENTE",IF(AD67&gt;=1,"POR VENCER",IF(AD67&lt;=-1,"VENCIDA",IF(AB67=0,"NO APLICA"))))</f>
        <v>NO APLICA</v>
      </c>
      <c r="AF67" s="13">
        <v>44593</v>
      </c>
      <c r="AG67" s="14">
        <v>45892</v>
      </c>
      <c r="AH67" s="14">
        <f>DATE(YEAR(AG67)+2,MONTH(AG67),DAY(AG67))</f>
        <v>46622</v>
      </c>
      <c r="AI67" s="65">
        <f t="shared" ref="AI67:AI130" ca="1" si="241">AH67-TODAY()</f>
        <v>491</v>
      </c>
      <c r="AJ67" s="15" t="str">
        <f t="shared" ca="1" si="213"/>
        <v>VIGENTE</v>
      </c>
      <c r="AK67" s="13">
        <v>45286</v>
      </c>
      <c r="AL67" s="14">
        <v>45980</v>
      </c>
      <c r="AM67" s="14">
        <f t="shared" si="234"/>
        <v>46710</v>
      </c>
      <c r="AN67" s="65">
        <f t="shared" ref="AN67:AN130" ca="1" si="242">AM67-TODAY()</f>
        <v>579</v>
      </c>
      <c r="AO67" s="15" t="str">
        <f t="shared" ref="AO67:AO130" ca="1" si="243">IF(AN67&gt;=91,"VIGENTE",IF(AN67&gt;=1,"POR VENCER",IF(AN67&lt;=-1,"VENCIDA",IF(AL67=0,"NO APLICA"))))</f>
        <v>VIGENTE</v>
      </c>
      <c r="AP67" s="13">
        <v>45357</v>
      </c>
      <c r="AQ67" s="14">
        <v>45996</v>
      </c>
      <c r="AR67" s="14">
        <f t="shared" si="230"/>
        <v>46726</v>
      </c>
      <c r="AS67" s="65">
        <f t="shared" ref="AS67:AS130" ca="1" si="244">AR67-TODAY()</f>
        <v>595</v>
      </c>
      <c r="AT67" s="15" t="str">
        <f t="shared" ref="AT67:AT130" ca="1" si="245">IF(AS67&gt;=91,"VIGENTE",IF(AS67&gt;=1,"POR VENCER",IF(AS67&lt;=-1,"VENCIDA",IF(AQ67=0,"NO APLICA"))))</f>
        <v>VIGENTE</v>
      </c>
      <c r="AU67" s="13">
        <v>44701</v>
      </c>
      <c r="AV67" s="14">
        <v>45927</v>
      </c>
      <c r="AW67" s="14">
        <f t="shared" si="225"/>
        <v>46657</v>
      </c>
      <c r="AX67" s="65">
        <f t="shared" ref="AX67:AX130" ca="1" si="246">AW67-TODAY()</f>
        <v>526</v>
      </c>
      <c r="AY67" s="15" t="str">
        <f t="shared" ref="AY67:AY130" ca="1" si="247">IF(AX67&gt;=91,"VIGENTE",IF(AX67&gt;=1,"POR VENCER",IF(AX67&lt;=-1,"VENCIDA",IF(AV67=0,"NO APLICA"))))</f>
        <v>VIGENTE</v>
      </c>
      <c r="AZ67" s="13">
        <v>45093</v>
      </c>
      <c r="BA67" s="14">
        <v>45742</v>
      </c>
      <c r="BB67" s="14">
        <f>DATE(YEAR(BA67)+2,MONTH(BA67),DAY(BA67)-1)</f>
        <v>46471</v>
      </c>
      <c r="BC67" s="65">
        <f t="shared" ref="BC67:BC130" ca="1" si="248">BB67-TODAY()</f>
        <v>340</v>
      </c>
      <c r="BD67" s="15" t="str">
        <f t="shared" ref="BD67:BD130" ca="1" si="249">IF(BC67&gt;=91,"VIGENTE",IF(BC67&gt;=1,"POR VENCER",IF(BC67&lt;=-1,"VENCIDA",IF(BA67=0,"NO APLICA"))))</f>
        <v>VIGENTE</v>
      </c>
      <c r="BE67" s="13">
        <v>44977</v>
      </c>
      <c r="BF67" s="14">
        <v>45605</v>
      </c>
      <c r="BG67" s="14">
        <f>DATE(YEAR(BF67)+2,MONTH(BF67),DAY(BF67)-1)</f>
        <v>46334</v>
      </c>
      <c r="BH67" s="65">
        <f t="shared" ref="BH67:BH130" ca="1" si="250">BG67-TODAY()</f>
        <v>203</v>
      </c>
      <c r="BI67" s="15" t="str">
        <f t="shared" ref="BI67:BI130" ca="1" si="251">IF(BH67&gt;=91,"VIGENTE",IF(BH67&gt;=1,"POR VENCER",IF(BH67&lt;=-1,"VENCIDA",IF(BF67=0,"NO APLICA"))))</f>
        <v>VIGENTE</v>
      </c>
      <c r="BJ67" s="13">
        <v>45008</v>
      </c>
      <c r="BK67" s="14">
        <v>45699</v>
      </c>
      <c r="BL67" s="14">
        <f>DATE(YEAR(BK67)+2,MONTH(BK67),DAY(BK67)-1)</f>
        <v>46428</v>
      </c>
      <c r="BM67" s="65">
        <f t="shared" ref="BM67:BM130" ca="1" si="252">BL67-TODAY()</f>
        <v>297</v>
      </c>
      <c r="BN67" s="15" t="str">
        <f t="shared" ref="BN67:BN130" ca="1" si="253">IF(BM67&gt;=91,"VIGENTE",IF(BM67&gt;=1,"POR VENCER",IF(BM67&lt;=-1,"VENCIDA",IF(BK67=0,"NO APLICA"))))</f>
        <v>VIGENTE</v>
      </c>
      <c r="BO67" s="13">
        <v>45040</v>
      </c>
      <c r="BP67" s="14">
        <v>45701</v>
      </c>
      <c r="BQ67" s="14">
        <f>DATE(YEAR(BP67)+2,MONTH(BP67),DAY(BP67)-1)</f>
        <v>46430</v>
      </c>
      <c r="BR67" s="65">
        <f t="shared" ref="BR67:BR130" ca="1" si="254">BQ67-TODAY()</f>
        <v>299</v>
      </c>
      <c r="BS67" s="15" t="str">
        <f t="shared" ref="BS67:BS130" ca="1" si="255">IF(BR67&gt;=91,"VIGENTE",IF(BR67&gt;=1,"POR VENCER",IF(BR67&lt;=-1,"VENCIDA",IF(BP67=0,"NO APLICA"))))</f>
        <v>VIGENTE</v>
      </c>
      <c r="BT67" s="12">
        <v>45086</v>
      </c>
      <c r="BU67" s="14">
        <v>45736</v>
      </c>
      <c r="BV67" s="14">
        <f>DATE(YEAR(BU67)+2,MONTH(BU67),DAY(BU67)-1)</f>
        <v>46465</v>
      </c>
      <c r="BW67" s="65">
        <f t="shared" ref="BW67:BW130" ca="1" si="256">BV67-TODAY()</f>
        <v>334</v>
      </c>
      <c r="BX67" s="15" t="str">
        <f t="shared" ref="BX67:BX130" ca="1" si="257">IF(BW67&gt;=91,"VIGENTE",IF(BW67&gt;=1,"POR VENCER",IF(BW67&lt;=-1,"VENCIDA",IF(BU67=0,"NO APLICA"))))</f>
        <v>VIGENTE</v>
      </c>
      <c r="BY67" s="13">
        <v>45285</v>
      </c>
      <c r="BZ67" s="14">
        <v>45954</v>
      </c>
      <c r="CA67" s="14">
        <f t="shared" si="232"/>
        <v>46684</v>
      </c>
      <c r="CB67" s="65">
        <f t="shared" ref="CB67:CB130" ca="1" si="258">CA67-TODAY()</f>
        <v>553</v>
      </c>
      <c r="CC67" s="15" t="str">
        <f t="shared" ref="CC67:CC130" ca="1" si="259">IF(CB67&gt;=91,"VIGENTE",IF(CB67&gt;=1,"POR VENCER",IF(CB67&lt;=-1,"VENCIDA",IF(BZ67=0,"NO APLICA"))))</f>
        <v>VIGENTE</v>
      </c>
      <c r="CD67" s="16" t="s">
        <v>108</v>
      </c>
      <c r="CE67" s="14">
        <v>45615</v>
      </c>
      <c r="CF67" s="14">
        <v>45616</v>
      </c>
      <c r="CG67" s="14">
        <f t="shared" ref="CG67:CG98" si="260">DATE(YEAR(CF67)+4,MONTH(CF67),DAY(CF67))</f>
        <v>47077</v>
      </c>
      <c r="CH67" s="65">
        <f t="shared" ref="CH67:CH83" ca="1" si="261">CG67-TODAY()</f>
        <v>946</v>
      </c>
      <c r="CI67" s="15" t="str">
        <f t="shared" ref="CI67:CI107" ca="1" si="262">IF(CH67&gt;=90,"VIGENTE",IF(CH67&gt;=1,"POR VENCER",IF(CH67&lt;=-1,"VENCIDA",IF(CH67=0,"NO APLICA"))))</f>
        <v>VIGENTE</v>
      </c>
      <c r="CJ67" s="14">
        <v>45099</v>
      </c>
      <c r="CK67" s="14">
        <v>45777</v>
      </c>
      <c r="CL67" s="14">
        <f>DATE(YEAR(CK67)+2,MONTH(CK67),DAY(CK67))</f>
        <v>46507</v>
      </c>
      <c r="CM67" s="65">
        <f t="shared" ref="CM67:CM130" ca="1" si="263">CL67-TODAY()</f>
        <v>376</v>
      </c>
      <c r="CN67" s="15" t="str">
        <f t="shared" ref="CN67:CN130" ca="1" si="264">IF(CM67&gt;=91,"VIGENTE",IF(CM67&gt;=1,"POR VENCER",IF(CM67&lt;=-1,"VENCIDA",IF(CK67=0,"NO APLICA"))))</f>
        <v>VIGENTE</v>
      </c>
      <c r="CO67" s="13">
        <v>45026</v>
      </c>
      <c r="CP67" s="14">
        <v>45684</v>
      </c>
      <c r="CQ67" s="14">
        <f>DATE(YEAR(CP67)+2,MONTH(CP67),DAY(CP67)-1)</f>
        <v>46413</v>
      </c>
      <c r="CR67" s="65">
        <f t="shared" ref="CR67:CR130" ca="1" si="265">CQ67-TODAY()</f>
        <v>282</v>
      </c>
      <c r="CS67" s="15" t="str">
        <f t="shared" ref="CS67:CS130" ca="1" si="266">IF(CR67&gt;=91,"VIGENTE",IF(CR67&gt;=1,"POR VENCER",IF(CR67&lt;=-1,"VENCIDA",IF(CP67=0,"NO APLICA"))))</f>
        <v>VIGENTE</v>
      </c>
      <c r="CT67" s="13">
        <v>44698</v>
      </c>
      <c r="CU67" s="14">
        <v>46043</v>
      </c>
      <c r="CV67" s="14">
        <f>DATE(YEAR(CU67)+2,MONTH(CU67),DAY(CU67))</f>
        <v>46773</v>
      </c>
      <c r="CW67" s="65">
        <f t="shared" ref="CW67:CW130" ca="1" si="267">CV67-TODAY()</f>
        <v>642</v>
      </c>
      <c r="CX67" s="15" t="str">
        <f t="shared" ref="CX67:CX130" ca="1" si="268">IF(CW67&gt;=91,"VIGENTE",IF(CW67&gt;=1,"POR VENCER",IF(CW67&lt;=-1,"VENCIDA",IF(CU67=0,"NO APLICA"))))</f>
        <v>VIGENTE</v>
      </c>
      <c r="CY67" s="13">
        <v>45331</v>
      </c>
      <c r="CZ67" s="14">
        <v>46000</v>
      </c>
      <c r="DA67" s="14">
        <f>DATE(YEAR(CZ67)+2,MONTH(CZ67),DAY(CZ67))</f>
        <v>46730</v>
      </c>
      <c r="DB67" s="65">
        <f t="shared" ref="DB67:DB130" ca="1" si="269">DA67-TODAY()</f>
        <v>599</v>
      </c>
      <c r="DC67" s="15" t="str">
        <f t="shared" ref="DC67:DC130" ca="1" si="270">IF(DB67&gt;=91,"VIGENTE",IF(DB67&gt;=1,"POR VENCER",IF(DB67&lt;=-1,"VENCIDA",IF(CZ67=0,"NO APLICA"))))</f>
        <v>VIGENTE</v>
      </c>
      <c r="DD67" s="13">
        <v>45079</v>
      </c>
      <c r="DE67" s="14">
        <v>45723</v>
      </c>
      <c r="DF67" s="14">
        <f>DATE(YEAR(DE67)+2,MONTH(DE67),DAY(DE67)-1)</f>
        <v>46452</v>
      </c>
      <c r="DG67" s="65">
        <f t="shared" ref="DG67:DG130" ca="1" si="271">DF67-TODAY()</f>
        <v>321</v>
      </c>
      <c r="DH67" s="15" t="str">
        <f t="shared" ref="DH67:DH130" ca="1" si="272">IF(DG67&gt;=91,"VIGENTE",IF(DG67&gt;=1,"POR VENCER",IF(DG67&lt;=-1,"VENCIDA",IF(DE67=0,"NO APLICA"))))</f>
        <v>VIGENTE</v>
      </c>
      <c r="DI67" s="13">
        <v>44702</v>
      </c>
      <c r="DJ67" s="14">
        <v>45975</v>
      </c>
      <c r="DK67" s="14">
        <f t="shared" si="233"/>
        <v>46705</v>
      </c>
      <c r="DL67" s="65">
        <f t="shared" ref="DL67:DL130" ca="1" si="273">DK67-TODAY()</f>
        <v>574</v>
      </c>
      <c r="DM67" s="15" t="str">
        <f t="shared" ref="DM67:DM130" ca="1" si="274">IF(DL67&gt;=91,"VIGENTE",IF(DL67&gt;=1,"POR VENCER",IF(DL67&lt;=-1,"VENCIDA",IF(DJ67=0,"NO APLICA"))))</f>
        <v>VIGENTE</v>
      </c>
      <c r="DN67" s="13">
        <v>44697</v>
      </c>
      <c r="DO67" s="14">
        <v>46046</v>
      </c>
      <c r="DP67" s="14">
        <f>DATE(YEAR(DO67)+2,MONTH(DO67),DAY(DO67))</f>
        <v>46776</v>
      </c>
      <c r="DQ67" s="65">
        <f t="shared" ref="DQ67:DQ130" ca="1" si="275">DP67-TODAY()</f>
        <v>645</v>
      </c>
      <c r="DR67" s="15" t="str">
        <f t="shared" ref="DR67:DR130" ca="1" si="276">IF(DQ67&gt;=91,"VIGENTE",IF(DQ67&gt;=1,"POR VENCER",IF(DQ67&lt;=-1,"VENCIDA",IF(DO67=0,"NO APLICA"))))</f>
        <v>VIGENTE</v>
      </c>
      <c r="DS67" s="12">
        <v>45096</v>
      </c>
      <c r="DT67" s="14">
        <v>45743</v>
      </c>
      <c r="DU67" s="14">
        <f>DATE(YEAR(DT67)+2,MONTH(DT67),DAY(DT67)-1)</f>
        <v>46472</v>
      </c>
      <c r="DV67" s="65">
        <f t="shared" ref="DV67:DV130" ca="1" si="277">DU67-TODAY()</f>
        <v>341</v>
      </c>
      <c r="DW67" s="15" t="str">
        <f t="shared" ref="DW67:DW130" ca="1" si="278">IF(DV67&gt;=91,"VIGENTE",IF(DV67&gt;=1,"POR VENCER",IF(DV67&lt;=-1,"VENCIDA",IF(DT67=0,"NO APLICA"))))</f>
        <v>VIGENTE</v>
      </c>
      <c r="DX67" s="13">
        <v>45089</v>
      </c>
      <c r="DY67" s="14">
        <v>45769</v>
      </c>
      <c r="DZ67" s="14">
        <f>DATE(YEAR(DY67)+2,MONTH(DY67),DAY(DY67))</f>
        <v>46499</v>
      </c>
      <c r="EA67" s="65">
        <f t="shared" ref="EA67:EA130" ca="1" si="279">DZ67-TODAY()</f>
        <v>368</v>
      </c>
      <c r="EB67" s="15" t="str">
        <f t="shared" ref="EB67:EB130" ca="1" si="280">IF(EA67&gt;=91,"VIGENTE",IF(EA67&gt;=1,"POR VENCER",IF(EA67&lt;=-1,"VENCIDA",IF(DY67=0,"NO APLICA"))))</f>
        <v>VIGENTE</v>
      </c>
      <c r="EC67" s="13">
        <v>45087</v>
      </c>
      <c r="ED67" s="14">
        <v>45768</v>
      </c>
      <c r="EE67" s="14">
        <f>DATE(YEAR(ED67)+2,MONTH(ED67),DAY(ED67))</f>
        <v>46498</v>
      </c>
      <c r="EF67" s="65">
        <f t="shared" ref="EF67:EF130" ca="1" si="281">EE67-TODAY()</f>
        <v>367</v>
      </c>
      <c r="EG67" s="15" t="str">
        <f t="shared" ref="EG67:EG130" ca="1" si="282">IF(EF67&gt;=91,"VIGENTE",IF(EF67&gt;=1,"POR VENCER",IF(EF67&lt;=-1,"VENCIDA",IF(ED67=0,"NO APLICA"))))</f>
        <v>VIGENTE</v>
      </c>
      <c r="EH67" s="13">
        <v>45022</v>
      </c>
      <c r="EI67" s="13">
        <v>46083</v>
      </c>
      <c r="EJ67" s="13">
        <v>46084</v>
      </c>
      <c r="EK67" s="13">
        <v>46085</v>
      </c>
      <c r="EL67" s="14">
        <f t="shared" si="128"/>
        <v>46450</v>
      </c>
      <c r="EM67" s="65">
        <f t="shared" ref="EM67:EM130" ca="1" si="283">EL67-TODAY()</f>
        <v>319</v>
      </c>
      <c r="EN67" s="15" t="str">
        <f t="shared" ref="EN67:EN130" ca="1" si="284">IF(EM67&gt;=91,"VIGENTE",IF(EM67&gt;=1,"POR VENCER",IF(EM67&lt;=-1,"VENCIDA",IF(EK67=0,"NO APLICA"))))</f>
        <v>VIGENTE</v>
      </c>
      <c r="EO67" s="13">
        <v>44999</v>
      </c>
      <c r="EP67" s="14">
        <v>45671</v>
      </c>
      <c r="EQ67" s="14">
        <f>DATE(YEAR(EP67)+2,MONTH(EP67),DAY(EP67)-1)</f>
        <v>46400</v>
      </c>
      <c r="ER67" s="65">
        <f t="shared" ref="ER67:ER130" ca="1" si="285">EQ67-TODAY()</f>
        <v>269</v>
      </c>
      <c r="ES67" s="15" t="str">
        <f t="shared" ref="ES67:ES130" ca="1" si="286">IF(ER67&gt;=91,"VIGENTE",IF(ER67&gt;=1,"POR VENCER",IF(ER67&lt;=-1,"VENCIDA",IF(EP67=0,"NO APLICA"))))</f>
        <v>VIGENTE</v>
      </c>
      <c r="ET67" s="13">
        <v>45012</v>
      </c>
      <c r="EU67" s="14">
        <v>45677</v>
      </c>
      <c r="EV67" s="14">
        <f>DATE(YEAR(EU67)+2,MONTH(EU67),DAY(EU67)-1)</f>
        <v>46406</v>
      </c>
      <c r="EW67" s="65">
        <f t="shared" ref="EW67:EW130" ca="1" si="287">EV67-TODAY()</f>
        <v>275</v>
      </c>
      <c r="EX67" s="15" t="str">
        <f t="shared" ref="EX67:EX130" ca="1" si="288">IF(EW67&gt;=91,"VIGENTE",IF(EW67&gt;=1,"POR VENCER",IF(EW67&lt;=-1,"VENCIDA",IF(EU67=0,"NO APLICA"))))</f>
        <v>VIGENTE</v>
      </c>
      <c r="EY67" s="13">
        <v>45294</v>
      </c>
      <c r="EZ67" s="14">
        <v>45917</v>
      </c>
      <c r="FA67" s="14">
        <f t="shared" si="227"/>
        <v>46647</v>
      </c>
      <c r="FB67" s="65">
        <f t="shared" ref="FB67:FB130" ca="1" si="289">FA67-TODAY()</f>
        <v>516</v>
      </c>
      <c r="FC67" s="15" t="str">
        <f t="shared" ref="FC67:FC130" ca="1" si="290">IF(FB67&gt;=91,"VIGENTE",IF(FB67&gt;=1,"POR VENCER",IF(FB67&lt;=-1,"VENCIDA",IF(EZ67=0,"NO APLICA"))))</f>
        <v>VIGENTE</v>
      </c>
      <c r="FD67" s="13">
        <v>44595</v>
      </c>
      <c r="FE67" s="14">
        <v>45931</v>
      </c>
      <c r="FF67" s="14">
        <f t="shared" si="228"/>
        <v>46661</v>
      </c>
      <c r="FG67" s="65">
        <f t="shared" ref="FG67:FG130" ca="1" si="291">FF67-TODAY()</f>
        <v>530</v>
      </c>
      <c r="FH67" s="15" t="str">
        <f t="shared" ref="FH67:FH130" ca="1" si="292">IF(FG67&gt;=91,"VIGENTE",IF(FG67&gt;=1,"POR VENCER",IF(FG67&lt;=-1,"VENCIDA",IF(FE67=0,"NO APLICA"))))</f>
        <v>VIGENTE</v>
      </c>
      <c r="FI67" s="13">
        <v>44596</v>
      </c>
      <c r="FJ67" s="14">
        <v>45919</v>
      </c>
      <c r="FK67" s="14">
        <f t="shared" si="229"/>
        <v>46649</v>
      </c>
      <c r="FL67" s="65">
        <f t="shared" ref="FL67:FL130" ca="1" si="293">FK67-TODAY()</f>
        <v>518</v>
      </c>
      <c r="FM67" s="15" t="str">
        <f t="shared" ref="FM67:FM130" ca="1" si="294">IF(FL67&gt;=91,"VIGENTE",IF(FL67&gt;=1,"POR VENCER",IF(FL67&lt;=-1,"VENCIDA",IF(FJ67=0,"NO APLICA"))))</f>
        <v>VIGENTE</v>
      </c>
      <c r="FN67" s="13">
        <v>45002</v>
      </c>
      <c r="FO67" s="14">
        <v>45670</v>
      </c>
      <c r="FP67" s="14">
        <f>DATE(YEAR(FO67)+2,MONTH(FO67),DAY(FO67)-1)</f>
        <v>46399</v>
      </c>
      <c r="FQ67" s="65">
        <f t="shared" ref="FQ67:FQ130" ca="1" si="295">FP67-TODAY()</f>
        <v>268</v>
      </c>
      <c r="FR67" s="15" t="str">
        <f t="shared" ref="FR67:FR130" ca="1" si="296">IF(FQ67&gt;=91,"VIGENTE",IF(FQ67&gt;=1,"POR VENCER",IF(FQ67&lt;=-1,"VENCIDA",IF(FO67=0,"NO APLICA"))))</f>
        <v>VIGENTE</v>
      </c>
      <c r="FS67" s="13">
        <v>45078</v>
      </c>
      <c r="FT67" s="14">
        <v>45747</v>
      </c>
      <c r="FU67" s="14">
        <f>DATE(YEAR(FT67)+2,MONTH(FT67),DAY(FT67)-1)</f>
        <v>46476</v>
      </c>
      <c r="FV67" s="65">
        <f t="shared" ref="FV67:FV130" ca="1" si="297">FU67-TODAY()</f>
        <v>345</v>
      </c>
      <c r="FW67" s="15" t="str">
        <f t="shared" ref="FW67:FW130" ca="1" si="298">IF(FV67&gt;=91,"VIGENTE",IF(FV67&gt;=1,"POR VENCER",IF(FV67&lt;=-1,"VENCIDA",IF(FT67=0,"NO APLICA"))))</f>
        <v>VIGENTE</v>
      </c>
      <c r="FX67" s="13">
        <v>45281</v>
      </c>
      <c r="FY67" s="14">
        <v>45961</v>
      </c>
      <c r="FZ67" s="14">
        <f>DATE(YEAR(FY67)+2,MONTH(FY67),DAY(FY67))</f>
        <v>46691</v>
      </c>
      <c r="GA67" s="65">
        <f t="shared" ref="GA67:GA130" ca="1" si="299">FZ67-TODAY()</f>
        <v>560</v>
      </c>
      <c r="GB67" s="15" t="str">
        <f t="shared" ref="GB67:GB130" ca="1" si="300">IF(GA67&gt;=91,"VIGENTE",IF(GA67&gt;=1,"POR VENCER",IF(GA67&lt;=-1,"VENCIDA",IF(FY67=0,"NO APLICA"))))</f>
        <v>VIGENTE</v>
      </c>
      <c r="GC67" s="13">
        <v>45049</v>
      </c>
      <c r="GD67" s="14">
        <v>45715</v>
      </c>
      <c r="GE67" s="14">
        <f>DATE(YEAR(GD67)+2,MONTH(GD67),DAY(GD67)-1)</f>
        <v>46444</v>
      </c>
      <c r="GF67" s="65">
        <f t="shared" ref="GF67:GF130" ca="1" si="301">GE67-TODAY()</f>
        <v>313</v>
      </c>
      <c r="GG67" s="15" t="str">
        <f t="shared" ref="GG67:GG130" ca="1" si="302">IF(GF67&gt;=91,"VIGENTE",IF(GF67&gt;=1,"POR VENCER",IF(GF67&lt;=-1,"VENCIDA",IF(GD67=0,"NO APLICA"))))</f>
        <v>VIGENTE</v>
      </c>
      <c r="GH67" s="13">
        <v>45082</v>
      </c>
      <c r="GI67" s="14">
        <v>45731</v>
      </c>
      <c r="GJ67" s="14">
        <f>DATE(YEAR(GI67)+2,MONTH(GI67),DAY(GI67)-1)</f>
        <v>46460</v>
      </c>
      <c r="GK67" s="65">
        <f t="shared" ref="GK67:GK130" ca="1" si="303">GJ67-TODAY()</f>
        <v>329</v>
      </c>
      <c r="GL67" s="15" t="str">
        <f t="shared" ref="GL67:GL130" ca="1" si="304">IF(GK67&gt;=91,"VIGENTE",IF(GK67&gt;=1,"POR VENCER",IF(GK67&lt;=-1,"VENCIDA",IF(GI67=0,"NO APLICA"))))</f>
        <v>VIGENTE</v>
      </c>
      <c r="GM67" s="13">
        <v>45033</v>
      </c>
      <c r="GN67" s="14">
        <v>45687</v>
      </c>
      <c r="GO67" s="14">
        <f>DATE(YEAR(GN67)+2,MONTH(GN67),DAY(GN67)-1)</f>
        <v>46416</v>
      </c>
      <c r="GP67" s="65">
        <f t="shared" ref="GP67:GP130" ca="1" si="305">GO67-TODAY()</f>
        <v>285</v>
      </c>
      <c r="GQ67" s="15" t="str">
        <f t="shared" ref="GQ67:GQ130" ca="1" si="306">IF(GP67&gt;=61,"VIGENTE",IF(GP67&gt;=1,"POR VENCER",IF(GP67&lt;=-1,"VENCIDA",IF(GN67=0,"NO APLICA"))))</f>
        <v>VIGENTE</v>
      </c>
      <c r="GR67" s="14"/>
      <c r="GS67" s="14">
        <v>45072</v>
      </c>
      <c r="GT67" s="14">
        <f t="shared" ref="GT67:GT130" si="307">DATE(YEAR(GS67)+5,MONTH(GS67),DAY(GS67))</f>
        <v>46899</v>
      </c>
      <c r="GU67" s="65">
        <f t="shared" ca="1" si="172"/>
        <v>768</v>
      </c>
      <c r="GV67" s="15" t="str">
        <f t="shared" ref="GV67:GV71" ca="1" si="308">IF(GU67&gt;=91,"VIGENTE",IF(GU67&gt;=1,"POR VENCER",IF(GU67&lt;=-1,"VENCIDA",IF(GS67=0,"NO APLICA"))))</f>
        <v>VIGENTE</v>
      </c>
      <c r="GW67" s="13"/>
      <c r="GX67" s="14">
        <v>44984</v>
      </c>
      <c r="GY67" s="14">
        <f t="shared" ref="GY67:GY130" si="309">DATE(YEAR(GX67)+5,MONTH(GX67),DAY(GX67))</f>
        <v>46810</v>
      </c>
      <c r="GZ67" s="65">
        <f t="shared" ref="GZ67:GZ130" ca="1" si="310">GY67-TODAY()</f>
        <v>679</v>
      </c>
      <c r="HA67" s="15" t="str">
        <f t="shared" ref="HA67:HA71" ca="1" si="311">IF(GZ67&gt;=91,"VIGENTE",IF(GZ67&gt;=1,"POR VENCER",IF(GZ67&lt;=-1,"VENCIDA",IF(GX67=0,"NO APLICA"))))</f>
        <v>VIGENTE</v>
      </c>
      <c r="HB67" s="12"/>
      <c r="HC67" s="14">
        <v>45003</v>
      </c>
      <c r="HD67" s="14">
        <f t="shared" ref="HD67:HD130" si="312">DATE(YEAR(HC67)+5,MONTH(HC67),DAY(HC67))</f>
        <v>46830</v>
      </c>
      <c r="HE67" s="65">
        <f t="shared" ref="HE67:HE130" ca="1" si="313">HD67-TODAY()</f>
        <v>699</v>
      </c>
      <c r="HF67" s="15" t="str">
        <f t="shared" ref="HF67:HF71" ca="1" si="314">IF(HE67&gt;=91,"VIGENTE",IF(HE67&gt;=1,"POR VENCER",IF(HE67&lt;=-1,"VENCIDA",IF(HC67=0,"NO APLICA"))))</f>
        <v>VIGENTE</v>
      </c>
      <c r="HG67" s="16"/>
      <c r="HH67" s="16"/>
      <c r="HI67" s="14"/>
      <c r="HJ67" s="65"/>
      <c r="HK67" s="15" t="str">
        <f t="shared" si="217"/>
        <v>NO APLICA</v>
      </c>
      <c r="HL67" s="12"/>
      <c r="HM67" s="16"/>
      <c r="HN67" s="14"/>
      <c r="HO67" s="65"/>
      <c r="HP67" s="15" t="str">
        <f t="shared" si="221"/>
        <v>NO APLICA</v>
      </c>
      <c r="HQ67" s="12"/>
      <c r="HR67" s="15"/>
      <c r="HS67" s="14"/>
      <c r="HT67" s="15"/>
      <c r="HU67" s="15" t="str">
        <f t="shared" ref="HU67:HU130" si="315">IF(HT67&gt;=61,"VIGENTE",IF(HT67&gt;=1,"POR VENCER",IF(HT67&lt;=-1,"VENCIDA",IF(HR67=0,"NO APLICA"))))</f>
        <v>NO APLICA</v>
      </c>
      <c r="HV67" s="12"/>
      <c r="HW67" s="16"/>
      <c r="HX67" s="14"/>
      <c r="HY67" s="65"/>
      <c r="HZ67" s="15" t="str">
        <f t="shared" ref="HZ67:HZ130" si="316">IF(HY67&gt;=61,"VIGENTE",IF(HY67&gt;=1,"POR VENCER",IF(HY67&lt;=-1,"VENCIDA",IF(HW67=0,"NO APLICA"))))</f>
        <v>NO APLICA</v>
      </c>
      <c r="IA67" s="12"/>
      <c r="IB67" s="16"/>
      <c r="IC67" s="14"/>
      <c r="ID67" s="65"/>
      <c r="IE67" s="15" t="str">
        <f t="shared" ref="IE67:IE130" si="317">IF(ID67&gt;=61,"VIGENTE",IF(ID67&gt;=1,"POR VENCER",IF(ID67&lt;=-1,"VENCIDA",IF(IB67=0,"NO APLICA"))))</f>
        <v>NO APLICA</v>
      </c>
      <c r="IF67" s="12"/>
      <c r="IG67" s="16"/>
      <c r="IH67" s="14"/>
      <c r="II67" s="65"/>
      <c r="IJ67" s="15" t="str">
        <f t="shared" ref="IJ67:IJ130" si="318">IF(II67&gt;=61,"VIGENTE",IF(II67&gt;=1,"POR VENCER",IF(II67&lt;=-1,"VENCIDA",IF(IG67=0,"NO APLICA"))))</f>
        <v>NO APLICA</v>
      </c>
      <c r="IK67" s="16"/>
      <c r="IL67" s="16"/>
      <c r="IM67" s="14"/>
      <c r="IN67" s="65"/>
      <c r="IO67" s="15" t="str">
        <f t="shared" ref="IO67:IO130" si="319">IF(IN67&gt;=61,"VIGENTE",IF(IN67&gt;=1,"POR VENCER",IF(IN67&lt;=-1,"VENCIDA",IF(IL67=0,"NO APLICA"))))</f>
        <v>NO APLICA</v>
      </c>
      <c r="IP67" s="12"/>
      <c r="IQ67" s="16"/>
      <c r="IR67" s="14"/>
      <c r="IS67" s="65"/>
      <c r="IT67" s="15" t="str">
        <f t="shared" ref="IT67:IT130" si="320">IF(IS67&gt;=61,"VIGENTE",IF(IS67&gt;=1,"POR VENCER",IF(IS67&lt;=-1,"VENCIDA",IF(IQ67=0,"NO APLICA"))))</f>
        <v>NO APLICA</v>
      </c>
      <c r="IU67" s="12"/>
      <c r="IV67" s="16"/>
      <c r="IW67" s="14"/>
      <c r="IX67" s="65"/>
      <c r="IY67" s="15" t="str">
        <f t="shared" ref="IY67:IY130" si="321">IF(IX67&gt;=61,"VIGENTE",IF(IX67&gt;=1,"POR VENCER",IF(IX67&lt;=-1,"VENCIDA",IF(IV67=0,"NO APLICA"))))</f>
        <v>NO APLICA</v>
      </c>
      <c r="IZ67" s="12"/>
      <c r="JA67" s="16"/>
      <c r="JB67" s="14"/>
      <c r="JC67" s="65"/>
      <c r="JD67" s="15" t="str">
        <f t="shared" ref="JD67:JD130" si="322">IF(JC67&gt;=61,"VIGENTE",IF(JC67&gt;=1,"POR VENCER",IF(JC67&lt;=-1,"VENCIDA",IF(JA67=0,"NO APLICA"))))</f>
        <v>NO APLICA</v>
      </c>
      <c r="JE67" s="13"/>
      <c r="JF67" s="13"/>
      <c r="JG67" s="14"/>
      <c r="JH67" s="65"/>
      <c r="JI67" s="15" t="str">
        <f t="shared" ref="JI67:JI130" si="323">IF(JH67&gt;=61,"VIGENTE",IF(JH67&gt;=1,"POR VENCER",IF(JH67&lt;=-1,"VENCIDA",IF(JF67=0,"NO APLICA"))))</f>
        <v>NO APLICA</v>
      </c>
      <c r="JJ67" s="16"/>
      <c r="JK67" s="16"/>
      <c r="JL67" s="16"/>
      <c r="JM67" s="15" t="str">
        <f t="shared" ref="JM67:JM130" si="324">IF(JL67&gt;=61,"VIGENTE",IF(JL67&gt;=1,"POR VENCER",IF(JL67&lt;=-1,"VENCIDA",IF(JJ67=0,"NO APLICA"))))</f>
        <v>NO APLICA</v>
      </c>
      <c r="JN67" s="16"/>
      <c r="JO67" s="16"/>
      <c r="JP67" s="16"/>
      <c r="JQ67" s="15" t="str">
        <f t="shared" ref="JQ67:JQ130" si="325">IF(JP67&gt;=61,"VIGENTE",IF(JP67&gt;=1,"POR VENCER",IF(JP67&lt;=-1,"VENCIDA",IF(JN67=0,"NO APLICA"))))</f>
        <v>NO APLICA</v>
      </c>
      <c r="JR67" s="16"/>
      <c r="JS67" s="16"/>
      <c r="JT67" s="16"/>
      <c r="JU67" s="16"/>
      <c r="JV67" s="15" t="str">
        <f t="shared" ref="JV67:JV130" si="326">IF(JU67&gt;=61,"VIGENTE",IF(JU67&gt;=1,"POR VENCER",IF(JU67&lt;=-1,"VENCIDA",IF(JS67=0,"NO APLICA"))))</f>
        <v>NO APLICA</v>
      </c>
      <c r="JW67" s="15"/>
      <c r="JX67" s="13">
        <v>45948</v>
      </c>
      <c r="JY67" s="14">
        <f>DATE(YEAR(JX67)+2,MONTH(JX67),DAY(JX67))</f>
        <v>46678</v>
      </c>
      <c r="JZ67" s="65">
        <f ca="1">JY67-TODAY()</f>
        <v>547</v>
      </c>
      <c r="KA67" s="15" t="str">
        <f t="shared" ref="KA67:KA130" ca="1" si="327">IF(JZ67&gt;=61,"VIGENTE",IF(JZ67&gt;=1,"POR VENCER",IF(JZ67&lt;=-1,"VENCIDA",IF(JX67=0,"NO APLICA"))))</f>
        <v>VIGENTE</v>
      </c>
      <c r="KB67" s="15"/>
      <c r="KC67" s="14"/>
      <c r="KD67" s="65"/>
      <c r="KE67" s="15" t="str">
        <f t="shared" ref="KE67:KE130" si="328">IF(KD67&gt;=61,"VIGENTE",IF(KD67&gt;=1,"POR VENCER",IF(KD67&lt;=-1,"VENCIDA",IF(KB67=0,"NO APLICA"))))</f>
        <v>NO APLICA</v>
      </c>
      <c r="KF67" s="15"/>
      <c r="KG67" s="14"/>
      <c r="KH67" s="65"/>
      <c r="KI67" s="15" t="str">
        <f t="shared" si="132"/>
        <v>NO APLICA</v>
      </c>
      <c r="KJ67" s="15"/>
      <c r="KK67" s="14"/>
      <c r="KL67" s="65"/>
      <c r="KM67" s="15" t="str">
        <f t="shared" ref="KM67:KM130" si="329">IF(KL67&gt;=61,"VIGENTE",IF(KL67&gt;=1,"POR VENCER",IF(KL67&lt;=-1,"VENCIDA",IF(KJ67=0,"NO APLICA"))))</f>
        <v>NO APLICA</v>
      </c>
      <c r="KN67" s="12"/>
      <c r="KO67" s="14"/>
      <c r="KP67" s="65"/>
      <c r="KQ67" s="15" t="str">
        <f t="shared" si="133"/>
        <v>NO APLICA</v>
      </c>
      <c r="KR67" s="12"/>
      <c r="KS67" s="16"/>
      <c r="KT67" s="14"/>
      <c r="KU67" s="65"/>
      <c r="KV67" s="15" t="str">
        <f t="shared" si="147"/>
        <v>NO APLICA</v>
      </c>
      <c r="KW67" s="16"/>
      <c r="KX67" s="14"/>
      <c r="KY67" s="65"/>
      <c r="KZ67" s="15" t="str">
        <f t="shared" si="134"/>
        <v>NO APLICA</v>
      </c>
      <c r="LA67" s="16"/>
      <c r="LB67" s="16"/>
      <c r="LC67" s="14"/>
      <c r="LD67" s="65"/>
      <c r="LE67" s="15" t="str">
        <f t="shared" ref="LE67:LE130" si="330">IF(LD67&gt;=61,"VIGENTE",IF(LD67&gt;=1,"POR VENCER",IF(LD67&lt;=-1,"VENCIDA",IF(LB67=0,"NO APLICA"))))</f>
        <v>NO APLICA</v>
      </c>
      <c r="LF67" s="15"/>
      <c r="LG67" s="15"/>
      <c r="LH67" s="14"/>
      <c r="LI67" s="65"/>
      <c r="LJ67" s="15" t="str">
        <f t="shared" si="148"/>
        <v>NO APLICA</v>
      </c>
      <c r="LK67" s="15"/>
      <c r="LL67" s="16"/>
      <c r="LM67" s="14"/>
      <c r="LN67" s="65"/>
      <c r="LO67" s="15" t="str">
        <f t="shared" si="135"/>
        <v>NO APLICA</v>
      </c>
      <c r="LP67" s="16"/>
      <c r="LQ67" s="16"/>
      <c r="LR67" s="14"/>
      <c r="LS67" s="65"/>
      <c r="LT67" s="15" t="str">
        <f t="shared" si="136"/>
        <v>NO APLICA</v>
      </c>
      <c r="LU67" s="16"/>
      <c r="LV67" s="16"/>
      <c r="LW67" s="14"/>
      <c r="LX67" s="65"/>
      <c r="LY67" s="15" t="str">
        <f t="shared" si="137"/>
        <v>NO APLICA</v>
      </c>
      <c r="LZ67" s="15"/>
      <c r="MA67" s="15"/>
      <c r="MB67" s="14"/>
      <c r="MC67" s="65"/>
      <c r="MD67" s="15" t="str">
        <f t="shared" ref="MD67:MD130" si="331">IF(MC67&gt;=61,"VIGENTE",IF(MC67&gt;=1,"POR VENCER",IF(MC67&lt;=-1,"VENCIDA",IF(MA67=0,"NO APLICA"))))</f>
        <v>NO APLICA</v>
      </c>
      <c r="ME67" s="15"/>
      <c r="MF67" s="15"/>
      <c r="MG67" s="14"/>
      <c r="MH67" s="65"/>
      <c r="MI67" s="15" t="str">
        <f t="shared" ref="MI67:MI130" si="332">IF(MH67&gt;=61,"VIGENTE",IF(MH67&gt;=1,"POR VENCER",IF(MH67&lt;=-1,"VENCIDA",IF(MF67=0,"NO APLICA"))))</f>
        <v>NO APLICA</v>
      </c>
      <c r="MJ67" s="15"/>
      <c r="MK67" s="14"/>
      <c r="ML67" s="65"/>
      <c r="MM67" s="15" t="str">
        <f t="shared" ref="MM67:MM130" si="333">IF(ML67&gt;=61,"VIGENTE",IF(ML67&gt;=1,"POR VENCER",IF(ML67&lt;=-1,"VENCIDA",IF(MJ67=0,"NO APLICA"))))</f>
        <v>NO APLICA</v>
      </c>
      <c r="MN67" s="15"/>
      <c r="MO67" s="14"/>
      <c r="MP67" s="15"/>
      <c r="MQ67" s="15" t="str">
        <f t="shared" ref="MQ67:MQ130" si="334">IF(MP67&gt;=61,"VIGENTE",IF(MP67&gt;=1,"POR VENCER",IF(MP67&lt;=-1,"VENCIDA",IF(MN67=0,"NO APLICA"))))</f>
        <v>NO APLICA</v>
      </c>
      <c r="MR67" s="15"/>
      <c r="MS67" s="16"/>
      <c r="MT67" s="14"/>
      <c r="MU67" s="65"/>
      <c r="MV67" s="15" t="str">
        <f t="shared" ref="MV67:MV130" si="335">IF(MU67&gt;=61,"VIGENTE",IF(MU67&gt;=1,"POR VENCER",IF(MU67&lt;=-1,"VENCIDA",IF(MS67=0,"NO APLICA"))))</f>
        <v>NO APLICA</v>
      </c>
      <c r="MW67" s="15"/>
      <c r="MX67" s="16"/>
      <c r="MY67" s="14"/>
      <c r="MZ67" s="65"/>
      <c r="NA67" s="15" t="str">
        <f t="shared" ref="NA67:NA130" si="336">IF(MZ67&gt;=61,"VIGENTE",IF(MZ67&gt;=1,"POR VENCER",IF(MZ67&lt;=-1,"VENCIDA",IF(MX67=0,"NO APLICA"))))</f>
        <v>NO APLICA</v>
      </c>
      <c r="NB67" s="15"/>
      <c r="NC67" s="16"/>
      <c r="ND67" s="14"/>
      <c r="NE67" s="65"/>
      <c r="NF67" s="15" t="str">
        <f t="shared" ref="NF67:NF130" si="337">IF(NE67&gt;=61,"VIGENTE",IF(NE67&gt;=1,"POR VENCER",IF(NE67&lt;=-1,"VENCIDA",IF(NC67=0,"NO APLICA"))))</f>
        <v>NO APLICA</v>
      </c>
      <c r="NG67" s="15"/>
      <c r="NH67" s="15"/>
      <c r="NI67" s="14"/>
      <c r="NJ67" s="65"/>
      <c r="NK67" s="15" t="str">
        <f t="shared" ref="NK67:NK130" si="338">IF(NJ67&gt;=61,"VIGENTE",IF(NJ67&gt;=1,"POR VENCER",IF(NJ67&lt;=-1,"VENCIDA",IF(NH67=0,"NO APLICA"))))</f>
        <v>NO APLICA</v>
      </c>
      <c r="NL67" s="15"/>
      <c r="NM67" s="15"/>
      <c r="NN67" s="15"/>
      <c r="NO67" s="15"/>
      <c r="NP67" s="15" t="str">
        <f t="shared" ref="NP67:NP130" si="339">IF(NO67&gt;=61,"VIGENTE",IF(NO67&gt;=1,"POR VENCER",IF(NO67&lt;=-1,"VENCIDA",IF(NM67=0,"NO APLICA"))))</f>
        <v>NO APLICA</v>
      </c>
      <c r="NQ67" s="16"/>
      <c r="NR67" s="16"/>
      <c r="NS67" s="14"/>
      <c r="NT67" s="65"/>
      <c r="NU67" s="15" t="str">
        <f t="shared" ref="NU67:NU130" si="340">IF(NT67&gt;=61,"VIGENTE",IF(NT67&gt;=1,"POR VENCER",IF(NT67&lt;=-1,"VENCIDA",IF(NR67=0,"NO APLICA"))))</f>
        <v>NO APLICA</v>
      </c>
      <c r="NV67" s="16"/>
      <c r="NW67" s="16"/>
      <c r="NX67" s="16"/>
      <c r="NY67" s="16"/>
      <c r="NZ67" s="15" t="str">
        <f t="shared" ref="NZ67:NZ130" si="341">IF(NY67&gt;=61,"VIGENTE",IF(NY67&gt;=1,"POR VENCER",IF(NY67&lt;=-1,"VENCIDA",IF(NW67=0,"NO APLICA"))))</f>
        <v>NO APLICA</v>
      </c>
    </row>
    <row r="68" spans="1:390" ht="15.6" thickTop="1" thickBot="1" x14ac:dyDescent="0.35">
      <c r="A68" s="9">
        <v>1179</v>
      </c>
      <c r="B68" s="10" t="s">
        <v>309</v>
      </c>
      <c r="C68" s="21" t="s">
        <v>104</v>
      </c>
      <c r="D68" s="64" t="s">
        <v>160</v>
      </c>
      <c r="E68" s="15"/>
      <c r="F68" s="16"/>
      <c r="G68" s="14"/>
      <c r="H68" s="65"/>
      <c r="I68" s="15" t="str">
        <f t="shared" si="235"/>
        <v>NO APLICA</v>
      </c>
      <c r="J68" s="15"/>
      <c r="K68" s="16"/>
      <c r="L68" s="16"/>
      <c r="M68" s="65"/>
      <c r="N68" s="15" t="str">
        <f t="shared" si="236"/>
        <v>NO APLICA</v>
      </c>
      <c r="O68" s="16"/>
      <c r="P68" s="16"/>
      <c r="Q68" s="14"/>
      <c r="R68" s="65"/>
      <c r="S68" s="15" t="str">
        <f t="shared" ref="S68:S131" si="342">IF(R68&gt;=61,"VIGENTE",IF(R68&gt;=1,"POR VENCER",IF(R68&lt;=-1,"VENCIDA",IF(R68=0,"NO APLICA"))))</f>
        <v>NO APLICA</v>
      </c>
      <c r="T68" s="12" t="s">
        <v>310</v>
      </c>
      <c r="U68" s="13">
        <v>44828</v>
      </c>
      <c r="V68" s="14">
        <v>44829</v>
      </c>
      <c r="W68" s="14">
        <f t="shared" si="237"/>
        <v>46655</v>
      </c>
      <c r="X68" s="65">
        <f t="shared" ca="1" si="238"/>
        <v>524</v>
      </c>
      <c r="Y68" s="15" t="str">
        <f t="shared" ca="1" si="239"/>
        <v>VIGENTE</v>
      </c>
      <c r="Z68" s="12" t="s">
        <v>311</v>
      </c>
      <c r="AA68" s="13">
        <v>44602</v>
      </c>
      <c r="AB68" s="14">
        <v>44603</v>
      </c>
      <c r="AC68" s="14">
        <f>DATE(YEAR(AB68)+5,MONTH(AB68),DAY(AB68))</f>
        <v>46429</v>
      </c>
      <c r="AD68" s="65">
        <f ca="1">AC68-TODAY()</f>
        <v>298</v>
      </c>
      <c r="AE68" s="15" t="str">
        <f t="shared" ca="1" si="240"/>
        <v>VIGENTE</v>
      </c>
      <c r="AF68" s="13">
        <v>44938</v>
      </c>
      <c r="AG68" s="13">
        <v>45589</v>
      </c>
      <c r="AH68" s="14">
        <f>DATE(YEAR(AG68)+2,MONTH(AG68),DAY(AG68)-1)</f>
        <v>46318</v>
      </c>
      <c r="AI68" s="65">
        <f t="shared" ca="1" si="241"/>
        <v>187</v>
      </c>
      <c r="AJ68" s="15" t="str">
        <f t="shared" ca="1" si="213"/>
        <v>VIGENTE</v>
      </c>
      <c r="AK68" s="13">
        <v>45269</v>
      </c>
      <c r="AL68" s="14">
        <v>45926</v>
      </c>
      <c r="AM68" s="14">
        <f t="shared" si="234"/>
        <v>46656</v>
      </c>
      <c r="AN68" s="65">
        <f t="shared" ca="1" si="242"/>
        <v>525</v>
      </c>
      <c r="AO68" s="15" t="str">
        <f t="shared" ca="1" si="243"/>
        <v>VIGENTE</v>
      </c>
      <c r="AP68" s="13">
        <v>45298</v>
      </c>
      <c r="AQ68" s="14">
        <v>45967</v>
      </c>
      <c r="AR68" s="14">
        <f t="shared" si="230"/>
        <v>46697</v>
      </c>
      <c r="AS68" s="65">
        <f t="shared" ca="1" si="244"/>
        <v>566</v>
      </c>
      <c r="AT68" s="15" t="str">
        <f t="shared" ca="1" si="245"/>
        <v>VIGENTE</v>
      </c>
      <c r="AU68" s="13">
        <v>44662</v>
      </c>
      <c r="AV68" s="14">
        <v>45990</v>
      </c>
      <c r="AW68" s="14">
        <f t="shared" si="225"/>
        <v>46720</v>
      </c>
      <c r="AX68" s="65">
        <f t="shared" ca="1" si="246"/>
        <v>589</v>
      </c>
      <c r="AY68" s="15" t="str">
        <f t="shared" ca="1" si="247"/>
        <v>VIGENTE</v>
      </c>
      <c r="AZ68" s="13">
        <v>44572</v>
      </c>
      <c r="BA68" s="14">
        <v>45943</v>
      </c>
      <c r="BB68" s="14">
        <f>DATE(YEAR(BA68)+2,MONTH(BA68),DAY(BA68))</f>
        <v>46673</v>
      </c>
      <c r="BC68" s="65">
        <f t="shared" ca="1" si="248"/>
        <v>542</v>
      </c>
      <c r="BD68" s="15" t="str">
        <f t="shared" ca="1" si="249"/>
        <v>VIGENTE</v>
      </c>
      <c r="BE68" s="13">
        <v>45310</v>
      </c>
      <c r="BF68" s="14">
        <v>45968</v>
      </c>
      <c r="BG68" s="14">
        <f>DATE(YEAR(BF68)+2,MONTH(BF68),DAY(BF68))</f>
        <v>46698</v>
      </c>
      <c r="BH68" s="65">
        <f t="shared" ca="1" si="250"/>
        <v>567</v>
      </c>
      <c r="BI68" s="15" t="str">
        <f t="shared" ca="1" si="251"/>
        <v>VIGENTE</v>
      </c>
      <c r="BJ68" s="13">
        <v>44720</v>
      </c>
      <c r="BK68" s="14">
        <v>46056</v>
      </c>
      <c r="BL68" s="14">
        <f>DATE(YEAR(BK68)+2,MONTH(BK68),DAY(BK68))</f>
        <v>46786</v>
      </c>
      <c r="BM68" s="65">
        <f t="shared" ca="1" si="252"/>
        <v>655</v>
      </c>
      <c r="BN68" s="15" t="str">
        <f t="shared" ca="1" si="253"/>
        <v>VIGENTE</v>
      </c>
      <c r="BO68" s="13">
        <v>44747</v>
      </c>
      <c r="BP68" s="14">
        <v>45478</v>
      </c>
      <c r="BQ68" s="14">
        <f>DATE(YEAR(BP68)+2,MONTH(BP68),DAY(BP68)-1)</f>
        <v>46207</v>
      </c>
      <c r="BR68" s="65">
        <f t="shared" ca="1" si="254"/>
        <v>76</v>
      </c>
      <c r="BS68" s="15" t="str">
        <f t="shared" ca="1" si="255"/>
        <v>POR VENCER</v>
      </c>
      <c r="BT68" s="13">
        <v>44604</v>
      </c>
      <c r="BU68" s="14">
        <v>45950</v>
      </c>
      <c r="BV68" s="14">
        <f>DATE(YEAR(BU68)+2,MONTH(BU68),DAY(BU68))</f>
        <v>46680</v>
      </c>
      <c r="BW68" s="65">
        <f t="shared" ca="1" si="256"/>
        <v>549</v>
      </c>
      <c r="BX68" s="15" t="str">
        <f t="shared" ca="1" si="257"/>
        <v>VIGENTE</v>
      </c>
      <c r="BY68" s="13">
        <v>44613</v>
      </c>
      <c r="BZ68" s="14">
        <v>45944</v>
      </c>
      <c r="CA68" s="14">
        <f t="shared" si="232"/>
        <v>46674</v>
      </c>
      <c r="CB68" s="65">
        <f t="shared" ca="1" si="258"/>
        <v>543</v>
      </c>
      <c r="CC68" s="15" t="str">
        <f t="shared" ca="1" si="259"/>
        <v>VIGENTE</v>
      </c>
      <c r="CD68" s="16" t="s">
        <v>108</v>
      </c>
      <c r="CE68" s="14">
        <v>45240</v>
      </c>
      <c r="CF68" s="14">
        <v>45241</v>
      </c>
      <c r="CG68" s="14">
        <f t="shared" si="260"/>
        <v>46702</v>
      </c>
      <c r="CH68" s="65">
        <f t="shared" ca="1" si="261"/>
        <v>571</v>
      </c>
      <c r="CI68" s="15" t="str">
        <f t="shared" ca="1" si="262"/>
        <v>VIGENTE</v>
      </c>
      <c r="CJ68" s="14">
        <v>45238</v>
      </c>
      <c r="CK68" s="14">
        <v>45895</v>
      </c>
      <c r="CL68" s="14">
        <f>DATE(YEAR(CK68)+2,MONTH(CK68),DAY(CK68))</f>
        <v>46625</v>
      </c>
      <c r="CM68" s="65">
        <f t="shared" ca="1" si="263"/>
        <v>494</v>
      </c>
      <c r="CN68" s="15" t="str">
        <f t="shared" ca="1" si="264"/>
        <v>VIGENTE</v>
      </c>
      <c r="CO68" s="13">
        <v>45188</v>
      </c>
      <c r="CP68" s="14">
        <v>45882</v>
      </c>
      <c r="CQ68" s="14">
        <f>DATE(YEAR(CP68)+2,MONTH(CP68),DAY(CP68))</f>
        <v>46612</v>
      </c>
      <c r="CR68" s="65">
        <f t="shared" ca="1" si="265"/>
        <v>481</v>
      </c>
      <c r="CS68" s="15" t="str">
        <f t="shared" ca="1" si="266"/>
        <v>VIGENTE</v>
      </c>
      <c r="CT68" s="13">
        <v>44978</v>
      </c>
      <c r="CU68" s="14">
        <v>45645</v>
      </c>
      <c r="CV68" s="14">
        <f>DATE(YEAR(CU68)+2,MONTH(CU68),DAY(CU68)-1)</f>
        <v>46374</v>
      </c>
      <c r="CW68" s="65">
        <f t="shared" ca="1" si="267"/>
        <v>243</v>
      </c>
      <c r="CX68" s="15" t="str">
        <f t="shared" ca="1" si="268"/>
        <v>VIGENTE</v>
      </c>
      <c r="CY68" s="13">
        <v>44991</v>
      </c>
      <c r="CZ68" s="14">
        <v>45665</v>
      </c>
      <c r="DA68" s="14">
        <f>DATE(YEAR(CZ68)+2,MONTH(CZ68),DAY(CZ68)-1)</f>
        <v>46394</v>
      </c>
      <c r="DB68" s="65">
        <f t="shared" ca="1" si="269"/>
        <v>263</v>
      </c>
      <c r="DC68" s="15" t="str">
        <f t="shared" ca="1" si="270"/>
        <v>VIGENTE</v>
      </c>
      <c r="DD68" s="13">
        <v>45023</v>
      </c>
      <c r="DE68" s="14">
        <v>45689</v>
      </c>
      <c r="DF68" s="14">
        <f>DATE(YEAR(DE68)+2,MONTH(DE68),DAY(DE68)-1)</f>
        <v>46418</v>
      </c>
      <c r="DG68" s="65">
        <f t="shared" ca="1" si="271"/>
        <v>287</v>
      </c>
      <c r="DH68" s="15" t="str">
        <f t="shared" ca="1" si="272"/>
        <v>VIGENTE</v>
      </c>
      <c r="DI68" s="13">
        <v>45296</v>
      </c>
      <c r="DJ68" s="14">
        <v>45955</v>
      </c>
      <c r="DK68" s="14">
        <f t="shared" si="233"/>
        <v>46685</v>
      </c>
      <c r="DL68" s="65">
        <f t="shared" ca="1" si="273"/>
        <v>554</v>
      </c>
      <c r="DM68" s="15" t="str">
        <f t="shared" ca="1" si="274"/>
        <v>VIGENTE</v>
      </c>
      <c r="DN68" s="13">
        <v>44918</v>
      </c>
      <c r="DO68" s="14">
        <v>45520</v>
      </c>
      <c r="DP68" s="14">
        <f>DATE(YEAR(DO68)+2,MONTH(DO68),DAY(DO68)-1)</f>
        <v>46249</v>
      </c>
      <c r="DQ68" s="65">
        <f t="shared" ca="1" si="275"/>
        <v>118</v>
      </c>
      <c r="DR68" s="15" t="str">
        <f t="shared" ca="1" si="276"/>
        <v>VIGENTE</v>
      </c>
      <c r="DS68" s="13">
        <v>45336</v>
      </c>
      <c r="DT68" s="14">
        <v>46018</v>
      </c>
      <c r="DU68" s="14">
        <f>DATE(YEAR(DT68)+2,MONTH(DT68),DAY(DT68))</f>
        <v>46748</v>
      </c>
      <c r="DV68" s="65">
        <f t="shared" ca="1" si="277"/>
        <v>617</v>
      </c>
      <c r="DW68" s="15" t="str">
        <f t="shared" ca="1" si="278"/>
        <v>VIGENTE</v>
      </c>
      <c r="DX68" s="13">
        <v>45031</v>
      </c>
      <c r="DY68" s="14">
        <v>45682</v>
      </c>
      <c r="DZ68" s="14">
        <f t="shared" ref="DZ68:DZ80" si="343">DATE(YEAR(DY68)+2,MONTH(DY68),DAY(DY68)-1)</f>
        <v>46411</v>
      </c>
      <c r="EA68" s="65">
        <f t="shared" ca="1" si="279"/>
        <v>280</v>
      </c>
      <c r="EB68" s="15" t="str">
        <f t="shared" ca="1" si="280"/>
        <v>VIGENTE</v>
      </c>
      <c r="EC68" s="13">
        <v>44994</v>
      </c>
      <c r="ED68" s="14">
        <v>45674</v>
      </c>
      <c r="EE68" s="14">
        <f>DATE(YEAR(ED68)+2,MONTH(ED68),DAY(ED68)-1)</f>
        <v>46403</v>
      </c>
      <c r="EF68" s="65">
        <f t="shared" ca="1" si="281"/>
        <v>272</v>
      </c>
      <c r="EG68" s="15" t="str">
        <f t="shared" ca="1" si="282"/>
        <v>VIGENTE</v>
      </c>
      <c r="EH68" s="13">
        <v>45350</v>
      </c>
      <c r="EI68" s="13">
        <v>45806</v>
      </c>
      <c r="EJ68" s="13">
        <v>45807</v>
      </c>
      <c r="EK68" s="14">
        <v>45808</v>
      </c>
      <c r="EL68" s="14">
        <f t="shared" ref="EL68:EL131" si="344">DATE(YEAR(EK68)+1,MONTH(EK68),DAY(EK68))</f>
        <v>46173</v>
      </c>
      <c r="EM68" s="65">
        <f t="shared" ca="1" si="283"/>
        <v>42</v>
      </c>
      <c r="EN68" s="15" t="str">
        <f t="shared" ca="1" si="284"/>
        <v>POR VENCER</v>
      </c>
      <c r="EO68" s="13">
        <v>44993</v>
      </c>
      <c r="EP68" s="14">
        <v>45671</v>
      </c>
      <c r="EQ68" s="14">
        <f>DATE(YEAR(EP68)+2,MONTH(EP68),DAY(EP68)-1)</f>
        <v>46400</v>
      </c>
      <c r="ER68" s="65">
        <f t="shared" ca="1" si="285"/>
        <v>269</v>
      </c>
      <c r="ES68" s="15" t="str">
        <f t="shared" ca="1" si="286"/>
        <v>VIGENTE</v>
      </c>
      <c r="ET68" s="13">
        <v>44604</v>
      </c>
      <c r="EU68" s="14">
        <v>45999</v>
      </c>
      <c r="EV68" s="14">
        <f>DATE(YEAR(EU68)+2,MONTH(EU68),DAY(EU68))</f>
        <v>46729</v>
      </c>
      <c r="EW68" s="65">
        <f t="shared" ca="1" si="287"/>
        <v>598</v>
      </c>
      <c r="EX68" s="15" t="str">
        <f t="shared" ca="1" si="288"/>
        <v>VIGENTE</v>
      </c>
      <c r="EY68" s="13">
        <v>44615</v>
      </c>
      <c r="EZ68" s="14">
        <v>45953</v>
      </c>
      <c r="FA68" s="14">
        <f t="shared" si="227"/>
        <v>46683</v>
      </c>
      <c r="FB68" s="65">
        <f t="shared" ca="1" si="289"/>
        <v>552</v>
      </c>
      <c r="FC68" s="15" t="str">
        <f t="shared" ca="1" si="290"/>
        <v>VIGENTE</v>
      </c>
      <c r="FD68" s="13">
        <v>44615</v>
      </c>
      <c r="FE68" s="14">
        <v>45951</v>
      </c>
      <c r="FF68" s="14">
        <f t="shared" si="228"/>
        <v>46681</v>
      </c>
      <c r="FG68" s="65">
        <f t="shared" ca="1" si="291"/>
        <v>550</v>
      </c>
      <c r="FH68" s="15" t="str">
        <f t="shared" ca="1" si="292"/>
        <v>VIGENTE</v>
      </c>
      <c r="FI68" s="13">
        <v>45282</v>
      </c>
      <c r="FJ68" s="14">
        <v>45932</v>
      </c>
      <c r="FK68" s="14">
        <f t="shared" si="229"/>
        <v>46662</v>
      </c>
      <c r="FL68" s="65">
        <f t="shared" ca="1" si="293"/>
        <v>531</v>
      </c>
      <c r="FM68" s="15" t="str">
        <f t="shared" ca="1" si="294"/>
        <v>VIGENTE</v>
      </c>
      <c r="FN68" s="13">
        <v>44599</v>
      </c>
      <c r="FO68" s="14">
        <v>45933</v>
      </c>
      <c r="FP68" s="14">
        <f>DATE(YEAR(FO68)+2,MONTH(FO68),DAY(FO68))</f>
        <v>46663</v>
      </c>
      <c r="FQ68" s="65">
        <f t="shared" ca="1" si="295"/>
        <v>532</v>
      </c>
      <c r="FR68" s="15" t="str">
        <f t="shared" ca="1" si="296"/>
        <v>VIGENTE</v>
      </c>
      <c r="FS68" s="13">
        <v>45358</v>
      </c>
      <c r="FT68" s="14">
        <v>46034</v>
      </c>
      <c r="FU68" s="14">
        <f>DATE(YEAR(FT68)+2,MONTH(FT68),DAY(FT68))</f>
        <v>46764</v>
      </c>
      <c r="FV68" s="65">
        <f t="shared" ca="1" si="297"/>
        <v>633</v>
      </c>
      <c r="FW68" s="15" t="str">
        <f t="shared" ca="1" si="298"/>
        <v>VIGENTE</v>
      </c>
      <c r="FX68" s="13">
        <v>44616</v>
      </c>
      <c r="FY68" s="14">
        <v>46014</v>
      </c>
      <c r="FZ68" s="14">
        <f>DATE(YEAR(FY68)+2,MONTH(FY68),DAY(FY68))</f>
        <v>46744</v>
      </c>
      <c r="GA68" s="65">
        <f t="shared" ca="1" si="299"/>
        <v>613</v>
      </c>
      <c r="GB68" s="15" t="str">
        <f t="shared" ca="1" si="300"/>
        <v>VIGENTE</v>
      </c>
      <c r="GC68" s="13">
        <v>44599</v>
      </c>
      <c r="GD68" s="14">
        <v>45925</v>
      </c>
      <c r="GE68" s="14">
        <f>DATE(YEAR(GD68)+2,MONTH(GD68),DAY(GD68))</f>
        <v>46655</v>
      </c>
      <c r="GF68" s="65">
        <f t="shared" ca="1" si="301"/>
        <v>524</v>
      </c>
      <c r="GG68" s="15" t="str">
        <f t="shared" ca="1" si="302"/>
        <v>VIGENTE</v>
      </c>
      <c r="GH68" s="13">
        <v>44607</v>
      </c>
      <c r="GI68" s="14">
        <v>45985</v>
      </c>
      <c r="GJ68" s="14">
        <f>DATE(YEAR(GI68)+2,MONTH(GI68),DAY(GI68))</f>
        <v>46715</v>
      </c>
      <c r="GK68" s="65">
        <f t="shared" ca="1" si="303"/>
        <v>584</v>
      </c>
      <c r="GL68" s="15" t="str">
        <f t="shared" ca="1" si="304"/>
        <v>VIGENTE</v>
      </c>
      <c r="GM68" s="13">
        <v>44566</v>
      </c>
      <c r="GN68" s="14">
        <v>45945</v>
      </c>
      <c r="GO68" s="14">
        <f>DATE(YEAR(GN68)+2,MONTH(GN68),DAY(GN68))</f>
        <v>46675</v>
      </c>
      <c r="GP68" s="65">
        <f t="shared" ca="1" si="305"/>
        <v>544</v>
      </c>
      <c r="GQ68" s="15" t="str">
        <f t="shared" ca="1" si="306"/>
        <v>VIGENTE</v>
      </c>
      <c r="GR68" s="14">
        <v>44571</v>
      </c>
      <c r="GS68" s="14">
        <v>45295</v>
      </c>
      <c r="GT68" s="14">
        <f t="shared" si="307"/>
        <v>47122</v>
      </c>
      <c r="GU68" s="65">
        <f t="shared" ca="1" si="172"/>
        <v>991</v>
      </c>
      <c r="GV68" s="15" t="str">
        <f t="shared" ca="1" si="308"/>
        <v>VIGENTE</v>
      </c>
      <c r="GW68" s="13">
        <v>44573</v>
      </c>
      <c r="GX68" s="14">
        <v>45252</v>
      </c>
      <c r="GY68" s="14">
        <f t="shared" si="309"/>
        <v>47079</v>
      </c>
      <c r="GZ68" s="65">
        <f t="shared" ca="1" si="310"/>
        <v>948</v>
      </c>
      <c r="HA68" s="15" t="str">
        <f t="shared" ca="1" si="311"/>
        <v>VIGENTE</v>
      </c>
      <c r="HB68" s="13">
        <v>44565</v>
      </c>
      <c r="HC68" s="14">
        <v>45251</v>
      </c>
      <c r="HD68" s="14">
        <f t="shared" si="312"/>
        <v>47078</v>
      </c>
      <c r="HE68" s="65">
        <f t="shared" ca="1" si="313"/>
        <v>947</v>
      </c>
      <c r="HF68" s="15" t="str">
        <f t="shared" ca="1" si="314"/>
        <v>VIGENTE</v>
      </c>
      <c r="HG68" s="16"/>
      <c r="HH68" s="14">
        <v>44921</v>
      </c>
      <c r="HI68" s="14">
        <f>DATE(YEAR(HH68)+5,MONTH(HH68),DAY(HH68))</f>
        <v>46747</v>
      </c>
      <c r="HJ68" s="65">
        <f ca="1">HI68-TODAY()</f>
        <v>616</v>
      </c>
      <c r="HK68" s="15" t="str">
        <f t="shared" ca="1" si="217"/>
        <v>VIGENTE</v>
      </c>
      <c r="HL68" s="12"/>
      <c r="HM68" s="16"/>
      <c r="HN68" s="14"/>
      <c r="HO68" s="65"/>
      <c r="HP68" s="15" t="str">
        <f t="shared" si="221"/>
        <v>NO APLICA</v>
      </c>
      <c r="HQ68" s="12"/>
      <c r="HR68" s="12"/>
      <c r="HS68" s="14"/>
      <c r="HT68" s="12"/>
      <c r="HU68" s="15" t="str">
        <f t="shared" si="315"/>
        <v>NO APLICA</v>
      </c>
      <c r="HV68" s="13">
        <v>44589</v>
      </c>
      <c r="HW68" s="14">
        <v>45255</v>
      </c>
      <c r="HX68" s="14">
        <f>DATE(YEAR(HW68)+5,MONTH(HW68),DAY(HW68))</f>
        <v>47082</v>
      </c>
      <c r="HY68" s="65">
        <f ca="1">HX68-TODAY()</f>
        <v>951</v>
      </c>
      <c r="HZ68" s="15" t="str">
        <f t="shared" ca="1" si="316"/>
        <v>VIGENTE</v>
      </c>
      <c r="IA68" s="13">
        <v>44793</v>
      </c>
      <c r="IB68" s="14">
        <v>45486</v>
      </c>
      <c r="IC68" s="14">
        <f>DATE(YEAR(IB68)+5,MONTH(IB68),DAY(IB68))</f>
        <v>47312</v>
      </c>
      <c r="ID68" s="65">
        <f ca="1">IC68-TODAY()</f>
        <v>1181</v>
      </c>
      <c r="IE68" s="15" t="str">
        <f t="shared" ca="1" si="317"/>
        <v>VIGENTE</v>
      </c>
      <c r="IF68" s="13">
        <v>44792</v>
      </c>
      <c r="IG68" s="14">
        <v>45444</v>
      </c>
      <c r="IH68" s="14">
        <f>DATE(YEAR(IG68)+5,MONTH(IG68),DAY(IG68))</f>
        <v>47270</v>
      </c>
      <c r="II68" s="65">
        <f ca="1">IH68-TODAY()</f>
        <v>1139</v>
      </c>
      <c r="IJ68" s="15" t="str">
        <f t="shared" ca="1" si="318"/>
        <v>VIGENTE</v>
      </c>
      <c r="IK68" s="14">
        <v>44559</v>
      </c>
      <c r="IL68" s="14">
        <v>45237</v>
      </c>
      <c r="IM68" s="14">
        <f>DATE(YEAR(IL68)+5,MONTH(IL68),DAY(IL68))</f>
        <v>47064</v>
      </c>
      <c r="IN68" s="65">
        <f ca="1">IM68-TODAY()</f>
        <v>933</v>
      </c>
      <c r="IO68" s="15" t="str">
        <f t="shared" ca="1" si="319"/>
        <v>VIGENTE</v>
      </c>
      <c r="IP68" s="13">
        <v>44559</v>
      </c>
      <c r="IQ68" s="14">
        <v>45239</v>
      </c>
      <c r="IR68" s="14">
        <f>DATE(YEAR(IQ68)+5,MONTH(IQ68),DAY(IQ68))</f>
        <v>47066</v>
      </c>
      <c r="IS68" s="65">
        <f ca="1">IR68-TODAY()</f>
        <v>935</v>
      </c>
      <c r="IT68" s="15" t="str">
        <f t="shared" ca="1" si="320"/>
        <v>VIGENTE</v>
      </c>
      <c r="IU68" s="13">
        <v>44565</v>
      </c>
      <c r="IV68" s="14">
        <v>45294</v>
      </c>
      <c r="IW68" s="14">
        <f>DATE(YEAR(IV68)+5,MONTH(IV68),DAY(IV68))</f>
        <v>47121</v>
      </c>
      <c r="IX68" s="65">
        <f ca="1">IW68-TODAY()</f>
        <v>990</v>
      </c>
      <c r="IY68" s="15" t="str">
        <f t="shared" ca="1" si="321"/>
        <v>VIGENTE</v>
      </c>
      <c r="IZ68" s="13">
        <v>44791</v>
      </c>
      <c r="JA68" s="14">
        <v>45446</v>
      </c>
      <c r="JB68" s="14">
        <f>DATE(YEAR(JA68)+5,MONTH(JA68),DAY(JA68))</f>
        <v>47272</v>
      </c>
      <c r="JC68" s="65">
        <f ca="1">JB68-TODAY()</f>
        <v>1141</v>
      </c>
      <c r="JD68" s="15" t="str">
        <f t="shared" ca="1" si="322"/>
        <v>VIGENTE</v>
      </c>
      <c r="JE68" s="13"/>
      <c r="JF68" s="13"/>
      <c r="JG68" s="14"/>
      <c r="JH68" s="65"/>
      <c r="JI68" s="15" t="str">
        <f t="shared" si="323"/>
        <v>NO APLICA</v>
      </c>
      <c r="JJ68" s="16"/>
      <c r="JK68" s="16"/>
      <c r="JL68" s="16"/>
      <c r="JM68" s="15" t="str">
        <f t="shared" si="324"/>
        <v>NO APLICA</v>
      </c>
      <c r="JN68" s="16"/>
      <c r="JO68" s="16"/>
      <c r="JP68" s="16"/>
      <c r="JQ68" s="15" t="str">
        <f t="shared" si="325"/>
        <v>NO APLICA</v>
      </c>
      <c r="JR68" s="16"/>
      <c r="JS68" s="16"/>
      <c r="JT68" s="16"/>
      <c r="JU68" s="16"/>
      <c r="JV68" s="15" t="str">
        <f t="shared" si="326"/>
        <v>NO APLICA</v>
      </c>
      <c r="JW68" s="15"/>
      <c r="JX68" s="15"/>
      <c r="JY68" s="15"/>
      <c r="JZ68" s="15"/>
      <c r="KA68" s="15" t="str">
        <f t="shared" si="327"/>
        <v>NO APLICA</v>
      </c>
      <c r="KB68" s="12"/>
      <c r="KC68" s="14"/>
      <c r="KD68" s="65"/>
      <c r="KE68" s="15" t="str">
        <f t="shared" si="328"/>
        <v>NO APLICA</v>
      </c>
      <c r="KF68" s="12"/>
      <c r="KG68" s="14"/>
      <c r="KH68" s="65"/>
      <c r="KI68" s="15" t="str">
        <f t="shared" ref="KI68:KI131" si="345">IF(KH68&gt;=61,"VIGENTE",IF(KH68&gt;=1,"POR VENCER",IF(KH68&lt;=-1,"VENCIDA",IF(KF68=0,"NO APLICA"))))</f>
        <v>NO APLICA</v>
      </c>
      <c r="KJ68" s="12"/>
      <c r="KK68" s="14"/>
      <c r="KL68" s="65"/>
      <c r="KM68" s="15" t="str">
        <f t="shared" si="329"/>
        <v>NO APLICA</v>
      </c>
      <c r="KN68" s="12"/>
      <c r="KO68" s="14"/>
      <c r="KP68" s="65"/>
      <c r="KQ68" s="15" t="str">
        <f t="shared" ref="KQ68:KQ131" si="346">IF(KP68&gt;=61,"VIGENTE",IF(KP68&gt;=1,"POR VENCER",IF(KP68&lt;=-1,"VENCIDA",IF(KN68=0,"NO APLICA"))))</f>
        <v>NO APLICA</v>
      </c>
      <c r="KR68" s="12"/>
      <c r="KS68" s="16"/>
      <c r="KT68" s="14"/>
      <c r="KU68" s="65"/>
      <c r="KV68" s="15" t="str">
        <f t="shared" si="147"/>
        <v>NO APLICA</v>
      </c>
      <c r="KW68" s="16"/>
      <c r="KX68" s="14"/>
      <c r="KY68" s="65"/>
      <c r="KZ68" s="15" t="str">
        <f t="shared" ref="KZ68:KZ131" si="347">IF(KY68&gt;=61,"VIGENTE",IF(KY68&gt;=1,"POR VENCER",IF(KY68&lt;=-1,"VENCIDA",IF(KW68=0,"NO APLICA"))))</f>
        <v>NO APLICA</v>
      </c>
      <c r="LA68" s="14">
        <v>45611</v>
      </c>
      <c r="LB68" s="14">
        <v>45509</v>
      </c>
      <c r="LC68" s="14">
        <f>DATE(YEAR(LB68)+2,MONTH(LB68),DAY(LB68))</f>
        <v>46239</v>
      </c>
      <c r="LD68" s="65">
        <f ca="1">LC68-TODAY()</f>
        <v>108</v>
      </c>
      <c r="LE68" s="15" t="str">
        <f t="shared" ca="1" si="330"/>
        <v>VIGENTE</v>
      </c>
      <c r="LF68" s="15"/>
      <c r="LG68" s="15"/>
      <c r="LH68" s="14"/>
      <c r="LI68" s="65"/>
      <c r="LJ68" s="15" t="str">
        <f t="shared" si="148"/>
        <v>NO APLICA</v>
      </c>
      <c r="LK68" s="12"/>
      <c r="LL68" s="16"/>
      <c r="LM68" s="14"/>
      <c r="LN68" s="65"/>
      <c r="LO68" s="15" t="str">
        <f t="shared" ref="LO68:LO131" si="348">IF(LN68&gt;=61,"VIGENTE",IF(LN68&gt;=1,"POR VENCER",IF(LN68&lt;=-1,"VENCIDA",IF(LL68=0,"NO APLICA"))))</f>
        <v>NO APLICA</v>
      </c>
      <c r="LP68" s="16"/>
      <c r="LQ68" s="16"/>
      <c r="LR68" s="14"/>
      <c r="LS68" s="65"/>
      <c r="LT68" s="15" t="str">
        <f t="shared" ref="LT68:LT131" si="349">IF(LS68&gt;=61,"VIGENTE",IF(LS68&gt;=1,"POR VENCER",IF(LS68&lt;=-1,"VENCIDA",IF(LQ68=0,"NO APLICA"))))</f>
        <v>NO APLICA</v>
      </c>
      <c r="LU68" s="16"/>
      <c r="LV68" s="16"/>
      <c r="LW68" s="14"/>
      <c r="LX68" s="65"/>
      <c r="LY68" s="15" t="str">
        <f t="shared" ref="LY68:LY131" si="350">IF(LX68&gt;=61,"VIGENTE",IF(LX68&gt;=1,"POR VENCER",IF(LX68&lt;=-1,"VENCIDA",IF(LV68=0,"NO APLICA"))))</f>
        <v>NO APLICA</v>
      </c>
      <c r="LZ68" s="12"/>
      <c r="MA68" s="12"/>
      <c r="MB68" s="14"/>
      <c r="MC68" s="65"/>
      <c r="MD68" s="15" t="str">
        <f t="shared" si="331"/>
        <v>NO APLICA</v>
      </c>
      <c r="ME68" s="12"/>
      <c r="MF68" s="12"/>
      <c r="MG68" s="14"/>
      <c r="MH68" s="65"/>
      <c r="MI68" s="15" t="str">
        <f t="shared" si="332"/>
        <v>NO APLICA</v>
      </c>
      <c r="MJ68" s="12"/>
      <c r="MK68" s="14"/>
      <c r="ML68" s="65"/>
      <c r="MM68" s="15" t="str">
        <f t="shared" si="333"/>
        <v>NO APLICA</v>
      </c>
      <c r="MN68" s="12"/>
      <c r="MO68" s="14"/>
      <c r="MP68" s="12"/>
      <c r="MQ68" s="15" t="str">
        <f t="shared" si="334"/>
        <v>NO APLICA</v>
      </c>
      <c r="MR68" s="12"/>
      <c r="MS68" s="16"/>
      <c r="MT68" s="14"/>
      <c r="MU68" s="65"/>
      <c r="MV68" s="15" t="str">
        <f t="shared" si="335"/>
        <v>NO APLICA</v>
      </c>
      <c r="MW68" s="12"/>
      <c r="MX68" s="16"/>
      <c r="MY68" s="14"/>
      <c r="MZ68" s="65"/>
      <c r="NA68" s="15" t="str">
        <f t="shared" si="336"/>
        <v>NO APLICA</v>
      </c>
      <c r="NB68" s="12"/>
      <c r="NC68" s="16"/>
      <c r="ND68" s="14"/>
      <c r="NE68" s="65"/>
      <c r="NF68" s="15" t="str">
        <f t="shared" si="337"/>
        <v>NO APLICA</v>
      </c>
      <c r="NG68" s="12"/>
      <c r="NH68" s="12"/>
      <c r="NI68" s="14"/>
      <c r="NJ68" s="12"/>
      <c r="NK68" s="15" t="str">
        <f t="shared" si="338"/>
        <v>NO APLICA</v>
      </c>
      <c r="NL68" s="12"/>
      <c r="NM68" s="12"/>
      <c r="NN68" s="14"/>
      <c r="NO68" s="12"/>
      <c r="NP68" s="15" t="str">
        <f t="shared" si="339"/>
        <v>NO APLICA</v>
      </c>
      <c r="NQ68" s="16"/>
      <c r="NR68" s="16"/>
      <c r="NS68" s="14"/>
      <c r="NT68" s="65"/>
      <c r="NU68" s="15" t="str">
        <f t="shared" si="340"/>
        <v>NO APLICA</v>
      </c>
      <c r="NV68" s="16"/>
      <c r="NW68" s="16"/>
      <c r="NX68" s="16"/>
      <c r="NY68" s="16"/>
      <c r="NZ68" s="15" t="str">
        <f t="shared" si="341"/>
        <v>NO APLICA</v>
      </c>
    </row>
    <row r="69" spans="1:390" ht="15.6" thickTop="1" thickBot="1" x14ac:dyDescent="0.35">
      <c r="A69" s="9">
        <v>926</v>
      </c>
      <c r="B69" s="10" t="s">
        <v>312</v>
      </c>
      <c r="C69" s="21" t="s">
        <v>151</v>
      </c>
      <c r="D69" s="64" t="s">
        <v>165</v>
      </c>
      <c r="E69" s="13">
        <v>46057</v>
      </c>
      <c r="F69" s="14">
        <v>46058</v>
      </c>
      <c r="G69" s="14">
        <f>DATE(YEAR(F69)+2,MONTH(F69),DAY(F69))</f>
        <v>46788</v>
      </c>
      <c r="H69" s="65">
        <f ca="1">G69-TODAY()</f>
        <v>657</v>
      </c>
      <c r="I69" s="15" t="str">
        <f t="shared" ca="1" si="235"/>
        <v>VIGENTE</v>
      </c>
      <c r="J69" s="15"/>
      <c r="K69" s="16"/>
      <c r="L69" s="16"/>
      <c r="M69" s="65"/>
      <c r="N69" s="15" t="str">
        <f t="shared" si="236"/>
        <v>NO APLICA</v>
      </c>
      <c r="O69" s="16"/>
      <c r="P69" s="16"/>
      <c r="Q69" s="14"/>
      <c r="R69" s="65"/>
      <c r="S69" s="15" t="str">
        <f t="shared" si="342"/>
        <v>NO APLICA</v>
      </c>
      <c r="T69" s="12" t="s">
        <v>313</v>
      </c>
      <c r="U69" s="13">
        <v>45281</v>
      </c>
      <c r="V69" s="14">
        <v>45282</v>
      </c>
      <c r="W69" s="14">
        <f t="shared" si="237"/>
        <v>47109</v>
      </c>
      <c r="X69" s="65">
        <f t="shared" ca="1" si="238"/>
        <v>978</v>
      </c>
      <c r="Y69" s="15" t="str">
        <f t="shared" ca="1" si="239"/>
        <v>VIGENTE</v>
      </c>
      <c r="Z69" s="12"/>
      <c r="AA69" s="12"/>
      <c r="AB69" s="16"/>
      <c r="AC69" s="14"/>
      <c r="AD69" s="65"/>
      <c r="AE69" s="15" t="str">
        <f t="shared" si="240"/>
        <v>NO APLICA</v>
      </c>
      <c r="AF69" s="13">
        <v>45243</v>
      </c>
      <c r="AG69" s="14">
        <v>45902</v>
      </c>
      <c r="AH69" s="14">
        <f>DATE(YEAR(AG69)+2,MONTH(AG69),DAY(AG69))</f>
        <v>46632</v>
      </c>
      <c r="AI69" s="65">
        <f t="shared" ca="1" si="241"/>
        <v>501</v>
      </c>
      <c r="AJ69" s="15" t="str">
        <f t="shared" ca="1" si="213"/>
        <v>VIGENTE</v>
      </c>
      <c r="AK69" s="13">
        <v>44594</v>
      </c>
      <c r="AL69" s="14">
        <v>45937</v>
      </c>
      <c r="AM69" s="14">
        <f t="shared" si="234"/>
        <v>46667</v>
      </c>
      <c r="AN69" s="65">
        <f t="shared" ca="1" si="242"/>
        <v>536</v>
      </c>
      <c r="AO69" s="15" t="str">
        <f t="shared" ca="1" si="243"/>
        <v>VIGENTE</v>
      </c>
      <c r="AP69" s="13">
        <v>44671</v>
      </c>
      <c r="AQ69" s="14">
        <v>45904</v>
      </c>
      <c r="AR69" s="14">
        <f t="shared" si="230"/>
        <v>46634</v>
      </c>
      <c r="AS69" s="65">
        <f t="shared" ca="1" si="244"/>
        <v>503</v>
      </c>
      <c r="AT69" s="15" t="str">
        <f t="shared" ca="1" si="245"/>
        <v>VIGENTE</v>
      </c>
      <c r="AU69" s="13">
        <v>44671</v>
      </c>
      <c r="AV69" s="14">
        <v>45927</v>
      </c>
      <c r="AW69" s="14">
        <f t="shared" si="225"/>
        <v>46657</v>
      </c>
      <c r="AX69" s="65">
        <f t="shared" ca="1" si="246"/>
        <v>526</v>
      </c>
      <c r="AY69" s="15" t="str">
        <f t="shared" ca="1" si="247"/>
        <v>VIGENTE</v>
      </c>
      <c r="AZ69" s="13">
        <v>45093</v>
      </c>
      <c r="BA69" s="14">
        <v>45742</v>
      </c>
      <c r="BB69" s="14">
        <f t="shared" ref="BB69:BB74" si="351">DATE(YEAR(BA69)+2,MONTH(BA69),DAY(BA69)-1)</f>
        <v>46471</v>
      </c>
      <c r="BC69" s="65">
        <f t="shared" ca="1" si="248"/>
        <v>340</v>
      </c>
      <c r="BD69" s="15" t="str">
        <f t="shared" ca="1" si="249"/>
        <v>VIGENTE</v>
      </c>
      <c r="BE69" s="13">
        <v>45071</v>
      </c>
      <c r="BF69" s="14">
        <v>45698</v>
      </c>
      <c r="BG69" s="14">
        <f>DATE(YEAR(BF69)+2,MONTH(BF69),DAY(BF69)-1)</f>
        <v>46427</v>
      </c>
      <c r="BH69" s="65">
        <f t="shared" ca="1" si="250"/>
        <v>296</v>
      </c>
      <c r="BI69" s="15" t="str">
        <f t="shared" ca="1" si="251"/>
        <v>VIGENTE</v>
      </c>
      <c r="BJ69" s="13">
        <v>44987</v>
      </c>
      <c r="BK69" s="14">
        <v>45699</v>
      </c>
      <c r="BL69" s="14">
        <f>DATE(YEAR(BK69)+2,MONTH(BK69),DAY(BK69)-1)</f>
        <v>46428</v>
      </c>
      <c r="BM69" s="65">
        <f t="shared" ca="1" si="252"/>
        <v>297</v>
      </c>
      <c r="BN69" s="15" t="str">
        <f t="shared" ca="1" si="253"/>
        <v>VIGENTE</v>
      </c>
      <c r="BO69" s="13">
        <v>44988</v>
      </c>
      <c r="BP69" s="14">
        <v>45621</v>
      </c>
      <c r="BQ69" s="14">
        <f>DATE(YEAR(BP69)+2,MONTH(BP69),DAY(BP69)-1)</f>
        <v>46350</v>
      </c>
      <c r="BR69" s="65">
        <f t="shared" ca="1" si="254"/>
        <v>219</v>
      </c>
      <c r="BS69" s="15" t="str">
        <f t="shared" ca="1" si="255"/>
        <v>VIGENTE</v>
      </c>
      <c r="BT69" s="13">
        <v>44973</v>
      </c>
      <c r="BU69" s="14">
        <v>45611</v>
      </c>
      <c r="BV69" s="14">
        <f>DATE(YEAR(BU69)+2,MONTH(BU69),DAY(BU69)-1)</f>
        <v>46340</v>
      </c>
      <c r="BW69" s="65">
        <f t="shared" ca="1" si="256"/>
        <v>209</v>
      </c>
      <c r="BX69" s="15" t="str">
        <f t="shared" ca="1" si="257"/>
        <v>VIGENTE</v>
      </c>
      <c r="BY69" s="13">
        <v>44594</v>
      </c>
      <c r="BZ69" s="14">
        <v>45911</v>
      </c>
      <c r="CA69" s="14">
        <f t="shared" si="232"/>
        <v>46641</v>
      </c>
      <c r="CB69" s="65">
        <f t="shared" ca="1" si="258"/>
        <v>510</v>
      </c>
      <c r="CC69" s="15" t="str">
        <f t="shared" ca="1" si="259"/>
        <v>VIGENTE</v>
      </c>
      <c r="CD69" s="16" t="s">
        <v>102</v>
      </c>
      <c r="CE69" s="14">
        <v>45827</v>
      </c>
      <c r="CF69" s="14">
        <v>45828</v>
      </c>
      <c r="CG69" s="14">
        <f t="shared" si="260"/>
        <v>47289</v>
      </c>
      <c r="CH69" s="65">
        <f t="shared" ca="1" si="261"/>
        <v>1158</v>
      </c>
      <c r="CI69" s="15" t="str">
        <f t="shared" ca="1" si="262"/>
        <v>VIGENTE</v>
      </c>
      <c r="CJ69" s="14">
        <v>45054</v>
      </c>
      <c r="CK69" s="14">
        <v>45688</v>
      </c>
      <c r="CL69" s="14">
        <f>DATE(YEAR(CK69)+2,MONTH(CK69),DAY(CK69)-1)</f>
        <v>46417</v>
      </c>
      <c r="CM69" s="65">
        <f t="shared" ca="1" si="263"/>
        <v>286</v>
      </c>
      <c r="CN69" s="15" t="str">
        <f t="shared" ca="1" si="264"/>
        <v>VIGENTE</v>
      </c>
      <c r="CO69" s="13">
        <v>45026</v>
      </c>
      <c r="CP69" s="14">
        <v>45684</v>
      </c>
      <c r="CQ69" s="14">
        <f>DATE(YEAR(CP69)+2,MONTH(CP69),DAY(CP69)-1)</f>
        <v>46413</v>
      </c>
      <c r="CR69" s="65">
        <f t="shared" ca="1" si="265"/>
        <v>282</v>
      </c>
      <c r="CS69" s="15" t="str">
        <f t="shared" ca="1" si="266"/>
        <v>VIGENTE</v>
      </c>
      <c r="CT69" s="13">
        <v>44670</v>
      </c>
      <c r="CU69" s="14">
        <v>45905</v>
      </c>
      <c r="CV69" s="14">
        <f>DATE(YEAR(CU69)+2,MONTH(CU69),DAY(CU69))</f>
        <v>46635</v>
      </c>
      <c r="CW69" s="65">
        <f t="shared" ca="1" si="267"/>
        <v>504</v>
      </c>
      <c r="CX69" s="15" t="str">
        <f t="shared" ca="1" si="268"/>
        <v>VIGENTE</v>
      </c>
      <c r="CY69" s="13">
        <v>45194</v>
      </c>
      <c r="CZ69" s="14">
        <v>45835</v>
      </c>
      <c r="DA69" s="14">
        <f>DATE(YEAR(CZ69)+2,MONTH(CZ69),DAY(CZ69))</f>
        <v>46565</v>
      </c>
      <c r="DB69" s="65">
        <f t="shared" ca="1" si="269"/>
        <v>434</v>
      </c>
      <c r="DC69" s="15" t="str">
        <f t="shared" ca="1" si="270"/>
        <v>VIGENTE</v>
      </c>
      <c r="DD69" s="13">
        <v>45079</v>
      </c>
      <c r="DE69" s="14">
        <v>45723</v>
      </c>
      <c r="DF69" s="14">
        <f>DATE(YEAR(DE69)+2,MONTH(DE69),DAY(DE69)-1)</f>
        <v>46452</v>
      </c>
      <c r="DG69" s="65">
        <f t="shared" ca="1" si="271"/>
        <v>321</v>
      </c>
      <c r="DH69" s="15" t="str">
        <f t="shared" ca="1" si="272"/>
        <v>VIGENTE</v>
      </c>
      <c r="DI69" s="13">
        <v>45251</v>
      </c>
      <c r="DJ69" s="14">
        <v>45899</v>
      </c>
      <c r="DK69" s="14">
        <f t="shared" si="233"/>
        <v>46629</v>
      </c>
      <c r="DL69" s="65">
        <f t="shared" ca="1" si="273"/>
        <v>498</v>
      </c>
      <c r="DM69" s="15" t="str">
        <f t="shared" ca="1" si="274"/>
        <v>VIGENTE</v>
      </c>
      <c r="DN69" s="13">
        <v>44669</v>
      </c>
      <c r="DO69" s="14">
        <v>45982</v>
      </c>
      <c r="DP69" s="14">
        <f>DATE(YEAR(DO69)+2,MONTH(DO69),DAY(DO69))</f>
        <v>46712</v>
      </c>
      <c r="DQ69" s="65">
        <f t="shared" ca="1" si="275"/>
        <v>581</v>
      </c>
      <c r="DR69" s="15" t="str">
        <f t="shared" ca="1" si="276"/>
        <v>VIGENTE</v>
      </c>
      <c r="DS69" s="12">
        <v>45096</v>
      </c>
      <c r="DT69" s="14">
        <v>45743</v>
      </c>
      <c r="DU69" s="14">
        <f>DATE(YEAR(DT69)+2,MONTH(DT69),DAY(DT69)-1)</f>
        <v>46472</v>
      </c>
      <c r="DV69" s="65">
        <f t="shared" ca="1" si="277"/>
        <v>341</v>
      </c>
      <c r="DW69" s="15" t="str">
        <f t="shared" ca="1" si="278"/>
        <v>VIGENTE</v>
      </c>
      <c r="DX69" s="13">
        <v>45064</v>
      </c>
      <c r="DY69" s="14">
        <v>45663</v>
      </c>
      <c r="DZ69" s="14">
        <f t="shared" si="343"/>
        <v>46392</v>
      </c>
      <c r="EA69" s="65">
        <f t="shared" ca="1" si="279"/>
        <v>261</v>
      </c>
      <c r="EB69" s="15" t="str">
        <f t="shared" ca="1" si="280"/>
        <v>VIGENTE</v>
      </c>
      <c r="EC69" s="13">
        <v>45061</v>
      </c>
      <c r="ED69" s="14">
        <v>45674</v>
      </c>
      <c r="EE69" s="14">
        <f>DATE(YEAR(ED69)+2,MONTH(ED69),DAY(ED69)-1)</f>
        <v>46403</v>
      </c>
      <c r="EF69" s="65">
        <f t="shared" ca="1" si="281"/>
        <v>272</v>
      </c>
      <c r="EG69" s="15" t="str">
        <f t="shared" ca="1" si="282"/>
        <v>VIGENTE</v>
      </c>
      <c r="EH69" s="13">
        <v>45059</v>
      </c>
      <c r="EI69" s="13">
        <v>46083</v>
      </c>
      <c r="EJ69" s="13">
        <v>46084</v>
      </c>
      <c r="EK69" s="13">
        <v>46085</v>
      </c>
      <c r="EL69" s="14">
        <f t="shared" si="344"/>
        <v>46450</v>
      </c>
      <c r="EM69" s="65">
        <f t="shared" ca="1" si="283"/>
        <v>319</v>
      </c>
      <c r="EN69" s="15" t="str">
        <f t="shared" ca="1" si="284"/>
        <v>VIGENTE</v>
      </c>
      <c r="EO69" s="13">
        <v>45092</v>
      </c>
      <c r="EP69" s="14">
        <v>45737</v>
      </c>
      <c r="EQ69" s="14">
        <f>DATE(YEAR(EP69)+2,MONTH(EP69),DAY(EP69)-1)</f>
        <v>46466</v>
      </c>
      <c r="ER69" s="65">
        <f t="shared" ca="1" si="285"/>
        <v>335</v>
      </c>
      <c r="ES69" s="15" t="str">
        <f t="shared" ca="1" si="286"/>
        <v>VIGENTE</v>
      </c>
      <c r="ET69" s="13">
        <v>45043</v>
      </c>
      <c r="EU69" s="14">
        <v>45677</v>
      </c>
      <c r="EV69" s="14">
        <f t="shared" ref="EV69:EV75" si="352">DATE(YEAR(EU69)+2,MONTH(EU69),DAY(EU69)-1)</f>
        <v>46406</v>
      </c>
      <c r="EW69" s="65">
        <f t="shared" ca="1" si="287"/>
        <v>275</v>
      </c>
      <c r="EX69" s="15" t="str">
        <f t="shared" ca="1" si="288"/>
        <v>VIGENTE</v>
      </c>
      <c r="EY69" s="13">
        <v>45294</v>
      </c>
      <c r="EZ69" s="14">
        <v>45917</v>
      </c>
      <c r="FA69" s="14">
        <f t="shared" si="227"/>
        <v>46647</v>
      </c>
      <c r="FB69" s="65">
        <f t="shared" ca="1" si="289"/>
        <v>516</v>
      </c>
      <c r="FC69" s="15" t="str">
        <f t="shared" ca="1" si="290"/>
        <v>VIGENTE</v>
      </c>
      <c r="FD69" s="13">
        <v>44595</v>
      </c>
      <c r="FE69" s="14">
        <v>45931</v>
      </c>
      <c r="FF69" s="14">
        <f t="shared" si="228"/>
        <v>46661</v>
      </c>
      <c r="FG69" s="65">
        <f t="shared" ca="1" si="291"/>
        <v>530</v>
      </c>
      <c r="FH69" s="15" t="str">
        <f t="shared" ca="1" si="292"/>
        <v>VIGENTE</v>
      </c>
      <c r="FI69" s="13">
        <v>44596</v>
      </c>
      <c r="FJ69" s="14">
        <v>45932</v>
      </c>
      <c r="FK69" s="14">
        <f t="shared" si="229"/>
        <v>46662</v>
      </c>
      <c r="FL69" s="65">
        <f t="shared" ca="1" si="293"/>
        <v>531</v>
      </c>
      <c r="FM69" s="15" t="str">
        <f t="shared" ca="1" si="294"/>
        <v>VIGENTE</v>
      </c>
      <c r="FN69" s="13">
        <v>44967</v>
      </c>
      <c r="FO69" s="14">
        <v>45588</v>
      </c>
      <c r="FP69" s="14">
        <f t="shared" ref="FP69:FP75" si="353">DATE(YEAR(FO69)+2,MONTH(FO69),DAY(FO69)-1)</f>
        <v>46317</v>
      </c>
      <c r="FQ69" s="65">
        <f t="shared" ca="1" si="295"/>
        <v>186</v>
      </c>
      <c r="FR69" s="15" t="str">
        <f t="shared" ca="1" si="296"/>
        <v>VIGENTE</v>
      </c>
      <c r="FS69" s="13">
        <v>45078</v>
      </c>
      <c r="FT69" s="14">
        <v>45747</v>
      </c>
      <c r="FU69" s="14">
        <f>DATE(YEAR(FT69)+2,MONTH(FT69),DAY(FT69)-1)</f>
        <v>46476</v>
      </c>
      <c r="FV69" s="65">
        <f t="shared" ca="1" si="297"/>
        <v>345</v>
      </c>
      <c r="FW69" s="15" t="str">
        <f t="shared" ca="1" si="298"/>
        <v>VIGENTE</v>
      </c>
      <c r="FX69" s="13">
        <v>44596</v>
      </c>
      <c r="FY69" s="14">
        <v>45993</v>
      </c>
      <c r="FZ69" s="14">
        <f>DATE(YEAR(FY69)+2,MONTH(FY69),DAY(FY69))</f>
        <v>46723</v>
      </c>
      <c r="GA69" s="65">
        <f t="shared" ca="1" si="299"/>
        <v>592</v>
      </c>
      <c r="GB69" s="15" t="str">
        <f t="shared" ca="1" si="300"/>
        <v>VIGENTE</v>
      </c>
      <c r="GC69" s="13">
        <v>45049</v>
      </c>
      <c r="GD69" s="14">
        <v>45715</v>
      </c>
      <c r="GE69" s="14">
        <f t="shared" ref="GE69:GE74" si="354">DATE(YEAR(GD69)+2,MONTH(GD69),DAY(GD69)-1)</f>
        <v>46444</v>
      </c>
      <c r="GF69" s="65">
        <f t="shared" ca="1" si="301"/>
        <v>313</v>
      </c>
      <c r="GG69" s="15" t="str">
        <f t="shared" ca="1" si="302"/>
        <v>VIGENTE</v>
      </c>
      <c r="GH69" s="13">
        <v>45082</v>
      </c>
      <c r="GI69" s="14">
        <v>45731</v>
      </c>
      <c r="GJ69" s="14">
        <f>DATE(YEAR(GI69)+2,MONTH(GI69),DAY(GI69)-1)</f>
        <v>46460</v>
      </c>
      <c r="GK69" s="65">
        <f t="shared" ca="1" si="303"/>
        <v>329</v>
      </c>
      <c r="GL69" s="15" t="str">
        <f t="shared" ca="1" si="304"/>
        <v>VIGENTE</v>
      </c>
      <c r="GM69" s="13">
        <v>44976</v>
      </c>
      <c r="GN69" s="14">
        <v>45615</v>
      </c>
      <c r="GO69" s="14">
        <f>DATE(YEAR(GN69)+2,MONTH(GN69),DAY(GN69)-1)</f>
        <v>46344</v>
      </c>
      <c r="GP69" s="65">
        <f t="shared" ca="1" si="305"/>
        <v>213</v>
      </c>
      <c r="GQ69" s="15" t="str">
        <f t="shared" ca="1" si="306"/>
        <v>VIGENTE</v>
      </c>
      <c r="GR69" s="14"/>
      <c r="GS69" s="14">
        <v>45072</v>
      </c>
      <c r="GT69" s="14">
        <f t="shared" si="307"/>
        <v>46899</v>
      </c>
      <c r="GU69" s="65">
        <f t="shared" ca="1" si="172"/>
        <v>768</v>
      </c>
      <c r="GV69" s="15" t="str">
        <f t="shared" ca="1" si="308"/>
        <v>VIGENTE</v>
      </c>
      <c r="GW69" s="13"/>
      <c r="GX69" s="14">
        <v>44984</v>
      </c>
      <c r="GY69" s="14">
        <f t="shared" si="309"/>
        <v>46810</v>
      </c>
      <c r="GZ69" s="65">
        <f t="shared" ca="1" si="310"/>
        <v>679</v>
      </c>
      <c r="HA69" s="15" t="str">
        <f t="shared" ca="1" si="311"/>
        <v>VIGENTE</v>
      </c>
      <c r="HB69" s="12"/>
      <c r="HC69" s="14">
        <v>45003</v>
      </c>
      <c r="HD69" s="14">
        <f t="shared" si="312"/>
        <v>46830</v>
      </c>
      <c r="HE69" s="65">
        <f t="shared" ca="1" si="313"/>
        <v>699</v>
      </c>
      <c r="HF69" s="15" t="str">
        <f t="shared" ca="1" si="314"/>
        <v>VIGENTE</v>
      </c>
      <c r="HG69" s="16"/>
      <c r="HH69" s="16"/>
      <c r="HI69" s="14"/>
      <c r="HJ69" s="65"/>
      <c r="HK69" s="15" t="str">
        <f t="shared" si="217"/>
        <v>NO APLICA</v>
      </c>
      <c r="HL69" s="12"/>
      <c r="HM69" s="16"/>
      <c r="HN69" s="14"/>
      <c r="HO69" s="65"/>
      <c r="HP69" s="15" t="str">
        <f t="shared" si="221"/>
        <v>NO APLICA</v>
      </c>
      <c r="HQ69" s="12"/>
      <c r="HR69" s="12"/>
      <c r="HS69" s="14"/>
      <c r="HT69" s="12"/>
      <c r="HU69" s="15" t="str">
        <f t="shared" si="315"/>
        <v>NO APLICA</v>
      </c>
      <c r="HV69" s="12"/>
      <c r="HW69" s="16"/>
      <c r="HX69" s="14"/>
      <c r="HY69" s="65"/>
      <c r="HZ69" s="15" t="str">
        <f t="shared" si="316"/>
        <v>NO APLICA</v>
      </c>
      <c r="IA69" s="12"/>
      <c r="IB69" s="16"/>
      <c r="IC69" s="14"/>
      <c r="ID69" s="65"/>
      <c r="IE69" s="15" t="str">
        <f t="shared" si="317"/>
        <v>NO APLICA</v>
      </c>
      <c r="IF69" s="12"/>
      <c r="IG69" s="16"/>
      <c r="IH69" s="14"/>
      <c r="II69" s="65"/>
      <c r="IJ69" s="15" t="str">
        <f t="shared" si="318"/>
        <v>NO APLICA</v>
      </c>
      <c r="IK69" s="16"/>
      <c r="IL69" s="16"/>
      <c r="IM69" s="14"/>
      <c r="IN69" s="65"/>
      <c r="IO69" s="15" t="str">
        <f t="shared" si="319"/>
        <v>NO APLICA</v>
      </c>
      <c r="IP69" s="12"/>
      <c r="IQ69" s="16"/>
      <c r="IR69" s="14"/>
      <c r="IS69" s="65"/>
      <c r="IT69" s="15" t="str">
        <f t="shared" si="320"/>
        <v>NO APLICA</v>
      </c>
      <c r="IU69" s="12"/>
      <c r="IV69" s="16"/>
      <c r="IW69" s="14"/>
      <c r="IX69" s="65"/>
      <c r="IY69" s="15" t="str">
        <f t="shared" si="321"/>
        <v>NO APLICA</v>
      </c>
      <c r="IZ69" s="12"/>
      <c r="JA69" s="16"/>
      <c r="JB69" s="14"/>
      <c r="JC69" s="65"/>
      <c r="JD69" s="15" t="str">
        <f t="shared" si="322"/>
        <v>NO APLICA</v>
      </c>
      <c r="JE69" s="13"/>
      <c r="JF69" s="13"/>
      <c r="JG69" s="14"/>
      <c r="JH69" s="65"/>
      <c r="JI69" s="15" t="str">
        <f t="shared" si="323"/>
        <v>NO APLICA</v>
      </c>
      <c r="JJ69" s="16"/>
      <c r="JK69" s="16"/>
      <c r="JL69" s="16"/>
      <c r="JM69" s="15" t="str">
        <f t="shared" si="324"/>
        <v>NO APLICA</v>
      </c>
      <c r="JN69" s="16"/>
      <c r="JO69" s="16"/>
      <c r="JP69" s="16"/>
      <c r="JQ69" s="15" t="str">
        <f t="shared" si="325"/>
        <v>NO APLICA</v>
      </c>
      <c r="JR69" s="16"/>
      <c r="JS69" s="16"/>
      <c r="JT69" s="16"/>
      <c r="JU69" s="16"/>
      <c r="JV69" s="15" t="str">
        <f t="shared" si="326"/>
        <v>NO APLICA</v>
      </c>
      <c r="JW69" s="15"/>
      <c r="JX69" s="13">
        <v>45948</v>
      </c>
      <c r="JY69" s="14">
        <f>DATE(YEAR(JX69)+2,MONTH(JX69),DAY(JX69))</f>
        <v>46678</v>
      </c>
      <c r="JZ69" s="65">
        <f ca="1">JY69-TODAY()</f>
        <v>547</v>
      </c>
      <c r="KA69" s="15" t="str">
        <f t="shared" ca="1" si="327"/>
        <v>VIGENTE</v>
      </c>
      <c r="KB69" s="12"/>
      <c r="KC69" s="14"/>
      <c r="KD69" s="65"/>
      <c r="KE69" s="15" t="str">
        <f t="shared" si="328"/>
        <v>NO APLICA</v>
      </c>
      <c r="KF69" s="12"/>
      <c r="KG69" s="14"/>
      <c r="KH69" s="65"/>
      <c r="KI69" s="15" t="str">
        <f t="shared" si="345"/>
        <v>NO APLICA</v>
      </c>
      <c r="KJ69" s="12"/>
      <c r="KK69" s="14"/>
      <c r="KL69" s="65"/>
      <c r="KM69" s="15" t="str">
        <f t="shared" si="329"/>
        <v>NO APLICA</v>
      </c>
      <c r="KN69" s="12"/>
      <c r="KO69" s="14"/>
      <c r="KP69" s="65"/>
      <c r="KQ69" s="15" t="str">
        <f t="shared" si="346"/>
        <v>NO APLICA</v>
      </c>
      <c r="KR69" s="12"/>
      <c r="KS69" s="16"/>
      <c r="KT69" s="14"/>
      <c r="KU69" s="65"/>
      <c r="KV69" s="15" t="str">
        <f t="shared" ref="KV69:KV132" si="355">IF(KU69&gt;=61,"VIGENTE",IF(KU69&gt;=1,"POR VENCER",IF(KU69&lt;=-1,"VENCIDA",IF(KS69=0,"NO APLICA"))))</f>
        <v>NO APLICA</v>
      </c>
      <c r="KW69" s="16"/>
      <c r="KX69" s="14"/>
      <c r="KY69" s="65"/>
      <c r="KZ69" s="15" t="str">
        <f t="shared" si="347"/>
        <v>NO APLICA</v>
      </c>
      <c r="LA69" s="16"/>
      <c r="LB69" s="16"/>
      <c r="LC69" s="14"/>
      <c r="LD69" s="65"/>
      <c r="LE69" s="15" t="str">
        <f t="shared" si="330"/>
        <v>NO APLICA</v>
      </c>
      <c r="LF69" s="15"/>
      <c r="LG69" s="15"/>
      <c r="LH69" s="14"/>
      <c r="LI69" s="65"/>
      <c r="LJ69" s="15" t="str">
        <f t="shared" ref="LJ69:LJ132" si="356">IF(LI69&gt;=61,"VIGENTE",IF(LI69&gt;=1,"POR VENCER",IF(LI69&lt;=-1,"VENCIDA",IF(LG69=0,"NO APLICA"))))</f>
        <v>NO APLICA</v>
      </c>
      <c r="LK69" s="12"/>
      <c r="LL69" s="16"/>
      <c r="LM69" s="14"/>
      <c r="LN69" s="65"/>
      <c r="LO69" s="15" t="str">
        <f t="shared" si="348"/>
        <v>NO APLICA</v>
      </c>
      <c r="LP69" s="16"/>
      <c r="LQ69" s="16"/>
      <c r="LR69" s="14"/>
      <c r="LS69" s="65"/>
      <c r="LT69" s="15" t="str">
        <f t="shared" si="349"/>
        <v>NO APLICA</v>
      </c>
      <c r="LU69" s="16"/>
      <c r="LV69" s="16"/>
      <c r="LW69" s="14"/>
      <c r="LX69" s="65"/>
      <c r="LY69" s="15" t="str">
        <f t="shared" si="350"/>
        <v>NO APLICA</v>
      </c>
      <c r="LZ69" s="12"/>
      <c r="MA69" s="12"/>
      <c r="MB69" s="14"/>
      <c r="MC69" s="65"/>
      <c r="MD69" s="15" t="str">
        <f t="shared" si="331"/>
        <v>NO APLICA</v>
      </c>
      <c r="ME69" s="12"/>
      <c r="MF69" s="12"/>
      <c r="MG69" s="14"/>
      <c r="MH69" s="65"/>
      <c r="MI69" s="15" t="str">
        <f t="shared" si="332"/>
        <v>NO APLICA</v>
      </c>
      <c r="MJ69" s="12"/>
      <c r="MK69" s="14"/>
      <c r="ML69" s="65"/>
      <c r="MM69" s="15" t="str">
        <f t="shared" si="333"/>
        <v>NO APLICA</v>
      </c>
      <c r="MN69" s="12"/>
      <c r="MO69" s="14"/>
      <c r="MP69" s="12"/>
      <c r="MQ69" s="15" t="str">
        <f t="shared" si="334"/>
        <v>NO APLICA</v>
      </c>
      <c r="MR69" s="12"/>
      <c r="MS69" s="16"/>
      <c r="MT69" s="14"/>
      <c r="MU69" s="65"/>
      <c r="MV69" s="15" t="str">
        <f t="shared" si="335"/>
        <v>NO APLICA</v>
      </c>
      <c r="MW69" s="12"/>
      <c r="MX69" s="16"/>
      <c r="MY69" s="14"/>
      <c r="MZ69" s="65"/>
      <c r="NA69" s="15" t="str">
        <f t="shared" si="336"/>
        <v>NO APLICA</v>
      </c>
      <c r="NB69" s="12"/>
      <c r="NC69" s="16"/>
      <c r="ND69" s="14"/>
      <c r="NE69" s="65"/>
      <c r="NF69" s="15" t="str">
        <f t="shared" si="337"/>
        <v>NO APLICA</v>
      </c>
      <c r="NG69" s="12"/>
      <c r="NH69" s="12"/>
      <c r="NI69" s="14"/>
      <c r="NJ69" s="12"/>
      <c r="NK69" s="15" t="str">
        <f t="shared" si="338"/>
        <v>NO APLICA</v>
      </c>
      <c r="NL69" s="12"/>
      <c r="NM69" s="12"/>
      <c r="NN69" s="12"/>
      <c r="NO69" s="12"/>
      <c r="NP69" s="15" t="str">
        <f t="shared" si="339"/>
        <v>NO APLICA</v>
      </c>
      <c r="NQ69" s="16"/>
      <c r="NR69" s="16"/>
      <c r="NS69" s="14"/>
      <c r="NT69" s="65"/>
      <c r="NU69" s="15" t="str">
        <f t="shared" si="340"/>
        <v>NO APLICA</v>
      </c>
      <c r="NV69" s="16"/>
      <c r="NW69" s="16"/>
      <c r="NX69" s="16"/>
      <c r="NY69" s="16"/>
      <c r="NZ69" s="15" t="str">
        <f t="shared" si="341"/>
        <v>NO APLICA</v>
      </c>
    </row>
    <row r="70" spans="1:390" ht="15.6" thickTop="1" thickBot="1" x14ac:dyDescent="0.35">
      <c r="A70" s="9">
        <v>1583</v>
      </c>
      <c r="B70" s="10" t="s">
        <v>314</v>
      </c>
      <c r="C70" s="21" t="s">
        <v>151</v>
      </c>
      <c r="D70" s="64" t="s">
        <v>165</v>
      </c>
      <c r="E70" s="13">
        <v>46059</v>
      </c>
      <c r="F70" s="14">
        <v>46060</v>
      </c>
      <c r="G70" s="14">
        <f>DATE(YEAR(F70)+2,MONTH(F70),DAY(F70))</f>
        <v>46790</v>
      </c>
      <c r="H70" s="65">
        <f ca="1">G70-TODAY()</f>
        <v>659</v>
      </c>
      <c r="I70" s="15" t="str">
        <f t="shared" ca="1" si="235"/>
        <v>VIGENTE</v>
      </c>
      <c r="J70" s="13"/>
      <c r="K70" s="14"/>
      <c r="L70" s="16"/>
      <c r="M70" s="65"/>
      <c r="N70" s="15" t="str">
        <f t="shared" si="236"/>
        <v>NO APLICA</v>
      </c>
      <c r="O70" s="16"/>
      <c r="P70" s="16"/>
      <c r="Q70" s="14"/>
      <c r="R70" s="65"/>
      <c r="S70" s="15" t="str">
        <f t="shared" si="342"/>
        <v>NO APLICA</v>
      </c>
      <c r="T70" s="12" t="s">
        <v>315</v>
      </c>
      <c r="U70" s="13">
        <v>46068</v>
      </c>
      <c r="V70" s="14">
        <v>46069</v>
      </c>
      <c r="W70" s="14">
        <f t="shared" si="237"/>
        <v>47895</v>
      </c>
      <c r="X70" s="65">
        <f t="shared" ca="1" si="238"/>
        <v>1764</v>
      </c>
      <c r="Y70" s="15" t="str">
        <f t="shared" ca="1" si="239"/>
        <v>VIGENTE</v>
      </c>
      <c r="Z70" s="12"/>
      <c r="AA70" s="12"/>
      <c r="AB70" s="16"/>
      <c r="AC70" s="14"/>
      <c r="AD70" s="65"/>
      <c r="AE70" s="15" t="str">
        <f t="shared" si="240"/>
        <v>NO APLICA</v>
      </c>
      <c r="AF70" s="13">
        <v>45243</v>
      </c>
      <c r="AG70" s="14">
        <v>45902</v>
      </c>
      <c r="AH70" s="14">
        <f>DATE(YEAR(AG70)+2,MONTH(AG70),DAY(AG70))</f>
        <v>46632</v>
      </c>
      <c r="AI70" s="65">
        <f t="shared" ca="1" si="241"/>
        <v>501</v>
      </c>
      <c r="AJ70" s="15" t="str">
        <f t="shared" ca="1" si="213"/>
        <v>VIGENTE</v>
      </c>
      <c r="AK70" s="13">
        <v>45236</v>
      </c>
      <c r="AL70" s="14">
        <v>45903</v>
      </c>
      <c r="AM70" s="14">
        <f t="shared" si="234"/>
        <v>46633</v>
      </c>
      <c r="AN70" s="65">
        <f t="shared" ca="1" si="242"/>
        <v>502</v>
      </c>
      <c r="AO70" s="15" t="str">
        <f t="shared" ca="1" si="243"/>
        <v>VIGENTE</v>
      </c>
      <c r="AP70" s="13">
        <v>44652</v>
      </c>
      <c r="AQ70" s="14">
        <v>45904</v>
      </c>
      <c r="AR70" s="14">
        <f t="shared" si="230"/>
        <v>46634</v>
      </c>
      <c r="AS70" s="65">
        <f t="shared" ca="1" si="244"/>
        <v>503</v>
      </c>
      <c r="AT70" s="15" t="str">
        <f t="shared" ca="1" si="245"/>
        <v>VIGENTE</v>
      </c>
      <c r="AU70" s="13">
        <v>44652</v>
      </c>
      <c r="AV70" s="14">
        <v>45927</v>
      </c>
      <c r="AW70" s="14">
        <f t="shared" si="225"/>
        <v>46657</v>
      </c>
      <c r="AX70" s="65">
        <f t="shared" ca="1" si="246"/>
        <v>526</v>
      </c>
      <c r="AY70" s="15" t="str">
        <f t="shared" ca="1" si="247"/>
        <v>VIGENTE</v>
      </c>
      <c r="AZ70" s="13">
        <v>45093</v>
      </c>
      <c r="BA70" s="14">
        <v>45742</v>
      </c>
      <c r="BB70" s="14">
        <f t="shared" si="351"/>
        <v>46471</v>
      </c>
      <c r="BC70" s="65">
        <f t="shared" ca="1" si="248"/>
        <v>340</v>
      </c>
      <c r="BD70" s="15" t="str">
        <f t="shared" ca="1" si="249"/>
        <v>VIGENTE</v>
      </c>
      <c r="BE70" s="13">
        <v>45010</v>
      </c>
      <c r="BF70" s="14">
        <v>45698</v>
      </c>
      <c r="BG70" s="14">
        <f>DATE(YEAR(BF70)+2,MONTH(BF70),DAY(BF70)-1)</f>
        <v>46427</v>
      </c>
      <c r="BH70" s="65">
        <f t="shared" ca="1" si="250"/>
        <v>296</v>
      </c>
      <c r="BI70" s="15" t="str">
        <f t="shared" ca="1" si="251"/>
        <v>VIGENTE</v>
      </c>
      <c r="BJ70" s="13">
        <v>44795</v>
      </c>
      <c r="BK70" s="14">
        <v>46056</v>
      </c>
      <c r="BL70" s="14">
        <f>DATE(YEAR(BK70)+2,MONTH(BK70),DAY(BK70))</f>
        <v>46786</v>
      </c>
      <c r="BM70" s="65">
        <f t="shared" ca="1" si="252"/>
        <v>655</v>
      </c>
      <c r="BN70" s="15" t="str">
        <f t="shared" ca="1" si="253"/>
        <v>VIGENTE</v>
      </c>
      <c r="BO70" s="13">
        <v>44798</v>
      </c>
      <c r="BP70" s="14">
        <v>46050</v>
      </c>
      <c r="BQ70" s="14">
        <f>DATE(YEAR(BP70)+2,MONTH(BP70),DAY(BP70))</f>
        <v>46780</v>
      </c>
      <c r="BR70" s="65">
        <f t="shared" ca="1" si="254"/>
        <v>649</v>
      </c>
      <c r="BS70" s="15" t="str">
        <f t="shared" ca="1" si="255"/>
        <v>VIGENTE</v>
      </c>
      <c r="BT70" s="13">
        <v>44953</v>
      </c>
      <c r="BU70" s="14">
        <v>45568</v>
      </c>
      <c r="BV70" s="14">
        <f>DATE(YEAR(BU70)+2,MONTH(BU70),DAY(BU70)-1)</f>
        <v>46297</v>
      </c>
      <c r="BW70" s="65">
        <f t="shared" ca="1" si="256"/>
        <v>166</v>
      </c>
      <c r="BX70" s="15" t="str">
        <f t="shared" ca="1" si="257"/>
        <v>VIGENTE</v>
      </c>
      <c r="BY70" s="13">
        <v>44594</v>
      </c>
      <c r="BZ70" s="14">
        <v>45911</v>
      </c>
      <c r="CA70" s="14">
        <f t="shared" si="232"/>
        <v>46641</v>
      </c>
      <c r="CB70" s="65">
        <f t="shared" ca="1" si="258"/>
        <v>510</v>
      </c>
      <c r="CC70" s="15" t="str">
        <f t="shared" ca="1" si="259"/>
        <v>VIGENTE</v>
      </c>
      <c r="CD70" s="16" t="s">
        <v>102</v>
      </c>
      <c r="CE70" s="14">
        <v>45722</v>
      </c>
      <c r="CF70" s="14">
        <v>45723</v>
      </c>
      <c r="CG70" s="14">
        <f t="shared" si="260"/>
        <v>47184</v>
      </c>
      <c r="CH70" s="65">
        <f t="shared" ca="1" si="261"/>
        <v>1053</v>
      </c>
      <c r="CI70" s="15" t="str">
        <f t="shared" ca="1" si="262"/>
        <v>VIGENTE</v>
      </c>
      <c r="CJ70" s="14">
        <v>44964</v>
      </c>
      <c r="CK70" s="14">
        <v>45601</v>
      </c>
      <c r="CL70" s="14">
        <f>DATE(YEAR(CK70)+2,MONTH(CK70),DAY(CK70)-1)</f>
        <v>46330</v>
      </c>
      <c r="CM70" s="65">
        <f t="shared" ca="1" si="263"/>
        <v>199</v>
      </c>
      <c r="CN70" s="15" t="str">
        <f t="shared" ca="1" si="264"/>
        <v>VIGENTE</v>
      </c>
      <c r="CO70" s="13">
        <v>45087</v>
      </c>
      <c r="CP70" s="14">
        <v>45769</v>
      </c>
      <c r="CQ70" s="14">
        <f>DATE(YEAR(CP70)+2,MONTH(CP70),DAY(CP70))</f>
        <v>46499</v>
      </c>
      <c r="CR70" s="65">
        <f t="shared" ca="1" si="265"/>
        <v>368</v>
      </c>
      <c r="CS70" s="15" t="str">
        <f t="shared" ca="1" si="266"/>
        <v>VIGENTE</v>
      </c>
      <c r="CT70" s="13">
        <v>44651</v>
      </c>
      <c r="CU70" s="14">
        <v>46043</v>
      </c>
      <c r="CV70" s="14">
        <f>DATE(YEAR(CU70)+2,MONTH(CU70),DAY(CU70))</f>
        <v>46773</v>
      </c>
      <c r="CW70" s="65">
        <f t="shared" ca="1" si="267"/>
        <v>642</v>
      </c>
      <c r="CX70" s="15" t="str">
        <f t="shared" ca="1" si="268"/>
        <v>VIGENTE</v>
      </c>
      <c r="CY70" s="13">
        <v>45367</v>
      </c>
      <c r="CZ70" s="14">
        <v>46098</v>
      </c>
      <c r="DA70" s="14">
        <f>DATE(YEAR(CZ70)+2,MONTH(CZ70),DAY(CZ70))</f>
        <v>46829</v>
      </c>
      <c r="DB70" s="65">
        <f t="shared" ca="1" si="269"/>
        <v>698</v>
      </c>
      <c r="DC70" s="15" t="str">
        <f t="shared" ca="1" si="270"/>
        <v>VIGENTE</v>
      </c>
      <c r="DD70" s="13">
        <v>45417</v>
      </c>
      <c r="DE70" s="14">
        <v>46076</v>
      </c>
      <c r="DF70" s="14">
        <f>DATE(YEAR(DE70)+2,MONTH(DE70),DAY(DE70))</f>
        <v>46806</v>
      </c>
      <c r="DG70" s="65">
        <f t="shared" ca="1" si="271"/>
        <v>675</v>
      </c>
      <c r="DH70" s="15" t="str">
        <f t="shared" ca="1" si="272"/>
        <v>VIGENTE</v>
      </c>
      <c r="DI70" s="13">
        <v>44653</v>
      </c>
      <c r="DJ70" s="14">
        <v>45975</v>
      </c>
      <c r="DK70" s="14">
        <f t="shared" si="233"/>
        <v>46705</v>
      </c>
      <c r="DL70" s="65">
        <f t="shared" ca="1" si="273"/>
        <v>574</v>
      </c>
      <c r="DM70" s="15" t="str">
        <f t="shared" ca="1" si="274"/>
        <v>VIGENTE</v>
      </c>
      <c r="DN70" s="13">
        <v>44650</v>
      </c>
      <c r="DO70" s="14">
        <v>45982</v>
      </c>
      <c r="DP70" s="14">
        <f>DATE(YEAR(DO70)+2,MONTH(DO70),DAY(DO70))</f>
        <v>46712</v>
      </c>
      <c r="DQ70" s="65">
        <f t="shared" ca="1" si="275"/>
        <v>581</v>
      </c>
      <c r="DR70" s="15" t="str">
        <f t="shared" ca="1" si="276"/>
        <v>VIGENTE</v>
      </c>
      <c r="DS70" s="13">
        <v>44935</v>
      </c>
      <c r="DT70" s="14">
        <v>45608</v>
      </c>
      <c r="DU70" s="14">
        <f>DATE(YEAR(DT70)+2,MONTH(DT70),DAY(DT70)-1)</f>
        <v>46337</v>
      </c>
      <c r="DV70" s="65">
        <f t="shared" ca="1" si="277"/>
        <v>206</v>
      </c>
      <c r="DW70" s="15" t="str">
        <f t="shared" ca="1" si="278"/>
        <v>VIGENTE</v>
      </c>
      <c r="DX70" s="13">
        <v>44992</v>
      </c>
      <c r="DY70" s="14">
        <v>45663</v>
      </c>
      <c r="DZ70" s="14">
        <f t="shared" si="343"/>
        <v>46392</v>
      </c>
      <c r="EA70" s="65">
        <f t="shared" ca="1" si="279"/>
        <v>261</v>
      </c>
      <c r="EB70" s="15" t="str">
        <f t="shared" ca="1" si="280"/>
        <v>VIGENTE</v>
      </c>
      <c r="EC70" s="13">
        <v>45821</v>
      </c>
      <c r="ED70" s="14">
        <v>45730</v>
      </c>
      <c r="EE70" s="14">
        <f>DATE(YEAR(ED70)+2,MONTH(ED70),DAY(ED70)-1)</f>
        <v>46459</v>
      </c>
      <c r="EF70" s="65">
        <f t="shared" ca="1" si="281"/>
        <v>328</v>
      </c>
      <c r="EG70" s="15" t="str">
        <f t="shared" ca="1" si="282"/>
        <v>VIGENTE</v>
      </c>
      <c r="EH70" s="13">
        <v>44928</v>
      </c>
      <c r="EI70" s="13">
        <v>46083</v>
      </c>
      <c r="EJ70" s="13">
        <v>46084</v>
      </c>
      <c r="EK70" s="13">
        <v>46085</v>
      </c>
      <c r="EL70" s="14">
        <f t="shared" si="344"/>
        <v>46450</v>
      </c>
      <c r="EM70" s="65">
        <f t="shared" ca="1" si="283"/>
        <v>319</v>
      </c>
      <c r="EN70" s="15" t="str">
        <f t="shared" ca="1" si="284"/>
        <v>VIGENTE</v>
      </c>
      <c r="EO70" s="13">
        <v>44796</v>
      </c>
      <c r="EP70" s="14">
        <v>46100</v>
      </c>
      <c r="EQ70" s="14">
        <f>DATE(YEAR(EP70)+2,MONTH(EP70),DAY(EP70))</f>
        <v>46831</v>
      </c>
      <c r="ER70" s="65">
        <f t="shared" ca="1" si="285"/>
        <v>700</v>
      </c>
      <c r="ES70" s="15" t="str">
        <f t="shared" ca="1" si="286"/>
        <v>VIGENTE</v>
      </c>
      <c r="ET70" s="13">
        <v>44929</v>
      </c>
      <c r="EU70" s="14">
        <v>45575</v>
      </c>
      <c r="EV70" s="14">
        <f t="shared" si="352"/>
        <v>46304</v>
      </c>
      <c r="EW70" s="65">
        <f t="shared" ca="1" si="287"/>
        <v>173</v>
      </c>
      <c r="EX70" s="15" t="str">
        <f t="shared" ca="1" si="288"/>
        <v>VIGENTE</v>
      </c>
      <c r="EY70" s="13">
        <v>45271</v>
      </c>
      <c r="EZ70" s="14">
        <v>45917</v>
      </c>
      <c r="FA70" s="14">
        <f t="shared" si="227"/>
        <v>46647</v>
      </c>
      <c r="FB70" s="65">
        <f t="shared" ca="1" si="289"/>
        <v>516</v>
      </c>
      <c r="FC70" s="15" t="str">
        <f t="shared" ca="1" si="290"/>
        <v>VIGENTE</v>
      </c>
      <c r="FD70" s="13">
        <v>44595</v>
      </c>
      <c r="FE70" s="14">
        <v>45931</v>
      </c>
      <c r="FF70" s="14">
        <f t="shared" si="228"/>
        <v>46661</v>
      </c>
      <c r="FG70" s="65">
        <f t="shared" ca="1" si="291"/>
        <v>530</v>
      </c>
      <c r="FH70" s="15" t="str">
        <f t="shared" ca="1" si="292"/>
        <v>VIGENTE</v>
      </c>
      <c r="FI70" s="13">
        <v>44596</v>
      </c>
      <c r="FJ70" s="14">
        <v>45932</v>
      </c>
      <c r="FK70" s="14">
        <f t="shared" si="229"/>
        <v>46662</v>
      </c>
      <c r="FL70" s="65">
        <f t="shared" ca="1" si="293"/>
        <v>531</v>
      </c>
      <c r="FM70" s="15" t="str">
        <f t="shared" ca="1" si="294"/>
        <v>VIGENTE</v>
      </c>
      <c r="FN70" s="13">
        <v>44932</v>
      </c>
      <c r="FO70" s="14">
        <v>45576</v>
      </c>
      <c r="FP70" s="14">
        <f t="shared" si="353"/>
        <v>46305</v>
      </c>
      <c r="FQ70" s="65">
        <f t="shared" ca="1" si="295"/>
        <v>174</v>
      </c>
      <c r="FR70" s="15" t="str">
        <f t="shared" ca="1" si="296"/>
        <v>VIGENTE</v>
      </c>
      <c r="FS70" s="13">
        <v>44797</v>
      </c>
      <c r="FT70" s="14">
        <v>46077</v>
      </c>
      <c r="FU70" s="14">
        <f>DATE(YEAR(FT70)+2,MONTH(FT70),DAY(FT70))</f>
        <v>46807</v>
      </c>
      <c r="FV70" s="65">
        <f t="shared" ca="1" si="297"/>
        <v>676</v>
      </c>
      <c r="FW70" s="15" t="str">
        <f t="shared" ca="1" si="298"/>
        <v>VIGENTE</v>
      </c>
      <c r="FX70" s="13">
        <v>44596</v>
      </c>
      <c r="FY70" s="14">
        <v>45941</v>
      </c>
      <c r="FZ70" s="14">
        <f>DATE(YEAR(FY70)+2,MONTH(FY70),DAY(FY70))</f>
        <v>46671</v>
      </c>
      <c r="GA70" s="65">
        <f t="shared" ca="1" si="299"/>
        <v>540</v>
      </c>
      <c r="GB70" s="15" t="str">
        <f t="shared" ca="1" si="300"/>
        <v>VIGENTE</v>
      </c>
      <c r="GC70" s="13">
        <v>44995</v>
      </c>
      <c r="GD70" s="14">
        <v>45667</v>
      </c>
      <c r="GE70" s="14">
        <f t="shared" si="354"/>
        <v>46396</v>
      </c>
      <c r="GF70" s="65">
        <f t="shared" ca="1" si="301"/>
        <v>265</v>
      </c>
      <c r="GG70" s="15" t="str">
        <f t="shared" ca="1" si="302"/>
        <v>VIGENTE</v>
      </c>
      <c r="GH70" s="13">
        <v>45400</v>
      </c>
      <c r="GI70" s="14">
        <v>46036</v>
      </c>
      <c r="GJ70" s="14">
        <f>DATE(YEAR(GI70)+2,MONTH(GI70),DAY(GI70))</f>
        <v>46766</v>
      </c>
      <c r="GK70" s="65">
        <f t="shared" ca="1" si="303"/>
        <v>635</v>
      </c>
      <c r="GL70" s="15" t="str">
        <f t="shared" ca="1" si="304"/>
        <v>VIGENTE</v>
      </c>
      <c r="GM70" s="13">
        <v>45024</v>
      </c>
      <c r="GN70" s="14">
        <v>45687</v>
      </c>
      <c r="GO70" s="14">
        <f>DATE(YEAR(GN70)+2,MONTH(GN70),DAY(GN70)-1)</f>
        <v>46416</v>
      </c>
      <c r="GP70" s="65">
        <f t="shared" ca="1" si="305"/>
        <v>285</v>
      </c>
      <c r="GQ70" s="15" t="str">
        <f t="shared" ca="1" si="306"/>
        <v>VIGENTE</v>
      </c>
      <c r="GR70" s="14"/>
      <c r="GS70" s="14">
        <v>45013</v>
      </c>
      <c r="GT70" s="14">
        <f t="shared" si="307"/>
        <v>46840</v>
      </c>
      <c r="GU70" s="65">
        <f t="shared" ca="1" si="172"/>
        <v>709</v>
      </c>
      <c r="GV70" s="15" t="str">
        <f t="shared" ca="1" si="308"/>
        <v>VIGENTE</v>
      </c>
      <c r="GW70" s="13"/>
      <c r="GX70" s="14">
        <v>44952</v>
      </c>
      <c r="GY70" s="14">
        <f t="shared" si="309"/>
        <v>46778</v>
      </c>
      <c r="GZ70" s="65">
        <f t="shared" ca="1" si="310"/>
        <v>647</v>
      </c>
      <c r="HA70" s="15" t="str">
        <f t="shared" ca="1" si="311"/>
        <v>VIGENTE</v>
      </c>
      <c r="HB70" s="12"/>
      <c r="HC70" s="14">
        <v>45016</v>
      </c>
      <c r="HD70" s="14">
        <f t="shared" si="312"/>
        <v>46843</v>
      </c>
      <c r="HE70" s="65">
        <f t="shared" ca="1" si="313"/>
        <v>712</v>
      </c>
      <c r="HF70" s="15" t="str">
        <f t="shared" ca="1" si="314"/>
        <v>VIGENTE</v>
      </c>
      <c r="HG70" s="16"/>
      <c r="HH70" s="16"/>
      <c r="HI70" s="14"/>
      <c r="HJ70" s="65"/>
      <c r="HK70" s="15" t="str">
        <f t="shared" si="217"/>
        <v>NO APLICA</v>
      </c>
      <c r="HL70" s="12"/>
      <c r="HM70" s="16"/>
      <c r="HN70" s="14"/>
      <c r="HO70" s="65"/>
      <c r="HP70" s="15" t="str">
        <f t="shared" si="221"/>
        <v>NO APLICA</v>
      </c>
      <c r="HQ70" s="12"/>
      <c r="HR70" s="12"/>
      <c r="HS70" s="14"/>
      <c r="HT70" s="12"/>
      <c r="HU70" s="15" t="str">
        <f t="shared" si="315"/>
        <v>NO APLICA</v>
      </c>
      <c r="HV70" s="12"/>
      <c r="HW70" s="16"/>
      <c r="HX70" s="14"/>
      <c r="HY70" s="65"/>
      <c r="HZ70" s="15" t="str">
        <f t="shared" si="316"/>
        <v>NO APLICA</v>
      </c>
      <c r="IA70" s="12"/>
      <c r="IB70" s="16"/>
      <c r="IC70" s="14"/>
      <c r="ID70" s="65"/>
      <c r="IE70" s="15" t="str">
        <f t="shared" si="317"/>
        <v>NO APLICA</v>
      </c>
      <c r="IF70" s="12"/>
      <c r="IG70" s="16"/>
      <c r="IH70" s="14"/>
      <c r="II70" s="65"/>
      <c r="IJ70" s="15" t="str">
        <f t="shared" si="318"/>
        <v>NO APLICA</v>
      </c>
      <c r="IK70" s="16"/>
      <c r="IL70" s="16"/>
      <c r="IM70" s="14"/>
      <c r="IN70" s="65"/>
      <c r="IO70" s="15" t="str">
        <f t="shared" si="319"/>
        <v>NO APLICA</v>
      </c>
      <c r="IP70" s="12"/>
      <c r="IQ70" s="16"/>
      <c r="IR70" s="14"/>
      <c r="IS70" s="65"/>
      <c r="IT70" s="15" t="str">
        <f t="shared" si="320"/>
        <v>NO APLICA</v>
      </c>
      <c r="IU70" s="12"/>
      <c r="IV70" s="16"/>
      <c r="IW70" s="14"/>
      <c r="IX70" s="65"/>
      <c r="IY70" s="15" t="str">
        <f t="shared" si="321"/>
        <v>NO APLICA</v>
      </c>
      <c r="IZ70" s="12"/>
      <c r="JA70" s="16"/>
      <c r="JB70" s="14"/>
      <c r="JC70" s="65"/>
      <c r="JD70" s="15" t="str">
        <f t="shared" si="322"/>
        <v>NO APLICA</v>
      </c>
      <c r="JE70" s="13"/>
      <c r="JF70" s="13"/>
      <c r="JG70" s="14"/>
      <c r="JH70" s="65"/>
      <c r="JI70" s="15" t="str">
        <f t="shared" si="323"/>
        <v>NO APLICA</v>
      </c>
      <c r="JJ70" s="16"/>
      <c r="JK70" s="16"/>
      <c r="JL70" s="16"/>
      <c r="JM70" s="15" t="str">
        <f t="shared" si="324"/>
        <v>NO APLICA</v>
      </c>
      <c r="JN70" s="16"/>
      <c r="JO70" s="16"/>
      <c r="JP70" s="16"/>
      <c r="JQ70" s="15" t="str">
        <f t="shared" si="325"/>
        <v>NO APLICA</v>
      </c>
      <c r="JR70" s="16"/>
      <c r="JS70" s="16"/>
      <c r="JT70" s="16"/>
      <c r="JU70" s="16"/>
      <c r="JV70" s="15" t="str">
        <f t="shared" si="326"/>
        <v>NO APLICA</v>
      </c>
      <c r="JW70" s="15"/>
      <c r="JX70" s="15"/>
      <c r="JY70" s="15"/>
      <c r="JZ70" s="15"/>
      <c r="KA70" s="15" t="str">
        <f t="shared" si="327"/>
        <v>NO APLICA</v>
      </c>
      <c r="KB70" s="12"/>
      <c r="KC70" s="14"/>
      <c r="KD70" s="65"/>
      <c r="KE70" s="15" t="str">
        <f t="shared" si="328"/>
        <v>NO APLICA</v>
      </c>
      <c r="KF70" s="12"/>
      <c r="KG70" s="14"/>
      <c r="KH70" s="65"/>
      <c r="KI70" s="15" t="str">
        <f t="shared" si="345"/>
        <v>NO APLICA</v>
      </c>
      <c r="KJ70" s="12"/>
      <c r="KK70" s="14"/>
      <c r="KL70" s="65"/>
      <c r="KM70" s="15" t="str">
        <f t="shared" si="329"/>
        <v>NO APLICA</v>
      </c>
      <c r="KN70" s="12"/>
      <c r="KO70" s="14"/>
      <c r="KP70" s="65"/>
      <c r="KQ70" s="15" t="str">
        <f t="shared" si="346"/>
        <v>NO APLICA</v>
      </c>
      <c r="KR70" s="12"/>
      <c r="KS70" s="16"/>
      <c r="KT70" s="14"/>
      <c r="KU70" s="65"/>
      <c r="KV70" s="15" t="str">
        <f t="shared" si="355"/>
        <v>NO APLICA</v>
      </c>
      <c r="KW70" s="16"/>
      <c r="KX70" s="14"/>
      <c r="KY70" s="65"/>
      <c r="KZ70" s="15" t="str">
        <f t="shared" si="347"/>
        <v>NO APLICA</v>
      </c>
      <c r="LA70" s="16"/>
      <c r="LB70" s="16"/>
      <c r="LC70" s="14"/>
      <c r="LD70" s="65"/>
      <c r="LE70" s="15" t="str">
        <f t="shared" si="330"/>
        <v>NO APLICA</v>
      </c>
      <c r="LF70" s="15"/>
      <c r="LG70" s="15"/>
      <c r="LH70" s="14"/>
      <c r="LI70" s="65"/>
      <c r="LJ70" s="15" t="str">
        <f t="shared" si="356"/>
        <v>NO APLICA</v>
      </c>
      <c r="LK70" s="12"/>
      <c r="LL70" s="16"/>
      <c r="LM70" s="14"/>
      <c r="LN70" s="65"/>
      <c r="LO70" s="15" t="str">
        <f t="shared" si="348"/>
        <v>NO APLICA</v>
      </c>
      <c r="LP70" s="16"/>
      <c r="LQ70" s="16"/>
      <c r="LR70" s="14"/>
      <c r="LS70" s="65"/>
      <c r="LT70" s="15" t="str">
        <f t="shared" si="349"/>
        <v>NO APLICA</v>
      </c>
      <c r="LU70" s="16"/>
      <c r="LV70" s="16"/>
      <c r="LW70" s="14"/>
      <c r="LX70" s="65"/>
      <c r="LY70" s="15" t="str">
        <f t="shared" si="350"/>
        <v>NO APLICA</v>
      </c>
      <c r="LZ70" s="12"/>
      <c r="MA70" s="12"/>
      <c r="MB70" s="14"/>
      <c r="MC70" s="65"/>
      <c r="MD70" s="15" t="str">
        <f t="shared" si="331"/>
        <v>NO APLICA</v>
      </c>
      <c r="ME70" s="12"/>
      <c r="MF70" s="12"/>
      <c r="MG70" s="14"/>
      <c r="MH70" s="65"/>
      <c r="MI70" s="15" t="str">
        <f t="shared" si="332"/>
        <v>NO APLICA</v>
      </c>
      <c r="MJ70" s="12"/>
      <c r="MK70" s="14"/>
      <c r="ML70" s="65"/>
      <c r="MM70" s="15" t="str">
        <f t="shared" si="333"/>
        <v>NO APLICA</v>
      </c>
      <c r="MN70" s="12"/>
      <c r="MO70" s="14"/>
      <c r="MP70" s="12"/>
      <c r="MQ70" s="15" t="str">
        <f t="shared" si="334"/>
        <v>NO APLICA</v>
      </c>
      <c r="MR70" s="12"/>
      <c r="MS70" s="16"/>
      <c r="MT70" s="14"/>
      <c r="MU70" s="65"/>
      <c r="MV70" s="15" t="str">
        <f t="shared" si="335"/>
        <v>NO APLICA</v>
      </c>
      <c r="MW70" s="12"/>
      <c r="MX70" s="16"/>
      <c r="MY70" s="14"/>
      <c r="MZ70" s="65"/>
      <c r="NA70" s="15" t="str">
        <f t="shared" si="336"/>
        <v>NO APLICA</v>
      </c>
      <c r="NB70" s="12"/>
      <c r="NC70" s="16"/>
      <c r="ND70" s="14"/>
      <c r="NE70" s="65"/>
      <c r="NF70" s="15" t="str">
        <f t="shared" si="337"/>
        <v>NO APLICA</v>
      </c>
      <c r="NG70" s="12"/>
      <c r="NH70" s="12"/>
      <c r="NI70" s="14"/>
      <c r="NJ70" s="65"/>
      <c r="NK70" s="15" t="str">
        <f t="shared" si="338"/>
        <v>NO APLICA</v>
      </c>
      <c r="NL70" s="12"/>
      <c r="NM70" s="12"/>
      <c r="NN70" s="14"/>
      <c r="NO70" s="12"/>
      <c r="NP70" s="15" t="str">
        <f t="shared" si="339"/>
        <v>NO APLICA</v>
      </c>
      <c r="NQ70" s="16"/>
      <c r="NR70" s="16"/>
      <c r="NS70" s="14"/>
      <c r="NT70" s="65"/>
      <c r="NU70" s="15" t="str">
        <f t="shared" si="340"/>
        <v>NO APLICA</v>
      </c>
      <c r="NV70" s="16"/>
      <c r="NW70" s="16"/>
      <c r="NX70" s="16"/>
      <c r="NY70" s="16"/>
      <c r="NZ70" s="15" t="str">
        <f t="shared" si="341"/>
        <v>NO APLICA</v>
      </c>
    </row>
    <row r="71" spans="1:390" ht="15.6" thickTop="1" thickBot="1" x14ac:dyDescent="0.35">
      <c r="A71" s="9">
        <v>1027</v>
      </c>
      <c r="B71" s="10" t="s">
        <v>316</v>
      </c>
      <c r="C71" s="21" t="s">
        <v>104</v>
      </c>
      <c r="D71" s="64" t="s">
        <v>114</v>
      </c>
      <c r="E71" s="15"/>
      <c r="F71" s="16"/>
      <c r="G71" s="14"/>
      <c r="H71" s="65"/>
      <c r="I71" s="15" t="str">
        <f t="shared" si="235"/>
        <v>NO APLICA</v>
      </c>
      <c r="J71" s="15"/>
      <c r="K71" s="16"/>
      <c r="L71" s="16"/>
      <c r="M71" s="65"/>
      <c r="N71" s="15" t="str">
        <f t="shared" si="236"/>
        <v>NO APLICA</v>
      </c>
      <c r="O71" s="16"/>
      <c r="P71" s="16"/>
      <c r="Q71" s="14"/>
      <c r="R71" s="65"/>
      <c r="S71" s="15" t="str">
        <f t="shared" si="342"/>
        <v>NO APLICA</v>
      </c>
      <c r="T71" s="12" t="s">
        <v>317</v>
      </c>
      <c r="U71" s="13">
        <v>45400</v>
      </c>
      <c r="V71" s="14">
        <v>45401</v>
      </c>
      <c r="W71" s="14">
        <f t="shared" si="237"/>
        <v>47227</v>
      </c>
      <c r="X71" s="65">
        <f t="shared" ca="1" si="238"/>
        <v>1096</v>
      </c>
      <c r="Y71" s="15" t="str">
        <f t="shared" ca="1" si="239"/>
        <v>VIGENTE</v>
      </c>
      <c r="Z71" s="12" t="s">
        <v>318</v>
      </c>
      <c r="AA71" s="13">
        <v>44578</v>
      </c>
      <c r="AB71" s="14">
        <v>44579</v>
      </c>
      <c r="AC71" s="14">
        <f>DATE(YEAR(AB71)+5,MONTH(AB71),DAY(AB71))</f>
        <v>46405</v>
      </c>
      <c r="AD71" s="65">
        <f ca="1">AC71-TODAY()</f>
        <v>274</v>
      </c>
      <c r="AE71" s="15" t="str">
        <f t="shared" ca="1" si="240"/>
        <v>VIGENTE</v>
      </c>
      <c r="AF71" s="13">
        <v>45014</v>
      </c>
      <c r="AG71" s="14">
        <v>45680</v>
      </c>
      <c r="AH71" s="14">
        <f>DATE(YEAR(AG71)+2,MONTH(AG71),DAY(AG71)-1)</f>
        <v>46409</v>
      </c>
      <c r="AI71" s="65">
        <f t="shared" ca="1" si="241"/>
        <v>278</v>
      </c>
      <c r="AJ71" s="15" t="str">
        <f t="shared" ca="1" si="213"/>
        <v>VIGENTE</v>
      </c>
      <c r="AK71" s="13">
        <v>45307</v>
      </c>
      <c r="AL71" s="14">
        <v>45959</v>
      </c>
      <c r="AM71" s="14">
        <f t="shared" si="234"/>
        <v>46689</v>
      </c>
      <c r="AN71" s="65">
        <f t="shared" ca="1" si="242"/>
        <v>558</v>
      </c>
      <c r="AO71" s="15" t="str">
        <f t="shared" ca="1" si="243"/>
        <v>VIGENTE</v>
      </c>
      <c r="AP71" s="13">
        <v>45258</v>
      </c>
      <c r="AQ71" s="14">
        <v>45904</v>
      </c>
      <c r="AR71" s="14">
        <f t="shared" si="230"/>
        <v>46634</v>
      </c>
      <c r="AS71" s="65">
        <f t="shared" ca="1" si="244"/>
        <v>503</v>
      </c>
      <c r="AT71" s="15" t="str">
        <f t="shared" ca="1" si="245"/>
        <v>VIGENTE</v>
      </c>
      <c r="AU71" s="13">
        <v>45323</v>
      </c>
      <c r="AV71" s="14">
        <v>45972</v>
      </c>
      <c r="AW71" s="14">
        <f t="shared" si="225"/>
        <v>46702</v>
      </c>
      <c r="AX71" s="65">
        <f t="shared" ca="1" si="246"/>
        <v>571</v>
      </c>
      <c r="AY71" s="15" t="str">
        <f t="shared" ca="1" si="247"/>
        <v>VIGENTE</v>
      </c>
      <c r="AZ71" s="13">
        <v>44732</v>
      </c>
      <c r="BA71" s="14">
        <v>45454</v>
      </c>
      <c r="BB71" s="14">
        <f t="shared" si="351"/>
        <v>46183</v>
      </c>
      <c r="BC71" s="65">
        <f t="shared" ca="1" si="248"/>
        <v>52</v>
      </c>
      <c r="BD71" s="15" t="str">
        <f t="shared" ca="1" si="249"/>
        <v>POR VENCER</v>
      </c>
      <c r="BE71" s="13">
        <v>44687</v>
      </c>
      <c r="BF71" s="14">
        <v>46067</v>
      </c>
      <c r="BG71" s="14">
        <f>DATE(YEAR(BF71)+2,MONTH(BF71),DAY(BF71))</f>
        <v>46797</v>
      </c>
      <c r="BH71" s="65">
        <f t="shared" ca="1" si="250"/>
        <v>666</v>
      </c>
      <c r="BI71" s="15" t="str">
        <f t="shared" ca="1" si="251"/>
        <v>VIGENTE</v>
      </c>
      <c r="BJ71" s="13">
        <v>45389</v>
      </c>
      <c r="BK71" s="14">
        <v>46065</v>
      </c>
      <c r="BL71" s="14">
        <f>DATE(YEAR(BK71)+2,MONTH(BK71),DAY(BK71))</f>
        <v>46795</v>
      </c>
      <c r="BM71" s="65">
        <f t="shared" ca="1" si="252"/>
        <v>664</v>
      </c>
      <c r="BN71" s="15" t="str">
        <f t="shared" ca="1" si="253"/>
        <v>VIGENTE</v>
      </c>
      <c r="BO71" s="13">
        <v>44749</v>
      </c>
      <c r="BP71" s="14">
        <v>45447</v>
      </c>
      <c r="BQ71" s="14">
        <f>DATE(YEAR(BP71)+2,MONTH(BP71),DAY(BP71)-1)</f>
        <v>46176</v>
      </c>
      <c r="BR71" s="65">
        <f t="shared" ca="1" si="254"/>
        <v>45</v>
      </c>
      <c r="BS71" s="15" t="str">
        <f t="shared" ca="1" si="255"/>
        <v>POR VENCER</v>
      </c>
      <c r="BT71" s="13">
        <v>44736</v>
      </c>
      <c r="BU71" s="14">
        <v>46063</v>
      </c>
      <c r="BV71" s="14">
        <f>DATE(YEAR(BU71)+2,MONTH(BU71),DAY(BU71))</f>
        <v>46793</v>
      </c>
      <c r="BW71" s="65">
        <f t="shared" ca="1" si="256"/>
        <v>662</v>
      </c>
      <c r="BX71" s="15" t="str">
        <f t="shared" ca="1" si="257"/>
        <v>VIGENTE</v>
      </c>
      <c r="BY71" s="13">
        <v>44774</v>
      </c>
      <c r="BZ71" s="14">
        <v>45480</v>
      </c>
      <c r="CA71" s="14">
        <f>DATE(YEAR(BZ71)+2,MONTH(BZ71),DAY(BZ71)-1)</f>
        <v>46209</v>
      </c>
      <c r="CB71" s="65">
        <f t="shared" ca="1" si="258"/>
        <v>78</v>
      </c>
      <c r="CC71" s="15" t="str">
        <f t="shared" ca="1" si="259"/>
        <v>POR VENCER</v>
      </c>
      <c r="CD71" s="16" t="s">
        <v>108</v>
      </c>
      <c r="CE71" s="14">
        <v>45226</v>
      </c>
      <c r="CF71" s="14">
        <v>45227</v>
      </c>
      <c r="CG71" s="14">
        <f t="shared" si="260"/>
        <v>46688</v>
      </c>
      <c r="CH71" s="65">
        <f t="shared" ca="1" si="261"/>
        <v>557</v>
      </c>
      <c r="CI71" s="15" t="str">
        <f t="shared" ca="1" si="262"/>
        <v>VIGENTE</v>
      </c>
      <c r="CJ71" s="14">
        <v>44564</v>
      </c>
      <c r="CK71" s="14">
        <v>45929</v>
      </c>
      <c r="CL71" s="14">
        <f>DATE(YEAR(CK71)+2,MONTH(CK71),DAY(CK71))</f>
        <v>46659</v>
      </c>
      <c r="CM71" s="65">
        <f t="shared" ca="1" si="263"/>
        <v>528</v>
      </c>
      <c r="CN71" s="15" t="str">
        <f t="shared" ca="1" si="264"/>
        <v>VIGENTE</v>
      </c>
      <c r="CO71" s="13">
        <v>44900</v>
      </c>
      <c r="CP71" s="14">
        <v>45513</v>
      </c>
      <c r="CQ71" s="14">
        <f t="shared" ref="CQ71:CQ79" si="357">DATE(YEAR(CP71)+2,MONTH(CP71),DAY(CP71)-1)</f>
        <v>46242</v>
      </c>
      <c r="CR71" s="65">
        <f t="shared" ca="1" si="265"/>
        <v>111</v>
      </c>
      <c r="CS71" s="15" t="str">
        <f t="shared" ca="1" si="266"/>
        <v>VIGENTE</v>
      </c>
      <c r="CT71" s="13">
        <v>44966</v>
      </c>
      <c r="CU71" s="14">
        <v>45631</v>
      </c>
      <c r="CV71" s="14">
        <f t="shared" ref="CV71:CV76" si="358">DATE(YEAR(CU71)+2,MONTH(CU71),DAY(CU71)-1)</f>
        <v>46360</v>
      </c>
      <c r="CW71" s="65">
        <f t="shared" ca="1" si="267"/>
        <v>229</v>
      </c>
      <c r="CX71" s="15" t="str">
        <f t="shared" ca="1" si="268"/>
        <v>VIGENTE</v>
      </c>
      <c r="CY71" s="13">
        <v>44999</v>
      </c>
      <c r="CZ71" s="14">
        <v>45661</v>
      </c>
      <c r="DA71" s="14">
        <f t="shared" ref="DA71:DA76" si="359">DATE(YEAR(CZ71)+2,MONTH(CZ71),DAY(CZ71)-1)</f>
        <v>46390</v>
      </c>
      <c r="DB71" s="65">
        <f t="shared" ca="1" si="269"/>
        <v>259</v>
      </c>
      <c r="DC71" s="15" t="str">
        <f t="shared" ca="1" si="270"/>
        <v>VIGENTE</v>
      </c>
      <c r="DD71" s="13">
        <v>44968</v>
      </c>
      <c r="DE71" s="14">
        <v>45596</v>
      </c>
      <c r="DF71" s="14">
        <f>DATE(YEAR(DE71)+2,MONTH(DE71),DAY(DE71)-1)</f>
        <v>46325</v>
      </c>
      <c r="DG71" s="65">
        <f t="shared" ca="1" si="271"/>
        <v>194</v>
      </c>
      <c r="DH71" s="15" t="str">
        <f t="shared" ca="1" si="272"/>
        <v>VIGENTE</v>
      </c>
      <c r="DI71" s="13">
        <v>45098</v>
      </c>
      <c r="DJ71" s="14">
        <v>45779</v>
      </c>
      <c r="DK71" s="14">
        <f t="shared" si="233"/>
        <v>46509</v>
      </c>
      <c r="DL71" s="65">
        <f t="shared" ca="1" si="273"/>
        <v>378</v>
      </c>
      <c r="DM71" s="15" t="str">
        <f t="shared" ca="1" si="274"/>
        <v>VIGENTE</v>
      </c>
      <c r="DN71" s="13">
        <v>45325</v>
      </c>
      <c r="DO71" s="14">
        <v>45982</v>
      </c>
      <c r="DP71" s="14">
        <f>DATE(YEAR(DO71)+2,MONTH(DO71),DAY(DO71))</f>
        <v>46712</v>
      </c>
      <c r="DQ71" s="65">
        <f t="shared" ca="1" si="275"/>
        <v>581</v>
      </c>
      <c r="DR71" s="15" t="str">
        <f t="shared" ca="1" si="276"/>
        <v>VIGENTE</v>
      </c>
      <c r="DS71" s="13">
        <v>44734</v>
      </c>
      <c r="DT71" s="14">
        <v>46053</v>
      </c>
      <c r="DU71" s="14">
        <f>DATE(YEAR(DT71)+2,MONTH(DT71),DAY(DT71))</f>
        <v>46783</v>
      </c>
      <c r="DV71" s="65">
        <f t="shared" ca="1" si="277"/>
        <v>652</v>
      </c>
      <c r="DW71" s="15" t="str">
        <f t="shared" ca="1" si="278"/>
        <v>VIGENTE</v>
      </c>
      <c r="DX71" s="13">
        <v>44993</v>
      </c>
      <c r="DY71" s="14">
        <v>45663</v>
      </c>
      <c r="DZ71" s="14">
        <f t="shared" si="343"/>
        <v>46392</v>
      </c>
      <c r="EA71" s="65">
        <f t="shared" ca="1" si="279"/>
        <v>261</v>
      </c>
      <c r="EB71" s="15" t="str">
        <f t="shared" ca="1" si="280"/>
        <v>VIGENTE</v>
      </c>
      <c r="EC71" s="13">
        <v>44994</v>
      </c>
      <c r="ED71" s="14">
        <v>45674</v>
      </c>
      <c r="EE71" s="14">
        <f>DATE(YEAR(ED71)+2,MONTH(ED71),DAY(ED71)-1)</f>
        <v>46403</v>
      </c>
      <c r="EF71" s="65">
        <f t="shared" ca="1" si="281"/>
        <v>272</v>
      </c>
      <c r="EG71" s="15" t="str">
        <f t="shared" ca="1" si="282"/>
        <v>VIGENTE</v>
      </c>
      <c r="EH71" s="13">
        <v>45675</v>
      </c>
      <c r="EI71" s="13">
        <v>45806</v>
      </c>
      <c r="EJ71" s="13">
        <v>45807</v>
      </c>
      <c r="EK71" s="14">
        <v>45808</v>
      </c>
      <c r="EL71" s="14">
        <f t="shared" si="344"/>
        <v>46173</v>
      </c>
      <c r="EM71" s="65">
        <f t="shared" ca="1" si="283"/>
        <v>42</v>
      </c>
      <c r="EN71" s="15" t="str">
        <f t="shared" ca="1" si="284"/>
        <v>POR VENCER</v>
      </c>
      <c r="EO71" s="13">
        <v>45016</v>
      </c>
      <c r="EP71" s="14">
        <v>45660</v>
      </c>
      <c r="EQ71" s="14">
        <f t="shared" ref="EQ71:EQ80" si="360">DATE(YEAR(EP71)+2,MONTH(EP71),DAY(EP71)-1)</f>
        <v>46389</v>
      </c>
      <c r="ER71" s="65">
        <f t="shared" ca="1" si="285"/>
        <v>258</v>
      </c>
      <c r="ES71" s="15" t="str">
        <f t="shared" ca="1" si="286"/>
        <v>VIGENTE</v>
      </c>
      <c r="ET71" s="13">
        <v>45463</v>
      </c>
      <c r="EU71" s="14">
        <v>45467</v>
      </c>
      <c r="EV71" s="14">
        <f t="shared" si="352"/>
        <v>46196</v>
      </c>
      <c r="EW71" s="65">
        <f t="shared" ca="1" si="287"/>
        <v>65</v>
      </c>
      <c r="EX71" s="15" t="str">
        <f t="shared" ca="1" si="288"/>
        <v>POR VENCER</v>
      </c>
      <c r="EY71" s="13">
        <v>45017</v>
      </c>
      <c r="EZ71" s="14">
        <v>45694</v>
      </c>
      <c r="FA71" s="14">
        <f>DATE(YEAR(EZ71)+2,MONTH(EZ71),DAY(EZ71)-1)</f>
        <v>46423</v>
      </c>
      <c r="FB71" s="65">
        <f t="shared" ca="1" si="289"/>
        <v>292</v>
      </c>
      <c r="FC71" s="15" t="str">
        <f t="shared" ca="1" si="290"/>
        <v>VIGENTE</v>
      </c>
      <c r="FD71" s="13">
        <v>45002</v>
      </c>
      <c r="FE71" s="14">
        <v>45632</v>
      </c>
      <c r="FF71" s="14">
        <f>DATE(YEAR(FE71)+2,MONTH(FE71),DAY(FE71)-1)</f>
        <v>46361</v>
      </c>
      <c r="FG71" s="65">
        <f t="shared" ca="1" si="291"/>
        <v>230</v>
      </c>
      <c r="FH71" s="15" t="str">
        <f t="shared" ca="1" si="292"/>
        <v>VIGENTE</v>
      </c>
      <c r="FI71" s="13">
        <v>45008</v>
      </c>
      <c r="FJ71" s="14">
        <v>45722</v>
      </c>
      <c r="FK71" s="14">
        <f t="shared" si="229"/>
        <v>46452</v>
      </c>
      <c r="FL71" s="65">
        <f t="shared" ca="1" si="293"/>
        <v>321</v>
      </c>
      <c r="FM71" s="15" t="str">
        <f t="shared" ca="1" si="294"/>
        <v>VIGENTE</v>
      </c>
      <c r="FN71" s="13">
        <v>44967</v>
      </c>
      <c r="FO71" s="14">
        <v>45576</v>
      </c>
      <c r="FP71" s="14">
        <f t="shared" si="353"/>
        <v>46305</v>
      </c>
      <c r="FQ71" s="65">
        <f t="shared" ca="1" si="295"/>
        <v>174</v>
      </c>
      <c r="FR71" s="15" t="str">
        <f t="shared" ca="1" si="296"/>
        <v>VIGENTE</v>
      </c>
      <c r="FS71" s="13">
        <v>45015</v>
      </c>
      <c r="FT71" s="14">
        <v>45678</v>
      </c>
      <c r="FU71" s="14">
        <f t="shared" ref="FU71:FU79" si="361">DATE(YEAR(FT71)+2,MONTH(FT71),DAY(FT71)-1)</f>
        <v>46407</v>
      </c>
      <c r="FV71" s="65">
        <f t="shared" ca="1" si="297"/>
        <v>276</v>
      </c>
      <c r="FW71" s="15" t="str">
        <f t="shared" ca="1" si="298"/>
        <v>VIGENTE</v>
      </c>
      <c r="FX71" s="13">
        <v>44924</v>
      </c>
      <c r="FY71" s="14">
        <v>45587</v>
      </c>
      <c r="FZ71" s="14">
        <f>DATE(YEAR(FY71)+2,MONTH(FY71),DAY(FY71)-1)</f>
        <v>46316</v>
      </c>
      <c r="GA71" s="65">
        <f t="shared" ca="1" si="299"/>
        <v>185</v>
      </c>
      <c r="GB71" s="15" t="str">
        <f t="shared" ca="1" si="300"/>
        <v>VIGENTE</v>
      </c>
      <c r="GC71" s="13">
        <v>44735</v>
      </c>
      <c r="GD71" s="14">
        <v>45469</v>
      </c>
      <c r="GE71" s="14">
        <f t="shared" si="354"/>
        <v>46198</v>
      </c>
      <c r="GF71" s="65">
        <f t="shared" ca="1" si="301"/>
        <v>67</v>
      </c>
      <c r="GG71" s="15" t="str">
        <f t="shared" ca="1" si="302"/>
        <v>POR VENCER</v>
      </c>
      <c r="GH71" s="13">
        <v>45022</v>
      </c>
      <c r="GI71" s="14">
        <v>45716</v>
      </c>
      <c r="GJ71" s="14">
        <f>DATE(YEAR(GI71)+2,MONTH(GI71),DAY(GI71)-1)</f>
        <v>46445</v>
      </c>
      <c r="GK71" s="65">
        <f t="shared" ca="1" si="303"/>
        <v>314</v>
      </c>
      <c r="GL71" s="15" t="str">
        <f t="shared" ca="1" si="304"/>
        <v>VIGENTE</v>
      </c>
      <c r="GM71" s="13">
        <v>45259</v>
      </c>
      <c r="GN71" s="14">
        <v>45923</v>
      </c>
      <c r="GO71" s="14">
        <f>DATE(YEAR(GN71)+2,MONTH(GN71),DAY(GN71))</f>
        <v>46653</v>
      </c>
      <c r="GP71" s="65">
        <f t="shared" ca="1" si="305"/>
        <v>522</v>
      </c>
      <c r="GQ71" s="15" t="str">
        <f t="shared" ca="1" si="306"/>
        <v>VIGENTE</v>
      </c>
      <c r="GR71" s="14">
        <v>44572</v>
      </c>
      <c r="GS71" s="14">
        <v>45224</v>
      </c>
      <c r="GT71" s="14">
        <f t="shared" si="307"/>
        <v>47051</v>
      </c>
      <c r="GU71" s="65">
        <f t="shared" ca="1" si="172"/>
        <v>920</v>
      </c>
      <c r="GV71" s="15" t="str">
        <f t="shared" ca="1" si="308"/>
        <v>VIGENTE</v>
      </c>
      <c r="GW71" s="13">
        <v>44574</v>
      </c>
      <c r="GX71" s="14">
        <v>44952</v>
      </c>
      <c r="GY71" s="14">
        <f t="shared" si="309"/>
        <v>46778</v>
      </c>
      <c r="GZ71" s="65">
        <f t="shared" ca="1" si="310"/>
        <v>647</v>
      </c>
      <c r="HA71" s="15" t="str">
        <f t="shared" ca="1" si="311"/>
        <v>VIGENTE</v>
      </c>
      <c r="HB71" s="13">
        <v>44566</v>
      </c>
      <c r="HC71" s="14">
        <v>45251</v>
      </c>
      <c r="HD71" s="14">
        <f t="shared" si="312"/>
        <v>47078</v>
      </c>
      <c r="HE71" s="65">
        <f t="shared" ca="1" si="313"/>
        <v>947</v>
      </c>
      <c r="HF71" s="15" t="str">
        <f t="shared" ca="1" si="314"/>
        <v>VIGENTE</v>
      </c>
      <c r="HG71" s="16"/>
      <c r="HH71" s="14">
        <v>44887</v>
      </c>
      <c r="HI71" s="14">
        <f t="shared" ref="HI71:HI82" si="362">DATE(YEAR(HH71)+5,MONTH(HH71),DAY(HH71))</f>
        <v>46713</v>
      </c>
      <c r="HJ71" s="65">
        <f t="shared" ref="HJ71:HJ82" ca="1" si="363">HI71-TODAY()</f>
        <v>582</v>
      </c>
      <c r="HK71" s="15" t="str">
        <f t="shared" ca="1" si="217"/>
        <v>VIGENTE</v>
      </c>
      <c r="HL71" s="13">
        <v>44630</v>
      </c>
      <c r="HM71" s="14">
        <v>45414</v>
      </c>
      <c r="HN71" s="14">
        <f>DATE(YEAR(HM71)+5,MONTH(HM71),DAY(HM71))</f>
        <v>47240</v>
      </c>
      <c r="HO71" s="65">
        <f ca="1">HN71-TODAY()</f>
        <v>1109</v>
      </c>
      <c r="HP71" s="15" t="str">
        <f t="shared" ca="1" si="221"/>
        <v>VIGENTE</v>
      </c>
      <c r="HQ71" s="12"/>
      <c r="HR71" s="12"/>
      <c r="HS71" s="14"/>
      <c r="HT71" s="12"/>
      <c r="HU71" s="15" t="str">
        <f t="shared" si="315"/>
        <v>NO APLICA</v>
      </c>
      <c r="HV71" s="13">
        <v>44560</v>
      </c>
      <c r="HW71" s="14">
        <v>45243</v>
      </c>
      <c r="HX71" s="14">
        <f>DATE(YEAR(HW71)+5,MONTH(HW71),DAY(HW71))</f>
        <v>47070</v>
      </c>
      <c r="HY71" s="65">
        <f ca="1">HX71-TODAY()</f>
        <v>939</v>
      </c>
      <c r="HZ71" s="15" t="str">
        <f t="shared" ca="1" si="316"/>
        <v>VIGENTE</v>
      </c>
      <c r="IA71" s="13">
        <v>44557</v>
      </c>
      <c r="IB71" s="14">
        <v>45234</v>
      </c>
      <c r="IC71" s="14">
        <f>DATE(YEAR(IB71)+5,MONTH(IB71),DAY(IB71))</f>
        <v>47061</v>
      </c>
      <c r="ID71" s="65">
        <f ca="1">IC71-TODAY()</f>
        <v>930</v>
      </c>
      <c r="IE71" s="15" t="str">
        <f t="shared" ca="1" si="317"/>
        <v>VIGENTE</v>
      </c>
      <c r="IF71" s="13">
        <v>44510</v>
      </c>
      <c r="IG71" s="14">
        <v>45236</v>
      </c>
      <c r="IH71" s="14">
        <f>DATE(YEAR(IG71)+5,MONTH(IG71),DAY(IG71))</f>
        <v>47063</v>
      </c>
      <c r="II71" s="65">
        <f ca="1">IH71-TODAY()</f>
        <v>932</v>
      </c>
      <c r="IJ71" s="15" t="str">
        <f t="shared" ca="1" si="318"/>
        <v>VIGENTE</v>
      </c>
      <c r="IK71" s="14">
        <v>44795</v>
      </c>
      <c r="IL71" s="14">
        <v>45476</v>
      </c>
      <c r="IM71" s="14">
        <f>DATE(YEAR(IL71)+5,MONTH(IL71),DAY(IL71))</f>
        <v>47302</v>
      </c>
      <c r="IN71" s="65">
        <f ca="1">IM71-TODAY()</f>
        <v>1171</v>
      </c>
      <c r="IO71" s="15" t="str">
        <f t="shared" ca="1" si="319"/>
        <v>VIGENTE</v>
      </c>
      <c r="IP71" s="13">
        <v>44795</v>
      </c>
      <c r="IQ71" s="14">
        <v>45490</v>
      </c>
      <c r="IR71" s="14">
        <f>DATE(YEAR(IQ71)+5,MONTH(IQ71),DAY(IQ71))</f>
        <v>47316</v>
      </c>
      <c r="IS71" s="65">
        <f ca="1">IR71-TODAY()</f>
        <v>1185</v>
      </c>
      <c r="IT71" s="15" t="str">
        <f t="shared" ca="1" si="320"/>
        <v>VIGENTE</v>
      </c>
      <c r="IU71" s="13">
        <v>44510</v>
      </c>
      <c r="IV71" s="14">
        <v>45233</v>
      </c>
      <c r="IW71" s="14">
        <f>DATE(YEAR(IV71)+5,MONTH(IV71),DAY(IV71))</f>
        <v>47060</v>
      </c>
      <c r="IX71" s="65">
        <f ca="1">IW71-TODAY()</f>
        <v>929</v>
      </c>
      <c r="IY71" s="15" t="str">
        <f t="shared" ca="1" si="321"/>
        <v>VIGENTE</v>
      </c>
      <c r="IZ71" s="13">
        <v>44557</v>
      </c>
      <c r="JA71" s="14">
        <v>45257</v>
      </c>
      <c r="JB71" s="14">
        <f>DATE(YEAR(JA71)+5,MONTH(JA71),DAY(JA71))</f>
        <v>47084</v>
      </c>
      <c r="JC71" s="65">
        <f ca="1">JB71-TODAY()</f>
        <v>953</v>
      </c>
      <c r="JD71" s="15" t="str">
        <f t="shared" ca="1" si="322"/>
        <v>VIGENTE</v>
      </c>
      <c r="JE71" s="13"/>
      <c r="JF71" s="13"/>
      <c r="JG71" s="14"/>
      <c r="JH71" s="65"/>
      <c r="JI71" s="15" t="str">
        <f t="shared" si="323"/>
        <v>NO APLICA</v>
      </c>
      <c r="JJ71" s="16"/>
      <c r="JK71" s="16"/>
      <c r="JL71" s="16"/>
      <c r="JM71" s="15" t="str">
        <f t="shared" si="324"/>
        <v>NO APLICA</v>
      </c>
      <c r="JN71" s="16"/>
      <c r="JO71" s="16"/>
      <c r="JP71" s="16"/>
      <c r="JQ71" s="15" t="str">
        <f t="shared" si="325"/>
        <v>NO APLICA</v>
      </c>
      <c r="JR71" s="16"/>
      <c r="JS71" s="16"/>
      <c r="JT71" s="16"/>
      <c r="JU71" s="16"/>
      <c r="JV71" s="15" t="str">
        <f t="shared" si="326"/>
        <v>NO APLICA</v>
      </c>
      <c r="JW71" s="15"/>
      <c r="JX71" s="15"/>
      <c r="JY71" s="15"/>
      <c r="JZ71" s="15"/>
      <c r="KA71" s="15" t="str">
        <f t="shared" si="327"/>
        <v>NO APLICA</v>
      </c>
      <c r="KB71" s="12"/>
      <c r="KC71" s="14"/>
      <c r="KD71" s="65"/>
      <c r="KE71" s="15" t="str">
        <f t="shared" si="328"/>
        <v>NO APLICA</v>
      </c>
      <c r="KF71" s="12"/>
      <c r="KG71" s="14"/>
      <c r="KH71" s="65"/>
      <c r="KI71" s="15" t="str">
        <f t="shared" si="345"/>
        <v>NO APLICA</v>
      </c>
      <c r="KJ71" s="12"/>
      <c r="KK71" s="14"/>
      <c r="KL71" s="65"/>
      <c r="KM71" s="15" t="str">
        <f t="shared" si="329"/>
        <v>NO APLICA</v>
      </c>
      <c r="KN71" s="12"/>
      <c r="KO71" s="14"/>
      <c r="KP71" s="65"/>
      <c r="KQ71" s="15" t="str">
        <f t="shared" si="346"/>
        <v>NO APLICA</v>
      </c>
      <c r="KR71" s="12"/>
      <c r="KS71" s="16"/>
      <c r="KT71" s="14"/>
      <c r="KU71" s="65"/>
      <c r="KV71" s="15" t="str">
        <f t="shared" si="355"/>
        <v>NO APLICA</v>
      </c>
      <c r="KW71" s="16"/>
      <c r="KX71" s="14"/>
      <c r="KY71" s="65"/>
      <c r="KZ71" s="15" t="str">
        <f t="shared" si="347"/>
        <v>NO APLICA</v>
      </c>
      <c r="LA71" s="16"/>
      <c r="LB71" s="14">
        <v>45511</v>
      </c>
      <c r="LC71" s="14">
        <f>DATE(YEAR(LB71)+2,MONTH(LB71),DAY(LB71))</f>
        <v>46241</v>
      </c>
      <c r="LD71" s="65">
        <f ca="1">LC71-TODAY()</f>
        <v>110</v>
      </c>
      <c r="LE71" s="15" t="str">
        <f t="shared" ca="1" si="330"/>
        <v>VIGENTE</v>
      </c>
      <c r="LF71" s="15"/>
      <c r="LG71" s="15"/>
      <c r="LH71" s="14"/>
      <c r="LI71" s="65"/>
      <c r="LJ71" s="15" t="str">
        <f t="shared" si="356"/>
        <v>NO APLICA</v>
      </c>
      <c r="LK71" s="12"/>
      <c r="LL71" s="16"/>
      <c r="LM71" s="14"/>
      <c r="LN71" s="65"/>
      <c r="LO71" s="15" t="str">
        <f t="shared" si="348"/>
        <v>NO APLICA</v>
      </c>
      <c r="LP71" s="14">
        <v>44984</v>
      </c>
      <c r="LQ71" s="14">
        <v>44986</v>
      </c>
      <c r="LR71" s="14">
        <f>DATE(YEAR(LQ71)+5,MONTH(LQ71),DAY(LQ71))</f>
        <v>46813</v>
      </c>
      <c r="LS71" s="65">
        <f ca="1">LR71-TODAY()</f>
        <v>682</v>
      </c>
      <c r="LT71" s="15" t="str">
        <f t="shared" ca="1" si="349"/>
        <v>VIGENTE</v>
      </c>
      <c r="LU71" s="14">
        <v>44987</v>
      </c>
      <c r="LV71" s="14">
        <v>44988</v>
      </c>
      <c r="LW71" s="14">
        <f>DATE(YEAR(LV71)+5,MONTH(LV71),DAY(LV71))</f>
        <v>46815</v>
      </c>
      <c r="LX71" s="65">
        <f ca="1">LW71-TODAY()</f>
        <v>684</v>
      </c>
      <c r="LY71" s="15" t="str">
        <f t="shared" ca="1" si="350"/>
        <v>VIGENTE</v>
      </c>
      <c r="LZ71" s="12"/>
      <c r="MA71" s="12"/>
      <c r="MB71" s="14"/>
      <c r="MC71" s="65"/>
      <c r="MD71" s="15" t="str">
        <f t="shared" si="331"/>
        <v>NO APLICA</v>
      </c>
      <c r="ME71" s="12"/>
      <c r="MF71" s="12"/>
      <c r="MG71" s="14"/>
      <c r="MH71" s="65"/>
      <c r="MI71" s="15" t="str">
        <f t="shared" si="332"/>
        <v>NO APLICA</v>
      </c>
      <c r="MJ71" s="12"/>
      <c r="MK71" s="14"/>
      <c r="ML71" s="65"/>
      <c r="MM71" s="15" t="str">
        <f t="shared" si="333"/>
        <v>NO APLICA</v>
      </c>
      <c r="MN71" s="12"/>
      <c r="MO71" s="14"/>
      <c r="MP71" s="12"/>
      <c r="MQ71" s="15" t="str">
        <f t="shared" si="334"/>
        <v>NO APLICA</v>
      </c>
      <c r="MR71" s="12"/>
      <c r="MS71" s="16"/>
      <c r="MT71" s="14"/>
      <c r="MU71" s="65"/>
      <c r="MV71" s="15" t="str">
        <f t="shared" si="335"/>
        <v>NO APLICA</v>
      </c>
      <c r="MW71" s="12"/>
      <c r="MX71" s="16"/>
      <c r="MY71" s="14"/>
      <c r="MZ71" s="65"/>
      <c r="NA71" s="15" t="str">
        <f t="shared" si="336"/>
        <v>NO APLICA</v>
      </c>
      <c r="NB71" s="12"/>
      <c r="NC71" s="16"/>
      <c r="ND71" s="14"/>
      <c r="NE71" s="65"/>
      <c r="NF71" s="15" t="str">
        <f t="shared" si="337"/>
        <v>NO APLICA</v>
      </c>
      <c r="NG71" s="12"/>
      <c r="NH71" s="12"/>
      <c r="NI71" s="14"/>
      <c r="NJ71" s="65"/>
      <c r="NK71" s="15" t="str">
        <f t="shared" si="338"/>
        <v>NO APLICA</v>
      </c>
      <c r="NL71" s="12"/>
      <c r="NM71" s="12"/>
      <c r="NN71" s="12"/>
      <c r="NO71" s="12"/>
      <c r="NP71" s="15" t="str">
        <f t="shared" si="339"/>
        <v>NO APLICA</v>
      </c>
      <c r="NQ71" s="16"/>
      <c r="NR71" s="16"/>
      <c r="NS71" s="14"/>
      <c r="NT71" s="65"/>
      <c r="NU71" s="15" t="str">
        <f t="shared" si="340"/>
        <v>NO APLICA</v>
      </c>
      <c r="NV71" s="16"/>
      <c r="NW71" s="16"/>
      <c r="NX71" s="16"/>
      <c r="NY71" s="16"/>
      <c r="NZ71" s="15" t="str">
        <f t="shared" si="341"/>
        <v>NO APLICA</v>
      </c>
    </row>
    <row r="72" spans="1:390" ht="15.6" thickTop="1" thickBot="1" x14ac:dyDescent="0.35">
      <c r="A72" s="9">
        <v>938</v>
      </c>
      <c r="B72" s="10" t="s">
        <v>319</v>
      </c>
      <c r="C72" s="21" t="s">
        <v>104</v>
      </c>
      <c r="D72" s="64" t="s">
        <v>110</v>
      </c>
      <c r="E72" s="16"/>
      <c r="F72" s="16"/>
      <c r="G72" s="16"/>
      <c r="H72" s="16"/>
      <c r="I72" s="15" t="str">
        <f t="shared" si="235"/>
        <v>NO APLICA</v>
      </c>
      <c r="J72" s="16"/>
      <c r="K72" s="16"/>
      <c r="L72" s="16"/>
      <c r="M72" s="16"/>
      <c r="N72" s="15" t="str">
        <f t="shared" si="236"/>
        <v>NO APLICA</v>
      </c>
      <c r="O72" s="14">
        <v>45821</v>
      </c>
      <c r="P72" s="14">
        <v>45822</v>
      </c>
      <c r="Q72" s="14">
        <f>DATE(YEAR(P72)+2,MONTH(P72),DAY(P72)-1)</f>
        <v>46551</v>
      </c>
      <c r="R72" s="65">
        <f ca="1">Q72-TODAY()</f>
        <v>420</v>
      </c>
      <c r="S72" s="15" t="str">
        <f t="shared" ca="1" si="342"/>
        <v>VIGENTE</v>
      </c>
      <c r="T72" s="16" t="s">
        <v>320</v>
      </c>
      <c r="U72" s="14">
        <v>45692</v>
      </c>
      <c r="V72" s="14">
        <v>45693</v>
      </c>
      <c r="W72" s="14">
        <f t="shared" si="237"/>
        <v>47519</v>
      </c>
      <c r="X72" s="65">
        <f t="shared" ca="1" si="238"/>
        <v>1388</v>
      </c>
      <c r="Y72" s="15" t="str">
        <f t="shared" ca="1" si="239"/>
        <v>VIGENTE</v>
      </c>
      <c r="Z72" s="16"/>
      <c r="AA72" s="16"/>
      <c r="AB72" s="16"/>
      <c r="AC72" s="14"/>
      <c r="AD72" s="65"/>
      <c r="AE72" s="68" t="str">
        <f>IF(AD72&gt;=91,"VIGENTE",IF(AD72&gt;=1,"POR VENCER",IF(AD72&lt;=-1,"VENCIDA",IF(AB72=0,"PENDIENTE"))))</f>
        <v>PENDIENTE</v>
      </c>
      <c r="AF72" s="16"/>
      <c r="AG72" s="14">
        <v>45609</v>
      </c>
      <c r="AH72" s="14">
        <f>DATE(YEAR(AG72)+2,MONTH(AG72),DAY(AG72)-1)</f>
        <v>46338</v>
      </c>
      <c r="AI72" s="65">
        <f t="shared" ca="1" si="241"/>
        <v>207</v>
      </c>
      <c r="AJ72" s="15" t="str">
        <f t="shared" ca="1" si="213"/>
        <v>VIGENTE</v>
      </c>
      <c r="AK72" s="16"/>
      <c r="AL72" s="14">
        <v>45602</v>
      </c>
      <c r="AM72" s="14">
        <f>DATE(YEAR(AL72)+2,MONTH(AL72),DAY(AL72)-1)</f>
        <v>46331</v>
      </c>
      <c r="AN72" s="65">
        <f t="shared" ca="1" si="242"/>
        <v>200</v>
      </c>
      <c r="AO72" s="15" t="str">
        <f t="shared" ca="1" si="243"/>
        <v>VIGENTE</v>
      </c>
      <c r="AP72" s="16"/>
      <c r="AQ72" s="14">
        <v>45640</v>
      </c>
      <c r="AR72" s="14">
        <f>DATE(YEAR(AQ72)+2,MONTH(AQ72),DAY(AQ72)-1)</f>
        <v>46369</v>
      </c>
      <c r="AS72" s="65">
        <f t="shared" ca="1" si="244"/>
        <v>238</v>
      </c>
      <c r="AT72" s="15" t="str">
        <f t="shared" ca="1" si="245"/>
        <v>VIGENTE</v>
      </c>
      <c r="AU72" s="16"/>
      <c r="AV72" s="14">
        <v>45644</v>
      </c>
      <c r="AW72" s="14">
        <f>DATE(YEAR(AV72)+2,MONTH(AV72),DAY(AV72)-1)</f>
        <v>46373</v>
      </c>
      <c r="AX72" s="65">
        <f t="shared" ca="1" si="246"/>
        <v>242</v>
      </c>
      <c r="AY72" s="15" t="str">
        <f t="shared" ca="1" si="247"/>
        <v>VIGENTE</v>
      </c>
      <c r="AZ72" s="14"/>
      <c r="BA72" s="14">
        <v>45603</v>
      </c>
      <c r="BB72" s="14">
        <f t="shared" si="351"/>
        <v>46332</v>
      </c>
      <c r="BC72" s="65">
        <f t="shared" ca="1" si="248"/>
        <v>201</v>
      </c>
      <c r="BD72" s="15" t="str">
        <f t="shared" ca="1" si="249"/>
        <v>VIGENTE</v>
      </c>
      <c r="BE72" s="16"/>
      <c r="BF72" s="14">
        <v>45643</v>
      </c>
      <c r="BG72" s="14">
        <f>DATE(YEAR(BF72)+2,MONTH(BF72),DAY(BF72)-1)</f>
        <v>46372</v>
      </c>
      <c r="BH72" s="65">
        <f t="shared" ca="1" si="250"/>
        <v>241</v>
      </c>
      <c r="BI72" s="15" t="str">
        <f t="shared" ca="1" si="251"/>
        <v>VIGENTE</v>
      </c>
      <c r="BJ72" s="14"/>
      <c r="BK72" s="14">
        <v>45699</v>
      </c>
      <c r="BL72" s="14">
        <f>DATE(YEAR(BK72)+2,MONTH(BK72),DAY(BK72)-1)</f>
        <v>46428</v>
      </c>
      <c r="BM72" s="65">
        <f t="shared" ca="1" si="252"/>
        <v>297</v>
      </c>
      <c r="BN72" s="15" t="str">
        <f t="shared" ca="1" si="253"/>
        <v>VIGENTE</v>
      </c>
      <c r="BO72" s="14"/>
      <c r="BP72" s="14">
        <v>45701</v>
      </c>
      <c r="BQ72" s="14">
        <f>DATE(YEAR(BP72)+2,MONTH(BP72),DAY(BP72)-1)</f>
        <v>46430</v>
      </c>
      <c r="BR72" s="65">
        <f t="shared" ca="1" si="254"/>
        <v>299</v>
      </c>
      <c r="BS72" s="15" t="str">
        <f t="shared" ca="1" si="255"/>
        <v>VIGENTE</v>
      </c>
      <c r="BT72" s="16"/>
      <c r="BU72" s="14">
        <v>45695</v>
      </c>
      <c r="BV72" s="14">
        <f>DATE(YEAR(BU72)+2,MONTH(BU72),DAY(BU72)-1)</f>
        <v>46424</v>
      </c>
      <c r="BW72" s="65">
        <f t="shared" ca="1" si="256"/>
        <v>293</v>
      </c>
      <c r="BX72" s="15" t="str">
        <f t="shared" ca="1" si="257"/>
        <v>VIGENTE</v>
      </c>
      <c r="BY72" s="16"/>
      <c r="BZ72" s="14">
        <v>45730</v>
      </c>
      <c r="CA72" s="14">
        <f>DATE(YEAR(BZ72)+2,MONTH(BZ72),DAY(BZ72)-1)</f>
        <v>46459</v>
      </c>
      <c r="CB72" s="65">
        <f t="shared" ca="1" si="258"/>
        <v>328</v>
      </c>
      <c r="CC72" s="15" t="str">
        <f t="shared" ca="1" si="259"/>
        <v>VIGENTE</v>
      </c>
      <c r="CD72" s="16" t="s">
        <v>102</v>
      </c>
      <c r="CE72" s="14">
        <v>45722</v>
      </c>
      <c r="CF72" s="14">
        <v>45723</v>
      </c>
      <c r="CG72" s="14">
        <f t="shared" si="260"/>
        <v>47184</v>
      </c>
      <c r="CH72" s="65">
        <f t="shared" ca="1" si="261"/>
        <v>1053</v>
      </c>
      <c r="CI72" s="15" t="str">
        <f t="shared" ca="1" si="262"/>
        <v>VIGENTE</v>
      </c>
      <c r="CJ72" s="16"/>
      <c r="CK72" s="14">
        <v>45688</v>
      </c>
      <c r="CL72" s="14">
        <f t="shared" ref="CL72:CL80" si="364">DATE(YEAR(CK72)+2,MONTH(CK72),DAY(CK72)-1)</f>
        <v>46417</v>
      </c>
      <c r="CM72" s="65">
        <f t="shared" ca="1" si="263"/>
        <v>286</v>
      </c>
      <c r="CN72" s="15" t="str">
        <f t="shared" ca="1" si="264"/>
        <v>VIGENTE</v>
      </c>
      <c r="CO72" s="16"/>
      <c r="CP72" s="14">
        <v>45684</v>
      </c>
      <c r="CQ72" s="14">
        <f t="shared" si="357"/>
        <v>46413</v>
      </c>
      <c r="CR72" s="65">
        <f t="shared" ca="1" si="265"/>
        <v>282</v>
      </c>
      <c r="CS72" s="15" t="str">
        <f t="shared" ca="1" si="266"/>
        <v>VIGENTE</v>
      </c>
      <c r="CT72" s="16"/>
      <c r="CU72" s="14">
        <v>45639</v>
      </c>
      <c r="CV72" s="14">
        <f t="shared" si="358"/>
        <v>46368</v>
      </c>
      <c r="CW72" s="65">
        <f t="shared" ca="1" si="267"/>
        <v>237</v>
      </c>
      <c r="CX72" s="15" t="str">
        <f t="shared" ca="1" si="268"/>
        <v>VIGENTE</v>
      </c>
      <c r="CY72" s="14"/>
      <c r="CZ72" s="14">
        <v>45646</v>
      </c>
      <c r="DA72" s="14">
        <f t="shared" si="359"/>
        <v>46375</v>
      </c>
      <c r="DB72" s="65">
        <f t="shared" ca="1" si="269"/>
        <v>244</v>
      </c>
      <c r="DC72" s="15" t="str">
        <f t="shared" ca="1" si="270"/>
        <v>VIGENTE</v>
      </c>
      <c r="DD72" s="14"/>
      <c r="DE72" s="14">
        <v>45689</v>
      </c>
      <c r="DF72" s="14">
        <f>DATE(YEAR(DE72)+2,MONTH(DE72),DAY(DE72)-1)</f>
        <v>46418</v>
      </c>
      <c r="DG72" s="65">
        <f t="shared" ca="1" si="271"/>
        <v>287</v>
      </c>
      <c r="DH72" s="15" t="str">
        <f t="shared" ca="1" si="272"/>
        <v>VIGENTE</v>
      </c>
      <c r="DI72" s="16"/>
      <c r="DJ72" s="14">
        <v>45696</v>
      </c>
      <c r="DK72" s="14">
        <f>DATE(YEAR(DJ72)+2,MONTH(DJ72),DAY(DJ72)-1)</f>
        <v>46425</v>
      </c>
      <c r="DL72" s="65">
        <f t="shared" ca="1" si="273"/>
        <v>294</v>
      </c>
      <c r="DM72" s="15" t="str">
        <f t="shared" ca="1" si="274"/>
        <v>VIGENTE</v>
      </c>
      <c r="DN72" s="14"/>
      <c r="DO72" s="14">
        <v>45731</v>
      </c>
      <c r="DP72" s="14">
        <f>DATE(YEAR(DO72)+2,MONTH(DO72),DAY(DO72)-1)</f>
        <v>46460</v>
      </c>
      <c r="DQ72" s="65">
        <f t="shared" ca="1" si="275"/>
        <v>329</v>
      </c>
      <c r="DR72" s="15" t="str">
        <f t="shared" ca="1" si="276"/>
        <v>VIGENTE</v>
      </c>
      <c r="DS72" s="16"/>
      <c r="DT72" s="14">
        <v>45619</v>
      </c>
      <c r="DU72" s="14">
        <f>DATE(YEAR(DT72)+2,MONTH(DT72),DAY(DT72)-1)</f>
        <v>46348</v>
      </c>
      <c r="DV72" s="65">
        <f t="shared" ca="1" si="277"/>
        <v>217</v>
      </c>
      <c r="DW72" s="15" t="str">
        <f t="shared" ca="1" si="278"/>
        <v>VIGENTE</v>
      </c>
      <c r="DX72" s="14"/>
      <c r="DY72" s="14">
        <v>45663</v>
      </c>
      <c r="DZ72" s="14">
        <f t="shared" si="343"/>
        <v>46392</v>
      </c>
      <c r="EA72" s="65">
        <f t="shared" ca="1" si="279"/>
        <v>261</v>
      </c>
      <c r="EB72" s="15" t="str">
        <f t="shared" ca="1" si="280"/>
        <v>VIGENTE</v>
      </c>
      <c r="EC72" s="14"/>
      <c r="ED72" s="14">
        <v>45642</v>
      </c>
      <c r="EE72" s="14">
        <f>DATE(YEAR(ED72)+2,MONTH(ED72),DAY(ED72)-1)</f>
        <v>46371</v>
      </c>
      <c r="EF72" s="65">
        <f t="shared" ca="1" si="281"/>
        <v>240</v>
      </c>
      <c r="EG72" s="15" t="str">
        <f t="shared" ca="1" si="282"/>
        <v>VIGENTE</v>
      </c>
      <c r="EH72" s="14">
        <v>45675</v>
      </c>
      <c r="EI72" s="14">
        <v>45806</v>
      </c>
      <c r="EJ72" s="14">
        <v>45807</v>
      </c>
      <c r="EK72" s="14">
        <v>45808</v>
      </c>
      <c r="EL72" s="14">
        <f t="shared" si="344"/>
        <v>46173</v>
      </c>
      <c r="EM72" s="65">
        <f t="shared" ca="1" si="283"/>
        <v>42</v>
      </c>
      <c r="EN72" s="15" t="str">
        <f t="shared" ca="1" si="284"/>
        <v>POR VENCER</v>
      </c>
      <c r="EO72" s="14"/>
      <c r="EP72" s="14">
        <v>45612</v>
      </c>
      <c r="EQ72" s="14">
        <f t="shared" si="360"/>
        <v>46341</v>
      </c>
      <c r="ER72" s="65">
        <f t="shared" ca="1" si="285"/>
        <v>210</v>
      </c>
      <c r="ES72" s="15" t="str">
        <f t="shared" ca="1" si="286"/>
        <v>VIGENTE</v>
      </c>
      <c r="ET72" s="16"/>
      <c r="EU72" s="14">
        <v>45677</v>
      </c>
      <c r="EV72" s="14">
        <f t="shared" si="352"/>
        <v>46406</v>
      </c>
      <c r="EW72" s="65">
        <f t="shared" ca="1" si="287"/>
        <v>275</v>
      </c>
      <c r="EX72" s="15" t="str">
        <f t="shared" ca="1" si="288"/>
        <v>VIGENTE</v>
      </c>
      <c r="EY72" s="16"/>
      <c r="EZ72" s="14">
        <v>45610</v>
      </c>
      <c r="FA72" s="14">
        <f>DATE(YEAR(EZ72)+2,MONTH(EZ72),DAY(EZ72)-1)</f>
        <v>46339</v>
      </c>
      <c r="FB72" s="65">
        <f t="shared" ca="1" si="289"/>
        <v>208</v>
      </c>
      <c r="FC72" s="15" t="str">
        <f t="shared" ca="1" si="290"/>
        <v>VIGENTE</v>
      </c>
      <c r="FD72" s="16"/>
      <c r="FE72" s="14">
        <v>45611</v>
      </c>
      <c r="FF72" s="14">
        <f>DATE(YEAR(FE72)+2,MONTH(FE72),DAY(FE72)-1)</f>
        <v>46340</v>
      </c>
      <c r="FG72" s="65">
        <f t="shared" ca="1" si="291"/>
        <v>209</v>
      </c>
      <c r="FH72" s="15" t="str">
        <f t="shared" ca="1" si="292"/>
        <v>VIGENTE</v>
      </c>
      <c r="FI72" s="16"/>
      <c r="FJ72" s="14">
        <v>45668</v>
      </c>
      <c r="FK72" s="14">
        <f>DATE(YEAR(FJ72)+2,MONTH(FJ72),DAY(FJ72)-1)</f>
        <v>46397</v>
      </c>
      <c r="FL72" s="65">
        <f t="shared" ca="1" si="293"/>
        <v>266</v>
      </c>
      <c r="FM72" s="15" t="str">
        <f t="shared" ca="1" si="294"/>
        <v>VIGENTE</v>
      </c>
      <c r="FN72" s="14"/>
      <c r="FO72" s="14">
        <v>45637</v>
      </c>
      <c r="FP72" s="14">
        <f t="shared" si="353"/>
        <v>46366</v>
      </c>
      <c r="FQ72" s="65">
        <f t="shared" ca="1" si="295"/>
        <v>235</v>
      </c>
      <c r="FR72" s="15" t="str">
        <f t="shared" ca="1" si="296"/>
        <v>VIGENTE</v>
      </c>
      <c r="FS72" s="14"/>
      <c r="FT72" s="14">
        <v>45605</v>
      </c>
      <c r="FU72" s="14">
        <f t="shared" si="361"/>
        <v>46334</v>
      </c>
      <c r="FV72" s="65">
        <f t="shared" ca="1" si="297"/>
        <v>203</v>
      </c>
      <c r="FW72" s="15" t="str">
        <f t="shared" ca="1" si="298"/>
        <v>VIGENTE</v>
      </c>
      <c r="FX72" s="14"/>
      <c r="FY72" s="14">
        <v>45616</v>
      </c>
      <c r="FZ72" s="14">
        <f>DATE(YEAR(FY72)+2,MONTH(FY72),DAY(FY72)-1)</f>
        <v>46345</v>
      </c>
      <c r="GA72" s="65">
        <f t="shared" ca="1" si="299"/>
        <v>214</v>
      </c>
      <c r="GB72" s="15" t="str">
        <f t="shared" ca="1" si="300"/>
        <v>VIGENTE</v>
      </c>
      <c r="GC72" s="14"/>
      <c r="GD72" s="14">
        <v>45626</v>
      </c>
      <c r="GE72" s="14">
        <f t="shared" si="354"/>
        <v>46355</v>
      </c>
      <c r="GF72" s="65">
        <f t="shared" ca="1" si="301"/>
        <v>224</v>
      </c>
      <c r="GG72" s="15" t="str">
        <f t="shared" ca="1" si="302"/>
        <v>VIGENTE</v>
      </c>
      <c r="GH72" s="14"/>
      <c r="GI72" s="14">
        <v>45672</v>
      </c>
      <c r="GJ72" s="14">
        <f>DATE(YEAR(GI72)+2,MONTH(GI72),DAY(GI72)-1)</f>
        <v>46401</v>
      </c>
      <c r="GK72" s="65">
        <f t="shared" ca="1" si="303"/>
        <v>270</v>
      </c>
      <c r="GL72" s="15" t="str">
        <f t="shared" ca="1" si="304"/>
        <v>VIGENTE</v>
      </c>
      <c r="GM72" s="14"/>
      <c r="GN72" s="14">
        <v>45608</v>
      </c>
      <c r="GO72" s="14">
        <f>DATE(YEAR(GN72)+2,MONTH(GN72),DAY(GN72)-1)</f>
        <v>46337</v>
      </c>
      <c r="GP72" s="65">
        <f t="shared" ca="1" si="305"/>
        <v>206</v>
      </c>
      <c r="GQ72" s="15" t="str">
        <f t="shared" ca="1" si="306"/>
        <v>VIGENTE</v>
      </c>
      <c r="GR72" s="14"/>
      <c r="GS72" s="16"/>
      <c r="GT72" s="14">
        <f t="shared" si="307"/>
        <v>1827</v>
      </c>
      <c r="GU72" s="65">
        <f t="shared" ca="1" si="172"/>
        <v>-44304</v>
      </c>
      <c r="GV72" s="15" t="str">
        <f ca="1">IF(GU72&gt;=61,"VIGENTE",IF(GU72&gt;=1,"POR VENCER",IF(GU72&lt;=-1,"PROGRAMAR",IF(GS72=0,"NO APLICA"))))</f>
        <v>PROGRAMAR</v>
      </c>
      <c r="GW72" s="14"/>
      <c r="GX72" s="16"/>
      <c r="GY72" s="14">
        <f t="shared" si="309"/>
        <v>1827</v>
      </c>
      <c r="GZ72" s="65">
        <f t="shared" ca="1" si="310"/>
        <v>-44304</v>
      </c>
      <c r="HA72" s="15" t="str">
        <f ca="1">IF(GZ72&gt;=61,"VIGENTE",IF(GZ72&gt;=1,"POR VENCER",IF(GZ72&lt;=-1,"PROGRAMAR",IF(GX72=0,"NO APLICA"))))</f>
        <v>PROGRAMAR</v>
      </c>
      <c r="HB72" s="16"/>
      <c r="HC72" s="16"/>
      <c r="HD72" s="14">
        <f t="shared" si="312"/>
        <v>1827</v>
      </c>
      <c r="HE72" s="65">
        <f t="shared" ca="1" si="313"/>
        <v>-44304</v>
      </c>
      <c r="HF72" s="15" t="str">
        <f ca="1">IF(HE72&gt;=61,"VIGENTE",IF(HE72&gt;=1,"POR VENCER",IF(HE72&lt;=-1,"PROGRAMAR",IF(HC72=0,"NO APLICA"))))</f>
        <v>PROGRAMAR</v>
      </c>
      <c r="HG72" s="16"/>
      <c r="HH72" s="16"/>
      <c r="HI72" s="14">
        <f t="shared" si="362"/>
        <v>1827</v>
      </c>
      <c r="HJ72" s="65">
        <f t="shared" ca="1" si="363"/>
        <v>-44304</v>
      </c>
      <c r="HK72" s="15" t="str">
        <f ca="1">IF(HJ72&gt;=61,"VIGENTE",IF(HJ72&gt;=1,"POR VENCER",IF(HJ72&lt;=-1,"PROGRAMAR",IF(HH72=0,"NO APLICA"))))</f>
        <v>PROGRAMAR</v>
      </c>
      <c r="HL72" s="16"/>
      <c r="HM72" s="16"/>
      <c r="HN72" s="16"/>
      <c r="HO72" s="16"/>
      <c r="HP72" s="15" t="str">
        <f t="shared" si="221"/>
        <v>NO APLICA</v>
      </c>
      <c r="HQ72" s="16"/>
      <c r="HR72" s="16"/>
      <c r="HS72" s="14"/>
      <c r="HT72" s="16"/>
      <c r="HU72" s="15" t="str">
        <f t="shared" si="315"/>
        <v>NO APLICA</v>
      </c>
      <c r="HV72" s="16"/>
      <c r="HW72" s="16"/>
      <c r="HX72" s="16"/>
      <c r="HY72" s="16"/>
      <c r="HZ72" s="15" t="str">
        <f t="shared" si="316"/>
        <v>NO APLICA</v>
      </c>
      <c r="IA72" s="16"/>
      <c r="IB72" s="16"/>
      <c r="IC72" s="16"/>
      <c r="ID72" s="16"/>
      <c r="IE72" s="15" t="str">
        <f t="shared" si="317"/>
        <v>NO APLICA</v>
      </c>
      <c r="IF72" s="16"/>
      <c r="IG72" s="16"/>
      <c r="IH72" s="16"/>
      <c r="II72" s="16"/>
      <c r="IJ72" s="15" t="str">
        <f t="shared" si="318"/>
        <v>NO APLICA</v>
      </c>
      <c r="IK72" s="16"/>
      <c r="IL72" s="16"/>
      <c r="IM72" s="16"/>
      <c r="IN72" s="16"/>
      <c r="IO72" s="15" t="str">
        <f t="shared" si="319"/>
        <v>NO APLICA</v>
      </c>
      <c r="IP72" s="16"/>
      <c r="IQ72" s="16"/>
      <c r="IR72" s="16"/>
      <c r="IS72" s="16"/>
      <c r="IT72" s="15" t="str">
        <f t="shared" si="320"/>
        <v>NO APLICA</v>
      </c>
      <c r="IU72" s="16"/>
      <c r="IV72" s="16"/>
      <c r="IW72" s="16"/>
      <c r="IX72" s="16"/>
      <c r="IY72" s="15" t="str">
        <f t="shared" si="321"/>
        <v>NO APLICA</v>
      </c>
      <c r="IZ72" s="16"/>
      <c r="JA72" s="16"/>
      <c r="JB72" s="16"/>
      <c r="JC72" s="16"/>
      <c r="JD72" s="15" t="str">
        <f t="shared" si="322"/>
        <v>NO APLICA</v>
      </c>
      <c r="JE72" s="16"/>
      <c r="JF72" s="16"/>
      <c r="JG72" s="16"/>
      <c r="JH72" s="16"/>
      <c r="JI72" s="15" t="str">
        <f t="shared" si="323"/>
        <v>NO APLICA</v>
      </c>
      <c r="JJ72" s="16"/>
      <c r="JK72" s="16"/>
      <c r="JL72" s="16"/>
      <c r="JM72" s="15" t="str">
        <f t="shared" si="324"/>
        <v>NO APLICA</v>
      </c>
      <c r="JN72" s="16"/>
      <c r="JO72" s="16"/>
      <c r="JP72" s="16"/>
      <c r="JQ72" s="15" t="str">
        <f t="shared" si="325"/>
        <v>NO APLICA</v>
      </c>
      <c r="JR72" s="16"/>
      <c r="JS72" s="16"/>
      <c r="JT72" s="16"/>
      <c r="JU72" s="16"/>
      <c r="JV72" s="15" t="str">
        <f t="shared" si="326"/>
        <v>NO APLICA</v>
      </c>
      <c r="JW72" s="15"/>
      <c r="JX72" s="15"/>
      <c r="JY72" s="15"/>
      <c r="JZ72" s="15"/>
      <c r="KA72" s="15" t="str">
        <f t="shared" si="327"/>
        <v>NO APLICA</v>
      </c>
      <c r="KB72" s="16"/>
      <c r="KC72" s="16"/>
      <c r="KD72" s="16"/>
      <c r="KE72" s="15" t="str">
        <f t="shared" si="328"/>
        <v>NO APLICA</v>
      </c>
      <c r="KF72" s="16"/>
      <c r="KG72" s="16"/>
      <c r="KH72" s="16"/>
      <c r="KI72" s="15" t="str">
        <f t="shared" si="345"/>
        <v>NO APLICA</v>
      </c>
      <c r="KJ72" s="16"/>
      <c r="KK72" s="16"/>
      <c r="KL72" s="16"/>
      <c r="KM72" s="15" t="str">
        <f t="shared" si="329"/>
        <v>NO APLICA</v>
      </c>
      <c r="KN72" s="16"/>
      <c r="KO72" s="16"/>
      <c r="KP72" s="16"/>
      <c r="KQ72" s="15" t="str">
        <f t="shared" si="346"/>
        <v>NO APLICA</v>
      </c>
      <c r="KR72" s="16"/>
      <c r="KS72" s="16"/>
      <c r="KT72" s="16"/>
      <c r="KU72" s="16"/>
      <c r="KV72" s="15" t="str">
        <f t="shared" si="355"/>
        <v>NO APLICA</v>
      </c>
      <c r="KW72" s="16"/>
      <c r="KX72" s="16"/>
      <c r="KY72" s="16"/>
      <c r="KZ72" s="15" t="str">
        <f t="shared" si="347"/>
        <v>NO APLICA</v>
      </c>
      <c r="LA72" s="16"/>
      <c r="LB72" s="16"/>
      <c r="LC72" s="16"/>
      <c r="LD72" s="16"/>
      <c r="LE72" s="15" t="str">
        <f t="shared" si="330"/>
        <v>NO APLICA</v>
      </c>
      <c r="LF72" s="15"/>
      <c r="LG72" s="15"/>
      <c r="LH72" s="15"/>
      <c r="LI72" s="15"/>
      <c r="LJ72" s="15" t="str">
        <f t="shared" si="356"/>
        <v>NO APLICA</v>
      </c>
      <c r="LK72" s="16"/>
      <c r="LL72" s="16"/>
      <c r="LM72" s="16"/>
      <c r="LN72" s="16"/>
      <c r="LO72" s="15" t="str">
        <f t="shared" si="348"/>
        <v>NO APLICA</v>
      </c>
      <c r="LP72" s="16"/>
      <c r="LQ72" s="16"/>
      <c r="LR72" s="16"/>
      <c r="LS72" s="16"/>
      <c r="LT72" s="15" t="str">
        <f t="shared" si="349"/>
        <v>NO APLICA</v>
      </c>
      <c r="LU72" s="16"/>
      <c r="LV72" s="16"/>
      <c r="LW72" s="16"/>
      <c r="LX72" s="16"/>
      <c r="LY72" s="15" t="str">
        <f t="shared" si="350"/>
        <v>NO APLICA</v>
      </c>
      <c r="LZ72" s="16"/>
      <c r="MA72" s="16"/>
      <c r="MB72" s="16"/>
      <c r="MC72" s="16"/>
      <c r="MD72" s="15" t="str">
        <f t="shared" si="331"/>
        <v>NO APLICA</v>
      </c>
      <c r="ME72" s="16"/>
      <c r="MF72" s="16"/>
      <c r="MG72" s="16"/>
      <c r="MH72" s="16"/>
      <c r="MI72" s="15" t="str">
        <f t="shared" si="332"/>
        <v>NO APLICA</v>
      </c>
      <c r="MJ72" s="16"/>
      <c r="MK72" s="16"/>
      <c r="ML72" s="16"/>
      <c r="MM72" s="15" t="str">
        <f t="shared" si="333"/>
        <v>NO APLICA</v>
      </c>
      <c r="MN72" s="16"/>
      <c r="MO72" s="16"/>
      <c r="MP72" s="16"/>
      <c r="MQ72" s="15" t="str">
        <f t="shared" si="334"/>
        <v>NO APLICA</v>
      </c>
      <c r="MR72" s="16"/>
      <c r="MS72" s="16"/>
      <c r="MT72" s="16"/>
      <c r="MU72" s="16"/>
      <c r="MV72" s="15" t="str">
        <f t="shared" si="335"/>
        <v>NO APLICA</v>
      </c>
      <c r="MW72" s="16"/>
      <c r="MX72" s="16"/>
      <c r="MY72" s="16"/>
      <c r="MZ72" s="16"/>
      <c r="NA72" s="15" t="str">
        <f t="shared" si="336"/>
        <v>NO APLICA</v>
      </c>
      <c r="NB72" s="16"/>
      <c r="NC72" s="16"/>
      <c r="ND72" s="16"/>
      <c r="NE72" s="16"/>
      <c r="NF72" s="15" t="str">
        <f t="shared" si="337"/>
        <v>NO APLICA</v>
      </c>
      <c r="NG72" s="16"/>
      <c r="NH72" s="16"/>
      <c r="NI72" s="16"/>
      <c r="NJ72" s="16"/>
      <c r="NK72" s="15" t="str">
        <f t="shared" si="338"/>
        <v>NO APLICA</v>
      </c>
      <c r="NL72" s="16"/>
      <c r="NM72" s="16"/>
      <c r="NN72" s="16"/>
      <c r="NO72" s="16"/>
      <c r="NP72" s="15" t="str">
        <f t="shared" si="339"/>
        <v>NO APLICA</v>
      </c>
      <c r="NQ72" s="16"/>
      <c r="NR72" s="16"/>
      <c r="NS72" s="16"/>
      <c r="NT72" s="16"/>
      <c r="NU72" s="15" t="str">
        <f t="shared" si="340"/>
        <v>NO APLICA</v>
      </c>
      <c r="NV72" s="16"/>
      <c r="NW72" s="16"/>
      <c r="NX72" s="16"/>
      <c r="NY72" s="16"/>
      <c r="NZ72" s="15" t="str">
        <f t="shared" si="341"/>
        <v>NO APLICA</v>
      </c>
    </row>
    <row r="73" spans="1:390" ht="15.6" thickTop="1" thickBot="1" x14ac:dyDescent="0.35">
      <c r="A73" s="9">
        <v>153</v>
      </c>
      <c r="B73" s="10" t="s">
        <v>321</v>
      </c>
      <c r="C73" s="21" t="s">
        <v>98</v>
      </c>
      <c r="D73" s="64" t="s">
        <v>99</v>
      </c>
      <c r="E73" s="15"/>
      <c r="F73" s="16"/>
      <c r="G73" s="14"/>
      <c r="H73" s="65"/>
      <c r="I73" s="15" t="str">
        <f t="shared" si="235"/>
        <v>NO APLICA</v>
      </c>
      <c r="J73" s="15"/>
      <c r="K73" s="16"/>
      <c r="L73" s="16"/>
      <c r="M73" s="65"/>
      <c r="N73" s="15" t="str">
        <f t="shared" si="236"/>
        <v>NO APLICA</v>
      </c>
      <c r="O73" s="14">
        <v>45757</v>
      </c>
      <c r="P73" s="14">
        <v>45758</v>
      </c>
      <c r="Q73" s="14">
        <f>DATE(YEAR(P73)+2,MONTH(P73),DAY(P73)-1)</f>
        <v>46487</v>
      </c>
      <c r="R73" s="65">
        <f ca="1">Q73-TODAY()</f>
        <v>356</v>
      </c>
      <c r="S73" s="15" t="str">
        <f t="shared" ca="1" si="342"/>
        <v>VIGENTE</v>
      </c>
      <c r="T73" s="12" t="s">
        <v>322</v>
      </c>
      <c r="U73" s="13">
        <v>45281</v>
      </c>
      <c r="V73" s="14">
        <v>45282</v>
      </c>
      <c r="W73" s="14">
        <f t="shared" si="237"/>
        <v>47109</v>
      </c>
      <c r="X73" s="65">
        <f t="shared" ca="1" si="238"/>
        <v>978</v>
      </c>
      <c r="Y73" s="15" t="str">
        <f t="shared" ca="1" si="239"/>
        <v>VIGENTE</v>
      </c>
      <c r="Z73" s="12" t="s">
        <v>323</v>
      </c>
      <c r="AA73" s="13">
        <v>45189</v>
      </c>
      <c r="AB73" s="14">
        <v>45190</v>
      </c>
      <c r="AC73" s="14">
        <f t="shared" ref="AC73:AC82" si="365">DATE(YEAR(AB73)+5,MONTH(AB73),DAY(AB73))</f>
        <v>47017</v>
      </c>
      <c r="AD73" s="65">
        <f t="shared" ref="AD73:AD82" ca="1" si="366">AC73-TODAY()</f>
        <v>886</v>
      </c>
      <c r="AE73" s="15" t="str">
        <f t="shared" ref="AE73:AE92" ca="1" si="367">IF(AD73&gt;=91,"VIGENTE",IF(AD73&gt;=1,"POR VENCER",IF(AD73&lt;=-1,"VENCIDA",IF(AB73=0,"NO APLICA"))))</f>
        <v>VIGENTE</v>
      </c>
      <c r="AF73" s="13">
        <v>45243</v>
      </c>
      <c r="AG73" s="14">
        <v>45902</v>
      </c>
      <c r="AH73" s="14">
        <f>DATE(YEAR(AG73)+2,MONTH(AG73),DAY(AG73))</f>
        <v>46632</v>
      </c>
      <c r="AI73" s="65">
        <f t="shared" ca="1" si="241"/>
        <v>501</v>
      </c>
      <c r="AJ73" s="15" t="str">
        <f t="shared" ca="1" si="213"/>
        <v>VIGENTE</v>
      </c>
      <c r="AK73" s="13">
        <v>44978</v>
      </c>
      <c r="AL73" s="14">
        <v>45602</v>
      </c>
      <c r="AM73" s="14">
        <f>DATE(YEAR(AL73)+2,MONTH(AL73),DAY(AL73)-1)</f>
        <v>46331</v>
      </c>
      <c r="AN73" s="65">
        <f t="shared" ca="1" si="242"/>
        <v>200</v>
      </c>
      <c r="AO73" s="15" t="str">
        <f t="shared" ca="1" si="243"/>
        <v>VIGENTE</v>
      </c>
      <c r="AP73" s="12">
        <v>45091</v>
      </c>
      <c r="AQ73" s="14">
        <v>45740</v>
      </c>
      <c r="AR73" s="14">
        <f>DATE(YEAR(AQ73)+2,MONTH(AQ73),DAY(AQ73)-1)</f>
        <v>46469</v>
      </c>
      <c r="AS73" s="65">
        <f t="shared" ca="1" si="244"/>
        <v>338</v>
      </c>
      <c r="AT73" s="15" t="str">
        <f t="shared" ca="1" si="245"/>
        <v>VIGENTE</v>
      </c>
      <c r="AU73" s="13">
        <v>45072</v>
      </c>
      <c r="AV73" s="14">
        <v>45702</v>
      </c>
      <c r="AW73" s="14">
        <f>DATE(YEAR(AV73)+2,MONTH(AV73),DAY(AV73)-1)</f>
        <v>46431</v>
      </c>
      <c r="AX73" s="65">
        <f t="shared" ca="1" si="246"/>
        <v>300</v>
      </c>
      <c r="AY73" s="15" t="str">
        <f t="shared" ca="1" si="247"/>
        <v>VIGENTE</v>
      </c>
      <c r="AZ73" s="13">
        <v>44930</v>
      </c>
      <c r="BA73" s="14">
        <v>45603</v>
      </c>
      <c r="BB73" s="14">
        <f t="shared" si="351"/>
        <v>46332</v>
      </c>
      <c r="BC73" s="65">
        <f t="shared" ca="1" si="248"/>
        <v>201</v>
      </c>
      <c r="BD73" s="15" t="str">
        <f t="shared" ca="1" si="249"/>
        <v>VIGENTE</v>
      </c>
      <c r="BE73" s="13">
        <v>45052</v>
      </c>
      <c r="BF73" s="14">
        <v>45698</v>
      </c>
      <c r="BG73" s="14">
        <f>DATE(YEAR(BF73)+2,MONTH(BF73),DAY(BF73)-1)</f>
        <v>46427</v>
      </c>
      <c r="BH73" s="65">
        <f t="shared" ca="1" si="250"/>
        <v>296</v>
      </c>
      <c r="BI73" s="15" t="str">
        <f t="shared" ca="1" si="251"/>
        <v>VIGENTE</v>
      </c>
      <c r="BJ73" s="13">
        <v>44937</v>
      </c>
      <c r="BK73" s="14">
        <v>45600</v>
      </c>
      <c r="BL73" s="14">
        <f>DATE(YEAR(BK73)+2,MONTH(BK73),DAY(BK73)-1)</f>
        <v>46329</v>
      </c>
      <c r="BM73" s="65">
        <f t="shared" ca="1" si="252"/>
        <v>198</v>
      </c>
      <c r="BN73" s="15" t="str">
        <f t="shared" ca="1" si="253"/>
        <v>VIGENTE</v>
      </c>
      <c r="BO73" s="13">
        <v>45073</v>
      </c>
      <c r="BP73" s="14">
        <v>45701</v>
      </c>
      <c r="BQ73" s="14">
        <f>DATE(YEAR(BP73)+2,MONTH(BP73),DAY(BP73)-1)</f>
        <v>46430</v>
      </c>
      <c r="BR73" s="65">
        <f t="shared" ca="1" si="254"/>
        <v>299</v>
      </c>
      <c r="BS73" s="15" t="str">
        <f t="shared" ca="1" si="255"/>
        <v>VIGENTE</v>
      </c>
      <c r="BT73" s="13">
        <v>44963</v>
      </c>
      <c r="BU73" s="14">
        <v>45568</v>
      </c>
      <c r="BV73" s="14">
        <f>DATE(YEAR(BU73)+2,MONTH(BU73),DAY(BU73)-1)</f>
        <v>46297</v>
      </c>
      <c r="BW73" s="65">
        <f t="shared" ca="1" si="256"/>
        <v>166</v>
      </c>
      <c r="BX73" s="15" t="str">
        <f t="shared" ca="1" si="257"/>
        <v>VIGENTE</v>
      </c>
      <c r="BY73" s="13">
        <v>44613</v>
      </c>
      <c r="BZ73" s="14">
        <v>45944</v>
      </c>
      <c r="CA73" s="14">
        <f>DATE(YEAR(BZ73)+2,MONTH(BZ73),DAY(BZ73))</f>
        <v>46674</v>
      </c>
      <c r="CB73" s="65">
        <f t="shared" ca="1" si="258"/>
        <v>543</v>
      </c>
      <c r="CC73" s="15" t="str">
        <f t="shared" ca="1" si="259"/>
        <v>VIGENTE</v>
      </c>
      <c r="CD73" s="16" t="s">
        <v>102</v>
      </c>
      <c r="CE73" s="14">
        <v>45827</v>
      </c>
      <c r="CF73" s="14">
        <v>45828</v>
      </c>
      <c r="CG73" s="14">
        <f t="shared" si="260"/>
        <v>47289</v>
      </c>
      <c r="CH73" s="65">
        <f t="shared" ca="1" si="261"/>
        <v>1158</v>
      </c>
      <c r="CI73" s="15" t="str">
        <f t="shared" ca="1" si="262"/>
        <v>VIGENTE</v>
      </c>
      <c r="CJ73" s="14">
        <v>44964</v>
      </c>
      <c r="CK73" s="14">
        <v>45601</v>
      </c>
      <c r="CL73" s="14">
        <f t="shared" si="364"/>
        <v>46330</v>
      </c>
      <c r="CM73" s="65">
        <f t="shared" ca="1" si="263"/>
        <v>199</v>
      </c>
      <c r="CN73" s="15" t="str">
        <f t="shared" ca="1" si="264"/>
        <v>VIGENTE</v>
      </c>
      <c r="CO73" s="13">
        <v>45050</v>
      </c>
      <c r="CP73" s="14">
        <v>45684</v>
      </c>
      <c r="CQ73" s="14">
        <f t="shared" si="357"/>
        <v>46413</v>
      </c>
      <c r="CR73" s="65">
        <f t="shared" ca="1" si="265"/>
        <v>282</v>
      </c>
      <c r="CS73" s="15" t="str">
        <f t="shared" ca="1" si="266"/>
        <v>VIGENTE</v>
      </c>
      <c r="CT73" s="13">
        <v>45086</v>
      </c>
      <c r="CU73" s="14">
        <v>45727</v>
      </c>
      <c r="CV73" s="14">
        <f t="shared" si="358"/>
        <v>46456</v>
      </c>
      <c r="CW73" s="65">
        <f t="shared" ca="1" si="267"/>
        <v>325</v>
      </c>
      <c r="CX73" s="15" t="str">
        <f t="shared" ca="1" si="268"/>
        <v>VIGENTE</v>
      </c>
      <c r="CY73" s="13">
        <v>45057</v>
      </c>
      <c r="CZ73" s="14">
        <v>45665</v>
      </c>
      <c r="DA73" s="14">
        <f t="shared" si="359"/>
        <v>46394</v>
      </c>
      <c r="DB73" s="65">
        <f t="shared" ca="1" si="269"/>
        <v>263</v>
      </c>
      <c r="DC73" s="15" t="str">
        <f t="shared" ca="1" si="270"/>
        <v>VIGENTE</v>
      </c>
      <c r="DD73" s="13">
        <v>45079</v>
      </c>
      <c r="DE73" s="14">
        <v>45761</v>
      </c>
      <c r="DF73" s="14">
        <f>DATE(YEAR(DE73)+2,MONTH(DE73),DAY(DE73))</f>
        <v>46491</v>
      </c>
      <c r="DG73" s="65">
        <f t="shared" ca="1" si="271"/>
        <v>360</v>
      </c>
      <c r="DH73" s="15" t="str">
        <f t="shared" ca="1" si="272"/>
        <v>VIGENTE</v>
      </c>
      <c r="DI73" s="12">
        <v>45080</v>
      </c>
      <c r="DJ73" s="14">
        <v>45734</v>
      </c>
      <c r="DK73" s="14">
        <f>DATE(YEAR(DJ73)+2,MONTH(DJ73),DAY(DJ73)-1)</f>
        <v>46463</v>
      </c>
      <c r="DL73" s="65">
        <f t="shared" ca="1" si="273"/>
        <v>332</v>
      </c>
      <c r="DM73" s="15" t="str">
        <f t="shared" ca="1" si="274"/>
        <v>VIGENTE</v>
      </c>
      <c r="DN73" s="13">
        <v>45033</v>
      </c>
      <c r="DO73" s="14">
        <v>45731</v>
      </c>
      <c r="DP73" s="14">
        <f>DATE(YEAR(DO73)+2,MONTH(DO73),DAY(DO73)-1)</f>
        <v>46460</v>
      </c>
      <c r="DQ73" s="65">
        <f t="shared" ca="1" si="275"/>
        <v>329</v>
      </c>
      <c r="DR73" s="15" t="str">
        <f t="shared" ca="1" si="276"/>
        <v>VIGENTE</v>
      </c>
      <c r="DS73" s="13">
        <v>44935</v>
      </c>
      <c r="DT73" s="14">
        <v>45608</v>
      </c>
      <c r="DU73" s="14">
        <f>DATE(YEAR(DT73)+2,MONTH(DT73),DAY(DT73)-1)</f>
        <v>46337</v>
      </c>
      <c r="DV73" s="65">
        <f t="shared" ca="1" si="277"/>
        <v>206</v>
      </c>
      <c r="DW73" s="15" t="str">
        <f t="shared" ca="1" si="278"/>
        <v>VIGENTE</v>
      </c>
      <c r="DX73" s="13">
        <v>44931</v>
      </c>
      <c r="DY73" s="14">
        <v>45582</v>
      </c>
      <c r="DZ73" s="14">
        <f t="shared" si="343"/>
        <v>46311</v>
      </c>
      <c r="EA73" s="65">
        <f t="shared" ca="1" si="279"/>
        <v>180</v>
      </c>
      <c r="EB73" s="15" t="str">
        <f t="shared" ca="1" si="280"/>
        <v>VIGENTE</v>
      </c>
      <c r="EC73" s="13">
        <v>45090</v>
      </c>
      <c r="ED73" s="14">
        <v>45768</v>
      </c>
      <c r="EE73" s="14">
        <f>DATE(YEAR(ED73)+2,MONTH(ED73),DAY(ED73))</f>
        <v>46498</v>
      </c>
      <c r="EF73" s="65">
        <f t="shared" ca="1" si="281"/>
        <v>367</v>
      </c>
      <c r="EG73" s="15" t="str">
        <f t="shared" ca="1" si="282"/>
        <v>VIGENTE</v>
      </c>
      <c r="EH73" s="13">
        <v>44928</v>
      </c>
      <c r="EI73" s="13">
        <v>46105</v>
      </c>
      <c r="EJ73" s="13">
        <v>46106</v>
      </c>
      <c r="EK73" s="13">
        <v>46107</v>
      </c>
      <c r="EL73" s="14">
        <f t="shared" si="344"/>
        <v>46472</v>
      </c>
      <c r="EM73" s="65">
        <f t="shared" ca="1" si="283"/>
        <v>341</v>
      </c>
      <c r="EN73" s="15" t="str">
        <f t="shared" ca="1" si="284"/>
        <v>VIGENTE</v>
      </c>
      <c r="EO73" s="13">
        <v>44942</v>
      </c>
      <c r="EP73" s="14">
        <v>45584</v>
      </c>
      <c r="EQ73" s="14">
        <f t="shared" si="360"/>
        <v>46313</v>
      </c>
      <c r="ER73" s="65">
        <f t="shared" ca="1" si="285"/>
        <v>182</v>
      </c>
      <c r="ES73" s="15" t="str">
        <f t="shared" ca="1" si="286"/>
        <v>VIGENTE</v>
      </c>
      <c r="ET73" s="13">
        <v>44929</v>
      </c>
      <c r="EU73" s="14">
        <v>45575</v>
      </c>
      <c r="EV73" s="14">
        <f t="shared" si="352"/>
        <v>46304</v>
      </c>
      <c r="EW73" s="65">
        <f t="shared" ca="1" si="287"/>
        <v>173</v>
      </c>
      <c r="EX73" s="15" t="str">
        <f t="shared" ca="1" si="288"/>
        <v>VIGENTE</v>
      </c>
      <c r="EY73" s="13">
        <v>45271</v>
      </c>
      <c r="EZ73" s="14">
        <v>45917</v>
      </c>
      <c r="FA73" s="14">
        <f>DATE(YEAR(EZ73)+2,MONTH(EZ73),DAY(EZ73))</f>
        <v>46647</v>
      </c>
      <c r="FB73" s="65">
        <f t="shared" ca="1" si="289"/>
        <v>516</v>
      </c>
      <c r="FC73" s="15" t="str">
        <f t="shared" ca="1" si="290"/>
        <v>VIGENTE</v>
      </c>
      <c r="FD73" s="13">
        <v>44615</v>
      </c>
      <c r="FE73" s="14">
        <v>45931</v>
      </c>
      <c r="FF73" s="14">
        <f>DATE(YEAR(FE73)+2,MONTH(FE73),DAY(FE73))</f>
        <v>46661</v>
      </c>
      <c r="FG73" s="65">
        <f t="shared" ca="1" si="291"/>
        <v>530</v>
      </c>
      <c r="FH73" s="15" t="str">
        <f t="shared" ca="1" si="292"/>
        <v>VIGENTE</v>
      </c>
      <c r="FI73" s="13">
        <v>45248</v>
      </c>
      <c r="FJ73" s="14">
        <v>45919</v>
      </c>
      <c r="FK73" s="14">
        <f>DATE(YEAR(FJ73)+2,MONTH(FJ73),DAY(FJ73))</f>
        <v>46649</v>
      </c>
      <c r="FL73" s="65">
        <f t="shared" ca="1" si="293"/>
        <v>518</v>
      </c>
      <c r="FM73" s="15" t="str">
        <f t="shared" ca="1" si="294"/>
        <v>VIGENTE</v>
      </c>
      <c r="FN73" s="13">
        <v>44932</v>
      </c>
      <c r="FO73" s="14">
        <v>45588</v>
      </c>
      <c r="FP73" s="14">
        <f t="shared" si="353"/>
        <v>46317</v>
      </c>
      <c r="FQ73" s="65">
        <f t="shared" ca="1" si="295"/>
        <v>186</v>
      </c>
      <c r="FR73" s="15" t="str">
        <f t="shared" ca="1" si="296"/>
        <v>VIGENTE</v>
      </c>
      <c r="FS73" s="13">
        <v>45078</v>
      </c>
      <c r="FT73" s="14">
        <v>45724</v>
      </c>
      <c r="FU73" s="14">
        <f t="shared" si="361"/>
        <v>46453</v>
      </c>
      <c r="FV73" s="65">
        <f t="shared" ca="1" si="297"/>
        <v>322</v>
      </c>
      <c r="FW73" s="15" t="str">
        <f t="shared" ca="1" si="298"/>
        <v>VIGENTE</v>
      </c>
      <c r="FX73" s="13">
        <v>44981</v>
      </c>
      <c r="FY73" s="14">
        <v>45941</v>
      </c>
      <c r="FZ73" s="14">
        <f>DATE(YEAR(FY73)+2,MONTH(FY73),DAY(FY73))</f>
        <v>46671</v>
      </c>
      <c r="GA73" s="65">
        <f t="shared" ca="1" si="299"/>
        <v>540</v>
      </c>
      <c r="GB73" s="15" t="str">
        <f t="shared" ca="1" si="300"/>
        <v>VIGENTE</v>
      </c>
      <c r="GC73" s="13">
        <v>44995</v>
      </c>
      <c r="GD73" s="14">
        <v>45667</v>
      </c>
      <c r="GE73" s="14">
        <f t="shared" si="354"/>
        <v>46396</v>
      </c>
      <c r="GF73" s="65">
        <f t="shared" ca="1" si="301"/>
        <v>265</v>
      </c>
      <c r="GG73" s="15" t="str">
        <f t="shared" ca="1" si="302"/>
        <v>VIGENTE</v>
      </c>
      <c r="GH73" s="13">
        <v>45082</v>
      </c>
      <c r="GI73" s="14">
        <v>45752</v>
      </c>
      <c r="GJ73" s="14">
        <f>DATE(YEAR(GI73)+2,MONTH(GI73),DAY(GI73))</f>
        <v>46482</v>
      </c>
      <c r="GK73" s="65">
        <f t="shared" ca="1" si="303"/>
        <v>351</v>
      </c>
      <c r="GL73" s="15" t="str">
        <f t="shared" ca="1" si="304"/>
        <v>VIGENTE</v>
      </c>
      <c r="GM73" s="13">
        <v>44945</v>
      </c>
      <c r="GN73" s="14">
        <v>45633</v>
      </c>
      <c r="GO73" s="14">
        <f>DATE(YEAR(GN73)+2,MONTH(GN73),DAY(GN73)-1)</f>
        <v>46362</v>
      </c>
      <c r="GP73" s="65">
        <f t="shared" ca="1" si="305"/>
        <v>231</v>
      </c>
      <c r="GQ73" s="15" t="str">
        <f t="shared" ca="1" si="306"/>
        <v>VIGENTE</v>
      </c>
      <c r="GR73" s="14"/>
      <c r="GS73" s="14">
        <v>44952</v>
      </c>
      <c r="GT73" s="14">
        <f t="shared" si="307"/>
        <v>46778</v>
      </c>
      <c r="GU73" s="65">
        <f t="shared" ca="1" si="172"/>
        <v>647</v>
      </c>
      <c r="GV73" s="15" t="str">
        <f t="shared" ref="GV73:GV107" ca="1" si="368">IF(GU73&gt;=91,"VIGENTE",IF(GU73&gt;=1,"POR VENCER",IF(GU73&lt;=-1,"VENCIDA",IF(GS73=0,"NO APLICA"))))</f>
        <v>VIGENTE</v>
      </c>
      <c r="GW73" s="13"/>
      <c r="GX73" s="14">
        <v>45099</v>
      </c>
      <c r="GY73" s="14">
        <f t="shared" si="309"/>
        <v>46926</v>
      </c>
      <c r="GZ73" s="65">
        <f t="shared" ca="1" si="310"/>
        <v>795</v>
      </c>
      <c r="HA73" s="15" t="str">
        <f t="shared" ref="HA73:HA104" ca="1" si="369">IF(GZ73&gt;=91,"VIGENTE",IF(GZ73&gt;=1,"POR VENCER",IF(GZ73&lt;=-1,"VENCIDA",IF(GX73=0,"NO APLICA"))))</f>
        <v>VIGENTE</v>
      </c>
      <c r="HB73" s="13">
        <v>44566</v>
      </c>
      <c r="HC73" s="14">
        <v>45268</v>
      </c>
      <c r="HD73" s="14">
        <f t="shared" si="312"/>
        <v>47095</v>
      </c>
      <c r="HE73" s="65">
        <f t="shared" ca="1" si="313"/>
        <v>964</v>
      </c>
      <c r="HF73" s="15" t="str">
        <f t="shared" ref="HF73:HF97" ca="1" si="370">IF(HE73&gt;=91,"VIGENTE",IF(HE73&gt;=1,"POR VENCER",IF(HE73&lt;=-1,"VENCIDA",IF(HC73=0,"NO APLICA"))))</f>
        <v>VIGENTE</v>
      </c>
      <c r="HG73" s="16"/>
      <c r="HH73" s="14">
        <v>44956</v>
      </c>
      <c r="HI73" s="14">
        <f t="shared" si="362"/>
        <v>46782</v>
      </c>
      <c r="HJ73" s="65">
        <f t="shared" ca="1" si="363"/>
        <v>651</v>
      </c>
      <c r="HK73" s="15" t="str">
        <f t="shared" ref="HK73:HK83" ca="1" si="371">IF(HJ73&gt;=61,"VIGENTE",IF(HJ73&gt;=1,"POR VENCER",IF(HJ73&lt;=-1,"VENCIDA",IF(HH73=0,"NO APLICA"))))</f>
        <v>VIGENTE</v>
      </c>
      <c r="HL73" s="12"/>
      <c r="HM73" s="16"/>
      <c r="HN73" s="14"/>
      <c r="HO73" s="65"/>
      <c r="HP73" s="15" t="str">
        <f t="shared" si="221"/>
        <v>NO APLICA</v>
      </c>
      <c r="HQ73" s="12"/>
      <c r="HR73" s="15"/>
      <c r="HS73" s="15"/>
      <c r="HT73" s="15"/>
      <c r="HU73" s="15" t="str">
        <f t="shared" si="315"/>
        <v>NO APLICA</v>
      </c>
      <c r="HV73" s="12"/>
      <c r="HW73" s="14">
        <v>44939</v>
      </c>
      <c r="HX73" s="14">
        <f>DATE(YEAR(HW73)+5,MONTH(HW73),DAY(HW73))</f>
        <v>46765</v>
      </c>
      <c r="HY73" s="65">
        <f ca="1">HX73-TODAY()</f>
        <v>634</v>
      </c>
      <c r="HZ73" s="15" t="str">
        <f t="shared" ca="1" si="316"/>
        <v>VIGENTE</v>
      </c>
      <c r="IA73" s="12"/>
      <c r="IB73" s="14">
        <v>45092</v>
      </c>
      <c r="IC73" s="14">
        <f>DATE(YEAR(IB73)+5,MONTH(IB73),DAY(IB73))</f>
        <v>46919</v>
      </c>
      <c r="ID73" s="65">
        <f ca="1">IC73-TODAY()</f>
        <v>788</v>
      </c>
      <c r="IE73" s="15" t="str">
        <f t="shared" ca="1" si="317"/>
        <v>VIGENTE</v>
      </c>
      <c r="IF73" s="12"/>
      <c r="IG73" s="14">
        <v>45100</v>
      </c>
      <c r="IH73" s="14">
        <f>DATE(YEAR(IG73)+5,MONTH(IG73),DAY(IG73))</f>
        <v>46927</v>
      </c>
      <c r="II73" s="65">
        <f ca="1">IH73-TODAY()</f>
        <v>796</v>
      </c>
      <c r="IJ73" s="15" t="str">
        <f t="shared" ca="1" si="318"/>
        <v>VIGENTE</v>
      </c>
      <c r="IK73" s="16"/>
      <c r="IL73" s="14">
        <v>45105</v>
      </c>
      <c r="IM73" s="14">
        <f>DATE(YEAR(IL73)+5,MONTH(IL73),DAY(IL73))</f>
        <v>46932</v>
      </c>
      <c r="IN73" s="65">
        <f ca="1">IM73-TODAY()</f>
        <v>801</v>
      </c>
      <c r="IO73" s="15" t="str">
        <f t="shared" ca="1" si="319"/>
        <v>VIGENTE</v>
      </c>
      <c r="IP73" s="12"/>
      <c r="IQ73" s="14">
        <v>45064</v>
      </c>
      <c r="IR73" s="14">
        <f>DATE(YEAR(IQ73)+5,MONTH(IQ73),DAY(IQ73))</f>
        <v>46891</v>
      </c>
      <c r="IS73" s="65">
        <f ca="1">IR73-TODAY()</f>
        <v>760</v>
      </c>
      <c r="IT73" s="15" t="str">
        <f t="shared" ca="1" si="320"/>
        <v>VIGENTE</v>
      </c>
      <c r="IU73" s="12"/>
      <c r="IV73" s="14">
        <v>45062</v>
      </c>
      <c r="IW73" s="14">
        <f>DATE(YEAR(IV73)+5,MONTH(IV73),DAY(IV73))</f>
        <v>46889</v>
      </c>
      <c r="IX73" s="65">
        <f ca="1">IW73-TODAY()</f>
        <v>758</v>
      </c>
      <c r="IY73" s="15" t="str">
        <f t="shared" ca="1" si="321"/>
        <v>VIGENTE</v>
      </c>
      <c r="IZ73" s="12"/>
      <c r="JA73" s="14">
        <v>45101</v>
      </c>
      <c r="JB73" s="14">
        <f>DATE(YEAR(JA73)+5,MONTH(JA73),DAY(JA73))</f>
        <v>46928</v>
      </c>
      <c r="JC73" s="65">
        <f ca="1">JB73-TODAY()</f>
        <v>797</v>
      </c>
      <c r="JD73" s="15" t="str">
        <f t="shared" ca="1" si="322"/>
        <v>VIGENTE</v>
      </c>
      <c r="JE73" s="13"/>
      <c r="JF73" s="13"/>
      <c r="JG73" s="14"/>
      <c r="JH73" s="65"/>
      <c r="JI73" s="15" t="str">
        <f t="shared" si="323"/>
        <v>NO APLICA</v>
      </c>
      <c r="JJ73" s="16"/>
      <c r="JK73" s="16"/>
      <c r="JL73" s="16"/>
      <c r="JM73" s="15" t="str">
        <f t="shared" si="324"/>
        <v>NO APLICA</v>
      </c>
      <c r="JN73" s="16"/>
      <c r="JO73" s="16"/>
      <c r="JP73" s="16"/>
      <c r="JQ73" s="15" t="str">
        <f t="shared" si="325"/>
        <v>NO APLICA</v>
      </c>
      <c r="JR73" s="16"/>
      <c r="JS73" s="16"/>
      <c r="JT73" s="16"/>
      <c r="JU73" s="16"/>
      <c r="JV73" s="15" t="str">
        <f t="shared" si="326"/>
        <v>NO APLICA</v>
      </c>
      <c r="JW73" s="15"/>
      <c r="JX73" s="15"/>
      <c r="JY73" s="15"/>
      <c r="JZ73" s="15"/>
      <c r="KA73" s="15" t="str">
        <f t="shared" si="327"/>
        <v>NO APLICA</v>
      </c>
      <c r="KB73" s="15"/>
      <c r="KC73" s="14"/>
      <c r="KD73" s="65"/>
      <c r="KE73" s="15" t="str">
        <f t="shared" si="328"/>
        <v>NO APLICA</v>
      </c>
      <c r="KF73" s="15"/>
      <c r="KG73" s="14"/>
      <c r="KH73" s="65"/>
      <c r="KI73" s="15" t="str">
        <f t="shared" si="345"/>
        <v>NO APLICA</v>
      </c>
      <c r="KJ73" s="15"/>
      <c r="KK73" s="14"/>
      <c r="KL73" s="65"/>
      <c r="KM73" s="15" t="str">
        <f t="shared" si="329"/>
        <v>NO APLICA</v>
      </c>
      <c r="KN73" s="13">
        <v>45346</v>
      </c>
      <c r="KO73" s="14">
        <f>DATE(YEAR(KN73)+5,MONTH(KN73),DAY(KN73))</f>
        <v>47173</v>
      </c>
      <c r="KP73" s="65">
        <f ca="1">KO73-TODAY()</f>
        <v>1042</v>
      </c>
      <c r="KQ73" s="15" t="str">
        <f t="shared" ca="1" si="346"/>
        <v>VIGENTE</v>
      </c>
      <c r="KR73" s="13">
        <v>44650</v>
      </c>
      <c r="KS73" s="14">
        <v>44651</v>
      </c>
      <c r="KT73" s="14">
        <f>DATE(YEAR(KS73)+5,MONTH(KS73),DAY(KS73))</f>
        <v>46477</v>
      </c>
      <c r="KU73" s="65">
        <f ca="1">KT73-TODAY()</f>
        <v>346</v>
      </c>
      <c r="KV73" s="15" t="str">
        <f t="shared" ca="1" si="355"/>
        <v>VIGENTE</v>
      </c>
      <c r="KW73" s="14">
        <v>44613</v>
      </c>
      <c r="KX73" s="14">
        <f>DATE(YEAR(KW73)+5,MONTH(KW73),DAY(KW73))</f>
        <v>46439</v>
      </c>
      <c r="KY73" s="65">
        <f ca="1">KX73-TODAY()</f>
        <v>308</v>
      </c>
      <c r="KZ73" s="15" t="str">
        <f t="shared" ca="1" si="347"/>
        <v>VIGENTE</v>
      </c>
      <c r="LA73" s="16"/>
      <c r="LB73" s="16"/>
      <c r="LC73" s="14"/>
      <c r="LD73" s="65"/>
      <c r="LE73" s="15" t="str">
        <f t="shared" si="330"/>
        <v>NO APLICA</v>
      </c>
      <c r="LF73" s="15"/>
      <c r="LG73" s="15"/>
      <c r="LH73" s="15"/>
      <c r="LI73" s="15"/>
      <c r="LJ73" s="15" t="str">
        <f t="shared" si="356"/>
        <v>NO APLICA</v>
      </c>
      <c r="LK73" s="15"/>
      <c r="LL73" s="16"/>
      <c r="LM73" s="14"/>
      <c r="LN73" s="65"/>
      <c r="LO73" s="15" t="str">
        <f t="shared" si="348"/>
        <v>NO APLICA</v>
      </c>
      <c r="LP73" s="16"/>
      <c r="LQ73" s="16"/>
      <c r="LR73" s="14"/>
      <c r="LS73" s="65"/>
      <c r="LT73" s="15" t="str">
        <f t="shared" si="349"/>
        <v>NO APLICA</v>
      </c>
      <c r="LU73" s="16"/>
      <c r="LV73" s="16"/>
      <c r="LW73" s="14"/>
      <c r="LX73" s="65"/>
      <c r="LY73" s="15" t="str">
        <f t="shared" si="350"/>
        <v>NO APLICA</v>
      </c>
      <c r="LZ73" s="15"/>
      <c r="MA73" s="15"/>
      <c r="MB73" s="14"/>
      <c r="MC73" s="65"/>
      <c r="MD73" s="15" t="str">
        <f t="shared" si="331"/>
        <v>NO APLICA</v>
      </c>
      <c r="ME73" s="15"/>
      <c r="MF73" s="15"/>
      <c r="MG73" s="14"/>
      <c r="MH73" s="65"/>
      <c r="MI73" s="15" t="str">
        <f t="shared" si="332"/>
        <v>NO APLICA</v>
      </c>
      <c r="MJ73" s="15"/>
      <c r="MK73" s="14"/>
      <c r="ML73" s="65"/>
      <c r="MM73" s="15" t="str">
        <f t="shared" si="333"/>
        <v>NO APLICA</v>
      </c>
      <c r="MN73" s="15"/>
      <c r="MO73" s="14"/>
      <c r="MP73" s="15"/>
      <c r="MQ73" s="15" t="str">
        <f t="shared" si="334"/>
        <v>NO APLICA</v>
      </c>
      <c r="MR73" s="15"/>
      <c r="MS73" s="16"/>
      <c r="MT73" s="14"/>
      <c r="MU73" s="65"/>
      <c r="MV73" s="15" t="str">
        <f t="shared" si="335"/>
        <v>NO APLICA</v>
      </c>
      <c r="MW73" s="15"/>
      <c r="MX73" s="16"/>
      <c r="MY73" s="14"/>
      <c r="MZ73" s="65"/>
      <c r="NA73" s="15" t="str">
        <f t="shared" si="336"/>
        <v>NO APLICA</v>
      </c>
      <c r="NB73" s="15"/>
      <c r="NC73" s="16"/>
      <c r="ND73" s="14"/>
      <c r="NE73" s="65"/>
      <c r="NF73" s="15" t="str">
        <f t="shared" si="337"/>
        <v>NO APLICA</v>
      </c>
      <c r="NG73" s="15"/>
      <c r="NH73" s="15"/>
      <c r="NI73" s="15"/>
      <c r="NJ73" s="15"/>
      <c r="NK73" s="15" t="str">
        <f t="shared" si="338"/>
        <v>NO APLICA</v>
      </c>
      <c r="NL73" s="15"/>
      <c r="NM73" s="15"/>
      <c r="NN73" s="15"/>
      <c r="NO73" s="15"/>
      <c r="NP73" s="15" t="str">
        <f t="shared" si="339"/>
        <v>NO APLICA</v>
      </c>
      <c r="NQ73" s="16"/>
      <c r="NR73" s="16"/>
      <c r="NS73" s="16"/>
      <c r="NT73" s="16"/>
      <c r="NU73" s="15" t="str">
        <f t="shared" si="340"/>
        <v>NO APLICA</v>
      </c>
      <c r="NV73" s="16"/>
      <c r="NW73" s="16"/>
      <c r="NX73" s="16"/>
      <c r="NY73" s="16"/>
      <c r="NZ73" s="15" t="str">
        <f t="shared" si="341"/>
        <v>NO APLICA</v>
      </c>
    </row>
    <row r="74" spans="1:390" ht="15.6" thickTop="1" thickBot="1" x14ac:dyDescent="0.35">
      <c r="A74" s="9">
        <v>1168</v>
      </c>
      <c r="B74" s="10" t="s">
        <v>324</v>
      </c>
      <c r="C74" s="21" t="s">
        <v>104</v>
      </c>
      <c r="D74" s="64" t="s">
        <v>193</v>
      </c>
      <c r="E74" s="15"/>
      <c r="F74" s="16"/>
      <c r="G74" s="14"/>
      <c r="H74" s="65"/>
      <c r="I74" s="15" t="str">
        <f t="shared" si="235"/>
        <v>NO APLICA</v>
      </c>
      <c r="J74" s="15"/>
      <c r="K74" s="16"/>
      <c r="L74" s="16"/>
      <c r="M74" s="65"/>
      <c r="N74" s="15" t="str">
        <f t="shared" si="236"/>
        <v>NO APLICA</v>
      </c>
      <c r="O74" s="16"/>
      <c r="P74" s="16"/>
      <c r="Q74" s="14"/>
      <c r="R74" s="65"/>
      <c r="S74" s="15" t="str">
        <f t="shared" si="342"/>
        <v>NO APLICA</v>
      </c>
      <c r="T74" s="12" t="s">
        <v>325</v>
      </c>
      <c r="U74" s="13">
        <v>44785</v>
      </c>
      <c r="V74" s="14">
        <v>44786</v>
      </c>
      <c r="W74" s="14">
        <f t="shared" si="237"/>
        <v>46612</v>
      </c>
      <c r="X74" s="65">
        <f t="shared" ca="1" si="238"/>
        <v>481</v>
      </c>
      <c r="Y74" s="15" t="str">
        <f t="shared" ca="1" si="239"/>
        <v>VIGENTE</v>
      </c>
      <c r="Z74" s="12" t="s">
        <v>326</v>
      </c>
      <c r="AA74" s="13">
        <v>45498</v>
      </c>
      <c r="AB74" s="14">
        <v>45499</v>
      </c>
      <c r="AC74" s="14">
        <f t="shared" si="365"/>
        <v>47325</v>
      </c>
      <c r="AD74" s="65">
        <f t="shared" ca="1" si="366"/>
        <v>1194</v>
      </c>
      <c r="AE74" s="15" t="str">
        <f t="shared" ca="1" si="367"/>
        <v>VIGENTE</v>
      </c>
      <c r="AF74" s="13">
        <v>44949</v>
      </c>
      <c r="AG74" s="14">
        <v>45594</v>
      </c>
      <c r="AH74" s="14">
        <f>DATE(YEAR(AG74)+2,MONTH(AG74),DAY(AG74)-1)</f>
        <v>46323</v>
      </c>
      <c r="AI74" s="65">
        <f t="shared" ca="1" si="241"/>
        <v>192</v>
      </c>
      <c r="AJ74" s="15" t="str">
        <f t="shared" ca="1" si="213"/>
        <v>VIGENTE</v>
      </c>
      <c r="AK74" s="13">
        <v>45269</v>
      </c>
      <c r="AL74" s="14">
        <v>45926</v>
      </c>
      <c r="AM74" s="14">
        <f>DATE(YEAR(AL74)+2,MONTH(AL74),DAY(AL74))</f>
        <v>46656</v>
      </c>
      <c r="AN74" s="65">
        <f t="shared" ca="1" si="242"/>
        <v>525</v>
      </c>
      <c r="AO74" s="15" t="str">
        <f t="shared" ca="1" si="243"/>
        <v>VIGENTE</v>
      </c>
      <c r="AP74" s="13">
        <v>45326</v>
      </c>
      <c r="AQ74" s="14">
        <v>45971</v>
      </c>
      <c r="AR74" s="14">
        <f>DATE(YEAR(AQ74)+2,MONTH(AQ74),DAY(AQ74))</f>
        <v>46701</v>
      </c>
      <c r="AS74" s="65">
        <f t="shared" ca="1" si="244"/>
        <v>570</v>
      </c>
      <c r="AT74" s="15" t="str">
        <f t="shared" ca="1" si="245"/>
        <v>VIGENTE</v>
      </c>
      <c r="AU74" s="13">
        <v>45318</v>
      </c>
      <c r="AV74" s="14">
        <v>45972</v>
      </c>
      <c r="AW74" s="14">
        <f>DATE(YEAR(AV74)+2,MONTH(AV74),DAY(AV74))</f>
        <v>46702</v>
      </c>
      <c r="AX74" s="65">
        <f t="shared" ca="1" si="246"/>
        <v>571</v>
      </c>
      <c r="AY74" s="15" t="str">
        <f t="shared" ca="1" si="247"/>
        <v>VIGENTE</v>
      </c>
      <c r="AZ74" s="13">
        <v>45093</v>
      </c>
      <c r="BA74" s="14">
        <v>45742</v>
      </c>
      <c r="BB74" s="14">
        <f t="shared" si="351"/>
        <v>46471</v>
      </c>
      <c r="BC74" s="65">
        <f t="shared" ca="1" si="248"/>
        <v>340</v>
      </c>
      <c r="BD74" s="15" t="str">
        <f t="shared" ca="1" si="249"/>
        <v>VIGENTE</v>
      </c>
      <c r="BE74" s="13">
        <v>44686</v>
      </c>
      <c r="BF74" s="14">
        <v>45987</v>
      </c>
      <c r="BG74" s="14">
        <f>DATE(YEAR(BF74)+2,MONTH(BF74),DAY(BF74))</f>
        <v>46717</v>
      </c>
      <c r="BH74" s="65">
        <f t="shared" ca="1" si="250"/>
        <v>586</v>
      </c>
      <c r="BI74" s="15" t="str">
        <f t="shared" ca="1" si="251"/>
        <v>VIGENTE</v>
      </c>
      <c r="BJ74" s="13">
        <v>45389</v>
      </c>
      <c r="BK74" s="14">
        <v>46035</v>
      </c>
      <c r="BL74" s="14">
        <f>DATE(YEAR(BK74)+2,MONTH(BK74),DAY(BK74))</f>
        <v>46765</v>
      </c>
      <c r="BM74" s="65">
        <f t="shared" ca="1" si="252"/>
        <v>634</v>
      </c>
      <c r="BN74" s="15" t="str">
        <f t="shared" ca="1" si="253"/>
        <v>VIGENTE</v>
      </c>
      <c r="BO74" s="13">
        <v>44748</v>
      </c>
      <c r="BP74" s="14">
        <v>46069</v>
      </c>
      <c r="BQ74" s="14">
        <f>DATE(YEAR(BP74)+2,MONTH(BP74),DAY(BP74))</f>
        <v>46799</v>
      </c>
      <c r="BR74" s="65">
        <f t="shared" ca="1" si="254"/>
        <v>668</v>
      </c>
      <c r="BS74" s="15" t="str">
        <f t="shared" ca="1" si="255"/>
        <v>VIGENTE</v>
      </c>
      <c r="BT74" s="13">
        <v>44813</v>
      </c>
      <c r="BU74" s="14">
        <v>45455</v>
      </c>
      <c r="BV74" s="14">
        <f>DATE(YEAR(BU74)+2,MONTH(BU74),DAY(BU74)-1)</f>
        <v>46184</v>
      </c>
      <c r="BW74" s="65">
        <f t="shared" ca="1" si="256"/>
        <v>53</v>
      </c>
      <c r="BX74" s="15" t="str">
        <f t="shared" ca="1" si="257"/>
        <v>POR VENCER</v>
      </c>
      <c r="BY74" s="13">
        <v>45347</v>
      </c>
      <c r="BZ74" s="14">
        <v>45974</v>
      </c>
      <c r="CA74" s="14">
        <f>DATE(YEAR(BZ74)+2,MONTH(BZ74),DAY(BZ74))</f>
        <v>46704</v>
      </c>
      <c r="CB74" s="65">
        <f t="shared" ca="1" si="258"/>
        <v>573</v>
      </c>
      <c r="CC74" s="15" t="str">
        <f t="shared" ca="1" si="259"/>
        <v>VIGENTE</v>
      </c>
      <c r="CD74" s="16" t="s">
        <v>108</v>
      </c>
      <c r="CE74" s="14">
        <v>45226</v>
      </c>
      <c r="CF74" s="14">
        <v>45227</v>
      </c>
      <c r="CG74" s="14">
        <f t="shared" si="260"/>
        <v>46688</v>
      </c>
      <c r="CH74" s="65">
        <f t="shared" ca="1" si="261"/>
        <v>557</v>
      </c>
      <c r="CI74" s="15" t="str">
        <f t="shared" ca="1" si="262"/>
        <v>VIGENTE</v>
      </c>
      <c r="CJ74" s="14">
        <v>44874</v>
      </c>
      <c r="CK74" s="14">
        <v>45504</v>
      </c>
      <c r="CL74" s="14">
        <f t="shared" si="364"/>
        <v>46233</v>
      </c>
      <c r="CM74" s="65">
        <f t="shared" ca="1" si="263"/>
        <v>102</v>
      </c>
      <c r="CN74" s="15" t="str">
        <f t="shared" ca="1" si="264"/>
        <v>VIGENTE</v>
      </c>
      <c r="CO74" s="14">
        <v>45087</v>
      </c>
      <c r="CP74" s="14">
        <v>45726</v>
      </c>
      <c r="CQ74" s="14">
        <f t="shared" si="357"/>
        <v>46455</v>
      </c>
      <c r="CR74" s="65">
        <f t="shared" ca="1" si="265"/>
        <v>324</v>
      </c>
      <c r="CS74" s="15" t="str">
        <f t="shared" ca="1" si="266"/>
        <v>VIGENTE</v>
      </c>
      <c r="CT74" s="13">
        <v>44977</v>
      </c>
      <c r="CU74" s="14">
        <v>45639</v>
      </c>
      <c r="CV74" s="14">
        <f t="shared" si="358"/>
        <v>46368</v>
      </c>
      <c r="CW74" s="65">
        <f t="shared" ca="1" si="267"/>
        <v>237</v>
      </c>
      <c r="CX74" s="15" t="str">
        <f t="shared" ca="1" si="268"/>
        <v>VIGENTE</v>
      </c>
      <c r="CY74" s="13">
        <v>44992</v>
      </c>
      <c r="CZ74" s="14">
        <v>45665</v>
      </c>
      <c r="DA74" s="14">
        <f t="shared" si="359"/>
        <v>46394</v>
      </c>
      <c r="DB74" s="65">
        <f t="shared" ca="1" si="269"/>
        <v>263</v>
      </c>
      <c r="DC74" s="15" t="str">
        <f t="shared" ca="1" si="270"/>
        <v>VIGENTE</v>
      </c>
      <c r="DD74" s="14">
        <v>45037</v>
      </c>
      <c r="DE74" s="14">
        <v>45689</v>
      </c>
      <c r="DF74" s="14">
        <f t="shared" ref="DF74:DF79" si="372">DATE(YEAR(DE74)+2,MONTH(DE74),DAY(DE74)-1)</f>
        <v>46418</v>
      </c>
      <c r="DG74" s="65">
        <f t="shared" ca="1" si="271"/>
        <v>287</v>
      </c>
      <c r="DH74" s="15" t="str">
        <f t="shared" ca="1" si="272"/>
        <v>VIGENTE</v>
      </c>
      <c r="DI74" s="14">
        <v>45065</v>
      </c>
      <c r="DJ74" s="14">
        <v>45696</v>
      </c>
      <c r="DK74" s="14">
        <f>DATE(YEAR(DJ74)+2,MONTH(DJ74),DAY(DJ74)-1)</f>
        <v>46425</v>
      </c>
      <c r="DL74" s="65">
        <f t="shared" ca="1" si="273"/>
        <v>294</v>
      </c>
      <c r="DM74" s="15" t="str">
        <f t="shared" ca="1" si="274"/>
        <v>VIGENTE</v>
      </c>
      <c r="DN74" s="13">
        <v>44697</v>
      </c>
      <c r="DO74" s="14">
        <v>46046</v>
      </c>
      <c r="DP74" s="14">
        <f>DATE(YEAR(DO74)+2,MONTH(DO74),DAY(DO74))</f>
        <v>46776</v>
      </c>
      <c r="DQ74" s="65">
        <f t="shared" ca="1" si="275"/>
        <v>645</v>
      </c>
      <c r="DR74" s="15" t="str">
        <f t="shared" ca="1" si="276"/>
        <v>VIGENTE</v>
      </c>
      <c r="DS74" s="13">
        <v>45097</v>
      </c>
      <c r="DT74" s="14">
        <v>45728</v>
      </c>
      <c r="DU74" s="14">
        <f>DATE(YEAR(DT74)+2,MONTH(DT74),DAY(DT74)-1)</f>
        <v>46457</v>
      </c>
      <c r="DV74" s="65">
        <f t="shared" ca="1" si="277"/>
        <v>326</v>
      </c>
      <c r="DW74" s="15" t="str">
        <f t="shared" ca="1" si="278"/>
        <v>VIGENTE</v>
      </c>
      <c r="DX74" s="14">
        <v>45071</v>
      </c>
      <c r="DY74" s="14">
        <v>45709</v>
      </c>
      <c r="DZ74" s="14">
        <f t="shared" si="343"/>
        <v>46438</v>
      </c>
      <c r="EA74" s="65">
        <f t="shared" ca="1" si="279"/>
        <v>307</v>
      </c>
      <c r="EB74" s="15" t="str">
        <f t="shared" ca="1" si="280"/>
        <v>VIGENTE</v>
      </c>
      <c r="EC74" s="14">
        <v>45061</v>
      </c>
      <c r="ED74" s="14">
        <v>45674</v>
      </c>
      <c r="EE74" s="14">
        <f>DATE(YEAR(ED74)+2,MONTH(ED74),DAY(ED74)-1)</f>
        <v>46403</v>
      </c>
      <c r="EF74" s="65">
        <f t="shared" ca="1" si="281"/>
        <v>272</v>
      </c>
      <c r="EG74" s="15" t="str">
        <f t="shared" ca="1" si="282"/>
        <v>VIGENTE</v>
      </c>
      <c r="EH74" s="13">
        <v>45750</v>
      </c>
      <c r="EI74" s="13">
        <v>46083</v>
      </c>
      <c r="EJ74" s="13">
        <v>46084</v>
      </c>
      <c r="EK74" s="13">
        <v>46085</v>
      </c>
      <c r="EL74" s="14">
        <f t="shared" si="344"/>
        <v>46450</v>
      </c>
      <c r="EM74" s="65">
        <f t="shared" ca="1" si="283"/>
        <v>319</v>
      </c>
      <c r="EN74" s="15" t="str">
        <f t="shared" ca="1" si="284"/>
        <v>VIGENTE</v>
      </c>
      <c r="EO74" s="14">
        <v>45042</v>
      </c>
      <c r="EP74" s="14">
        <v>45671</v>
      </c>
      <c r="EQ74" s="14">
        <f t="shared" si="360"/>
        <v>46400</v>
      </c>
      <c r="ER74" s="65">
        <f t="shared" ca="1" si="285"/>
        <v>269</v>
      </c>
      <c r="ES74" s="15" t="str">
        <f t="shared" ca="1" si="286"/>
        <v>VIGENTE</v>
      </c>
      <c r="ET74" s="14">
        <v>45085</v>
      </c>
      <c r="EU74" s="14">
        <v>45755</v>
      </c>
      <c r="EV74" s="14">
        <f t="shared" si="352"/>
        <v>46484</v>
      </c>
      <c r="EW74" s="65">
        <f t="shared" ca="1" si="287"/>
        <v>353</v>
      </c>
      <c r="EX74" s="15" t="str">
        <f t="shared" ca="1" si="288"/>
        <v>VIGENTE</v>
      </c>
      <c r="EY74" s="13">
        <v>45339</v>
      </c>
      <c r="EZ74" s="14">
        <v>45964</v>
      </c>
      <c r="FA74" s="14">
        <f>DATE(YEAR(EZ74)+2,MONTH(EZ74),DAY(EZ74))</f>
        <v>46694</v>
      </c>
      <c r="FB74" s="65">
        <f t="shared" ca="1" si="289"/>
        <v>563</v>
      </c>
      <c r="FC74" s="15" t="str">
        <f t="shared" ca="1" si="290"/>
        <v>VIGENTE</v>
      </c>
      <c r="FD74" s="13">
        <v>44636</v>
      </c>
      <c r="FE74" s="14">
        <v>45988</v>
      </c>
      <c r="FF74" s="14">
        <f>DATE(YEAR(FE74)+2,MONTH(FE74),DAY(FE74))</f>
        <v>46718</v>
      </c>
      <c r="FG74" s="65">
        <f t="shared" ca="1" si="291"/>
        <v>587</v>
      </c>
      <c r="FH74" s="15" t="str">
        <f t="shared" ca="1" si="292"/>
        <v>VIGENTE</v>
      </c>
      <c r="FI74" s="13">
        <v>45317</v>
      </c>
      <c r="FJ74" s="14">
        <v>45969</v>
      </c>
      <c r="FK74" s="14">
        <f>DATE(YEAR(FJ74)+2,MONTH(FJ74),DAY(FJ74))</f>
        <v>46699</v>
      </c>
      <c r="FL74" s="65">
        <f t="shared" ca="1" si="293"/>
        <v>568</v>
      </c>
      <c r="FM74" s="15" t="str">
        <f t="shared" ca="1" si="294"/>
        <v>VIGENTE</v>
      </c>
      <c r="FN74" s="13">
        <v>45084</v>
      </c>
      <c r="FO74" s="14">
        <v>45738</v>
      </c>
      <c r="FP74" s="14">
        <f t="shared" si="353"/>
        <v>46467</v>
      </c>
      <c r="FQ74" s="65">
        <f t="shared" ca="1" si="295"/>
        <v>336</v>
      </c>
      <c r="FR74" s="15" t="str">
        <f t="shared" ca="1" si="296"/>
        <v>VIGENTE</v>
      </c>
      <c r="FS74" s="14">
        <v>45041</v>
      </c>
      <c r="FT74" s="14">
        <v>45678</v>
      </c>
      <c r="FU74" s="14">
        <f t="shared" si="361"/>
        <v>46407</v>
      </c>
      <c r="FV74" s="65">
        <f t="shared" ca="1" si="297"/>
        <v>276</v>
      </c>
      <c r="FW74" s="15" t="str">
        <f t="shared" ca="1" si="298"/>
        <v>VIGENTE</v>
      </c>
      <c r="FX74" s="13">
        <v>44637</v>
      </c>
      <c r="FY74" s="14">
        <v>45993</v>
      </c>
      <c r="FZ74" s="14">
        <f>DATE(YEAR(FY74)+2,MONTH(FY74),DAY(FY74))</f>
        <v>46723</v>
      </c>
      <c r="GA74" s="65">
        <f t="shared" ca="1" si="299"/>
        <v>592</v>
      </c>
      <c r="GB74" s="15" t="str">
        <f t="shared" ca="1" si="300"/>
        <v>VIGENTE</v>
      </c>
      <c r="GC74" s="13">
        <v>45088</v>
      </c>
      <c r="GD74" s="14">
        <v>45741</v>
      </c>
      <c r="GE74" s="14">
        <f t="shared" si="354"/>
        <v>46470</v>
      </c>
      <c r="GF74" s="65">
        <f t="shared" ca="1" si="301"/>
        <v>339</v>
      </c>
      <c r="GG74" s="15" t="str">
        <f t="shared" ca="1" si="302"/>
        <v>VIGENTE</v>
      </c>
      <c r="GH74" s="13">
        <v>45082</v>
      </c>
      <c r="GI74" s="14">
        <v>45752</v>
      </c>
      <c r="GJ74" s="14">
        <f>DATE(YEAR(GI74)+2,MONTH(GI74),DAY(GI74)-1)</f>
        <v>46481</v>
      </c>
      <c r="GK74" s="65">
        <f t="shared" ca="1" si="303"/>
        <v>350</v>
      </c>
      <c r="GL74" s="15" t="str">
        <f t="shared" ca="1" si="304"/>
        <v>VIGENTE</v>
      </c>
      <c r="GM74" s="13">
        <v>45191</v>
      </c>
      <c r="GN74" s="14">
        <v>45848</v>
      </c>
      <c r="GO74" s="14">
        <f>DATE(YEAR(GN74)+2,MONTH(GN74),DAY(GN74))</f>
        <v>46578</v>
      </c>
      <c r="GP74" s="65">
        <f t="shared" ca="1" si="305"/>
        <v>447</v>
      </c>
      <c r="GQ74" s="15" t="str">
        <f t="shared" ca="1" si="306"/>
        <v>VIGENTE</v>
      </c>
      <c r="GR74" s="14">
        <v>44459</v>
      </c>
      <c r="GS74" s="14">
        <v>45164</v>
      </c>
      <c r="GT74" s="14">
        <f t="shared" si="307"/>
        <v>46991</v>
      </c>
      <c r="GU74" s="65">
        <f t="shared" ca="1" si="172"/>
        <v>860</v>
      </c>
      <c r="GV74" s="15" t="str">
        <f t="shared" ca="1" si="368"/>
        <v>VIGENTE</v>
      </c>
      <c r="GW74" s="13">
        <v>44571</v>
      </c>
      <c r="GX74" s="14">
        <v>45200</v>
      </c>
      <c r="GY74" s="14">
        <f t="shared" si="309"/>
        <v>47027</v>
      </c>
      <c r="GZ74" s="65">
        <f t="shared" ca="1" si="310"/>
        <v>896</v>
      </c>
      <c r="HA74" s="15" t="str">
        <f t="shared" ca="1" si="369"/>
        <v>VIGENTE</v>
      </c>
      <c r="HB74" s="13">
        <v>44460</v>
      </c>
      <c r="HC74" s="14">
        <v>45163</v>
      </c>
      <c r="HD74" s="14">
        <f t="shared" si="312"/>
        <v>46990</v>
      </c>
      <c r="HE74" s="65">
        <f t="shared" ca="1" si="313"/>
        <v>859</v>
      </c>
      <c r="HF74" s="15" t="str">
        <f t="shared" ca="1" si="370"/>
        <v>VIGENTE</v>
      </c>
      <c r="HG74" s="16"/>
      <c r="HH74" s="14">
        <v>44865</v>
      </c>
      <c r="HI74" s="14">
        <f t="shared" si="362"/>
        <v>46691</v>
      </c>
      <c r="HJ74" s="65">
        <f t="shared" ca="1" si="363"/>
        <v>560</v>
      </c>
      <c r="HK74" s="15" t="str">
        <f t="shared" ca="1" si="371"/>
        <v>VIGENTE</v>
      </c>
      <c r="HL74" s="13">
        <v>44630</v>
      </c>
      <c r="HM74" s="14">
        <v>45368</v>
      </c>
      <c r="HN74" s="14">
        <f>DATE(YEAR(HM74)+5,MONTH(HM74),DAY(HM74))</f>
        <v>47194</v>
      </c>
      <c r="HO74" s="65">
        <f ca="1">HN74-TODAY()</f>
        <v>1063</v>
      </c>
      <c r="HP74" s="15" t="str">
        <f t="shared" ca="1" si="221"/>
        <v>VIGENTE</v>
      </c>
      <c r="HQ74" s="12"/>
      <c r="HR74" s="13">
        <v>45386</v>
      </c>
      <c r="HS74" s="14">
        <f>DATE(YEAR(HR74)+5,MONTH(HR74),DAY(HR74))</f>
        <v>47212</v>
      </c>
      <c r="HT74" s="65">
        <f ca="1">HS74-TODAY()</f>
        <v>1081</v>
      </c>
      <c r="HU74" s="15" t="str">
        <f t="shared" ca="1" si="315"/>
        <v>VIGENTE</v>
      </c>
      <c r="HV74" s="13">
        <v>44560</v>
      </c>
      <c r="HW74" s="14">
        <v>45243</v>
      </c>
      <c r="HX74" s="14">
        <f>DATE(YEAR(HW74)+5,MONTH(HW74),DAY(HW74))</f>
        <v>47070</v>
      </c>
      <c r="HY74" s="65">
        <f ca="1">HX74-TODAY()</f>
        <v>939</v>
      </c>
      <c r="HZ74" s="15" t="str">
        <f t="shared" ca="1" si="316"/>
        <v>VIGENTE</v>
      </c>
      <c r="IA74" s="13">
        <v>44557</v>
      </c>
      <c r="IB74" s="14">
        <v>45241</v>
      </c>
      <c r="IC74" s="14">
        <f>DATE(YEAR(IB74)+5,MONTH(IB74),DAY(IB74))</f>
        <v>47068</v>
      </c>
      <c r="ID74" s="65">
        <f ca="1">IC74-TODAY()</f>
        <v>937</v>
      </c>
      <c r="IE74" s="15" t="str">
        <f t="shared" ca="1" si="317"/>
        <v>VIGENTE</v>
      </c>
      <c r="IF74" s="13">
        <v>44558</v>
      </c>
      <c r="IG74" s="14">
        <v>45192</v>
      </c>
      <c r="IH74" s="14">
        <f>DATE(YEAR(IG74)+5,MONTH(IG74),DAY(IG74))</f>
        <v>47019</v>
      </c>
      <c r="II74" s="65">
        <f ca="1">IH74-TODAY()</f>
        <v>888</v>
      </c>
      <c r="IJ74" s="15" t="str">
        <f t="shared" ca="1" si="318"/>
        <v>VIGENTE</v>
      </c>
      <c r="IK74" s="14">
        <v>44559</v>
      </c>
      <c r="IL74" s="14">
        <v>45238</v>
      </c>
      <c r="IM74" s="14">
        <f>DATE(YEAR(IL74)+5,MONTH(IL74),DAY(IL74))</f>
        <v>47065</v>
      </c>
      <c r="IN74" s="65">
        <f ca="1">IM74-TODAY()</f>
        <v>934</v>
      </c>
      <c r="IO74" s="15" t="str">
        <f t="shared" ca="1" si="319"/>
        <v>VIGENTE</v>
      </c>
      <c r="IP74" s="13">
        <v>44559</v>
      </c>
      <c r="IQ74" s="14">
        <v>45239</v>
      </c>
      <c r="IR74" s="14">
        <f>DATE(YEAR(IQ74)+5,MONTH(IQ74),DAY(IQ74))</f>
        <v>47066</v>
      </c>
      <c r="IS74" s="65">
        <f ca="1">IR74-TODAY()</f>
        <v>935</v>
      </c>
      <c r="IT74" s="15" t="str">
        <f t="shared" ca="1" si="320"/>
        <v>VIGENTE</v>
      </c>
      <c r="IU74" s="13">
        <v>44558</v>
      </c>
      <c r="IV74" s="14">
        <v>45240</v>
      </c>
      <c r="IW74" s="14">
        <f>DATE(YEAR(IV74)+5,MONTH(IV74),DAY(IV74))</f>
        <v>47067</v>
      </c>
      <c r="IX74" s="65">
        <f ca="1">IW74-TODAY()</f>
        <v>936</v>
      </c>
      <c r="IY74" s="15" t="str">
        <f t="shared" ca="1" si="321"/>
        <v>VIGENTE</v>
      </c>
      <c r="IZ74" s="13">
        <v>44557</v>
      </c>
      <c r="JA74" s="14">
        <v>45251</v>
      </c>
      <c r="JB74" s="14">
        <f>DATE(YEAR(JA74)+5,MONTH(JA74),DAY(JA74))</f>
        <v>47078</v>
      </c>
      <c r="JC74" s="65">
        <f ca="1">JB74-TODAY()</f>
        <v>947</v>
      </c>
      <c r="JD74" s="15" t="str">
        <f t="shared" ca="1" si="322"/>
        <v>VIGENTE</v>
      </c>
      <c r="JE74" s="13"/>
      <c r="JF74" s="13"/>
      <c r="JG74" s="14"/>
      <c r="JH74" s="65"/>
      <c r="JI74" s="15" t="str">
        <f t="shared" si="323"/>
        <v>NO APLICA</v>
      </c>
      <c r="JJ74" s="16"/>
      <c r="JK74" s="16"/>
      <c r="JL74" s="16"/>
      <c r="JM74" s="15" t="str">
        <f t="shared" si="324"/>
        <v>NO APLICA</v>
      </c>
      <c r="JN74" s="16"/>
      <c r="JO74" s="16"/>
      <c r="JP74" s="16"/>
      <c r="JQ74" s="15" t="str">
        <f t="shared" si="325"/>
        <v>NO APLICA</v>
      </c>
      <c r="JR74" s="16"/>
      <c r="JS74" s="16"/>
      <c r="JT74" s="16"/>
      <c r="JU74" s="16"/>
      <c r="JV74" s="15" t="str">
        <f t="shared" si="326"/>
        <v>NO APLICA</v>
      </c>
      <c r="JW74" s="15"/>
      <c r="JX74" s="15"/>
      <c r="JY74" s="15"/>
      <c r="JZ74" s="15"/>
      <c r="KA74" s="15" t="str">
        <f t="shared" si="327"/>
        <v>NO APLICA</v>
      </c>
      <c r="KB74" s="12"/>
      <c r="KC74" s="14"/>
      <c r="KD74" s="65"/>
      <c r="KE74" s="15" t="str">
        <f t="shared" si="328"/>
        <v>NO APLICA</v>
      </c>
      <c r="KF74" s="12"/>
      <c r="KG74" s="14"/>
      <c r="KH74" s="65"/>
      <c r="KI74" s="15" t="str">
        <f t="shared" si="345"/>
        <v>NO APLICA</v>
      </c>
      <c r="KJ74" s="12"/>
      <c r="KK74" s="14"/>
      <c r="KL74" s="65"/>
      <c r="KM74" s="15" t="str">
        <f t="shared" si="329"/>
        <v>NO APLICA</v>
      </c>
      <c r="KN74" s="12"/>
      <c r="KO74" s="14"/>
      <c r="KP74" s="65"/>
      <c r="KQ74" s="15" t="str">
        <f t="shared" si="346"/>
        <v>NO APLICA</v>
      </c>
      <c r="KR74" s="13">
        <v>44650</v>
      </c>
      <c r="KS74" s="14">
        <v>44651</v>
      </c>
      <c r="KT74" s="14">
        <f>DATE(YEAR(KS74)+5,MONTH(KS74),DAY(KS74))</f>
        <v>46477</v>
      </c>
      <c r="KU74" s="65">
        <f ca="1">KT74-TODAY()</f>
        <v>346</v>
      </c>
      <c r="KV74" s="15" t="str">
        <f t="shared" ca="1" si="355"/>
        <v>VIGENTE</v>
      </c>
      <c r="KW74" s="14">
        <v>44603</v>
      </c>
      <c r="KX74" s="14">
        <f>DATE(YEAR(KW74)+5,MONTH(KW74),DAY(KW74))</f>
        <v>46429</v>
      </c>
      <c r="KY74" s="65">
        <f ca="1">KX74-TODAY()</f>
        <v>298</v>
      </c>
      <c r="KZ74" s="15" t="str">
        <f t="shared" ca="1" si="347"/>
        <v>VIGENTE</v>
      </c>
      <c r="LA74" s="16"/>
      <c r="LB74" s="14">
        <v>45611</v>
      </c>
      <c r="LC74" s="14">
        <f>DATE(YEAR(LB74)+2,MONTH(LB74),DAY(LB74))</f>
        <v>46341</v>
      </c>
      <c r="LD74" s="65">
        <f ca="1">LC74-TODAY()</f>
        <v>210</v>
      </c>
      <c r="LE74" s="15" t="str">
        <f t="shared" ca="1" si="330"/>
        <v>VIGENTE</v>
      </c>
      <c r="LF74" s="15"/>
      <c r="LG74" s="15"/>
      <c r="LH74" s="14"/>
      <c r="LI74" s="65"/>
      <c r="LJ74" s="15" t="str">
        <f t="shared" si="356"/>
        <v>NO APLICA</v>
      </c>
      <c r="LK74" s="12"/>
      <c r="LL74" s="16"/>
      <c r="LM74" s="14"/>
      <c r="LN74" s="65"/>
      <c r="LO74" s="15" t="str">
        <f t="shared" si="348"/>
        <v>NO APLICA</v>
      </c>
      <c r="LP74" s="14">
        <v>44984</v>
      </c>
      <c r="LQ74" s="14">
        <v>44986</v>
      </c>
      <c r="LR74" s="14">
        <f>DATE(YEAR(LQ74)+5,MONTH(LQ74),DAY(LQ74))</f>
        <v>46813</v>
      </c>
      <c r="LS74" s="65">
        <f ca="1">LR74-TODAY()</f>
        <v>682</v>
      </c>
      <c r="LT74" s="15" t="str">
        <f t="shared" ca="1" si="349"/>
        <v>VIGENTE</v>
      </c>
      <c r="LU74" s="14">
        <v>44987</v>
      </c>
      <c r="LV74" s="14">
        <v>44988</v>
      </c>
      <c r="LW74" s="14">
        <f>DATE(YEAR(LV74)+5,MONTH(LV74),DAY(LV74))</f>
        <v>46815</v>
      </c>
      <c r="LX74" s="65">
        <f ca="1">LW74-TODAY()</f>
        <v>684</v>
      </c>
      <c r="LY74" s="15" t="str">
        <f t="shared" ca="1" si="350"/>
        <v>VIGENTE</v>
      </c>
      <c r="LZ74" s="12"/>
      <c r="MA74" s="12"/>
      <c r="MB74" s="14"/>
      <c r="MC74" s="65"/>
      <c r="MD74" s="15" t="str">
        <f t="shared" si="331"/>
        <v>NO APLICA</v>
      </c>
      <c r="ME74" s="12"/>
      <c r="MF74" s="12"/>
      <c r="MG74" s="14"/>
      <c r="MH74" s="65"/>
      <c r="MI74" s="15" t="str">
        <f t="shared" si="332"/>
        <v>NO APLICA</v>
      </c>
      <c r="MJ74" s="12"/>
      <c r="MK74" s="14"/>
      <c r="ML74" s="65"/>
      <c r="MM74" s="15" t="str">
        <f t="shared" si="333"/>
        <v>NO APLICA</v>
      </c>
      <c r="MN74" s="12"/>
      <c r="MO74" s="14"/>
      <c r="MP74" s="12"/>
      <c r="MQ74" s="15" t="str">
        <f t="shared" si="334"/>
        <v>NO APLICA</v>
      </c>
      <c r="MR74" s="12"/>
      <c r="MS74" s="14">
        <v>44834</v>
      </c>
      <c r="MT74" s="14">
        <f>DATE(YEAR(MS74)+5,MONTH(MS74),DAY(MS74))</f>
        <v>46660</v>
      </c>
      <c r="MU74" s="65">
        <f ca="1">MT74-TODAY()</f>
        <v>529</v>
      </c>
      <c r="MV74" s="15" t="str">
        <f t="shared" ca="1" si="335"/>
        <v>VIGENTE</v>
      </c>
      <c r="MW74" s="12"/>
      <c r="MX74" s="14">
        <v>44835</v>
      </c>
      <c r="MY74" s="14">
        <f>DATE(YEAR(MX74)+5,MONTH(MX74),DAY(MX74))</f>
        <v>46661</v>
      </c>
      <c r="MZ74" s="65">
        <f ca="1">MY74-TODAY()</f>
        <v>530</v>
      </c>
      <c r="NA74" s="15" t="str">
        <f t="shared" ca="1" si="336"/>
        <v>VIGENTE</v>
      </c>
      <c r="NB74" s="12"/>
      <c r="NC74" s="14">
        <v>44751</v>
      </c>
      <c r="ND74" s="14">
        <f>DATE(YEAR(NC74)+5,MONTH(NC74),DAY(NC74))</f>
        <v>46577</v>
      </c>
      <c r="NE74" s="65">
        <f ca="1">ND74-TODAY()</f>
        <v>446</v>
      </c>
      <c r="NF74" s="15" t="str">
        <f t="shared" ca="1" si="337"/>
        <v>VIGENTE</v>
      </c>
      <c r="NG74" s="12"/>
      <c r="NH74" s="12"/>
      <c r="NI74" s="14"/>
      <c r="NJ74" s="65"/>
      <c r="NK74" s="15" t="str">
        <f t="shared" si="338"/>
        <v>NO APLICA</v>
      </c>
      <c r="NL74" s="12"/>
      <c r="NM74" s="12"/>
      <c r="NN74" s="14"/>
      <c r="NO74" s="12"/>
      <c r="NP74" s="15" t="str">
        <f t="shared" si="339"/>
        <v>NO APLICA</v>
      </c>
      <c r="NQ74" s="16"/>
      <c r="NR74" s="16"/>
      <c r="NS74" s="14"/>
      <c r="NT74" s="65"/>
      <c r="NU74" s="15" t="str">
        <f t="shared" si="340"/>
        <v>NO APLICA</v>
      </c>
      <c r="NV74" s="16"/>
      <c r="NW74" s="16"/>
      <c r="NX74" s="16"/>
      <c r="NY74" s="16"/>
      <c r="NZ74" s="15" t="str">
        <f t="shared" si="341"/>
        <v>NO APLICA</v>
      </c>
    </row>
    <row r="75" spans="1:390" ht="15.6" thickTop="1" thickBot="1" x14ac:dyDescent="0.35">
      <c r="A75" s="9">
        <v>899</v>
      </c>
      <c r="B75" s="10" t="s">
        <v>327</v>
      </c>
      <c r="C75" s="21" t="s">
        <v>104</v>
      </c>
      <c r="D75" s="64" t="s">
        <v>206</v>
      </c>
      <c r="E75" s="15"/>
      <c r="F75" s="16"/>
      <c r="G75" s="14"/>
      <c r="H75" s="65"/>
      <c r="I75" s="15" t="str">
        <f t="shared" si="235"/>
        <v>NO APLICA</v>
      </c>
      <c r="J75" s="12"/>
      <c r="K75" s="16"/>
      <c r="L75" s="16"/>
      <c r="M75" s="65"/>
      <c r="N75" s="15" t="str">
        <f t="shared" si="236"/>
        <v>NO APLICA</v>
      </c>
      <c r="O75" s="16"/>
      <c r="P75" s="16"/>
      <c r="Q75" s="14"/>
      <c r="R75" s="65"/>
      <c r="S75" s="15" t="str">
        <f t="shared" si="342"/>
        <v>NO APLICA</v>
      </c>
      <c r="T75" s="12" t="s">
        <v>328</v>
      </c>
      <c r="U75" s="13">
        <v>44800</v>
      </c>
      <c r="V75" s="14">
        <v>44801</v>
      </c>
      <c r="W75" s="14">
        <f t="shared" si="237"/>
        <v>46627</v>
      </c>
      <c r="X75" s="65">
        <f t="shared" ca="1" si="238"/>
        <v>496</v>
      </c>
      <c r="Y75" s="15" t="str">
        <f t="shared" ca="1" si="239"/>
        <v>VIGENTE</v>
      </c>
      <c r="Z75" s="12" t="s">
        <v>329</v>
      </c>
      <c r="AA75" s="13">
        <v>44830</v>
      </c>
      <c r="AB75" s="14">
        <v>44831</v>
      </c>
      <c r="AC75" s="14">
        <f t="shared" si="365"/>
        <v>46657</v>
      </c>
      <c r="AD75" s="65">
        <f t="shared" ca="1" si="366"/>
        <v>526</v>
      </c>
      <c r="AE75" s="15" t="str">
        <f t="shared" ca="1" si="367"/>
        <v>VIGENTE</v>
      </c>
      <c r="AF75" s="13">
        <v>45334</v>
      </c>
      <c r="AG75" s="14">
        <v>46006</v>
      </c>
      <c r="AH75" s="14">
        <f>DATE(YEAR(AG75)+2,MONTH(AG75),DAY(AG75))</f>
        <v>46736</v>
      </c>
      <c r="AI75" s="65">
        <f t="shared" ca="1" si="241"/>
        <v>605</v>
      </c>
      <c r="AJ75" s="15" t="str">
        <f t="shared" ca="1" si="213"/>
        <v>VIGENTE</v>
      </c>
      <c r="AK75" s="13">
        <v>44643</v>
      </c>
      <c r="AL75" s="14">
        <v>45937</v>
      </c>
      <c r="AM75" s="14">
        <f>DATE(YEAR(AL75)+2,MONTH(AL75),DAY(AL75))</f>
        <v>46667</v>
      </c>
      <c r="AN75" s="65">
        <f t="shared" ca="1" si="242"/>
        <v>536</v>
      </c>
      <c r="AO75" s="15" t="str">
        <f t="shared" ca="1" si="243"/>
        <v>VIGENTE</v>
      </c>
      <c r="AP75" s="13">
        <v>45298</v>
      </c>
      <c r="AQ75" s="14">
        <v>45967</v>
      </c>
      <c r="AR75" s="14">
        <f>DATE(YEAR(AQ75)+2,MONTH(AQ75),DAY(AQ75))</f>
        <v>46697</v>
      </c>
      <c r="AS75" s="65">
        <f t="shared" ca="1" si="244"/>
        <v>566</v>
      </c>
      <c r="AT75" s="15" t="str">
        <f t="shared" ca="1" si="245"/>
        <v>VIGENTE</v>
      </c>
      <c r="AU75" s="13">
        <v>44665</v>
      </c>
      <c r="AV75" s="14">
        <v>45952</v>
      </c>
      <c r="AW75" s="14">
        <f>DATE(YEAR(AV75)+2,MONTH(AV75),DAY(AV75))</f>
        <v>46682</v>
      </c>
      <c r="AX75" s="65">
        <f t="shared" ca="1" si="246"/>
        <v>551</v>
      </c>
      <c r="AY75" s="15" t="str">
        <f t="shared" ca="1" si="247"/>
        <v>VIGENTE</v>
      </c>
      <c r="AZ75" s="13">
        <v>44839</v>
      </c>
      <c r="BA75" s="14">
        <v>46071</v>
      </c>
      <c r="BB75" s="14">
        <f>DATE(YEAR(BA75)+2,MONTH(BA75),DAY(BA75))</f>
        <v>46801</v>
      </c>
      <c r="BC75" s="65">
        <f t="shared" ca="1" si="248"/>
        <v>670</v>
      </c>
      <c r="BD75" s="15" t="str">
        <f t="shared" ca="1" si="249"/>
        <v>VIGENTE</v>
      </c>
      <c r="BE75" s="13">
        <v>44688</v>
      </c>
      <c r="BF75" s="14">
        <v>45987</v>
      </c>
      <c r="BG75" s="14">
        <f>DATE(YEAR(BF75)+2,MONTH(BF75),DAY(BF75))</f>
        <v>46717</v>
      </c>
      <c r="BH75" s="65">
        <f t="shared" ca="1" si="250"/>
        <v>586</v>
      </c>
      <c r="BI75" s="15" t="str">
        <f t="shared" ca="1" si="251"/>
        <v>VIGENTE</v>
      </c>
      <c r="BJ75" s="13">
        <v>44795</v>
      </c>
      <c r="BK75" s="14">
        <v>46051</v>
      </c>
      <c r="BL75" s="14">
        <f>DATE(YEAR(BK75)+2,MONTH(BK75),DAY(BK75))</f>
        <v>46781</v>
      </c>
      <c r="BM75" s="65">
        <f t="shared" ca="1" si="252"/>
        <v>650</v>
      </c>
      <c r="BN75" s="15" t="str">
        <f t="shared" ca="1" si="253"/>
        <v>VIGENTE</v>
      </c>
      <c r="BO75" s="13">
        <v>44798</v>
      </c>
      <c r="BP75" s="14">
        <v>45478</v>
      </c>
      <c r="BQ75" s="14">
        <f>DATE(YEAR(BP75)+2,MONTH(BP75),DAY(BP75)-1)</f>
        <v>46207</v>
      </c>
      <c r="BR75" s="65">
        <f t="shared" ca="1" si="254"/>
        <v>76</v>
      </c>
      <c r="BS75" s="15" t="str">
        <f t="shared" ca="1" si="255"/>
        <v>POR VENCER</v>
      </c>
      <c r="BT75" s="13">
        <v>44810</v>
      </c>
      <c r="BU75" s="14">
        <v>45455</v>
      </c>
      <c r="BV75" s="14">
        <f>DATE(YEAR(BU75)+2,MONTH(BU75),DAY(BU75)-1)</f>
        <v>46184</v>
      </c>
      <c r="BW75" s="65">
        <f t="shared" ca="1" si="256"/>
        <v>53</v>
      </c>
      <c r="BX75" s="15" t="str">
        <f t="shared" ca="1" si="257"/>
        <v>POR VENCER</v>
      </c>
      <c r="BY75" s="13">
        <v>45300</v>
      </c>
      <c r="BZ75" s="14">
        <v>45954</v>
      </c>
      <c r="CA75" s="14">
        <f>DATE(YEAR(BZ75)+2,MONTH(BZ75),DAY(BZ75))</f>
        <v>46684</v>
      </c>
      <c r="CB75" s="65">
        <f t="shared" ca="1" si="258"/>
        <v>553</v>
      </c>
      <c r="CC75" s="15" t="str">
        <f t="shared" ca="1" si="259"/>
        <v>VIGENTE</v>
      </c>
      <c r="CD75" s="16" t="s">
        <v>108</v>
      </c>
      <c r="CE75" s="14">
        <v>45261</v>
      </c>
      <c r="CF75" s="14">
        <v>45262</v>
      </c>
      <c r="CG75" s="14">
        <f t="shared" si="260"/>
        <v>46723</v>
      </c>
      <c r="CH75" s="65">
        <f t="shared" ca="1" si="261"/>
        <v>592</v>
      </c>
      <c r="CI75" s="15" t="str">
        <f t="shared" ca="1" si="262"/>
        <v>VIGENTE</v>
      </c>
      <c r="CJ75" s="14">
        <v>44881</v>
      </c>
      <c r="CK75" s="14">
        <v>45504</v>
      </c>
      <c r="CL75" s="14">
        <f t="shared" si="364"/>
        <v>46233</v>
      </c>
      <c r="CM75" s="65">
        <f t="shared" ca="1" si="263"/>
        <v>102</v>
      </c>
      <c r="CN75" s="15" t="str">
        <f t="shared" ca="1" si="264"/>
        <v>VIGENTE</v>
      </c>
      <c r="CO75" s="13">
        <v>44900</v>
      </c>
      <c r="CP75" s="14">
        <v>45517</v>
      </c>
      <c r="CQ75" s="14">
        <f t="shared" si="357"/>
        <v>46246</v>
      </c>
      <c r="CR75" s="65">
        <f t="shared" ca="1" si="265"/>
        <v>115</v>
      </c>
      <c r="CS75" s="15" t="str">
        <f t="shared" ca="1" si="266"/>
        <v>VIGENTE</v>
      </c>
      <c r="CT75" s="13">
        <v>44970</v>
      </c>
      <c r="CU75" s="14">
        <v>45631</v>
      </c>
      <c r="CV75" s="14">
        <f t="shared" si="358"/>
        <v>46360</v>
      </c>
      <c r="CW75" s="65">
        <f t="shared" ca="1" si="267"/>
        <v>229</v>
      </c>
      <c r="CX75" s="15" t="str">
        <f t="shared" ca="1" si="268"/>
        <v>VIGENTE</v>
      </c>
      <c r="CY75" s="13">
        <v>44991</v>
      </c>
      <c r="CZ75" s="14">
        <v>45665</v>
      </c>
      <c r="DA75" s="14">
        <f t="shared" si="359"/>
        <v>46394</v>
      </c>
      <c r="DB75" s="65">
        <f t="shared" ca="1" si="269"/>
        <v>263</v>
      </c>
      <c r="DC75" s="15" t="str">
        <f t="shared" ca="1" si="270"/>
        <v>VIGENTE</v>
      </c>
      <c r="DD75" s="13">
        <v>45020</v>
      </c>
      <c r="DE75" s="14">
        <v>45689</v>
      </c>
      <c r="DF75" s="14">
        <f t="shared" si="372"/>
        <v>46418</v>
      </c>
      <c r="DG75" s="65">
        <f t="shared" ca="1" si="271"/>
        <v>287</v>
      </c>
      <c r="DH75" s="15" t="str">
        <f t="shared" ca="1" si="272"/>
        <v>VIGENTE</v>
      </c>
      <c r="DI75" s="13">
        <v>45402</v>
      </c>
      <c r="DJ75" s="14">
        <v>46029</v>
      </c>
      <c r="DK75" s="14">
        <f>DATE(YEAR(DJ75)+2,MONTH(DJ75),DAY(DJ75))</f>
        <v>46759</v>
      </c>
      <c r="DL75" s="65">
        <f t="shared" ca="1" si="273"/>
        <v>628</v>
      </c>
      <c r="DM75" s="15" t="str">
        <f t="shared" ca="1" si="274"/>
        <v>VIGENTE</v>
      </c>
      <c r="DN75" s="13">
        <v>44839</v>
      </c>
      <c r="DO75" s="14">
        <v>45473</v>
      </c>
      <c r="DP75" s="14">
        <f>DATE(YEAR(DO75)+2,MONTH(DO75),DAY(DO75)-1)</f>
        <v>46202</v>
      </c>
      <c r="DQ75" s="65">
        <f t="shared" ca="1" si="275"/>
        <v>71</v>
      </c>
      <c r="DR75" s="15" t="str">
        <f t="shared" ca="1" si="276"/>
        <v>POR VENCER</v>
      </c>
      <c r="DS75" s="13">
        <v>44824</v>
      </c>
      <c r="DT75" s="14">
        <v>46053</v>
      </c>
      <c r="DU75" s="14">
        <f>DATE(YEAR(DT75)+2,MONTH(DT75),DAY(DT75))</f>
        <v>46783</v>
      </c>
      <c r="DV75" s="65">
        <f t="shared" ca="1" si="277"/>
        <v>652</v>
      </c>
      <c r="DW75" s="15" t="str">
        <f t="shared" ca="1" si="278"/>
        <v>VIGENTE</v>
      </c>
      <c r="DX75" s="13">
        <v>44840</v>
      </c>
      <c r="DY75" s="14">
        <v>45474</v>
      </c>
      <c r="DZ75" s="14">
        <f t="shared" si="343"/>
        <v>46203</v>
      </c>
      <c r="EA75" s="65">
        <f t="shared" ca="1" si="279"/>
        <v>72</v>
      </c>
      <c r="EB75" s="15" t="str">
        <f t="shared" ca="1" si="280"/>
        <v>POR VENCER</v>
      </c>
      <c r="EC75" s="13">
        <v>44840</v>
      </c>
      <c r="ED75" s="14">
        <v>45462</v>
      </c>
      <c r="EE75" s="14">
        <f>DATE(YEAR(ED75)+2,MONTH(ED75),DAY(ED75)-1)</f>
        <v>46191</v>
      </c>
      <c r="EF75" s="65">
        <f t="shared" ca="1" si="281"/>
        <v>60</v>
      </c>
      <c r="EG75" s="15" t="str">
        <f t="shared" ca="1" si="282"/>
        <v>POR VENCER</v>
      </c>
      <c r="EH75" s="14">
        <v>45434</v>
      </c>
      <c r="EI75" s="13">
        <v>46013</v>
      </c>
      <c r="EJ75" s="13">
        <v>46014</v>
      </c>
      <c r="EK75" s="13">
        <v>46015</v>
      </c>
      <c r="EL75" s="14">
        <f t="shared" si="344"/>
        <v>46380</v>
      </c>
      <c r="EM75" s="65">
        <f t="shared" ca="1" si="283"/>
        <v>249</v>
      </c>
      <c r="EN75" s="15" t="str">
        <f t="shared" ca="1" si="284"/>
        <v>VIGENTE</v>
      </c>
      <c r="EO75" s="13">
        <v>44796</v>
      </c>
      <c r="EP75" s="14">
        <v>45460</v>
      </c>
      <c r="EQ75" s="14">
        <f t="shared" si="360"/>
        <v>46189</v>
      </c>
      <c r="ER75" s="65">
        <f t="shared" ca="1" si="285"/>
        <v>58</v>
      </c>
      <c r="ES75" s="15" t="str">
        <f t="shared" ca="1" si="286"/>
        <v>POR VENCER</v>
      </c>
      <c r="ET75" s="13">
        <v>44824</v>
      </c>
      <c r="EU75" s="14">
        <v>45467</v>
      </c>
      <c r="EV75" s="14">
        <f t="shared" si="352"/>
        <v>46196</v>
      </c>
      <c r="EW75" s="65">
        <f t="shared" ca="1" si="287"/>
        <v>65</v>
      </c>
      <c r="EX75" s="15" t="str">
        <f t="shared" ca="1" si="288"/>
        <v>POR VENCER</v>
      </c>
      <c r="EY75" s="13">
        <v>44644</v>
      </c>
      <c r="EZ75" s="14">
        <v>45953</v>
      </c>
      <c r="FA75" s="14">
        <f>DATE(YEAR(EZ75)+2,MONTH(EZ75),DAY(EZ75))</f>
        <v>46683</v>
      </c>
      <c r="FB75" s="65">
        <f t="shared" ca="1" si="289"/>
        <v>552</v>
      </c>
      <c r="FC75" s="15" t="str">
        <f t="shared" ca="1" si="290"/>
        <v>VIGENTE</v>
      </c>
      <c r="FD75" s="13">
        <v>44644</v>
      </c>
      <c r="FE75" s="14">
        <v>45951</v>
      </c>
      <c r="FF75" s="14">
        <f>DATE(YEAR(FE75)+2,MONTH(FE75),DAY(FE75))</f>
        <v>46681</v>
      </c>
      <c r="FG75" s="65">
        <f t="shared" ca="1" si="291"/>
        <v>550</v>
      </c>
      <c r="FH75" s="15" t="str">
        <f t="shared" ca="1" si="292"/>
        <v>VIGENTE</v>
      </c>
      <c r="FI75" s="13">
        <v>45342</v>
      </c>
      <c r="FJ75" s="14">
        <v>45962</v>
      </c>
      <c r="FK75" s="14">
        <f>DATE(YEAR(FJ75)+2,MONTH(FJ75),DAY(FJ75))</f>
        <v>46692</v>
      </c>
      <c r="FL75" s="65">
        <f t="shared" ca="1" si="293"/>
        <v>561</v>
      </c>
      <c r="FM75" s="15" t="str">
        <f t="shared" ca="1" si="294"/>
        <v>VIGENTE</v>
      </c>
      <c r="FN75" s="13">
        <v>45055</v>
      </c>
      <c r="FO75" s="14">
        <v>45686</v>
      </c>
      <c r="FP75" s="14">
        <f t="shared" si="353"/>
        <v>46415</v>
      </c>
      <c r="FQ75" s="65">
        <f t="shared" ca="1" si="295"/>
        <v>284</v>
      </c>
      <c r="FR75" s="15" t="str">
        <f t="shared" ca="1" si="296"/>
        <v>VIGENTE</v>
      </c>
      <c r="FS75" s="13">
        <v>44797</v>
      </c>
      <c r="FT75" s="14">
        <v>45466</v>
      </c>
      <c r="FU75" s="14">
        <f t="shared" si="361"/>
        <v>46195</v>
      </c>
      <c r="FV75" s="65">
        <f t="shared" ca="1" si="297"/>
        <v>64</v>
      </c>
      <c r="FW75" s="15" t="str">
        <f t="shared" ca="1" si="298"/>
        <v>POR VENCER</v>
      </c>
      <c r="FX75" s="14">
        <v>44965</v>
      </c>
      <c r="FY75" s="14">
        <v>45587</v>
      </c>
      <c r="FZ75" s="14">
        <f t="shared" ref="FZ75:FZ80" si="373">DATE(YEAR(FY75)+2,MONTH(FY75),DAY(FY75)-1)</f>
        <v>46316</v>
      </c>
      <c r="GA75" s="65">
        <f t="shared" ca="1" si="299"/>
        <v>185</v>
      </c>
      <c r="GB75" s="15" t="str">
        <f t="shared" ca="1" si="300"/>
        <v>VIGENTE</v>
      </c>
      <c r="GC75" s="13">
        <v>45396</v>
      </c>
      <c r="GD75" s="14">
        <v>46030</v>
      </c>
      <c r="GE75" s="14">
        <f>DATE(YEAR(GD75)+2,MONTH(GD75),DAY(GD75))</f>
        <v>46760</v>
      </c>
      <c r="GF75" s="65">
        <f t="shared" ca="1" si="301"/>
        <v>629</v>
      </c>
      <c r="GG75" s="15" t="str">
        <f t="shared" ca="1" si="302"/>
        <v>VIGENTE</v>
      </c>
      <c r="GH75" s="13">
        <v>44796</v>
      </c>
      <c r="GI75" s="14">
        <v>45472</v>
      </c>
      <c r="GJ75" s="14">
        <f>DATE(YEAR(GI75)+2,MONTH(GI75),DAY(GI75)-1)</f>
        <v>46201</v>
      </c>
      <c r="GK75" s="65">
        <f t="shared" ca="1" si="303"/>
        <v>70</v>
      </c>
      <c r="GL75" s="15" t="str">
        <f t="shared" ca="1" si="304"/>
        <v>POR VENCER</v>
      </c>
      <c r="GM75" s="13">
        <v>45247</v>
      </c>
      <c r="GN75" s="14">
        <v>45923</v>
      </c>
      <c r="GO75" s="14">
        <f>DATE(YEAR(GN75)+2,MONTH(GN75),DAY(GN75))</f>
        <v>46653</v>
      </c>
      <c r="GP75" s="65">
        <f t="shared" ca="1" si="305"/>
        <v>522</v>
      </c>
      <c r="GQ75" s="15" t="str">
        <f t="shared" ca="1" si="306"/>
        <v>VIGENTE</v>
      </c>
      <c r="GR75" s="14">
        <v>44572</v>
      </c>
      <c r="GS75" s="14">
        <v>45244</v>
      </c>
      <c r="GT75" s="14">
        <f t="shared" si="307"/>
        <v>47071</v>
      </c>
      <c r="GU75" s="65">
        <f t="shared" ca="1" si="172"/>
        <v>940</v>
      </c>
      <c r="GV75" s="15" t="str">
        <f t="shared" ca="1" si="368"/>
        <v>VIGENTE</v>
      </c>
      <c r="GW75" s="13">
        <v>44574</v>
      </c>
      <c r="GX75" s="14">
        <v>45245</v>
      </c>
      <c r="GY75" s="14">
        <f t="shared" si="309"/>
        <v>47072</v>
      </c>
      <c r="GZ75" s="65">
        <f t="shared" ca="1" si="310"/>
        <v>941</v>
      </c>
      <c r="HA75" s="15" t="str">
        <f t="shared" ca="1" si="369"/>
        <v>VIGENTE</v>
      </c>
      <c r="HB75" s="13">
        <v>44566</v>
      </c>
      <c r="HC75" s="14">
        <v>45251</v>
      </c>
      <c r="HD75" s="14">
        <f t="shared" si="312"/>
        <v>47078</v>
      </c>
      <c r="HE75" s="65">
        <f t="shared" ca="1" si="313"/>
        <v>947</v>
      </c>
      <c r="HF75" s="15" t="str">
        <f t="shared" ca="1" si="370"/>
        <v>VIGENTE</v>
      </c>
      <c r="HG75" s="16"/>
      <c r="HH75" s="14">
        <v>44862</v>
      </c>
      <c r="HI75" s="14">
        <f t="shared" si="362"/>
        <v>46688</v>
      </c>
      <c r="HJ75" s="65">
        <f t="shared" ca="1" si="363"/>
        <v>557</v>
      </c>
      <c r="HK75" s="15" t="str">
        <f t="shared" ca="1" si="371"/>
        <v>VIGENTE</v>
      </c>
      <c r="HL75" s="13">
        <v>44635</v>
      </c>
      <c r="HM75" s="14">
        <v>45341</v>
      </c>
      <c r="HN75" s="14">
        <f>DATE(YEAR(HM75)+5,MONTH(HM75),DAY(HM75))</f>
        <v>47168</v>
      </c>
      <c r="HO75" s="65">
        <f ca="1">HN75-TODAY()</f>
        <v>1037</v>
      </c>
      <c r="HP75" s="15" t="str">
        <f t="shared" ca="1" si="221"/>
        <v>VIGENTE</v>
      </c>
      <c r="HQ75" s="12"/>
      <c r="HR75" s="13">
        <v>45374</v>
      </c>
      <c r="HS75" s="14">
        <f>DATE(YEAR(HR75)+5,MONTH(HR75),DAY(HR75))</f>
        <v>47200</v>
      </c>
      <c r="HT75" s="65">
        <f ca="1">HS75-TODAY()</f>
        <v>1069</v>
      </c>
      <c r="HU75" s="15" t="str">
        <f t="shared" ca="1" si="315"/>
        <v>VIGENTE</v>
      </c>
      <c r="HV75" s="13">
        <v>44797</v>
      </c>
      <c r="HW75" s="14">
        <v>45440</v>
      </c>
      <c r="HX75" s="14">
        <f>DATE(YEAR(HW75)+5,MONTH(HW75),DAY(HW75))</f>
        <v>47266</v>
      </c>
      <c r="HY75" s="65">
        <f ca="1">HX75-TODAY()</f>
        <v>1135</v>
      </c>
      <c r="HZ75" s="15" t="str">
        <f t="shared" ca="1" si="316"/>
        <v>VIGENTE</v>
      </c>
      <c r="IA75" s="13">
        <v>44793</v>
      </c>
      <c r="IB75" s="14">
        <v>45475</v>
      </c>
      <c r="IC75" s="14">
        <f>DATE(YEAR(IB75)+5,MONTH(IB75),DAY(IB75))</f>
        <v>47301</v>
      </c>
      <c r="ID75" s="65">
        <f ca="1">IC75-TODAY()</f>
        <v>1170</v>
      </c>
      <c r="IE75" s="15" t="str">
        <f t="shared" ca="1" si="317"/>
        <v>VIGENTE</v>
      </c>
      <c r="IF75" s="13">
        <v>44792</v>
      </c>
      <c r="IG75" s="14">
        <v>45444</v>
      </c>
      <c r="IH75" s="14">
        <f>DATE(YEAR(IG75)+5,MONTH(IG75),DAY(IG75))</f>
        <v>47270</v>
      </c>
      <c r="II75" s="65">
        <f ca="1">IH75-TODAY()</f>
        <v>1139</v>
      </c>
      <c r="IJ75" s="15" t="str">
        <f t="shared" ca="1" si="318"/>
        <v>VIGENTE</v>
      </c>
      <c r="IK75" s="14">
        <v>44791</v>
      </c>
      <c r="IL75" s="14">
        <v>45476</v>
      </c>
      <c r="IM75" s="14">
        <f>DATE(YEAR(IL75)+5,MONTH(IL75),DAY(IL75))</f>
        <v>47302</v>
      </c>
      <c r="IN75" s="65">
        <f ca="1">IM75-TODAY()</f>
        <v>1171</v>
      </c>
      <c r="IO75" s="15" t="str">
        <f t="shared" ca="1" si="319"/>
        <v>VIGENTE</v>
      </c>
      <c r="IP75" s="13">
        <v>44793</v>
      </c>
      <c r="IQ75" s="14">
        <v>45490</v>
      </c>
      <c r="IR75" s="14">
        <f>DATE(YEAR(IQ75)+5,MONTH(IQ75),DAY(IQ75))</f>
        <v>47316</v>
      </c>
      <c r="IS75" s="65">
        <f ca="1">IR75-TODAY()</f>
        <v>1185</v>
      </c>
      <c r="IT75" s="15" t="str">
        <f t="shared" ca="1" si="320"/>
        <v>VIGENTE</v>
      </c>
      <c r="IU75" s="13">
        <v>44792</v>
      </c>
      <c r="IV75" s="14">
        <v>45471</v>
      </c>
      <c r="IW75" s="14">
        <f>DATE(YEAR(IV75)+5,MONTH(IV75),DAY(IV75))</f>
        <v>47297</v>
      </c>
      <c r="IX75" s="65">
        <f ca="1">IW75-TODAY()</f>
        <v>1166</v>
      </c>
      <c r="IY75" s="15" t="str">
        <f t="shared" ca="1" si="321"/>
        <v>VIGENTE</v>
      </c>
      <c r="IZ75" s="13">
        <v>44791</v>
      </c>
      <c r="JA75" s="14">
        <v>45491</v>
      </c>
      <c r="JB75" s="14">
        <f>DATE(YEAR(JA75)+5,MONTH(JA75),DAY(JA75))</f>
        <v>47317</v>
      </c>
      <c r="JC75" s="65">
        <f ca="1">JB75-TODAY()</f>
        <v>1186</v>
      </c>
      <c r="JD75" s="15" t="str">
        <f t="shared" ca="1" si="322"/>
        <v>VIGENTE</v>
      </c>
      <c r="JE75" s="13"/>
      <c r="JF75" s="13"/>
      <c r="JG75" s="14"/>
      <c r="JH75" s="65"/>
      <c r="JI75" s="15" t="str">
        <f t="shared" si="323"/>
        <v>NO APLICA</v>
      </c>
      <c r="JJ75" s="16"/>
      <c r="JK75" s="16"/>
      <c r="JL75" s="16"/>
      <c r="JM75" s="15" t="str">
        <f t="shared" si="324"/>
        <v>NO APLICA</v>
      </c>
      <c r="JN75" s="16"/>
      <c r="JO75" s="16"/>
      <c r="JP75" s="16"/>
      <c r="JQ75" s="15" t="str">
        <f t="shared" si="325"/>
        <v>NO APLICA</v>
      </c>
      <c r="JR75" s="16"/>
      <c r="JS75" s="16"/>
      <c r="JT75" s="16"/>
      <c r="JU75" s="16"/>
      <c r="JV75" s="15" t="str">
        <f t="shared" si="326"/>
        <v>NO APLICA</v>
      </c>
      <c r="JW75" s="15"/>
      <c r="JX75" s="15"/>
      <c r="JY75" s="15"/>
      <c r="JZ75" s="15"/>
      <c r="KA75" s="15" t="str">
        <f t="shared" si="327"/>
        <v>NO APLICA</v>
      </c>
      <c r="KB75" s="12"/>
      <c r="KC75" s="14"/>
      <c r="KD75" s="65"/>
      <c r="KE75" s="15" t="str">
        <f t="shared" si="328"/>
        <v>NO APLICA</v>
      </c>
      <c r="KF75" s="12"/>
      <c r="KG75" s="14"/>
      <c r="KH75" s="65"/>
      <c r="KI75" s="15" t="str">
        <f t="shared" si="345"/>
        <v>NO APLICA</v>
      </c>
      <c r="KJ75" s="12"/>
      <c r="KK75" s="14"/>
      <c r="KL75" s="65"/>
      <c r="KM75" s="15" t="str">
        <f t="shared" si="329"/>
        <v>NO APLICA</v>
      </c>
      <c r="KN75" s="13">
        <v>45346</v>
      </c>
      <c r="KO75" s="14">
        <f>DATE(YEAR(KN75)+5,MONTH(KN75),DAY(KN75))</f>
        <v>47173</v>
      </c>
      <c r="KP75" s="65">
        <f ca="1">KO75-TODAY()</f>
        <v>1042</v>
      </c>
      <c r="KQ75" s="15" t="str">
        <f t="shared" ca="1" si="346"/>
        <v>VIGENTE</v>
      </c>
      <c r="KR75" s="13">
        <v>44650</v>
      </c>
      <c r="KS75" s="14">
        <v>44651</v>
      </c>
      <c r="KT75" s="14">
        <f>DATE(YEAR(KS75)+5,MONTH(KS75),DAY(KS75))</f>
        <v>46477</v>
      </c>
      <c r="KU75" s="65">
        <f ca="1">KT75-TODAY()</f>
        <v>346</v>
      </c>
      <c r="KV75" s="15" t="str">
        <f t="shared" ca="1" si="355"/>
        <v>VIGENTE</v>
      </c>
      <c r="KW75" s="16"/>
      <c r="KX75" s="14"/>
      <c r="KY75" s="65"/>
      <c r="KZ75" s="15" t="str">
        <f t="shared" si="347"/>
        <v>NO APLICA</v>
      </c>
      <c r="LA75" s="14">
        <v>44490</v>
      </c>
      <c r="LB75" s="14">
        <v>45516</v>
      </c>
      <c r="LC75" s="14">
        <f>DATE(YEAR(LB75)+2,MONTH(LB75),DAY(LB75))</f>
        <v>46246</v>
      </c>
      <c r="LD75" s="65">
        <f ca="1">LC75-TODAY()</f>
        <v>115</v>
      </c>
      <c r="LE75" s="15" t="str">
        <f t="shared" ca="1" si="330"/>
        <v>VIGENTE</v>
      </c>
      <c r="LF75" s="15"/>
      <c r="LG75" s="15"/>
      <c r="LH75" s="14"/>
      <c r="LI75" s="65"/>
      <c r="LJ75" s="15" t="str">
        <f t="shared" si="356"/>
        <v>NO APLICA</v>
      </c>
      <c r="LK75" s="12"/>
      <c r="LL75" s="16"/>
      <c r="LM75" s="14"/>
      <c r="LN75" s="65"/>
      <c r="LO75" s="15" t="str">
        <f t="shared" si="348"/>
        <v>NO APLICA</v>
      </c>
      <c r="LP75" s="16"/>
      <c r="LQ75" s="16"/>
      <c r="LR75" s="14"/>
      <c r="LS75" s="65"/>
      <c r="LT75" s="15" t="str">
        <f t="shared" si="349"/>
        <v>NO APLICA</v>
      </c>
      <c r="LU75" s="16"/>
      <c r="LV75" s="16"/>
      <c r="LW75" s="14"/>
      <c r="LX75" s="65"/>
      <c r="LY75" s="15" t="str">
        <f t="shared" si="350"/>
        <v>NO APLICA</v>
      </c>
      <c r="LZ75" s="12"/>
      <c r="MA75" s="12"/>
      <c r="MB75" s="14"/>
      <c r="MC75" s="65"/>
      <c r="MD75" s="15" t="str">
        <f t="shared" si="331"/>
        <v>NO APLICA</v>
      </c>
      <c r="ME75" s="12"/>
      <c r="MF75" s="12"/>
      <c r="MG75" s="14"/>
      <c r="MH75" s="65"/>
      <c r="MI75" s="15" t="str">
        <f t="shared" si="332"/>
        <v>NO APLICA</v>
      </c>
      <c r="MJ75" s="12"/>
      <c r="MK75" s="14"/>
      <c r="ML75" s="65"/>
      <c r="MM75" s="15" t="str">
        <f t="shared" si="333"/>
        <v>NO APLICA</v>
      </c>
      <c r="MN75" s="12"/>
      <c r="MO75" s="14"/>
      <c r="MP75" s="12"/>
      <c r="MQ75" s="15" t="str">
        <f t="shared" si="334"/>
        <v>NO APLICA</v>
      </c>
      <c r="MR75" s="12"/>
      <c r="MS75" s="16"/>
      <c r="MT75" s="14"/>
      <c r="MU75" s="65"/>
      <c r="MV75" s="15" t="str">
        <f t="shared" si="335"/>
        <v>NO APLICA</v>
      </c>
      <c r="MW75" s="12"/>
      <c r="MX75" s="16"/>
      <c r="MY75" s="14"/>
      <c r="MZ75" s="65"/>
      <c r="NA75" s="15" t="str">
        <f t="shared" si="336"/>
        <v>NO APLICA</v>
      </c>
      <c r="NB75" s="12"/>
      <c r="NC75" s="16"/>
      <c r="ND75" s="14"/>
      <c r="NE75" s="65"/>
      <c r="NF75" s="15" t="str">
        <f t="shared" si="337"/>
        <v>NO APLICA</v>
      </c>
      <c r="NG75" s="12"/>
      <c r="NH75" s="12"/>
      <c r="NI75" s="14"/>
      <c r="NJ75" s="65"/>
      <c r="NK75" s="15" t="str">
        <f t="shared" si="338"/>
        <v>NO APLICA</v>
      </c>
      <c r="NL75" s="12"/>
      <c r="NM75" s="12"/>
      <c r="NN75" s="12"/>
      <c r="NO75" s="12"/>
      <c r="NP75" s="15" t="str">
        <f t="shared" si="339"/>
        <v>NO APLICA</v>
      </c>
      <c r="NQ75" s="16"/>
      <c r="NR75" s="16"/>
      <c r="NS75" s="14"/>
      <c r="NT75" s="65"/>
      <c r="NU75" s="15" t="str">
        <f t="shared" si="340"/>
        <v>NO APLICA</v>
      </c>
      <c r="NV75" s="16"/>
      <c r="NW75" s="16"/>
      <c r="NX75" s="16"/>
      <c r="NY75" s="16"/>
      <c r="NZ75" s="15" t="str">
        <f t="shared" si="341"/>
        <v>NO APLICA</v>
      </c>
    </row>
    <row r="76" spans="1:390" ht="15.6" thickTop="1" thickBot="1" x14ac:dyDescent="0.35">
      <c r="A76" s="11">
        <v>1628</v>
      </c>
      <c r="B76" s="10" t="s">
        <v>330</v>
      </c>
      <c r="C76" s="21" t="s">
        <v>104</v>
      </c>
      <c r="D76" s="64" t="s">
        <v>110</v>
      </c>
      <c r="E76" s="15"/>
      <c r="F76" s="16"/>
      <c r="G76" s="14"/>
      <c r="H76" s="65"/>
      <c r="I76" s="15" t="str">
        <f t="shared" si="235"/>
        <v>NO APLICA</v>
      </c>
      <c r="J76" s="12"/>
      <c r="K76" s="16"/>
      <c r="L76" s="16"/>
      <c r="M76" s="65"/>
      <c r="N76" s="15" t="str">
        <f t="shared" si="236"/>
        <v>NO APLICA</v>
      </c>
      <c r="O76" s="16"/>
      <c r="P76" s="16"/>
      <c r="Q76" s="14"/>
      <c r="R76" s="65"/>
      <c r="S76" s="15" t="str">
        <f t="shared" si="342"/>
        <v>NO APLICA</v>
      </c>
      <c r="T76" s="12" t="s">
        <v>331</v>
      </c>
      <c r="U76" s="13">
        <v>45499</v>
      </c>
      <c r="V76" s="14">
        <v>45500</v>
      </c>
      <c r="W76" s="14">
        <f t="shared" si="237"/>
        <v>47326</v>
      </c>
      <c r="X76" s="65">
        <f t="shared" ca="1" si="238"/>
        <v>1195</v>
      </c>
      <c r="Y76" s="15" t="str">
        <f t="shared" ca="1" si="239"/>
        <v>VIGENTE</v>
      </c>
      <c r="Z76" s="12" t="s">
        <v>332</v>
      </c>
      <c r="AA76" s="13">
        <v>44987</v>
      </c>
      <c r="AB76" s="14">
        <v>44988</v>
      </c>
      <c r="AC76" s="14">
        <f t="shared" si="365"/>
        <v>46815</v>
      </c>
      <c r="AD76" s="65">
        <f t="shared" ca="1" si="366"/>
        <v>684</v>
      </c>
      <c r="AE76" s="15" t="str">
        <f t="shared" ca="1" si="367"/>
        <v>VIGENTE</v>
      </c>
      <c r="AF76" s="13">
        <v>44929</v>
      </c>
      <c r="AG76" s="14">
        <v>45617</v>
      </c>
      <c r="AH76" s="14">
        <f>DATE(YEAR(AG76)+2,MONTH(AG76),DAY(AG76)-1)</f>
        <v>46346</v>
      </c>
      <c r="AI76" s="65">
        <f t="shared" ca="1" si="241"/>
        <v>215</v>
      </c>
      <c r="AJ76" s="15" t="str">
        <f t="shared" ca="1" si="213"/>
        <v>VIGENTE</v>
      </c>
      <c r="AK76" s="13">
        <v>44821</v>
      </c>
      <c r="AL76" s="13">
        <v>45518</v>
      </c>
      <c r="AM76" s="14">
        <f>DATE(YEAR(AL76)+2,MONTH(AL76),DAY(AL76)-1)</f>
        <v>46247</v>
      </c>
      <c r="AN76" s="65">
        <f t="shared" ca="1" si="242"/>
        <v>116</v>
      </c>
      <c r="AO76" s="15" t="str">
        <f t="shared" ca="1" si="243"/>
        <v>VIGENTE</v>
      </c>
      <c r="AP76" s="13">
        <v>45453</v>
      </c>
      <c r="AQ76" s="14">
        <v>46083</v>
      </c>
      <c r="AR76" s="14">
        <f>DATE(YEAR(AQ76)+2,MONTH(AQ76),DAY(AQ76))</f>
        <v>46814</v>
      </c>
      <c r="AS76" s="65">
        <f t="shared" ca="1" si="244"/>
        <v>683</v>
      </c>
      <c r="AT76" s="15" t="str">
        <f t="shared" ca="1" si="245"/>
        <v>VIGENTE</v>
      </c>
      <c r="AU76" s="13">
        <v>44785</v>
      </c>
      <c r="AV76" s="14">
        <v>46070</v>
      </c>
      <c r="AW76" s="14">
        <f>DATE(YEAR(AV76)+2,MONTH(AV76),DAY(AV76))</f>
        <v>46800</v>
      </c>
      <c r="AX76" s="65">
        <f t="shared" ca="1" si="246"/>
        <v>669</v>
      </c>
      <c r="AY76" s="15" t="str">
        <f t="shared" ca="1" si="247"/>
        <v>VIGENTE</v>
      </c>
      <c r="AZ76" s="13">
        <v>44822</v>
      </c>
      <c r="BA76" s="14">
        <v>45454</v>
      </c>
      <c r="BB76" s="14">
        <f>DATE(YEAR(BA76)+2,MONTH(BA76),DAY(BA76)-1)</f>
        <v>46183</v>
      </c>
      <c r="BC76" s="65">
        <f t="shared" ca="1" si="248"/>
        <v>52</v>
      </c>
      <c r="BD76" s="15" t="str">
        <f t="shared" ca="1" si="249"/>
        <v>POR VENCER</v>
      </c>
      <c r="BE76" s="13">
        <v>44822</v>
      </c>
      <c r="BF76" s="14">
        <v>46067</v>
      </c>
      <c r="BG76" s="14">
        <f>DATE(YEAR(BF76)+2,MONTH(BF76),DAY(BF76))</f>
        <v>46797</v>
      </c>
      <c r="BH76" s="65">
        <f t="shared" ca="1" si="250"/>
        <v>666</v>
      </c>
      <c r="BI76" s="15" t="str">
        <f t="shared" ca="1" si="251"/>
        <v>VIGENTE</v>
      </c>
      <c r="BJ76" s="13">
        <v>44823</v>
      </c>
      <c r="BK76" s="14">
        <v>46051</v>
      </c>
      <c r="BL76" s="14">
        <f>DATE(YEAR(BK76)+2,MONTH(BK76),DAY(BK76))</f>
        <v>46781</v>
      </c>
      <c r="BM76" s="65">
        <f t="shared" ca="1" si="252"/>
        <v>650</v>
      </c>
      <c r="BN76" s="15" t="str">
        <f t="shared" ca="1" si="253"/>
        <v>VIGENTE</v>
      </c>
      <c r="BO76" s="13">
        <v>44772</v>
      </c>
      <c r="BP76" s="14">
        <v>45478</v>
      </c>
      <c r="BQ76" s="14">
        <f>DATE(YEAR(BP76)+2,MONTH(BP76),DAY(BP76)-1)</f>
        <v>46207</v>
      </c>
      <c r="BR76" s="65">
        <f t="shared" ca="1" si="254"/>
        <v>76</v>
      </c>
      <c r="BS76" s="15" t="str">
        <f t="shared" ca="1" si="255"/>
        <v>POR VENCER</v>
      </c>
      <c r="BT76" s="13">
        <v>44782</v>
      </c>
      <c r="BU76" s="14">
        <v>46063</v>
      </c>
      <c r="BV76" s="14">
        <f>DATE(YEAR(BU76)+2,MONTH(BU76),DAY(BU76))</f>
        <v>46793</v>
      </c>
      <c r="BW76" s="65">
        <f t="shared" ca="1" si="256"/>
        <v>662</v>
      </c>
      <c r="BX76" s="15" t="str">
        <f t="shared" ca="1" si="257"/>
        <v>VIGENTE</v>
      </c>
      <c r="BY76" s="13">
        <v>44774</v>
      </c>
      <c r="BZ76" s="14">
        <v>45480</v>
      </c>
      <c r="CA76" s="14">
        <f>DATE(YEAR(BZ76)+2,MONTH(BZ76),DAY(BZ76)-1)</f>
        <v>46209</v>
      </c>
      <c r="CB76" s="65">
        <f t="shared" ca="1" si="258"/>
        <v>78</v>
      </c>
      <c r="CC76" s="15" t="str">
        <f t="shared" ca="1" si="259"/>
        <v>POR VENCER</v>
      </c>
      <c r="CD76" s="16" t="s">
        <v>108</v>
      </c>
      <c r="CE76" s="14">
        <v>45240</v>
      </c>
      <c r="CF76" s="14">
        <v>45241</v>
      </c>
      <c r="CG76" s="14">
        <f t="shared" si="260"/>
        <v>46702</v>
      </c>
      <c r="CH76" s="65">
        <f t="shared" ca="1" si="261"/>
        <v>571</v>
      </c>
      <c r="CI76" s="15" t="str">
        <f t="shared" ca="1" si="262"/>
        <v>VIGENTE</v>
      </c>
      <c r="CJ76" s="14">
        <v>44823</v>
      </c>
      <c r="CK76" s="14">
        <v>45511</v>
      </c>
      <c r="CL76" s="14">
        <f t="shared" si="364"/>
        <v>46240</v>
      </c>
      <c r="CM76" s="65">
        <f t="shared" ca="1" si="263"/>
        <v>109</v>
      </c>
      <c r="CN76" s="15" t="str">
        <f t="shared" ca="1" si="264"/>
        <v>VIGENTE</v>
      </c>
      <c r="CO76" s="13">
        <v>44824</v>
      </c>
      <c r="CP76" s="14">
        <v>45481</v>
      </c>
      <c r="CQ76" s="14">
        <f t="shared" si="357"/>
        <v>46210</v>
      </c>
      <c r="CR76" s="65">
        <f t="shared" ca="1" si="265"/>
        <v>79</v>
      </c>
      <c r="CS76" s="15" t="str">
        <f t="shared" ca="1" si="266"/>
        <v>POR VENCER</v>
      </c>
      <c r="CT76" s="13">
        <v>44970</v>
      </c>
      <c r="CU76" s="14">
        <v>45645</v>
      </c>
      <c r="CV76" s="14">
        <f t="shared" si="358"/>
        <v>46374</v>
      </c>
      <c r="CW76" s="65">
        <f t="shared" ca="1" si="267"/>
        <v>243</v>
      </c>
      <c r="CX76" s="15" t="str">
        <f t="shared" ca="1" si="268"/>
        <v>VIGENTE</v>
      </c>
      <c r="CY76" s="13">
        <v>44995</v>
      </c>
      <c r="CZ76" s="14">
        <v>45665</v>
      </c>
      <c r="DA76" s="14">
        <f t="shared" si="359"/>
        <v>46394</v>
      </c>
      <c r="DB76" s="65">
        <f t="shared" ca="1" si="269"/>
        <v>263</v>
      </c>
      <c r="DC76" s="15" t="str">
        <f t="shared" ca="1" si="270"/>
        <v>VIGENTE</v>
      </c>
      <c r="DD76" s="13">
        <v>45027</v>
      </c>
      <c r="DE76" s="14">
        <v>45689</v>
      </c>
      <c r="DF76" s="14">
        <f t="shared" si="372"/>
        <v>46418</v>
      </c>
      <c r="DG76" s="65">
        <f t="shared" ca="1" si="271"/>
        <v>287</v>
      </c>
      <c r="DH76" s="15" t="str">
        <f t="shared" ca="1" si="272"/>
        <v>VIGENTE</v>
      </c>
      <c r="DI76" s="13">
        <v>44827</v>
      </c>
      <c r="DJ76" s="14">
        <v>45509</v>
      </c>
      <c r="DK76" s="14">
        <f>DATE(YEAR(DJ76)+2,MONTH(DJ76),DAY(DJ76)-1)</f>
        <v>46238</v>
      </c>
      <c r="DL76" s="65">
        <f t="shared" ca="1" si="273"/>
        <v>107</v>
      </c>
      <c r="DM76" s="15" t="str">
        <f t="shared" ca="1" si="274"/>
        <v>VIGENTE</v>
      </c>
      <c r="DN76" s="13">
        <v>44833</v>
      </c>
      <c r="DO76" s="14">
        <v>45520</v>
      </c>
      <c r="DP76" s="14">
        <f>DATE(YEAR(DO76)+2,MONTH(DO76),DAY(DO76)-1)</f>
        <v>46249</v>
      </c>
      <c r="DQ76" s="65">
        <f t="shared" ca="1" si="275"/>
        <v>118</v>
      </c>
      <c r="DR76" s="15" t="str">
        <f t="shared" ca="1" si="276"/>
        <v>VIGENTE</v>
      </c>
      <c r="DS76" s="13">
        <v>37504</v>
      </c>
      <c r="DT76" s="14">
        <v>46072</v>
      </c>
      <c r="DU76" s="14">
        <f>DATE(YEAR(DT76)+2,MONTH(DT76),DAY(DT76))</f>
        <v>46802</v>
      </c>
      <c r="DV76" s="65">
        <f t="shared" ca="1" si="277"/>
        <v>671</v>
      </c>
      <c r="DW76" s="15" t="str">
        <f t="shared" ca="1" si="278"/>
        <v>VIGENTE</v>
      </c>
      <c r="DX76" s="13">
        <v>44778</v>
      </c>
      <c r="DY76" s="14">
        <v>45510</v>
      </c>
      <c r="DZ76" s="14">
        <f t="shared" si="343"/>
        <v>46239</v>
      </c>
      <c r="EA76" s="65">
        <f t="shared" ca="1" si="279"/>
        <v>108</v>
      </c>
      <c r="EB76" s="15" t="str">
        <f t="shared" ca="1" si="280"/>
        <v>VIGENTE</v>
      </c>
      <c r="EC76" s="13">
        <v>45450</v>
      </c>
      <c r="ED76" s="14">
        <v>46104</v>
      </c>
      <c r="EE76" s="14">
        <f>DATE(YEAR(ED76)+2,MONTH(ED76),DAY(ED76))</f>
        <v>46835</v>
      </c>
      <c r="EF76" s="65">
        <f t="shared" ca="1" si="281"/>
        <v>704</v>
      </c>
      <c r="EG76" s="15" t="str">
        <f t="shared" ca="1" si="282"/>
        <v>VIGENTE</v>
      </c>
      <c r="EH76" s="13">
        <v>45423</v>
      </c>
      <c r="EI76" s="13">
        <v>45810</v>
      </c>
      <c r="EJ76" s="13">
        <v>45811</v>
      </c>
      <c r="EK76" s="14">
        <v>45812</v>
      </c>
      <c r="EL76" s="14">
        <f t="shared" si="344"/>
        <v>46177</v>
      </c>
      <c r="EM76" s="65">
        <f t="shared" ca="1" si="283"/>
        <v>46</v>
      </c>
      <c r="EN76" s="15" t="str">
        <f t="shared" ca="1" si="284"/>
        <v>POR VENCER</v>
      </c>
      <c r="EO76" s="13">
        <v>44779</v>
      </c>
      <c r="EP76" s="14">
        <v>45468</v>
      </c>
      <c r="EQ76" s="14">
        <f t="shared" si="360"/>
        <v>46197</v>
      </c>
      <c r="ER76" s="65">
        <f t="shared" ca="1" si="285"/>
        <v>66</v>
      </c>
      <c r="ES76" s="15" t="str">
        <f t="shared" ca="1" si="286"/>
        <v>POR VENCER</v>
      </c>
      <c r="ET76" s="13">
        <v>44779</v>
      </c>
      <c r="EU76" s="14">
        <v>46094</v>
      </c>
      <c r="EV76" s="14">
        <f>DATE(YEAR(EU76)+2,MONTH(EU76),DAY(EU76))</f>
        <v>46825</v>
      </c>
      <c r="EW76" s="65">
        <f t="shared" ca="1" si="287"/>
        <v>694</v>
      </c>
      <c r="EX76" s="15" t="str">
        <f t="shared" ca="1" si="288"/>
        <v>VIGENTE</v>
      </c>
      <c r="EY76" s="13">
        <v>44781</v>
      </c>
      <c r="EZ76" s="14">
        <v>45502</v>
      </c>
      <c r="FA76" s="14">
        <f>DATE(YEAR(EZ76)+2,MONTH(EZ76),DAY(EZ76)-1)</f>
        <v>46231</v>
      </c>
      <c r="FB76" s="65">
        <f t="shared" ca="1" si="289"/>
        <v>100</v>
      </c>
      <c r="FC76" s="15" t="str">
        <f t="shared" ca="1" si="290"/>
        <v>VIGENTE</v>
      </c>
      <c r="FD76" s="13">
        <v>44793</v>
      </c>
      <c r="FE76" s="14">
        <v>45482</v>
      </c>
      <c r="FF76" s="14">
        <f>DATE(YEAR(FE76)+2,MONTH(FE76),DAY(FE76)-1)</f>
        <v>46211</v>
      </c>
      <c r="FG76" s="65">
        <f t="shared" ca="1" si="291"/>
        <v>80</v>
      </c>
      <c r="FH76" s="15" t="str">
        <f t="shared" ca="1" si="292"/>
        <v>POR VENCER</v>
      </c>
      <c r="FI76" s="13">
        <v>44803</v>
      </c>
      <c r="FJ76" s="14">
        <v>46066</v>
      </c>
      <c r="FK76" s="14">
        <f>DATE(YEAR(FJ76)+2,MONTH(FJ76),DAY(FJ76))</f>
        <v>46796</v>
      </c>
      <c r="FL76" s="65">
        <f t="shared" ca="1" si="293"/>
        <v>665</v>
      </c>
      <c r="FM76" s="15" t="str">
        <f t="shared" ca="1" si="294"/>
        <v>VIGENTE</v>
      </c>
      <c r="FN76" s="13">
        <v>45395</v>
      </c>
      <c r="FO76" s="14">
        <v>46039</v>
      </c>
      <c r="FP76" s="14">
        <f>DATE(YEAR(FO76)+2,MONTH(FO76),DAY(FO76))</f>
        <v>46769</v>
      </c>
      <c r="FQ76" s="65">
        <f t="shared" ca="1" si="295"/>
        <v>638</v>
      </c>
      <c r="FR76" s="15" t="str">
        <f t="shared" ca="1" si="296"/>
        <v>VIGENTE</v>
      </c>
      <c r="FS76" s="13">
        <v>44786</v>
      </c>
      <c r="FT76" s="14">
        <v>45483</v>
      </c>
      <c r="FU76" s="14">
        <f t="shared" si="361"/>
        <v>46212</v>
      </c>
      <c r="FV76" s="65">
        <f t="shared" ca="1" si="297"/>
        <v>81</v>
      </c>
      <c r="FW76" s="15" t="str">
        <f t="shared" ca="1" si="298"/>
        <v>POR VENCER</v>
      </c>
      <c r="FX76" s="14">
        <v>44938</v>
      </c>
      <c r="FY76" s="14">
        <v>45574</v>
      </c>
      <c r="FZ76" s="14">
        <f t="shared" si="373"/>
        <v>46303</v>
      </c>
      <c r="GA76" s="65">
        <f t="shared" ca="1" si="299"/>
        <v>172</v>
      </c>
      <c r="GB76" s="15" t="str">
        <f t="shared" ca="1" si="300"/>
        <v>VIGENTE</v>
      </c>
      <c r="GC76" s="13">
        <v>45396</v>
      </c>
      <c r="GD76" s="14">
        <v>46030</v>
      </c>
      <c r="GE76" s="14">
        <f>DATE(YEAR(GD76)+2,MONTH(GD76),DAY(GD76))</f>
        <v>46760</v>
      </c>
      <c r="GF76" s="65">
        <f t="shared" ca="1" si="301"/>
        <v>629</v>
      </c>
      <c r="GG76" s="15" t="str">
        <f t="shared" ca="1" si="302"/>
        <v>VIGENTE</v>
      </c>
      <c r="GH76" s="13">
        <v>44782</v>
      </c>
      <c r="GI76" s="14">
        <v>46092</v>
      </c>
      <c r="GJ76" s="14">
        <f>DATE(YEAR(GI76)+2,MONTH(GI76),DAY(GI76))</f>
        <v>46823</v>
      </c>
      <c r="GK76" s="65">
        <f t="shared" ca="1" si="303"/>
        <v>692</v>
      </c>
      <c r="GL76" s="15" t="str">
        <f t="shared" ca="1" si="304"/>
        <v>VIGENTE</v>
      </c>
      <c r="GM76" s="13">
        <v>44802</v>
      </c>
      <c r="GN76" s="14">
        <v>45493</v>
      </c>
      <c r="GO76" s="14">
        <f>DATE(YEAR(GN76)+2,MONTH(GN76),DAY(GN76)-1)</f>
        <v>46222</v>
      </c>
      <c r="GP76" s="65">
        <f t="shared" ca="1" si="305"/>
        <v>91</v>
      </c>
      <c r="GQ76" s="15" t="str">
        <f t="shared" ca="1" si="306"/>
        <v>VIGENTE</v>
      </c>
      <c r="GR76" s="14">
        <v>44800</v>
      </c>
      <c r="GS76" s="14">
        <v>45459</v>
      </c>
      <c r="GT76" s="14">
        <f t="shared" si="307"/>
        <v>47285</v>
      </c>
      <c r="GU76" s="65">
        <f t="shared" ca="1" si="172"/>
        <v>1154</v>
      </c>
      <c r="GV76" s="15" t="str">
        <f t="shared" ca="1" si="368"/>
        <v>VIGENTE</v>
      </c>
      <c r="GW76" s="13">
        <v>44777</v>
      </c>
      <c r="GX76" s="14">
        <v>45507</v>
      </c>
      <c r="GY76" s="14">
        <f t="shared" si="309"/>
        <v>47333</v>
      </c>
      <c r="GZ76" s="65">
        <f t="shared" ca="1" si="310"/>
        <v>1202</v>
      </c>
      <c r="HA76" s="15" t="str">
        <f t="shared" ca="1" si="369"/>
        <v>VIGENTE</v>
      </c>
      <c r="HB76" s="13">
        <v>44800</v>
      </c>
      <c r="HC76" s="14">
        <v>45479</v>
      </c>
      <c r="HD76" s="14">
        <f t="shared" si="312"/>
        <v>47305</v>
      </c>
      <c r="HE76" s="65">
        <f t="shared" ca="1" si="313"/>
        <v>1174</v>
      </c>
      <c r="HF76" s="15" t="str">
        <f t="shared" ca="1" si="370"/>
        <v>VIGENTE</v>
      </c>
      <c r="HG76" s="16"/>
      <c r="HH76" s="14">
        <v>44879</v>
      </c>
      <c r="HI76" s="14">
        <f t="shared" si="362"/>
        <v>46705</v>
      </c>
      <c r="HJ76" s="65">
        <f t="shared" ca="1" si="363"/>
        <v>574</v>
      </c>
      <c r="HK76" s="15" t="str">
        <f t="shared" ca="1" si="371"/>
        <v>VIGENTE</v>
      </c>
      <c r="HL76" s="12"/>
      <c r="HM76" s="14">
        <v>45331</v>
      </c>
      <c r="HN76" s="14">
        <f>DATE(YEAR(HM76)+5,MONTH(HM76),DAY(HM76))</f>
        <v>47158</v>
      </c>
      <c r="HO76" s="65">
        <f ca="1">HN76-TODAY()</f>
        <v>1027</v>
      </c>
      <c r="HP76" s="15" t="str">
        <f t="shared" ca="1" si="221"/>
        <v>VIGENTE</v>
      </c>
      <c r="HQ76" s="12"/>
      <c r="HR76" s="13">
        <v>45386</v>
      </c>
      <c r="HS76" s="14">
        <f>DATE(YEAR(HR76)+5,MONTH(HR76),DAY(HR76))</f>
        <v>47212</v>
      </c>
      <c r="HT76" s="65">
        <f ca="1">HS76-TODAY()</f>
        <v>1081</v>
      </c>
      <c r="HU76" s="15" t="str">
        <f t="shared" ca="1" si="315"/>
        <v>VIGENTE</v>
      </c>
      <c r="HV76" s="13">
        <v>44793</v>
      </c>
      <c r="HW76" s="14">
        <v>45469</v>
      </c>
      <c r="HX76" s="14">
        <f>DATE(YEAR(HW76)+5,MONTH(HW76),DAY(HW76))</f>
        <v>47295</v>
      </c>
      <c r="HY76" s="65">
        <f ca="1">HX76-TODAY()</f>
        <v>1164</v>
      </c>
      <c r="HZ76" s="15" t="str">
        <f t="shared" ca="1" si="316"/>
        <v>VIGENTE</v>
      </c>
      <c r="IA76" s="13">
        <v>44775</v>
      </c>
      <c r="IB76" s="14">
        <v>45428</v>
      </c>
      <c r="IC76" s="14">
        <f>DATE(YEAR(IB76)+5,MONTH(IB76),DAY(IB76))</f>
        <v>47254</v>
      </c>
      <c r="ID76" s="65">
        <f ca="1">IC76-TODAY()</f>
        <v>1123</v>
      </c>
      <c r="IE76" s="15" t="str">
        <f t="shared" ca="1" si="317"/>
        <v>VIGENTE</v>
      </c>
      <c r="IF76" s="13">
        <v>44784</v>
      </c>
      <c r="IG76" s="14">
        <v>45505</v>
      </c>
      <c r="IH76" s="14">
        <f>DATE(YEAR(IG76)+5,MONTH(IG76),DAY(IG76))</f>
        <v>47331</v>
      </c>
      <c r="II76" s="65">
        <f ca="1">IH76-TODAY()</f>
        <v>1200</v>
      </c>
      <c r="IJ76" s="15" t="str">
        <f t="shared" ca="1" si="318"/>
        <v>VIGENTE</v>
      </c>
      <c r="IK76" s="14">
        <v>44777</v>
      </c>
      <c r="IL76" s="14">
        <v>45449</v>
      </c>
      <c r="IM76" s="14">
        <f>DATE(YEAR(IL76)+5,MONTH(IL76),DAY(IL76))</f>
        <v>47275</v>
      </c>
      <c r="IN76" s="65">
        <f ca="1">IM76-TODAY()</f>
        <v>1144</v>
      </c>
      <c r="IO76" s="15" t="str">
        <f t="shared" ca="1" si="319"/>
        <v>VIGENTE</v>
      </c>
      <c r="IP76" s="13">
        <v>44781</v>
      </c>
      <c r="IQ76" s="14">
        <v>45490</v>
      </c>
      <c r="IR76" s="14">
        <f>DATE(YEAR(IQ76)+5,MONTH(IQ76),DAY(IQ76))</f>
        <v>47316</v>
      </c>
      <c r="IS76" s="65">
        <f ca="1">IR76-TODAY()</f>
        <v>1185</v>
      </c>
      <c r="IT76" s="15" t="str">
        <f t="shared" ca="1" si="320"/>
        <v>VIGENTE</v>
      </c>
      <c r="IU76" s="13">
        <v>44784</v>
      </c>
      <c r="IV76" s="14">
        <v>45484</v>
      </c>
      <c r="IW76" s="14">
        <f>DATE(YEAR(IV76)+5,MONTH(IV76),DAY(IV76))</f>
        <v>47310</v>
      </c>
      <c r="IX76" s="65">
        <f ca="1">IW76-TODAY()</f>
        <v>1179</v>
      </c>
      <c r="IY76" s="15" t="str">
        <f t="shared" ca="1" si="321"/>
        <v>VIGENTE</v>
      </c>
      <c r="IZ76" s="13">
        <v>44771</v>
      </c>
      <c r="JA76" s="14">
        <v>45491</v>
      </c>
      <c r="JB76" s="14">
        <f>DATE(YEAR(JA76)+5,MONTH(JA76),DAY(JA76))</f>
        <v>47317</v>
      </c>
      <c r="JC76" s="65">
        <f ca="1">JB76-TODAY()</f>
        <v>1186</v>
      </c>
      <c r="JD76" s="15" t="str">
        <f t="shared" ca="1" si="322"/>
        <v>VIGENTE</v>
      </c>
      <c r="JE76" s="13"/>
      <c r="JF76" s="13"/>
      <c r="JG76" s="14"/>
      <c r="JH76" s="65"/>
      <c r="JI76" s="15" t="str">
        <f t="shared" si="323"/>
        <v>NO APLICA</v>
      </c>
      <c r="JJ76" s="16"/>
      <c r="JK76" s="16"/>
      <c r="JL76" s="16"/>
      <c r="JM76" s="15" t="str">
        <f t="shared" si="324"/>
        <v>NO APLICA</v>
      </c>
      <c r="JN76" s="16"/>
      <c r="JO76" s="16"/>
      <c r="JP76" s="16"/>
      <c r="JQ76" s="15" t="str">
        <f t="shared" si="325"/>
        <v>NO APLICA</v>
      </c>
      <c r="JR76" s="16"/>
      <c r="JS76" s="16"/>
      <c r="JT76" s="16"/>
      <c r="JU76" s="16"/>
      <c r="JV76" s="15" t="str">
        <f t="shared" si="326"/>
        <v>NO APLICA</v>
      </c>
      <c r="JW76" s="15"/>
      <c r="JX76" s="15"/>
      <c r="JY76" s="15"/>
      <c r="JZ76" s="15"/>
      <c r="KA76" s="15" t="str">
        <f t="shared" si="327"/>
        <v>NO APLICA</v>
      </c>
      <c r="KB76" s="12"/>
      <c r="KC76" s="14"/>
      <c r="KD76" s="65"/>
      <c r="KE76" s="15" t="str">
        <f t="shared" si="328"/>
        <v>NO APLICA</v>
      </c>
      <c r="KF76" s="12"/>
      <c r="KG76" s="14"/>
      <c r="KH76" s="65"/>
      <c r="KI76" s="15" t="str">
        <f t="shared" si="345"/>
        <v>NO APLICA</v>
      </c>
      <c r="KJ76" s="12"/>
      <c r="KK76" s="14"/>
      <c r="KL76" s="65"/>
      <c r="KM76" s="15" t="str">
        <f t="shared" si="329"/>
        <v>NO APLICA</v>
      </c>
      <c r="KN76" s="12"/>
      <c r="KO76" s="14"/>
      <c r="KP76" s="65"/>
      <c r="KQ76" s="15" t="str">
        <f t="shared" si="346"/>
        <v>NO APLICA</v>
      </c>
      <c r="KR76" s="12"/>
      <c r="KS76" s="16"/>
      <c r="KT76" s="14"/>
      <c r="KU76" s="65"/>
      <c r="KV76" s="15" t="str">
        <f t="shared" si="355"/>
        <v>NO APLICA</v>
      </c>
      <c r="KW76" s="16"/>
      <c r="KX76" s="14"/>
      <c r="KY76" s="65"/>
      <c r="KZ76" s="15" t="str">
        <f t="shared" si="347"/>
        <v>NO APLICA</v>
      </c>
      <c r="LA76" s="16"/>
      <c r="LB76" s="16"/>
      <c r="LC76" s="14"/>
      <c r="LD76" s="65"/>
      <c r="LE76" s="15" t="str">
        <f t="shared" si="330"/>
        <v>NO APLICA</v>
      </c>
      <c r="LF76" s="15"/>
      <c r="LG76" s="15"/>
      <c r="LH76" s="14"/>
      <c r="LI76" s="65"/>
      <c r="LJ76" s="15" t="str">
        <f t="shared" si="356"/>
        <v>NO APLICA</v>
      </c>
      <c r="LK76" s="12"/>
      <c r="LL76" s="16"/>
      <c r="LM76" s="14"/>
      <c r="LN76" s="65"/>
      <c r="LO76" s="15" t="str">
        <f t="shared" si="348"/>
        <v>NO APLICA</v>
      </c>
      <c r="LP76" s="16"/>
      <c r="LQ76" s="16"/>
      <c r="LR76" s="14"/>
      <c r="LS76" s="65"/>
      <c r="LT76" s="15" t="str">
        <f t="shared" si="349"/>
        <v>NO APLICA</v>
      </c>
      <c r="LU76" s="16"/>
      <c r="LV76" s="16"/>
      <c r="LW76" s="14"/>
      <c r="LX76" s="65"/>
      <c r="LY76" s="15" t="str">
        <f t="shared" si="350"/>
        <v>NO APLICA</v>
      </c>
      <c r="LZ76" s="12"/>
      <c r="MA76" s="12"/>
      <c r="MB76" s="14"/>
      <c r="MC76" s="65"/>
      <c r="MD76" s="15" t="str">
        <f t="shared" si="331"/>
        <v>NO APLICA</v>
      </c>
      <c r="ME76" s="12"/>
      <c r="MF76" s="12"/>
      <c r="MG76" s="14"/>
      <c r="MH76" s="65"/>
      <c r="MI76" s="15" t="str">
        <f t="shared" si="332"/>
        <v>NO APLICA</v>
      </c>
      <c r="MJ76" s="12"/>
      <c r="MK76" s="14"/>
      <c r="ML76" s="65"/>
      <c r="MM76" s="15" t="str">
        <f t="shared" si="333"/>
        <v>NO APLICA</v>
      </c>
      <c r="MN76" s="12"/>
      <c r="MO76" s="14"/>
      <c r="MP76" s="12"/>
      <c r="MQ76" s="15" t="str">
        <f t="shared" si="334"/>
        <v>NO APLICA</v>
      </c>
      <c r="MR76" s="12"/>
      <c r="MS76" s="16"/>
      <c r="MT76" s="14"/>
      <c r="MU76" s="65"/>
      <c r="MV76" s="15" t="str">
        <f t="shared" si="335"/>
        <v>NO APLICA</v>
      </c>
      <c r="MW76" s="12"/>
      <c r="MX76" s="16"/>
      <c r="MY76" s="14"/>
      <c r="MZ76" s="65"/>
      <c r="NA76" s="15" t="str">
        <f t="shared" si="336"/>
        <v>NO APLICA</v>
      </c>
      <c r="NB76" s="12"/>
      <c r="NC76" s="16"/>
      <c r="ND76" s="14"/>
      <c r="NE76" s="65"/>
      <c r="NF76" s="15" t="str">
        <f t="shared" si="337"/>
        <v>NO APLICA</v>
      </c>
      <c r="NG76" s="12"/>
      <c r="NH76" s="12"/>
      <c r="NI76" s="14"/>
      <c r="NJ76" s="65"/>
      <c r="NK76" s="15" t="str">
        <f t="shared" si="338"/>
        <v>NO APLICA</v>
      </c>
      <c r="NL76" s="12"/>
      <c r="NM76" s="12"/>
      <c r="NN76" s="14"/>
      <c r="NO76" s="12"/>
      <c r="NP76" s="15" t="str">
        <f t="shared" si="339"/>
        <v>NO APLICA</v>
      </c>
      <c r="NQ76" s="16"/>
      <c r="NR76" s="16"/>
      <c r="NS76" s="14"/>
      <c r="NT76" s="65"/>
      <c r="NU76" s="15" t="str">
        <f t="shared" si="340"/>
        <v>NO APLICA</v>
      </c>
      <c r="NV76" s="16"/>
      <c r="NW76" s="16"/>
      <c r="NX76" s="16"/>
      <c r="NY76" s="16"/>
      <c r="NZ76" s="15" t="str">
        <f t="shared" si="341"/>
        <v>NO APLICA</v>
      </c>
    </row>
    <row r="77" spans="1:390" ht="15.6" thickTop="1" thickBot="1" x14ac:dyDescent="0.35">
      <c r="A77" s="9">
        <v>1607</v>
      </c>
      <c r="B77" s="10" t="s">
        <v>333</v>
      </c>
      <c r="C77" s="21" t="s">
        <v>98</v>
      </c>
      <c r="D77" s="64" t="s">
        <v>118</v>
      </c>
      <c r="E77" s="15"/>
      <c r="F77" s="16"/>
      <c r="G77" s="14"/>
      <c r="H77" s="65"/>
      <c r="I77" s="15" t="str">
        <f t="shared" si="235"/>
        <v>NO APLICA</v>
      </c>
      <c r="J77" s="15"/>
      <c r="K77" s="16"/>
      <c r="L77" s="16"/>
      <c r="M77" s="65"/>
      <c r="N77" s="15" t="str">
        <f t="shared" si="236"/>
        <v>NO APLICA</v>
      </c>
      <c r="O77" s="14">
        <v>45582</v>
      </c>
      <c r="P77" s="14">
        <v>45583</v>
      </c>
      <c r="Q77" s="14">
        <f>DATE(YEAR(P77)+2,MONTH(P77),DAY(P77)-1)</f>
        <v>46312</v>
      </c>
      <c r="R77" s="65">
        <f ca="1">Q77-TODAY()</f>
        <v>181</v>
      </c>
      <c r="S77" s="15" t="str">
        <f t="shared" ca="1" si="342"/>
        <v>VIGENTE</v>
      </c>
      <c r="T77" s="12" t="s">
        <v>334</v>
      </c>
      <c r="U77" s="13">
        <v>44700</v>
      </c>
      <c r="V77" s="14">
        <v>44701</v>
      </c>
      <c r="W77" s="14">
        <f t="shared" si="237"/>
        <v>46527</v>
      </c>
      <c r="X77" s="65">
        <f t="shared" ca="1" si="238"/>
        <v>396</v>
      </c>
      <c r="Y77" s="15" t="str">
        <f t="shared" ca="1" si="239"/>
        <v>VIGENTE</v>
      </c>
      <c r="Z77" s="12" t="s">
        <v>335</v>
      </c>
      <c r="AA77" s="13">
        <v>45161</v>
      </c>
      <c r="AB77" s="14">
        <v>45162</v>
      </c>
      <c r="AC77" s="14">
        <f t="shared" si="365"/>
        <v>46989</v>
      </c>
      <c r="AD77" s="65">
        <f t="shared" ca="1" si="366"/>
        <v>858</v>
      </c>
      <c r="AE77" s="15" t="str">
        <f t="shared" ca="1" si="367"/>
        <v>VIGENTE</v>
      </c>
      <c r="AF77" s="13">
        <v>45061</v>
      </c>
      <c r="AG77" s="14">
        <v>45680</v>
      </c>
      <c r="AH77" s="14">
        <f>DATE(YEAR(AG77)+2,MONTH(AG77),DAY(AG77)-1)</f>
        <v>46409</v>
      </c>
      <c r="AI77" s="65">
        <f t="shared" ca="1" si="241"/>
        <v>278</v>
      </c>
      <c r="AJ77" s="15" t="str">
        <f t="shared" ca="1" si="213"/>
        <v>VIGENTE</v>
      </c>
      <c r="AK77" s="13">
        <v>44978</v>
      </c>
      <c r="AL77" s="14">
        <v>45602</v>
      </c>
      <c r="AM77" s="14">
        <f>DATE(YEAR(AL77)+2,MONTH(AL77),DAY(AL77)-1)</f>
        <v>46331</v>
      </c>
      <c r="AN77" s="65">
        <f t="shared" ca="1" si="242"/>
        <v>200</v>
      </c>
      <c r="AO77" s="15" t="str">
        <f t="shared" ca="1" si="243"/>
        <v>VIGENTE</v>
      </c>
      <c r="AP77" s="13">
        <v>44671</v>
      </c>
      <c r="AQ77" s="14">
        <v>45904</v>
      </c>
      <c r="AR77" s="14">
        <f>DATE(YEAR(AQ77)+2,MONTH(AQ77),DAY(AQ77))</f>
        <v>46634</v>
      </c>
      <c r="AS77" s="65">
        <f t="shared" ca="1" si="244"/>
        <v>503</v>
      </c>
      <c r="AT77" s="15" t="str">
        <f t="shared" ca="1" si="245"/>
        <v>VIGENTE</v>
      </c>
      <c r="AU77" s="13">
        <v>44671</v>
      </c>
      <c r="AV77" s="14">
        <v>45927</v>
      </c>
      <c r="AW77" s="14">
        <f>DATE(YEAR(AV77)+2,MONTH(AV77),DAY(AV77))</f>
        <v>46657</v>
      </c>
      <c r="AX77" s="65">
        <f t="shared" ca="1" si="246"/>
        <v>526</v>
      </c>
      <c r="AY77" s="15" t="str">
        <f t="shared" ca="1" si="247"/>
        <v>VIGENTE</v>
      </c>
      <c r="AZ77" s="13">
        <v>45387</v>
      </c>
      <c r="BA77" s="14">
        <v>46041</v>
      </c>
      <c r="BB77" s="14">
        <f>DATE(YEAR(BA77)+2,MONTH(BA77),DAY(BA77))</f>
        <v>46771</v>
      </c>
      <c r="BC77" s="65">
        <f t="shared" ca="1" si="248"/>
        <v>640</v>
      </c>
      <c r="BD77" s="15" t="str">
        <f t="shared" ca="1" si="249"/>
        <v>VIGENTE</v>
      </c>
      <c r="BE77" s="13">
        <v>45399</v>
      </c>
      <c r="BF77" s="14">
        <v>46027</v>
      </c>
      <c r="BG77" s="14">
        <f>DATE(YEAR(BF77)+2,MONTH(BF77),DAY(BF77))</f>
        <v>46757</v>
      </c>
      <c r="BH77" s="65">
        <f t="shared" ca="1" si="250"/>
        <v>626</v>
      </c>
      <c r="BI77" s="15" t="str">
        <f t="shared" ca="1" si="251"/>
        <v>VIGENTE</v>
      </c>
      <c r="BJ77" s="13">
        <v>44937</v>
      </c>
      <c r="BK77" s="14">
        <v>45600</v>
      </c>
      <c r="BL77" s="14">
        <f>DATE(YEAR(BK77)+2,MONTH(BK77),DAY(BK77)-1)</f>
        <v>46329</v>
      </c>
      <c r="BM77" s="65">
        <f t="shared" ca="1" si="252"/>
        <v>198</v>
      </c>
      <c r="BN77" s="15" t="str">
        <f t="shared" ca="1" si="253"/>
        <v>VIGENTE</v>
      </c>
      <c r="BO77" s="13">
        <v>45031</v>
      </c>
      <c r="BP77" s="14">
        <v>45701</v>
      </c>
      <c r="BQ77" s="14">
        <f>DATE(YEAR(BP77)+2,MONTH(BP77),DAY(BP77)-1)</f>
        <v>46430</v>
      </c>
      <c r="BR77" s="65">
        <f t="shared" ca="1" si="254"/>
        <v>299</v>
      </c>
      <c r="BS77" s="15" t="str">
        <f t="shared" ca="1" si="255"/>
        <v>VIGENTE</v>
      </c>
      <c r="BT77" s="13">
        <v>44723</v>
      </c>
      <c r="BU77" s="14">
        <v>45449</v>
      </c>
      <c r="BV77" s="14">
        <f>DATE(YEAR(BU77)+2,MONTH(BU77),DAY(BU77)-1)</f>
        <v>46178</v>
      </c>
      <c r="BW77" s="65">
        <f t="shared" ca="1" si="256"/>
        <v>47</v>
      </c>
      <c r="BX77" s="15" t="str">
        <f t="shared" ca="1" si="257"/>
        <v>POR VENCER</v>
      </c>
      <c r="BY77" s="13">
        <v>44975</v>
      </c>
      <c r="BZ77" s="14">
        <v>45629</v>
      </c>
      <c r="CA77" s="14">
        <f>DATE(YEAR(BZ77)+2,MONTH(BZ77),DAY(BZ77)-1)</f>
        <v>46358</v>
      </c>
      <c r="CB77" s="65">
        <f t="shared" ca="1" si="258"/>
        <v>227</v>
      </c>
      <c r="CC77" s="15" t="str">
        <f t="shared" ca="1" si="259"/>
        <v>VIGENTE</v>
      </c>
      <c r="CD77" s="16" t="s">
        <v>102</v>
      </c>
      <c r="CE77" s="14">
        <v>45831</v>
      </c>
      <c r="CF77" s="14">
        <v>45832</v>
      </c>
      <c r="CG77" s="14">
        <f t="shared" si="260"/>
        <v>47293</v>
      </c>
      <c r="CH77" s="65">
        <f t="shared" ca="1" si="261"/>
        <v>1162</v>
      </c>
      <c r="CI77" s="15" t="str">
        <f t="shared" ca="1" si="262"/>
        <v>VIGENTE</v>
      </c>
      <c r="CJ77" s="14">
        <v>44964</v>
      </c>
      <c r="CK77" s="14">
        <v>45601</v>
      </c>
      <c r="CL77" s="14">
        <f t="shared" si="364"/>
        <v>46330</v>
      </c>
      <c r="CM77" s="65">
        <f t="shared" ca="1" si="263"/>
        <v>199</v>
      </c>
      <c r="CN77" s="15" t="str">
        <f t="shared" ca="1" si="264"/>
        <v>VIGENTE</v>
      </c>
      <c r="CO77" s="13">
        <v>45011</v>
      </c>
      <c r="CP77" s="14">
        <v>45726</v>
      </c>
      <c r="CQ77" s="14">
        <f t="shared" si="357"/>
        <v>46455</v>
      </c>
      <c r="CR77" s="65">
        <f t="shared" ca="1" si="265"/>
        <v>324</v>
      </c>
      <c r="CS77" s="15" t="str">
        <f t="shared" ca="1" si="266"/>
        <v>VIGENTE</v>
      </c>
      <c r="CT77" s="13">
        <v>44670</v>
      </c>
      <c r="CU77" s="14">
        <v>45905</v>
      </c>
      <c r="CV77" s="14">
        <f>DATE(YEAR(CU77)+2,MONTH(CU77),DAY(CU77))</f>
        <v>46635</v>
      </c>
      <c r="CW77" s="65">
        <f t="shared" ca="1" si="267"/>
        <v>504</v>
      </c>
      <c r="CX77" s="15" t="str">
        <f t="shared" ca="1" si="268"/>
        <v>VIGENTE</v>
      </c>
      <c r="CY77" s="13">
        <v>44643</v>
      </c>
      <c r="CZ77" s="14">
        <v>46000</v>
      </c>
      <c r="DA77" s="14">
        <f>DATE(YEAR(CZ77)+2,MONTH(CZ77),DAY(CZ77))</f>
        <v>46730</v>
      </c>
      <c r="DB77" s="65">
        <f t="shared" ca="1" si="269"/>
        <v>599</v>
      </c>
      <c r="DC77" s="15" t="str">
        <f t="shared" ca="1" si="270"/>
        <v>VIGENTE</v>
      </c>
      <c r="DD77" s="13">
        <v>44968</v>
      </c>
      <c r="DE77" s="14">
        <v>45596</v>
      </c>
      <c r="DF77" s="14">
        <f t="shared" si="372"/>
        <v>46325</v>
      </c>
      <c r="DG77" s="65">
        <f t="shared" ca="1" si="271"/>
        <v>194</v>
      </c>
      <c r="DH77" s="15" t="str">
        <f t="shared" ca="1" si="272"/>
        <v>VIGENTE</v>
      </c>
      <c r="DI77" s="13">
        <v>44642</v>
      </c>
      <c r="DJ77" s="14">
        <v>45975</v>
      </c>
      <c r="DK77" s="14">
        <f>DATE(YEAR(DJ77)+2,MONTH(DJ77),DAY(DJ77))</f>
        <v>46705</v>
      </c>
      <c r="DL77" s="65">
        <f t="shared" ca="1" si="273"/>
        <v>574</v>
      </c>
      <c r="DM77" s="15" t="str">
        <f t="shared" ca="1" si="274"/>
        <v>VIGENTE</v>
      </c>
      <c r="DN77" s="13">
        <v>44669</v>
      </c>
      <c r="DO77" s="14">
        <v>46007</v>
      </c>
      <c r="DP77" s="14">
        <f>DATE(YEAR(DO77)+2,MONTH(DO77),DAY(DO77))</f>
        <v>46737</v>
      </c>
      <c r="DQ77" s="65">
        <f t="shared" ca="1" si="275"/>
        <v>606</v>
      </c>
      <c r="DR77" s="15" t="str">
        <f t="shared" ca="1" si="276"/>
        <v>VIGENTE</v>
      </c>
      <c r="DS77" s="13">
        <v>44719</v>
      </c>
      <c r="DT77" s="14">
        <v>46053</v>
      </c>
      <c r="DU77" s="14">
        <f>DATE(YEAR(DT77)+2,MONTH(DT77),DAY(DT77))</f>
        <v>46783</v>
      </c>
      <c r="DV77" s="65">
        <f t="shared" ca="1" si="277"/>
        <v>652</v>
      </c>
      <c r="DW77" s="15" t="str">
        <f t="shared" ca="1" si="278"/>
        <v>VIGENTE</v>
      </c>
      <c r="DX77" s="13">
        <v>44931</v>
      </c>
      <c r="DY77" s="14">
        <v>45612</v>
      </c>
      <c r="DZ77" s="14">
        <f t="shared" si="343"/>
        <v>46341</v>
      </c>
      <c r="EA77" s="65">
        <f t="shared" ca="1" si="279"/>
        <v>210</v>
      </c>
      <c r="EB77" s="15" t="str">
        <f t="shared" ca="1" si="280"/>
        <v>VIGENTE</v>
      </c>
      <c r="EC77" s="13">
        <v>45090</v>
      </c>
      <c r="ED77" s="14">
        <v>45730</v>
      </c>
      <c r="EE77" s="14">
        <f>DATE(YEAR(ED77)+2,MONTH(ED77),DAY(ED77)-1)</f>
        <v>46459</v>
      </c>
      <c r="EF77" s="65">
        <f t="shared" ca="1" si="281"/>
        <v>328</v>
      </c>
      <c r="EG77" s="15" t="str">
        <f t="shared" ca="1" si="282"/>
        <v>VIGENTE</v>
      </c>
      <c r="EH77" s="13">
        <v>44928</v>
      </c>
      <c r="EI77" s="13">
        <v>46105</v>
      </c>
      <c r="EJ77" s="13">
        <v>46106</v>
      </c>
      <c r="EK77" s="13">
        <v>46107</v>
      </c>
      <c r="EL77" s="14">
        <f t="shared" si="344"/>
        <v>46472</v>
      </c>
      <c r="EM77" s="65">
        <f t="shared" ca="1" si="283"/>
        <v>341</v>
      </c>
      <c r="EN77" s="15" t="str">
        <f t="shared" ca="1" si="284"/>
        <v>VIGENTE</v>
      </c>
      <c r="EO77" s="13">
        <v>44942</v>
      </c>
      <c r="EP77" s="14">
        <v>45584</v>
      </c>
      <c r="EQ77" s="14">
        <f t="shared" si="360"/>
        <v>46313</v>
      </c>
      <c r="ER77" s="65">
        <f t="shared" ca="1" si="285"/>
        <v>182</v>
      </c>
      <c r="ES77" s="15" t="str">
        <f t="shared" ca="1" si="286"/>
        <v>VIGENTE</v>
      </c>
      <c r="ET77" s="13">
        <v>45411</v>
      </c>
      <c r="EU77" s="14">
        <v>46042</v>
      </c>
      <c r="EV77" s="14">
        <f>DATE(YEAR(EU77)+2,MONTH(EU77),DAY(EU77))</f>
        <v>46772</v>
      </c>
      <c r="EW77" s="65">
        <f t="shared" ca="1" si="287"/>
        <v>641</v>
      </c>
      <c r="EX77" s="15" t="str">
        <f t="shared" ca="1" si="288"/>
        <v>VIGENTE</v>
      </c>
      <c r="EY77" s="13">
        <v>44957</v>
      </c>
      <c r="EZ77" s="14">
        <v>45610</v>
      </c>
      <c r="FA77" s="14">
        <f>DATE(YEAR(EZ77)+2,MONTH(EZ77),DAY(EZ77)-1)</f>
        <v>46339</v>
      </c>
      <c r="FB77" s="65">
        <f t="shared" ca="1" si="289"/>
        <v>208</v>
      </c>
      <c r="FC77" s="15" t="str">
        <f t="shared" ca="1" si="290"/>
        <v>VIGENTE</v>
      </c>
      <c r="FD77" s="13">
        <v>44936</v>
      </c>
      <c r="FE77" s="14">
        <v>45611</v>
      </c>
      <c r="FF77" s="14">
        <f>DATE(YEAR(FE77)+2,MONTH(FE77),DAY(FE77)-1)</f>
        <v>46340</v>
      </c>
      <c r="FG77" s="65">
        <f t="shared" ca="1" si="291"/>
        <v>209</v>
      </c>
      <c r="FH77" s="15" t="str">
        <f t="shared" ca="1" si="292"/>
        <v>VIGENTE</v>
      </c>
      <c r="FI77" s="13">
        <v>45006</v>
      </c>
      <c r="FJ77" s="14">
        <v>45668</v>
      </c>
      <c r="FK77" s="14">
        <f>DATE(YEAR(FJ77)+2,MONTH(FJ77),DAY(FJ77)-1)</f>
        <v>46397</v>
      </c>
      <c r="FL77" s="65">
        <f t="shared" ca="1" si="293"/>
        <v>266</v>
      </c>
      <c r="FM77" s="15" t="str">
        <f t="shared" ca="1" si="294"/>
        <v>VIGENTE</v>
      </c>
      <c r="FN77" s="13">
        <v>44947</v>
      </c>
      <c r="FO77" s="14">
        <v>45588</v>
      </c>
      <c r="FP77" s="14">
        <f>DATE(YEAR(FO77)+2,MONTH(FO77),DAY(FO77)-1)</f>
        <v>46317</v>
      </c>
      <c r="FQ77" s="65">
        <f t="shared" ca="1" si="295"/>
        <v>186</v>
      </c>
      <c r="FR77" s="15" t="str">
        <f t="shared" ca="1" si="296"/>
        <v>VIGENTE</v>
      </c>
      <c r="FS77" s="13">
        <v>44998</v>
      </c>
      <c r="FT77" s="14">
        <v>45664</v>
      </c>
      <c r="FU77" s="14">
        <f t="shared" si="361"/>
        <v>46393</v>
      </c>
      <c r="FV77" s="65">
        <f t="shared" ca="1" si="297"/>
        <v>262</v>
      </c>
      <c r="FW77" s="15" t="str">
        <f t="shared" ca="1" si="298"/>
        <v>VIGENTE</v>
      </c>
      <c r="FX77" s="13">
        <v>45028</v>
      </c>
      <c r="FY77" s="14">
        <v>45700</v>
      </c>
      <c r="FZ77" s="14">
        <f t="shared" si="373"/>
        <v>46429</v>
      </c>
      <c r="GA77" s="65">
        <f t="shared" ca="1" si="299"/>
        <v>298</v>
      </c>
      <c r="GB77" s="15" t="str">
        <f t="shared" ca="1" si="300"/>
        <v>VIGENTE</v>
      </c>
      <c r="GC77" s="13">
        <v>45396</v>
      </c>
      <c r="GD77" s="14">
        <v>46030</v>
      </c>
      <c r="GE77" s="14">
        <f>DATE(YEAR(GD77)+2,MONTH(GD77),DAY(GD77))</f>
        <v>46760</v>
      </c>
      <c r="GF77" s="65">
        <f t="shared" ca="1" si="301"/>
        <v>629</v>
      </c>
      <c r="GG77" s="15" t="str">
        <f t="shared" ca="1" si="302"/>
        <v>VIGENTE</v>
      </c>
      <c r="GH77" s="13">
        <v>44996</v>
      </c>
      <c r="GI77" s="14">
        <v>45672</v>
      </c>
      <c r="GJ77" s="14">
        <f>DATE(YEAR(GI77)+2,MONTH(GI77),DAY(GI77)-1)</f>
        <v>46401</v>
      </c>
      <c r="GK77" s="65">
        <f t="shared" ca="1" si="303"/>
        <v>270</v>
      </c>
      <c r="GL77" s="15" t="str">
        <f t="shared" ca="1" si="304"/>
        <v>VIGENTE</v>
      </c>
      <c r="GM77" s="13">
        <v>44945</v>
      </c>
      <c r="GN77" s="14">
        <v>45608</v>
      </c>
      <c r="GO77" s="14">
        <f>DATE(YEAR(GN77)+2,MONTH(GN77),DAY(GN77)-1)</f>
        <v>46337</v>
      </c>
      <c r="GP77" s="65">
        <f t="shared" ca="1" si="305"/>
        <v>206</v>
      </c>
      <c r="GQ77" s="15" t="str">
        <f t="shared" ca="1" si="306"/>
        <v>VIGENTE</v>
      </c>
      <c r="GR77" s="14"/>
      <c r="GS77" s="14">
        <v>44966</v>
      </c>
      <c r="GT77" s="14">
        <f t="shared" si="307"/>
        <v>46792</v>
      </c>
      <c r="GU77" s="65">
        <f t="shared" ca="1" si="172"/>
        <v>661</v>
      </c>
      <c r="GV77" s="15" t="str">
        <f t="shared" ca="1" si="368"/>
        <v>VIGENTE</v>
      </c>
      <c r="GW77" s="13"/>
      <c r="GX77" s="14">
        <v>44952</v>
      </c>
      <c r="GY77" s="14">
        <f t="shared" si="309"/>
        <v>46778</v>
      </c>
      <c r="GZ77" s="65">
        <f t="shared" ca="1" si="310"/>
        <v>647</v>
      </c>
      <c r="HA77" s="15" t="str">
        <f t="shared" ca="1" si="369"/>
        <v>VIGENTE</v>
      </c>
      <c r="HB77" s="12"/>
      <c r="HC77" s="14">
        <v>44980</v>
      </c>
      <c r="HD77" s="14">
        <f t="shared" si="312"/>
        <v>46806</v>
      </c>
      <c r="HE77" s="65">
        <f t="shared" ca="1" si="313"/>
        <v>675</v>
      </c>
      <c r="HF77" s="15" t="str">
        <f t="shared" ca="1" si="370"/>
        <v>VIGENTE</v>
      </c>
      <c r="HG77" s="16"/>
      <c r="HH77" s="14">
        <v>44956</v>
      </c>
      <c r="HI77" s="14">
        <f t="shared" si="362"/>
        <v>46782</v>
      </c>
      <c r="HJ77" s="65">
        <f t="shared" ca="1" si="363"/>
        <v>651</v>
      </c>
      <c r="HK77" s="15" t="str">
        <f t="shared" ca="1" si="371"/>
        <v>VIGENTE</v>
      </c>
      <c r="HL77" s="12"/>
      <c r="HM77" s="16"/>
      <c r="HN77" s="14"/>
      <c r="HO77" s="65"/>
      <c r="HP77" s="15" t="str">
        <f t="shared" si="221"/>
        <v>NO APLICA</v>
      </c>
      <c r="HQ77" s="12"/>
      <c r="HR77" s="12"/>
      <c r="HS77" s="14"/>
      <c r="HT77" s="12"/>
      <c r="HU77" s="15" t="str">
        <f t="shared" si="315"/>
        <v>NO APLICA</v>
      </c>
      <c r="HV77" s="12"/>
      <c r="HW77" s="14">
        <v>44961</v>
      </c>
      <c r="HX77" s="14">
        <f>DATE(YEAR(HW77)+5,MONTH(HW77),DAY(HW77))</f>
        <v>46787</v>
      </c>
      <c r="HY77" s="65">
        <f ca="1">HX77-TODAY()</f>
        <v>656</v>
      </c>
      <c r="HZ77" s="15" t="str">
        <f t="shared" ca="1" si="316"/>
        <v>VIGENTE</v>
      </c>
      <c r="IA77" s="12"/>
      <c r="IB77" s="14">
        <v>44932</v>
      </c>
      <c r="IC77" s="14">
        <f>DATE(YEAR(IB77)+5,MONTH(IB77),DAY(IB77))</f>
        <v>46758</v>
      </c>
      <c r="ID77" s="65">
        <f ca="1">IC77-TODAY()</f>
        <v>627</v>
      </c>
      <c r="IE77" s="15" t="str">
        <f t="shared" ca="1" si="317"/>
        <v>VIGENTE</v>
      </c>
      <c r="IF77" s="12"/>
      <c r="IG77" s="14">
        <v>44971</v>
      </c>
      <c r="IH77" s="14">
        <f>DATE(YEAR(IG77)+5,MONTH(IG77),DAY(IG77))</f>
        <v>46797</v>
      </c>
      <c r="II77" s="65">
        <f ca="1">IH77-TODAY()</f>
        <v>666</v>
      </c>
      <c r="IJ77" s="15" t="str">
        <f t="shared" ca="1" si="318"/>
        <v>VIGENTE</v>
      </c>
      <c r="IK77" s="16"/>
      <c r="IL77" s="14">
        <v>44965</v>
      </c>
      <c r="IM77" s="14">
        <f>DATE(YEAR(IL77)+5,MONTH(IL77),DAY(IL77))</f>
        <v>46791</v>
      </c>
      <c r="IN77" s="65">
        <f ca="1">IM77-TODAY()</f>
        <v>660</v>
      </c>
      <c r="IO77" s="15" t="str">
        <f t="shared" ca="1" si="319"/>
        <v>VIGENTE</v>
      </c>
      <c r="IP77" s="12"/>
      <c r="IQ77" s="14">
        <v>44977</v>
      </c>
      <c r="IR77" s="14">
        <f>DATE(YEAR(IQ77)+5,MONTH(IQ77),DAY(IQ77))</f>
        <v>46803</v>
      </c>
      <c r="IS77" s="65">
        <f ca="1">IR77-TODAY()</f>
        <v>672</v>
      </c>
      <c r="IT77" s="15" t="str">
        <f t="shared" ca="1" si="320"/>
        <v>VIGENTE</v>
      </c>
      <c r="IU77" s="12"/>
      <c r="IV77" s="14">
        <v>44970</v>
      </c>
      <c r="IW77" s="14">
        <f>DATE(YEAR(IV77)+5,MONTH(IV77),DAY(IV77))</f>
        <v>46796</v>
      </c>
      <c r="IX77" s="65">
        <f ca="1">IW77-TODAY()</f>
        <v>665</v>
      </c>
      <c r="IY77" s="15" t="str">
        <f t="shared" ca="1" si="321"/>
        <v>VIGENTE</v>
      </c>
      <c r="IZ77" s="12"/>
      <c r="JA77" s="14">
        <v>44933</v>
      </c>
      <c r="JB77" s="14">
        <f>DATE(YEAR(JA77)+5,MONTH(JA77),DAY(JA77))</f>
        <v>46759</v>
      </c>
      <c r="JC77" s="65">
        <f ca="1">JB77-TODAY()</f>
        <v>628</v>
      </c>
      <c r="JD77" s="15" t="str">
        <f t="shared" ca="1" si="322"/>
        <v>VIGENTE</v>
      </c>
      <c r="JE77" s="13"/>
      <c r="JF77" s="13"/>
      <c r="JG77" s="14"/>
      <c r="JH77" s="65"/>
      <c r="JI77" s="15" t="str">
        <f t="shared" si="323"/>
        <v>NO APLICA</v>
      </c>
      <c r="JJ77" s="16"/>
      <c r="JK77" s="16"/>
      <c r="JL77" s="16"/>
      <c r="JM77" s="15" t="str">
        <f t="shared" si="324"/>
        <v>NO APLICA</v>
      </c>
      <c r="JN77" s="16"/>
      <c r="JO77" s="16"/>
      <c r="JP77" s="16"/>
      <c r="JQ77" s="15" t="str">
        <f t="shared" si="325"/>
        <v>NO APLICA</v>
      </c>
      <c r="JR77" s="16"/>
      <c r="JS77" s="16"/>
      <c r="JT77" s="16"/>
      <c r="JU77" s="16"/>
      <c r="JV77" s="15" t="str">
        <f t="shared" si="326"/>
        <v>NO APLICA</v>
      </c>
      <c r="JW77" s="15"/>
      <c r="JX77" s="15"/>
      <c r="JY77" s="15"/>
      <c r="JZ77" s="15"/>
      <c r="KA77" s="15" t="str">
        <f t="shared" si="327"/>
        <v>NO APLICA</v>
      </c>
      <c r="KB77" s="12"/>
      <c r="KC77" s="14"/>
      <c r="KD77" s="65"/>
      <c r="KE77" s="15" t="str">
        <f t="shared" si="328"/>
        <v>NO APLICA</v>
      </c>
      <c r="KF77" s="12"/>
      <c r="KG77" s="14"/>
      <c r="KH77" s="65"/>
      <c r="KI77" s="15" t="str">
        <f t="shared" si="345"/>
        <v>NO APLICA</v>
      </c>
      <c r="KJ77" s="12"/>
      <c r="KK77" s="14"/>
      <c r="KL77" s="65"/>
      <c r="KM77" s="15" t="str">
        <f t="shared" si="329"/>
        <v>NO APLICA</v>
      </c>
      <c r="KN77" s="13">
        <v>45346</v>
      </c>
      <c r="KO77" s="14">
        <f>DATE(YEAR(KN77)+5,MONTH(KN77),DAY(KN77))</f>
        <v>47173</v>
      </c>
      <c r="KP77" s="65">
        <f ca="1">KO77-TODAY()</f>
        <v>1042</v>
      </c>
      <c r="KQ77" s="15" t="str">
        <f t="shared" ca="1" si="346"/>
        <v>VIGENTE</v>
      </c>
      <c r="KR77" s="12"/>
      <c r="KS77" s="16"/>
      <c r="KT77" s="14"/>
      <c r="KU77" s="65"/>
      <c r="KV77" s="15" t="str">
        <f t="shared" si="355"/>
        <v>NO APLICA</v>
      </c>
      <c r="KW77" s="16"/>
      <c r="KX77" s="14"/>
      <c r="KY77" s="65"/>
      <c r="KZ77" s="15" t="str">
        <f t="shared" si="347"/>
        <v>NO APLICA</v>
      </c>
      <c r="LA77" s="16"/>
      <c r="LB77" s="16"/>
      <c r="LC77" s="14"/>
      <c r="LD77" s="65"/>
      <c r="LE77" s="15" t="str">
        <f t="shared" si="330"/>
        <v>NO APLICA</v>
      </c>
      <c r="LF77" s="15"/>
      <c r="LG77" s="15"/>
      <c r="LH77" s="15"/>
      <c r="LI77" s="15"/>
      <c r="LJ77" s="15" t="str">
        <f t="shared" si="356"/>
        <v>NO APLICA</v>
      </c>
      <c r="LK77" s="12"/>
      <c r="LL77" s="16"/>
      <c r="LM77" s="14"/>
      <c r="LN77" s="65"/>
      <c r="LO77" s="15" t="str">
        <f t="shared" si="348"/>
        <v>NO APLICA</v>
      </c>
      <c r="LP77" s="16"/>
      <c r="LQ77" s="16"/>
      <c r="LR77" s="14"/>
      <c r="LS77" s="65"/>
      <c r="LT77" s="15" t="str">
        <f t="shared" si="349"/>
        <v>NO APLICA</v>
      </c>
      <c r="LU77" s="16"/>
      <c r="LV77" s="16"/>
      <c r="LW77" s="14"/>
      <c r="LX77" s="65"/>
      <c r="LY77" s="15" t="str">
        <f t="shared" si="350"/>
        <v>NO APLICA</v>
      </c>
      <c r="LZ77" s="12"/>
      <c r="MA77" s="12"/>
      <c r="MB77" s="14"/>
      <c r="MC77" s="65"/>
      <c r="MD77" s="15" t="str">
        <f t="shared" si="331"/>
        <v>NO APLICA</v>
      </c>
      <c r="ME77" s="12"/>
      <c r="MF77" s="12"/>
      <c r="MG77" s="14"/>
      <c r="MH77" s="65"/>
      <c r="MI77" s="15" t="str">
        <f t="shared" si="332"/>
        <v>NO APLICA</v>
      </c>
      <c r="MJ77" s="12"/>
      <c r="MK77" s="14"/>
      <c r="ML77" s="65"/>
      <c r="MM77" s="15" t="str">
        <f t="shared" si="333"/>
        <v>NO APLICA</v>
      </c>
      <c r="MN77" s="12"/>
      <c r="MO77" s="14"/>
      <c r="MP77" s="12"/>
      <c r="MQ77" s="15" t="str">
        <f t="shared" si="334"/>
        <v>NO APLICA</v>
      </c>
      <c r="MR77" s="12"/>
      <c r="MS77" s="16"/>
      <c r="MT77" s="14"/>
      <c r="MU77" s="65"/>
      <c r="MV77" s="15" t="str">
        <f t="shared" si="335"/>
        <v>NO APLICA</v>
      </c>
      <c r="MW77" s="12"/>
      <c r="MX77" s="16"/>
      <c r="MY77" s="14"/>
      <c r="MZ77" s="65"/>
      <c r="NA77" s="15" t="str">
        <f t="shared" si="336"/>
        <v>NO APLICA</v>
      </c>
      <c r="NB77" s="12"/>
      <c r="NC77" s="16"/>
      <c r="ND77" s="14"/>
      <c r="NE77" s="65"/>
      <c r="NF77" s="15" t="str">
        <f t="shared" si="337"/>
        <v>NO APLICA</v>
      </c>
      <c r="NG77" s="12"/>
      <c r="NH77" s="12"/>
      <c r="NI77" s="14"/>
      <c r="NJ77" s="12"/>
      <c r="NK77" s="15" t="str">
        <f t="shared" si="338"/>
        <v>NO APLICA</v>
      </c>
      <c r="NL77" s="12"/>
      <c r="NM77" s="12"/>
      <c r="NN77" s="14"/>
      <c r="NO77" s="12"/>
      <c r="NP77" s="15" t="str">
        <f t="shared" si="339"/>
        <v>NO APLICA</v>
      </c>
      <c r="NQ77" s="16"/>
      <c r="NR77" s="16"/>
      <c r="NS77" s="14"/>
      <c r="NT77" s="65"/>
      <c r="NU77" s="15" t="str">
        <f t="shared" si="340"/>
        <v>NO APLICA</v>
      </c>
      <c r="NV77" s="16"/>
      <c r="NW77" s="16"/>
      <c r="NX77" s="16"/>
      <c r="NY77" s="16"/>
      <c r="NZ77" s="15" t="str">
        <f t="shared" si="341"/>
        <v>NO APLICA</v>
      </c>
    </row>
    <row r="78" spans="1:390" ht="15.6" thickTop="1" thickBot="1" x14ac:dyDescent="0.35">
      <c r="A78" s="9">
        <v>1646</v>
      </c>
      <c r="B78" s="10" t="s">
        <v>336</v>
      </c>
      <c r="C78" s="21" t="s">
        <v>104</v>
      </c>
      <c r="D78" s="64" t="s">
        <v>110</v>
      </c>
      <c r="E78" s="16"/>
      <c r="F78" s="16"/>
      <c r="G78" s="16"/>
      <c r="H78" s="16"/>
      <c r="I78" s="15" t="str">
        <f t="shared" si="235"/>
        <v>NO APLICA</v>
      </c>
      <c r="J78" s="16"/>
      <c r="K78" s="16"/>
      <c r="L78" s="16"/>
      <c r="M78" s="16"/>
      <c r="N78" s="15" t="str">
        <f t="shared" si="236"/>
        <v>NO APLICA</v>
      </c>
      <c r="O78" s="16"/>
      <c r="P78" s="16"/>
      <c r="Q78" s="16"/>
      <c r="R78" s="16"/>
      <c r="S78" s="15" t="str">
        <f t="shared" si="342"/>
        <v>NO APLICA</v>
      </c>
      <c r="T78" s="16" t="s">
        <v>337</v>
      </c>
      <c r="U78" s="14">
        <v>45158</v>
      </c>
      <c r="V78" s="14">
        <v>45159</v>
      </c>
      <c r="W78" s="14">
        <f t="shared" si="237"/>
        <v>46986</v>
      </c>
      <c r="X78" s="65">
        <f t="shared" ca="1" si="238"/>
        <v>855</v>
      </c>
      <c r="Y78" s="15" t="str">
        <f t="shared" ca="1" si="239"/>
        <v>VIGENTE</v>
      </c>
      <c r="Z78" s="16" t="s">
        <v>338</v>
      </c>
      <c r="AA78" s="14">
        <v>45160</v>
      </c>
      <c r="AB78" s="14">
        <v>45161</v>
      </c>
      <c r="AC78" s="14">
        <f t="shared" si="365"/>
        <v>46988</v>
      </c>
      <c r="AD78" s="65">
        <f t="shared" ca="1" si="366"/>
        <v>857</v>
      </c>
      <c r="AE78" s="15" t="str">
        <f t="shared" ca="1" si="367"/>
        <v>VIGENTE</v>
      </c>
      <c r="AF78" s="14">
        <v>44929</v>
      </c>
      <c r="AG78" s="14">
        <v>45609</v>
      </c>
      <c r="AH78" s="14">
        <f>DATE(YEAR(AG78)+2,MONTH(AG78),DAY(AG78)-1)</f>
        <v>46338</v>
      </c>
      <c r="AI78" s="65">
        <f t="shared" ca="1" si="241"/>
        <v>207</v>
      </c>
      <c r="AJ78" s="15" t="str">
        <f t="shared" ca="1" si="213"/>
        <v>VIGENTE</v>
      </c>
      <c r="AK78" s="14">
        <v>44890</v>
      </c>
      <c r="AL78" s="14">
        <v>45710</v>
      </c>
      <c r="AM78" s="14">
        <f>DATE(YEAR(AL78)+2,MONTH(AL78),DAY(AL78)-1)</f>
        <v>46439</v>
      </c>
      <c r="AN78" s="65">
        <f t="shared" ca="1" si="242"/>
        <v>308</v>
      </c>
      <c r="AO78" s="15" t="str">
        <f t="shared" ca="1" si="243"/>
        <v>VIGENTE</v>
      </c>
      <c r="AP78" s="14">
        <v>44891</v>
      </c>
      <c r="AQ78" s="14">
        <v>45640</v>
      </c>
      <c r="AR78" s="14">
        <f>DATE(YEAR(AQ78)+2,MONTH(AQ78),DAY(AQ78)-1)</f>
        <v>46369</v>
      </c>
      <c r="AS78" s="65">
        <f t="shared" ca="1" si="244"/>
        <v>238</v>
      </c>
      <c r="AT78" s="15" t="str">
        <f t="shared" ca="1" si="245"/>
        <v>VIGENTE</v>
      </c>
      <c r="AU78" s="14">
        <v>44893</v>
      </c>
      <c r="AV78" s="14">
        <v>45644</v>
      </c>
      <c r="AW78" s="14">
        <f>DATE(YEAR(AV78)+2,MONTH(AV78),DAY(AV78)-1)</f>
        <v>46373</v>
      </c>
      <c r="AX78" s="65">
        <f t="shared" ca="1" si="246"/>
        <v>242</v>
      </c>
      <c r="AY78" s="15" t="str">
        <f t="shared" ca="1" si="247"/>
        <v>VIGENTE</v>
      </c>
      <c r="AZ78" s="14">
        <v>44894</v>
      </c>
      <c r="BA78" s="14">
        <v>45622</v>
      </c>
      <c r="BB78" s="14">
        <f>DATE(YEAR(BA78)+2,MONTH(BA78),DAY(BA78)-1)</f>
        <v>46351</v>
      </c>
      <c r="BC78" s="65">
        <f t="shared" ca="1" si="248"/>
        <v>220</v>
      </c>
      <c r="BD78" s="15" t="str">
        <f t="shared" ca="1" si="249"/>
        <v>VIGENTE</v>
      </c>
      <c r="BE78" s="14">
        <v>44904</v>
      </c>
      <c r="BF78" s="14">
        <v>45643</v>
      </c>
      <c r="BG78" s="14">
        <f>DATE(YEAR(BF78)+2,MONTH(BF78),DAY(BF78)-1)</f>
        <v>46372</v>
      </c>
      <c r="BH78" s="65">
        <f t="shared" ca="1" si="250"/>
        <v>241</v>
      </c>
      <c r="BI78" s="15" t="str">
        <f t="shared" ca="1" si="251"/>
        <v>VIGENTE</v>
      </c>
      <c r="BJ78" s="14">
        <v>44896</v>
      </c>
      <c r="BK78" s="14">
        <v>45699</v>
      </c>
      <c r="BL78" s="14">
        <f>DATE(YEAR(BK78)+2,MONTH(BK78),DAY(BK78)-1)</f>
        <v>46428</v>
      </c>
      <c r="BM78" s="65">
        <f t="shared" ca="1" si="252"/>
        <v>297</v>
      </c>
      <c r="BN78" s="15" t="str">
        <f t="shared" ca="1" si="253"/>
        <v>VIGENTE</v>
      </c>
      <c r="BO78" s="14">
        <v>44898</v>
      </c>
      <c r="BP78" s="14">
        <v>45621</v>
      </c>
      <c r="BQ78" s="14">
        <f>DATE(YEAR(BP78)+2,MONTH(BP78),DAY(BP78)-1)</f>
        <v>46350</v>
      </c>
      <c r="BR78" s="65">
        <f t="shared" ca="1" si="254"/>
        <v>219</v>
      </c>
      <c r="BS78" s="15" t="str">
        <f t="shared" ca="1" si="255"/>
        <v>VIGENTE</v>
      </c>
      <c r="BT78" s="14">
        <v>44902</v>
      </c>
      <c r="BU78" s="14">
        <v>45695</v>
      </c>
      <c r="BV78" s="14">
        <f>DATE(YEAR(BU78)+2,MONTH(BU78),DAY(BU78)-1)</f>
        <v>46424</v>
      </c>
      <c r="BW78" s="65">
        <f t="shared" ca="1" si="256"/>
        <v>293</v>
      </c>
      <c r="BX78" s="15" t="str">
        <f t="shared" ca="1" si="257"/>
        <v>VIGENTE</v>
      </c>
      <c r="BY78" s="14">
        <v>44907</v>
      </c>
      <c r="BZ78" s="14">
        <v>45629</v>
      </c>
      <c r="CA78" s="14">
        <f>DATE(YEAR(BZ78)+2,MONTH(BZ78),DAY(BZ78)-1)</f>
        <v>46358</v>
      </c>
      <c r="CB78" s="65">
        <f t="shared" ca="1" si="258"/>
        <v>227</v>
      </c>
      <c r="CC78" s="15" t="str">
        <f t="shared" ca="1" si="259"/>
        <v>VIGENTE</v>
      </c>
      <c r="CD78" s="16" t="s">
        <v>102</v>
      </c>
      <c r="CE78" s="14">
        <v>45722</v>
      </c>
      <c r="CF78" s="14">
        <v>45723</v>
      </c>
      <c r="CG78" s="14">
        <f t="shared" si="260"/>
        <v>47184</v>
      </c>
      <c r="CH78" s="65">
        <f t="shared" ca="1" si="261"/>
        <v>1053</v>
      </c>
      <c r="CI78" s="15" t="str">
        <f t="shared" ca="1" si="262"/>
        <v>VIGENTE</v>
      </c>
      <c r="CJ78" s="14">
        <v>44908</v>
      </c>
      <c r="CK78" s="14">
        <v>45688</v>
      </c>
      <c r="CL78" s="14">
        <f t="shared" si="364"/>
        <v>46417</v>
      </c>
      <c r="CM78" s="65">
        <f t="shared" ca="1" si="263"/>
        <v>286</v>
      </c>
      <c r="CN78" s="15" t="str">
        <f t="shared" ca="1" si="264"/>
        <v>VIGENTE</v>
      </c>
      <c r="CO78" s="14">
        <v>44909</v>
      </c>
      <c r="CP78" s="14">
        <v>45684</v>
      </c>
      <c r="CQ78" s="14">
        <f t="shared" si="357"/>
        <v>46413</v>
      </c>
      <c r="CR78" s="65">
        <f t="shared" ca="1" si="265"/>
        <v>282</v>
      </c>
      <c r="CS78" s="15" t="str">
        <f t="shared" ca="1" si="266"/>
        <v>VIGENTE</v>
      </c>
      <c r="CT78" s="14">
        <v>44978</v>
      </c>
      <c r="CU78" s="14">
        <v>45639</v>
      </c>
      <c r="CV78" s="14">
        <f>DATE(YEAR(CU78)+2,MONTH(CU78),DAY(CU78)-1)</f>
        <v>46368</v>
      </c>
      <c r="CW78" s="65">
        <f t="shared" ca="1" si="267"/>
        <v>237</v>
      </c>
      <c r="CX78" s="15" t="str">
        <f t="shared" ca="1" si="268"/>
        <v>VIGENTE</v>
      </c>
      <c r="CY78" s="14">
        <v>44992</v>
      </c>
      <c r="CZ78" s="14">
        <v>45681</v>
      </c>
      <c r="DA78" s="14">
        <f>DATE(YEAR(CZ78)+2,MONTH(CZ78),DAY(CZ78)-1)</f>
        <v>46410</v>
      </c>
      <c r="DB78" s="65">
        <f t="shared" ca="1" si="269"/>
        <v>279</v>
      </c>
      <c r="DC78" s="15" t="str">
        <f t="shared" ca="1" si="270"/>
        <v>VIGENTE</v>
      </c>
      <c r="DD78" s="14">
        <v>44910</v>
      </c>
      <c r="DE78" s="14">
        <v>45689</v>
      </c>
      <c r="DF78" s="14">
        <f t="shared" si="372"/>
        <v>46418</v>
      </c>
      <c r="DG78" s="65">
        <f t="shared" ca="1" si="271"/>
        <v>287</v>
      </c>
      <c r="DH78" s="15" t="str">
        <f t="shared" ca="1" si="272"/>
        <v>VIGENTE</v>
      </c>
      <c r="DI78" s="14">
        <v>44904</v>
      </c>
      <c r="DJ78" s="14">
        <v>45696</v>
      </c>
      <c r="DK78" s="14">
        <f>DATE(YEAR(DJ78)+2,MONTH(DJ78),DAY(DJ78)-1)</f>
        <v>46425</v>
      </c>
      <c r="DL78" s="65">
        <f t="shared" ca="1" si="273"/>
        <v>294</v>
      </c>
      <c r="DM78" s="15" t="str">
        <f t="shared" ca="1" si="274"/>
        <v>VIGENTE</v>
      </c>
      <c r="DN78" s="14">
        <v>44895</v>
      </c>
      <c r="DO78" s="14">
        <v>45731</v>
      </c>
      <c r="DP78" s="14">
        <f>DATE(YEAR(DO78)+2,MONTH(DO78),DAY(DO78)-1)</f>
        <v>46460</v>
      </c>
      <c r="DQ78" s="65">
        <f t="shared" ca="1" si="275"/>
        <v>329</v>
      </c>
      <c r="DR78" s="15" t="str">
        <f t="shared" ca="1" si="276"/>
        <v>VIGENTE</v>
      </c>
      <c r="DS78" s="14">
        <v>45075</v>
      </c>
      <c r="DT78" s="14">
        <v>45728</v>
      </c>
      <c r="DU78" s="14">
        <f>DATE(YEAR(DT78)+2,MONTH(DT78),DAY(DT78)-1)</f>
        <v>46457</v>
      </c>
      <c r="DV78" s="65">
        <f t="shared" ca="1" si="277"/>
        <v>326</v>
      </c>
      <c r="DW78" s="15" t="str">
        <f t="shared" ca="1" si="278"/>
        <v>VIGENTE</v>
      </c>
      <c r="DX78" s="14">
        <v>45071</v>
      </c>
      <c r="DY78" s="14">
        <v>45709</v>
      </c>
      <c r="DZ78" s="14">
        <f t="shared" si="343"/>
        <v>46438</v>
      </c>
      <c r="EA78" s="65">
        <f t="shared" ca="1" si="279"/>
        <v>307</v>
      </c>
      <c r="EB78" s="15" t="str">
        <f t="shared" ca="1" si="280"/>
        <v>VIGENTE</v>
      </c>
      <c r="EC78" s="14">
        <v>44940</v>
      </c>
      <c r="ED78" s="14">
        <v>45642</v>
      </c>
      <c r="EE78" s="14">
        <f>DATE(YEAR(ED78)+2,MONTH(ED78),DAY(ED78)-1)</f>
        <v>46371</v>
      </c>
      <c r="EF78" s="65">
        <f t="shared" ca="1" si="281"/>
        <v>240</v>
      </c>
      <c r="EG78" s="15" t="str">
        <f t="shared" ca="1" si="282"/>
        <v>VIGENTE</v>
      </c>
      <c r="EH78" s="14">
        <v>45675</v>
      </c>
      <c r="EI78" s="14">
        <v>45806</v>
      </c>
      <c r="EJ78" s="14">
        <v>45807</v>
      </c>
      <c r="EK78" s="14">
        <v>45808</v>
      </c>
      <c r="EL78" s="14">
        <f t="shared" si="344"/>
        <v>46173</v>
      </c>
      <c r="EM78" s="65">
        <f t="shared" ca="1" si="283"/>
        <v>42</v>
      </c>
      <c r="EN78" s="15" t="str">
        <f t="shared" ca="1" si="284"/>
        <v>POR VENCER</v>
      </c>
      <c r="EO78" s="14">
        <v>44993</v>
      </c>
      <c r="EP78" s="14">
        <v>45660</v>
      </c>
      <c r="EQ78" s="14">
        <f t="shared" si="360"/>
        <v>46389</v>
      </c>
      <c r="ER78" s="65">
        <f t="shared" ca="1" si="285"/>
        <v>258</v>
      </c>
      <c r="ES78" s="15" t="str">
        <f t="shared" ca="1" si="286"/>
        <v>VIGENTE</v>
      </c>
      <c r="ET78" s="14">
        <v>44897</v>
      </c>
      <c r="EU78" s="14">
        <v>45623</v>
      </c>
      <c r="EV78" s="14">
        <f>DATE(YEAR(EU78)+2,MONTH(EU78),DAY(EU78)-1)</f>
        <v>46352</v>
      </c>
      <c r="EW78" s="65">
        <f t="shared" ca="1" si="287"/>
        <v>221</v>
      </c>
      <c r="EX78" s="15" t="str">
        <f t="shared" ca="1" si="288"/>
        <v>VIGENTE</v>
      </c>
      <c r="EY78" s="14">
        <v>44887</v>
      </c>
      <c r="EZ78" s="14">
        <v>45610</v>
      </c>
      <c r="FA78" s="14">
        <f>DATE(YEAR(EZ78)+2,MONTH(EZ78),DAY(EZ78)-1)</f>
        <v>46339</v>
      </c>
      <c r="FB78" s="65">
        <f t="shared" ca="1" si="289"/>
        <v>208</v>
      </c>
      <c r="FC78" s="15" t="str">
        <f t="shared" ca="1" si="290"/>
        <v>VIGENTE</v>
      </c>
      <c r="FD78" s="14">
        <v>45009</v>
      </c>
      <c r="FE78" s="14">
        <v>45666</v>
      </c>
      <c r="FF78" s="14">
        <f>DATE(YEAR(FE78)+2,MONTH(FE78),DAY(FE78)-1)</f>
        <v>46395</v>
      </c>
      <c r="FG78" s="65">
        <f t="shared" ca="1" si="291"/>
        <v>264</v>
      </c>
      <c r="FH78" s="15" t="str">
        <f t="shared" ca="1" si="292"/>
        <v>VIGENTE</v>
      </c>
      <c r="FI78" s="16">
        <v>45113</v>
      </c>
      <c r="FJ78" s="14">
        <v>45756</v>
      </c>
      <c r="FK78" s="14">
        <f>DATE(YEAR(FJ78)+2,MONTH(FJ78),DAY(FJ78))</f>
        <v>46486</v>
      </c>
      <c r="FL78" s="65">
        <f t="shared" ca="1" si="293"/>
        <v>355</v>
      </c>
      <c r="FM78" s="15" t="str">
        <f t="shared" ca="1" si="294"/>
        <v>VIGENTE</v>
      </c>
      <c r="FN78" s="14">
        <v>44905</v>
      </c>
      <c r="FO78" s="14">
        <v>45637</v>
      </c>
      <c r="FP78" s="14">
        <f>DATE(YEAR(FO78)+2,MONTH(FO78),DAY(FO78)-1)</f>
        <v>46366</v>
      </c>
      <c r="FQ78" s="65">
        <f t="shared" ca="1" si="295"/>
        <v>235</v>
      </c>
      <c r="FR78" s="15" t="str">
        <f t="shared" ca="1" si="296"/>
        <v>VIGENTE</v>
      </c>
      <c r="FS78" s="14">
        <v>44925</v>
      </c>
      <c r="FT78" s="14">
        <v>45605</v>
      </c>
      <c r="FU78" s="14">
        <f t="shared" si="361"/>
        <v>46334</v>
      </c>
      <c r="FV78" s="65">
        <f t="shared" ca="1" si="297"/>
        <v>203</v>
      </c>
      <c r="FW78" s="15" t="str">
        <f t="shared" ca="1" si="298"/>
        <v>VIGENTE</v>
      </c>
      <c r="FX78" s="14">
        <v>44965</v>
      </c>
      <c r="FY78" s="14">
        <v>45616</v>
      </c>
      <c r="FZ78" s="14">
        <f t="shared" si="373"/>
        <v>46345</v>
      </c>
      <c r="GA78" s="65">
        <f t="shared" ca="1" si="299"/>
        <v>214</v>
      </c>
      <c r="GB78" s="15" t="str">
        <f t="shared" ca="1" si="300"/>
        <v>VIGENTE</v>
      </c>
      <c r="GC78" s="14">
        <v>44922</v>
      </c>
      <c r="GD78" s="14">
        <v>45626</v>
      </c>
      <c r="GE78" s="14">
        <f>DATE(YEAR(GD78)+2,MONTH(GD78),DAY(GD78)-1)</f>
        <v>46355</v>
      </c>
      <c r="GF78" s="65">
        <f t="shared" ca="1" si="301"/>
        <v>224</v>
      </c>
      <c r="GG78" s="15" t="str">
        <f t="shared" ca="1" si="302"/>
        <v>VIGENTE</v>
      </c>
      <c r="GH78" s="14">
        <v>44924</v>
      </c>
      <c r="GI78" s="14">
        <v>45672</v>
      </c>
      <c r="GJ78" s="14">
        <f>DATE(YEAR(GI78)+2,MONTH(GI78),DAY(GI78)-1)</f>
        <v>46401</v>
      </c>
      <c r="GK78" s="65">
        <f t="shared" ca="1" si="303"/>
        <v>270</v>
      </c>
      <c r="GL78" s="15" t="str">
        <f t="shared" ca="1" si="304"/>
        <v>VIGENTE</v>
      </c>
      <c r="GM78" s="14">
        <v>44915</v>
      </c>
      <c r="GN78" s="14">
        <v>45608</v>
      </c>
      <c r="GO78" s="14">
        <f>DATE(YEAR(GN78)+2,MONTH(GN78),DAY(GN78)-1)</f>
        <v>46337</v>
      </c>
      <c r="GP78" s="65">
        <f t="shared" ca="1" si="305"/>
        <v>206</v>
      </c>
      <c r="GQ78" s="15" t="str">
        <f t="shared" ca="1" si="306"/>
        <v>VIGENTE</v>
      </c>
      <c r="GR78" s="14"/>
      <c r="GS78" s="14">
        <v>45677</v>
      </c>
      <c r="GT78" s="14">
        <f t="shared" si="307"/>
        <v>47503</v>
      </c>
      <c r="GU78" s="65">
        <f t="shared" ref="GU78:GU104" ca="1" si="374">GT78-TODAY()</f>
        <v>1372</v>
      </c>
      <c r="GV78" s="15" t="str">
        <f t="shared" ca="1" si="368"/>
        <v>VIGENTE</v>
      </c>
      <c r="GW78" s="14"/>
      <c r="GX78" s="14">
        <v>45680</v>
      </c>
      <c r="GY78" s="14">
        <f t="shared" si="309"/>
        <v>47506</v>
      </c>
      <c r="GZ78" s="65">
        <f t="shared" ca="1" si="310"/>
        <v>1375</v>
      </c>
      <c r="HA78" s="15" t="str">
        <f t="shared" ca="1" si="369"/>
        <v>VIGENTE</v>
      </c>
      <c r="HB78" s="16"/>
      <c r="HC78" s="14">
        <v>45678</v>
      </c>
      <c r="HD78" s="14">
        <f t="shared" si="312"/>
        <v>47504</v>
      </c>
      <c r="HE78" s="65">
        <f t="shared" ca="1" si="313"/>
        <v>1373</v>
      </c>
      <c r="HF78" s="15" t="str">
        <f t="shared" ca="1" si="370"/>
        <v>VIGENTE</v>
      </c>
      <c r="HG78" s="16"/>
      <c r="HH78" s="14">
        <v>45679</v>
      </c>
      <c r="HI78" s="14">
        <f t="shared" si="362"/>
        <v>47505</v>
      </c>
      <c r="HJ78" s="65">
        <f t="shared" ca="1" si="363"/>
        <v>1374</v>
      </c>
      <c r="HK78" s="15" t="str">
        <f t="shared" ca="1" si="371"/>
        <v>VIGENTE</v>
      </c>
      <c r="HL78" s="16"/>
      <c r="HM78" s="16"/>
      <c r="HN78" s="16"/>
      <c r="HO78" s="16"/>
      <c r="HP78" s="15" t="str">
        <f t="shared" si="221"/>
        <v>NO APLICA</v>
      </c>
      <c r="HQ78" s="16"/>
      <c r="HR78" s="16"/>
      <c r="HS78" s="16"/>
      <c r="HT78" s="16"/>
      <c r="HU78" s="15" t="str">
        <f t="shared" si="315"/>
        <v>NO APLICA</v>
      </c>
      <c r="HV78" s="16"/>
      <c r="HW78" s="16"/>
      <c r="HX78" s="16"/>
      <c r="HY78" s="16"/>
      <c r="HZ78" s="15" t="str">
        <f t="shared" si="316"/>
        <v>NO APLICA</v>
      </c>
      <c r="IA78" s="16"/>
      <c r="IB78" s="16"/>
      <c r="IC78" s="16"/>
      <c r="ID78" s="16"/>
      <c r="IE78" s="15" t="str">
        <f t="shared" si="317"/>
        <v>NO APLICA</v>
      </c>
      <c r="IF78" s="16"/>
      <c r="IG78" s="16"/>
      <c r="IH78" s="16"/>
      <c r="II78" s="16"/>
      <c r="IJ78" s="15" t="str">
        <f t="shared" si="318"/>
        <v>NO APLICA</v>
      </c>
      <c r="IK78" s="16"/>
      <c r="IL78" s="16"/>
      <c r="IM78" s="16"/>
      <c r="IN78" s="16"/>
      <c r="IO78" s="15" t="str">
        <f t="shared" si="319"/>
        <v>NO APLICA</v>
      </c>
      <c r="IP78" s="16"/>
      <c r="IQ78" s="16"/>
      <c r="IR78" s="16"/>
      <c r="IS78" s="16"/>
      <c r="IT78" s="15" t="str">
        <f t="shared" si="320"/>
        <v>NO APLICA</v>
      </c>
      <c r="IU78" s="16"/>
      <c r="IV78" s="16"/>
      <c r="IW78" s="16"/>
      <c r="IX78" s="16"/>
      <c r="IY78" s="15" t="str">
        <f t="shared" si="321"/>
        <v>NO APLICA</v>
      </c>
      <c r="IZ78" s="16"/>
      <c r="JA78" s="16"/>
      <c r="JB78" s="16"/>
      <c r="JC78" s="16"/>
      <c r="JD78" s="15" t="str">
        <f t="shared" si="322"/>
        <v>NO APLICA</v>
      </c>
      <c r="JE78" s="16"/>
      <c r="JF78" s="16"/>
      <c r="JG78" s="16"/>
      <c r="JH78" s="16"/>
      <c r="JI78" s="15" t="str">
        <f t="shared" si="323"/>
        <v>NO APLICA</v>
      </c>
      <c r="JJ78" s="16"/>
      <c r="JK78" s="16"/>
      <c r="JL78" s="16"/>
      <c r="JM78" s="15" t="str">
        <f t="shared" si="324"/>
        <v>NO APLICA</v>
      </c>
      <c r="JN78" s="16"/>
      <c r="JO78" s="16"/>
      <c r="JP78" s="16"/>
      <c r="JQ78" s="15" t="str">
        <f t="shared" si="325"/>
        <v>NO APLICA</v>
      </c>
      <c r="JR78" s="16"/>
      <c r="JS78" s="16"/>
      <c r="JT78" s="16"/>
      <c r="JU78" s="16"/>
      <c r="JV78" s="15" t="str">
        <f t="shared" si="326"/>
        <v>NO APLICA</v>
      </c>
      <c r="JW78" s="15"/>
      <c r="JX78" s="15"/>
      <c r="JY78" s="15"/>
      <c r="JZ78" s="15"/>
      <c r="KA78" s="15" t="str">
        <f t="shared" si="327"/>
        <v>NO APLICA</v>
      </c>
      <c r="KB78" s="16"/>
      <c r="KC78" s="16"/>
      <c r="KD78" s="16"/>
      <c r="KE78" s="15" t="str">
        <f t="shared" si="328"/>
        <v>NO APLICA</v>
      </c>
      <c r="KF78" s="16"/>
      <c r="KG78" s="16"/>
      <c r="KH78" s="16"/>
      <c r="KI78" s="15" t="str">
        <f t="shared" si="345"/>
        <v>NO APLICA</v>
      </c>
      <c r="KJ78" s="16"/>
      <c r="KK78" s="16"/>
      <c r="KL78" s="16"/>
      <c r="KM78" s="15" t="str">
        <f t="shared" si="329"/>
        <v>NO APLICA</v>
      </c>
      <c r="KN78" s="16"/>
      <c r="KO78" s="16"/>
      <c r="KP78" s="16"/>
      <c r="KQ78" s="15" t="str">
        <f t="shared" si="346"/>
        <v>NO APLICA</v>
      </c>
      <c r="KR78" s="16"/>
      <c r="KS78" s="16"/>
      <c r="KT78" s="16"/>
      <c r="KU78" s="16"/>
      <c r="KV78" s="15" t="str">
        <f t="shared" si="355"/>
        <v>NO APLICA</v>
      </c>
      <c r="KW78" s="16"/>
      <c r="KX78" s="16"/>
      <c r="KY78" s="16"/>
      <c r="KZ78" s="15" t="str">
        <f t="shared" si="347"/>
        <v>NO APLICA</v>
      </c>
      <c r="LA78" s="16"/>
      <c r="LB78" s="14">
        <v>45615</v>
      </c>
      <c r="LC78" s="14">
        <f>DATE(YEAR(LB78)+2,MONTH(LB78),DAY(LB78))</f>
        <v>46345</v>
      </c>
      <c r="LD78" s="65">
        <f ca="1">LC78-TODAY()</f>
        <v>214</v>
      </c>
      <c r="LE78" s="15" t="str">
        <f t="shared" ca="1" si="330"/>
        <v>VIGENTE</v>
      </c>
      <c r="LF78" s="15"/>
      <c r="LG78" s="15"/>
      <c r="LH78" s="15"/>
      <c r="LI78" s="15"/>
      <c r="LJ78" s="15" t="str">
        <f t="shared" si="356"/>
        <v>NO APLICA</v>
      </c>
      <c r="LK78" s="16"/>
      <c r="LL78" s="16"/>
      <c r="LM78" s="16"/>
      <c r="LN78" s="16"/>
      <c r="LO78" s="15" t="str">
        <f t="shared" si="348"/>
        <v>NO APLICA</v>
      </c>
      <c r="LP78" s="16"/>
      <c r="LQ78" s="16"/>
      <c r="LR78" s="16"/>
      <c r="LS78" s="16"/>
      <c r="LT78" s="15" t="str">
        <f t="shared" si="349"/>
        <v>NO APLICA</v>
      </c>
      <c r="LU78" s="16"/>
      <c r="LV78" s="16"/>
      <c r="LW78" s="16"/>
      <c r="LX78" s="16"/>
      <c r="LY78" s="15" t="str">
        <f t="shared" si="350"/>
        <v>NO APLICA</v>
      </c>
      <c r="LZ78" s="16"/>
      <c r="MA78" s="16"/>
      <c r="MB78" s="16"/>
      <c r="MC78" s="16"/>
      <c r="MD78" s="15" t="str">
        <f t="shared" si="331"/>
        <v>NO APLICA</v>
      </c>
      <c r="ME78" s="16"/>
      <c r="MF78" s="16"/>
      <c r="MG78" s="16"/>
      <c r="MH78" s="16"/>
      <c r="MI78" s="15" t="str">
        <f t="shared" si="332"/>
        <v>NO APLICA</v>
      </c>
      <c r="MJ78" s="16"/>
      <c r="MK78" s="16"/>
      <c r="ML78" s="16"/>
      <c r="MM78" s="15" t="str">
        <f t="shared" si="333"/>
        <v>NO APLICA</v>
      </c>
      <c r="MN78" s="16"/>
      <c r="MO78" s="16"/>
      <c r="MP78" s="16"/>
      <c r="MQ78" s="15" t="str">
        <f t="shared" si="334"/>
        <v>NO APLICA</v>
      </c>
      <c r="MR78" s="16"/>
      <c r="MS78" s="16"/>
      <c r="MT78" s="16"/>
      <c r="MU78" s="16"/>
      <c r="MV78" s="15" t="str">
        <f t="shared" si="335"/>
        <v>NO APLICA</v>
      </c>
      <c r="MW78" s="16"/>
      <c r="MX78" s="16"/>
      <c r="MY78" s="16"/>
      <c r="MZ78" s="16"/>
      <c r="NA78" s="15" t="str">
        <f t="shared" si="336"/>
        <v>NO APLICA</v>
      </c>
      <c r="NB78" s="16"/>
      <c r="NC78" s="16"/>
      <c r="ND78" s="16"/>
      <c r="NE78" s="16"/>
      <c r="NF78" s="15" t="str">
        <f t="shared" si="337"/>
        <v>NO APLICA</v>
      </c>
      <c r="NG78" s="16"/>
      <c r="NH78" s="16"/>
      <c r="NI78" s="16"/>
      <c r="NJ78" s="16"/>
      <c r="NK78" s="15" t="str">
        <f t="shared" si="338"/>
        <v>NO APLICA</v>
      </c>
      <c r="NL78" s="16"/>
      <c r="NM78" s="16"/>
      <c r="NN78" s="16"/>
      <c r="NO78" s="16"/>
      <c r="NP78" s="15" t="str">
        <f t="shared" si="339"/>
        <v>NO APLICA</v>
      </c>
      <c r="NQ78" s="16"/>
      <c r="NR78" s="16"/>
      <c r="NS78" s="16"/>
      <c r="NT78" s="16"/>
      <c r="NU78" s="15" t="str">
        <f t="shared" si="340"/>
        <v>NO APLICA</v>
      </c>
      <c r="NV78" s="16"/>
      <c r="NW78" s="16"/>
      <c r="NX78" s="16"/>
      <c r="NY78" s="16"/>
      <c r="NZ78" s="15" t="str">
        <f t="shared" si="341"/>
        <v>NO APLICA</v>
      </c>
    </row>
    <row r="79" spans="1:390" ht="15.6" thickTop="1" thickBot="1" x14ac:dyDescent="0.35">
      <c r="A79" s="11">
        <v>1653</v>
      </c>
      <c r="B79" s="10" t="s">
        <v>339</v>
      </c>
      <c r="C79" s="21" t="s">
        <v>104</v>
      </c>
      <c r="D79" s="64" t="s">
        <v>193</v>
      </c>
      <c r="E79" s="15"/>
      <c r="F79" s="16"/>
      <c r="G79" s="14"/>
      <c r="H79" s="65"/>
      <c r="I79" s="15" t="str">
        <f t="shared" si="235"/>
        <v>NO APLICA</v>
      </c>
      <c r="J79" s="15"/>
      <c r="K79" s="16"/>
      <c r="L79" s="16"/>
      <c r="M79" s="65"/>
      <c r="N79" s="15" t="str">
        <f t="shared" si="236"/>
        <v>NO APLICA</v>
      </c>
      <c r="O79" s="16"/>
      <c r="P79" s="16"/>
      <c r="Q79" s="14"/>
      <c r="R79" s="65"/>
      <c r="S79" s="15" t="str">
        <f t="shared" si="342"/>
        <v>NO APLICA</v>
      </c>
      <c r="T79" s="12" t="s">
        <v>340</v>
      </c>
      <c r="U79" s="13">
        <v>44917</v>
      </c>
      <c r="V79" s="14">
        <v>44918</v>
      </c>
      <c r="W79" s="14">
        <f t="shared" si="237"/>
        <v>46744</v>
      </c>
      <c r="X79" s="65">
        <f t="shared" ca="1" si="238"/>
        <v>613</v>
      </c>
      <c r="Y79" s="15" t="str">
        <f t="shared" ca="1" si="239"/>
        <v>VIGENTE</v>
      </c>
      <c r="Z79" s="12" t="s">
        <v>341</v>
      </c>
      <c r="AA79" s="13">
        <v>44987</v>
      </c>
      <c r="AB79" s="14">
        <v>44988</v>
      </c>
      <c r="AC79" s="14">
        <f t="shared" si="365"/>
        <v>46815</v>
      </c>
      <c r="AD79" s="65">
        <f t="shared" ca="1" si="366"/>
        <v>684</v>
      </c>
      <c r="AE79" s="15" t="str">
        <f t="shared" ca="1" si="367"/>
        <v>VIGENTE</v>
      </c>
      <c r="AF79" s="13">
        <v>44929</v>
      </c>
      <c r="AG79" s="14">
        <v>45589</v>
      </c>
      <c r="AH79" s="14">
        <f>DATE(YEAR(AG79)+2,MONTH(AG79),DAY(AG79)-1)</f>
        <v>46318</v>
      </c>
      <c r="AI79" s="65">
        <f t="shared" ca="1" si="241"/>
        <v>187</v>
      </c>
      <c r="AJ79" s="15" t="str">
        <f t="shared" ca="1" si="213"/>
        <v>VIGENTE</v>
      </c>
      <c r="AK79" s="13">
        <v>45108</v>
      </c>
      <c r="AL79" s="14">
        <v>45748</v>
      </c>
      <c r="AM79" s="14">
        <f>DATE(YEAR(AL79)+2,MONTH(AL79),DAY(AL79)-1)</f>
        <v>46477</v>
      </c>
      <c r="AN79" s="65">
        <f t="shared" ca="1" si="242"/>
        <v>346</v>
      </c>
      <c r="AO79" s="15" t="str">
        <f t="shared" ca="1" si="243"/>
        <v>VIGENTE</v>
      </c>
      <c r="AP79" s="13">
        <v>44891</v>
      </c>
      <c r="AQ79" s="14">
        <v>45529</v>
      </c>
      <c r="AR79" s="14">
        <f>DATE(YEAR(AQ79)+2,MONTH(AQ79),DAY(AQ79)-1)</f>
        <v>46258</v>
      </c>
      <c r="AS79" s="65">
        <f t="shared" ca="1" si="244"/>
        <v>127</v>
      </c>
      <c r="AT79" s="15" t="str">
        <f t="shared" ca="1" si="245"/>
        <v>VIGENTE</v>
      </c>
      <c r="AU79" s="13">
        <v>44893</v>
      </c>
      <c r="AV79" s="14">
        <v>45514</v>
      </c>
      <c r="AW79" s="14">
        <f>DATE(YEAR(AV79)+2,MONTH(AV79),DAY(AV79)-1)</f>
        <v>46243</v>
      </c>
      <c r="AX79" s="65">
        <f t="shared" ca="1" si="246"/>
        <v>112</v>
      </c>
      <c r="AY79" s="15" t="str">
        <f t="shared" ca="1" si="247"/>
        <v>VIGENTE</v>
      </c>
      <c r="AZ79" s="13">
        <v>44894</v>
      </c>
      <c r="BA79" s="14">
        <v>45476</v>
      </c>
      <c r="BB79" s="14">
        <f>DATE(YEAR(BA79)+2,MONTH(BA79),DAY(BA79)-1)</f>
        <v>46205</v>
      </c>
      <c r="BC79" s="65">
        <f t="shared" ca="1" si="248"/>
        <v>74</v>
      </c>
      <c r="BD79" s="15" t="str">
        <f t="shared" ca="1" si="249"/>
        <v>POR VENCER</v>
      </c>
      <c r="BE79" s="13">
        <v>44904</v>
      </c>
      <c r="BF79" s="14">
        <v>45488</v>
      </c>
      <c r="BG79" s="14">
        <f>DATE(YEAR(BF79)+2,MONTH(BF79),DAY(BF79)-1)</f>
        <v>46217</v>
      </c>
      <c r="BH79" s="65">
        <f t="shared" ca="1" si="250"/>
        <v>86</v>
      </c>
      <c r="BI79" s="15" t="str">
        <f t="shared" ca="1" si="251"/>
        <v>POR VENCER</v>
      </c>
      <c r="BJ79" s="13">
        <v>44896</v>
      </c>
      <c r="BK79" s="14">
        <v>45519</v>
      </c>
      <c r="BL79" s="14">
        <f>DATE(YEAR(BK79)+2,MONTH(BK79),DAY(BK79)-1)</f>
        <v>46248</v>
      </c>
      <c r="BM79" s="65">
        <f t="shared" ca="1" si="252"/>
        <v>117</v>
      </c>
      <c r="BN79" s="15" t="str">
        <f t="shared" ca="1" si="253"/>
        <v>VIGENTE</v>
      </c>
      <c r="BO79" s="13">
        <v>45073</v>
      </c>
      <c r="BP79" s="14">
        <v>45701</v>
      </c>
      <c r="BQ79" s="14">
        <f>DATE(YEAR(BP79)+2,MONTH(BP79),DAY(BP79)-1)</f>
        <v>46430</v>
      </c>
      <c r="BR79" s="65">
        <f t="shared" ca="1" si="254"/>
        <v>299</v>
      </c>
      <c r="BS79" s="15" t="str">
        <f t="shared" ca="1" si="255"/>
        <v>VIGENTE</v>
      </c>
      <c r="BT79" s="13">
        <v>44902</v>
      </c>
      <c r="BU79" s="14">
        <v>45484</v>
      </c>
      <c r="BV79" s="14">
        <f>DATE(YEAR(BU79)+2,MONTH(BU79),DAY(BU79)-1)</f>
        <v>46213</v>
      </c>
      <c r="BW79" s="65">
        <f t="shared" ca="1" si="256"/>
        <v>82</v>
      </c>
      <c r="BX79" s="15" t="str">
        <f t="shared" ca="1" si="257"/>
        <v>POR VENCER</v>
      </c>
      <c r="BY79" s="13">
        <v>44907</v>
      </c>
      <c r="BZ79" s="14">
        <v>46065</v>
      </c>
      <c r="CA79" s="14">
        <f>DATE(YEAR(BZ79)+2,MONTH(BZ79),DAY(BZ79))</f>
        <v>46795</v>
      </c>
      <c r="CB79" s="65">
        <f t="shared" ca="1" si="258"/>
        <v>664</v>
      </c>
      <c r="CC79" s="15" t="str">
        <f t="shared" ca="1" si="259"/>
        <v>VIGENTE</v>
      </c>
      <c r="CD79" s="16" t="s">
        <v>108</v>
      </c>
      <c r="CE79" s="14">
        <v>45261</v>
      </c>
      <c r="CF79" s="14">
        <v>45262</v>
      </c>
      <c r="CG79" s="14">
        <f t="shared" si="260"/>
        <v>46723</v>
      </c>
      <c r="CH79" s="65">
        <f t="shared" ca="1" si="261"/>
        <v>592</v>
      </c>
      <c r="CI79" s="15" t="str">
        <f t="shared" ca="1" si="262"/>
        <v>VIGENTE</v>
      </c>
      <c r="CJ79" s="14">
        <v>44908</v>
      </c>
      <c r="CK79" s="14">
        <v>45500</v>
      </c>
      <c r="CL79" s="14">
        <f t="shared" si="364"/>
        <v>46229</v>
      </c>
      <c r="CM79" s="65">
        <f t="shared" ca="1" si="263"/>
        <v>98</v>
      </c>
      <c r="CN79" s="15" t="str">
        <f t="shared" ca="1" si="264"/>
        <v>VIGENTE</v>
      </c>
      <c r="CO79" s="13">
        <v>45050</v>
      </c>
      <c r="CP79" s="14">
        <v>45684</v>
      </c>
      <c r="CQ79" s="14">
        <f t="shared" si="357"/>
        <v>46413</v>
      </c>
      <c r="CR79" s="65">
        <f t="shared" ca="1" si="265"/>
        <v>282</v>
      </c>
      <c r="CS79" s="15" t="str">
        <f t="shared" ca="1" si="266"/>
        <v>VIGENTE</v>
      </c>
      <c r="CT79" s="13">
        <v>44966</v>
      </c>
      <c r="CU79" s="14">
        <v>45645</v>
      </c>
      <c r="CV79" s="14">
        <f>DATE(YEAR(CU79)+2,MONTH(CU79),DAY(CU79)-1)</f>
        <v>46374</v>
      </c>
      <c r="CW79" s="65">
        <f t="shared" ca="1" si="267"/>
        <v>243</v>
      </c>
      <c r="CX79" s="15" t="str">
        <f t="shared" ca="1" si="268"/>
        <v>VIGENTE</v>
      </c>
      <c r="CY79" s="13">
        <v>44999</v>
      </c>
      <c r="CZ79" s="14">
        <v>45665</v>
      </c>
      <c r="DA79" s="14">
        <f>DATE(YEAR(CZ79)+2,MONTH(CZ79),DAY(CZ79)-1)</f>
        <v>46394</v>
      </c>
      <c r="DB79" s="65">
        <f t="shared" ca="1" si="269"/>
        <v>263</v>
      </c>
      <c r="DC79" s="15" t="str">
        <f t="shared" ca="1" si="270"/>
        <v>VIGENTE</v>
      </c>
      <c r="DD79" s="13">
        <v>45023</v>
      </c>
      <c r="DE79" s="14">
        <v>45689</v>
      </c>
      <c r="DF79" s="14">
        <f t="shared" si="372"/>
        <v>46418</v>
      </c>
      <c r="DG79" s="65">
        <f t="shared" ca="1" si="271"/>
        <v>287</v>
      </c>
      <c r="DH79" s="15" t="str">
        <f t="shared" ca="1" si="272"/>
        <v>VIGENTE</v>
      </c>
      <c r="DI79" s="13">
        <v>44914</v>
      </c>
      <c r="DJ79" s="14">
        <v>45569</v>
      </c>
      <c r="DK79" s="14">
        <f>DATE(YEAR(DJ79)+2,MONTH(DJ79),DAY(DJ79)-1)</f>
        <v>46298</v>
      </c>
      <c r="DL79" s="65">
        <f t="shared" ca="1" si="273"/>
        <v>167</v>
      </c>
      <c r="DM79" s="15" t="str">
        <f t="shared" ca="1" si="274"/>
        <v>VIGENTE</v>
      </c>
      <c r="DN79" s="13">
        <v>44895</v>
      </c>
      <c r="DO79" s="14">
        <v>45520</v>
      </c>
      <c r="DP79" s="14">
        <f>DATE(YEAR(DO79)+2,MONTH(DO79),DAY(DO79)-1)</f>
        <v>46249</v>
      </c>
      <c r="DQ79" s="65">
        <f t="shared" ca="1" si="275"/>
        <v>118</v>
      </c>
      <c r="DR79" s="15" t="str">
        <f t="shared" ca="1" si="276"/>
        <v>VIGENTE</v>
      </c>
      <c r="DS79" s="13">
        <v>44950</v>
      </c>
      <c r="DT79" s="14">
        <v>45619</v>
      </c>
      <c r="DU79" s="14">
        <f>DATE(YEAR(DT79)+2,MONTH(DT79),DAY(DT79)-1)</f>
        <v>46348</v>
      </c>
      <c r="DV79" s="65">
        <f t="shared" ca="1" si="277"/>
        <v>217</v>
      </c>
      <c r="DW79" s="15" t="str">
        <f t="shared" ca="1" si="278"/>
        <v>VIGENTE</v>
      </c>
      <c r="DX79" s="13">
        <v>44951</v>
      </c>
      <c r="DY79" s="14">
        <v>45582</v>
      </c>
      <c r="DZ79" s="14">
        <f t="shared" si="343"/>
        <v>46311</v>
      </c>
      <c r="EA79" s="65">
        <f t="shared" ca="1" si="279"/>
        <v>180</v>
      </c>
      <c r="EB79" s="15" t="str">
        <f t="shared" ca="1" si="280"/>
        <v>VIGENTE</v>
      </c>
      <c r="EC79" s="13">
        <v>45051</v>
      </c>
      <c r="ED79" s="14">
        <v>45674</v>
      </c>
      <c r="EE79" s="14">
        <f>DATE(YEAR(ED79)+2,MONTH(ED79),DAY(ED79)-1)</f>
        <v>46403</v>
      </c>
      <c r="EF79" s="65">
        <f t="shared" ca="1" si="281"/>
        <v>272</v>
      </c>
      <c r="EG79" s="15" t="str">
        <f t="shared" ca="1" si="282"/>
        <v>VIGENTE</v>
      </c>
      <c r="EH79" s="14">
        <v>45515</v>
      </c>
      <c r="EI79" s="13">
        <v>45946</v>
      </c>
      <c r="EJ79" s="13">
        <v>45947</v>
      </c>
      <c r="EK79" s="14">
        <v>45948</v>
      </c>
      <c r="EL79" s="14">
        <f t="shared" si="344"/>
        <v>46313</v>
      </c>
      <c r="EM79" s="65">
        <f t="shared" ca="1" si="283"/>
        <v>182</v>
      </c>
      <c r="EN79" s="15" t="str">
        <f t="shared" ca="1" si="284"/>
        <v>VIGENTE</v>
      </c>
      <c r="EO79" s="13">
        <v>45016</v>
      </c>
      <c r="EP79" s="14">
        <v>45660</v>
      </c>
      <c r="EQ79" s="14">
        <f t="shared" si="360"/>
        <v>46389</v>
      </c>
      <c r="ER79" s="65">
        <f t="shared" ca="1" si="285"/>
        <v>258</v>
      </c>
      <c r="ES79" s="15" t="str">
        <f t="shared" ca="1" si="286"/>
        <v>VIGENTE</v>
      </c>
      <c r="ET79" s="13">
        <v>44897</v>
      </c>
      <c r="EU79" s="14">
        <v>45539</v>
      </c>
      <c r="EV79" s="14">
        <f>DATE(YEAR(EU79)+2,MONTH(EU79),DAY(EU79)-1)</f>
        <v>46268</v>
      </c>
      <c r="EW79" s="65">
        <f t="shared" ca="1" si="287"/>
        <v>137</v>
      </c>
      <c r="EX79" s="15" t="str">
        <f t="shared" ca="1" si="288"/>
        <v>VIGENTE</v>
      </c>
      <c r="EY79" s="13">
        <v>44957</v>
      </c>
      <c r="EZ79" s="14">
        <v>45610</v>
      </c>
      <c r="FA79" s="14">
        <f>DATE(YEAR(EZ79)+2,MONTH(EZ79),DAY(EZ79)-1)</f>
        <v>46339</v>
      </c>
      <c r="FB79" s="65">
        <f t="shared" ca="1" si="289"/>
        <v>208</v>
      </c>
      <c r="FC79" s="15" t="str">
        <f t="shared" ca="1" si="290"/>
        <v>VIGENTE</v>
      </c>
      <c r="FD79" s="13">
        <v>45041</v>
      </c>
      <c r="FE79" s="14">
        <v>45666</v>
      </c>
      <c r="FF79" s="14">
        <f>DATE(YEAR(FE79)+2,MONTH(FE79),DAY(FE79)-1)</f>
        <v>46395</v>
      </c>
      <c r="FG79" s="65">
        <f t="shared" ca="1" si="291"/>
        <v>264</v>
      </c>
      <c r="FH79" s="15" t="str">
        <f t="shared" ca="1" si="292"/>
        <v>VIGENTE</v>
      </c>
      <c r="FI79" s="13">
        <v>45006</v>
      </c>
      <c r="FJ79" s="14">
        <v>45668</v>
      </c>
      <c r="FK79" s="14">
        <f>DATE(YEAR(FJ79)+2,MONTH(FJ79),DAY(FJ79)-1)</f>
        <v>46397</v>
      </c>
      <c r="FL79" s="65">
        <f t="shared" ca="1" si="293"/>
        <v>266</v>
      </c>
      <c r="FM79" s="15" t="str">
        <f t="shared" ca="1" si="294"/>
        <v>VIGENTE</v>
      </c>
      <c r="FN79" s="13">
        <v>44905</v>
      </c>
      <c r="FO79" s="14">
        <v>45528</v>
      </c>
      <c r="FP79" s="14">
        <f>DATE(YEAR(FO79)+2,MONTH(FO79),DAY(FO79)-1)</f>
        <v>46257</v>
      </c>
      <c r="FQ79" s="65">
        <f t="shared" ca="1" si="295"/>
        <v>126</v>
      </c>
      <c r="FR79" s="15" t="str">
        <f t="shared" ca="1" si="296"/>
        <v>VIGENTE</v>
      </c>
      <c r="FS79" s="13">
        <v>44925</v>
      </c>
      <c r="FT79" s="14">
        <v>45556</v>
      </c>
      <c r="FU79" s="14">
        <f t="shared" si="361"/>
        <v>46285</v>
      </c>
      <c r="FV79" s="65">
        <f t="shared" ca="1" si="297"/>
        <v>154</v>
      </c>
      <c r="FW79" s="15" t="str">
        <f t="shared" ca="1" si="298"/>
        <v>VIGENTE</v>
      </c>
      <c r="FX79" s="14">
        <v>44965</v>
      </c>
      <c r="FY79" s="14">
        <v>45574</v>
      </c>
      <c r="FZ79" s="14">
        <f t="shared" si="373"/>
        <v>46303</v>
      </c>
      <c r="GA79" s="65">
        <f t="shared" ca="1" si="299"/>
        <v>172</v>
      </c>
      <c r="GB79" s="15" t="str">
        <f t="shared" ca="1" si="300"/>
        <v>VIGENTE</v>
      </c>
      <c r="GC79" s="13">
        <v>44921</v>
      </c>
      <c r="GD79" s="14">
        <v>45560</v>
      </c>
      <c r="GE79" s="14">
        <f>DATE(YEAR(GD79)+2,MONTH(GD79),DAY(GD79)-1)</f>
        <v>46289</v>
      </c>
      <c r="GF79" s="65">
        <f t="shared" ca="1" si="301"/>
        <v>158</v>
      </c>
      <c r="GG79" s="15" t="str">
        <f t="shared" ca="1" si="302"/>
        <v>VIGENTE</v>
      </c>
      <c r="GH79" s="13">
        <v>44924</v>
      </c>
      <c r="GI79" s="14">
        <v>45570</v>
      </c>
      <c r="GJ79" s="14">
        <f>DATE(YEAR(GI79)+2,MONTH(GI79),DAY(GI79)-1)</f>
        <v>46299</v>
      </c>
      <c r="GK79" s="65">
        <f t="shared" ca="1" si="303"/>
        <v>168</v>
      </c>
      <c r="GL79" s="15" t="str">
        <f t="shared" ca="1" si="304"/>
        <v>VIGENTE</v>
      </c>
      <c r="GM79" s="13">
        <v>44915</v>
      </c>
      <c r="GN79" s="14">
        <v>45557</v>
      </c>
      <c r="GO79" s="14">
        <f>DATE(YEAR(GN79)+2,MONTH(GN79),DAY(GN79)-1)</f>
        <v>46286</v>
      </c>
      <c r="GP79" s="65">
        <f t="shared" ca="1" si="305"/>
        <v>155</v>
      </c>
      <c r="GQ79" s="15" t="str">
        <f t="shared" ca="1" si="306"/>
        <v>VIGENTE</v>
      </c>
      <c r="GR79" s="14"/>
      <c r="GS79" s="14">
        <v>44912</v>
      </c>
      <c r="GT79" s="14">
        <f t="shared" si="307"/>
        <v>46738</v>
      </c>
      <c r="GU79" s="65">
        <f t="shared" ca="1" si="374"/>
        <v>607</v>
      </c>
      <c r="GV79" s="15" t="str">
        <f t="shared" ca="1" si="368"/>
        <v>VIGENTE</v>
      </c>
      <c r="GW79" s="13"/>
      <c r="GX79" s="14">
        <v>44979</v>
      </c>
      <c r="GY79" s="14">
        <f t="shared" si="309"/>
        <v>46805</v>
      </c>
      <c r="GZ79" s="65">
        <f t="shared" ca="1" si="310"/>
        <v>674</v>
      </c>
      <c r="HA79" s="15" t="str">
        <f t="shared" ca="1" si="369"/>
        <v>VIGENTE</v>
      </c>
      <c r="HB79" s="12"/>
      <c r="HC79" s="14">
        <v>44911</v>
      </c>
      <c r="HD79" s="14">
        <f t="shared" si="312"/>
        <v>46737</v>
      </c>
      <c r="HE79" s="65">
        <f t="shared" ca="1" si="313"/>
        <v>606</v>
      </c>
      <c r="HF79" s="15" t="str">
        <f t="shared" ca="1" si="370"/>
        <v>VIGENTE</v>
      </c>
      <c r="HG79" s="16"/>
      <c r="HH79" s="14">
        <v>44956</v>
      </c>
      <c r="HI79" s="14">
        <f t="shared" si="362"/>
        <v>46782</v>
      </c>
      <c r="HJ79" s="65">
        <f t="shared" ca="1" si="363"/>
        <v>651</v>
      </c>
      <c r="HK79" s="15" t="str">
        <f t="shared" ca="1" si="371"/>
        <v>VIGENTE</v>
      </c>
      <c r="HL79" s="12"/>
      <c r="HM79" s="16"/>
      <c r="HN79" s="14">
        <f>DATE(YEAR(HM79)+5,MONTH(HM79),DAY(HM79))</f>
        <v>1827</v>
      </c>
      <c r="HO79" s="65">
        <f ca="1">HN79-TODAY()</f>
        <v>-44304</v>
      </c>
      <c r="HP79" s="15" t="str">
        <f ca="1">IF(HO79&gt;=61,"VIGENTE",IF(HO79&gt;=1,"POR VENCER",IF(HO79&lt;=-1,"PROGRAMAR",IF(HM79=0,"NO APLICA"))))</f>
        <v>PROGRAMAR</v>
      </c>
      <c r="HQ79" s="12"/>
      <c r="HR79" s="12"/>
      <c r="HS79" s="14"/>
      <c r="HT79" s="12"/>
      <c r="HU79" s="15" t="str">
        <f t="shared" si="315"/>
        <v>NO APLICA</v>
      </c>
      <c r="HV79" s="12"/>
      <c r="HW79" s="14">
        <v>45193</v>
      </c>
      <c r="HX79" s="14">
        <f>DATE(YEAR(HW79)+5,MONTH(HW79),DAY(HW79))</f>
        <v>47020</v>
      </c>
      <c r="HY79" s="65">
        <f ca="1">HX79-TODAY()</f>
        <v>889</v>
      </c>
      <c r="HZ79" s="15" t="str">
        <f t="shared" ca="1" si="316"/>
        <v>VIGENTE</v>
      </c>
      <c r="IA79" s="12"/>
      <c r="IB79" s="14">
        <v>45194</v>
      </c>
      <c r="IC79" s="14">
        <f>DATE(YEAR(IB79)+5,MONTH(IB79),DAY(IB79))</f>
        <v>47021</v>
      </c>
      <c r="ID79" s="65">
        <f ca="1">IC79-TODAY()</f>
        <v>890</v>
      </c>
      <c r="IE79" s="15" t="str">
        <f t="shared" ca="1" si="317"/>
        <v>VIGENTE</v>
      </c>
      <c r="IF79" s="12"/>
      <c r="IG79" s="14">
        <v>45192</v>
      </c>
      <c r="IH79" s="14">
        <f>DATE(YEAR(IG79)+5,MONTH(IG79),DAY(IG79))</f>
        <v>47019</v>
      </c>
      <c r="II79" s="65">
        <f ca="1">IH79-TODAY()</f>
        <v>888</v>
      </c>
      <c r="IJ79" s="15" t="str">
        <f t="shared" ca="1" si="318"/>
        <v>VIGENTE</v>
      </c>
      <c r="IK79" s="16"/>
      <c r="IL79" s="14">
        <v>45156</v>
      </c>
      <c r="IM79" s="14">
        <f>DATE(YEAR(IL79)+5,MONTH(IL79),DAY(IL79))</f>
        <v>46983</v>
      </c>
      <c r="IN79" s="65">
        <f ca="1">IM79-TODAY()</f>
        <v>852</v>
      </c>
      <c r="IO79" s="15" t="str">
        <f t="shared" ca="1" si="319"/>
        <v>VIGENTE</v>
      </c>
      <c r="IP79" s="12"/>
      <c r="IQ79" s="14">
        <v>45157</v>
      </c>
      <c r="IR79" s="14">
        <f>DATE(YEAR(IQ79)+5,MONTH(IQ79),DAY(IQ79))</f>
        <v>46984</v>
      </c>
      <c r="IS79" s="65">
        <f ca="1">IR79-TODAY()</f>
        <v>853</v>
      </c>
      <c r="IT79" s="15" t="str">
        <f t="shared" ca="1" si="320"/>
        <v>VIGENTE</v>
      </c>
      <c r="IU79" s="12"/>
      <c r="IV79" s="14">
        <v>45171</v>
      </c>
      <c r="IW79" s="14">
        <f>DATE(YEAR(IV79)+5,MONTH(IV79),DAY(IV79))</f>
        <v>46998</v>
      </c>
      <c r="IX79" s="65">
        <f ca="1">IW79-TODAY()</f>
        <v>867</v>
      </c>
      <c r="IY79" s="15" t="str">
        <f t="shared" ca="1" si="321"/>
        <v>VIGENTE</v>
      </c>
      <c r="IZ79" s="12"/>
      <c r="JA79" s="14">
        <v>45198</v>
      </c>
      <c r="JB79" s="14">
        <f>DATE(YEAR(JA79)+5,MONTH(JA79),DAY(JA79))</f>
        <v>47025</v>
      </c>
      <c r="JC79" s="65">
        <f ca="1">JB79-TODAY()</f>
        <v>894</v>
      </c>
      <c r="JD79" s="15" t="str">
        <f t="shared" ca="1" si="322"/>
        <v>VIGENTE</v>
      </c>
      <c r="JE79" s="13"/>
      <c r="JF79" s="13"/>
      <c r="JG79" s="14"/>
      <c r="JH79" s="65"/>
      <c r="JI79" s="15" t="str">
        <f t="shared" si="323"/>
        <v>NO APLICA</v>
      </c>
      <c r="JJ79" s="16"/>
      <c r="JK79" s="16"/>
      <c r="JL79" s="16"/>
      <c r="JM79" s="15" t="str">
        <f t="shared" si="324"/>
        <v>NO APLICA</v>
      </c>
      <c r="JN79" s="16"/>
      <c r="JO79" s="16"/>
      <c r="JP79" s="16"/>
      <c r="JQ79" s="15" t="str">
        <f t="shared" si="325"/>
        <v>NO APLICA</v>
      </c>
      <c r="JR79" s="16"/>
      <c r="JS79" s="16"/>
      <c r="JT79" s="16"/>
      <c r="JU79" s="16"/>
      <c r="JV79" s="15" t="str">
        <f t="shared" si="326"/>
        <v>NO APLICA</v>
      </c>
      <c r="JW79" s="15"/>
      <c r="JX79" s="15"/>
      <c r="JY79" s="15"/>
      <c r="JZ79" s="15"/>
      <c r="KA79" s="15" t="str">
        <f t="shared" si="327"/>
        <v>NO APLICA</v>
      </c>
      <c r="KB79" s="12"/>
      <c r="KC79" s="14"/>
      <c r="KD79" s="65"/>
      <c r="KE79" s="15" t="str">
        <f t="shared" si="328"/>
        <v>NO APLICA</v>
      </c>
      <c r="KF79" s="12"/>
      <c r="KG79" s="14"/>
      <c r="KH79" s="65"/>
      <c r="KI79" s="15" t="str">
        <f t="shared" si="345"/>
        <v>NO APLICA</v>
      </c>
      <c r="KJ79" s="12"/>
      <c r="KK79" s="14"/>
      <c r="KL79" s="65"/>
      <c r="KM79" s="15" t="str">
        <f t="shared" si="329"/>
        <v>NO APLICA</v>
      </c>
      <c r="KN79" s="13">
        <v>45346</v>
      </c>
      <c r="KO79" s="14">
        <f>DATE(YEAR(KN79)+5,MONTH(KN79),DAY(KN79))</f>
        <v>47173</v>
      </c>
      <c r="KP79" s="65">
        <f ca="1">KO79-TODAY()</f>
        <v>1042</v>
      </c>
      <c r="KQ79" s="15" t="str">
        <f t="shared" ca="1" si="346"/>
        <v>VIGENTE</v>
      </c>
      <c r="KR79" s="12"/>
      <c r="KS79" s="16"/>
      <c r="KT79" s="14"/>
      <c r="KU79" s="65"/>
      <c r="KV79" s="15" t="str">
        <f t="shared" si="355"/>
        <v>NO APLICA</v>
      </c>
      <c r="KW79" s="16"/>
      <c r="KX79" s="14"/>
      <c r="KY79" s="65"/>
      <c r="KZ79" s="15" t="str">
        <f t="shared" si="347"/>
        <v>NO APLICA</v>
      </c>
      <c r="LA79" s="16"/>
      <c r="LB79" s="14">
        <v>45611</v>
      </c>
      <c r="LC79" s="14">
        <f>DATE(YEAR(LB79)+2,MONTH(LB79),DAY(LB79))</f>
        <v>46341</v>
      </c>
      <c r="LD79" s="65">
        <f ca="1">LC79-TODAY()</f>
        <v>210</v>
      </c>
      <c r="LE79" s="15" t="str">
        <f t="shared" ca="1" si="330"/>
        <v>VIGENTE</v>
      </c>
      <c r="LF79" s="15"/>
      <c r="LG79" s="15"/>
      <c r="LH79" s="14"/>
      <c r="LI79" s="65"/>
      <c r="LJ79" s="15" t="str">
        <f t="shared" si="356"/>
        <v>NO APLICA</v>
      </c>
      <c r="LK79" s="12"/>
      <c r="LL79" s="16"/>
      <c r="LM79" s="14"/>
      <c r="LN79" s="65"/>
      <c r="LO79" s="15" t="str">
        <f t="shared" si="348"/>
        <v>NO APLICA</v>
      </c>
      <c r="LP79" s="16"/>
      <c r="LQ79" s="16"/>
      <c r="LR79" s="14"/>
      <c r="LS79" s="65"/>
      <c r="LT79" s="15" t="str">
        <f t="shared" si="349"/>
        <v>NO APLICA</v>
      </c>
      <c r="LU79" s="16"/>
      <c r="LV79" s="16"/>
      <c r="LW79" s="14"/>
      <c r="LX79" s="65"/>
      <c r="LY79" s="15" t="str">
        <f t="shared" si="350"/>
        <v>NO APLICA</v>
      </c>
      <c r="LZ79" s="12"/>
      <c r="MA79" s="12"/>
      <c r="MB79" s="14"/>
      <c r="MC79" s="65"/>
      <c r="MD79" s="15" t="str">
        <f t="shared" si="331"/>
        <v>NO APLICA</v>
      </c>
      <c r="ME79" s="12"/>
      <c r="MF79" s="12"/>
      <c r="MG79" s="14"/>
      <c r="MH79" s="65"/>
      <c r="MI79" s="15" t="str">
        <f t="shared" si="332"/>
        <v>NO APLICA</v>
      </c>
      <c r="MJ79" s="12"/>
      <c r="MK79" s="14"/>
      <c r="ML79" s="65"/>
      <c r="MM79" s="15" t="str">
        <f t="shared" si="333"/>
        <v>NO APLICA</v>
      </c>
      <c r="MN79" s="12"/>
      <c r="MO79" s="14"/>
      <c r="MP79" s="12"/>
      <c r="MQ79" s="15" t="str">
        <f t="shared" si="334"/>
        <v>NO APLICA</v>
      </c>
      <c r="MR79" s="12"/>
      <c r="MS79" s="16"/>
      <c r="MT79" s="14"/>
      <c r="MU79" s="65"/>
      <c r="MV79" s="15" t="str">
        <f t="shared" si="335"/>
        <v>NO APLICA</v>
      </c>
      <c r="MW79" s="12"/>
      <c r="MX79" s="16"/>
      <c r="MY79" s="14"/>
      <c r="MZ79" s="65"/>
      <c r="NA79" s="15" t="str">
        <f t="shared" si="336"/>
        <v>NO APLICA</v>
      </c>
      <c r="NB79" s="12"/>
      <c r="NC79" s="16"/>
      <c r="ND79" s="14"/>
      <c r="NE79" s="65"/>
      <c r="NF79" s="15" t="str">
        <f t="shared" si="337"/>
        <v>NO APLICA</v>
      </c>
      <c r="NG79" s="12"/>
      <c r="NH79" s="12"/>
      <c r="NI79" s="14"/>
      <c r="NJ79" s="65"/>
      <c r="NK79" s="15" t="str">
        <f t="shared" si="338"/>
        <v>NO APLICA</v>
      </c>
      <c r="NL79" s="12"/>
      <c r="NM79" s="12"/>
      <c r="NN79" s="14"/>
      <c r="NO79" s="12"/>
      <c r="NP79" s="15" t="str">
        <f t="shared" si="339"/>
        <v>NO APLICA</v>
      </c>
      <c r="NQ79" s="16"/>
      <c r="NR79" s="16"/>
      <c r="NS79" s="14"/>
      <c r="NT79" s="65"/>
      <c r="NU79" s="15" t="str">
        <f t="shared" si="340"/>
        <v>NO APLICA</v>
      </c>
      <c r="NV79" s="16"/>
      <c r="NW79" s="16"/>
      <c r="NX79" s="16"/>
      <c r="NY79" s="16"/>
      <c r="NZ79" s="15" t="str">
        <f t="shared" si="341"/>
        <v>NO APLICA</v>
      </c>
    </row>
    <row r="80" spans="1:390" ht="15.6" thickTop="1" thickBot="1" x14ac:dyDescent="0.35">
      <c r="A80" s="11">
        <v>1270</v>
      </c>
      <c r="B80" s="10" t="s">
        <v>342</v>
      </c>
      <c r="C80" s="21" t="s">
        <v>104</v>
      </c>
      <c r="D80" s="64" t="s">
        <v>110</v>
      </c>
      <c r="E80" s="16"/>
      <c r="F80" s="16"/>
      <c r="G80" s="16"/>
      <c r="H80" s="65"/>
      <c r="I80" s="15" t="str">
        <f t="shared" si="235"/>
        <v>NO APLICA</v>
      </c>
      <c r="J80" s="16"/>
      <c r="K80" s="16"/>
      <c r="L80" s="16"/>
      <c r="M80" s="65"/>
      <c r="N80" s="15" t="str">
        <f t="shared" si="236"/>
        <v>NO APLICA</v>
      </c>
      <c r="O80" s="16"/>
      <c r="P80" s="16"/>
      <c r="Q80" s="14"/>
      <c r="R80" s="65"/>
      <c r="S80" s="15" t="str">
        <f t="shared" si="342"/>
        <v>NO APLICA</v>
      </c>
      <c r="T80" s="12" t="s">
        <v>343</v>
      </c>
      <c r="U80" s="14">
        <v>45096</v>
      </c>
      <c r="V80" s="14">
        <v>45097</v>
      </c>
      <c r="W80" s="14">
        <f t="shared" si="237"/>
        <v>46924</v>
      </c>
      <c r="X80" s="65">
        <f t="shared" ca="1" si="238"/>
        <v>793</v>
      </c>
      <c r="Y80" s="15" t="str">
        <f t="shared" ca="1" si="239"/>
        <v>VIGENTE</v>
      </c>
      <c r="Z80" s="12" t="s">
        <v>344</v>
      </c>
      <c r="AA80" s="14">
        <v>45112</v>
      </c>
      <c r="AB80" s="14">
        <v>45113</v>
      </c>
      <c r="AC80" s="14">
        <f t="shared" si="365"/>
        <v>46940</v>
      </c>
      <c r="AD80" s="65">
        <f t="shared" ca="1" si="366"/>
        <v>809</v>
      </c>
      <c r="AE80" s="15" t="str">
        <f t="shared" ca="1" si="367"/>
        <v>VIGENTE</v>
      </c>
      <c r="AF80" s="14">
        <v>45220</v>
      </c>
      <c r="AG80" s="14">
        <v>45902</v>
      </c>
      <c r="AH80" s="14">
        <f>DATE(YEAR(AG80)+2,MONTH(AG80),DAY(AG80))</f>
        <v>46632</v>
      </c>
      <c r="AI80" s="65">
        <f t="shared" ca="1" si="241"/>
        <v>501</v>
      </c>
      <c r="AJ80" s="15" t="str">
        <f t="shared" ca="1" si="213"/>
        <v>VIGENTE</v>
      </c>
      <c r="AK80" s="14">
        <v>45108</v>
      </c>
      <c r="AL80" s="14">
        <v>45748</v>
      </c>
      <c r="AM80" s="14">
        <f>DATE(YEAR(AL80)+2,MONTH(AL80),DAY(AL80)-1)</f>
        <v>46477</v>
      </c>
      <c r="AN80" s="65">
        <f t="shared" ca="1" si="242"/>
        <v>346</v>
      </c>
      <c r="AO80" s="15" t="str">
        <f t="shared" ca="1" si="243"/>
        <v>VIGENTE</v>
      </c>
      <c r="AP80" s="14">
        <v>45091</v>
      </c>
      <c r="AQ80" s="14">
        <v>45775</v>
      </c>
      <c r="AR80" s="14">
        <f>DATE(YEAR(AQ80)+2,MONTH(AQ80),DAY(AQ80))</f>
        <v>46505</v>
      </c>
      <c r="AS80" s="65">
        <f t="shared" ca="1" si="244"/>
        <v>374</v>
      </c>
      <c r="AT80" s="15" t="str">
        <f t="shared" ca="1" si="245"/>
        <v>VIGENTE</v>
      </c>
      <c r="AU80" s="14">
        <v>45089</v>
      </c>
      <c r="AV80" s="14">
        <v>45720</v>
      </c>
      <c r="AW80" s="14">
        <f>DATE(YEAR(AV80)+2,MONTH(AV80),DAY(AV80)-1)</f>
        <v>46449</v>
      </c>
      <c r="AX80" s="65">
        <f t="shared" ca="1" si="246"/>
        <v>318</v>
      </c>
      <c r="AY80" s="15" t="str">
        <f t="shared" ca="1" si="247"/>
        <v>VIGENTE</v>
      </c>
      <c r="AZ80" s="14">
        <v>45093</v>
      </c>
      <c r="BA80" s="14">
        <v>45717</v>
      </c>
      <c r="BB80" s="14">
        <f>DATE(YEAR(BA80)+2,MONTH(BA80),DAY(BA80)-1)</f>
        <v>46446</v>
      </c>
      <c r="BC80" s="65">
        <f t="shared" ca="1" si="248"/>
        <v>315</v>
      </c>
      <c r="BD80" s="15" t="str">
        <f t="shared" ca="1" si="249"/>
        <v>VIGENTE</v>
      </c>
      <c r="BE80" s="14">
        <v>45177</v>
      </c>
      <c r="BF80" s="14">
        <v>45880</v>
      </c>
      <c r="BG80" s="14">
        <f>DATE(YEAR(BF80)+2,MONTH(BF80),DAY(BF80))</f>
        <v>46610</v>
      </c>
      <c r="BH80" s="65">
        <f t="shared" ca="1" si="250"/>
        <v>479</v>
      </c>
      <c r="BI80" s="15" t="str">
        <f t="shared" ca="1" si="251"/>
        <v>VIGENTE</v>
      </c>
      <c r="BJ80" s="14">
        <v>45118</v>
      </c>
      <c r="BK80" s="14">
        <v>45759</v>
      </c>
      <c r="BL80" s="14">
        <f>DATE(YEAR(BK80)+2,MONTH(BK80),DAY(BK80)-1)</f>
        <v>46488</v>
      </c>
      <c r="BM80" s="65">
        <f t="shared" ca="1" si="252"/>
        <v>357</v>
      </c>
      <c r="BN80" s="15" t="str">
        <f t="shared" ca="1" si="253"/>
        <v>VIGENTE</v>
      </c>
      <c r="BO80" s="14">
        <v>45147</v>
      </c>
      <c r="BP80" s="14">
        <v>45772</v>
      </c>
      <c r="BQ80" s="14">
        <f>DATE(YEAR(BP80)+2,MONTH(BP80),DAY(BP80))</f>
        <v>46502</v>
      </c>
      <c r="BR80" s="65">
        <f t="shared" ca="1" si="254"/>
        <v>371</v>
      </c>
      <c r="BS80" s="15" t="str">
        <f t="shared" ca="1" si="255"/>
        <v>VIGENTE</v>
      </c>
      <c r="BT80" s="14">
        <v>45110</v>
      </c>
      <c r="BU80" s="14">
        <v>45776</v>
      </c>
      <c r="BV80" s="14">
        <f>DATE(YEAR(BU80)+2,MONTH(BU80),DAY(BU80))</f>
        <v>46506</v>
      </c>
      <c r="BW80" s="65">
        <f t="shared" ca="1" si="256"/>
        <v>375</v>
      </c>
      <c r="BX80" s="15" t="str">
        <f t="shared" ca="1" si="257"/>
        <v>VIGENTE</v>
      </c>
      <c r="BY80" s="16">
        <v>45111</v>
      </c>
      <c r="BZ80" s="14">
        <v>45770</v>
      </c>
      <c r="CA80" s="14">
        <f>DATE(YEAR(BZ80)+2,MONTH(BZ80),DAY(BZ80))</f>
        <v>46500</v>
      </c>
      <c r="CB80" s="65">
        <f t="shared" ca="1" si="258"/>
        <v>369</v>
      </c>
      <c r="CC80" s="15" t="str">
        <f t="shared" ca="1" si="259"/>
        <v>VIGENTE</v>
      </c>
      <c r="CD80" s="16" t="s">
        <v>108</v>
      </c>
      <c r="CE80" s="14">
        <v>45300</v>
      </c>
      <c r="CF80" s="14">
        <v>45301</v>
      </c>
      <c r="CG80" s="14">
        <f t="shared" si="260"/>
        <v>46762</v>
      </c>
      <c r="CH80" s="65">
        <f t="shared" ca="1" si="261"/>
        <v>631</v>
      </c>
      <c r="CI80" s="15" t="str">
        <f t="shared" ca="1" si="262"/>
        <v>VIGENTE</v>
      </c>
      <c r="CJ80" s="14">
        <v>45099</v>
      </c>
      <c r="CK80" s="14">
        <v>45723</v>
      </c>
      <c r="CL80" s="14">
        <f t="shared" si="364"/>
        <v>46452</v>
      </c>
      <c r="CM80" s="65">
        <f t="shared" ca="1" si="263"/>
        <v>321</v>
      </c>
      <c r="CN80" s="15" t="str">
        <f t="shared" ca="1" si="264"/>
        <v>VIGENTE</v>
      </c>
      <c r="CO80" s="16">
        <v>45109</v>
      </c>
      <c r="CP80" s="14">
        <v>45769</v>
      </c>
      <c r="CQ80" s="14">
        <f>DATE(YEAR(CP80)+2,MONTH(CP80),DAY(CP80))</f>
        <v>46499</v>
      </c>
      <c r="CR80" s="65">
        <f t="shared" ca="1" si="265"/>
        <v>368</v>
      </c>
      <c r="CS80" s="15" t="str">
        <f t="shared" ca="1" si="266"/>
        <v>VIGENTE</v>
      </c>
      <c r="CT80" s="14">
        <v>45086</v>
      </c>
      <c r="CU80" s="14">
        <v>45727</v>
      </c>
      <c r="CV80" s="14">
        <f>DATE(YEAR(CU80)+2,MONTH(CU80),DAY(CU80)-1)</f>
        <v>46456</v>
      </c>
      <c r="CW80" s="65">
        <f t="shared" ca="1" si="267"/>
        <v>325</v>
      </c>
      <c r="CX80" s="15" t="str">
        <f t="shared" ca="1" si="268"/>
        <v>VIGENTE</v>
      </c>
      <c r="CY80" s="14">
        <v>45114</v>
      </c>
      <c r="CZ80" s="14">
        <v>45785</v>
      </c>
      <c r="DA80" s="14">
        <f>DATE(YEAR(CZ80)+2,MONTH(CZ80),DAY(CZ80))</f>
        <v>46515</v>
      </c>
      <c r="DB80" s="65">
        <f t="shared" ca="1" si="269"/>
        <v>384</v>
      </c>
      <c r="DC80" s="15" t="str">
        <f t="shared" ca="1" si="270"/>
        <v>VIGENTE</v>
      </c>
      <c r="DD80" s="14">
        <v>45129</v>
      </c>
      <c r="DE80" s="14">
        <v>45761</v>
      </c>
      <c r="DF80" s="14">
        <f>DATE(YEAR(DE80)+2,MONTH(DE80),DAY(DE80))</f>
        <v>46491</v>
      </c>
      <c r="DG80" s="65">
        <f t="shared" ca="1" si="271"/>
        <v>360</v>
      </c>
      <c r="DH80" s="15" t="str">
        <f t="shared" ca="1" si="272"/>
        <v>VIGENTE</v>
      </c>
      <c r="DI80" s="16">
        <v>45115</v>
      </c>
      <c r="DJ80" s="14">
        <v>45734</v>
      </c>
      <c r="DK80" s="14">
        <f>DATE(YEAR(DJ80)+2,MONTH(DJ80),DAY(DJ80)-1)</f>
        <v>46463</v>
      </c>
      <c r="DL80" s="65">
        <f t="shared" ca="1" si="273"/>
        <v>332</v>
      </c>
      <c r="DM80" s="15" t="str">
        <f t="shared" ca="1" si="274"/>
        <v>VIGENTE</v>
      </c>
      <c r="DN80" s="14">
        <v>45196</v>
      </c>
      <c r="DO80" s="14">
        <v>45857</v>
      </c>
      <c r="DP80" s="14">
        <f>DATE(YEAR(DO80)+2,MONTH(DO80),DAY(DO80))</f>
        <v>46587</v>
      </c>
      <c r="DQ80" s="65">
        <f t="shared" ca="1" si="275"/>
        <v>456</v>
      </c>
      <c r="DR80" s="15" t="str">
        <f t="shared" ca="1" si="276"/>
        <v>VIGENTE</v>
      </c>
      <c r="DS80" s="14">
        <v>45131</v>
      </c>
      <c r="DT80" s="14">
        <v>45800</v>
      </c>
      <c r="DU80" s="14">
        <f>DATE(YEAR(DT80)+2,MONTH(DT80),DAY(DT80))</f>
        <v>46530</v>
      </c>
      <c r="DV80" s="65">
        <f t="shared" ca="1" si="277"/>
        <v>399</v>
      </c>
      <c r="DW80" s="15" t="str">
        <f t="shared" ca="1" si="278"/>
        <v>VIGENTE</v>
      </c>
      <c r="DX80" s="14">
        <v>45100</v>
      </c>
      <c r="DY80" s="14">
        <v>45751</v>
      </c>
      <c r="DZ80" s="14">
        <f t="shared" si="343"/>
        <v>46480</v>
      </c>
      <c r="EA80" s="65">
        <f t="shared" ca="1" si="279"/>
        <v>349</v>
      </c>
      <c r="EB80" s="15" t="str">
        <f t="shared" ca="1" si="280"/>
        <v>VIGENTE</v>
      </c>
      <c r="EC80" s="14">
        <v>45174</v>
      </c>
      <c r="ED80" s="14">
        <v>45829</v>
      </c>
      <c r="EE80" s="14">
        <f>DATE(YEAR(ED80)+2,MONTH(ED80),DAY(ED80))</f>
        <v>46559</v>
      </c>
      <c r="EF80" s="65">
        <f t="shared" ca="1" si="281"/>
        <v>428</v>
      </c>
      <c r="EG80" s="15" t="str">
        <f t="shared" ca="1" si="282"/>
        <v>VIGENTE</v>
      </c>
      <c r="EH80" s="13">
        <v>45750</v>
      </c>
      <c r="EI80" s="13">
        <v>46083</v>
      </c>
      <c r="EJ80" s="13">
        <v>46084</v>
      </c>
      <c r="EK80" s="13">
        <v>46085</v>
      </c>
      <c r="EL80" s="14">
        <f t="shared" si="344"/>
        <v>46450</v>
      </c>
      <c r="EM80" s="65">
        <f t="shared" ca="1" si="283"/>
        <v>319</v>
      </c>
      <c r="EN80" s="15" t="str">
        <f t="shared" ca="1" si="284"/>
        <v>VIGENTE</v>
      </c>
      <c r="EO80" s="14">
        <v>45092</v>
      </c>
      <c r="EP80" s="14">
        <v>45737</v>
      </c>
      <c r="EQ80" s="14">
        <f t="shared" si="360"/>
        <v>46466</v>
      </c>
      <c r="ER80" s="65">
        <f t="shared" ca="1" si="285"/>
        <v>335</v>
      </c>
      <c r="ES80" s="15" t="str">
        <f t="shared" ca="1" si="286"/>
        <v>VIGENTE</v>
      </c>
      <c r="ET80" s="14">
        <v>45106</v>
      </c>
      <c r="EU80" s="14">
        <v>45749</v>
      </c>
      <c r="EV80" s="14">
        <f>DATE(YEAR(EU80)+2,MONTH(EU80),DAY(EU80)-1)</f>
        <v>46478</v>
      </c>
      <c r="EW80" s="65">
        <f t="shared" ca="1" si="287"/>
        <v>347</v>
      </c>
      <c r="EX80" s="15" t="str">
        <f t="shared" ca="1" si="288"/>
        <v>VIGENTE</v>
      </c>
      <c r="EY80" s="14">
        <v>45219</v>
      </c>
      <c r="EZ80" s="14">
        <v>45917</v>
      </c>
      <c r="FA80" s="14">
        <f>DATE(YEAR(EZ80)+2,MONTH(EZ80),DAY(EZ80))</f>
        <v>46647</v>
      </c>
      <c r="FB80" s="65">
        <f t="shared" ca="1" si="289"/>
        <v>516</v>
      </c>
      <c r="FC80" s="15" t="str">
        <f t="shared" ca="1" si="290"/>
        <v>VIGENTE</v>
      </c>
      <c r="FD80" s="14">
        <v>45223</v>
      </c>
      <c r="FE80" s="14">
        <v>45922</v>
      </c>
      <c r="FF80" s="14">
        <f>DATE(YEAR(FE80)+2,MONTH(FE80),DAY(FE80))</f>
        <v>46652</v>
      </c>
      <c r="FG80" s="65">
        <f t="shared" ca="1" si="291"/>
        <v>521</v>
      </c>
      <c r="FH80" s="15" t="str">
        <f t="shared" ca="1" si="292"/>
        <v>VIGENTE</v>
      </c>
      <c r="FI80" s="14">
        <v>45145</v>
      </c>
      <c r="FJ80" s="14">
        <v>45790</v>
      </c>
      <c r="FK80" s="14">
        <f>DATE(YEAR(FJ80)+2,MONTH(FJ80),DAY(FJ80))</f>
        <v>46520</v>
      </c>
      <c r="FL80" s="65">
        <f t="shared" ca="1" si="293"/>
        <v>389</v>
      </c>
      <c r="FM80" s="15" t="str">
        <f t="shared" ca="1" si="294"/>
        <v>VIGENTE</v>
      </c>
      <c r="FN80" s="14">
        <v>45197</v>
      </c>
      <c r="FO80" s="14">
        <v>45850</v>
      </c>
      <c r="FP80" s="14">
        <f>DATE(YEAR(FO80)+2,MONTH(FO80),DAY(FO80))</f>
        <v>46580</v>
      </c>
      <c r="FQ80" s="65">
        <f t="shared" ca="1" si="295"/>
        <v>449</v>
      </c>
      <c r="FR80" s="15" t="str">
        <f t="shared" ca="1" si="296"/>
        <v>VIGENTE</v>
      </c>
      <c r="FS80" s="14">
        <v>45199</v>
      </c>
      <c r="FT80" s="14">
        <v>45846</v>
      </c>
      <c r="FU80" s="14">
        <f>DATE(YEAR(FT80)+2,MONTH(FT80),DAY(FT80))</f>
        <v>46576</v>
      </c>
      <c r="FV80" s="65">
        <f t="shared" ca="1" si="297"/>
        <v>445</v>
      </c>
      <c r="FW80" s="15" t="str">
        <f t="shared" ca="1" si="298"/>
        <v>VIGENTE</v>
      </c>
      <c r="FX80" s="14">
        <v>45098</v>
      </c>
      <c r="FY80" s="14">
        <v>45758</v>
      </c>
      <c r="FZ80" s="14">
        <f t="shared" si="373"/>
        <v>46487</v>
      </c>
      <c r="GA80" s="65">
        <f t="shared" ca="1" si="299"/>
        <v>356</v>
      </c>
      <c r="GB80" s="15" t="str">
        <f t="shared" ca="1" si="300"/>
        <v>VIGENTE</v>
      </c>
      <c r="GC80" s="14">
        <v>45116</v>
      </c>
      <c r="GD80" s="14">
        <v>45757</v>
      </c>
      <c r="GE80" s="14">
        <f>DATE(YEAR(GD80)+2,MONTH(GD80),DAY(GD80)-1)</f>
        <v>46486</v>
      </c>
      <c r="GF80" s="65">
        <f t="shared" ca="1" si="301"/>
        <v>355</v>
      </c>
      <c r="GG80" s="15" t="str">
        <f t="shared" ca="1" si="302"/>
        <v>VIGENTE</v>
      </c>
      <c r="GH80" s="14">
        <v>45195</v>
      </c>
      <c r="GI80" s="14">
        <v>45849</v>
      </c>
      <c r="GJ80" s="14">
        <f>DATE(YEAR(GI80)+2,MONTH(GI80),DAY(GI80))</f>
        <v>46579</v>
      </c>
      <c r="GK80" s="65">
        <f t="shared" ca="1" si="303"/>
        <v>448</v>
      </c>
      <c r="GL80" s="15" t="str">
        <f t="shared" ca="1" si="304"/>
        <v>VIGENTE</v>
      </c>
      <c r="GM80" s="14">
        <v>45182</v>
      </c>
      <c r="GN80" s="14">
        <v>45848</v>
      </c>
      <c r="GO80" s="14">
        <f>DATE(YEAR(GN80)+2,MONTH(GN80),DAY(GN80))</f>
        <v>46578</v>
      </c>
      <c r="GP80" s="65">
        <f t="shared" ca="1" si="305"/>
        <v>447</v>
      </c>
      <c r="GQ80" s="15" t="str">
        <f t="shared" ca="1" si="306"/>
        <v>VIGENTE</v>
      </c>
      <c r="GR80" s="14"/>
      <c r="GS80" s="14">
        <v>45159</v>
      </c>
      <c r="GT80" s="14">
        <f t="shared" si="307"/>
        <v>46986</v>
      </c>
      <c r="GU80" s="65">
        <f t="shared" ca="1" si="374"/>
        <v>855</v>
      </c>
      <c r="GV80" s="15" t="str">
        <f t="shared" ca="1" si="368"/>
        <v>VIGENTE</v>
      </c>
      <c r="GW80" s="14"/>
      <c r="GX80" s="14">
        <v>45117</v>
      </c>
      <c r="GY80" s="14">
        <f t="shared" si="309"/>
        <v>46944</v>
      </c>
      <c r="GZ80" s="65">
        <f t="shared" ca="1" si="310"/>
        <v>813</v>
      </c>
      <c r="HA80" s="15" t="str">
        <f t="shared" ca="1" si="369"/>
        <v>VIGENTE</v>
      </c>
      <c r="HB80" s="16"/>
      <c r="HC80" s="14">
        <v>45160</v>
      </c>
      <c r="HD80" s="14">
        <f t="shared" si="312"/>
        <v>46987</v>
      </c>
      <c r="HE80" s="65">
        <f t="shared" ca="1" si="313"/>
        <v>856</v>
      </c>
      <c r="HF80" s="15" t="str">
        <f t="shared" ca="1" si="370"/>
        <v>VIGENTE</v>
      </c>
      <c r="HG80" s="16"/>
      <c r="HH80" s="14">
        <v>45222</v>
      </c>
      <c r="HI80" s="14">
        <f t="shared" si="362"/>
        <v>47049</v>
      </c>
      <c r="HJ80" s="65">
        <f t="shared" ca="1" si="363"/>
        <v>918</v>
      </c>
      <c r="HK80" s="15" t="str">
        <f t="shared" ca="1" si="371"/>
        <v>VIGENTE</v>
      </c>
      <c r="HL80" s="16"/>
      <c r="HM80" s="16"/>
      <c r="HN80" s="14"/>
      <c r="HO80" s="65"/>
      <c r="HP80" s="15" t="str">
        <f>IF(HO80&gt;=61,"VIGENTE",IF(HO80&gt;=1,"POR VENCER",IF(HO80&lt;=-1,"VENCIDA",IF(HM80=0,"NO APLICA"))))</f>
        <v>NO APLICA</v>
      </c>
      <c r="HQ80" s="12"/>
      <c r="HR80" s="12"/>
      <c r="HS80" s="14"/>
      <c r="HT80" s="12"/>
      <c r="HU80" s="15" t="str">
        <f t="shared" si="315"/>
        <v>NO APLICA</v>
      </c>
      <c r="HV80" s="16"/>
      <c r="HW80" s="14">
        <v>45193</v>
      </c>
      <c r="HX80" s="14">
        <f>DATE(YEAR(HW80)+5,MONTH(HW80),DAY(HW80))</f>
        <v>47020</v>
      </c>
      <c r="HY80" s="65">
        <f ca="1">HX80-TODAY()</f>
        <v>889</v>
      </c>
      <c r="HZ80" s="15" t="str">
        <f t="shared" ca="1" si="316"/>
        <v>VIGENTE</v>
      </c>
      <c r="IA80" s="16"/>
      <c r="IB80" s="14">
        <v>45194</v>
      </c>
      <c r="IC80" s="14">
        <f>DATE(YEAR(IB80)+5,MONTH(IB80),DAY(IB80))</f>
        <v>47021</v>
      </c>
      <c r="ID80" s="65">
        <f ca="1">IC80-TODAY()</f>
        <v>890</v>
      </c>
      <c r="IE80" s="15" t="str">
        <f t="shared" ca="1" si="317"/>
        <v>VIGENTE</v>
      </c>
      <c r="IF80" s="16"/>
      <c r="IG80" s="14">
        <v>45192</v>
      </c>
      <c r="IH80" s="14">
        <f>DATE(YEAR(IG80)+5,MONTH(IG80),DAY(IG80))</f>
        <v>47019</v>
      </c>
      <c r="II80" s="65">
        <f ca="1">IH80-TODAY()</f>
        <v>888</v>
      </c>
      <c r="IJ80" s="15" t="str">
        <f t="shared" ca="1" si="318"/>
        <v>VIGENTE</v>
      </c>
      <c r="IK80" s="16"/>
      <c r="IL80" s="14">
        <v>45105</v>
      </c>
      <c r="IM80" s="14">
        <f>DATE(YEAR(IL80)+5,MONTH(IL80),DAY(IL80))</f>
        <v>46932</v>
      </c>
      <c r="IN80" s="65">
        <f ca="1">IM80-TODAY()</f>
        <v>801</v>
      </c>
      <c r="IO80" s="15" t="str">
        <f t="shared" ca="1" si="319"/>
        <v>VIGENTE</v>
      </c>
      <c r="IP80" s="16"/>
      <c r="IQ80" s="14">
        <v>45144</v>
      </c>
      <c r="IR80" s="14">
        <f>DATE(YEAR(IQ80)+5,MONTH(IQ80),DAY(IQ80))</f>
        <v>46971</v>
      </c>
      <c r="IS80" s="65">
        <f ca="1">IR80-TODAY()</f>
        <v>840</v>
      </c>
      <c r="IT80" s="15" t="str">
        <f t="shared" ca="1" si="320"/>
        <v>VIGENTE</v>
      </c>
      <c r="IU80" s="16"/>
      <c r="IV80" s="14">
        <v>45191</v>
      </c>
      <c r="IW80" s="14">
        <f>DATE(YEAR(IV80)+5,MONTH(IV80),DAY(IV80))</f>
        <v>47018</v>
      </c>
      <c r="IX80" s="65">
        <f ca="1">IW80-TODAY()</f>
        <v>887</v>
      </c>
      <c r="IY80" s="15" t="str">
        <f t="shared" ca="1" si="321"/>
        <v>VIGENTE</v>
      </c>
      <c r="IZ80" s="16"/>
      <c r="JA80" s="14">
        <v>45107</v>
      </c>
      <c r="JB80" s="14">
        <f>DATE(YEAR(JA80)+5,MONTH(JA80),DAY(JA80))</f>
        <v>46934</v>
      </c>
      <c r="JC80" s="65">
        <f ca="1">JB80-TODAY()</f>
        <v>803</v>
      </c>
      <c r="JD80" s="15" t="str">
        <f t="shared" ca="1" si="322"/>
        <v>VIGENTE</v>
      </c>
      <c r="JE80" s="13"/>
      <c r="JF80" s="13"/>
      <c r="JG80" s="14"/>
      <c r="JH80" s="65"/>
      <c r="JI80" s="15" t="str">
        <f t="shared" si="323"/>
        <v>NO APLICA</v>
      </c>
      <c r="JJ80" s="16"/>
      <c r="JK80" s="16"/>
      <c r="JL80" s="16"/>
      <c r="JM80" s="15" t="str">
        <f t="shared" si="324"/>
        <v>NO APLICA</v>
      </c>
      <c r="JN80" s="16"/>
      <c r="JO80" s="16"/>
      <c r="JP80" s="16"/>
      <c r="JQ80" s="15" t="str">
        <f t="shared" si="325"/>
        <v>NO APLICA</v>
      </c>
      <c r="JR80" s="16"/>
      <c r="JS80" s="16"/>
      <c r="JT80" s="16"/>
      <c r="JU80" s="16"/>
      <c r="JV80" s="15" t="str">
        <f t="shared" si="326"/>
        <v>NO APLICA</v>
      </c>
      <c r="JW80" s="15"/>
      <c r="JX80" s="15"/>
      <c r="JY80" s="15"/>
      <c r="JZ80" s="15"/>
      <c r="KA80" s="15" t="str">
        <f t="shared" si="327"/>
        <v>NO APLICA</v>
      </c>
      <c r="KB80" s="12"/>
      <c r="KC80" s="14"/>
      <c r="KD80" s="65"/>
      <c r="KE80" s="15" t="str">
        <f t="shared" si="328"/>
        <v>NO APLICA</v>
      </c>
      <c r="KF80" s="12"/>
      <c r="KG80" s="14"/>
      <c r="KH80" s="65"/>
      <c r="KI80" s="15" t="str">
        <f t="shared" si="345"/>
        <v>NO APLICA</v>
      </c>
      <c r="KJ80" s="12"/>
      <c r="KK80" s="14"/>
      <c r="KL80" s="65"/>
      <c r="KM80" s="15" t="str">
        <f t="shared" si="329"/>
        <v>NO APLICA</v>
      </c>
      <c r="KN80" s="12"/>
      <c r="KO80" s="14"/>
      <c r="KP80" s="65"/>
      <c r="KQ80" s="15" t="str">
        <f t="shared" si="346"/>
        <v>NO APLICA</v>
      </c>
      <c r="KR80" s="16"/>
      <c r="KS80" s="16"/>
      <c r="KT80" s="14"/>
      <c r="KU80" s="65"/>
      <c r="KV80" s="15" t="str">
        <f t="shared" si="355"/>
        <v>NO APLICA</v>
      </c>
      <c r="KW80" s="16"/>
      <c r="KX80" s="14"/>
      <c r="KY80" s="65"/>
      <c r="KZ80" s="15" t="str">
        <f t="shared" si="347"/>
        <v>NO APLICA</v>
      </c>
      <c r="LA80" s="16"/>
      <c r="LB80" s="16"/>
      <c r="LC80" s="14"/>
      <c r="LD80" s="65"/>
      <c r="LE80" s="15" t="str">
        <f t="shared" si="330"/>
        <v>NO APLICA</v>
      </c>
      <c r="LF80" s="15"/>
      <c r="LG80" s="15"/>
      <c r="LH80" s="14"/>
      <c r="LI80" s="65"/>
      <c r="LJ80" s="15" t="str">
        <f t="shared" si="356"/>
        <v>NO APLICA</v>
      </c>
      <c r="LK80" s="16"/>
      <c r="LL80" s="16"/>
      <c r="LM80" s="14"/>
      <c r="LN80" s="65"/>
      <c r="LO80" s="15" t="str">
        <f t="shared" si="348"/>
        <v>NO APLICA</v>
      </c>
      <c r="LP80" s="16"/>
      <c r="LQ80" s="16"/>
      <c r="LR80" s="14"/>
      <c r="LS80" s="65"/>
      <c r="LT80" s="15" t="str">
        <f t="shared" si="349"/>
        <v>NO APLICA</v>
      </c>
      <c r="LU80" s="16"/>
      <c r="LV80" s="16"/>
      <c r="LW80" s="14"/>
      <c r="LX80" s="65"/>
      <c r="LY80" s="15" t="str">
        <f t="shared" si="350"/>
        <v>NO APLICA</v>
      </c>
      <c r="LZ80" s="12"/>
      <c r="MA80" s="12"/>
      <c r="MB80" s="14"/>
      <c r="MC80" s="65"/>
      <c r="MD80" s="15" t="str">
        <f t="shared" si="331"/>
        <v>NO APLICA</v>
      </c>
      <c r="ME80" s="12"/>
      <c r="MF80" s="12"/>
      <c r="MG80" s="14"/>
      <c r="MH80" s="65"/>
      <c r="MI80" s="15" t="str">
        <f t="shared" si="332"/>
        <v>NO APLICA</v>
      </c>
      <c r="MJ80" s="12"/>
      <c r="MK80" s="14"/>
      <c r="ML80" s="65"/>
      <c r="MM80" s="15" t="str">
        <f t="shared" si="333"/>
        <v>NO APLICA</v>
      </c>
      <c r="MN80" s="12"/>
      <c r="MO80" s="14"/>
      <c r="MP80" s="12"/>
      <c r="MQ80" s="15" t="str">
        <f t="shared" si="334"/>
        <v>NO APLICA</v>
      </c>
      <c r="MR80" s="16"/>
      <c r="MS80" s="16"/>
      <c r="MT80" s="14"/>
      <c r="MU80" s="65"/>
      <c r="MV80" s="15" t="str">
        <f t="shared" si="335"/>
        <v>NO APLICA</v>
      </c>
      <c r="MW80" s="16"/>
      <c r="MX80" s="16"/>
      <c r="MY80" s="14"/>
      <c r="MZ80" s="65"/>
      <c r="NA80" s="15" t="str">
        <f t="shared" si="336"/>
        <v>NO APLICA</v>
      </c>
      <c r="NB80" s="16"/>
      <c r="NC80" s="16"/>
      <c r="ND80" s="14"/>
      <c r="NE80" s="65"/>
      <c r="NF80" s="15" t="str">
        <f t="shared" si="337"/>
        <v>NO APLICA</v>
      </c>
      <c r="NG80" s="12"/>
      <c r="NH80" s="12"/>
      <c r="NI80" s="14"/>
      <c r="NJ80" s="65"/>
      <c r="NK80" s="15" t="str">
        <f t="shared" si="338"/>
        <v>NO APLICA</v>
      </c>
      <c r="NL80" s="12"/>
      <c r="NM80" s="12"/>
      <c r="NN80" s="14"/>
      <c r="NO80" s="12"/>
      <c r="NP80" s="15" t="str">
        <f t="shared" si="339"/>
        <v>NO APLICA</v>
      </c>
      <c r="NQ80" s="16"/>
      <c r="NR80" s="16"/>
      <c r="NS80" s="14"/>
      <c r="NT80" s="65"/>
      <c r="NU80" s="15" t="str">
        <f t="shared" si="340"/>
        <v>NO APLICA</v>
      </c>
      <c r="NV80" s="16"/>
      <c r="NW80" s="16"/>
      <c r="NX80" s="16"/>
      <c r="NY80" s="16"/>
      <c r="NZ80" s="15" t="str">
        <f t="shared" si="341"/>
        <v>NO APLICA</v>
      </c>
    </row>
    <row r="81" spans="1:390" ht="15.6" thickTop="1" thickBot="1" x14ac:dyDescent="0.35">
      <c r="A81" s="11">
        <v>1694</v>
      </c>
      <c r="B81" s="10" t="s">
        <v>345</v>
      </c>
      <c r="C81" s="21" t="s">
        <v>104</v>
      </c>
      <c r="D81" s="64" t="s">
        <v>110</v>
      </c>
      <c r="E81" s="15"/>
      <c r="F81" s="16"/>
      <c r="G81" s="14"/>
      <c r="H81" s="65"/>
      <c r="I81" s="15" t="str">
        <f t="shared" si="235"/>
        <v>NO APLICA</v>
      </c>
      <c r="J81" s="12"/>
      <c r="K81" s="16"/>
      <c r="L81" s="16"/>
      <c r="M81" s="65"/>
      <c r="N81" s="15" t="str">
        <f t="shared" si="236"/>
        <v>NO APLICA</v>
      </c>
      <c r="O81" s="16"/>
      <c r="P81" s="16"/>
      <c r="Q81" s="14"/>
      <c r="R81" s="65"/>
      <c r="S81" s="15" t="str">
        <f t="shared" si="342"/>
        <v>NO APLICA</v>
      </c>
      <c r="T81" s="13" t="s">
        <v>346</v>
      </c>
      <c r="U81" s="13">
        <v>45155</v>
      </c>
      <c r="V81" s="14">
        <v>45156</v>
      </c>
      <c r="W81" s="14">
        <f t="shared" si="237"/>
        <v>46983</v>
      </c>
      <c r="X81" s="65">
        <f t="shared" ca="1" si="238"/>
        <v>852</v>
      </c>
      <c r="Y81" s="15" t="str">
        <f t="shared" ca="1" si="239"/>
        <v>VIGENTE</v>
      </c>
      <c r="Z81" s="12" t="s">
        <v>347</v>
      </c>
      <c r="AA81" s="13">
        <v>45161</v>
      </c>
      <c r="AB81" s="14">
        <v>45162</v>
      </c>
      <c r="AC81" s="14">
        <f t="shared" si="365"/>
        <v>46989</v>
      </c>
      <c r="AD81" s="65">
        <f t="shared" ca="1" si="366"/>
        <v>858</v>
      </c>
      <c r="AE81" s="15" t="str">
        <f t="shared" ca="1" si="367"/>
        <v>VIGENTE</v>
      </c>
      <c r="AF81" s="13">
        <v>45243</v>
      </c>
      <c r="AG81" s="14">
        <v>45902</v>
      </c>
      <c r="AH81" s="14">
        <f>DATE(YEAR(AG81)+2,MONTH(AG81),DAY(AG81))</f>
        <v>46632</v>
      </c>
      <c r="AI81" s="65">
        <f t="shared" ca="1" si="241"/>
        <v>501</v>
      </c>
      <c r="AJ81" s="15" t="str">
        <f t="shared" ca="1" si="213"/>
        <v>VIGENTE</v>
      </c>
      <c r="AK81" s="13">
        <v>45215</v>
      </c>
      <c r="AL81" s="14">
        <v>45903</v>
      </c>
      <c r="AM81" s="14">
        <f>DATE(YEAR(AL81)+2,MONTH(AL81),DAY(AL81))</f>
        <v>46633</v>
      </c>
      <c r="AN81" s="65">
        <f t="shared" ca="1" si="242"/>
        <v>502</v>
      </c>
      <c r="AO81" s="15" t="str">
        <f t="shared" ca="1" si="243"/>
        <v>VIGENTE</v>
      </c>
      <c r="AP81" s="13">
        <v>45168</v>
      </c>
      <c r="AQ81" s="14">
        <v>45820</v>
      </c>
      <c r="AR81" s="14">
        <f>DATE(YEAR(AQ81)+2,MONTH(AQ81),DAY(AQ81))</f>
        <v>46550</v>
      </c>
      <c r="AS81" s="65">
        <f t="shared" ca="1" si="244"/>
        <v>419</v>
      </c>
      <c r="AT81" s="15" t="str">
        <f t="shared" ca="1" si="245"/>
        <v>VIGENTE</v>
      </c>
      <c r="AU81" s="12"/>
      <c r="AV81" s="14">
        <v>45952</v>
      </c>
      <c r="AW81" s="14">
        <f>DATE(YEAR(AV81)+2,MONTH(AV81),DAY(AV81))</f>
        <v>46682</v>
      </c>
      <c r="AX81" s="65">
        <f t="shared" ca="1" si="246"/>
        <v>551</v>
      </c>
      <c r="AY81" s="15" t="str">
        <f t="shared" ca="1" si="247"/>
        <v>VIGENTE</v>
      </c>
      <c r="AZ81" s="13">
        <v>45192</v>
      </c>
      <c r="BA81" s="14">
        <v>45855</v>
      </c>
      <c r="BB81" s="14">
        <f>DATE(YEAR(BA81)+2,MONTH(BA81),DAY(BA81))</f>
        <v>46585</v>
      </c>
      <c r="BC81" s="65">
        <f t="shared" ca="1" si="248"/>
        <v>454</v>
      </c>
      <c r="BD81" s="15" t="str">
        <f t="shared" ca="1" si="249"/>
        <v>VIGENTE</v>
      </c>
      <c r="BE81" s="13">
        <v>45302</v>
      </c>
      <c r="BF81" s="14">
        <v>45968</v>
      </c>
      <c r="BG81" s="14">
        <f>DATE(YEAR(BF81)+2,MONTH(BF81),DAY(BF81))</f>
        <v>46698</v>
      </c>
      <c r="BH81" s="65">
        <f t="shared" ca="1" si="250"/>
        <v>567</v>
      </c>
      <c r="BI81" s="15" t="str">
        <f t="shared" ca="1" si="251"/>
        <v>VIGENTE</v>
      </c>
      <c r="BJ81" s="13">
        <v>45306</v>
      </c>
      <c r="BK81" s="14">
        <v>45976</v>
      </c>
      <c r="BL81" s="14">
        <f>DATE(YEAR(BK81)+2,MONTH(BK81),DAY(BK81))</f>
        <v>46706</v>
      </c>
      <c r="BM81" s="65">
        <f t="shared" ca="1" si="252"/>
        <v>575</v>
      </c>
      <c r="BN81" s="15" t="str">
        <f t="shared" ca="1" si="253"/>
        <v>VIGENTE</v>
      </c>
      <c r="BO81" s="13">
        <v>45308</v>
      </c>
      <c r="BP81" s="14">
        <v>45981</v>
      </c>
      <c r="BQ81" s="14">
        <f>DATE(YEAR(BP81)+2,MONTH(BP81),DAY(BP81))</f>
        <v>46711</v>
      </c>
      <c r="BR81" s="65">
        <f t="shared" ca="1" si="254"/>
        <v>580</v>
      </c>
      <c r="BS81" s="15" t="str">
        <f t="shared" ca="1" si="255"/>
        <v>VIGENTE</v>
      </c>
      <c r="BT81" s="12"/>
      <c r="BU81" s="14">
        <v>45950</v>
      </c>
      <c r="BV81" s="14">
        <f>DATE(YEAR(BU81)+2,MONTH(BU81),DAY(BU81))</f>
        <v>46680</v>
      </c>
      <c r="BW81" s="65">
        <f t="shared" ca="1" si="256"/>
        <v>549</v>
      </c>
      <c r="BX81" s="15" t="str">
        <f t="shared" ca="1" si="257"/>
        <v>VIGENTE</v>
      </c>
      <c r="BY81" s="12"/>
      <c r="BZ81" s="14">
        <v>45944</v>
      </c>
      <c r="CA81" s="14">
        <f>DATE(YEAR(BZ81)+2,MONTH(BZ81),DAY(BZ81))</f>
        <v>46674</v>
      </c>
      <c r="CB81" s="65">
        <f t="shared" ca="1" si="258"/>
        <v>543</v>
      </c>
      <c r="CC81" s="15" t="str">
        <f t="shared" ca="1" si="259"/>
        <v>VIGENTE</v>
      </c>
      <c r="CD81" s="16" t="s">
        <v>108</v>
      </c>
      <c r="CE81" s="13">
        <v>45163</v>
      </c>
      <c r="CF81" s="14">
        <v>45164</v>
      </c>
      <c r="CG81" s="14">
        <f t="shared" si="260"/>
        <v>46625</v>
      </c>
      <c r="CH81" s="65">
        <f t="shared" ca="1" si="261"/>
        <v>494</v>
      </c>
      <c r="CI81" s="15" t="str">
        <f t="shared" ca="1" si="262"/>
        <v>VIGENTE</v>
      </c>
      <c r="CJ81" s="14">
        <v>45238</v>
      </c>
      <c r="CK81" s="14">
        <v>45895</v>
      </c>
      <c r="CL81" s="14">
        <f>DATE(YEAR(CK81)+2,MONTH(CK81),DAY(CK81))</f>
        <v>46625</v>
      </c>
      <c r="CM81" s="65">
        <f t="shared" ca="1" si="263"/>
        <v>494</v>
      </c>
      <c r="CN81" s="15" t="str">
        <f t="shared" ca="1" si="264"/>
        <v>VIGENTE</v>
      </c>
      <c r="CO81" s="14">
        <v>45305</v>
      </c>
      <c r="CP81" s="14">
        <v>45979</v>
      </c>
      <c r="CQ81" s="14">
        <f>DATE(YEAR(CP81)+2,MONTH(CP81),DAY(CP81))</f>
        <v>46709</v>
      </c>
      <c r="CR81" s="65">
        <f t="shared" ca="1" si="265"/>
        <v>578</v>
      </c>
      <c r="CS81" s="15" t="str">
        <f t="shared" ca="1" si="266"/>
        <v>VIGENTE</v>
      </c>
      <c r="CT81" s="12"/>
      <c r="CU81" s="14">
        <v>45939</v>
      </c>
      <c r="CV81" s="14">
        <f>DATE(YEAR(CU81)+2,MONTH(CU81),DAY(CU81))</f>
        <v>46669</v>
      </c>
      <c r="CW81" s="65">
        <f t="shared" ca="1" si="267"/>
        <v>538</v>
      </c>
      <c r="CX81" s="15" t="str">
        <f t="shared" ca="1" si="268"/>
        <v>VIGENTE</v>
      </c>
      <c r="CY81" s="13">
        <v>45205</v>
      </c>
      <c r="CZ81" s="14">
        <v>45878</v>
      </c>
      <c r="DA81" s="14">
        <f>DATE(YEAR(CZ81)+2,MONTH(CZ81),DAY(CZ81))</f>
        <v>46608</v>
      </c>
      <c r="DB81" s="65">
        <f t="shared" ca="1" si="269"/>
        <v>477</v>
      </c>
      <c r="DC81" s="15" t="str">
        <f t="shared" ca="1" si="270"/>
        <v>VIGENTE</v>
      </c>
      <c r="DD81" s="13">
        <v>45365</v>
      </c>
      <c r="DE81" s="14">
        <v>46066</v>
      </c>
      <c r="DF81" s="14">
        <f>DATE(YEAR(DE81)+2,MONTH(DE81),DAY(DE81))</f>
        <v>46796</v>
      </c>
      <c r="DG81" s="65">
        <f t="shared" ca="1" si="271"/>
        <v>665</v>
      </c>
      <c r="DH81" s="15" t="str">
        <f t="shared" ca="1" si="272"/>
        <v>VIGENTE</v>
      </c>
      <c r="DI81" s="13">
        <v>45167</v>
      </c>
      <c r="DJ81" s="14">
        <v>45779</v>
      </c>
      <c r="DK81" s="14">
        <f>DATE(YEAR(DJ81)+2,MONTH(DJ81),DAY(DJ81))</f>
        <v>46509</v>
      </c>
      <c r="DL81" s="65">
        <f t="shared" ca="1" si="273"/>
        <v>378</v>
      </c>
      <c r="DM81" s="15" t="str">
        <f t="shared" ca="1" si="274"/>
        <v>VIGENTE</v>
      </c>
      <c r="DN81" s="14">
        <v>45198</v>
      </c>
      <c r="DO81" s="14">
        <v>45873</v>
      </c>
      <c r="DP81" s="14">
        <f>DATE(YEAR(DO81)+2,MONTH(DO81),DAY(DO81))</f>
        <v>46603</v>
      </c>
      <c r="DQ81" s="65">
        <f t="shared" ca="1" si="275"/>
        <v>472</v>
      </c>
      <c r="DR81" s="15" t="str">
        <f t="shared" ca="1" si="276"/>
        <v>VIGENTE</v>
      </c>
      <c r="DS81" s="14">
        <v>45336</v>
      </c>
      <c r="DT81" s="14">
        <v>46018</v>
      </c>
      <c r="DU81" s="14">
        <f>DATE(YEAR(DT81)+2,MONTH(DT81),DAY(DT81))</f>
        <v>46748</v>
      </c>
      <c r="DV81" s="65">
        <f t="shared" ca="1" si="277"/>
        <v>617</v>
      </c>
      <c r="DW81" s="15" t="str">
        <f t="shared" ca="1" si="278"/>
        <v>VIGENTE</v>
      </c>
      <c r="DX81" s="14">
        <v>45355</v>
      </c>
      <c r="DY81" s="14">
        <v>46032</v>
      </c>
      <c r="DZ81" s="14">
        <f>DATE(YEAR(DY81)+2,MONTH(DY81),DAY(DY81))</f>
        <v>46762</v>
      </c>
      <c r="EA81" s="65">
        <f t="shared" ca="1" si="279"/>
        <v>631</v>
      </c>
      <c r="EB81" s="15" t="str">
        <f t="shared" ca="1" si="280"/>
        <v>VIGENTE</v>
      </c>
      <c r="EC81" s="13">
        <v>45157</v>
      </c>
      <c r="ED81" s="14">
        <v>45829</v>
      </c>
      <c r="EE81" s="14">
        <f>DATE(YEAR(ED81)+2,MONTH(ED81),DAY(ED81))</f>
        <v>46559</v>
      </c>
      <c r="EF81" s="65">
        <f t="shared" ca="1" si="281"/>
        <v>428</v>
      </c>
      <c r="EG81" s="15" t="str">
        <f t="shared" ca="1" si="282"/>
        <v>VIGENTE</v>
      </c>
      <c r="EH81" s="14">
        <v>45253</v>
      </c>
      <c r="EI81" s="13">
        <v>46013</v>
      </c>
      <c r="EJ81" s="13">
        <v>46014</v>
      </c>
      <c r="EK81" s="13">
        <v>46015</v>
      </c>
      <c r="EL81" s="14">
        <f t="shared" si="344"/>
        <v>46380</v>
      </c>
      <c r="EM81" s="65">
        <f t="shared" ca="1" si="283"/>
        <v>249</v>
      </c>
      <c r="EN81" s="15" t="str">
        <f t="shared" ca="1" si="284"/>
        <v>VIGENTE</v>
      </c>
      <c r="EO81" s="13">
        <v>45303</v>
      </c>
      <c r="EP81" s="14">
        <v>45966</v>
      </c>
      <c r="EQ81" s="14">
        <f>DATE(YEAR(EP81)+2,MONTH(EP81),DAY(EP81))</f>
        <v>46696</v>
      </c>
      <c r="ER81" s="65">
        <f t="shared" ca="1" si="285"/>
        <v>565</v>
      </c>
      <c r="ES81" s="15" t="str">
        <f t="shared" ca="1" si="286"/>
        <v>VIGENTE</v>
      </c>
      <c r="ET81" s="13">
        <v>45159</v>
      </c>
      <c r="EU81" s="14">
        <v>45824</v>
      </c>
      <c r="EV81" s="14">
        <f>DATE(YEAR(EU81)+2,MONTH(EU81),DAY(EU81))</f>
        <v>46554</v>
      </c>
      <c r="EW81" s="65">
        <f t="shared" ca="1" si="287"/>
        <v>423</v>
      </c>
      <c r="EX81" s="15" t="str">
        <f t="shared" ca="1" si="288"/>
        <v>VIGENTE</v>
      </c>
      <c r="EY81" s="12"/>
      <c r="EZ81" s="14">
        <v>45953</v>
      </c>
      <c r="FA81" s="14">
        <f>DATE(YEAR(EZ81)+2,MONTH(EZ81),DAY(EZ81))</f>
        <v>46683</v>
      </c>
      <c r="FB81" s="65">
        <f t="shared" ca="1" si="289"/>
        <v>552</v>
      </c>
      <c r="FC81" s="15" t="str">
        <f t="shared" ca="1" si="290"/>
        <v>VIGENTE</v>
      </c>
      <c r="FD81" s="13">
        <v>45223</v>
      </c>
      <c r="FE81" s="14">
        <v>45922</v>
      </c>
      <c r="FF81" s="14">
        <f>DATE(YEAR(FE81)+2,MONTH(FE81),DAY(FE81))</f>
        <v>46652</v>
      </c>
      <c r="FG81" s="65">
        <f t="shared" ca="1" si="291"/>
        <v>521</v>
      </c>
      <c r="FH81" s="15" t="str">
        <f t="shared" ca="1" si="292"/>
        <v>VIGENTE</v>
      </c>
      <c r="FI81" s="13">
        <v>45282</v>
      </c>
      <c r="FJ81" s="14">
        <v>45932</v>
      </c>
      <c r="FK81" s="14">
        <f>DATE(YEAR(FJ81)+2,MONTH(FJ81),DAY(FJ81))</f>
        <v>46662</v>
      </c>
      <c r="FL81" s="65">
        <f t="shared" ca="1" si="293"/>
        <v>531</v>
      </c>
      <c r="FM81" s="15" t="str">
        <f t="shared" ca="1" si="294"/>
        <v>VIGENTE</v>
      </c>
      <c r="FN81" s="13">
        <v>45197</v>
      </c>
      <c r="FO81" s="14">
        <v>45850</v>
      </c>
      <c r="FP81" s="14">
        <f>DATE(YEAR(FO81)+2,MONTH(FO81),DAY(FO81))</f>
        <v>46580</v>
      </c>
      <c r="FQ81" s="65">
        <f t="shared" ca="1" si="295"/>
        <v>449</v>
      </c>
      <c r="FR81" s="15" t="str">
        <f t="shared" ca="1" si="296"/>
        <v>VIGENTE</v>
      </c>
      <c r="FS81" s="13">
        <v>45199</v>
      </c>
      <c r="FT81" s="14">
        <v>45846</v>
      </c>
      <c r="FU81" s="14">
        <f>DATE(YEAR(FT81)+2,MONTH(FT81),DAY(FT81))</f>
        <v>46576</v>
      </c>
      <c r="FV81" s="65">
        <f t="shared" ca="1" si="297"/>
        <v>445</v>
      </c>
      <c r="FW81" s="15" t="str">
        <f t="shared" ca="1" si="298"/>
        <v>VIGENTE</v>
      </c>
      <c r="FX81" s="13">
        <v>45281</v>
      </c>
      <c r="FY81" s="14">
        <v>45961</v>
      </c>
      <c r="FZ81" s="14">
        <f>DATE(YEAR(FY81)+2,MONTH(FY81),DAY(FY81))</f>
        <v>46691</v>
      </c>
      <c r="GA81" s="65">
        <f t="shared" ca="1" si="299"/>
        <v>560</v>
      </c>
      <c r="GB81" s="15" t="str">
        <f t="shared" ca="1" si="300"/>
        <v>VIGENTE</v>
      </c>
      <c r="GC81" s="13"/>
      <c r="GD81" s="14">
        <v>45925</v>
      </c>
      <c r="GE81" s="14">
        <f>DATE(YEAR(GD81)+2,MONTH(GD81),DAY(GD81))</f>
        <v>46655</v>
      </c>
      <c r="GF81" s="65">
        <f t="shared" ca="1" si="301"/>
        <v>524</v>
      </c>
      <c r="GG81" s="15" t="str">
        <f t="shared" ca="1" si="302"/>
        <v>VIGENTE</v>
      </c>
      <c r="GH81" s="13">
        <v>45252</v>
      </c>
      <c r="GI81" s="14">
        <v>45912</v>
      </c>
      <c r="GJ81" s="14">
        <f>DATE(YEAR(GI81)+2,MONTH(GI81),DAY(GI81))</f>
        <v>46642</v>
      </c>
      <c r="GK81" s="65">
        <f t="shared" ca="1" si="303"/>
        <v>511</v>
      </c>
      <c r="GL81" s="15" t="str">
        <f t="shared" ca="1" si="304"/>
        <v>VIGENTE</v>
      </c>
      <c r="GM81" s="13">
        <v>45182</v>
      </c>
      <c r="GN81" s="14">
        <v>45848</v>
      </c>
      <c r="GO81" s="14">
        <f>DATE(YEAR(GN81)+2,MONTH(GN81),DAY(GN81))</f>
        <v>46578</v>
      </c>
      <c r="GP81" s="65">
        <f t="shared" ca="1" si="305"/>
        <v>447</v>
      </c>
      <c r="GQ81" s="15" t="str">
        <f t="shared" ca="1" si="306"/>
        <v>VIGENTE</v>
      </c>
      <c r="GR81" s="14"/>
      <c r="GS81" s="14">
        <v>45181</v>
      </c>
      <c r="GT81" s="14">
        <f t="shared" si="307"/>
        <v>47008</v>
      </c>
      <c r="GU81" s="65">
        <f t="shared" ca="1" si="374"/>
        <v>877</v>
      </c>
      <c r="GV81" s="15" t="str">
        <f t="shared" ca="1" si="368"/>
        <v>VIGENTE</v>
      </c>
      <c r="GW81" s="13"/>
      <c r="GX81" s="14">
        <v>45245</v>
      </c>
      <c r="GY81" s="14">
        <f t="shared" si="309"/>
        <v>47072</v>
      </c>
      <c r="GZ81" s="65">
        <f t="shared" ca="1" si="310"/>
        <v>941</v>
      </c>
      <c r="HA81" s="15" t="str">
        <f t="shared" ca="1" si="369"/>
        <v>VIGENTE</v>
      </c>
      <c r="HB81" s="12"/>
      <c r="HC81" s="14">
        <v>45251</v>
      </c>
      <c r="HD81" s="14">
        <f t="shared" si="312"/>
        <v>47078</v>
      </c>
      <c r="HE81" s="65">
        <f t="shared" ca="1" si="313"/>
        <v>947</v>
      </c>
      <c r="HF81" s="15" t="str">
        <f t="shared" ca="1" si="370"/>
        <v>VIGENTE</v>
      </c>
      <c r="HG81" s="16"/>
      <c r="HH81" s="14">
        <v>45317</v>
      </c>
      <c r="HI81" s="14">
        <f t="shared" si="362"/>
        <v>47144</v>
      </c>
      <c r="HJ81" s="65">
        <f t="shared" ca="1" si="363"/>
        <v>1013</v>
      </c>
      <c r="HK81" s="15" t="str">
        <f t="shared" ca="1" si="371"/>
        <v>VIGENTE</v>
      </c>
      <c r="HL81" s="12"/>
      <c r="HM81" s="16"/>
      <c r="HN81" s="14">
        <f>DATE(YEAR(HM81)+5,MONTH(HM81),DAY(HM81))</f>
        <v>1827</v>
      </c>
      <c r="HO81" s="65">
        <f ca="1">HN81-TODAY()</f>
        <v>-44304</v>
      </c>
      <c r="HP81" s="15" t="str">
        <f ca="1">IF(HO81&gt;=61,"VIGENTE",IF(HO81&gt;=1,"POR VENCER",IF(HO81&lt;=-1,"PROGRAMAR",IF(HM81=0,"NO APLICA"))))</f>
        <v>PROGRAMAR</v>
      </c>
      <c r="HQ81" s="12"/>
      <c r="HR81" s="12"/>
      <c r="HS81" s="14"/>
      <c r="HT81" s="12"/>
      <c r="HU81" s="15" t="str">
        <f t="shared" si="315"/>
        <v>NO APLICA</v>
      </c>
      <c r="HV81" s="12"/>
      <c r="HW81" s="16"/>
      <c r="HX81" s="14"/>
      <c r="HY81" s="65"/>
      <c r="HZ81" s="15" t="str">
        <f t="shared" si="316"/>
        <v>NO APLICA</v>
      </c>
      <c r="IA81" s="12"/>
      <c r="IB81" s="14">
        <v>45395</v>
      </c>
      <c r="IC81" s="14">
        <f>DATE(YEAR(IB81)+5,MONTH(IB81),DAY(IB81))</f>
        <v>47221</v>
      </c>
      <c r="ID81" s="65">
        <f ca="1">IC81-TODAY()</f>
        <v>1090</v>
      </c>
      <c r="IE81" s="15" t="str">
        <f t="shared" ca="1" si="317"/>
        <v>VIGENTE</v>
      </c>
      <c r="IF81" s="12"/>
      <c r="IG81" s="14"/>
      <c r="IH81" s="14"/>
      <c r="II81" s="65"/>
      <c r="IJ81" s="15" t="str">
        <f t="shared" si="318"/>
        <v>NO APLICA</v>
      </c>
      <c r="IK81" s="16"/>
      <c r="IL81" s="16"/>
      <c r="IM81" s="14"/>
      <c r="IN81" s="65"/>
      <c r="IO81" s="15" t="str">
        <f t="shared" si="319"/>
        <v>NO APLICA</v>
      </c>
      <c r="IP81" s="12"/>
      <c r="IQ81" s="16"/>
      <c r="IR81" s="14"/>
      <c r="IS81" s="65"/>
      <c r="IT81" s="15" t="str">
        <f t="shared" si="320"/>
        <v>NO APLICA</v>
      </c>
      <c r="IU81" s="12"/>
      <c r="IV81" s="14">
        <v>45350</v>
      </c>
      <c r="IW81" s="14">
        <f>DATE(YEAR(IV81)+5,MONTH(IV81),DAY(IV81))</f>
        <v>47177</v>
      </c>
      <c r="IX81" s="65">
        <f ca="1">IW81-TODAY()</f>
        <v>1046</v>
      </c>
      <c r="IY81" s="15" t="str">
        <f t="shared" ca="1" si="321"/>
        <v>VIGENTE</v>
      </c>
      <c r="IZ81" s="12"/>
      <c r="JA81" s="16"/>
      <c r="JB81" s="14"/>
      <c r="JC81" s="65"/>
      <c r="JD81" s="15" t="str">
        <f t="shared" si="322"/>
        <v>NO APLICA</v>
      </c>
      <c r="JE81" s="13"/>
      <c r="JF81" s="13"/>
      <c r="JG81" s="14"/>
      <c r="JH81" s="65"/>
      <c r="JI81" s="15" t="str">
        <f t="shared" si="323"/>
        <v>NO APLICA</v>
      </c>
      <c r="JJ81" s="16"/>
      <c r="JK81" s="16"/>
      <c r="JL81" s="16"/>
      <c r="JM81" s="15" t="str">
        <f t="shared" si="324"/>
        <v>NO APLICA</v>
      </c>
      <c r="JN81" s="16"/>
      <c r="JO81" s="16"/>
      <c r="JP81" s="16"/>
      <c r="JQ81" s="15" t="str">
        <f t="shared" si="325"/>
        <v>NO APLICA</v>
      </c>
      <c r="JR81" s="16"/>
      <c r="JS81" s="16"/>
      <c r="JT81" s="16"/>
      <c r="JU81" s="16"/>
      <c r="JV81" s="15" t="str">
        <f t="shared" si="326"/>
        <v>NO APLICA</v>
      </c>
      <c r="JW81" s="15"/>
      <c r="JX81" s="15"/>
      <c r="JY81" s="15"/>
      <c r="JZ81" s="15"/>
      <c r="KA81" s="15" t="str">
        <f t="shared" si="327"/>
        <v>NO APLICA</v>
      </c>
      <c r="KB81" s="12"/>
      <c r="KC81" s="14"/>
      <c r="KD81" s="65"/>
      <c r="KE81" s="15" t="str">
        <f t="shared" si="328"/>
        <v>NO APLICA</v>
      </c>
      <c r="KF81" s="12"/>
      <c r="KG81" s="14"/>
      <c r="KH81" s="65"/>
      <c r="KI81" s="15" t="str">
        <f t="shared" si="345"/>
        <v>NO APLICA</v>
      </c>
      <c r="KJ81" s="12"/>
      <c r="KK81" s="14"/>
      <c r="KL81" s="65"/>
      <c r="KM81" s="15" t="str">
        <f t="shared" si="329"/>
        <v>NO APLICA</v>
      </c>
      <c r="KN81" s="12"/>
      <c r="KO81" s="14"/>
      <c r="KP81" s="65"/>
      <c r="KQ81" s="15" t="str">
        <f t="shared" si="346"/>
        <v>NO APLICA</v>
      </c>
      <c r="KR81" s="12"/>
      <c r="KS81" s="16"/>
      <c r="KT81" s="14"/>
      <c r="KU81" s="65"/>
      <c r="KV81" s="15" t="str">
        <f t="shared" si="355"/>
        <v>NO APLICA</v>
      </c>
      <c r="KW81" s="16"/>
      <c r="KX81" s="14"/>
      <c r="KY81" s="65"/>
      <c r="KZ81" s="15" t="str">
        <f t="shared" si="347"/>
        <v>NO APLICA</v>
      </c>
      <c r="LA81" s="16"/>
      <c r="LB81" s="16"/>
      <c r="LC81" s="14"/>
      <c r="LD81" s="65"/>
      <c r="LE81" s="15" t="str">
        <f t="shared" si="330"/>
        <v>NO APLICA</v>
      </c>
      <c r="LF81" s="15"/>
      <c r="LG81" s="15"/>
      <c r="LH81" s="14"/>
      <c r="LI81" s="65"/>
      <c r="LJ81" s="15" t="str">
        <f t="shared" si="356"/>
        <v>NO APLICA</v>
      </c>
      <c r="LK81" s="12"/>
      <c r="LL81" s="16"/>
      <c r="LM81" s="14"/>
      <c r="LN81" s="65"/>
      <c r="LO81" s="15" t="str">
        <f t="shared" si="348"/>
        <v>NO APLICA</v>
      </c>
      <c r="LP81" s="16"/>
      <c r="LQ81" s="16"/>
      <c r="LR81" s="14"/>
      <c r="LS81" s="65"/>
      <c r="LT81" s="15" t="str">
        <f t="shared" si="349"/>
        <v>NO APLICA</v>
      </c>
      <c r="LU81" s="16"/>
      <c r="LV81" s="16"/>
      <c r="LW81" s="14"/>
      <c r="LX81" s="65"/>
      <c r="LY81" s="15" t="str">
        <f t="shared" si="350"/>
        <v>NO APLICA</v>
      </c>
      <c r="LZ81" s="12"/>
      <c r="MA81" s="12"/>
      <c r="MB81" s="14"/>
      <c r="MC81" s="65"/>
      <c r="MD81" s="15" t="str">
        <f t="shared" si="331"/>
        <v>NO APLICA</v>
      </c>
      <c r="ME81" s="12"/>
      <c r="MF81" s="12"/>
      <c r="MG81" s="14"/>
      <c r="MH81" s="65"/>
      <c r="MI81" s="15" t="str">
        <f t="shared" si="332"/>
        <v>NO APLICA</v>
      </c>
      <c r="MJ81" s="12"/>
      <c r="MK81" s="14"/>
      <c r="ML81" s="65"/>
      <c r="MM81" s="15" t="str">
        <f t="shared" si="333"/>
        <v>NO APLICA</v>
      </c>
      <c r="MN81" s="12"/>
      <c r="MO81" s="14"/>
      <c r="MP81" s="12"/>
      <c r="MQ81" s="15" t="str">
        <f t="shared" si="334"/>
        <v>NO APLICA</v>
      </c>
      <c r="MR81" s="12"/>
      <c r="MS81" s="16"/>
      <c r="MT81" s="14"/>
      <c r="MU81" s="65"/>
      <c r="MV81" s="15" t="str">
        <f t="shared" si="335"/>
        <v>NO APLICA</v>
      </c>
      <c r="MW81" s="12"/>
      <c r="MX81" s="16"/>
      <c r="MY81" s="14"/>
      <c r="MZ81" s="65"/>
      <c r="NA81" s="15" t="str">
        <f t="shared" si="336"/>
        <v>NO APLICA</v>
      </c>
      <c r="NB81" s="12"/>
      <c r="NC81" s="16"/>
      <c r="ND81" s="14"/>
      <c r="NE81" s="65"/>
      <c r="NF81" s="15" t="str">
        <f t="shared" si="337"/>
        <v>NO APLICA</v>
      </c>
      <c r="NG81" s="12"/>
      <c r="NH81" s="12"/>
      <c r="NI81" s="14"/>
      <c r="NJ81" s="65"/>
      <c r="NK81" s="15" t="str">
        <f t="shared" si="338"/>
        <v>NO APLICA</v>
      </c>
      <c r="NL81" s="12"/>
      <c r="NM81" s="12"/>
      <c r="NN81" s="14"/>
      <c r="NO81" s="12"/>
      <c r="NP81" s="15" t="str">
        <f t="shared" si="339"/>
        <v>NO APLICA</v>
      </c>
      <c r="NQ81" s="16"/>
      <c r="NR81" s="16"/>
      <c r="NS81" s="14"/>
      <c r="NT81" s="65"/>
      <c r="NU81" s="15" t="str">
        <f t="shared" si="340"/>
        <v>NO APLICA</v>
      </c>
      <c r="NV81" s="16"/>
      <c r="NW81" s="16"/>
      <c r="NX81" s="16"/>
      <c r="NY81" s="16"/>
      <c r="NZ81" s="15" t="str">
        <f t="shared" si="341"/>
        <v>NO APLICA</v>
      </c>
    </row>
    <row r="82" spans="1:390" ht="15.6" thickTop="1" thickBot="1" x14ac:dyDescent="0.35">
      <c r="A82" s="11">
        <v>1691</v>
      </c>
      <c r="B82" s="10" t="s">
        <v>348</v>
      </c>
      <c r="C82" s="21" t="s">
        <v>98</v>
      </c>
      <c r="D82" s="64" t="s">
        <v>118</v>
      </c>
      <c r="E82" s="15"/>
      <c r="F82" s="16"/>
      <c r="G82" s="14"/>
      <c r="H82" s="65"/>
      <c r="I82" s="15" t="str">
        <f t="shared" si="235"/>
        <v>NO APLICA</v>
      </c>
      <c r="J82" s="15"/>
      <c r="K82" s="16"/>
      <c r="L82" s="16"/>
      <c r="M82" s="65"/>
      <c r="N82" s="15" t="str">
        <f t="shared" si="236"/>
        <v>NO APLICA</v>
      </c>
      <c r="O82" s="14">
        <v>45596</v>
      </c>
      <c r="P82" s="14">
        <v>45597</v>
      </c>
      <c r="Q82" s="14">
        <f>DATE(YEAR(P82)+2,MONTH(P82),DAY(P82)-1)</f>
        <v>46326</v>
      </c>
      <c r="R82" s="65">
        <f ca="1">Q82-TODAY()</f>
        <v>195</v>
      </c>
      <c r="S82" s="15" t="str">
        <f t="shared" ca="1" si="342"/>
        <v>VIGENTE</v>
      </c>
      <c r="T82" s="12" t="s">
        <v>349</v>
      </c>
      <c r="U82" s="13">
        <v>45141</v>
      </c>
      <c r="V82" s="14">
        <v>45142</v>
      </c>
      <c r="W82" s="14">
        <f t="shared" si="237"/>
        <v>46969</v>
      </c>
      <c r="X82" s="65">
        <f t="shared" ca="1" si="238"/>
        <v>838</v>
      </c>
      <c r="Y82" s="15" t="str">
        <f t="shared" ca="1" si="239"/>
        <v>VIGENTE</v>
      </c>
      <c r="Z82" s="12" t="s">
        <v>350</v>
      </c>
      <c r="AA82" s="13">
        <v>45191</v>
      </c>
      <c r="AB82" s="14">
        <v>45192</v>
      </c>
      <c r="AC82" s="14">
        <f t="shared" si="365"/>
        <v>47019</v>
      </c>
      <c r="AD82" s="65">
        <f t="shared" ca="1" si="366"/>
        <v>888</v>
      </c>
      <c r="AE82" s="15" t="str">
        <f t="shared" ca="1" si="367"/>
        <v>VIGENTE</v>
      </c>
      <c r="AF82" s="12"/>
      <c r="AG82" s="14">
        <v>45936</v>
      </c>
      <c r="AH82" s="14">
        <f>DATE(YEAR(AG82)+2,MONTH(AG82),DAY(AG82))</f>
        <v>46666</v>
      </c>
      <c r="AI82" s="65">
        <f t="shared" ca="1" si="241"/>
        <v>535</v>
      </c>
      <c r="AJ82" s="15" t="str">
        <f t="shared" ca="1" si="213"/>
        <v>VIGENTE</v>
      </c>
      <c r="AK82" s="12"/>
      <c r="AL82" s="14">
        <v>45937</v>
      </c>
      <c r="AM82" s="14">
        <f>DATE(YEAR(AL82)+2,MONTH(AL82),DAY(AL82))</f>
        <v>46667</v>
      </c>
      <c r="AN82" s="65">
        <f t="shared" ca="1" si="242"/>
        <v>536</v>
      </c>
      <c r="AO82" s="15" t="str">
        <f t="shared" ca="1" si="243"/>
        <v>VIGENTE</v>
      </c>
      <c r="AP82" s="12"/>
      <c r="AQ82" s="14">
        <v>45904</v>
      </c>
      <c r="AR82" s="14">
        <f>DATE(YEAR(AQ82)+2,MONTH(AQ82),DAY(AQ82))</f>
        <v>46634</v>
      </c>
      <c r="AS82" s="65">
        <f t="shared" ca="1" si="244"/>
        <v>503</v>
      </c>
      <c r="AT82" s="15" t="str">
        <f t="shared" ca="1" si="245"/>
        <v>VIGENTE</v>
      </c>
      <c r="AU82" s="12"/>
      <c r="AV82" s="14">
        <v>45927</v>
      </c>
      <c r="AW82" s="14">
        <f>DATE(YEAR(AV82)+2,MONTH(AV82),DAY(AV82))</f>
        <v>46657</v>
      </c>
      <c r="AX82" s="65">
        <f t="shared" ca="1" si="246"/>
        <v>526</v>
      </c>
      <c r="AY82" s="15" t="str">
        <f t="shared" ca="1" si="247"/>
        <v>VIGENTE</v>
      </c>
      <c r="AZ82" s="13">
        <v>45387</v>
      </c>
      <c r="BA82" s="14">
        <v>46041</v>
      </c>
      <c r="BB82" s="14">
        <f>DATE(YEAR(BA82)+2,MONTH(BA82),DAY(BA82))</f>
        <v>46771</v>
      </c>
      <c r="BC82" s="65">
        <f t="shared" ca="1" si="248"/>
        <v>640</v>
      </c>
      <c r="BD82" s="15" t="str">
        <f t="shared" ca="1" si="249"/>
        <v>VIGENTE</v>
      </c>
      <c r="BE82" s="12"/>
      <c r="BF82" s="14">
        <v>45997</v>
      </c>
      <c r="BG82" s="14">
        <f>DATE(YEAR(BF82)+2,MONTH(BF82),DAY(BF82))</f>
        <v>46727</v>
      </c>
      <c r="BH82" s="65">
        <f t="shared" ca="1" si="250"/>
        <v>596</v>
      </c>
      <c r="BI82" s="15" t="str">
        <f t="shared" ca="1" si="251"/>
        <v>VIGENTE</v>
      </c>
      <c r="BJ82" s="13">
        <v>45348</v>
      </c>
      <c r="BK82" s="14">
        <v>46017</v>
      </c>
      <c r="BL82" s="14">
        <f>DATE(YEAR(BK82)+2,MONTH(BK82),DAY(BK82))</f>
        <v>46747</v>
      </c>
      <c r="BM82" s="65">
        <f t="shared" ca="1" si="252"/>
        <v>616</v>
      </c>
      <c r="BN82" s="15" t="str">
        <f t="shared" ca="1" si="253"/>
        <v>VIGENTE</v>
      </c>
      <c r="BO82" s="13"/>
      <c r="BP82" s="14">
        <v>45988</v>
      </c>
      <c r="BQ82" s="14">
        <f>DATE(YEAR(BP82)+2,MONTH(BP82),DAY(BP82))</f>
        <v>46718</v>
      </c>
      <c r="BR82" s="65">
        <f t="shared" ca="1" si="254"/>
        <v>587</v>
      </c>
      <c r="BS82" s="15" t="str">
        <f t="shared" ca="1" si="255"/>
        <v>VIGENTE</v>
      </c>
      <c r="BT82" s="13">
        <v>45362</v>
      </c>
      <c r="BU82" s="14">
        <v>46031</v>
      </c>
      <c r="BV82" s="14">
        <f>DATE(YEAR(BU82)+2,MONTH(BU82),DAY(BU82))</f>
        <v>46761</v>
      </c>
      <c r="BW82" s="65">
        <f t="shared" ca="1" si="256"/>
        <v>630</v>
      </c>
      <c r="BX82" s="15" t="str">
        <f t="shared" ca="1" si="257"/>
        <v>VIGENTE</v>
      </c>
      <c r="BY82" s="12"/>
      <c r="BZ82" s="14">
        <v>45986</v>
      </c>
      <c r="CA82" s="14">
        <f>DATE(YEAR(BZ82)+2,MONTH(BZ82),DAY(BZ82))</f>
        <v>46716</v>
      </c>
      <c r="CB82" s="65">
        <f t="shared" ca="1" si="258"/>
        <v>585</v>
      </c>
      <c r="CC82" s="15" t="str">
        <f t="shared" ca="1" si="259"/>
        <v>VIGENTE</v>
      </c>
      <c r="CD82" s="16" t="s">
        <v>108</v>
      </c>
      <c r="CE82" s="14">
        <v>45163</v>
      </c>
      <c r="CF82" s="14">
        <v>45164</v>
      </c>
      <c r="CG82" s="14">
        <f t="shared" si="260"/>
        <v>46625</v>
      </c>
      <c r="CH82" s="65">
        <f t="shared" ca="1" si="261"/>
        <v>494</v>
      </c>
      <c r="CI82" s="15" t="str">
        <f t="shared" ca="1" si="262"/>
        <v>VIGENTE</v>
      </c>
      <c r="CJ82" s="14">
        <v>45353</v>
      </c>
      <c r="CK82" s="14">
        <v>46018</v>
      </c>
      <c r="CL82" s="14">
        <f>DATE(YEAR(CK82)+2,MONTH(CK82),DAY(CK82))</f>
        <v>46748</v>
      </c>
      <c r="CM82" s="65">
        <f t="shared" ca="1" si="263"/>
        <v>617</v>
      </c>
      <c r="CN82" s="15" t="str">
        <f t="shared" ca="1" si="264"/>
        <v>VIGENTE</v>
      </c>
      <c r="CO82" s="13">
        <v>45305</v>
      </c>
      <c r="CP82" s="14">
        <v>45994</v>
      </c>
      <c r="CQ82" s="14">
        <f>DATE(YEAR(CP82)+2,MONTH(CP82),DAY(CP82))</f>
        <v>46724</v>
      </c>
      <c r="CR82" s="65">
        <f t="shared" ca="1" si="265"/>
        <v>593</v>
      </c>
      <c r="CS82" s="15" t="str">
        <f t="shared" ca="1" si="266"/>
        <v>VIGENTE</v>
      </c>
      <c r="CT82" s="12"/>
      <c r="CU82" s="14">
        <v>45905</v>
      </c>
      <c r="CV82" s="14">
        <f>DATE(YEAR(CU82)+2,MONTH(CU82),DAY(CU82))</f>
        <v>46635</v>
      </c>
      <c r="CW82" s="65">
        <f t="shared" ca="1" si="267"/>
        <v>504</v>
      </c>
      <c r="CX82" s="15" t="str">
        <f t="shared" ca="1" si="268"/>
        <v>VIGENTE</v>
      </c>
      <c r="CY82" s="13"/>
      <c r="CZ82" s="14">
        <v>46000</v>
      </c>
      <c r="DA82" s="14">
        <f>DATE(YEAR(CZ82)+2,MONTH(CZ82),DAY(CZ82))</f>
        <v>46730</v>
      </c>
      <c r="DB82" s="65">
        <f t="shared" ca="1" si="269"/>
        <v>599</v>
      </c>
      <c r="DC82" s="15" t="str">
        <f t="shared" ca="1" si="270"/>
        <v>VIGENTE</v>
      </c>
      <c r="DD82" s="13">
        <v>45328</v>
      </c>
      <c r="DE82" s="14">
        <v>45996</v>
      </c>
      <c r="DF82" s="14">
        <f>DATE(YEAR(DE82)+2,MONTH(DE82),DAY(DE82))</f>
        <v>46726</v>
      </c>
      <c r="DG82" s="65">
        <f t="shared" ca="1" si="271"/>
        <v>595</v>
      </c>
      <c r="DH82" s="15" t="str">
        <f t="shared" ca="1" si="272"/>
        <v>VIGENTE</v>
      </c>
      <c r="DI82" s="12"/>
      <c r="DJ82" s="14">
        <v>45975</v>
      </c>
      <c r="DK82" s="14">
        <f>DATE(YEAR(DJ82)+2,MONTH(DJ82),DAY(DJ82))</f>
        <v>46705</v>
      </c>
      <c r="DL82" s="65">
        <f t="shared" ca="1" si="273"/>
        <v>574</v>
      </c>
      <c r="DM82" s="15" t="str">
        <f t="shared" ca="1" si="274"/>
        <v>VIGENTE</v>
      </c>
      <c r="DN82" s="13"/>
      <c r="DO82" s="14">
        <v>46007</v>
      </c>
      <c r="DP82" s="14">
        <f>DATE(YEAR(DO82)+2,MONTH(DO82),DAY(DO82))</f>
        <v>46737</v>
      </c>
      <c r="DQ82" s="65">
        <f t="shared" ca="1" si="275"/>
        <v>606</v>
      </c>
      <c r="DR82" s="15" t="str">
        <f t="shared" ca="1" si="276"/>
        <v>VIGENTE</v>
      </c>
      <c r="DS82" s="14">
        <v>45336</v>
      </c>
      <c r="DT82" s="13">
        <v>46009</v>
      </c>
      <c r="DU82" s="14">
        <f>DATE(YEAR(DT82)+2,MONTH(DT82),DAY(DT82))</f>
        <v>46739</v>
      </c>
      <c r="DV82" s="65">
        <f t="shared" ca="1" si="277"/>
        <v>608</v>
      </c>
      <c r="DW82" s="15" t="str">
        <f t="shared" ca="1" si="278"/>
        <v>VIGENTE</v>
      </c>
      <c r="DX82" s="14">
        <v>45355</v>
      </c>
      <c r="DY82" s="14">
        <v>46032</v>
      </c>
      <c r="DZ82" s="14">
        <f>DATE(YEAR(DY82)+2,MONTH(DY82),DAY(DY82))</f>
        <v>46762</v>
      </c>
      <c r="EA82" s="65">
        <f t="shared" ca="1" si="279"/>
        <v>631</v>
      </c>
      <c r="EB82" s="15" t="str">
        <f t="shared" ca="1" si="280"/>
        <v>VIGENTE</v>
      </c>
      <c r="EC82" s="14">
        <v>45341</v>
      </c>
      <c r="ED82" s="14">
        <v>45985</v>
      </c>
      <c r="EE82" s="14">
        <f>DATE(YEAR(ED82)+2,MONTH(ED82),DAY(ED82))</f>
        <v>46715</v>
      </c>
      <c r="EF82" s="65">
        <f t="shared" ca="1" si="281"/>
        <v>584</v>
      </c>
      <c r="EG82" s="15" t="str">
        <f t="shared" ca="1" si="282"/>
        <v>VIGENTE</v>
      </c>
      <c r="EH82" s="13"/>
      <c r="EI82" s="13">
        <v>46013</v>
      </c>
      <c r="EJ82" s="13">
        <v>46014</v>
      </c>
      <c r="EK82" s="13">
        <v>46015</v>
      </c>
      <c r="EL82" s="14">
        <f t="shared" si="344"/>
        <v>46380</v>
      </c>
      <c r="EM82" s="65">
        <f t="shared" ca="1" si="283"/>
        <v>249</v>
      </c>
      <c r="EN82" s="15" t="str">
        <f t="shared" ca="1" si="284"/>
        <v>VIGENTE</v>
      </c>
      <c r="EO82" s="13">
        <v>45346</v>
      </c>
      <c r="EP82" s="14">
        <v>45995</v>
      </c>
      <c r="EQ82" s="14">
        <f>DATE(YEAR(EP82)+2,MONTH(EP82),DAY(EP82))</f>
        <v>46725</v>
      </c>
      <c r="ER82" s="65">
        <f t="shared" ca="1" si="285"/>
        <v>594</v>
      </c>
      <c r="ES82" s="15" t="str">
        <f t="shared" ca="1" si="286"/>
        <v>VIGENTE</v>
      </c>
      <c r="ET82" s="12"/>
      <c r="EU82" s="14">
        <v>45999</v>
      </c>
      <c r="EV82" s="14">
        <f>DATE(YEAR(EU82)+2,MONTH(EU82),DAY(EU82))</f>
        <v>46729</v>
      </c>
      <c r="EW82" s="65">
        <f t="shared" ca="1" si="287"/>
        <v>598</v>
      </c>
      <c r="EX82" s="15" t="str">
        <f t="shared" ca="1" si="288"/>
        <v>VIGENTE</v>
      </c>
      <c r="EY82" s="13">
        <v>45360</v>
      </c>
      <c r="EZ82" s="14">
        <v>46037</v>
      </c>
      <c r="FA82" s="14">
        <f>DATE(YEAR(EZ82)+2,MONTH(EZ82),DAY(EZ82))</f>
        <v>46767</v>
      </c>
      <c r="FB82" s="65">
        <f t="shared" ca="1" si="289"/>
        <v>636</v>
      </c>
      <c r="FC82" s="15" t="str">
        <f t="shared" ca="1" si="290"/>
        <v>VIGENTE</v>
      </c>
      <c r="FD82" s="13">
        <v>45321</v>
      </c>
      <c r="FE82" s="14">
        <v>46010</v>
      </c>
      <c r="FF82" s="14">
        <f>DATE(YEAR(FE82)+2,MONTH(FE82),DAY(FE82))</f>
        <v>46740</v>
      </c>
      <c r="FG82" s="65">
        <f t="shared" ca="1" si="291"/>
        <v>609</v>
      </c>
      <c r="FH82" s="15" t="str">
        <f t="shared" ca="1" si="292"/>
        <v>VIGENTE</v>
      </c>
      <c r="FI82" s="13">
        <v>45342</v>
      </c>
      <c r="FJ82" s="14">
        <v>45962</v>
      </c>
      <c r="FK82" s="14">
        <f>DATE(YEAR(FJ82)+2,MONTH(FJ82),DAY(FJ82))</f>
        <v>46692</v>
      </c>
      <c r="FL82" s="65">
        <f t="shared" ca="1" si="293"/>
        <v>561</v>
      </c>
      <c r="FM82" s="15" t="str">
        <f t="shared" ca="1" si="294"/>
        <v>VIGENTE</v>
      </c>
      <c r="FN82" s="14">
        <v>45359</v>
      </c>
      <c r="FO82" s="14">
        <v>46039</v>
      </c>
      <c r="FP82" s="14">
        <f>DATE(YEAR(FO82)+2,MONTH(FO82),DAY(FO82))</f>
        <v>46769</v>
      </c>
      <c r="FQ82" s="65">
        <f t="shared" ca="1" si="295"/>
        <v>638</v>
      </c>
      <c r="FR82" s="15" t="str">
        <f t="shared" ca="1" si="296"/>
        <v>VIGENTE</v>
      </c>
      <c r="FS82" s="14">
        <v>45358</v>
      </c>
      <c r="FT82" s="14">
        <v>46034</v>
      </c>
      <c r="FU82" s="14">
        <f>DATE(YEAR(FT82)+2,MONTH(FT82),DAY(FT82))</f>
        <v>46764</v>
      </c>
      <c r="FV82" s="65">
        <f t="shared" ca="1" si="297"/>
        <v>633</v>
      </c>
      <c r="FW82" s="15" t="str">
        <f t="shared" ca="1" si="298"/>
        <v>VIGENTE</v>
      </c>
      <c r="FX82" s="14">
        <v>45324</v>
      </c>
      <c r="FY82" s="14">
        <v>46004</v>
      </c>
      <c r="FZ82" s="14">
        <f>DATE(YEAR(FY82)+2,MONTH(FY82),DAY(FY82))</f>
        <v>46734</v>
      </c>
      <c r="GA82" s="65">
        <f t="shared" ca="1" si="299"/>
        <v>603</v>
      </c>
      <c r="GB82" s="15" t="str">
        <f t="shared" ca="1" si="300"/>
        <v>VIGENTE</v>
      </c>
      <c r="GC82" s="13"/>
      <c r="GD82" s="14">
        <v>45925</v>
      </c>
      <c r="GE82" s="14">
        <f>DATE(YEAR(GD82)+2,MONTH(GD82),DAY(GD82))</f>
        <v>46655</v>
      </c>
      <c r="GF82" s="65">
        <f t="shared" ca="1" si="301"/>
        <v>524</v>
      </c>
      <c r="GG82" s="15" t="str">
        <f t="shared" ca="1" si="302"/>
        <v>VIGENTE</v>
      </c>
      <c r="GH82" s="13">
        <v>45332</v>
      </c>
      <c r="GI82" s="14">
        <v>45960</v>
      </c>
      <c r="GJ82" s="14">
        <f>DATE(YEAR(GI82)+2,MONTH(GI82),DAY(GI82))</f>
        <v>46690</v>
      </c>
      <c r="GK82" s="65">
        <f t="shared" ca="1" si="303"/>
        <v>559</v>
      </c>
      <c r="GL82" s="15" t="str">
        <f t="shared" ca="1" si="304"/>
        <v>VIGENTE</v>
      </c>
      <c r="GM82" s="13"/>
      <c r="GN82" s="14">
        <v>45499</v>
      </c>
      <c r="GO82" s="14">
        <f>DATE(YEAR(GN82)+2,MONTH(GN82),DAY(GN82)-1)</f>
        <v>46228</v>
      </c>
      <c r="GP82" s="65">
        <f t="shared" ca="1" si="305"/>
        <v>97</v>
      </c>
      <c r="GQ82" s="15" t="str">
        <f t="shared" ca="1" si="306"/>
        <v>VIGENTE</v>
      </c>
      <c r="GR82" s="14"/>
      <c r="GS82" s="14">
        <v>45299</v>
      </c>
      <c r="GT82" s="14">
        <f t="shared" si="307"/>
        <v>47126</v>
      </c>
      <c r="GU82" s="65">
        <f t="shared" ca="1" si="374"/>
        <v>995</v>
      </c>
      <c r="GV82" s="15" t="str">
        <f t="shared" ca="1" si="368"/>
        <v>VIGENTE</v>
      </c>
      <c r="GW82" s="13"/>
      <c r="GX82" s="14">
        <v>45329</v>
      </c>
      <c r="GY82" s="14">
        <f t="shared" si="309"/>
        <v>47156</v>
      </c>
      <c r="GZ82" s="65">
        <f t="shared" ca="1" si="310"/>
        <v>1025</v>
      </c>
      <c r="HA82" s="15" t="str">
        <f t="shared" ca="1" si="369"/>
        <v>VIGENTE</v>
      </c>
      <c r="HB82" s="12"/>
      <c r="HC82" s="14">
        <v>45343</v>
      </c>
      <c r="HD82" s="14">
        <f t="shared" si="312"/>
        <v>47170</v>
      </c>
      <c r="HE82" s="65">
        <f t="shared" ca="1" si="313"/>
        <v>1039</v>
      </c>
      <c r="HF82" s="15" t="str">
        <f t="shared" ca="1" si="370"/>
        <v>VIGENTE</v>
      </c>
      <c r="HG82" s="16"/>
      <c r="HH82" s="14">
        <v>45317</v>
      </c>
      <c r="HI82" s="14">
        <f t="shared" si="362"/>
        <v>47144</v>
      </c>
      <c r="HJ82" s="65">
        <f t="shared" ca="1" si="363"/>
        <v>1013</v>
      </c>
      <c r="HK82" s="15" t="str">
        <f t="shared" ca="1" si="371"/>
        <v>VIGENTE</v>
      </c>
      <c r="HL82" s="12"/>
      <c r="HM82" s="16"/>
      <c r="HN82" s="14"/>
      <c r="HO82" s="65"/>
      <c r="HP82" s="15" t="str">
        <f t="shared" ref="HP82:HP104" si="375">IF(HO82&gt;=61,"VIGENTE",IF(HO82&gt;=1,"POR VENCER",IF(HO82&lt;=-1,"VENCIDA",IF(HM82=0,"NO APLICA"))))</f>
        <v>NO APLICA</v>
      </c>
      <c r="HQ82" s="12"/>
      <c r="HR82" s="12"/>
      <c r="HS82" s="14"/>
      <c r="HT82" s="12"/>
      <c r="HU82" s="15" t="str">
        <f t="shared" si="315"/>
        <v>NO APLICA</v>
      </c>
      <c r="HV82" s="12"/>
      <c r="HW82" s="16"/>
      <c r="HX82" s="14"/>
      <c r="HY82" s="65"/>
      <c r="HZ82" s="15" t="str">
        <f t="shared" si="316"/>
        <v>NO APLICA</v>
      </c>
      <c r="IA82" s="12"/>
      <c r="IB82" s="16"/>
      <c r="IC82" s="14"/>
      <c r="ID82" s="65"/>
      <c r="IE82" s="15" t="str">
        <f t="shared" si="317"/>
        <v>NO APLICA</v>
      </c>
      <c r="IF82" s="12"/>
      <c r="IG82" s="16"/>
      <c r="IH82" s="14"/>
      <c r="II82" s="65"/>
      <c r="IJ82" s="15" t="str">
        <f t="shared" si="318"/>
        <v>NO APLICA</v>
      </c>
      <c r="IK82" s="16"/>
      <c r="IL82" s="16"/>
      <c r="IM82" s="14"/>
      <c r="IN82" s="65"/>
      <c r="IO82" s="15" t="str">
        <f t="shared" si="319"/>
        <v>NO APLICA</v>
      </c>
      <c r="IP82" s="12"/>
      <c r="IQ82" s="16"/>
      <c r="IR82" s="14"/>
      <c r="IS82" s="65"/>
      <c r="IT82" s="15" t="str">
        <f t="shared" si="320"/>
        <v>NO APLICA</v>
      </c>
      <c r="IU82" s="12"/>
      <c r="IV82" s="16"/>
      <c r="IW82" s="14"/>
      <c r="IX82" s="65"/>
      <c r="IY82" s="15" t="str">
        <f t="shared" si="321"/>
        <v>NO APLICA</v>
      </c>
      <c r="IZ82" s="12"/>
      <c r="JA82" s="16"/>
      <c r="JB82" s="14"/>
      <c r="JC82" s="65"/>
      <c r="JD82" s="15" t="str">
        <f t="shared" si="322"/>
        <v>NO APLICA</v>
      </c>
      <c r="JE82" s="13"/>
      <c r="JF82" s="13"/>
      <c r="JG82" s="14"/>
      <c r="JH82" s="65"/>
      <c r="JI82" s="15" t="str">
        <f t="shared" si="323"/>
        <v>NO APLICA</v>
      </c>
      <c r="JJ82" s="16"/>
      <c r="JK82" s="16"/>
      <c r="JL82" s="16"/>
      <c r="JM82" s="15" t="str">
        <f t="shared" si="324"/>
        <v>NO APLICA</v>
      </c>
      <c r="JN82" s="16"/>
      <c r="JO82" s="16"/>
      <c r="JP82" s="16"/>
      <c r="JQ82" s="15" t="str">
        <f t="shared" si="325"/>
        <v>NO APLICA</v>
      </c>
      <c r="JR82" s="16"/>
      <c r="JS82" s="16"/>
      <c r="JT82" s="16"/>
      <c r="JU82" s="16"/>
      <c r="JV82" s="15" t="str">
        <f t="shared" si="326"/>
        <v>NO APLICA</v>
      </c>
      <c r="JW82" s="15"/>
      <c r="JX82" s="15"/>
      <c r="JY82" s="15"/>
      <c r="JZ82" s="15"/>
      <c r="KA82" s="15" t="str">
        <f t="shared" si="327"/>
        <v>NO APLICA</v>
      </c>
      <c r="KB82" s="12"/>
      <c r="KC82" s="14"/>
      <c r="KD82" s="65"/>
      <c r="KE82" s="15" t="str">
        <f t="shared" si="328"/>
        <v>NO APLICA</v>
      </c>
      <c r="KF82" s="12"/>
      <c r="KG82" s="14"/>
      <c r="KH82" s="65"/>
      <c r="KI82" s="15" t="str">
        <f t="shared" si="345"/>
        <v>NO APLICA</v>
      </c>
      <c r="KJ82" s="13">
        <v>45364</v>
      </c>
      <c r="KK82" s="14">
        <f>DATE(YEAR(KJ82)+5,MONTH(KJ82),DAY(KJ82))</f>
        <v>47190</v>
      </c>
      <c r="KL82" s="65">
        <f ca="1">KK82-TODAY()</f>
        <v>1059</v>
      </c>
      <c r="KM82" s="15" t="str">
        <f t="shared" ca="1" si="329"/>
        <v>VIGENTE</v>
      </c>
      <c r="KN82" s="13">
        <v>45346</v>
      </c>
      <c r="KO82" s="14">
        <f>DATE(YEAR(KN82)+5,MONTH(KN82),DAY(KN82))</f>
        <v>47173</v>
      </c>
      <c r="KP82" s="65">
        <f ca="1">KO82-TODAY()</f>
        <v>1042</v>
      </c>
      <c r="KQ82" s="15" t="str">
        <f t="shared" ca="1" si="346"/>
        <v>VIGENTE</v>
      </c>
      <c r="KR82" s="12"/>
      <c r="KS82" s="16"/>
      <c r="KT82" s="14"/>
      <c r="KU82" s="65"/>
      <c r="KV82" s="15" t="str">
        <f t="shared" si="355"/>
        <v>NO APLICA</v>
      </c>
      <c r="KW82" s="16"/>
      <c r="KX82" s="14"/>
      <c r="KY82" s="65"/>
      <c r="KZ82" s="15" t="str">
        <f t="shared" si="347"/>
        <v>NO APLICA</v>
      </c>
      <c r="LA82" s="16"/>
      <c r="LB82" s="16"/>
      <c r="LC82" s="14"/>
      <c r="LD82" s="65"/>
      <c r="LE82" s="15" t="str">
        <f t="shared" si="330"/>
        <v>NO APLICA</v>
      </c>
      <c r="LF82" s="15"/>
      <c r="LG82" s="15"/>
      <c r="LH82" s="14"/>
      <c r="LI82" s="65"/>
      <c r="LJ82" s="15" t="str">
        <f t="shared" si="356"/>
        <v>NO APLICA</v>
      </c>
      <c r="LK82" s="12"/>
      <c r="LL82" s="16"/>
      <c r="LM82" s="14"/>
      <c r="LN82" s="65"/>
      <c r="LO82" s="15" t="str">
        <f t="shared" si="348"/>
        <v>NO APLICA</v>
      </c>
      <c r="LP82" s="16"/>
      <c r="LQ82" s="16"/>
      <c r="LR82" s="14"/>
      <c r="LS82" s="65"/>
      <c r="LT82" s="15" t="str">
        <f t="shared" si="349"/>
        <v>NO APLICA</v>
      </c>
      <c r="LU82" s="16"/>
      <c r="LV82" s="16"/>
      <c r="LW82" s="14"/>
      <c r="LX82" s="65"/>
      <c r="LY82" s="15" t="str">
        <f t="shared" si="350"/>
        <v>NO APLICA</v>
      </c>
      <c r="LZ82" s="12"/>
      <c r="MA82" s="12"/>
      <c r="MB82" s="14"/>
      <c r="MC82" s="65"/>
      <c r="MD82" s="15" t="str">
        <f t="shared" si="331"/>
        <v>NO APLICA</v>
      </c>
      <c r="ME82" s="12"/>
      <c r="MF82" s="12"/>
      <c r="MG82" s="14"/>
      <c r="MH82" s="65"/>
      <c r="MI82" s="15" t="str">
        <f t="shared" si="332"/>
        <v>NO APLICA</v>
      </c>
      <c r="MJ82" s="12"/>
      <c r="MK82" s="14"/>
      <c r="ML82" s="65"/>
      <c r="MM82" s="15" t="str">
        <f t="shared" si="333"/>
        <v>NO APLICA</v>
      </c>
      <c r="MN82" s="12"/>
      <c r="MO82" s="14"/>
      <c r="MP82" s="12"/>
      <c r="MQ82" s="15" t="str">
        <f t="shared" si="334"/>
        <v>NO APLICA</v>
      </c>
      <c r="MR82" s="12"/>
      <c r="MS82" s="16"/>
      <c r="MT82" s="14"/>
      <c r="MU82" s="65"/>
      <c r="MV82" s="15" t="str">
        <f t="shared" si="335"/>
        <v>NO APLICA</v>
      </c>
      <c r="MW82" s="12"/>
      <c r="MX82" s="16"/>
      <c r="MY82" s="14"/>
      <c r="MZ82" s="65"/>
      <c r="NA82" s="15" t="str">
        <f t="shared" si="336"/>
        <v>NO APLICA</v>
      </c>
      <c r="NB82" s="12"/>
      <c r="NC82" s="16"/>
      <c r="ND82" s="14"/>
      <c r="NE82" s="65"/>
      <c r="NF82" s="15" t="str">
        <f t="shared" si="337"/>
        <v>NO APLICA</v>
      </c>
      <c r="NG82" s="12"/>
      <c r="NH82" s="12"/>
      <c r="NI82" s="14"/>
      <c r="NJ82" s="65"/>
      <c r="NK82" s="15" t="str">
        <f t="shared" si="338"/>
        <v>NO APLICA</v>
      </c>
      <c r="NL82" s="12"/>
      <c r="NM82" s="12"/>
      <c r="NN82" s="14"/>
      <c r="NO82" s="12"/>
      <c r="NP82" s="15" t="str">
        <f t="shared" si="339"/>
        <v>NO APLICA</v>
      </c>
      <c r="NQ82" s="16"/>
      <c r="NR82" s="16"/>
      <c r="NS82" s="14"/>
      <c r="NT82" s="65"/>
      <c r="NU82" s="15" t="str">
        <f t="shared" si="340"/>
        <v>NO APLICA</v>
      </c>
      <c r="NV82" s="16"/>
      <c r="NW82" s="16"/>
      <c r="NX82" s="16"/>
      <c r="NY82" s="16"/>
      <c r="NZ82" s="15" t="str">
        <f t="shared" si="341"/>
        <v>NO APLICA</v>
      </c>
    </row>
    <row r="83" spans="1:390" ht="15.6" thickTop="1" thickBot="1" x14ac:dyDescent="0.35">
      <c r="A83" s="9">
        <v>758</v>
      </c>
      <c r="B83" s="10" t="s">
        <v>351</v>
      </c>
      <c r="C83" s="21" t="s">
        <v>151</v>
      </c>
      <c r="D83" s="64" t="s">
        <v>165</v>
      </c>
      <c r="E83" s="13">
        <v>46059</v>
      </c>
      <c r="F83" s="14">
        <v>46060</v>
      </c>
      <c r="G83" s="14">
        <f>DATE(YEAR(F83)+2,MONTH(F83),DAY(F83))</f>
        <v>46790</v>
      </c>
      <c r="H83" s="65">
        <f ca="1">G83-TODAY()</f>
        <v>659</v>
      </c>
      <c r="I83" s="15" t="str">
        <f t="shared" ca="1" si="235"/>
        <v>VIGENTE</v>
      </c>
      <c r="J83" s="15"/>
      <c r="K83" s="16"/>
      <c r="L83" s="16"/>
      <c r="M83" s="65"/>
      <c r="N83" s="15" t="str">
        <f t="shared" si="236"/>
        <v>NO APLICA</v>
      </c>
      <c r="O83" s="16"/>
      <c r="P83" s="16"/>
      <c r="Q83" s="14"/>
      <c r="R83" s="65"/>
      <c r="S83" s="15" t="str">
        <f t="shared" si="342"/>
        <v>NO APLICA</v>
      </c>
      <c r="T83" s="12" t="s">
        <v>352</v>
      </c>
      <c r="U83" s="13">
        <v>44800</v>
      </c>
      <c r="V83" s="14">
        <v>44801</v>
      </c>
      <c r="W83" s="14">
        <f t="shared" si="237"/>
        <v>46627</v>
      </c>
      <c r="X83" s="65">
        <f t="shared" ca="1" si="238"/>
        <v>496</v>
      </c>
      <c r="Y83" s="15" t="str">
        <f t="shared" ca="1" si="239"/>
        <v>VIGENTE</v>
      </c>
      <c r="Z83" s="12"/>
      <c r="AA83" s="12"/>
      <c r="AB83" s="16"/>
      <c r="AC83" s="14"/>
      <c r="AD83" s="65"/>
      <c r="AE83" s="15" t="str">
        <f t="shared" si="367"/>
        <v>NO APLICA</v>
      </c>
      <c r="AF83" s="13">
        <v>45234</v>
      </c>
      <c r="AG83" s="14">
        <v>45902</v>
      </c>
      <c r="AH83" s="14">
        <f>DATE(YEAR(AG83)+2,MONTH(AG83),DAY(AG83))</f>
        <v>46632</v>
      </c>
      <c r="AI83" s="65">
        <f t="shared" ca="1" si="241"/>
        <v>501</v>
      </c>
      <c r="AJ83" s="15" t="str">
        <f t="shared" ca="1" si="213"/>
        <v>VIGENTE</v>
      </c>
      <c r="AK83" s="13">
        <v>45286</v>
      </c>
      <c r="AL83" s="14">
        <v>45959</v>
      </c>
      <c r="AM83" s="14">
        <f>DATE(YEAR(AL83)+2,MONTH(AL83),DAY(AL83))</f>
        <v>46689</v>
      </c>
      <c r="AN83" s="65">
        <f t="shared" ca="1" si="242"/>
        <v>558</v>
      </c>
      <c r="AO83" s="15" t="str">
        <f t="shared" ca="1" si="243"/>
        <v>VIGENTE</v>
      </c>
      <c r="AP83" s="13">
        <v>44652</v>
      </c>
      <c r="AQ83" s="14">
        <v>45904</v>
      </c>
      <c r="AR83" s="14">
        <f>DATE(YEAR(AQ83)+2,MONTH(AQ83),DAY(AQ83))</f>
        <v>46634</v>
      </c>
      <c r="AS83" s="65">
        <f t="shared" ca="1" si="244"/>
        <v>503</v>
      </c>
      <c r="AT83" s="15" t="str">
        <f t="shared" ca="1" si="245"/>
        <v>VIGENTE</v>
      </c>
      <c r="AU83" s="13">
        <v>44652</v>
      </c>
      <c r="AV83" s="14">
        <v>45927</v>
      </c>
      <c r="AW83" s="14">
        <f>DATE(YEAR(AV83)+2,MONTH(AV83),DAY(AV83))</f>
        <v>46657</v>
      </c>
      <c r="AX83" s="65">
        <f t="shared" ca="1" si="246"/>
        <v>526</v>
      </c>
      <c r="AY83" s="15" t="str">
        <f t="shared" ca="1" si="247"/>
        <v>VIGENTE</v>
      </c>
      <c r="AZ83" s="13">
        <v>45075</v>
      </c>
      <c r="BA83" s="14">
        <v>45717</v>
      </c>
      <c r="BB83" s="14">
        <f>DATE(YEAR(BA83)+2,MONTH(BA83),DAY(BA83)-1)</f>
        <v>46446</v>
      </c>
      <c r="BC83" s="65">
        <f t="shared" ca="1" si="248"/>
        <v>315</v>
      </c>
      <c r="BD83" s="15" t="str">
        <f t="shared" ca="1" si="249"/>
        <v>VIGENTE</v>
      </c>
      <c r="BE83" s="13">
        <v>45071</v>
      </c>
      <c r="BF83" s="14">
        <v>45698</v>
      </c>
      <c r="BG83" s="14">
        <f>DATE(YEAR(BF83)+2,MONTH(BF83),DAY(BF83)-1)</f>
        <v>46427</v>
      </c>
      <c r="BH83" s="65">
        <f t="shared" ca="1" si="250"/>
        <v>296</v>
      </c>
      <c r="BI83" s="15" t="str">
        <f t="shared" ca="1" si="251"/>
        <v>VIGENTE</v>
      </c>
      <c r="BJ83" s="13">
        <v>45444</v>
      </c>
      <c r="BK83" s="14">
        <v>46090</v>
      </c>
      <c r="BL83" s="14">
        <f>DATE(YEAR(BK83)+2,MONTH(BK83),DAY(BK83))</f>
        <v>46821</v>
      </c>
      <c r="BM83" s="65">
        <f t="shared" ca="1" si="252"/>
        <v>690</v>
      </c>
      <c r="BN83" s="15" t="str">
        <f t="shared" ca="1" si="253"/>
        <v>VIGENTE</v>
      </c>
      <c r="BO83" s="13">
        <v>44798</v>
      </c>
      <c r="BP83" s="14">
        <v>45447</v>
      </c>
      <c r="BQ83" s="14">
        <f>DATE(YEAR(BP83)+2,MONTH(BP83),DAY(BP83)-1)</f>
        <v>46176</v>
      </c>
      <c r="BR83" s="65">
        <f t="shared" ca="1" si="254"/>
        <v>45</v>
      </c>
      <c r="BS83" s="15" t="str">
        <f t="shared" ca="1" si="255"/>
        <v>POR VENCER</v>
      </c>
      <c r="BT83" s="13">
        <v>44973</v>
      </c>
      <c r="BU83" s="14">
        <v>45611</v>
      </c>
      <c r="BV83" s="14">
        <f>DATE(YEAR(BU83)+2,MONTH(BU83),DAY(BU83)-1)</f>
        <v>46340</v>
      </c>
      <c r="BW83" s="65">
        <f t="shared" ca="1" si="256"/>
        <v>209</v>
      </c>
      <c r="BX83" s="15" t="str">
        <f t="shared" ca="1" si="257"/>
        <v>VIGENTE</v>
      </c>
      <c r="BY83" s="13">
        <v>44606</v>
      </c>
      <c r="BZ83" s="14">
        <v>45911</v>
      </c>
      <c r="CA83" s="14">
        <f>DATE(YEAR(BZ83)+2,MONTH(BZ83),DAY(BZ83))</f>
        <v>46641</v>
      </c>
      <c r="CB83" s="65">
        <f t="shared" ca="1" si="258"/>
        <v>510</v>
      </c>
      <c r="CC83" s="15" t="str">
        <f t="shared" ca="1" si="259"/>
        <v>VIGENTE</v>
      </c>
      <c r="CD83" s="16" t="s">
        <v>108</v>
      </c>
      <c r="CE83" s="14">
        <v>45615</v>
      </c>
      <c r="CF83" s="14">
        <v>45616</v>
      </c>
      <c r="CG83" s="14">
        <f t="shared" si="260"/>
        <v>47077</v>
      </c>
      <c r="CH83" s="65">
        <f t="shared" ca="1" si="261"/>
        <v>946</v>
      </c>
      <c r="CI83" s="15" t="str">
        <f t="shared" ca="1" si="262"/>
        <v>VIGENTE</v>
      </c>
      <c r="CJ83" s="14">
        <v>45085</v>
      </c>
      <c r="CK83" s="14">
        <v>45777</v>
      </c>
      <c r="CL83" s="14">
        <f>DATE(YEAR(CK83)+2,MONTH(CK83),DAY(CK83))</f>
        <v>46507</v>
      </c>
      <c r="CM83" s="65">
        <f t="shared" ca="1" si="263"/>
        <v>376</v>
      </c>
      <c r="CN83" s="15" t="str">
        <f t="shared" ca="1" si="264"/>
        <v>VIGENTE</v>
      </c>
      <c r="CO83" s="13">
        <v>45087</v>
      </c>
      <c r="CP83" s="14">
        <v>45817</v>
      </c>
      <c r="CQ83" s="14">
        <f>DATE(YEAR(CP83)+2,MONTH(CP83),DAY(CP83))</f>
        <v>46547</v>
      </c>
      <c r="CR83" s="65">
        <f t="shared" ca="1" si="265"/>
        <v>416</v>
      </c>
      <c r="CS83" s="15" t="str">
        <f t="shared" ca="1" si="266"/>
        <v>VIGENTE</v>
      </c>
      <c r="CT83" s="13">
        <v>44651</v>
      </c>
      <c r="CU83" s="14">
        <v>45905</v>
      </c>
      <c r="CV83" s="14">
        <f>DATE(YEAR(CU83)+2,MONTH(CU83),DAY(CU83))</f>
        <v>46635</v>
      </c>
      <c r="CW83" s="65">
        <f t="shared" ca="1" si="267"/>
        <v>504</v>
      </c>
      <c r="CX83" s="15" t="str">
        <f t="shared" ca="1" si="268"/>
        <v>VIGENTE</v>
      </c>
      <c r="CY83" s="13">
        <v>45381</v>
      </c>
      <c r="CZ83" s="14">
        <v>46028</v>
      </c>
      <c r="DA83" s="14">
        <f>DATE(YEAR(CZ83)+2,MONTH(CZ83),DAY(CZ83))</f>
        <v>46758</v>
      </c>
      <c r="DB83" s="65">
        <f t="shared" ca="1" si="269"/>
        <v>627</v>
      </c>
      <c r="DC83" s="15" t="str">
        <f t="shared" ca="1" si="270"/>
        <v>VIGENTE</v>
      </c>
      <c r="DD83" s="13">
        <v>44798</v>
      </c>
      <c r="DE83" s="14">
        <v>45463</v>
      </c>
      <c r="DF83" s="14">
        <f t="shared" ref="DF83:DF89" si="376">DATE(YEAR(DE83)+2,MONTH(DE83),DAY(DE83)-1)</f>
        <v>46192</v>
      </c>
      <c r="DG83" s="65">
        <f t="shared" ca="1" si="271"/>
        <v>61</v>
      </c>
      <c r="DH83" s="15" t="str">
        <f t="shared" ca="1" si="272"/>
        <v>POR VENCER</v>
      </c>
      <c r="DI83" s="13">
        <v>45386</v>
      </c>
      <c r="DJ83" s="14">
        <v>46029</v>
      </c>
      <c r="DK83" s="14">
        <f>DATE(YEAR(DJ83)+2,MONTH(DJ83),DAY(DJ83))</f>
        <v>46759</v>
      </c>
      <c r="DL83" s="65">
        <f t="shared" ca="1" si="273"/>
        <v>628</v>
      </c>
      <c r="DM83" s="15" t="str">
        <f t="shared" ca="1" si="274"/>
        <v>VIGENTE</v>
      </c>
      <c r="DN83" s="13">
        <v>44650</v>
      </c>
      <c r="DO83" s="14">
        <v>46007</v>
      </c>
      <c r="DP83" s="14">
        <f>DATE(YEAR(DO83)+2,MONTH(DO83),DAY(DO83))</f>
        <v>46737</v>
      </c>
      <c r="DQ83" s="65">
        <f t="shared" ca="1" si="275"/>
        <v>606</v>
      </c>
      <c r="DR83" s="15" t="str">
        <f t="shared" ca="1" si="276"/>
        <v>VIGENTE</v>
      </c>
      <c r="DS83" s="13">
        <v>45066</v>
      </c>
      <c r="DT83" s="14">
        <v>45728</v>
      </c>
      <c r="DU83" s="14">
        <f>DATE(YEAR(DT83)+2,MONTH(DT83),DAY(DT83)-1)</f>
        <v>46457</v>
      </c>
      <c r="DV83" s="65">
        <f t="shared" ca="1" si="277"/>
        <v>326</v>
      </c>
      <c r="DW83" s="15" t="str">
        <f t="shared" ca="1" si="278"/>
        <v>VIGENTE</v>
      </c>
      <c r="DX83" s="13">
        <v>45064</v>
      </c>
      <c r="DY83" s="14">
        <v>45663</v>
      </c>
      <c r="DZ83" s="14">
        <f>DATE(YEAR(DY83)+2,MONTH(DY83),DAY(DY83)-1)</f>
        <v>46392</v>
      </c>
      <c r="EA83" s="65">
        <f t="shared" ca="1" si="279"/>
        <v>261</v>
      </c>
      <c r="EB83" s="15" t="str">
        <f t="shared" ca="1" si="280"/>
        <v>VIGENTE</v>
      </c>
      <c r="EC83" s="13">
        <v>44994</v>
      </c>
      <c r="ED83" s="14">
        <v>45674</v>
      </c>
      <c r="EE83" s="14">
        <f>DATE(YEAR(ED83)+2,MONTH(ED83),DAY(ED83)-1)</f>
        <v>46403</v>
      </c>
      <c r="EF83" s="65">
        <f t="shared" ca="1" si="281"/>
        <v>272</v>
      </c>
      <c r="EG83" s="15" t="str">
        <f t="shared" ca="1" si="282"/>
        <v>VIGENTE</v>
      </c>
      <c r="EH83" s="13">
        <v>45012</v>
      </c>
      <c r="EI83" s="13">
        <v>46083</v>
      </c>
      <c r="EJ83" s="13">
        <v>46084</v>
      </c>
      <c r="EK83" s="13">
        <v>46085</v>
      </c>
      <c r="EL83" s="14">
        <f t="shared" si="344"/>
        <v>46450</v>
      </c>
      <c r="EM83" s="65">
        <f t="shared" ca="1" si="283"/>
        <v>319</v>
      </c>
      <c r="EN83" s="15" t="str">
        <f t="shared" ca="1" si="284"/>
        <v>VIGENTE</v>
      </c>
      <c r="EO83" s="13">
        <v>44796</v>
      </c>
      <c r="EP83" s="14">
        <v>45465</v>
      </c>
      <c r="EQ83" s="14">
        <f>DATE(YEAR(EP83)+2,MONTH(EP83),DAY(EP83)-1)</f>
        <v>46194</v>
      </c>
      <c r="ER83" s="65">
        <f t="shared" ca="1" si="285"/>
        <v>63</v>
      </c>
      <c r="ES83" s="15" t="str">
        <f t="shared" ca="1" si="286"/>
        <v>POR VENCER</v>
      </c>
      <c r="ET83" s="13">
        <v>45043</v>
      </c>
      <c r="EU83" s="14">
        <v>45677</v>
      </c>
      <c r="EV83" s="14">
        <f>DATE(YEAR(EU83)+2,MONTH(EU83),DAY(EU83)-1)</f>
        <v>46406</v>
      </c>
      <c r="EW83" s="65">
        <f t="shared" ca="1" si="287"/>
        <v>275</v>
      </c>
      <c r="EX83" s="15" t="str">
        <f t="shared" ca="1" si="288"/>
        <v>VIGENTE</v>
      </c>
      <c r="EY83" s="13">
        <v>45294</v>
      </c>
      <c r="EZ83" s="14">
        <v>45917</v>
      </c>
      <c r="FA83" s="14">
        <f>DATE(YEAR(EZ83)+2,MONTH(EZ83),DAY(EZ83))</f>
        <v>46647</v>
      </c>
      <c r="FB83" s="65">
        <f t="shared" ca="1" si="289"/>
        <v>516</v>
      </c>
      <c r="FC83" s="15" t="str">
        <f t="shared" ca="1" si="290"/>
        <v>VIGENTE</v>
      </c>
      <c r="FD83" s="13">
        <v>44608</v>
      </c>
      <c r="FE83" s="14">
        <v>45931</v>
      </c>
      <c r="FF83" s="14">
        <f>DATE(YEAR(FE83)+2,MONTH(FE83),DAY(FE83))</f>
        <v>46661</v>
      </c>
      <c r="FG83" s="65">
        <f t="shared" ca="1" si="291"/>
        <v>530</v>
      </c>
      <c r="FH83" s="15" t="str">
        <f t="shared" ca="1" si="292"/>
        <v>VIGENTE</v>
      </c>
      <c r="FI83" s="13">
        <v>44609</v>
      </c>
      <c r="FJ83" s="14">
        <v>45932</v>
      </c>
      <c r="FK83" s="14">
        <f>DATE(YEAR(FJ83)+2,MONTH(FJ83),DAY(FJ83))</f>
        <v>46662</v>
      </c>
      <c r="FL83" s="65">
        <f t="shared" ca="1" si="293"/>
        <v>531</v>
      </c>
      <c r="FM83" s="15" t="str">
        <f t="shared" ca="1" si="294"/>
        <v>VIGENTE</v>
      </c>
      <c r="FN83" s="13">
        <v>45084</v>
      </c>
      <c r="FO83" s="14">
        <v>45738</v>
      </c>
      <c r="FP83" s="14">
        <f>DATE(YEAR(FO83)+2,MONTH(FO83),DAY(FO83)-1)</f>
        <v>46467</v>
      </c>
      <c r="FQ83" s="65">
        <f t="shared" ca="1" si="295"/>
        <v>336</v>
      </c>
      <c r="FR83" s="15" t="str">
        <f t="shared" ca="1" si="296"/>
        <v>VIGENTE</v>
      </c>
      <c r="FS83" s="13">
        <v>44797</v>
      </c>
      <c r="FT83" s="14">
        <v>45466</v>
      </c>
      <c r="FU83" s="14">
        <f>DATE(YEAR(FT83)+2,MONTH(FT83),DAY(FT83)-1)</f>
        <v>46195</v>
      </c>
      <c r="FV83" s="65">
        <f t="shared" ca="1" si="297"/>
        <v>64</v>
      </c>
      <c r="FW83" s="15" t="str">
        <f t="shared" ca="1" si="298"/>
        <v>POR VENCER</v>
      </c>
      <c r="FX83" s="13">
        <v>44609</v>
      </c>
      <c r="FY83" s="14">
        <v>46014</v>
      </c>
      <c r="FZ83" s="14">
        <f>DATE(YEAR(FY83)+2,MONTH(FY83),DAY(FY83))</f>
        <v>46744</v>
      </c>
      <c r="GA83" s="65">
        <f t="shared" ca="1" si="299"/>
        <v>613</v>
      </c>
      <c r="GB83" s="15" t="str">
        <f t="shared" ca="1" si="300"/>
        <v>VIGENTE</v>
      </c>
      <c r="GC83" s="13">
        <v>45088</v>
      </c>
      <c r="GD83" s="14">
        <v>45757</v>
      </c>
      <c r="GE83" s="14">
        <f>DATE(YEAR(GD83)+2,MONTH(GD83),DAY(GD83)-1)</f>
        <v>46486</v>
      </c>
      <c r="GF83" s="65">
        <f t="shared" ca="1" si="301"/>
        <v>355</v>
      </c>
      <c r="GG83" s="15" t="str">
        <f t="shared" ca="1" si="302"/>
        <v>VIGENTE</v>
      </c>
      <c r="GH83" s="13">
        <v>44796</v>
      </c>
      <c r="GI83" s="14">
        <v>45472</v>
      </c>
      <c r="GJ83" s="14">
        <f>DATE(YEAR(GI83)+2,MONTH(GI83),DAY(GI83)-1)</f>
        <v>46201</v>
      </c>
      <c r="GK83" s="65">
        <f t="shared" ca="1" si="303"/>
        <v>70</v>
      </c>
      <c r="GL83" s="15" t="str">
        <f t="shared" ca="1" si="304"/>
        <v>POR VENCER</v>
      </c>
      <c r="GM83" s="13">
        <v>45024</v>
      </c>
      <c r="GN83" s="14">
        <v>45687</v>
      </c>
      <c r="GO83" s="14">
        <f>DATE(YEAR(GN83)+2,MONTH(GN83),DAY(GN83)-1)</f>
        <v>46416</v>
      </c>
      <c r="GP83" s="65">
        <f t="shared" ca="1" si="305"/>
        <v>285</v>
      </c>
      <c r="GQ83" s="15" t="str">
        <f t="shared" ca="1" si="306"/>
        <v>VIGENTE</v>
      </c>
      <c r="GR83" s="14"/>
      <c r="GS83" s="14">
        <v>45048</v>
      </c>
      <c r="GT83" s="14">
        <f t="shared" si="307"/>
        <v>46875</v>
      </c>
      <c r="GU83" s="65">
        <f t="shared" ca="1" si="374"/>
        <v>744</v>
      </c>
      <c r="GV83" s="15" t="str">
        <f t="shared" ca="1" si="368"/>
        <v>VIGENTE</v>
      </c>
      <c r="GW83" s="13"/>
      <c r="GX83" s="14">
        <v>45089</v>
      </c>
      <c r="GY83" s="14">
        <f t="shared" si="309"/>
        <v>46916</v>
      </c>
      <c r="GZ83" s="65">
        <f t="shared" ca="1" si="310"/>
        <v>785</v>
      </c>
      <c r="HA83" s="15" t="str">
        <f t="shared" ca="1" si="369"/>
        <v>VIGENTE</v>
      </c>
      <c r="HB83" s="12"/>
      <c r="HC83" s="14">
        <v>45073</v>
      </c>
      <c r="HD83" s="14">
        <f t="shared" si="312"/>
        <v>46900</v>
      </c>
      <c r="HE83" s="65">
        <f t="shared" ca="1" si="313"/>
        <v>769</v>
      </c>
      <c r="HF83" s="15" t="str">
        <f t="shared" ca="1" si="370"/>
        <v>VIGENTE</v>
      </c>
      <c r="HG83" s="16"/>
      <c r="HH83" s="16"/>
      <c r="HI83" s="14"/>
      <c r="HJ83" s="65"/>
      <c r="HK83" s="15" t="str">
        <f t="shared" si="371"/>
        <v>NO APLICA</v>
      </c>
      <c r="HL83" s="12"/>
      <c r="HM83" s="16"/>
      <c r="HN83" s="14"/>
      <c r="HO83" s="65"/>
      <c r="HP83" s="15" t="str">
        <f t="shared" si="375"/>
        <v>NO APLICA</v>
      </c>
      <c r="HQ83" s="12"/>
      <c r="HR83" s="12"/>
      <c r="HS83" s="14"/>
      <c r="HT83" s="12"/>
      <c r="HU83" s="15" t="str">
        <f t="shared" si="315"/>
        <v>NO APLICA</v>
      </c>
      <c r="HV83" s="12"/>
      <c r="HW83" s="16"/>
      <c r="HX83" s="14"/>
      <c r="HY83" s="65"/>
      <c r="HZ83" s="15" t="str">
        <f t="shared" si="316"/>
        <v>NO APLICA</v>
      </c>
      <c r="IA83" s="12"/>
      <c r="IB83" s="16"/>
      <c r="IC83" s="14"/>
      <c r="ID83" s="65"/>
      <c r="IE83" s="15" t="str">
        <f t="shared" si="317"/>
        <v>NO APLICA</v>
      </c>
      <c r="IF83" s="12"/>
      <c r="IG83" s="16"/>
      <c r="IH83" s="14"/>
      <c r="II83" s="65"/>
      <c r="IJ83" s="15" t="str">
        <f t="shared" si="318"/>
        <v>NO APLICA</v>
      </c>
      <c r="IK83" s="16"/>
      <c r="IL83" s="16"/>
      <c r="IM83" s="14"/>
      <c r="IN83" s="65"/>
      <c r="IO83" s="15" t="str">
        <f t="shared" si="319"/>
        <v>NO APLICA</v>
      </c>
      <c r="IP83" s="12"/>
      <c r="IQ83" s="16"/>
      <c r="IR83" s="14"/>
      <c r="IS83" s="65"/>
      <c r="IT83" s="15" t="str">
        <f t="shared" si="320"/>
        <v>NO APLICA</v>
      </c>
      <c r="IU83" s="12"/>
      <c r="IV83" s="16"/>
      <c r="IW83" s="14"/>
      <c r="IX83" s="65"/>
      <c r="IY83" s="15" t="str">
        <f t="shared" si="321"/>
        <v>NO APLICA</v>
      </c>
      <c r="IZ83" s="12"/>
      <c r="JA83" s="16"/>
      <c r="JB83" s="14"/>
      <c r="JC83" s="65"/>
      <c r="JD83" s="15" t="str">
        <f t="shared" si="322"/>
        <v>NO APLICA</v>
      </c>
      <c r="JE83" s="13"/>
      <c r="JF83" s="13"/>
      <c r="JG83" s="14"/>
      <c r="JH83" s="65"/>
      <c r="JI83" s="15" t="str">
        <f t="shared" si="323"/>
        <v>NO APLICA</v>
      </c>
      <c r="JJ83" s="16"/>
      <c r="JK83" s="16"/>
      <c r="JL83" s="16"/>
      <c r="JM83" s="15" t="str">
        <f t="shared" si="324"/>
        <v>NO APLICA</v>
      </c>
      <c r="JN83" s="16"/>
      <c r="JO83" s="16"/>
      <c r="JP83" s="16"/>
      <c r="JQ83" s="15" t="str">
        <f t="shared" si="325"/>
        <v>NO APLICA</v>
      </c>
      <c r="JR83" s="16"/>
      <c r="JS83" s="16"/>
      <c r="JT83" s="16"/>
      <c r="JU83" s="16"/>
      <c r="JV83" s="15" t="str">
        <f t="shared" si="326"/>
        <v>NO APLICA</v>
      </c>
      <c r="JW83" s="15"/>
      <c r="JX83" s="13">
        <v>45948</v>
      </c>
      <c r="JY83" s="14">
        <f>DATE(YEAR(JX83)+2,MONTH(JX83),DAY(JX83))</f>
        <v>46678</v>
      </c>
      <c r="JZ83" s="65">
        <f ca="1">JY83-TODAY()</f>
        <v>547</v>
      </c>
      <c r="KA83" s="15" t="str">
        <f t="shared" ca="1" si="327"/>
        <v>VIGENTE</v>
      </c>
      <c r="KB83" s="12"/>
      <c r="KC83" s="14"/>
      <c r="KD83" s="65"/>
      <c r="KE83" s="15" t="str">
        <f t="shared" si="328"/>
        <v>NO APLICA</v>
      </c>
      <c r="KF83" s="12"/>
      <c r="KG83" s="14"/>
      <c r="KH83" s="65"/>
      <c r="KI83" s="15" t="str">
        <f t="shared" si="345"/>
        <v>NO APLICA</v>
      </c>
      <c r="KJ83" s="12"/>
      <c r="KK83" s="14"/>
      <c r="KL83" s="65"/>
      <c r="KM83" s="15" t="str">
        <f t="shared" si="329"/>
        <v>NO APLICA</v>
      </c>
      <c r="KN83" s="12"/>
      <c r="KO83" s="14"/>
      <c r="KP83" s="65"/>
      <c r="KQ83" s="15" t="str">
        <f t="shared" si="346"/>
        <v>NO APLICA</v>
      </c>
      <c r="KR83" s="12"/>
      <c r="KS83" s="16"/>
      <c r="KT83" s="14"/>
      <c r="KU83" s="65"/>
      <c r="KV83" s="15" t="str">
        <f t="shared" si="355"/>
        <v>NO APLICA</v>
      </c>
      <c r="KW83" s="16"/>
      <c r="KX83" s="14"/>
      <c r="KY83" s="65"/>
      <c r="KZ83" s="15" t="str">
        <f t="shared" si="347"/>
        <v>NO APLICA</v>
      </c>
      <c r="LA83" s="16"/>
      <c r="LB83" s="16"/>
      <c r="LC83" s="14"/>
      <c r="LD83" s="65"/>
      <c r="LE83" s="15" t="str">
        <f t="shared" si="330"/>
        <v>NO APLICA</v>
      </c>
      <c r="LF83" s="15"/>
      <c r="LG83" s="15"/>
      <c r="LH83" s="15"/>
      <c r="LI83" s="15"/>
      <c r="LJ83" s="15" t="str">
        <f t="shared" si="356"/>
        <v>NO APLICA</v>
      </c>
      <c r="LK83" s="12"/>
      <c r="LL83" s="16"/>
      <c r="LM83" s="14"/>
      <c r="LN83" s="65"/>
      <c r="LO83" s="15" t="str">
        <f t="shared" si="348"/>
        <v>NO APLICA</v>
      </c>
      <c r="LP83" s="16"/>
      <c r="LQ83" s="16"/>
      <c r="LR83" s="14"/>
      <c r="LS83" s="65"/>
      <c r="LT83" s="15" t="str">
        <f t="shared" si="349"/>
        <v>NO APLICA</v>
      </c>
      <c r="LU83" s="16"/>
      <c r="LV83" s="16"/>
      <c r="LW83" s="14"/>
      <c r="LX83" s="65"/>
      <c r="LY83" s="15" t="str">
        <f t="shared" si="350"/>
        <v>NO APLICA</v>
      </c>
      <c r="LZ83" s="12"/>
      <c r="MA83" s="12"/>
      <c r="MB83" s="14"/>
      <c r="MC83" s="65"/>
      <c r="MD83" s="15" t="str">
        <f t="shared" si="331"/>
        <v>NO APLICA</v>
      </c>
      <c r="ME83" s="12"/>
      <c r="MF83" s="12"/>
      <c r="MG83" s="14"/>
      <c r="MH83" s="65"/>
      <c r="MI83" s="15" t="str">
        <f t="shared" si="332"/>
        <v>NO APLICA</v>
      </c>
      <c r="MJ83" s="12"/>
      <c r="MK83" s="14"/>
      <c r="ML83" s="65"/>
      <c r="MM83" s="15" t="str">
        <f t="shared" si="333"/>
        <v>NO APLICA</v>
      </c>
      <c r="MN83" s="12"/>
      <c r="MO83" s="14"/>
      <c r="MP83" s="12"/>
      <c r="MQ83" s="15" t="str">
        <f t="shared" si="334"/>
        <v>NO APLICA</v>
      </c>
      <c r="MR83" s="12"/>
      <c r="MS83" s="16"/>
      <c r="MT83" s="14"/>
      <c r="MU83" s="65"/>
      <c r="MV83" s="15" t="str">
        <f t="shared" si="335"/>
        <v>NO APLICA</v>
      </c>
      <c r="MW83" s="12"/>
      <c r="MX83" s="16"/>
      <c r="MY83" s="14"/>
      <c r="MZ83" s="65"/>
      <c r="NA83" s="15" t="str">
        <f t="shared" si="336"/>
        <v>NO APLICA</v>
      </c>
      <c r="NB83" s="12"/>
      <c r="NC83" s="16"/>
      <c r="ND83" s="14"/>
      <c r="NE83" s="65"/>
      <c r="NF83" s="15" t="str">
        <f t="shared" si="337"/>
        <v>NO APLICA</v>
      </c>
      <c r="NG83" s="12"/>
      <c r="NH83" s="12"/>
      <c r="NI83" s="14"/>
      <c r="NJ83" s="12"/>
      <c r="NK83" s="15" t="str">
        <f t="shared" si="338"/>
        <v>NO APLICA</v>
      </c>
      <c r="NL83" s="12"/>
      <c r="NM83" s="12"/>
      <c r="NN83" s="12"/>
      <c r="NO83" s="12"/>
      <c r="NP83" s="15" t="str">
        <f t="shared" si="339"/>
        <v>NO APLICA</v>
      </c>
      <c r="NQ83" s="16"/>
      <c r="NR83" s="16"/>
      <c r="NS83" s="14"/>
      <c r="NT83" s="65"/>
      <c r="NU83" s="15" t="str">
        <f t="shared" si="340"/>
        <v>NO APLICA</v>
      </c>
      <c r="NV83" s="16"/>
      <c r="NW83" s="16"/>
      <c r="NX83" s="16"/>
      <c r="NY83" s="16"/>
      <c r="NZ83" s="15" t="str">
        <f t="shared" si="341"/>
        <v>NO APLICA</v>
      </c>
    </row>
    <row r="84" spans="1:390" ht="15.6" thickTop="1" thickBot="1" x14ac:dyDescent="0.35">
      <c r="A84" s="9">
        <v>557</v>
      </c>
      <c r="B84" s="10" t="s">
        <v>353</v>
      </c>
      <c r="C84" s="21" t="s">
        <v>104</v>
      </c>
      <c r="D84" s="64" t="s">
        <v>354</v>
      </c>
      <c r="E84" s="15"/>
      <c r="F84" s="16"/>
      <c r="G84" s="14"/>
      <c r="H84" s="65"/>
      <c r="I84" s="15" t="str">
        <f t="shared" si="235"/>
        <v>NO APLICA</v>
      </c>
      <c r="J84" s="15"/>
      <c r="K84" s="16"/>
      <c r="L84" s="16"/>
      <c r="M84" s="65"/>
      <c r="N84" s="15" t="str">
        <f t="shared" si="236"/>
        <v>NO APLICA</v>
      </c>
      <c r="O84" s="16"/>
      <c r="P84" s="16"/>
      <c r="Q84" s="14"/>
      <c r="R84" s="65"/>
      <c r="S84" s="15" t="str">
        <f t="shared" si="342"/>
        <v>NO APLICA</v>
      </c>
      <c r="T84" s="12" t="s">
        <v>355</v>
      </c>
      <c r="U84" s="13">
        <v>45692</v>
      </c>
      <c r="V84" s="14">
        <v>45693</v>
      </c>
      <c r="W84" s="14">
        <f t="shared" si="237"/>
        <v>47519</v>
      </c>
      <c r="X84" s="65">
        <f t="shared" ca="1" si="238"/>
        <v>1388</v>
      </c>
      <c r="Y84" s="15" t="str">
        <f t="shared" ca="1" si="239"/>
        <v>VIGENTE</v>
      </c>
      <c r="Z84" s="12"/>
      <c r="AA84" s="12"/>
      <c r="AB84" s="16"/>
      <c r="AC84" s="14"/>
      <c r="AD84" s="65"/>
      <c r="AE84" s="15" t="str">
        <f t="shared" si="367"/>
        <v>NO APLICA</v>
      </c>
      <c r="AF84" s="13">
        <v>44929</v>
      </c>
      <c r="AG84" s="14">
        <v>45594</v>
      </c>
      <c r="AH84" s="14">
        <f>DATE(YEAR(AG84)+2,MONTH(AG84),DAY(AG84)-1)</f>
        <v>46323</v>
      </c>
      <c r="AI84" s="65">
        <f t="shared" ca="1" si="241"/>
        <v>192</v>
      </c>
      <c r="AJ84" s="15" t="str">
        <f t="shared" ca="1" si="213"/>
        <v>VIGENTE</v>
      </c>
      <c r="AK84" s="13">
        <v>44890</v>
      </c>
      <c r="AL84" s="14">
        <v>45518</v>
      </c>
      <c r="AM84" s="14">
        <f>DATE(YEAR(AL84)+2,MONTH(AL84),DAY(AL84)-1)</f>
        <v>46247</v>
      </c>
      <c r="AN84" s="65">
        <f t="shared" ca="1" si="242"/>
        <v>116</v>
      </c>
      <c r="AO84" s="15" t="str">
        <f t="shared" ca="1" si="243"/>
        <v>VIGENTE</v>
      </c>
      <c r="AP84" s="13">
        <v>44891</v>
      </c>
      <c r="AQ84" s="14">
        <v>45505</v>
      </c>
      <c r="AR84" s="14">
        <f>DATE(YEAR(AQ84)+2,MONTH(AQ84),DAY(AQ84)-1)</f>
        <v>46234</v>
      </c>
      <c r="AS84" s="65">
        <f t="shared" ca="1" si="244"/>
        <v>103</v>
      </c>
      <c r="AT84" s="15" t="str">
        <f t="shared" ca="1" si="245"/>
        <v>VIGENTE</v>
      </c>
      <c r="AU84" s="13">
        <v>44893</v>
      </c>
      <c r="AV84" s="14">
        <v>45514</v>
      </c>
      <c r="AW84" s="14">
        <f>DATE(YEAR(AV84)+2,MONTH(AV84),DAY(AV84)-1)</f>
        <v>46243</v>
      </c>
      <c r="AX84" s="65">
        <f t="shared" ca="1" si="246"/>
        <v>112</v>
      </c>
      <c r="AY84" s="15" t="str">
        <f t="shared" ca="1" si="247"/>
        <v>VIGENTE</v>
      </c>
      <c r="AZ84" s="13">
        <v>44930</v>
      </c>
      <c r="BA84" s="14">
        <v>45603</v>
      </c>
      <c r="BB84" s="14">
        <f>DATE(YEAR(BA84)+2,MONTH(BA84),DAY(BA84)-1)</f>
        <v>46332</v>
      </c>
      <c r="BC84" s="65">
        <f t="shared" ca="1" si="248"/>
        <v>201</v>
      </c>
      <c r="BD84" s="15" t="str">
        <f t="shared" ca="1" si="249"/>
        <v>VIGENTE</v>
      </c>
      <c r="BE84" s="13">
        <v>44904</v>
      </c>
      <c r="BF84" s="14">
        <v>45531</v>
      </c>
      <c r="BG84" s="14">
        <f>DATE(YEAR(BF84)+2,MONTH(BF84),DAY(BF84)-1)</f>
        <v>46260</v>
      </c>
      <c r="BH84" s="65">
        <f t="shared" ca="1" si="250"/>
        <v>129</v>
      </c>
      <c r="BI84" s="15" t="str">
        <f t="shared" ca="1" si="251"/>
        <v>VIGENTE</v>
      </c>
      <c r="BJ84" s="13">
        <v>44937</v>
      </c>
      <c r="BK84" s="14">
        <v>45600</v>
      </c>
      <c r="BL84" s="14">
        <f>DATE(YEAR(BK84)+2,MONTH(BK84),DAY(BK84)-1)</f>
        <v>46329</v>
      </c>
      <c r="BM84" s="65">
        <f t="shared" ca="1" si="252"/>
        <v>198</v>
      </c>
      <c r="BN84" s="15" t="str">
        <f t="shared" ca="1" si="253"/>
        <v>VIGENTE</v>
      </c>
      <c r="BO84" s="13">
        <v>44898</v>
      </c>
      <c r="BP84" s="14">
        <v>45532</v>
      </c>
      <c r="BQ84" s="14">
        <f>DATE(YEAR(BP84)+2,MONTH(BP84),DAY(BP84)-1)</f>
        <v>46261</v>
      </c>
      <c r="BR84" s="65">
        <f t="shared" ca="1" si="254"/>
        <v>130</v>
      </c>
      <c r="BS84" s="15" t="str">
        <f t="shared" ca="1" si="255"/>
        <v>VIGENTE</v>
      </c>
      <c r="BT84" s="13">
        <v>44902</v>
      </c>
      <c r="BU84" s="14">
        <v>45527</v>
      </c>
      <c r="BV84" s="14">
        <f>DATE(YEAR(BU84)+2,MONTH(BU84),DAY(BU84)-1)</f>
        <v>46256</v>
      </c>
      <c r="BW84" s="65">
        <f t="shared" ca="1" si="256"/>
        <v>125</v>
      </c>
      <c r="BX84" s="15" t="str">
        <f t="shared" ca="1" si="257"/>
        <v>VIGENTE</v>
      </c>
      <c r="BY84" s="13">
        <v>44907</v>
      </c>
      <c r="BZ84" s="14">
        <v>45546</v>
      </c>
      <c r="CA84" s="14">
        <f>DATE(YEAR(BZ84)+2,MONTH(BZ84),DAY(BZ84)-1)</f>
        <v>46275</v>
      </c>
      <c r="CB84" s="65">
        <f t="shared" ca="1" si="258"/>
        <v>144</v>
      </c>
      <c r="CC84" s="15" t="str">
        <f t="shared" ca="1" si="259"/>
        <v>VIGENTE</v>
      </c>
      <c r="CD84" s="16"/>
      <c r="CE84" s="69"/>
      <c r="CF84" s="69"/>
      <c r="CG84" s="14"/>
      <c r="CH84" s="65"/>
      <c r="CI84" s="15" t="str">
        <f t="shared" si="262"/>
        <v>NO APLICA</v>
      </c>
      <c r="CJ84" s="14">
        <v>44908</v>
      </c>
      <c r="CK84" s="14">
        <v>45526</v>
      </c>
      <c r="CL84" s="14">
        <f>DATE(YEAR(CK84)+2,MONTH(CK84),DAY(CK84)-1)</f>
        <v>46255</v>
      </c>
      <c r="CM84" s="65">
        <f t="shared" ca="1" si="263"/>
        <v>124</v>
      </c>
      <c r="CN84" s="15" t="str">
        <f t="shared" ca="1" si="264"/>
        <v>VIGENTE</v>
      </c>
      <c r="CO84" s="13">
        <v>44909</v>
      </c>
      <c r="CP84" s="14">
        <v>45517</v>
      </c>
      <c r="CQ84" s="14">
        <f>DATE(YEAR(CP84)+2,MONTH(CP84),DAY(CP84)-1)</f>
        <v>46246</v>
      </c>
      <c r="CR84" s="65">
        <f t="shared" ca="1" si="265"/>
        <v>115</v>
      </c>
      <c r="CS84" s="15" t="str">
        <f t="shared" ca="1" si="266"/>
        <v>VIGENTE</v>
      </c>
      <c r="CT84" s="13">
        <v>44961</v>
      </c>
      <c r="CU84" s="14">
        <v>45624</v>
      </c>
      <c r="CV84" s="14">
        <f>DATE(YEAR(CU84)+2,MONTH(CU84),DAY(CU84)-1)</f>
        <v>46353</v>
      </c>
      <c r="CW84" s="65">
        <f t="shared" ca="1" si="267"/>
        <v>222</v>
      </c>
      <c r="CX84" s="15" t="str">
        <f t="shared" ca="1" si="268"/>
        <v>VIGENTE</v>
      </c>
      <c r="CY84" s="13">
        <v>44992</v>
      </c>
      <c r="CZ84" s="14">
        <v>45661</v>
      </c>
      <c r="DA84" s="14">
        <f>DATE(YEAR(CZ84)+2,MONTH(CZ84),DAY(CZ84)-1)</f>
        <v>46390</v>
      </c>
      <c r="DB84" s="65">
        <f t="shared" ca="1" si="269"/>
        <v>259</v>
      </c>
      <c r="DC84" s="15" t="str">
        <f t="shared" ca="1" si="270"/>
        <v>VIGENTE</v>
      </c>
      <c r="DD84" s="13">
        <v>44910</v>
      </c>
      <c r="DE84" s="14">
        <v>45535</v>
      </c>
      <c r="DF84" s="14">
        <f t="shared" si="376"/>
        <v>46264</v>
      </c>
      <c r="DG84" s="65">
        <f t="shared" ca="1" si="271"/>
        <v>133</v>
      </c>
      <c r="DH84" s="15" t="str">
        <f t="shared" ca="1" si="272"/>
        <v>VIGENTE</v>
      </c>
      <c r="DI84" s="13">
        <v>44877</v>
      </c>
      <c r="DJ84" s="14">
        <v>45509</v>
      </c>
      <c r="DK84" s="14">
        <f>DATE(YEAR(DJ84)+2,MONTH(DJ84),DAY(DJ84)-1)</f>
        <v>46238</v>
      </c>
      <c r="DL84" s="65">
        <f t="shared" ca="1" si="273"/>
        <v>107</v>
      </c>
      <c r="DM84" s="15" t="str">
        <f t="shared" ca="1" si="274"/>
        <v>VIGENTE</v>
      </c>
      <c r="DN84" s="13">
        <v>45025</v>
      </c>
      <c r="DO84" s="14">
        <v>45731</v>
      </c>
      <c r="DP84" s="14">
        <f>DATE(YEAR(DO84)+2,MONTH(DO84),DAY(DO84)-1)</f>
        <v>46460</v>
      </c>
      <c r="DQ84" s="65">
        <f t="shared" ca="1" si="275"/>
        <v>329</v>
      </c>
      <c r="DR84" s="15" t="str">
        <f t="shared" ca="1" si="276"/>
        <v>VIGENTE</v>
      </c>
      <c r="DS84" s="13">
        <v>44935</v>
      </c>
      <c r="DT84" s="14">
        <v>45619</v>
      </c>
      <c r="DU84" s="14">
        <f>DATE(YEAR(DT84)+2,MONTH(DT84),DAY(DT84)-1)</f>
        <v>46348</v>
      </c>
      <c r="DV84" s="65">
        <f t="shared" ca="1" si="277"/>
        <v>217</v>
      </c>
      <c r="DW84" s="15" t="str">
        <f t="shared" ca="1" si="278"/>
        <v>VIGENTE</v>
      </c>
      <c r="DX84" s="13">
        <v>44931</v>
      </c>
      <c r="DY84" s="14">
        <v>45582</v>
      </c>
      <c r="DZ84" s="14">
        <f>DATE(YEAR(DY84)+2,MONTH(DY84),DAY(DY84)-1)</f>
        <v>46311</v>
      </c>
      <c r="EA84" s="65">
        <f t="shared" ca="1" si="279"/>
        <v>180</v>
      </c>
      <c r="EB84" s="15" t="str">
        <f t="shared" ca="1" si="280"/>
        <v>VIGENTE</v>
      </c>
      <c r="EC84" s="13">
        <v>44982</v>
      </c>
      <c r="ED84" s="14">
        <v>45602</v>
      </c>
      <c r="EE84" s="14">
        <f>DATE(YEAR(ED84)+2,MONTH(ED84),DAY(ED84)-1)</f>
        <v>46331</v>
      </c>
      <c r="EF84" s="65">
        <f t="shared" ca="1" si="281"/>
        <v>200</v>
      </c>
      <c r="EG84" s="15" t="str">
        <f t="shared" ca="1" si="282"/>
        <v>VIGENTE</v>
      </c>
      <c r="EH84" s="13">
        <v>45521</v>
      </c>
      <c r="EI84" s="13">
        <v>45810</v>
      </c>
      <c r="EJ84" s="13">
        <v>45811</v>
      </c>
      <c r="EK84" s="14">
        <v>45812</v>
      </c>
      <c r="EL84" s="14">
        <f t="shared" si="344"/>
        <v>46177</v>
      </c>
      <c r="EM84" s="65">
        <f t="shared" ca="1" si="283"/>
        <v>46</v>
      </c>
      <c r="EN84" s="15" t="str">
        <f t="shared" ca="1" si="284"/>
        <v>POR VENCER</v>
      </c>
      <c r="EO84" s="13">
        <v>44999</v>
      </c>
      <c r="EP84" s="14">
        <v>45660</v>
      </c>
      <c r="EQ84" s="14">
        <f>DATE(YEAR(EP84)+2,MONTH(EP84),DAY(EP84)-1)</f>
        <v>46389</v>
      </c>
      <c r="ER84" s="65">
        <f t="shared" ca="1" si="285"/>
        <v>258</v>
      </c>
      <c r="ES84" s="15" t="str">
        <f t="shared" ca="1" si="286"/>
        <v>VIGENTE</v>
      </c>
      <c r="ET84" s="13">
        <v>45012</v>
      </c>
      <c r="EU84" s="14">
        <v>45677</v>
      </c>
      <c r="EV84" s="14">
        <f>DATE(YEAR(EU84)+2,MONTH(EU84),DAY(EU84)-1)</f>
        <v>46406</v>
      </c>
      <c r="EW84" s="65">
        <f t="shared" ca="1" si="287"/>
        <v>275</v>
      </c>
      <c r="EX84" s="15" t="str">
        <f t="shared" ca="1" si="288"/>
        <v>VIGENTE</v>
      </c>
      <c r="EY84" s="13">
        <v>45436</v>
      </c>
      <c r="EZ84" s="14">
        <v>46063</v>
      </c>
      <c r="FA84" s="14">
        <f>DATE(YEAR(EZ84)+2,MONTH(EZ84),DAY(EZ84))</f>
        <v>46793</v>
      </c>
      <c r="FB84" s="65">
        <f t="shared" ca="1" si="289"/>
        <v>662</v>
      </c>
      <c r="FC84" s="15" t="str">
        <f t="shared" ca="1" si="290"/>
        <v>VIGENTE</v>
      </c>
      <c r="FD84" s="13">
        <v>44793</v>
      </c>
      <c r="FE84" s="14">
        <v>46091</v>
      </c>
      <c r="FF84" s="14">
        <f>DATE(YEAR(FE84)+2,MONTH(FE84),DAY(FE84))</f>
        <v>46822</v>
      </c>
      <c r="FG84" s="65">
        <f t="shared" ca="1" si="291"/>
        <v>691</v>
      </c>
      <c r="FH84" s="15" t="str">
        <f t="shared" ca="1" si="292"/>
        <v>VIGENTE</v>
      </c>
      <c r="FI84" s="13">
        <v>45045</v>
      </c>
      <c r="FJ84" s="14">
        <v>45668</v>
      </c>
      <c r="FK84" s="14">
        <f>DATE(YEAR(FJ84)+2,MONTH(FJ84),DAY(FJ84)-1)</f>
        <v>46397</v>
      </c>
      <c r="FL84" s="65">
        <f t="shared" ca="1" si="293"/>
        <v>266</v>
      </c>
      <c r="FM84" s="15" t="str">
        <f t="shared" ca="1" si="294"/>
        <v>VIGENTE</v>
      </c>
      <c r="FN84" s="13">
        <v>45002</v>
      </c>
      <c r="FO84" s="14">
        <v>45670</v>
      </c>
      <c r="FP84" s="14">
        <f>DATE(YEAR(FO84)+2,MONTH(FO84),DAY(FO84)-1)</f>
        <v>46399</v>
      </c>
      <c r="FQ84" s="65">
        <f t="shared" ca="1" si="295"/>
        <v>268</v>
      </c>
      <c r="FR84" s="15" t="str">
        <f t="shared" ca="1" si="296"/>
        <v>VIGENTE</v>
      </c>
      <c r="FS84" s="13">
        <v>44954</v>
      </c>
      <c r="FT84" s="14">
        <v>45586</v>
      </c>
      <c r="FU84" s="14">
        <f>DATE(YEAR(FT84)+2,MONTH(FT84),DAY(FT84)-1)</f>
        <v>46315</v>
      </c>
      <c r="FV84" s="65">
        <f t="shared" ca="1" si="297"/>
        <v>184</v>
      </c>
      <c r="FW84" s="15" t="str">
        <f t="shared" ca="1" si="298"/>
        <v>VIGENTE</v>
      </c>
      <c r="FX84" s="13">
        <v>44916</v>
      </c>
      <c r="FY84" s="14">
        <v>45574</v>
      </c>
      <c r="FZ84" s="14">
        <f>DATE(YEAR(FY84)+2,MONTH(FY84),DAY(FY84)-1)</f>
        <v>46303</v>
      </c>
      <c r="GA84" s="65">
        <f t="shared" ca="1" si="299"/>
        <v>172</v>
      </c>
      <c r="GB84" s="15" t="str">
        <f t="shared" ca="1" si="300"/>
        <v>VIGENTE</v>
      </c>
      <c r="GC84" s="13">
        <v>44920</v>
      </c>
      <c r="GD84" s="14">
        <v>45595</v>
      </c>
      <c r="GE84" s="14">
        <f>DATE(YEAR(GD84)+2,MONTH(GD84),DAY(GD84)-1)</f>
        <v>46324</v>
      </c>
      <c r="GF84" s="65">
        <f t="shared" ca="1" si="301"/>
        <v>193</v>
      </c>
      <c r="GG84" s="15" t="str">
        <f t="shared" ca="1" si="302"/>
        <v>VIGENTE</v>
      </c>
      <c r="GH84" s="13">
        <v>44924</v>
      </c>
      <c r="GI84" s="14">
        <v>45579</v>
      </c>
      <c r="GJ84" s="14">
        <f>DATE(YEAR(GI84)+2,MONTH(GI84),DAY(GI84)-1)</f>
        <v>46308</v>
      </c>
      <c r="GK84" s="65">
        <f t="shared" ca="1" si="303"/>
        <v>177</v>
      </c>
      <c r="GL84" s="15" t="str">
        <f t="shared" ca="1" si="304"/>
        <v>VIGENTE</v>
      </c>
      <c r="GM84" s="13">
        <v>44915</v>
      </c>
      <c r="GN84" s="14">
        <v>45567</v>
      </c>
      <c r="GO84" s="14">
        <f>DATE(YEAR(GN84)+2,MONTH(GN84),DAY(GN84)-1)</f>
        <v>46296</v>
      </c>
      <c r="GP84" s="65">
        <f t="shared" ca="1" si="305"/>
        <v>165</v>
      </c>
      <c r="GQ84" s="15" t="str">
        <f t="shared" ca="1" si="306"/>
        <v>VIGENTE</v>
      </c>
      <c r="GR84" s="14">
        <v>44873</v>
      </c>
      <c r="GS84" s="14">
        <v>45495</v>
      </c>
      <c r="GT84" s="14">
        <f t="shared" si="307"/>
        <v>47321</v>
      </c>
      <c r="GU84" s="65">
        <f t="shared" ca="1" si="374"/>
        <v>1190</v>
      </c>
      <c r="GV84" s="15" t="str">
        <f t="shared" ca="1" si="368"/>
        <v>VIGENTE</v>
      </c>
      <c r="GW84" s="13">
        <v>44886</v>
      </c>
      <c r="GX84" s="14">
        <v>45507</v>
      </c>
      <c r="GY84" s="14">
        <f t="shared" si="309"/>
        <v>47333</v>
      </c>
      <c r="GZ84" s="65">
        <f t="shared" ca="1" si="310"/>
        <v>1202</v>
      </c>
      <c r="HA84" s="15" t="str">
        <f t="shared" ca="1" si="369"/>
        <v>VIGENTE</v>
      </c>
      <c r="HB84" s="12"/>
      <c r="HC84" s="14">
        <v>44911</v>
      </c>
      <c r="HD84" s="14">
        <f t="shared" si="312"/>
        <v>46737</v>
      </c>
      <c r="HE84" s="65">
        <f t="shared" ca="1" si="313"/>
        <v>606</v>
      </c>
      <c r="HF84" s="15" t="str">
        <f t="shared" ca="1" si="370"/>
        <v>VIGENTE</v>
      </c>
      <c r="HG84" s="16"/>
      <c r="HH84" s="16"/>
      <c r="HI84" s="14">
        <f>DATE(YEAR(HH84)+5,MONTH(HH84),DAY(HH84))</f>
        <v>1827</v>
      </c>
      <c r="HJ84" s="65">
        <f ca="1">HI84-TODAY()</f>
        <v>-44304</v>
      </c>
      <c r="HK84" s="15" t="str">
        <f ca="1">IF(HJ84&gt;=61,"VIGENTE",IF(HJ84&gt;=1,"POR VENCER",IF(HJ84&lt;=-1,"PROGRAMAR",IF(HH84=0,"NO APLICA"))))</f>
        <v>PROGRAMAR</v>
      </c>
      <c r="HL84" s="12"/>
      <c r="HM84" s="16"/>
      <c r="HN84" s="14"/>
      <c r="HO84" s="65"/>
      <c r="HP84" s="15" t="str">
        <f t="shared" si="375"/>
        <v>NO APLICA</v>
      </c>
      <c r="HQ84" s="12"/>
      <c r="HR84" s="15"/>
      <c r="HS84" s="14"/>
      <c r="HT84" s="15"/>
      <c r="HU84" s="15" t="str">
        <f t="shared" si="315"/>
        <v>NO APLICA</v>
      </c>
      <c r="HV84" s="12"/>
      <c r="HW84" s="14">
        <v>44923</v>
      </c>
      <c r="HX84" s="14">
        <f>DATE(YEAR(HW84)+5,MONTH(HW84),DAY(HW84))</f>
        <v>46749</v>
      </c>
      <c r="HY84" s="65">
        <f ca="1">HX84-TODAY()</f>
        <v>618</v>
      </c>
      <c r="HZ84" s="15" t="str">
        <f t="shared" ca="1" si="316"/>
        <v>VIGENTE</v>
      </c>
      <c r="IA84" s="12"/>
      <c r="IB84" s="14">
        <v>45092</v>
      </c>
      <c r="IC84" s="14">
        <f>DATE(YEAR(IB84)+5,MONTH(IB84),DAY(IB84))</f>
        <v>46919</v>
      </c>
      <c r="ID84" s="65">
        <f ca="1">IC84-TODAY()</f>
        <v>788</v>
      </c>
      <c r="IE84" s="15" t="str">
        <f t="shared" ca="1" si="317"/>
        <v>VIGENTE</v>
      </c>
      <c r="IF84" s="12"/>
      <c r="IG84" s="14">
        <v>44922</v>
      </c>
      <c r="IH84" s="14">
        <f>DATE(YEAR(IG84)+5,MONTH(IG84),DAY(IG84))</f>
        <v>46748</v>
      </c>
      <c r="II84" s="65">
        <f ca="1">IH84-TODAY()</f>
        <v>617</v>
      </c>
      <c r="IJ84" s="15" t="str">
        <f t="shared" ca="1" si="318"/>
        <v>VIGENTE</v>
      </c>
      <c r="IK84" s="16"/>
      <c r="IL84" s="16"/>
      <c r="IM84" s="14"/>
      <c r="IN84" s="65"/>
      <c r="IO84" s="15" t="str">
        <f t="shared" si="319"/>
        <v>NO APLICA</v>
      </c>
      <c r="IP84" s="12"/>
      <c r="IQ84" s="16"/>
      <c r="IR84" s="14"/>
      <c r="IS84" s="65"/>
      <c r="IT84" s="15" t="str">
        <f t="shared" si="320"/>
        <v>NO APLICA</v>
      </c>
      <c r="IU84" s="12"/>
      <c r="IV84" s="16"/>
      <c r="IW84" s="14"/>
      <c r="IX84" s="65"/>
      <c r="IY84" s="15" t="str">
        <f t="shared" si="321"/>
        <v>NO APLICA</v>
      </c>
      <c r="IZ84" s="12"/>
      <c r="JA84" s="16"/>
      <c r="JB84" s="14"/>
      <c r="JC84" s="65"/>
      <c r="JD84" s="15" t="str">
        <f t="shared" si="322"/>
        <v>NO APLICA</v>
      </c>
      <c r="JE84" s="13"/>
      <c r="JF84" s="13"/>
      <c r="JG84" s="14"/>
      <c r="JH84" s="65"/>
      <c r="JI84" s="15" t="str">
        <f t="shared" si="323"/>
        <v>NO APLICA</v>
      </c>
      <c r="JJ84" s="16"/>
      <c r="JK84" s="16"/>
      <c r="JL84" s="16"/>
      <c r="JM84" s="15" t="str">
        <f t="shared" si="324"/>
        <v>NO APLICA</v>
      </c>
      <c r="JN84" s="16"/>
      <c r="JO84" s="16"/>
      <c r="JP84" s="16"/>
      <c r="JQ84" s="15" t="str">
        <f t="shared" si="325"/>
        <v>NO APLICA</v>
      </c>
      <c r="JR84" s="16"/>
      <c r="JS84" s="16"/>
      <c r="JT84" s="16"/>
      <c r="JU84" s="16"/>
      <c r="JV84" s="15" t="str">
        <f t="shared" si="326"/>
        <v>NO APLICA</v>
      </c>
      <c r="JW84" s="15"/>
      <c r="JX84" s="15"/>
      <c r="JY84" s="15"/>
      <c r="JZ84" s="15"/>
      <c r="KA84" s="15" t="str">
        <f t="shared" si="327"/>
        <v>NO APLICA</v>
      </c>
      <c r="KB84" s="15"/>
      <c r="KC84" s="14"/>
      <c r="KD84" s="65"/>
      <c r="KE84" s="15" t="str">
        <f t="shared" si="328"/>
        <v>NO APLICA</v>
      </c>
      <c r="KF84" s="15"/>
      <c r="KG84" s="14"/>
      <c r="KH84" s="65"/>
      <c r="KI84" s="15" t="str">
        <f t="shared" si="345"/>
        <v>NO APLICA</v>
      </c>
      <c r="KJ84" s="15"/>
      <c r="KK84" s="14"/>
      <c r="KL84" s="65"/>
      <c r="KM84" s="15" t="str">
        <f t="shared" si="329"/>
        <v>NO APLICA</v>
      </c>
      <c r="KN84" s="12"/>
      <c r="KO84" s="14"/>
      <c r="KP84" s="65"/>
      <c r="KQ84" s="15" t="str">
        <f t="shared" si="346"/>
        <v>NO APLICA</v>
      </c>
      <c r="KR84" s="12"/>
      <c r="KS84" s="16"/>
      <c r="KT84" s="14"/>
      <c r="KU84" s="65"/>
      <c r="KV84" s="15" t="str">
        <f t="shared" si="355"/>
        <v>NO APLICA</v>
      </c>
      <c r="KW84" s="14">
        <v>44614</v>
      </c>
      <c r="KX84" s="14">
        <f>DATE(YEAR(KW84)+5,MONTH(KW84),DAY(KW84))</f>
        <v>46440</v>
      </c>
      <c r="KY84" s="65">
        <f ca="1">KX84-TODAY()</f>
        <v>309</v>
      </c>
      <c r="KZ84" s="15" t="str">
        <f t="shared" ca="1" si="347"/>
        <v>VIGENTE</v>
      </c>
      <c r="LA84" s="16"/>
      <c r="LB84" s="16"/>
      <c r="LC84" s="14"/>
      <c r="LD84" s="65"/>
      <c r="LE84" s="15" t="str">
        <f t="shared" si="330"/>
        <v>NO APLICA</v>
      </c>
      <c r="LF84" s="15"/>
      <c r="LG84" s="15"/>
      <c r="LH84" s="14"/>
      <c r="LI84" s="65"/>
      <c r="LJ84" s="15" t="str">
        <f t="shared" si="356"/>
        <v>NO APLICA</v>
      </c>
      <c r="LK84" s="15"/>
      <c r="LL84" s="16"/>
      <c r="LM84" s="14"/>
      <c r="LN84" s="65"/>
      <c r="LO84" s="15" t="str">
        <f t="shared" si="348"/>
        <v>NO APLICA</v>
      </c>
      <c r="LP84" s="16"/>
      <c r="LQ84" s="16"/>
      <c r="LR84" s="14"/>
      <c r="LS84" s="65"/>
      <c r="LT84" s="15" t="str">
        <f t="shared" si="349"/>
        <v>NO APLICA</v>
      </c>
      <c r="LU84" s="16"/>
      <c r="LV84" s="16"/>
      <c r="LW84" s="14"/>
      <c r="LX84" s="65"/>
      <c r="LY84" s="15" t="str">
        <f t="shared" si="350"/>
        <v>NO APLICA</v>
      </c>
      <c r="LZ84" s="15"/>
      <c r="MA84" s="15"/>
      <c r="MB84" s="14"/>
      <c r="MC84" s="65"/>
      <c r="MD84" s="15" t="str">
        <f t="shared" si="331"/>
        <v>NO APLICA</v>
      </c>
      <c r="ME84" s="15"/>
      <c r="MF84" s="15"/>
      <c r="MG84" s="14"/>
      <c r="MH84" s="65"/>
      <c r="MI84" s="15" t="str">
        <f t="shared" si="332"/>
        <v>NO APLICA</v>
      </c>
      <c r="MJ84" s="15"/>
      <c r="MK84" s="14"/>
      <c r="ML84" s="65"/>
      <c r="MM84" s="15" t="str">
        <f t="shared" si="333"/>
        <v>NO APLICA</v>
      </c>
      <c r="MN84" s="15"/>
      <c r="MO84" s="14"/>
      <c r="MP84" s="15"/>
      <c r="MQ84" s="15" t="str">
        <f t="shared" si="334"/>
        <v>NO APLICA</v>
      </c>
      <c r="MR84" s="15"/>
      <c r="MS84" s="16"/>
      <c r="MT84" s="14"/>
      <c r="MU84" s="65"/>
      <c r="MV84" s="15" t="str">
        <f t="shared" si="335"/>
        <v>NO APLICA</v>
      </c>
      <c r="MW84" s="15"/>
      <c r="MX84" s="16"/>
      <c r="MY84" s="14"/>
      <c r="MZ84" s="65"/>
      <c r="NA84" s="15" t="str">
        <f t="shared" si="336"/>
        <v>NO APLICA</v>
      </c>
      <c r="NB84" s="15"/>
      <c r="NC84" s="16"/>
      <c r="ND84" s="14"/>
      <c r="NE84" s="65"/>
      <c r="NF84" s="15" t="str">
        <f t="shared" si="337"/>
        <v>NO APLICA</v>
      </c>
      <c r="NG84" s="15"/>
      <c r="NH84" s="15"/>
      <c r="NI84" s="14"/>
      <c r="NJ84" s="65"/>
      <c r="NK84" s="15" t="str">
        <f t="shared" si="338"/>
        <v>NO APLICA</v>
      </c>
      <c r="NL84" s="15"/>
      <c r="NM84" s="15"/>
      <c r="NN84" s="15"/>
      <c r="NO84" s="15"/>
      <c r="NP84" s="15" t="str">
        <f t="shared" si="339"/>
        <v>NO APLICA</v>
      </c>
      <c r="NQ84" s="16"/>
      <c r="NR84" s="16"/>
      <c r="NS84" s="14"/>
      <c r="NT84" s="65"/>
      <c r="NU84" s="15" t="str">
        <f t="shared" si="340"/>
        <v>NO APLICA</v>
      </c>
      <c r="NV84" s="16"/>
      <c r="NW84" s="16"/>
      <c r="NX84" s="16"/>
      <c r="NY84" s="16"/>
      <c r="NZ84" s="15" t="str">
        <f t="shared" si="341"/>
        <v>NO APLICA</v>
      </c>
    </row>
    <row r="85" spans="1:390" ht="15.6" thickTop="1" thickBot="1" x14ac:dyDescent="0.35">
      <c r="A85" s="11">
        <v>1741</v>
      </c>
      <c r="B85" s="10" t="s">
        <v>356</v>
      </c>
      <c r="C85" s="21" t="s">
        <v>155</v>
      </c>
      <c r="D85" s="64" t="s">
        <v>156</v>
      </c>
      <c r="E85" s="16"/>
      <c r="F85" s="16"/>
      <c r="G85" s="16"/>
      <c r="H85" s="16"/>
      <c r="I85" s="15" t="str">
        <f t="shared" si="235"/>
        <v>NO APLICA</v>
      </c>
      <c r="J85" s="16"/>
      <c r="K85" s="16"/>
      <c r="L85" s="16"/>
      <c r="M85" s="16"/>
      <c r="N85" s="15" t="str">
        <f t="shared" si="236"/>
        <v>NO APLICA</v>
      </c>
      <c r="O85" s="16"/>
      <c r="P85" s="16"/>
      <c r="Q85" s="16"/>
      <c r="R85" s="16"/>
      <c r="S85" s="15" t="str">
        <f t="shared" si="342"/>
        <v>NO APLICA</v>
      </c>
      <c r="T85" s="16" t="s">
        <v>357</v>
      </c>
      <c r="U85" s="14">
        <v>45319</v>
      </c>
      <c r="V85" s="14">
        <v>45320</v>
      </c>
      <c r="W85" s="14">
        <f t="shared" si="237"/>
        <v>47147</v>
      </c>
      <c r="X85" s="65">
        <f t="shared" ca="1" si="238"/>
        <v>1016</v>
      </c>
      <c r="Y85" s="15" t="str">
        <f t="shared" ca="1" si="239"/>
        <v>VIGENTE</v>
      </c>
      <c r="Z85" s="16" t="s">
        <v>358</v>
      </c>
      <c r="AA85" s="14">
        <v>45630</v>
      </c>
      <c r="AB85" s="14">
        <v>45631</v>
      </c>
      <c r="AC85" s="14">
        <f>DATE(YEAR(AB85)+5,MONTH(AB85),DAY(AB85))</f>
        <v>47457</v>
      </c>
      <c r="AD85" s="65">
        <f ca="1">AC85-TODAY()</f>
        <v>1326</v>
      </c>
      <c r="AE85" s="15" t="str">
        <f t="shared" ca="1" si="367"/>
        <v>VIGENTE</v>
      </c>
      <c r="AF85" s="16"/>
      <c r="AG85" s="14">
        <v>45589</v>
      </c>
      <c r="AH85" s="14">
        <f>DATE(YEAR(AG85)+2,MONTH(AG85),DAY(AG85)-1)</f>
        <v>46318</v>
      </c>
      <c r="AI85" s="65">
        <f t="shared" ca="1" si="241"/>
        <v>187</v>
      </c>
      <c r="AJ85" s="15" t="str">
        <f t="shared" ca="1" si="213"/>
        <v>VIGENTE</v>
      </c>
      <c r="AK85" s="14">
        <v>44676</v>
      </c>
      <c r="AL85" s="14">
        <v>45518</v>
      </c>
      <c r="AM85" s="14">
        <f>DATE(YEAR(AL85)+2,MONTH(AL85),DAY(AL85)-1)</f>
        <v>46247</v>
      </c>
      <c r="AN85" s="65">
        <f t="shared" ca="1" si="242"/>
        <v>116</v>
      </c>
      <c r="AO85" s="15" t="str">
        <f t="shared" ca="1" si="243"/>
        <v>VIGENTE</v>
      </c>
      <c r="AP85" s="14">
        <v>44677</v>
      </c>
      <c r="AQ85" s="14">
        <v>45505</v>
      </c>
      <c r="AR85" s="14">
        <f>DATE(YEAR(AQ85)+2,MONTH(AQ85),DAY(AQ85)-1)</f>
        <v>46234</v>
      </c>
      <c r="AS85" s="65">
        <f t="shared" ca="1" si="244"/>
        <v>103</v>
      </c>
      <c r="AT85" s="15" t="str">
        <f t="shared" ca="1" si="245"/>
        <v>VIGENTE</v>
      </c>
      <c r="AU85" s="14">
        <v>44766</v>
      </c>
      <c r="AV85" s="14">
        <v>45514</v>
      </c>
      <c r="AW85" s="14">
        <f>DATE(YEAR(AV85)+2,MONTH(AV85),DAY(AV85)-1)</f>
        <v>46243</v>
      </c>
      <c r="AX85" s="65">
        <f t="shared" ca="1" si="246"/>
        <v>112</v>
      </c>
      <c r="AY85" s="15" t="str">
        <f t="shared" ca="1" si="247"/>
        <v>VIGENTE</v>
      </c>
      <c r="AZ85" s="14">
        <v>44675</v>
      </c>
      <c r="BA85" s="14">
        <v>45534</v>
      </c>
      <c r="BB85" s="14">
        <f>DATE(YEAR(BA85)+2,MONTH(BA85),DAY(BA85)-1)</f>
        <v>46263</v>
      </c>
      <c r="BC85" s="65">
        <f t="shared" ca="1" si="248"/>
        <v>132</v>
      </c>
      <c r="BD85" s="15" t="str">
        <f t="shared" ca="1" si="249"/>
        <v>VIGENTE</v>
      </c>
      <c r="BE85" s="14">
        <v>44683</v>
      </c>
      <c r="BF85" s="14">
        <v>45531</v>
      </c>
      <c r="BG85" s="14">
        <f>DATE(YEAR(BF85)+2,MONTH(BF85),DAY(BF85)-1)</f>
        <v>46260</v>
      </c>
      <c r="BH85" s="65">
        <f t="shared" ca="1" si="250"/>
        <v>129</v>
      </c>
      <c r="BI85" s="15" t="str">
        <f t="shared" ca="1" si="251"/>
        <v>VIGENTE</v>
      </c>
      <c r="BJ85" s="14">
        <v>44688</v>
      </c>
      <c r="BK85" s="14">
        <v>45600</v>
      </c>
      <c r="BL85" s="14">
        <f>DATE(YEAR(BK85)+2,MONTH(BK85),DAY(BK85)-1)</f>
        <v>46329</v>
      </c>
      <c r="BM85" s="65">
        <f t="shared" ca="1" si="252"/>
        <v>198</v>
      </c>
      <c r="BN85" s="15" t="str">
        <f t="shared" ca="1" si="253"/>
        <v>VIGENTE</v>
      </c>
      <c r="BO85" s="14">
        <v>44684</v>
      </c>
      <c r="BP85" s="14">
        <v>45532</v>
      </c>
      <c r="BQ85" s="14">
        <f>DATE(YEAR(BP85)+2,MONTH(BP85),DAY(BP85)-1)</f>
        <v>46261</v>
      </c>
      <c r="BR85" s="65">
        <f t="shared" ca="1" si="254"/>
        <v>130</v>
      </c>
      <c r="BS85" s="15" t="str">
        <f t="shared" ca="1" si="255"/>
        <v>VIGENTE</v>
      </c>
      <c r="BT85" s="14">
        <v>44699</v>
      </c>
      <c r="BU85" s="14">
        <v>45568</v>
      </c>
      <c r="BV85" s="14">
        <f>DATE(YEAR(BU85)+2,MONTH(BU85),DAY(BU85)-1)</f>
        <v>46297</v>
      </c>
      <c r="BW85" s="65">
        <f t="shared" ca="1" si="256"/>
        <v>166</v>
      </c>
      <c r="BX85" s="15" t="str">
        <f t="shared" ca="1" si="257"/>
        <v>VIGENTE</v>
      </c>
      <c r="BY85" s="14">
        <v>44697</v>
      </c>
      <c r="BZ85" s="14">
        <v>45525</v>
      </c>
      <c r="CA85" s="14">
        <f>DATE(YEAR(BZ85)+2,MONTH(BZ85),DAY(BZ85)-1)</f>
        <v>46254</v>
      </c>
      <c r="CB85" s="65">
        <f t="shared" ca="1" si="258"/>
        <v>123</v>
      </c>
      <c r="CC85" s="15" t="str">
        <f t="shared" ca="1" si="259"/>
        <v>VIGENTE</v>
      </c>
      <c r="CD85" s="16" t="s">
        <v>108</v>
      </c>
      <c r="CE85" s="14">
        <v>45615</v>
      </c>
      <c r="CF85" s="14">
        <v>45616</v>
      </c>
      <c r="CG85" s="14">
        <f t="shared" ref="CG85:CG107" si="377">DATE(YEAR(CF85)+4,MONTH(CF85),DAY(CF85))</f>
        <v>47077</v>
      </c>
      <c r="CH85" s="65">
        <f t="shared" ref="CH85:CH107" ca="1" si="378">CG85-TODAY()</f>
        <v>946</v>
      </c>
      <c r="CI85" s="15" t="str">
        <f t="shared" ca="1" si="262"/>
        <v>VIGENTE</v>
      </c>
      <c r="CJ85" s="14">
        <v>44700</v>
      </c>
      <c r="CK85" s="14">
        <v>45511</v>
      </c>
      <c r="CL85" s="14">
        <f>DATE(YEAR(CK85)+2,MONTH(CK85),DAY(CK85)-1)</f>
        <v>46240</v>
      </c>
      <c r="CM85" s="65">
        <f t="shared" ca="1" si="263"/>
        <v>109</v>
      </c>
      <c r="CN85" s="15" t="str">
        <f t="shared" ca="1" si="264"/>
        <v>VIGENTE</v>
      </c>
      <c r="CO85" s="14">
        <v>44693</v>
      </c>
      <c r="CP85" s="14">
        <v>45597</v>
      </c>
      <c r="CQ85" s="14">
        <f>DATE(YEAR(CP85)+2,MONTH(CP85),DAY(CP85)-1)</f>
        <v>46326</v>
      </c>
      <c r="CR85" s="65">
        <f t="shared" ca="1" si="265"/>
        <v>195</v>
      </c>
      <c r="CS85" s="15" t="str">
        <f t="shared" ca="1" si="266"/>
        <v>VIGENTE</v>
      </c>
      <c r="CT85" s="14">
        <v>44679</v>
      </c>
      <c r="CU85" s="14">
        <v>45607</v>
      </c>
      <c r="CV85" s="14">
        <f>DATE(YEAR(CU85)+2,MONTH(CU85),DAY(CU85)-1)</f>
        <v>46336</v>
      </c>
      <c r="CW85" s="65">
        <f t="shared" ca="1" si="267"/>
        <v>205</v>
      </c>
      <c r="CX85" s="15" t="str">
        <f t="shared" ca="1" si="268"/>
        <v>VIGENTE</v>
      </c>
      <c r="CY85" s="14">
        <v>44692</v>
      </c>
      <c r="CZ85" s="14">
        <v>45593</v>
      </c>
      <c r="DA85" s="14">
        <f>DATE(YEAR(CZ85)+2,MONTH(CZ85),DAY(CZ85)-1)</f>
        <v>46322</v>
      </c>
      <c r="DB85" s="65">
        <f t="shared" ca="1" si="269"/>
        <v>191</v>
      </c>
      <c r="DC85" s="15" t="str">
        <f t="shared" ca="1" si="270"/>
        <v>VIGENTE</v>
      </c>
      <c r="DD85" s="14">
        <v>44685</v>
      </c>
      <c r="DE85" s="14">
        <v>45596</v>
      </c>
      <c r="DF85" s="14">
        <f t="shared" si="376"/>
        <v>46325</v>
      </c>
      <c r="DG85" s="65">
        <f t="shared" ca="1" si="271"/>
        <v>194</v>
      </c>
      <c r="DH85" s="15" t="str">
        <f t="shared" ca="1" si="272"/>
        <v>VIGENTE</v>
      </c>
      <c r="DI85" s="14">
        <v>44690</v>
      </c>
      <c r="DJ85" s="14">
        <v>45569</v>
      </c>
      <c r="DK85" s="14">
        <f>DATE(YEAR(DJ85)+2,MONTH(DJ85),DAY(DJ85)-1)</f>
        <v>46298</v>
      </c>
      <c r="DL85" s="65">
        <f t="shared" ca="1" si="273"/>
        <v>167</v>
      </c>
      <c r="DM85" s="15" t="str">
        <f t="shared" ca="1" si="274"/>
        <v>VIGENTE</v>
      </c>
      <c r="DN85" s="14">
        <v>44691</v>
      </c>
      <c r="DO85" s="14">
        <v>45577</v>
      </c>
      <c r="DP85" s="14">
        <f>DATE(YEAR(DO85)+2,MONTH(DO85),DAY(DO85)-1)</f>
        <v>46306</v>
      </c>
      <c r="DQ85" s="65">
        <f t="shared" ca="1" si="275"/>
        <v>175</v>
      </c>
      <c r="DR85" s="15" t="str">
        <f t="shared" ca="1" si="276"/>
        <v>VIGENTE</v>
      </c>
      <c r="DS85" s="14">
        <v>44686</v>
      </c>
      <c r="DT85" s="14">
        <v>45540</v>
      </c>
      <c r="DU85" s="14">
        <f>DATE(YEAR(DT85)+2,MONTH(DT85),DAY(DT85)-1)</f>
        <v>46269</v>
      </c>
      <c r="DV85" s="65">
        <f t="shared" ca="1" si="277"/>
        <v>138</v>
      </c>
      <c r="DW85" s="15" t="str">
        <f t="shared" ca="1" si="278"/>
        <v>VIGENTE</v>
      </c>
      <c r="DX85" s="14">
        <v>44680</v>
      </c>
      <c r="DY85" s="14">
        <v>45582</v>
      </c>
      <c r="DZ85" s="14">
        <f>DATE(YEAR(DY85)+2,MONTH(DY85),DAY(DY85)-1)</f>
        <v>46311</v>
      </c>
      <c r="EA85" s="65">
        <f t="shared" ca="1" si="279"/>
        <v>180</v>
      </c>
      <c r="EB85" s="15" t="str">
        <f t="shared" ca="1" si="280"/>
        <v>VIGENTE</v>
      </c>
      <c r="EC85" s="14">
        <v>44694</v>
      </c>
      <c r="ED85" s="14">
        <v>45583</v>
      </c>
      <c r="EE85" s="14">
        <f>DATE(YEAR(ED85)+2,MONTH(ED85),DAY(ED85)-1)</f>
        <v>46312</v>
      </c>
      <c r="EF85" s="65">
        <f t="shared" ca="1" si="281"/>
        <v>181</v>
      </c>
      <c r="EG85" s="15" t="str">
        <f t="shared" ca="1" si="282"/>
        <v>VIGENTE</v>
      </c>
      <c r="EH85" s="14">
        <v>44695</v>
      </c>
      <c r="EI85" s="13">
        <v>46105</v>
      </c>
      <c r="EJ85" s="13">
        <v>46106</v>
      </c>
      <c r="EK85" s="13">
        <v>46107</v>
      </c>
      <c r="EL85" s="14">
        <f t="shared" si="344"/>
        <v>46472</v>
      </c>
      <c r="EM85" s="65">
        <f t="shared" ca="1" si="283"/>
        <v>341</v>
      </c>
      <c r="EN85" s="15" t="str">
        <f t="shared" ca="1" si="284"/>
        <v>VIGENTE</v>
      </c>
      <c r="EO85" s="14">
        <v>44681</v>
      </c>
      <c r="EP85" s="14">
        <v>45584</v>
      </c>
      <c r="EQ85" s="14">
        <f>DATE(YEAR(EP85)+2,MONTH(EP85),DAY(EP85)-1)</f>
        <v>46313</v>
      </c>
      <c r="ER85" s="65">
        <f t="shared" ca="1" si="285"/>
        <v>182</v>
      </c>
      <c r="ES85" s="15" t="str">
        <f t="shared" ca="1" si="286"/>
        <v>VIGENTE</v>
      </c>
      <c r="ET85" s="14">
        <v>44687</v>
      </c>
      <c r="EU85" s="14">
        <v>45575</v>
      </c>
      <c r="EV85" s="14">
        <f>DATE(YEAR(EU85)+2,MONTH(EU85),DAY(EU85)-1)</f>
        <v>46304</v>
      </c>
      <c r="EW85" s="65">
        <f t="shared" ca="1" si="287"/>
        <v>173</v>
      </c>
      <c r="EX85" s="15" t="str">
        <f t="shared" ca="1" si="288"/>
        <v>VIGENTE</v>
      </c>
      <c r="EY85" s="14">
        <v>44701</v>
      </c>
      <c r="EZ85" s="14">
        <v>45502</v>
      </c>
      <c r="FA85" s="14">
        <f>DATE(YEAR(EZ85)+2,MONTH(EZ85),DAY(EZ85)-1)</f>
        <v>46231</v>
      </c>
      <c r="FB85" s="65">
        <f t="shared" ca="1" si="289"/>
        <v>100</v>
      </c>
      <c r="FC85" s="15" t="str">
        <f t="shared" ca="1" si="290"/>
        <v>VIGENTE</v>
      </c>
      <c r="FD85" s="14">
        <v>44702</v>
      </c>
      <c r="FE85" s="14">
        <v>45538</v>
      </c>
      <c r="FF85" s="14">
        <f>DATE(YEAR(FE85)+2,MONTH(FE85),DAY(FE85)-1)</f>
        <v>46267</v>
      </c>
      <c r="FG85" s="65">
        <f t="shared" ca="1" si="291"/>
        <v>136</v>
      </c>
      <c r="FH85" s="15" t="str">
        <f t="shared" ca="1" si="292"/>
        <v>VIGENTE</v>
      </c>
      <c r="FI85" s="16"/>
      <c r="FJ85" s="14">
        <v>45542</v>
      </c>
      <c r="FK85" s="14">
        <f>DATE(YEAR(FJ85)+2,MONTH(FJ85),DAY(FJ85)-1)</f>
        <v>46271</v>
      </c>
      <c r="FL85" s="65">
        <f t="shared" ca="1" si="293"/>
        <v>140</v>
      </c>
      <c r="FM85" s="15" t="str">
        <f t="shared" ca="1" si="294"/>
        <v>VIGENTE</v>
      </c>
      <c r="FN85" s="14"/>
      <c r="FO85" s="14">
        <v>45588</v>
      </c>
      <c r="FP85" s="14">
        <f>DATE(YEAR(FO85)+2,MONTH(FO85),DAY(FO85)-1)</f>
        <v>46317</v>
      </c>
      <c r="FQ85" s="65">
        <f t="shared" ca="1" si="295"/>
        <v>186</v>
      </c>
      <c r="FR85" s="15" t="str">
        <f t="shared" ca="1" si="296"/>
        <v>VIGENTE</v>
      </c>
      <c r="FS85" s="14"/>
      <c r="FT85" s="14">
        <v>45586</v>
      </c>
      <c r="FU85" s="14">
        <f>DATE(YEAR(FT85)+2,MONTH(FT85),DAY(FT85)-1)</f>
        <v>46315</v>
      </c>
      <c r="FV85" s="65">
        <f t="shared" ca="1" si="297"/>
        <v>184</v>
      </c>
      <c r="FW85" s="15" t="str">
        <f t="shared" ca="1" si="298"/>
        <v>VIGENTE</v>
      </c>
      <c r="FX85" s="14"/>
      <c r="FY85" s="14">
        <v>45581</v>
      </c>
      <c r="FZ85" s="14">
        <f>DATE(YEAR(FY85)+2,MONTH(FY85),DAY(FY85)-1)</f>
        <v>46310</v>
      </c>
      <c r="GA85" s="65">
        <f t="shared" ca="1" si="299"/>
        <v>179</v>
      </c>
      <c r="GB85" s="15" t="str">
        <f t="shared" ca="1" si="300"/>
        <v>VIGENTE</v>
      </c>
      <c r="GC85" s="14"/>
      <c r="GD85" s="14">
        <v>45595</v>
      </c>
      <c r="GE85" s="14">
        <f>DATE(YEAR(GD85)+2,MONTH(GD85),DAY(GD85)-1)</f>
        <v>46324</v>
      </c>
      <c r="GF85" s="65">
        <f t="shared" ca="1" si="301"/>
        <v>193</v>
      </c>
      <c r="GG85" s="15" t="str">
        <f t="shared" ca="1" si="302"/>
        <v>VIGENTE</v>
      </c>
      <c r="GH85" s="14"/>
      <c r="GI85" s="14">
        <v>45579</v>
      </c>
      <c r="GJ85" s="14">
        <f>DATE(YEAR(GI85)+2,MONTH(GI85),DAY(GI85)-1)</f>
        <v>46308</v>
      </c>
      <c r="GK85" s="65">
        <f t="shared" ca="1" si="303"/>
        <v>177</v>
      </c>
      <c r="GL85" s="15" t="str">
        <f t="shared" ca="1" si="304"/>
        <v>VIGENTE</v>
      </c>
      <c r="GM85" s="14"/>
      <c r="GN85" s="14">
        <v>45567</v>
      </c>
      <c r="GO85" s="14">
        <f>DATE(YEAR(GN85)+2,MONTH(GN85),DAY(GN85)-1)</f>
        <v>46296</v>
      </c>
      <c r="GP85" s="65">
        <f t="shared" ca="1" si="305"/>
        <v>165</v>
      </c>
      <c r="GQ85" s="15" t="str">
        <f t="shared" ca="1" si="306"/>
        <v>VIGENTE</v>
      </c>
      <c r="GR85" s="14"/>
      <c r="GS85" s="14">
        <v>45495</v>
      </c>
      <c r="GT85" s="14">
        <f t="shared" si="307"/>
        <v>47321</v>
      </c>
      <c r="GU85" s="65">
        <f t="shared" ca="1" si="374"/>
        <v>1190</v>
      </c>
      <c r="GV85" s="15" t="str">
        <f t="shared" ca="1" si="368"/>
        <v>VIGENTE</v>
      </c>
      <c r="GW85" s="14"/>
      <c r="GX85" s="14">
        <v>45507</v>
      </c>
      <c r="GY85" s="14">
        <f t="shared" si="309"/>
        <v>47333</v>
      </c>
      <c r="GZ85" s="65">
        <f t="shared" ca="1" si="310"/>
        <v>1202</v>
      </c>
      <c r="HA85" s="15" t="str">
        <f t="shared" ca="1" si="369"/>
        <v>VIGENTE</v>
      </c>
      <c r="HB85" s="16"/>
      <c r="HC85" s="14">
        <v>45497</v>
      </c>
      <c r="HD85" s="14">
        <f t="shared" si="312"/>
        <v>47323</v>
      </c>
      <c r="HE85" s="65">
        <f t="shared" ca="1" si="313"/>
        <v>1192</v>
      </c>
      <c r="HF85" s="15" t="str">
        <f t="shared" ca="1" si="370"/>
        <v>VIGENTE</v>
      </c>
      <c r="HG85" s="16"/>
      <c r="HH85" s="14">
        <v>45496</v>
      </c>
      <c r="HI85" s="14">
        <f>DATE(YEAR(HH85)+5,MONTH(HH85),DAY(HH85))</f>
        <v>47322</v>
      </c>
      <c r="HJ85" s="65">
        <f ca="1">HI85-TODAY()</f>
        <v>1191</v>
      </c>
      <c r="HK85" s="15" t="str">
        <f t="shared" ref="HK85:HK97" ca="1" si="379">IF(HJ85&gt;=61,"VIGENTE",IF(HJ85&gt;=1,"POR VENCER",IF(HJ85&lt;=-1,"VENCIDA",IF(HH85=0,"NO APLICA"))))</f>
        <v>VIGENTE</v>
      </c>
      <c r="HL85" s="16"/>
      <c r="HM85" s="16"/>
      <c r="HN85" s="14"/>
      <c r="HO85" s="65"/>
      <c r="HP85" s="15" t="str">
        <f t="shared" si="375"/>
        <v>NO APLICA</v>
      </c>
      <c r="HQ85" s="16"/>
      <c r="HR85" s="16"/>
      <c r="HS85" s="14"/>
      <c r="HT85" s="16"/>
      <c r="HU85" s="15" t="str">
        <f t="shared" si="315"/>
        <v>NO APLICA</v>
      </c>
      <c r="HV85" s="16"/>
      <c r="HW85" s="16"/>
      <c r="HX85" s="14"/>
      <c r="HY85" s="16"/>
      <c r="HZ85" s="15" t="str">
        <f t="shared" si="316"/>
        <v>NO APLICA</v>
      </c>
      <c r="IA85" s="16"/>
      <c r="IB85" s="16"/>
      <c r="IC85" s="14"/>
      <c r="ID85" s="16"/>
      <c r="IE85" s="15" t="str">
        <f t="shared" si="317"/>
        <v>NO APLICA</v>
      </c>
      <c r="IF85" s="16"/>
      <c r="IG85" s="16"/>
      <c r="IH85" s="14"/>
      <c r="II85" s="16"/>
      <c r="IJ85" s="15" t="str">
        <f t="shared" si="318"/>
        <v>NO APLICA</v>
      </c>
      <c r="IK85" s="16"/>
      <c r="IL85" s="16"/>
      <c r="IM85" s="14"/>
      <c r="IN85" s="16"/>
      <c r="IO85" s="15" t="str">
        <f t="shared" si="319"/>
        <v>NO APLICA</v>
      </c>
      <c r="IP85" s="16"/>
      <c r="IQ85" s="16"/>
      <c r="IR85" s="14"/>
      <c r="IS85" s="65"/>
      <c r="IT85" s="15" t="str">
        <f t="shared" si="320"/>
        <v>NO APLICA</v>
      </c>
      <c r="IU85" s="16"/>
      <c r="IV85" s="16"/>
      <c r="IW85" s="14"/>
      <c r="IX85" s="16"/>
      <c r="IY85" s="15" t="str">
        <f t="shared" si="321"/>
        <v>NO APLICA</v>
      </c>
      <c r="IZ85" s="16"/>
      <c r="JA85" s="16"/>
      <c r="JB85" s="14"/>
      <c r="JC85" s="16"/>
      <c r="JD85" s="15" t="str">
        <f t="shared" si="322"/>
        <v>NO APLICA</v>
      </c>
      <c r="JE85" s="16"/>
      <c r="JF85" s="16"/>
      <c r="JG85" s="16"/>
      <c r="JH85" s="16"/>
      <c r="JI85" s="15" t="str">
        <f t="shared" si="323"/>
        <v>NO APLICA</v>
      </c>
      <c r="JJ85" s="16"/>
      <c r="JK85" s="16"/>
      <c r="JL85" s="16"/>
      <c r="JM85" s="15" t="str">
        <f t="shared" si="324"/>
        <v>NO APLICA</v>
      </c>
      <c r="JN85" s="16"/>
      <c r="JO85" s="16"/>
      <c r="JP85" s="16"/>
      <c r="JQ85" s="15" t="str">
        <f t="shared" si="325"/>
        <v>NO APLICA</v>
      </c>
      <c r="JR85" s="16"/>
      <c r="JS85" s="16"/>
      <c r="JT85" s="16"/>
      <c r="JU85" s="16"/>
      <c r="JV85" s="15" t="str">
        <f t="shared" si="326"/>
        <v>NO APLICA</v>
      </c>
      <c r="JW85" s="15"/>
      <c r="JX85" s="13">
        <v>45948</v>
      </c>
      <c r="JY85" s="14">
        <f>DATE(YEAR(JX85)+2,MONTH(JX85),DAY(JX85))</f>
        <v>46678</v>
      </c>
      <c r="JZ85" s="65">
        <f ca="1">JY85-TODAY()</f>
        <v>547</v>
      </c>
      <c r="KA85" s="15" t="str">
        <f t="shared" ca="1" si="327"/>
        <v>VIGENTE</v>
      </c>
      <c r="KB85" s="16"/>
      <c r="KC85" s="14"/>
      <c r="KD85" s="16"/>
      <c r="KE85" s="15" t="str">
        <f t="shared" si="328"/>
        <v>NO APLICA</v>
      </c>
      <c r="KF85" s="16"/>
      <c r="KG85" s="14"/>
      <c r="KH85" s="16"/>
      <c r="KI85" s="15" t="str">
        <f t="shared" si="345"/>
        <v>NO APLICA</v>
      </c>
      <c r="KJ85" s="16"/>
      <c r="KK85" s="14"/>
      <c r="KL85" s="16"/>
      <c r="KM85" s="15" t="str">
        <f t="shared" si="329"/>
        <v>NO APLICA</v>
      </c>
      <c r="KN85" s="12"/>
      <c r="KO85" s="12"/>
      <c r="KP85" s="12"/>
      <c r="KQ85" s="15" t="str">
        <f t="shared" si="346"/>
        <v>NO APLICA</v>
      </c>
      <c r="KR85" s="16"/>
      <c r="KS85" s="16"/>
      <c r="KT85" s="14"/>
      <c r="KU85" s="16"/>
      <c r="KV85" s="15" t="str">
        <f t="shared" si="355"/>
        <v>NO APLICA</v>
      </c>
      <c r="KW85" s="16"/>
      <c r="KX85" s="14"/>
      <c r="KY85" s="16"/>
      <c r="KZ85" s="15" t="str">
        <f t="shared" si="347"/>
        <v>NO APLICA</v>
      </c>
      <c r="LA85" s="16"/>
      <c r="LB85" s="16"/>
      <c r="LC85" s="16"/>
      <c r="LD85" s="16"/>
      <c r="LE85" s="15" t="str">
        <f t="shared" si="330"/>
        <v>NO APLICA</v>
      </c>
      <c r="LF85" s="15"/>
      <c r="LG85" s="15"/>
      <c r="LH85" s="14"/>
      <c r="LI85" s="65"/>
      <c r="LJ85" s="15" t="str">
        <f t="shared" si="356"/>
        <v>NO APLICA</v>
      </c>
      <c r="LK85" s="16"/>
      <c r="LL85" s="16"/>
      <c r="LM85" s="14"/>
      <c r="LN85" s="65"/>
      <c r="LO85" s="15" t="str">
        <f t="shared" si="348"/>
        <v>NO APLICA</v>
      </c>
      <c r="LP85" s="16"/>
      <c r="LQ85" s="16"/>
      <c r="LR85" s="14"/>
      <c r="LS85" s="16"/>
      <c r="LT85" s="15" t="str">
        <f t="shared" si="349"/>
        <v>NO APLICA</v>
      </c>
      <c r="LU85" s="16"/>
      <c r="LV85" s="16"/>
      <c r="LW85" s="14"/>
      <c r="LX85" s="16"/>
      <c r="LY85" s="15" t="str">
        <f t="shared" si="350"/>
        <v>NO APLICA</v>
      </c>
      <c r="LZ85" s="16"/>
      <c r="MA85" s="16"/>
      <c r="MB85" s="14"/>
      <c r="MC85" s="16"/>
      <c r="MD85" s="15" t="str">
        <f t="shared" si="331"/>
        <v>NO APLICA</v>
      </c>
      <c r="ME85" s="16"/>
      <c r="MF85" s="16"/>
      <c r="MG85" s="14"/>
      <c r="MH85" s="16"/>
      <c r="MI85" s="15" t="str">
        <f t="shared" si="332"/>
        <v>NO APLICA</v>
      </c>
      <c r="MJ85" s="16"/>
      <c r="MK85" s="14"/>
      <c r="ML85" s="16"/>
      <c r="MM85" s="15" t="str">
        <f t="shared" si="333"/>
        <v>NO APLICA</v>
      </c>
      <c r="MN85" s="16"/>
      <c r="MO85" s="16"/>
      <c r="MP85" s="16"/>
      <c r="MQ85" s="15" t="str">
        <f t="shared" si="334"/>
        <v>NO APLICA</v>
      </c>
      <c r="MR85" s="16"/>
      <c r="MS85" s="16"/>
      <c r="MT85" s="14"/>
      <c r="MU85" s="16"/>
      <c r="MV85" s="15" t="str">
        <f t="shared" si="335"/>
        <v>NO APLICA</v>
      </c>
      <c r="MW85" s="16"/>
      <c r="MX85" s="16"/>
      <c r="MY85" s="14"/>
      <c r="MZ85" s="16"/>
      <c r="NA85" s="15" t="str">
        <f t="shared" si="336"/>
        <v>NO APLICA</v>
      </c>
      <c r="NB85" s="16"/>
      <c r="NC85" s="16"/>
      <c r="ND85" s="14"/>
      <c r="NE85" s="16"/>
      <c r="NF85" s="15" t="str">
        <f t="shared" si="337"/>
        <v>NO APLICA</v>
      </c>
      <c r="NG85" s="16"/>
      <c r="NH85" s="16"/>
      <c r="NI85" s="14"/>
      <c r="NJ85" s="16"/>
      <c r="NK85" s="15" t="str">
        <f t="shared" si="338"/>
        <v>NO APLICA</v>
      </c>
      <c r="NL85" s="16"/>
      <c r="NM85" s="16"/>
      <c r="NN85" s="14"/>
      <c r="NO85" s="16"/>
      <c r="NP85" s="15" t="str">
        <f t="shared" si="339"/>
        <v>NO APLICA</v>
      </c>
      <c r="NQ85" s="16"/>
      <c r="NR85" s="16"/>
      <c r="NS85" s="14"/>
      <c r="NT85" s="65"/>
      <c r="NU85" s="15" t="str">
        <f t="shared" si="340"/>
        <v>NO APLICA</v>
      </c>
      <c r="NV85" s="16"/>
      <c r="NW85" s="16"/>
      <c r="NX85" s="16"/>
      <c r="NY85" s="16"/>
      <c r="NZ85" s="15" t="str">
        <f t="shared" si="341"/>
        <v>NO APLICA</v>
      </c>
    </row>
    <row r="86" spans="1:390" ht="15.6" thickTop="1" thickBot="1" x14ac:dyDescent="0.35">
      <c r="A86" s="9">
        <v>752</v>
      </c>
      <c r="B86" s="10" t="s">
        <v>359</v>
      </c>
      <c r="C86" s="21" t="s">
        <v>104</v>
      </c>
      <c r="D86" s="64" t="s">
        <v>114</v>
      </c>
      <c r="E86" s="15"/>
      <c r="F86" s="16"/>
      <c r="G86" s="14"/>
      <c r="H86" s="65"/>
      <c r="I86" s="15" t="str">
        <f t="shared" si="235"/>
        <v>NO APLICA</v>
      </c>
      <c r="J86" s="15"/>
      <c r="K86" s="16"/>
      <c r="L86" s="16"/>
      <c r="M86" s="65"/>
      <c r="N86" s="15" t="str">
        <f t="shared" si="236"/>
        <v>NO APLICA</v>
      </c>
      <c r="O86" s="16"/>
      <c r="P86" s="16"/>
      <c r="Q86" s="14"/>
      <c r="R86" s="65"/>
      <c r="S86" s="15" t="str">
        <f t="shared" si="342"/>
        <v>NO APLICA</v>
      </c>
      <c r="T86" s="12" t="s">
        <v>360</v>
      </c>
      <c r="U86" s="13">
        <v>44800</v>
      </c>
      <c r="V86" s="14">
        <v>44801</v>
      </c>
      <c r="W86" s="14">
        <f t="shared" si="237"/>
        <v>46627</v>
      </c>
      <c r="X86" s="65">
        <f t="shared" ca="1" si="238"/>
        <v>496</v>
      </c>
      <c r="Y86" s="15" t="str">
        <f t="shared" ca="1" si="239"/>
        <v>VIGENTE</v>
      </c>
      <c r="Z86" s="12" t="s">
        <v>361</v>
      </c>
      <c r="AA86" s="13">
        <v>44825</v>
      </c>
      <c r="AB86" s="14">
        <v>44826</v>
      </c>
      <c r="AC86" s="14">
        <f>DATE(YEAR(AB86)+5,MONTH(AB86),DAY(AB86))</f>
        <v>46652</v>
      </c>
      <c r="AD86" s="65">
        <f ca="1">AC86-TODAY()</f>
        <v>521</v>
      </c>
      <c r="AE86" s="15" t="str">
        <f t="shared" ca="1" si="367"/>
        <v>VIGENTE</v>
      </c>
      <c r="AF86" s="13">
        <v>44932</v>
      </c>
      <c r="AG86" s="14">
        <v>45609</v>
      </c>
      <c r="AH86" s="14">
        <f>DATE(YEAR(AG86)+2,MONTH(AG86),DAY(AG86)-1)</f>
        <v>46338</v>
      </c>
      <c r="AI86" s="65">
        <f t="shared" ca="1" si="241"/>
        <v>207</v>
      </c>
      <c r="AJ86" s="15" t="str">
        <f t="shared" ca="1" si="213"/>
        <v>VIGENTE</v>
      </c>
      <c r="AK86" s="13">
        <v>44634</v>
      </c>
      <c r="AL86" s="14">
        <v>46062</v>
      </c>
      <c r="AM86" s="14">
        <f t="shared" ref="AM86:AM96" si="380">DATE(YEAR(AL86)+2,MONTH(AL86),DAY(AL86))</f>
        <v>46792</v>
      </c>
      <c r="AN86" s="65">
        <f t="shared" ca="1" si="242"/>
        <v>661</v>
      </c>
      <c r="AO86" s="15" t="str">
        <f t="shared" ca="1" si="243"/>
        <v>VIGENTE</v>
      </c>
      <c r="AP86" s="13">
        <v>45298</v>
      </c>
      <c r="AQ86" s="14">
        <v>45967</v>
      </c>
      <c r="AR86" s="14">
        <f t="shared" ref="AR86:AR94" si="381">DATE(YEAR(AQ86)+2,MONTH(AQ86),DAY(AQ86))</f>
        <v>46697</v>
      </c>
      <c r="AS86" s="65">
        <f t="shared" ca="1" si="244"/>
        <v>566</v>
      </c>
      <c r="AT86" s="15" t="str">
        <f t="shared" ca="1" si="245"/>
        <v>VIGENTE</v>
      </c>
      <c r="AU86" s="13">
        <v>45323</v>
      </c>
      <c r="AV86" s="14">
        <v>45972</v>
      </c>
      <c r="AW86" s="14">
        <f t="shared" ref="AW86:AW94" si="382">DATE(YEAR(AV86)+2,MONTH(AV86),DAY(AV86))</f>
        <v>46702</v>
      </c>
      <c r="AX86" s="65">
        <f t="shared" ca="1" si="246"/>
        <v>571</v>
      </c>
      <c r="AY86" s="15" t="str">
        <f t="shared" ca="1" si="247"/>
        <v>VIGENTE</v>
      </c>
      <c r="AZ86" s="13">
        <v>44732</v>
      </c>
      <c r="BA86" s="14">
        <v>46071</v>
      </c>
      <c r="BB86" s="14">
        <f>DATE(YEAR(BA86)+2,MONTH(BA86),DAY(BA86))</f>
        <v>46801</v>
      </c>
      <c r="BC86" s="65">
        <f t="shared" ca="1" si="248"/>
        <v>670</v>
      </c>
      <c r="BD86" s="15" t="str">
        <f t="shared" ca="1" si="249"/>
        <v>VIGENTE</v>
      </c>
      <c r="BE86" s="13">
        <v>44734</v>
      </c>
      <c r="BF86" s="14">
        <v>46067</v>
      </c>
      <c r="BG86" s="14">
        <f>DATE(YEAR(BF86)+2,MONTH(BF86),DAY(BF86))</f>
        <v>46797</v>
      </c>
      <c r="BH86" s="65">
        <f t="shared" ca="1" si="250"/>
        <v>666</v>
      </c>
      <c r="BI86" s="15" t="str">
        <f t="shared" ca="1" si="251"/>
        <v>VIGENTE</v>
      </c>
      <c r="BJ86" s="13">
        <v>44795</v>
      </c>
      <c r="BK86" s="14">
        <v>46056</v>
      </c>
      <c r="BL86" s="14">
        <f>DATE(YEAR(BK86)+2,MONTH(BK86),DAY(BK86))</f>
        <v>46786</v>
      </c>
      <c r="BM86" s="65">
        <f t="shared" ca="1" si="252"/>
        <v>655</v>
      </c>
      <c r="BN86" s="15" t="str">
        <f t="shared" ca="1" si="253"/>
        <v>VIGENTE</v>
      </c>
      <c r="BO86" s="13">
        <v>44798</v>
      </c>
      <c r="BP86" s="14">
        <v>45470</v>
      </c>
      <c r="BQ86" s="14">
        <f>DATE(YEAR(BP86)+2,MONTH(BP86),DAY(BP86)-1)</f>
        <v>46199</v>
      </c>
      <c r="BR86" s="65">
        <f t="shared" ca="1" si="254"/>
        <v>68</v>
      </c>
      <c r="BS86" s="15" t="str">
        <f t="shared" ca="1" si="255"/>
        <v>POR VENCER</v>
      </c>
      <c r="BT86" s="13">
        <v>44736</v>
      </c>
      <c r="BU86" s="14">
        <v>45455</v>
      </c>
      <c r="BV86" s="14">
        <f>DATE(YEAR(BU86)+2,MONTH(BU86),DAY(BU86)-1)</f>
        <v>46184</v>
      </c>
      <c r="BW86" s="65">
        <f t="shared" ca="1" si="256"/>
        <v>53</v>
      </c>
      <c r="BX86" s="15" t="str">
        <f t="shared" ca="1" si="257"/>
        <v>POR VENCER</v>
      </c>
      <c r="BY86" s="13">
        <v>45300</v>
      </c>
      <c r="BZ86" s="14">
        <v>45954</v>
      </c>
      <c r="CA86" s="14">
        <f t="shared" ref="CA86:CA96" si="383">DATE(YEAR(BZ86)+2,MONTH(BZ86),DAY(BZ86))</f>
        <v>46684</v>
      </c>
      <c r="CB86" s="65">
        <f t="shared" ca="1" si="258"/>
        <v>553</v>
      </c>
      <c r="CC86" s="15" t="str">
        <f t="shared" ca="1" si="259"/>
        <v>VIGENTE</v>
      </c>
      <c r="CD86" s="16" t="s">
        <v>108</v>
      </c>
      <c r="CE86" s="14">
        <v>45210</v>
      </c>
      <c r="CF86" s="14">
        <v>45211</v>
      </c>
      <c r="CG86" s="14">
        <f t="shared" si="377"/>
        <v>46672</v>
      </c>
      <c r="CH86" s="65">
        <f t="shared" ca="1" si="378"/>
        <v>541</v>
      </c>
      <c r="CI86" s="15" t="str">
        <f t="shared" ca="1" si="262"/>
        <v>VIGENTE</v>
      </c>
      <c r="CJ86" s="14">
        <v>45353</v>
      </c>
      <c r="CK86" s="14">
        <v>46020</v>
      </c>
      <c r="CL86" s="14">
        <f>DATE(YEAR(CK86)+2,MONTH(CK86),DAY(CK86))</f>
        <v>46750</v>
      </c>
      <c r="CM86" s="65">
        <f t="shared" ca="1" si="263"/>
        <v>619</v>
      </c>
      <c r="CN86" s="15" t="str">
        <f t="shared" ca="1" si="264"/>
        <v>VIGENTE</v>
      </c>
      <c r="CO86" s="13">
        <v>45246</v>
      </c>
      <c r="CP86" s="14">
        <v>45898</v>
      </c>
      <c r="CQ86" s="14">
        <f>DATE(YEAR(CP86)+2,MONTH(CP86),DAY(CP86))</f>
        <v>46628</v>
      </c>
      <c r="CR86" s="65">
        <f t="shared" ca="1" si="265"/>
        <v>497</v>
      </c>
      <c r="CS86" s="15" t="str">
        <f t="shared" ca="1" si="266"/>
        <v>VIGENTE</v>
      </c>
      <c r="CT86" s="13">
        <v>44967</v>
      </c>
      <c r="CU86" s="14">
        <v>45631</v>
      </c>
      <c r="CV86" s="14">
        <f>DATE(YEAR(CU86)+2,MONTH(CU86),DAY(CU86)-1)</f>
        <v>46360</v>
      </c>
      <c r="CW86" s="65">
        <f t="shared" ca="1" si="267"/>
        <v>229</v>
      </c>
      <c r="CX86" s="15" t="str">
        <f t="shared" ca="1" si="268"/>
        <v>VIGENTE</v>
      </c>
      <c r="CY86" s="13">
        <v>44991</v>
      </c>
      <c r="CZ86" s="14">
        <v>45661</v>
      </c>
      <c r="DA86" s="14">
        <f>DATE(YEAR(CZ86)+2,MONTH(CZ86),DAY(CZ86)-1)</f>
        <v>46390</v>
      </c>
      <c r="DB86" s="65">
        <f t="shared" ca="1" si="269"/>
        <v>259</v>
      </c>
      <c r="DC86" s="15" t="str">
        <f t="shared" ca="1" si="270"/>
        <v>VIGENTE</v>
      </c>
      <c r="DD86" s="13">
        <v>45037</v>
      </c>
      <c r="DE86" s="14">
        <v>45689</v>
      </c>
      <c r="DF86" s="14">
        <f t="shared" si="376"/>
        <v>46418</v>
      </c>
      <c r="DG86" s="65">
        <f t="shared" ca="1" si="271"/>
        <v>287</v>
      </c>
      <c r="DH86" s="15" t="str">
        <f t="shared" ca="1" si="272"/>
        <v>VIGENTE</v>
      </c>
      <c r="DI86" s="13">
        <v>45312</v>
      </c>
      <c r="DJ86" s="14">
        <v>45955</v>
      </c>
      <c r="DK86" s="14">
        <f t="shared" ref="DK86:DK91" si="384">DATE(YEAR(DJ86)+2,MONTH(DJ86),DAY(DJ86))</f>
        <v>46685</v>
      </c>
      <c r="DL86" s="65">
        <f t="shared" ca="1" si="273"/>
        <v>554</v>
      </c>
      <c r="DM86" s="15" t="str">
        <f t="shared" ca="1" si="274"/>
        <v>VIGENTE</v>
      </c>
      <c r="DN86" s="13">
        <v>44918</v>
      </c>
      <c r="DO86" s="14">
        <v>45577</v>
      </c>
      <c r="DP86" s="14">
        <f>DATE(YEAR(DO86)+2,MONTH(DO86),DAY(DO86)-1)</f>
        <v>46306</v>
      </c>
      <c r="DQ86" s="65">
        <f t="shared" ca="1" si="275"/>
        <v>175</v>
      </c>
      <c r="DR86" s="15" t="str">
        <f t="shared" ca="1" si="276"/>
        <v>VIGENTE</v>
      </c>
      <c r="DS86" s="13">
        <v>45336</v>
      </c>
      <c r="DT86" s="14">
        <v>46018</v>
      </c>
      <c r="DU86" s="14">
        <f>DATE(YEAR(DT86)+2,MONTH(DT86),DAY(DT86))</f>
        <v>46748</v>
      </c>
      <c r="DV86" s="65">
        <f t="shared" ca="1" si="277"/>
        <v>617</v>
      </c>
      <c r="DW86" s="15" t="str">
        <f t="shared" ca="1" si="278"/>
        <v>VIGENTE</v>
      </c>
      <c r="DX86" s="13">
        <v>45267</v>
      </c>
      <c r="DY86" s="14">
        <v>45934</v>
      </c>
      <c r="DZ86" s="14">
        <f>DATE(YEAR(DY86)+2,MONTH(DY86),DAY(DY86))</f>
        <v>46664</v>
      </c>
      <c r="EA86" s="65">
        <f t="shared" ca="1" si="279"/>
        <v>533</v>
      </c>
      <c r="EB86" s="15" t="str">
        <f t="shared" ca="1" si="280"/>
        <v>VIGENTE</v>
      </c>
      <c r="EC86" s="13">
        <v>45265</v>
      </c>
      <c r="ED86" s="14">
        <v>45938</v>
      </c>
      <c r="EE86" s="14">
        <f>DATE(YEAR(ED86)+2,MONTH(ED86),DAY(ED86))</f>
        <v>46668</v>
      </c>
      <c r="EF86" s="65">
        <f t="shared" ca="1" si="281"/>
        <v>537</v>
      </c>
      <c r="EG86" s="15" t="str">
        <f t="shared" ca="1" si="282"/>
        <v>VIGENTE</v>
      </c>
      <c r="EH86" s="14">
        <v>45253</v>
      </c>
      <c r="EI86" s="13">
        <v>45946</v>
      </c>
      <c r="EJ86" s="13">
        <v>45947</v>
      </c>
      <c r="EK86" s="14">
        <v>45948</v>
      </c>
      <c r="EL86" s="14">
        <f t="shared" si="344"/>
        <v>46313</v>
      </c>
      <c r="EM86" s="65">
        <f t="shared" ca="1" si="283"/>
        <v>182</v>
      </c>
      <c r="EN86" s="15" t="str">
        <f t="shared" ca="1" si="284"/>
        <v>VIGENTE</v>
      </c>
      <c r="EO86" s="13">
        <v>45303</v>
      </c>
      <c r="EP86" s="14">
        <v>45966</v>
      </c>
      <c r="EQ86" s="14">
        <f>DATE(YEAR(EP86)+2,MONTH(EP86),DAY(EP86))</f>
        <v>46696</v>
      </c>
      <c r="ER86" s="65">
        <f t="shared" ca="1" si="285"/>
        <v>565</v>
      </c>
      <c r="ES86" s="15" t="str">
        <f t="shared" ca="1" si="286"/>
        <v>VIGENTE</v>
      </c>
      <c r="ET86" s="13">
        <v>45351</v>
      </c>
      <c r="EU86" s="14">
        <v>45993</v>
      </c>
      <c r="EV86" s="14">
        <f t="shared" ref="EV86:EV91" si="385">DATE(YEAR(EU86)+2,MONTH(EU86),DAY(EU86))</f>
        <v>46723</v>
      </c>
      <c r="EW86" s="65">
        <f t="shared" ca="1" si="287"/>
        <v>592</v>
      </c>
      <c r="EX86" s="15" t="str">
        <f t="shared" ca="1" si="288"/>
        <v>VIGENTE</v>
      </c>
      <c r="EY86" s="13">
        <v>44636</v>
      </c>
      <c r="EZ86" s="14">
        <v>45953</v>
      </c>
      <c r="FA86" s="14">
        <f>DATE(YEAR(EZ86)+2,MONTH(EZ86),DAY(EZ86))</f>
        <v>46683</v>
      </c>
      <c r="FB86" s="65">
        <f t="shared" ca="1" si="289"/>
        <v>552</v>
      </c>
      <c r="FC86" s="15" t="str">
        <f t="shared" ca="1" si="290"/>
        <v>VIGENTE</v>
      </c>
      <c r="FD86" s="13">
        <v>44636</v>
      </c>
      <c r="FE86" s="14">
        <v>45988</v>
      </c>
      <c r="FF86" s="14">
        <f t="shared" ref="FF86:FF96" si="386">DATE(YEAR(FE86)+2,MONTH(FE86),DAY(FE86))</f>
        <v>46718</v>
      </c>
      <c r="FG86" s="65">
        <f t="shared" ca="1" si="291"/>
        <v>587</v>
      </c>
      <c r="FH86" s="15" t="str">
        <f t="shared" ca="1" si="292"/>
        <v>VIGENTE</v>
      </c>
      <c r="FI86" s="13">
        <v>44637</v>
      </c>
      <c r="FJ86" s="14">
        <v>45992</v>
      </c>
      <c r="FK86" s="14">
        <f t="shared" ref="FK86:FK97" si="387">DATE(YEAR(FJ86)+2,MONTH(FJ86),DAY(FJ86))</f>
        <v>46722</v>
      </c>
      <c r="FL86" s="65">
        <f t="shared" ca="1" si="293"/>
        <v>591</v>
      </c>
      <c r="FM86" s="15" t="str">
        <f t="shared" ca="1" si="294"/>
        <v>VIGENTE</v>
      </c>
      <c r="FN86" s="13">
        <v>44592</v>
      </c>
      <c r="FO86" s="14">
        <v>46102</v>
      </c>
      <c r="FP86" s="14">
        <f>DATE(YEAR(FO86)+2,MONTH(FO86),DAY(FO86))</f>
        <v>46833</v>
      </c>
      <c r="FQ86" s="65">
        <f t="shared" ca="1" si="295"/>
        <v>702</v>
      </c>
      <c r="FR86" s="15" t="str">
        <f t="shared" ca="1" si="296"/>
        <v>VIGENTE</v>
      </c>
      <c r="FS86" s="13">
        <v>45358</v>
      </c>
      <c r="FT86" s="14">
        <v>46034</v>
      </c>
      <c r="FU86" s="14">
        <f>DATE(YEAR(FT86)+2,MONTH(FT86),DAY(FT86))</f>
        <v>46764</v>
      </c>
      <c r="FV86" s="65">
        <f t="shared" ca="1" si="297"/>
        <v>633</v>
      </c>
      <c r="FW86" s="15" t="str">
        <f t="shared" ca="1" si="298"/>
        <v>VIGENTE</v>
      </c>
      <c r="FX86" s="13">
        <v>44924</v>
      </c>
      <c r="FY86" s="14">
        <v>45587</v>
      </c>
      <c r="FZ86" s="14">
        <f>DATE(YEAR(FY86)+2,MONTH(FY86),DAY(FY86)-1)</f>
        <v>46316</v>
      </c>
      <c r="GA86" s="65">
        <f t="shared" ca="1" si="299"/>
        <v>185</v>
      </c>
      <c r="GB86" s="15" t="str">
        <f t="shared" ca="1" si="300"/>
        <v>VIGENTE</v>
      </c>
      <c r="GC86" s="13">
        <v>45396</v>
      </c>
      <c r="GD86" s="14">
        <v>46030</v>
      </c>
      <c r="GE86" s="14">
        <f>DATE(YEAR(GD86)+2,MONTH(GD86),DAY(GD86))</f>
        <v>46760</v>
      </c>
      <c r="GF86" s="65">
        <f t="shared" ca="1" si="301"/>
        <v>629</v>
      </c>
      <c r="GG86" s="15" t="str">
        <f t="shared" ca="1" si="302"/>
        <v>VIGENTE</v>
      </c>
      <c r="GH86" s="13">
        <v>45252</v>
      </c>
      <c r="GI86" s="14">
        <v>45912</v>
      </c>
      <c r="GJ86" s="14">
        <f>DATE(YEAR(GI86)+2,MONTH(GI86),DAY(GI86))</f>
        <v>46642</v>
      </c>
      <c r="GK86" s="65">
        <f t="shared" ca="1" si="303"/>
        <v>511</v>
      </c>
      <c r="GL86" s="15" t="str">
        <f t="shared" ca="1" si="304"/>
        <v>VIGENTE</v>
      </c>
      <c r="GM86" s="13">
        <v>45242</v>
      </c>
      <c r="GN86" s="14">
        <v>45923</v>
      </c>
      <c r="GO86" s="14">
        <f>DATE(YEAR(GN86)+2,MONTH(GN86),DAY(GN86))</f>
        <v>46653</v>
      </c>
      <c r="GP86" s="65">
        <f t="shared" ca="1" si="305"/>
        <v>522</v>
      </c>
      <c r="GQ86" s="15" t="str">
        <f t="shared" ca="1" si="306"/>
        <v>VIGENTE</v>
      </c>
      <c r="GR86" s="14"/>
      <c r="GS86" s="14">
        <v>44966</v>
      </c>
      <c r="GT86" s="14">
        <f t="shared" si="307"/>
        <v>46792</v>
      </c>
      <c r="GU86" s="65">
        <f t="shared" ca="1" si="374"/>
        <v>661</v>
      </c>
      <c r="GV86" s="15" t="str">
        <f t="shared" ca="1" si="368"/>
        <v>VIGENTE</v>
      </c>
      <c r="GW86" s="13"/>
      <c r="GX86" s="14">
        <v>44984</v>
      </c>
      <c r="GY86" s="14">
        <f t="shared" si="309"/>
        <v>46810</v>
      </c>
      <c r="GZ86" s="65">
        <f t="shared" ca="1" si="310"/>
        <v>679</v>
      </c>
      <c r="HA86" s="15" t="str">
        <f t="shared" ca="1" si="369"/>
        <v>VIGENTE</v>
      </c>
      <c r="HB86" s="13">
        <v>44635</v>
      </c>
      <c r="HC86" s="14">
        <v>45330</v>
      </c>
      <c r="HD86" s="14">
        <f t="shared" si="312"/>
        <v>47157</v>
      </c>
      <c r="HE86" s="65">
        <f t="shared" ca="1" si="313"/>
        <v>1026</v>
      </c>
      <c r="HF86" s="15" t="str">
        <f t="shared" ca="1" si="370"/>
        <v>VIGENTE</v>
      </c>
      <c r="HG86" s="16"/>
      <c r="HH86" s="14">
        <v>45094</v>
      </c>
      <c r="HI86" s="14">
        <f>DATE(YEAR(HH86)+5,MONTH(HH86),DAY(HH86))</f>
        <v>46921</v>
      </c>
      <c r="HJ86" s="65">
        <f ca="1">HI86-TODAY()</f>
        <v>790</v>
      </c>
      <c r="HK86" s="15" t="str">
        <f t="shared" ca="1" si="379"/>
        <v>VIGENTE</v>
      </c>
      <c r="HL86" s="12"/>
      <c r="HM86" s="16"/>
      <c r="HN86" s="14"/>
      <c r="HO86" s="65"/>
      <c r="HP86" s="15" t="str">
        <f t="shared" si="375"/>
        <v>NO APLICA</v>
      </c>
      <c r="HQ86" s="12"/>
      <c r="HR86" s="12"/>
      <c r="HS86" s="14"/>
      <c r="HT86" s="12"/>
      <c r="HU86" s="15" t="str">
        <f t="shared" si="315"/>
        <v>NO APLICA</v>
      </c>
      <c r="HV86" s="13">
        <v>44782</v>
      </c>
      <c r="HW86" s="14">
        <v>45469</v>
      </c>
      <c r="HX86" s="14">
        <f>DATE(YEAR(HW86)+5,MONTH(HW86),DAY(HW86))</f>
        <v>47295</v>
      </c>
      <c r="HY86" s="65">
        <f ca="1">HX86-TODAY()</f>
        <v>1164</v>
      </c>
      <c r="HZ86" s="15" t="str">
        <f t="shared" ca="1" si="316"/>
        <v>VIGENTE</v>
      </c>
      <c r="IA86" s="13">
        <v>44781</v>
      </c>
      <c r="IB86" s="14">
        <v>45428</v>
      </c>
      <c r="IC86" s="14">
        <f>DATE(YEAR(IB86)+5,MONTH(IB86),DAY(IB86))</f>
        <v>47254</v>
      </c>
      <c r="ID86" s="65">
        <f ca="1">IC86-TODAY()</f>
        <v>1123</v>
      </c>
      <c r="IE86" s="15" t="str">
        <f t="shared" ca="1" si="317"/>
        <v>VIGENTE</v>
      </c>
      <c r="IF86" s="13">
        <v>44558</v>
      </c>
      <c r="IG86" s="14">
        <v>45386</v>
      </c>
      <c r="IH86" s="14">
        <f>DATE(YEAR(IG86)+5,MONTH(IG86),DAY(IG86))</f>
        <v>47212</v>
      </c>
      <c r="II86" s="65">
        <f ca="1">IH86-TODAY()</f>
        <v>1081</v>
      </c>
      <c r="IJ86" s="15" t="str">
        <f t="shared" ca="1" si="318"/>
        <v>VIGENTE</v>
      </c>
      <c r="IK86" s="14">
        <v>44568</v>
      </c>
      <c r="IL86" s="14">
        <v>45266</v>
      </c>
      <c r="IM86" s="14">
        <f>DATE(YEAR(IL86)+5,MONTH(IL86),DAY(IL86))</f>
        <v>47093</v>
      </c>
      <c r="IN86" s="65">
        <f ca="1">IM86-TODAY()</f>
        <v>962</v>
      </c>
      <c r="IO86" s="15" t="str">
        <f t="shared" ca="1" si="319"/>
        <v>VIGENTE</v>
      </c>
      <c r="IP86" s="13">
        <v>44568</v>
      </c>
      <c r="IQ86" s="14">
        <v>45354</v>
      </c>
      <c r="IR86" s="14">
        <f>DATE(YEAR(IQ86)+5,MONTH(IQ86),DAY(IQ86))</f>
        <v>47180</v>
      </c>
      <c r="IS86" s="65">
        <f ca="1">IR86-TODAY()</f>
        <v>1049</v>
      </c>
      <c r="IT86" s="15" t="str">
        <f t="shared" ca="1" si="320"/>
        <v>VIGENTE</v>
      </c>
      <c r="IU86" s="13">
        <v>44558</v>
      </c>
      <c r="IV86" s="14">
        <v>45350</v>
      </c>
      <c r="IW86" s="14">
        <f>DATE(YEAR(IV86)+5,MONTH(IV86),DAY(IV86))</f>
        <v>47177</v>
      </c>
      <c r="IX86" s="65">
        <f ca="1">IW86-TODAY()</f>
        <v>1046</v>
      </c>
      <c r="IY86" s="15" t="str">
        <f t="shared" ca="1" si="321"/>
        <v>VIGENTE</v>
      </c>
      <c r="IZ86" s="13">
        <v>44781</v>
      </c>
      <c r="JA86" s="14">
        <v>45461</v>
      </c>
      <c r="JB86" s="14">
        <f>DATE(YEAR(JA86)+5,MONTH(JA86),DAY(JA86))</f>
        <v>47287</v>
      </c>
      <c r="JC86" s="65">
        <f ca="1">JB86-TODAY()</f>
        <v>1156</v>
      </c>
      <c r="JD86" s="15" t="str">
        <f t="shared" ca="1" si="322"/>
        <v>VIGENTE</v>
      </c>
      <c r="JE86" s="13"/>
      <c r="JF86" s="13"/>
      <c r="JG86" s="14"/>
      <c r="JH86" s="65"/>
      <c r="JI86" s="15" t="str">
        <f t="shared" si="323"/>
        <v>NO APLICA</v>
      </c>
      <c r="JJ86" s="16"/>
      <c r="JK86" s="16"/>
      <c r="JL86" s="16"/>
      <c r="JM86" s="15" t="str">
        <f t="shared" si="324"/>
        <v>NO APLICA</v>
      </c>
      <c r="JN86" s="16"/>
      <c r="JO86" s="16"/>
      <c r="JP86" s="16"/>
      <c r="JQ86" s="15" t="str">
        <f t="shared" si="325"/>
        <v>NO APLICA</v>
      </c>
      <c r="JR86" s="16"/>
      <c r="JS86" s="16"/>
      <c r="JT86" s="16"/>
      <c r="JU86" s="16"/>
      <c r="JV86" s="15" t="str">
        <f t="shared" si="326"/>
        <v>NO APLICA</v>
      </c>
      <c r="JW86" s="15"/>
      <c r="JX86" s="15"/>
      <c r="JY86" s="15"/>
      <c r="JZ86" s="15"/>
      <c r="KA86" s="15" t="str">
        <f t="shared" si="327"/>
        <v>NO APLICA</v>
      </c>
      <c r="KB86" s="12"/>
      <c r="KC86" s="14"/>
      <c r="KD86" s="65"/>
      <c r="KE86" s="15" t="str">
        <f t="shared" si="328"/>
        <v>NO APLICA</v>
      </c>
      <c r="KF86" s="13">
        <v>45328</v>
      </c>
      <c r="KG86" s="14">
        <f>DATE(YEAR(KF86)+5,MONTH(KF86),DAY(KF86)-1)</f>
        <v>47154</v>
      </c>
      <c r="KH86" s="65">
        <f ca="1">KG86-TODAY()</f>
        <v>1023</v>
      </c>
      <c r="KI86" s="15" t="str">
        <f t="shared" ca="1" si="345"/>
        <v>VIGENTE</v>
      </c>
      <c r="KJ86" s="12"/>
      <c r="KK86" s="14"/>
      <c r="KL86" s="65"/>
      <c r="KM86" s="15" t="str">
        <f t="shared" si="329"/>
        <v>NO APLICA</v>
      </c>
      <c r="KN86" s="12"/>
      <c r="KO86" s="14"/>
      <c r="KP86" s="65"/>
      <c r="KQ86" s="15" t="str">
        <f t="shared" si="346"/>
        <v>NO APLICA</v>
      </c>
      <c r="KR86" s="13">
        <v>44657</v>
      </c>
      <c r="KS86" s="14">
        <v>44658</v>
      </c>
      <c r="KT86" s="14">
        <f>DATE(YEAR(KS86)+5,MONTH(KS86),DAY(KS86))</f>
        <v>46484</v>
      </c>
      <c r="KU86" s="65">
        <f ca="1">KT86-TODAY()</f>
        <v>353</v>
      </c>
      <c r="KV86" s="15" t="str">
        <f t="shared" ca="1" si="355"/>
        <v>VIGENTE</v>
      </c>
      <c r="KW86" s="16"/>
      <c r="KX86" s="14"/>
      <c r="KY86" s="65"/>
      <c r="KZ86" s="15" t="str">
        <f t="shared" si="347"/>
        <v>NO APLICA</v>
      </c>
      <c r="LA86" s="14">
        <v>44487</v>
      </c>
      <c r="LB86" s="14">
        <v>45516</v>
      </c>
      <c r="LC86" s="14">
        <f>DATE(YEAR(LB86)+2,MONTH(LB86),DAY(LB86))</f>
        <v>46246</v>
      </c>
      <c r="LD86" s="65">
        <f ca="1">LC86-TODAY()</f>
        <v>115</v>
      </c>
      <c r="LE86" s="15" t="str">
        <f t="shared" ca="1" si="330"/>
        <v>VIGENTE</v>
      </c>
      <c r="LF86" s="15"/>
      <c r="LG86" s="15"/>
      <c r="LH86" s="14"/>
      <c r="LI86" s="65"/>
      <c r="LJ86" s="15" t="str">
        <f t="shared" si="356"/>
        <v>NO APLICA</v>
      </c>
      <c r="LK86" s="12"/>
      <c r="LL86" s="16"/>
      <c r="LM86" s="14"/>
      <c r="LN86" s="65"/>
      <c r="LO86" s="15" t="str">
        <f t="shared" si="348"/>
        <v>NO APLICA</v>
      </c>
      <c r="LP86" s="16"/>
      <c r="LQ86" s="16"/>
      <c r="LR86" s="14"/>
      <c r="LS86" s="65"/>
      <c r="LT86" s="15" t="str">
        <f t="shared" si="349"/>
        <v>NO APLICA</v>
      </c>
      <c r="LU86" s="16"/>
      <c r="LV86" s="16"/>
      <c r="LW86" s="14"/>
      <c r="LX86" s="65"/>
      <c r="LY86" s="15" t="str">
        <f t="shared" si="350"/>
        <v>NO APLICA</v>
      </c>
      <c r="LZ86" s="12"/>
      <c r="MA86" s="12"/>
      <c r="MB86" s="14"/>
      <c r="MC86" s="65"/>
      <c r="MD86" s="15" t="str">
        <f t="shared" si="331"/>
        <v>NO APLICA</v>
      </c>
      <c r="ME86" s="12"/>
      <c r="MF86" s="12"/>
      <c r="MG86" s="14"/>
      <c r="MH86" s="65"/>
      <c r="MI86" s="15" t="str">
        <f t="shared" si="332"/>
        <v>NO APLICA</v>
      </c>
      <c r="MJ86" s="12"/>
      <c r="MK86" s="14"/>
      <c r="ML86" s="65"/>
      <c r="MM86" s="15" t="str">
        <f t="shared" si="333"/>
        <v>NO APLICA</v>
      </c>
      <c r="MN86" s="12"/>
      <c r="MO86" s="14"/>
      <c r="MP86" s="12"/>
      <c r="MQ86" s="15" t="str">
        <f t="shared" si="334"/>
        <v>NO APLICA</v>
      </c>
      <c r="MR86" s="12"/>
      <c r="MS86" s="16"/>
      <c r="MT86" s="14"/>
      <c r="MU86" s="65"/>
      <c r="MV86" s="15" t="str">
        <f t="shared" si="335"/>
        <v>NO APLICA</v>
      </c>
      <c r="MW86" s="12"/>
      <c r="MX86" s="16"/>
      <c r="MY86" s="14"/>
      <c r="MZ86" s="65"/>
      <c r="NA86" s="15" t="str">
        <f t="shared" si="336"/>
        <v>NO APLICA</v>
      </c>
      <c r="NB86" s="12"/>
      <c r="NC86" s="16"/>
      <c r="ND86" s="14"/>
      <c r="NE86" s="65"/>
      <c r="NF86" s="15" t="str">
        <f t="shared" si="337"/>
        <v>NO APLICA</v>
      </c>
      <c r="NG86" s="12"/>
      <c r="NH86" s="12"/>
      <c r="NI86" s="14"/>
      <c r="NJ86" s="12"/>
      <c r="NK86" s="15" t="str">
        <f t="shared" si="338"/>
        <v>NO APLICA</v>
      </c>
      <c r="NL86" s="12"/>
      <c r="NM86" s="12"/>
      <c r="NN86" s="12"/>
      <c r="NO86" s="12"/>
      <c r="NP86" s="15" t="str">
        <f t="shared" si="339"/>
        <v>NO APLICA</v>
      </c>
      <c r="NQ86" s="16"/>
      <c r="NR86" s="16"/>
      <c r="NS86" s="14"/>
      <c r="NT86" s="65"/>
      <c r="NU86" s="15" t="str">
        <f t="shared" si="340"/>
        <v>NO APLICA</v>
      </c>
      <c r="NV86" s="16"/>
      <c r="NW86" s="16"/>
      <c r="NX86" s="16"/>
      <c r="NY86" s="16"/>
      <c r="NZ86" s="15" t="str">
        <f t="shared" si="341"/>
        <v>NO APLICA</v>
      </c>
    </row>
    <row r="87" spans="1:390" ht="15.6" thickTop="1" thickBot="1" x14ac:dyDescent="0.35">
      <c r="A87" s="9">
        <v>1562</v>
      </c>
      <c r="B87" s="10" t="s">
        <v>362</v>
      </c>
      <c r="C87" s="21" t="s">
        <v>151</v>
      </c>
      <c r="D87" s="64" t="s">
        <v>152</v>
      </c>
      <c r="E87" s="15"/>
      <c r="F87" s="16"/>
      <c r="G87" s="14"/>
      <c r="H87" s="65"/>
      <c r="I87" s="15" t="str">
        <f t="shared" si="235"/>
        <v>NO APLICA</v>
      </c>
      <c r="J87" s="15"/>
      <c r="K87" s="16"/>
      <c r="L87" s="16"/>
      <c r="M87" s="65"/>
      <c r="N87" s="15" t="str">
        <f t="shared" si="236"/>
        <v>NO APLICA</v>
      </c>
      <c r="O87" s="16"/>
      <c r="P87" s="16"/>
      <c r="Q87" s="14"/>
      <c r="R87" s="65"/>
      <c r="S87" s="15" t="str">
        <f t="shared" si="342"/>
        <v>NO APLICA</v>
      </c>
      <c r="T87" s="12" t="s">
        <v>363</v>
      </c>
      <c r="U87" s="13">
        <v>45692</v>
      </c>
      <c r="V87" s="14">
        <v>45693</v>
      </c>
      <c r="W87" s="14">
        <f t="shared" si="237"/>
        <v>47519</v>
      </c>
      <c r="X87" s="65">
        <f t="shared" ca="1" si="238"/>
        <v>1388</v>
      </c>
      <c r="Y87" s="15" t="str">
        <f t="shared" ca="1" si="239"/>
        <v>VIGENTE</v>
      </c>
      <c r="Z87" s="12"/>
      <c r="AA87" s="12"/>
      <c r="AB87" s="16"/>
      <c r="AC87" s="14"/>
      <c r="AD87" s="65"/>
      <c r="AE87" s="15" t="str">
        <f t="shared" si="367"/>
        <v>NO APLICA</v>
      </c>
      <c r="AF87" s="13">
        <v>45243</v>
      </c>
      <c r="AG87" s="14">
        <v>45902</v>
      </c>
      <c r="AH87" s="14">
        <f>DATE(YEAR(AG87)+2,MONTH(AG87),DAY(AG87))</f>
        <v>46632</v>
      </c>
      <c r="AI87" s="65">
        <f t="shared" ca="1" si="241"/>
        <v>501</v>
      </c>
      <c r="AJ87" s="15" t="str">
        <f t="shared" ca="1" si="213"/>
        <v>VIGENTE</v>
      </c>
      <c r="AK87" s="13">
        <v>44594</v>
      </c>
      <c r="AL87" s="14">
        <v>45937</v>
      </c>
      <c r="AM87" s="14">
        <f t="shared" si="380"/>
        <v>46667</v>
      </c>
      <c r="AN87" s="65">
        <f t="shared" ca="1" si="242"/>
        <v>536</v>
      </c>
      <c r="AO87" s="15" t="str">
        <f t="shared" ca="1" si="243"/>
        <v>VIGENTE</v>
      </c>
      <c r="AP87" s="13">
        <v>45326</v>
      </c>
      <c r="AQ87" s="14">
        <v>45971</v>
      </c>
      <c r="AR87" s="14">
        <f t="shared" si="381"/>
        <v>46701</v>
      </c>
      <c r="AS87" s="65">
        <f t="shared" ca="1" si="244"/>
        <v>570</v>
      </c>
      <c r="AT87" s="15" t="str">
        <f t="shared" ca="1" si="245"/>
        <v>VIGENTE</v>
      </c>
      <c r="AU87" s="13">
        <v>44680</v>
      </c>
      <c r="AV87" s="14">
        <v>45990</v>
      </c>
      <c r="AW87" s="14">
        <f t="shared" si="382"/>
        <v>46720</v>
      </c>
      <c r="AX87" s="65">
        <f t="shared" ca="1" si="246"/>
        <v>589</v>
      </c>
      <c r="AY87" s="15" t="str">
        <f t="shared" ca="1" si="247"/>
        <v>VIGENTE</v>
      </c>
      <c r="AZ87" s="13">
        <v>45038</v>
      </c>
      <c r="BA87" s="14">
        <v>45717</v>
      </c>
      <c r="BB87" s="14">
        <f>DATE(YEAR(BA87)+2,MONTH(BA87),DAY(BA87)-1)</f>
        <v>46446</v>
      </c>
      <c r="BC87" s="65">
        <f t="shared" ca="1" si="248"/>
        <v>315</v>
      </c>
      <c r="BD87" s="15" t="str">
        <f t="shared" ca="1" si="249"/>
        <v>VIGENTE</v>
      </c>
      <c r="BE87" s="13">
        <v>45071</v>
      </c>
      <c r="BF87" s="14">
        <v>45698</v>
      </c>
      <c r="BG87" s="14">
        <f>DATE(YEAR(BF87)+2,MONTH(BF87),DAY(BF87)-1)</f>
        <v>46427</v>
      </c>
      <c r="BH87" s="65">
        <f t="shared" ca="1" si="250"/>
        <v>296</v>
      </c>
      <c r="BI87" s="15" t="str">
        <f t="shared" ca="1" si="251"/>
        <v>VIGENTE</v>
      </c>
      <c r="BJ87" s="13">
        <v>45140</v>
      </c>
      <c r="BK87" s="14">
        <v>45797</v>
      </c>
      <c r="BL87" s="14">
        <f>DATE(YEAR(BK87)+2,MONTH(BK87),DAY(BK87))</f>
        <v>46527</v>
      </c>
      <c r="BM87" s="65">
        <f t="shared" ca="1" si="252"/>
        <v>396</v>
      </c>
      <c r="BN87" s="15" t="str">
        <f t="shared" ca="1" si="253"/>
        <v>VIGENTE</v>
      </c>
      <c r="BO87" s="13">
        <v>45073</v>
      </c>
      <c r="BP87" s="14">
        <v>45701</v>
      </c>
      <c r="BQ87" s="14">
        <f>DATE(YEAR(BP87)+2,MONTH(BP87),DAY(BP87)-1)</f>
        <v>46430</v>
      </c>
      <c r="BR87" s="65">
        <f t="shared" ca="1" si="254"/>
        <v>299</v>
      </c>
      <c r="BS87" s="15" t="str">
        <f t="shared" ca="1" si="255"/>
        <v>VIGENTE</v>
      </c>
      <c r="BT87" s="12">
        <v>45086</v>
      </c>
      <c r="BU87" s="14">
        <v>45736</v>
      </c>
      <c r="BV87" s="14">
        <f>DATE(YEAR(BU87)+2,MONTH(BU87),DAY(BU87)-1)</f>
        <v>46465</v>
      </c>
      <c r="BW87" s="65">
        <f t="shared" ca="1" si="256"/>
        <v>334</v>
      </c>
      <c r="BX87" s="15" t="str">
        <f t="shared" ca="1" si="257"/>
        <v>VIGENTE</v>
      </c>
      <c r="BY87" s="13">
        <v>44594</v>
      </c>
      <c r="BZ87" s="14">
        <v>45944</v>
      </c>
      <c r="CA87" s="14">
        <f t="shared" si="383"/>
        <v>46674</v>
      </c>
      <c r="CB87" s="65">
        <f t="shared" ca="1" si="258"/>
        <v>543</v>
      </c>
      <c r="CC87" s="15" t="str">
        <f t="shared" ca="1" si="259"/>
        <v>VIGENTE</v>
      </c>
      <c r="CD87" s="16" t="s">
        <v>108</v>
      </c>
      <c r="CE87" s="14">
        <v>45615</v>
      </c>
      <c r="CF87" s="14">
        <v>45616</v>
      </c>
      <c r="CG87" s="14">
        <f t="shared" si="377"/>
        <v>47077</v>
      </c>
      <c r="CH87" s="65">
        <f t="shared" ca="1" si="378"/>
        <v>946</v>
      </c>
      <c r="CI87" s="15" t="str">
        <f t="shared" ca="1" si="262"/>
        <v>VIGENTE</v>
      </c>
      <c r="CJ87" s="14">
        <v>45054</v>
      </c>
      <c r="CK87" s="14">
        <v>45688</v>
      </c>
      <c r="CL87" s="14">
        <f>DATE(YEAR(CK87)+2,MONTH(CK87),DAY(CK87)-1)</f>
        <v>46417</v>
      </c>
      <c r="CM87" s="65">
        <f t="shared" ca="1" si="263"/>
        <v>286</v>
      </c>
      <c r="CN87" s="15" t="str">
        <f t="shared" ca="1" si="264"/>
        <v>VIGENTE</v>
      </c>
      <c r="CO87" s="13">
        <v>45050</v>
      </c>
      <c r="CP87" s="14">
        <v>45684</v>
      </c>
      <c r="CQ87" s="14">
        <f>DATE(YEAR(CP87)+2,MONTH(CP87),DAY(CP87)-1)</f>
        <v>46413</v>
      </c>
      <c r="CR87" s="65">
        <f t="shared" ca="1" si="265"/>
        <v>282</v>
      </c>
      <c r="CS87" s="15" t="str">
        <f t="shared" ca="1" si="266"/>
        <v>VIGENTE</v>
      </c>
      <c r="CT87" s="13">
        <v>44679</v>
      </c>
      <c r="CU87" s="14">
        <v>45905</v>
      </c>
      <c r="CV87" s="14">
        <f>DATE(YEAR(CU87)+2,MONTH(CU87),DAY(CU87))</f>
        <v>46635</v>
      </c>
      <c r="CW87" s="65">
        <f t="shared" ca="1" si="267"/>
        <v>504</v>
      </c>
      <c r="CX87" s="15" t="str">
        <f t="shared" ca="1" si="268"/>
        <v>VIGENTE</v>
      </c>
      <c r="CY87" s="13">
        <v>44681</v>
      </c>
      <c r="CZ87" s="14">
        <v>46000</v>
      </c>
      <c r="DA87" s="14">
        <f>DATE(YEAR(CZ87)+2,MONTH(CZ87),DAY(CZ87))</f>
        <v>46730</v>
      </c>
      <c r="DB87" s="65">
        <f t="shared" ca="1" si="269"/>
        <v>599</v>
      </c>
      <c r="DC87" s="15" t="str">
        <f t="shared" ca="1" si="270"/>
        <v>VIGENTE</v>
      </c>
      <c r="DD87" s="13">
        <v>45019</v>
      </c>
      <c r="DE87" s="14">
        <v>45689</v>
      </c>
      <c r="DF87" s="14">
        <f t="shared" si="376"/>
        <v>46418</v>
      </c>
      <c r="DG87" s="65">
        <f t="shared" ca="1" si="271"/>
        <v>287</v>
      </c>
      <c r="DH87" s="15" t="str">
        <f t="shared" ca="1" si="272"/>
        <v>VIGENTE</v>
      </c>
      <c r="DI87" s="13">
        <v>45296</v>
      </c>
      <c r="DJ87" s="14">
        <v>45975</v>
      </c>
      <c r="DK87" s="14">
        <f t="shared" si="384"/>
        <v>46705</v>
      </c>
      <c r="DL87" s="65">
        <f t="shared" ca="1" si="273"/>
        <v>574</v>
      </c>
      <c r="DM87" s="15" t="str">
        <f t="shared" ca="1" si="274"/>
        <v>VIGENTE</v>
      </c>
      <c r="DN87" s="13">
        <v>44678</v>
      </c>
      <c r="DO87" s="14">
        <v>45982</v>
      </c>
      <c r="DP87" s="14">
        <f>DATE(YEAR(DO87)+2,MONTH(DO87),DAY(DO87))</f>
        <v>46712</v>
      </c>
      <c r="DQ87" s="65">
        <f t="shared" ca="1" si="275"/>
        <v>581</v>
      </c>
      <c r="DR87" s="15" t="str">
        <f t="shared" ca="1" si="276"/>
        <v>VIGENTE</v>
      </c>
      <c r="DS87" s="13">
        <v>45066</v>
      </c>
      <c r="DT87" s="14">
        <v>45685</v>
      </c>
      <c r="DU87" s="14">
        <f>DATE(YEAR(DT87)+2,MONTH(DT87),DAY(DT87)-1)</f>
        <v>46414</v>
      </c>
      <c r="DV87" s="65">
        <f t="shared" ca="1" si="277"/>
        <v>283</v>
      </c>
      <c r="DW87" s="15" t="str">
        <f t="shared" ca="1" si="278"/>
        <v>VIGENTE</v>
      </c>
      <c r="DX87" s="13">
        <v>45061</v>
      </c>
      <c r="DY87" s="14">
        <v>45663</v>
      </c>
      <c r="DZ87" s="14">
        <f>DATE(YEAR(DY87)+2,MONTH(DY87),DAY(DY87)-1)</f>
        <v>46392</v>
      </c>
      <c r="EA87" s="65">
        <f t="shared" ca="1" si="279"/>
        <v>261</v>
      </c>
      <c r="EB87" s="15" t="str">
        <f t="shared" ca="1" si="280"/>
        <v>VIGENTE</v>
      </c>
      <c r="EC87" s="13">
        <v>45061</v>
      </c>
      <c r="ED87" s="14">
        <v>45674</v>
      </c>
      <c r="EE87" s="14">
        <f>DATE(YEAR(ED87)+2,MONTH(ED87),DAY(ED87)-1)</f>
        <v>46403</v>
      </c>
      <c r="EF87" s="65">
        <f t="shared" ca="1" si="281"/>
        <v>272</v>
      </c>
      <c r="EG87" s="15" t="str">
        <f t="shared" ca="1" si="282"/>
        <v>VIGENTE</v>
      </c>
      <c r="EH87" s="13">
        <v>45048</v>
      </c>
      <c r="EI87" s="13">
        <v>46083</v>
      </c>
      <c r="EJ87" s="13">
        <v>46084</v>
      </c>
      <c r="EK87" s="13">
        <v>46085</v>
      </c>
      <c r="EL87" s="14">
        <f t="shared" si="344"/>
        <v>46450</v>
      </c>
      <c r="EM87" s="65">
        <f t="shared" ca="1" si="283"/>
        <v>319</v>
      </c>
      <c r="EN87" s="15" t="str">
        <f t="shared" ca="1" si="284"/>
        <v>VIGENTE</v>
      </c>
      <c r="EO87" s="13">
        <v>45042</v>
      </c>
      <c r="EP87" s="14">
        <v>45671</v>
      </c>
      <c r="EQ87" s="14">
        <f>DATE(YEAR(EP87)+2,MONTH(EP87),DAY(EP87)-1)</f>
        <v>46400</v>
      </c>
      <c r="ER87" s="65">
        <f t="shared" ca="1" si="285"/>
        <v>269</v>
      </c>
      <c r="ES87" s="15" t="str">
        <f t="shared" ca="1" si="286"/>
        <v>VIGENTE</v>
      </c>
      <c r="ET87" s="13">
        <v>45159</v>
      </c>
      <c r="EU87" s="14">
        <v>45796</v>
      </c>
      <c r="EV87" s="14">
        <f t="shared" si="385"/>
        <v>46526</v>
      </c>
      <c r="EW87" s="65">
        <f t="shared" ca="1" si="287"/>
        <v>395</v>
      </c>
      <c r="EX87" s="15" t="str">
        <f t="shared" ca="1" si="288"/>
        <v>VIGENTE</v>
      </c>
      <c r="EY87" s="13">
        <v>44595</v>
      </c>
      <c r="EZ87" s="14">
        <v>45917</v>
      </c>
      <c r="FA87" s="14">
        <f>DATE(YEAR(EZ87)+2,MONTH(EZ87),DAY(EZ87))</f>
        <v>46647</v>
      </c>
      <c r="FB87" s="65">
        <f t="shared" ca="1" si="289"/>
        <v>516</v>
      </c>
      <c r="FC87" s="15" t="str">
        <f t="shared" ca="1" si="290"/>
        <v>VIGENTE</v>
      </c>
      <c r="FD87" s="13">
        <v>44595</v>
      </c>
      <c r="FE87" s="14">
        <v>45931</v>
      </c>
      <c r="FF87" s="14">
        <f t="shared" si="386"/>
        <v>46661</v>
      </c>
      <c r="FG87" s="65">
        <f t="shared" ca="1" si="291"/>
        <v>530</v>
      </c>
      <c r="FH87" s="15" t="str">
        <f t="shared" ca="1" si="292"/>
        <v>VIGENTE</v>
      </c>
      <c r="FI87" s="13">
        <v>44596</v>
      </c>
      <c r="FJ87" s="14">
        <v>45932</v>
      </c>
      <c r="FK87" s="14">
        <f t="shared" si="387"/>
        <v>46662</v>
      </c>
      <c r="FL87" s="65">
        <f t="shared" ca="1" si="293"/>
        <v>531</v>
      </c>
      <c r="FM87" s="15" t="str">
        <f t="shared" ca="1" si="294"/>
        <v>VIGENTE</v>
      </c>
      <c r="FN87" s="13">
        <v>45091</v>
      </c>
      <c r="FO87" s="14">
        <v>45738</v>
      </c>
      <c r="FP87" s="14">
        <f>DATE(YEAR(FO87)+2,MONTH(FO87),DAY(FO87)-1)</f>
        <v>46467</v>
      </c>
      <c r="FQ87" s="65">
        <f t="shared" ca="1" si="295"/>
        <v>336</v>
      </c>
      <c r="FR87" s="15" t="str">
        <f t="shared" ca="1" si="296"/>
        <v>VIGENTE</v>
      </c>
      <c r="FS87" s="13">
        <v>45078</v>
      </c>
      <c r="FT87" s="14">
        <v>45747</v>
      </c>
      <c r="FU87" s="14">
        <f>DATE(YEAR(FT87)+2,MONTH(FT87),DAY(FT87)-1)</f>
        <v>46476</v>
      </c>
      <c r="FV87" s="65">
        <f t="shared" ca="1" si="297"/>
        <v>345</v>
      </c>
      <c r="FW87" s="15" t="str">
        <f t="shared" ca="1" si="298"/>
        <v>VIGENTE</v>
      </c>
      <c r="FX87" s="13">
        <v>44596</v>
      </c>
      <c r="FY87" s="14">
        <v>45941</v>
      </c>
      <c r="FZ87" s="14">
        <f>DATE(YEAR(FY87)+2,MONTH(FY87),DAY(FY87))</f>
        <v>46671</v>
      </c>
      <c r="GA87" s="65">
        <f t="shared" ca="1" si="299"/>
        <v>540</v>
      </c>
      <c r="GB87" s="15" t="str">
        <f t="shared" ca="1" si="300"/>
        <v>VIGENTE</v>
      </c>
      <c r="GC87" s="13">
        <v>45049</v>
      </c>
      <c r="GD87" s="14">
        <v>45667</v>
      </c>
      <c r="GE87" s="14">
        <f>DATE(YEAR(GD87)+2,MONTH(GD87),DAY(GD87)-1)</f>
        <v>46396</v>
      </c>
      <c r="GF87" s="65">
        <f t="shared" ca="1" si="301"/>
        <v>265</v>
      </c>
      <c r="GG87" s="15" t="str">
        <f t="shared" ca="1" si="302"/>
        <v>VIGENTE</v>
      </c>
      <c r="GH87" s="13">
        <v>45022</v>
      </c>
      <c r="GI87" s="14">
        <v>45672</v>
      </c>
      <c r="GJ87" s="14">
        <f>DATE(YEAR(GI87)+2,MONTH(GI87),DAY(GI87)-1)</f>
        <v>46401</v>
      </c>
      <c r="GK87" s="65">
        <f t="shared" ca="1" si="303"/>
        <v>270</v>
      </c>
      <c r="GL87" s="15" t="str">
        <f t="shared" ca="1" si="304"/>
        <v>VIGENTE</v>
      </c>
      <c r="GM87" s="13">
        <v>45084</v>
      </c>
      <c r="GN87" s="14">
        <v>45764</v>
      </c>
      <c r="GO87" s="14">
        <f>DATE(YEAR(GN87)+2,MONTH(GN87),DAY(GN87))</f>
        <v>46494</v>
      </c>
      <c r="GP87" s="65">
        <f t="shared" ca="1" si="305"/>
        <v>363</v>
      </c>
      <c r="GQ87" s="15" t="str">
        <f t="shared" ca="1" si="306"/>
        <v>VIGENTE</v>
      </c>
      <c r="GR87" s="14"/>
      <c r="GS87" s="14">
        <v>45017</v>
      </c>
      <c r="GT87" s="14">
        <f t="shared" si="307"/>
        <v>46844</v>
      </c>
      <c r="GU87" s="65">
        <f t="shared" ca="1" si="374"/>
        <v>713</v>
      </c>
      <c r="GV87" s="15" t="str">
        <f t="shared" ca="1" si="368"/>
        <v>VIGENTE</v>
      </c>
      <c r="GW87" s="13"/>
      <c r="GX87" s="14">
        <v>44979</v>
      </c>
      <c r="GY87" s="14">
        <f t="shared" si="309"/>
        <v>46805</v>
      </c>
      <c r="GZ87" s="65">
        <f t="shared" ca="1" si="310"/>
        <v>674</v>
      </c>
      <c r="HA87" s="15" t="str">
        <f t="shared" ca="1" si="369"/>
        <v>VIGENTE</v>
      </c>
      <c r="HB87" s="12"/>
      <c r="HC87" s="14">
        <v>45016</v>
      </c>
      <c r="HD87" s="14">
        <f t="shared" si="312"/>
        <v>46843</v>
      </c>
      <c r="HE87" s="65">
        <f t="shared" ca="1" si="313"/>
        <v>712</v>
      </c>
      <c r="HF87" s="15" t="str">
        <f t="shared" ca="1" si="370"/>
        <v>VIGENTE</v>
      </c>
      <c r="HG87" s="16"/>
      <c r="HH87" s="16"/>
      <c r="HI87" s="14"/>
      <c r="HJ87" s="65"/>
      <c r="HK87" s="15" t="str">
        <f t="shared" si="379"/>
        <v>NO APLICA</v>
      </c>
      <c r="HL87" s="12"/>
      <c r="HM87" s="16"/>
      <c r="HN87" s="14"/>
      <c r="HO87" s="65"/>
      <c r="HP87" s="15" t="str">
        <f t="shared" si="375"/>
        <v>NO APLICA</v>
      </c>
      <c r="HQ87" s="12"/>
      <c r="HR87" s="12"/>
      <c r="HS87" s="14"/>
      <c r="HT87" s="12"/>
      <c r="HU87" s="15" t="str">
        <f t="shared" si="315"/>
        <v>NO APLICA</v>
      </c>
      <c r="HV87" s="12"/>
      <c r="HW87" s="16"/>
      <c r="HX87" s="14"/>
      <c r="HY87" s="65"/>
      <c r="HZ87" s="15" t="str">
        <f t="shared" si="316"/>
        <v>NO APLICA</v>
      </c>
      <c r="IA87" s="12"/>
      <c r="IB87" s="16"/>
      <c r="IC87" s="14"/>
      <c r="ID87" s="65"/>
      <c r="IE87" s="15" t="str">
        <f t="shared" si="317"/>
        <v>NO APLICA</v>
      </c>
      <c r="IF87" s="12"/>
      <c r="IG87" s="16"/>
      <c r="IH87" s="14"/>
      <c r="II87" s="65"/>
      <c r="IJ87" s="15" t="str">
        <f t="shared" si="318"/>
        <v>NO APLICA</v>
      </c>
      <c r="IK87" s="16"/>
      <c r="IL87" s="16"/>
      <c r="IM87" s="14"/>
      <c r="IN87" s="65"/>
      <c r="IO87" s="15" t="str">
        <f t="shared" si="319"/>
        <v>NO APLICA</v>
      </c>
      <c r="IP87" s="12"/>
      <c r="IQ87" s="16"/>
      <c r="IR87" s="14"/>
      <c r="IS87" s="65"/>
      <c r="IT87" s="15" t="str">
        <f t="shared" si="320"/>
        <v>NO APLICA</v>
      </c>
      <c r="IU87" s="12"/>
      <c r="IV87" s="16"/>
      <c r="IW87" s="14"/>
      <c r="IX87" s="65"/>
      <c r="IY87" s="15" t="str">
        <f t="shared" si="321"/>
        <v>NO APLICA</v>
      </c>
      <c r="IZ87" s="12"/>
      <c r="JA87" s="16"/>
      <c r="JB87" s="14"/>
      <c r="JC87" s="65"/>
      <c r="JD87" s="15" t="str">
        <f t="shared" si="322"/>
        <v>NO APLICA</v>
      </c>
      <c r="JE87" s="13"/>
      <c r="JF87" s="13"/>
      <c r="JG87" s="14"/>
      <c r="JH87" s="65"/>
      <c r="JI87" s="15" t="str">
        <f t="shared" si="323"/>
        <v>NO APLICA</v>
      </c>
      <c r="JJ87" s="16"/>
      <c r="JK87" s="16"/>
      <c r="JL87" s="16"/>
      <c r="JM87" s="15" t="str">
        <f t="shared" si="324"/>
        <v>NO APLICA</v>
      </c>
      <c r="JN87" s="16"/>
      <c r="JO87" s="16"/>
      <c r="JP87" s="16"/>
      <c r="JQ87" s="15" t="str">
        <f t="shared" si="325"/>
        <v>NO APLICA</v>
      </c>
      <c r="JR87" s="16"/>
      <c r="JS87" s="16"/>
      <c r="JT87" s="16"/>
      <c r="JU87" s="16"/>
      <c r="JV87" s="15" t="str">
        <f t="shared" si="326"/>
        <v>NO APLICA</v>
      </c>
      <c r="JW87" s="15"/>
      <c r="JX87" s="15"/>
      <c r="JY87" s="15"/>
      <c r="JZ87" s="15"/>
      <c r="KA87" s="15" t="str">
        <f t="shared" si="327"/>
        <v>NO APLICA</v>
      </c>
      <c r="KB87" s="12"/>
      <c r="KC87" s="14"/>
      <c r="KD87" s="65"/>
      <c r="KE87" s="15" t="str">
        <f t="shared" si="328"/>
        <v>NO APLICA</v>
      </c>
      <c r="KF87" s="12"/>
      <c r="KG87" s="14"/>
      <c r="KH87" s="65"/>
      <c r="KI87" s="15" t="str">
        <f t="shared" si="345"/>
        <v>NO APLICA</v>
      </c>
      <c r="KJ87" s="12"/>
      <c r="KK87" s="14"/>
      <c r="KL87" s="65"/>
      <c r="KM87" s="15" t="str">
        <f t="shared" si="329"/>
        <v>NO APLICA</v>
      </c>
      <c r="KN87" s="12"/>
      <c r="KO87" s="14"/>
      <c r="KP87" s="65"/>
      <c r="KQ87" s="15" t="str">
        <f t="shared" si="346"/>
        <v>NO APLICA</v>
      </c>
      <c r="KR87" s="12"/>
      <c r="KS87" s="16"/>
      <c r="KT87" s="14"/>
      <c r="KU87" s="65"/>
      <c r="KV87" s="15" t="str">
        <f t="shared" si="355"/>
        <v>NO APLICA</v>
      </c>
      <c r="KW87" s="16"/>
      <c r="KX87" s="14"/>
      <c r="KY87" s="65"/>
      <c r="KZ87" s="15" t="str">
        <f t="shared" si="347"/>
        <v>NO APLICA</v>
      </c>
      <c r="LA87" s="16"/>
      <c r="LB87" s="16"/>
      <c r="LC87" s="14"/>
      <c r="LD87" s="65"/>
      <c r="LE87" s="15" t="str">
        <f t="shared" si="330"/>
        <v>NO APLICA</v>
      </c>
      <c r="LF87" s="15"/>
      <c r="LG87" s="15"/>
      <c r="LH87" s="15"/>
      <c r="LI87" s="15"/>
      <c r="LJ87" s="15" t="str">
        <f t="shared" si="356"/>
        <v>NO APLICA</v>
      </c>
      <c r="LK87" s="12"/>
      <c r="LL87" s="16"/>
      <c r="LM87" s="14"/>
      <c r="LN87" s="65"/>
      <c r="LO87" s="15" t="str">
        <f t="shared" si="348"/>
        <v>NO APLICA</v>
      </c>
      <c r="LP87" s="16"/>
      <c r="LQ87" s="16"/>
      <c r="LR87" s="14"/>
      <c r="LS87" s="65"/>
      <c r="LT87" s="15" t="str">
        <f t="shared" si="349"/>
        <v>NO APLICA</v>
      </c>
      <c r="LU87" s="16"/>
      <c r="LV87" s="16"/>
      <c r="LW87" s="14"/>
      <c r="LX87" s="65"/>
      <c r="LY87" s="15" t="str">
        <f t="shared" si="350"/>
        <v>NO APLICA</v>
      </c>
      <c r="LZ87" s="12"/>
      <c r="MA87" s="12"/>
      <c r="MB87" s="14"/>
      <c r="MC87" s="65"/>
      <c r="MD87" s="15" t="str">
        <f t="shared" si="331"/>
        <v>NO APLICA</v>
      </c>
      <c r="ME87" s="12"/>
      <c r="MF87" s="12"/>
      <c r="MG87" s="14"/>
      <c r="MH87" s="65"/>
      <c r="MI87" s="15" t="str">
        <f t="shared" si="332"/>
        <v>NO APLICA</v>
      </c>
      <c r="MJ87" s="12"/>
      <c r="MK87" s="14"/>
      <c r="ML87" s="65"/>
      <c r="MM87" s="15" t="str">
        <f t="shared" si="333"/>
        <v>NO APLICA</v>
      </c>
      <c r="MN87" s="12"/>
      <c r="MO87" s="14"/>
      <c r="MP87" s="12"/>
      <c r="MQ87" s="15" t="str">
        <f t="shared" si="334"/>
        <v>NO APLICA</v>
      </c>
      <c r="MR87" s="12"/>
      <c r="MS87" s="16"/>
      <c r="MT87" s="14"/>
      <c r="MU87" s="65"/>
      <c r="MV87" s="15" t="str">
        <f t="shared" si="335"/>
        <v>NO APLICA</v>
      </c>
      <c r="MW87" s="12"/>
      <c r="MX87" s="16"/>
      <c r="MY87" s="14"/>
      <c r="MZ87" s="65"/>
      <c r="NA87" s="15" t="str">
        <f t="shared" si="336"/>
        <v>NO APLICA</v>
      </c>
      <c r="NB87" s="12"/>
      <c r="NC87" s="16"/>
      <c r="ND87" s="14"/>
      <c r="NE87" s="65"/>
      <c r="NF87" s="15" t="str">
        <f t="shared" si="337"/>
        <v>NO APLICA</v>
      </c>
      <c r="NG87" s="12"/>
      <c r="NH87" s="12"/>
      <c r="NI87" s="14"/>
      <c r="NJ87" s="12"/>
      <c r="NK87" s="15" t="str">
        <f t="shared" si="338"/>
        <v>NO APLICA</v>
      </c>
      <c r="NL87" s="12"/>
      <c r="NM87" s="12"/>
      <c r="NN87" s="14"/>
      <c r="NO87" s="12"/>
      <c r="NP87" s="15" t="str">
        <f t="shared" si="339"/>
        <v>NO APLICA</v>
      </c>
      <c r="NQ87" s="16"/>
      <c r="NR87" s="16"/>
      <c r="NS87" s="14"/>
      <c r="NT87" s="65"/>
      <c r="NU87" s="15" t="str">
        <f t="shared" si="340"/>
        <v>NO APLICA</v>
      </c>
      <c r="NV87" s="16"/>
      <c r="NW87" s="16"/>
      <c r="NX87" s="16"/>
      <c r="NY87" s="16"/>
      <c r="NZ87" s="15" t="str">
        <f t="shared" si="341"/>
        <v>NO APLICA</v>
      </c>
    </row>
    <row r="88" spans="1:390" ht="15.6" thickTop="1" thickBot="1" x14ac:dyDescent="0.35">
      <c r="A88" s="11">
        <v>8</v>
      </c>
      <c r="B88" s="10" t="s">
        <v>364</v>
      </c>
      <c r="C88" s="21" t="s">
        <v>104</v>
      </c>
      <c r="D88" s="64" t="s">
        <v>365</v>
      </c>
      <c r="E88" s="16"/>
      <c r="F88" s="16"/>
      <c r="G88" s="16"/>
      <c r="H88" s="65"/>
      <c r="I88" s="15" t="str">
        <f t="shared" si="235"/>
        <v>NO APLICA</v>
      </c>
      <c r="J88" s="16"/>
      <c r="K88" s="16"/>
      <c r="L88" s="16"/>
      <c r="M88" s="65"/>
      <c r="N88" s="15" t="str">
        <f t="shared" si="236"/>
        <v>NO APLICA</v>
      </c>
      <c r="O88" s="16"/>
      <c r="P88" s="16"/>
      <c r="Q88" s="14"/>
      <c r="R88" s="65"/>
      <c r="S88" s="15" t="str">
        <f t="shared" si="342"/>
        <v>NO APLICA</v>
      </c>
      <c r="T88" s="12" t="s">
        <v>366</v>
      </c>
      <c r="U88" s="14">
        <v>45425</v>
      </c>
      <c r="V88" s="14">
        <v>45426</v>
      </c>
      <c r="W88" s="14">
        <f t="shared" si="237"/>
        <v>47252</v>
      </c>
      <c r="X88" s="65">
        <f t="shared" ca="1" si="238"/>
        <v>1121</v>
      </c>
      <c r="Y88" s="15" t="str">
        <f t="shared" ca="1" si="239"/>
        <v>VIGENTE</v>
      </c>
      <c r="Z88" s="12" t="s">
        <v>367</v>
      </c>
      <c r="AA88" s="14">
        <v>44827</v>
      </c>
      <c r="AB88" s="14">
        <v>44828</v>
      </c>
      <c r="AC88" s="14">
        <f>DATE(YEAR(AB88)+5,MONTH(AB88),DAY(AB88))</f>
        <v>46654</v>
      </c>
      <c r="AD88" s="65">
        <f ca="1">AC88-TODAY()</f>
        <v>523</v>
      </c>
      <c r="AE88" s="15" t="str">
        <f t="shared" ca="1" si="367"/>
        <v>VIGENTE</v>
      </c>
      <c r="AF88" s="14">
        <v>45243</v>
      </c>
      <c r="AG88" s="14">
        <v>45902</v>
      </c>
      <c r="AH88" s="14">
        <f>DATE(YEAR(AG88)+2,MONTH(AG88),DAY(AG88))</f>
        <v>46632</v>
      </c>
      <c r="AI88" s="65">
        <f t="shared" ca="1" si="241"/>
        <v>501</v>
      </c>
      <c r="AJ88" s="15" t="str">
        <f t="shared" ca="1" si="213"/>
        <v>VIGENTE</v>
      </c>
      <c r="AK88" s="14">
        <v>45269</v>
      </c>
      <c r="AL88" s="14">
        <v>45926</v>
      </c>
      <c r="AM88" s="14">
        <f t="shared" si="380"/>
        <v>46656</v>
      </c>
      <c r="AN88" s="65">
        <f t="shared" ca="1" si="242"/>
        <v>525</v>
      </c>
      <c r="AO88" s="15" t="str">
        <f t="shared" ca="1" si="243"/>
        <v>VIGENTE</v>
      </c>
      <c r="AP88" s="14">
        <v>44578</v>
      </c>
      <c r="AQ88" s="14">
        <v>45904</v>
      </c>
      <c r="AR88" s="14">
        <f t="shared" si="381"/>
        <v>46634</v>
      </c>
      <c r="AS88" s="65">
        <f t="shared" ca="1" si="244"/>
        <v>503</v>
      </c>
      <c r="AT88" s="15" t="str">
        <f t="shared" ca="1" si="245"/>
        <v>VIGENTE</v>
      </c>
      <c r="AU88" s="14">
        <v>45227</v>
      </c>
      <c r="AV88" s="14">
        <v>45906</v>
      </c>
      <c r="AW88" s="14">
        <f t="shared" si="382"/>
        <v>46636</v>
      </c>
      <c r="AX88" s="65">
        <f t="shared" ca="1" si="246"/>
        <v>505</v>
      </c>
      <c r="AY88" s="15" t="str">
        <f t="shared" ca="1" si="247"/>
        <v>VIGENTE</v>
      </c>
      <c r="AZ88" s="14">
        <v>44585</v>
      </c>
      <c r="BA88" s="14">
        <v>45943</v>
      </c>
      <c r="BB88" s="14">
        <f>DATE(YEAR(BA88)+2,MONTH(BA88),DAY(BA88))</f>
        <v>46673</v>
      </c>
      <c r="BC88" s="65">
        <f t="shared" ca="1" si="248"/>
        <v>542</v>
      </c>
      <c r="BD88" s="15" t="str">
        <f t="shared" ca="1" si="249"/>
        <v>VIGENTE</v>
      </c>
      <c r="BE88" s="14">
        <v>45302</v>
      </c>
      <c r="BF88" s="14">
        <v>45968</v>
      </c>
      <c r="BG88" s="14">
        <f t="shared" ref="BG88:BG96" si="388">DATE(YEAR(BF88)+2,MONTH(BF88),DAY(BF88))</f>
        <v>46698</v>
      </c>
      <c r="BH88" s="65">
        <f t="shared" ca="1" si="250"/>
        <v>567</v>
      </c>
      <c r="BI88" s="15" t="str">
        <f t="shared" ca="1" si="251"/>
        <v>VIGENTE</v>
      </c>
      <c r="BJ88" s="14">
        <v>45389</v>
      </c>
      <c r="BK88" s="14">
        <v>46035</v>
      </c>
      <c r="BL88" s="14">
        <f>DATE(YEAR(BK88)+2,MONTH(BK88),DAY(BK88))</f>
        <v>46765</v>
      </c>
      <c r="BM88" s="65">
        <f t="shared" ca="1" si="252"/>
        <v>634</v>
      </c>
      <c r="BN88" s="15" t="str">
        <f t="shared" ca="1" si="253"/>
        <v>VIGENTE</v>
      </c>
      <c r="BO88" s="14">
        <v>45308</v>
      </c>
      <c r="BP88" s="14">
        <v>45981</v>
      </c>
      <c r="BQ88" s="14">
        <f>DATE(YEAR(BP88)+2,MONTH(BP88),DAY(BP88))</f>
        <v>46711</v>
      </c>
      <c r="BR88" s="65">
        <f t="shared" ca="1" si="254"/>
        <v>580</v>
      </c>
      <c r="BS88" s="15" t="str">
        <f t="shared" ca="1" si="255"/>
        <v>VIGENTE</v>
      </c>
      <c r="BT88" s="14">
        <v>44575</v>
      </c>
      <c r="BU88" s="14">
        <v>45950</v>
      </c>
      <c r="BV88" s="14">
        <f>DATE(YEAR(BU88)+2,MONTH(BU88),DAY(BU88))</f>
        <v>46680</v>
      </c>
      <c r="BW88" s="65">
        <f t="shared" ca="1" si="256"/>
        <v>549</v>
      </c>
      <c r="BX88" s="15" t="str">
        <f t="shared" ca="1" si="257"/>
        <v>VIGENTE</v>
      </c>
      <c r="BY88" s="14">
        <v>44569</v>
      </c>
      <c r="BZ88" s="14">
        <v>45944</v>
      </c>
      <c r="CA88" s="14">
        <f t="shared" si="383"/>
        <v>46674</v>
      </c>
      <c r="CB88" s="65">
        <f t="shared" ca="1" si="258"/>
        <v>543</v>
      </c>
      <c r="CC88" s="15" t="str">
        <f t="shared" ca="1" si="259"/>
        <v>VIGENTE</v>
      </c>
      <c r="CD88" s="16" t="s">
        <v>368</v>
      </c>
      <c r="CE88" s="14">
        <v>44900</v>
      </c>
      <c r="CF88" s="14">
        <v>44901</v>
      </c>
      <c r="CG88" s="14">
        <f t="shared" si="377"/>
        <v>46362</v>
      </c>
      <c r="CH88" s="65">
        <f t="shared" ca="1" si="378"/>
        <v>231</v>
      </c>
      <c r="CI88" s="15" t="str">
        <f t="shared" ca="1" si="262"/>
        <v>VIGENTE</v>
      </c>
      <c r="CJ88" s="14">
        <v>44588</v>
      </c>
      <c r="CK88" s="14">
        <v>45929</v>
      </c>
      <c r="CL88" s="14">
        <f>DATE(YEAR(CK88)+2,MONTH(CK88),DAY(CK88))</f>
        <v>46659</v>
      </c>
      <c r="CM88" s="65">
        <f t="shared" ca="1" si="263"/>
        <v>528</v>
      </c>
      <c r="CN88" s="15" t="str">
        <f t="shared" ca="1" si="264"/>
        <v>VIGENTE</v>
      </c>
      <c r="CO88" s="14">
        <v>45301</v>
      </c>
      <c r="CP88" s="14">
        <v>45979</v>
      </c>
      <c r="CQ88" s="14">
        <f>DATE(YEAR(CP88)+2,MONTH(CP88),DAY(CP88))</f>
        <v>46709</v>
      </c>
      <c r="CR88" s="65">
        <f t="shared" ca="1" si="265"/>
        <v>578</v>
      </c>
      <c r="CS88" s="15" t="str">
        <f t="shared" ca="1" si="266"/>
        <v>VIGENTE</v>
      </c>
      <c r="CT88" s="14">
        <v>44569</v>
      </c>
      <c r="CU88" s="14">
        <v>45939</v>
      </c>
      <c r="CV88" s="14">
        <f>DATE(YEAR(CU88)+2,MONTH(CU88),DAY(CU88))</f>
        <v>46669</v>
      </c>
      <c r="CW88" s="65">
        <f t="shared" ca="1" si="267"/>
        <v>538</v>
      </c>
      <c r="CX88" s="15" t="str">
        <f t="shared" ca="1" si="268"/>
        <v>VIGENTE</v>
      </c>
      <c r="CY88" s="14">
        <v>44571</v>
      </c>
      <c r="CZ88" s="14">
        <v>45924</v>
      </c>
      <c r="DA88" s="14">
        <f>DATE(YEAR(CZ88)+2,MONTH(CZ88),DAY(CZ88))</f>
        <v>46654</v>
      </c>
      <c r="DB88" s="65">
        <f t="shared" ca="1" si="269"/>
        <v>523</v>
      </c>
      <c r="DC88" s="15" t="str">
        <f t="shared" ca="1" si="270"/>
        <v>VIGENTE</v>
      </c>
      <c r="DD88" s="14">
        <v>44909</v>
      </c>
      <c r="DE88" s="14">
        <v>45535</v>
      </c>
      <c r="DF88" s="14">
        <f t="shared" si="376"/>
        <v>46264</v>
      </c>
      <c r="DG88" s="65">
        <f t="shared" ca="1" si="271"/>
        <v>133</v>
      </c>
      <c r="DH88" s="15" t="str">
        <f t="shared" ca="1" si="272"/>
        <v>VIGENTE</v>
      </c>
      <c r="DI88" s="14">
        <v>45296</v>
      </c>
      <c r="DJ88" s="14">
        <v>45955</v>
      </c>
      <c r="DK88" s="14">
        <f t="shared" si="384"/>
        <v>46685</v>
      </c>
      <c r="DL88" s="65">
        <f t="shared" ca="1" si="273"/>
        <v>554</v>
      </c>
      <c r="DM88" s="15" t="str">
        <f t="shared" ca="1" si="274"/>
        <v>VIGENTE</v>
      </c>
      <c r="DN88" s="14">
        <v>44918</v>
      </c>
      <c r="DO88" s="14">
        <v>45577</v>
      </c>
      <c r="DP88" s="14">
        <f>DATE(YEAR(DO88)+2,MONTH(DO88),DAY(DO88)-1)</f>
        <v>46306</v>
      </c>
      <c r="DQ88" s="65">
        <f t="shared" ca="1" si="275"/>
        <v>175</v>
      </c>
      <c r="DR88" s="15" t="str">
        <f t="shared" ca="1" si="276"/>
        <v>VIGENTE</v>
      </c>
      <c r="DS88" s="14">
        <v>45250</v>
      </c>
      <c r="DT88" s="14">
        <v>45918</v>
      </c>
      <c r="DU88" s="14">
        <f>DATE(YEAR(DT88)+2,MONTH(DT88),DAY(DT88))</f>
        <v>46648</v>
      </c>
      <c r="DV88" s="65">
        <f t="shared" ca="1" si="277"/>
        <v>517</v>
      </c>
      <c r="DW88" s="15" t="str">
        <f t="shared" ca="1" si="278"/>
        <v>VIGENTE</v>
      </c>
      <c r="DX88" s="14">
        <v>45274</v>
      </c>
      <c r="DY88" s="14">
        <v>45934</v>
      </c>
      <c r="DZ88" s="14">
        <f>DATE(YEAR(DY88)+2,MONTH(DY88),DAY(DY88))</f>
        <v>46664</v>
      </c>
      <c r="EA88" s="65">
        <f t="shared" ca="1" si="279"/>
        <v>533</v>
      </c>
      <c r="EB88" s="15" t="str">
        <f t="shared" ca="1" si="280"/>
        <v>VIGENTE</v>
      </c>
      <c r="EC88" s="14">
        <v>45265</v>
      </c>
      <c r="ED88" s="14">
        <v>45938</v>
      </c>
      <c r="EE88" s="14">
        <f>DATE(YEAR(ED88)+2,MONTH(ED88),DAY(ED88))</f>
        <v>46668</v>
      </c>
      <c r="EF88" s="65">
        <f t="shared" ca="1" si="281"/>
        <v>537</v>
      </c>
      <c r="EG88" s="15" t="str">
        <f t="shared" ca="1" si="282"/>
        <v>VIGENTE</v>
      </c>
      <c r="EH88" s="14">
        <v>45253</v>
      </c>
      <c r="EI88" s="14">
        <v>45810</v>
      </c>
      <c r="EJ88" s="14">
        <v>45811</v>
      </c>
      <c r="EK88" s="14">
        <v>45812</v>
      </c>
      <c r="EL88" s="14">
        <f t="shared" si="344"/>
        <v>46177</v>
      </c>
      <c r="EM88" s="65">
        <f t="shared" ca="1" si="283"/>
        <v>46</v>
      </c>
      <c r="EN88" s="15" t="str">
        <f t="shared" ca="1" si="284"/>
        <v>POR VENCER</v>
      </c>
      <c r="EO88" s="14">
        <v>44573</v>
      </c>
      <c r="EP88" s="14">
        <v>45940</v>
      </c>
      <c r="EQ88" s="14">
        <f>DATE(YEAR(EP88)+2,MONTH(EP88),DAY(EP88))</f>
        <v>46670</v>
      </c>
      <c r="ER88" s="65">
        <f t="shared" ca="1" si="285"/>
        <v>539</v>
      </c>
      <c r="ES88" s="15" t="str">
        <f t="shared" ca="1" si="286"/>
        <v>VIGENTE</v>
      </c>
      <c r="ET88" s="14">
        <v>44573</v>
      </c>
      <c r="EU88" s="14">
        <v>45922</v>
      </c>
      <c r="EV88" s="14">
        <f t="shared" si="385"/>
        <v>46652</v>
      </c>
      <c r="EW88" s="65">
        <f t="shared" ca="1" si="287"/>
        <v>521</v>
      </c>
      <c r="EX88" s="15" t="str">
        <f t="shared" ca="1" si="288"/>
        <v>VIGENTE</v>
      </c>
      <c r="EY88" s="14">
        <v>44574</v>
      </c>
      <c r="EZ88" s="14">
        <v>45953</v>
      </c>
      <c r="FA88" s="14">
        <f>DATE(YEAR(EZ88)+2,MONTH(EZ88),DAY(EZ88))</f>
        <v>46683</v>
      </c>
      <c r="FB88" s="65">
        <f t="shared" ca="1" si="289"/>
        <v>552</v>
      </c>
      <c r="FC88" s="15" t="str">
        <f t="shared" ca="1" si="290"/>
        <v>VIGENTE</v>
      </c>
      <c r="FD88" s="14">
        <v>45280</v>
      </c>
      <c r="FE88" s="14">
        <v>45931</v>
      </c>
      <c r="FF88" s="14">
        <f t="shared" si="386"/>
        <v>46661</v>
      </c>
      <c r="FG88" s="65">
        <f t="shared" ca="1" si="291"/>
        <v>530</v>
      </c>
      <c r="FH88" s="15" t="str">
        <f t="shared" ca="1" si="292"/>
        <v>VIGENTE</v>
      </c>
      <c r="FI88" s="14">
        <v>45282</v>
      </c>
      <c r="FJ88" s="14">
        <v>45932</v>
      </c>
      <c r="FK88" s="14">
        <f t="shared" si="387"/>
        <v>46662</v>
      </c>
      <c r="FL88" s="65">
        <f t="shared" ca="1" si="293"/>
        <v>531</v>
      </c>
      <c r="FM88" s="15" t="str">
        <f t="shared" ca="1" si="294"/>
        <v>VIGENTE</v>
      </c>
      <c r="FN88" s="14">
        <v>44567</v>
      </c>
      <c r="FO88" s="14">
        <v>45933</v>
      </c>
      <c r="FP88" s="14">
        <f>DATE(YEAR(FO88)+2,MONTH(FO88),DAY(FO88))</f>
        <v>46663</v>
      </c>
      <c r="FQ88" s="65">
        <f t="shared" ca="1" si="295"/>
        <v>532</v>
      </c>
      <c r="FR88" s="15" t="str">
        <f t="shared" ca="1" si="296"/>
        <v>VIGENTE</v>
      </c>
      <c r="FS88" s="14">
        <v>44925</v>
      </c>
      <c r="FT88" s="14">
        <v>45586</v>
      </c>
      <c r="FU88" s="14">
        <f>DATE(YEAR(FT88)+2,MONTH(FT88),DAY(FT88)-1)</f>
        <v>46315</v>
      </c>
      <c r="FV88" s="65">
        <f t="shared" ca="1" si="297"/>
        <v>184</v>
      </c>
      <c r="FW88" s="15" t="str">
        <f t="shared" ca="1" si="298"/>
        <v>VIGENTE</v>
      </c>
      <c r="FX88" s="14">
        <v>44571</v>
      </c>
      <c r="FY88" s="14">
        <v>45941</v>
      </c>
      <c r="FZ88" s="14">
        <f>DATE(YEAR(FY88)+2,MONTH(FY88),DAY(FY88))</f>
        <v>46671</v>
      </c>
      <c r="GA88" s="65">
        <f t="shared" ca="1" si="299"/>
        <v>540</v>
      </c>
      <c r="GB88" s="15" t="str">
        <f t="shared" ca="1" si="300"/>
        <v>VIGENTE</v>
      </c>
      <c r="GC88" s="14">
        <v>44922</v>
      </c>
      <c r="GD88" s="14">
        <v>45595</v>
      </c>
      <c r="GE88" s="14">
        <f>DATE(YEAR(GD88)+2,MONTH(GD88),DAY(GD88)-1)</f>
        <v>46324</v>
      </c>
      <c r="GF88" s="65">
        <f t="shared" ca="1" si="301"/>
        <v>193</v>
      </c>
      <c r="GG88" s="15" t="str">
        <f t="shared" ca="1" si="302"/>
        <v>VIGENTE</v>
      </c>
      <c r="GH88" s="14">
        <v>45270</v>
      </c>
      <c r="GI88" s="14">
        <v>45960</v>
      </c>
      <c r="GJ88" s="14">
        <f>DATE(YEAR(GI88)+2,MONTH(GI88),DAY(GI88))</f>
        <v>46690</v>
      </c>
      <c r="GK88" s="65">
        <f t="shared" ca="1" si="303"/>
        <v>559</v>
      </c>
      <c r="GL88" s="15" t="str">
        <f t="shared" ca="1" si="304"/>
        <v>VIGENTE</v>
      </c>
      <c r="GM88" s="14">
        <v>44945</v>
      </c>
      <c r="GN88" s="14">
        <v>45608</v>
      </c>
      <c r="GO88" s="14">
        <f>DATE(YEAR(GN88)+2,MONTH(GN88),DAY(GN88)-1)</f>
        <v>46337</v>
      </c>
      <c r="GP88" s="65">
        <f t="shared" ca="1" si="305"/>
        <v>206</v>
      </c>
      <c r="GQ88" s="15" t="str">
        <f t="shared" ca="1" si="306"/>
        <v>VIGENTE</v>
      </c>
      <c r="GR88" s="14">
        <v>44634</v>
      </c>
      <c r="GS88" s="14">
        <v>45299</v>
      </c>
      <c r="GT88" s="14">
        <f t="shared" si="307"/>
        <v>47126</v>
      </c>
      <c r="GU88" s="65">
        <f t="shared" ca="1" si="374"/>
        <v>995</v>
      </c>
      <c r="GV88" s="15" t="str">
        <f t="shared" ca="1" si="368"/>
        <v>VIGENTE</v>
      </c>
      <c r="GW88" s="14">
        <v>44636</v>
      </c>
      <c r="GX88" s="14">
        <v>45329</v>
      </c>
      <c r="GY88" s="14">
        <f t="shared" si="309"/>
        <v>47156</v>
      </c>
      <c r="GZ88" s="65">
        <f t="shared" ca="1" si="310"/>
        <v>1025</v>
      </c>
      <c r="HA88" s="15" t="str">
        <f t="shared" ca="1" si="369"/>
        <v>VIGENTE</v>
      </c>
      <c r="HB88" s="14">
        <v>44635</v>
      </c>
      <c r="HC88" s="14">
        <v>45294</v>
      </c>
      <c r="HD88" s="14">
        <f t="shared" si="312"/>
        <v>47121</v>
      </c>
      <c r="HE88" s="65">
        <f t="shared" ca="1" si="313"/>
        <v>990</v>
      </c>
      <c r="HF88" s="15" t="str">
        <f t="shared" ca="1" si="370"/>
        <v>VIGENTE</v>
      </c>
      <c r="HG88" s="16"/>
      <c r="HH88" s="14">
        <v>44879</v>
      </c>
      <c r="HI88" s="14">
        <f>DATE(YEAR(HH88)+5,MONTH(HH88),DAY(HH88))</f>
        <v>46705</v>
      </c>
      <c r="HJ88" s="65">
        <f ca="1">HI88-TODAY()</f>
        <v>574</v>
      </c>
      <c r="HK88" s="15" t="str">
        <f t="shared" ca="1" si="379"/>
        <v>VIGENTE</v>
      </c>
      <c r="HL88" s="16"/>
      <c r="HM88" s="16"/>
      <c r="HN88" s="14"/>
      <c r="HO88" s="65"/>
      <c r="HP88" s="15" t="str">
        <f t="shared" si="375"/>
        <v>NO APLICA</v>
      </c>
      <c r="HQ88" s="12"/>
      <c r="HR88" s="15"/>
      <c r="HS88" s="15"/>
      <c r="HT88" s="15"/>
      <c r="HU88" s="15" t="str">
        <f t="shared" si="315"/>
        <v>NO APLICA</v>
      </c>
      <c r="HV88" s="16"/>
      <c r="HW88" s="14">
        <v>44923</v>
      </c>
      <c r="HX88" s="14">
        <f>DATE(YEAR(HW88)+5,MONTH(HW88),DAY(HW88))</f>
        <v>46749</v>
      </c>
      <c r="HY88" s="65">
        <f ca="1">HX88-TODAY()</f>
        <v>618</v>
      </c>
      <c r="HZ88" s="15" t="str">
        <f t="shared" ca="1" si="316"/>
        <v>VIGENTE</v>
      </c>
      <c r="IA88" s="16"/>
      <c r="IB88" s="14">
        <v>44978</v>
      </c>
      <c r="IC88" s="14">
        <f>DATE(YEAR(IB88)+5,MONTH(IB88),DAY(IB88))</f>
        <v>46804</v>
      </c>
      <c r="ID88" s="65">
        <f ca="1">IC88-TODAY()</f>
        <v>673</v>
      </c>
      <c r="IE88" s="15" t="str">
        <f t="shared" ca="1" si="317"/>
        <v>VIGENTE</v>
      </c>
      <c r="IF88" s="16"/>
      <c r="IG88" s="14">
        <v>44972</v>
      </c>
      <c r="IH88" s="14">
        <f>DATE(YEAR(IG88)+5,MONTH(IG88),DAY(IG88))</f>
        <v>46798</v>
      </c>
      <c r="II88" s="65">
        <f ca="1">IH88-TODAY()</f>
        <v>667</v>
      </c>
      <c r="IJ88" s="15" t="str">
        <f t="shared" ca="1" si="318"/>
        <v>VIGENTE</v>
      </c>
      <c r="IK88" s="16"/>
      <c r="IL88" s="14">
        <v>45009</v>
      </c>
      <c r="IM88" s="14">
        <f>DATE(YEAR(IL88)+5,MONTH(IL88),DAY(IL88))</f>
        <v>46836</v>
      </c>
      <c r="IN88" s="65">
        <f ca="1">IM88-TODAY()</f>
        <v>705</v>
      </c>
      <c r="IO88" s="15" t="str">
        <f t="shared" ca="1" si="319"/>
        <v>VIGENTE</v>
      </c>
      <c r="IP88" s="16"/>
      <c r="IQ88" s="14">
        <v>44893</v>
      </c>
      <c r="IR88" s="14">
        <f>DATE(YEAR(IQ88)+5,MONTH(IQ88),DAY(IQ88))</f>
        <v>46719</v>
      </c>
      <c r="IS88" s="65">
        <f ca="1">IR88-TODAY()</f>
        <v>588</v>
      </c>
      <c r="IT88" s="15" t="str">
        <f t="shared" ca="1" si="320"/>
        <v>VIGENTE</v>
      </c>
      <c r="IU88" s="16"/>
      <c r="IV88" s="14">
        <v>45013</v>
      </c>
      <c r="IW88" s="14">
        <f>DATE(YEAR(IV88)+5,MONTH(IV88),DAY(IV88))</f>
        <v>46840</v>
      </c>
      <c r="IX88" s="65">
        <f ca="1">IW88-TODAY()</f>
        <v>709</v>
      </c>
      <c r="IY88" s="15" t="str">
        <f t="shared" ca="1" si="321"/>
        <v>VIGENTE</v>
      </c>
      <c r="IZ88" s="16"/>
      <c r="JA88" s="14">
        <v>44973</v>
      </c>
      <c r="JB88" s="14">
        <f>DATE(YEAR(JA88)+5,MONTH(JA88),DAY(JA88))</f>
        <v>46799</v>
      </c>
      <c r="JC88" s="65">
        <f ca="1">JB88-TODAY()</f>
        <v>668</v>
      </c>
      <c r="JD88" s="15" t="str">
        <f t="shared" ca="1" si="322"/>
        <v>VIGENTE</v>
      </c>
      <c r="JE88" s="13">
        <v>44741</v>
      </c>
      <c r="JF88" s="13">
        <v>44742</v>
      </c>
      <c r="JG88" s="14">
        <f>DATE(YEAR(JF88)+5,MONTH(JF88),DAY(JF88))</f>
        <v>46568</v>
      </c>
      <c r="JH88" s="65">
        <f ca="1">JG88-TODAY()</f>
        <v>437</v>
      </c>
      <c r="JI88" s="15" t="str">
        <f t="shared" ca="1" si="323"/>
        <v>VIGENTE</v>
      </c>
      <c r="JJ88" s="13">
        <v>44623</v>
      </c>
      <c r="JK88" s="14">
        <f>DATE(YEAR(JJ88)+5,MONTH(JJ88),DAY(JJ88))</f>
        <v>46449</v>
      </c>
      <c r="JL88" s="65">
        <f ca="1">JK88-TODAY()</f>
        <v>318</v>
      </c>
      <c r="JM88" s="15" t="str">
        <f t="shared" ca="1" si="324"/>
        <v>VIGENTE</v>
      </c>
      <c r="JN88" s="13"/>
      <c r="JO88" s="14"/>
      <c r="JP88" s="65"/>
      <c r="JQ88" s="15" t="str">
        <f t="shared" si="325"/>
        <v>NO APLICA</v>
      </c>
      <c r="JR88" s="13">
        <v>44579</v>
      </c>
      <c r="JS88" s="13">
        <v>44580</v>
      </c>
      <c r="JT88" s="14">
        <f>DATE(YEAR(JS88)+5,MONTH(JS88),DAY(JS88))</f>
        <v>46406</v>
      </c>
      <c r="JU88" s="65">
        <f ca="1">JT88-TODAY()</f>
        <v>275</v>
      </c>
      <c r="JV88" s="15" t="str">
        <f t="shared" ca="1" si="326"/>
        <v>VIGENTE</v>
      </c>
      <c r="JW88" s="15"/>
      <c r="JX88" s="15"/>
      <c r="JY88" s="15"/>
      <c r="JZ88" s="15"/>
      <c r="KA88" s="15" t="str">
        <f t="shared" si="327"/>
        <v>NO APLICA</v>
      </c>
      <c r="KB88" s="15"/>
      <c r="KC88" s="14"/>
      <c r="KD88" s="65"/>
      <c r="KE88" s="15" t="str">
        <f t="shared" si="328"/>
        <v>NO APLICA</v>
      </c>
      <c r="KF88" s="15"/>
      <c r="KG88" s="14"/>
      <c r="KH88" s="65"/>
      <c r="KI88" s="15" t="str">
        <f t="shared" si="345"/>
        <v>NO APLICA</v>
      </c>
      <c r="KJ88" s="15"/>
      <c r="KK88" s="14"/>
      <c r="KL88" s="65"/>
      <c r="KM88" s="15" t="str">
        <f t="shared" si="329"/>
        <v>NO APLICA</v>
      </c>
      <c r="KN88" s="13">
        <v>45346</v>
      </c>
      <c r="KO88" s="14">
        <f>DATE(YEAR(KN88)+5,MONTH(KN88),DAY(KN88))</f>
        <v>47173</v>
      </c>
      <c r="KP88" s="65">
        <f ca="1">KO88-TODAY()</f>
        <v>1042</v>
      </c>
      <c r="KQ88" s="15" t="str">
        <f t="shared" ca="1" si="346"/>
        <v>VIGENTE</v>
      </c>
      <c r="KR88" s="16"/>
      <c r="KS88" s="16"/>
      <c r="KT88" s="14"/>
      <c r="KU88" s="65"/>
      <c r="KV88" s="15" t="str">
        <f t="shared" si="355"/>
        <v>NO APLICA</v>
      </c>
      <c r="KW88" s="14">
        <v>44545</v>
      </c>
      <c r="KX88" s="14">
        <f>DATE(YEAR(KW88)+5,MONTH(KW88),DAY(KW88))</f>
        <v>46371</v>
      </c>
      <c r="KY88" s="65">
        <f ca="1">KX88-TODAY()</f>
        <v>240</v>
      </c>
      <c r="KZ88" s="15" t="str">
        <f t="shared" ca="1" si="347"/>
        <v>VIGENTE</v>
      </c>
      <c r="LA88" s="16"/>
      <c r="LB88" s="16"/>
      <c r="LC88" s="14"/>
      <c r="LD88" s="65"/>
      <c r="LE88" s="15" t="str">
        <f t="shared" si="330"/>
        <v>NO APLICA</v>
      </c>
      <c r="LF88" s="15"/>
      <c r="LG88" s="15"/>
      <c r="LH88" s="14"/>
      <c r="LI88" s="65"/>
      <c r="LJ88" s="15" t="str">
        <f t="shared" si="356"/>
        <v>NO APLICA</v>
      </c>
      <c r="LK88" s="16"/>
      <c r="LL88" s="16"/>
      <c r="LM88" s="14"/>
      <c r="LN88" s="65"/>
      <c r="LO88" s="15" t="str">
        <f t="shared" si="348"/>
        <v>NO APLICA</v>
      </c>
      <c r="LP88" s="14">
        <v>44984</v>
      </c>
      <c r="LQ88" s="14">
        <v>44986</v>
      </c>
      <c r="LR88" s="14">
        <f>DATE(YEAR(LQ88)+5,MONTH(LQ88),DAY(LQ88))</f>
        <v>46813</v>
      </c>
      <c r="LS88" s="65">
        <f ca="1">LR88-TODAY()</f>
        <v>682</v>
      </c>
      <c r="LT88" s="15" t="str">
        <f t="shared" ca="1" si="349"/>
        <v>VIGENTE</v>
      </c>
      <c r="LU88" s="14">
        <v>44987</v>
      </c>
      <c r="LV88" s="14">
        <v>44988</v>
      </c>
      <c r="LW88" s="14">
        <f>DATE(YEAR(LV88)+5,MONTH(LV88),DAY(LV88))</f>
        <v>46815</v>
      </c>
      <c r="LX88" s="65">
        <f ca="1">LW88-TODAY()</f>
        <v>684</v>
      </c>
      <c r="LY88" s="15" t="str">
        <f t="shared" ca="1" si="350"/>
        <v>VIGENTE</v>
      </c>
      <c r="LZ88" s="15"/>
      <c r="MA88" s="15"/>
      <c r="MB88" s="14"/>
      <c r="MC88" s="65"/>
      <c r="MD88" s="15" t="str">
        <f t="shared" si="331"/>
        <v>NO APLICA</v>
      </c>
      <c r="ME88" s="15"/>
      <c r="MF88" s="15"/>
      <c r="MG88" s="14"/>
      <c r="MH88" s="65"/>
      <c r="MI88" s="15" t="str">
        <f t="shared" si="332"/>
        <v>NO APLICA</v>
      </c>
      <c r="MJ88" s="13">
        <v>45154</v>
      </c>
      <c r="MK88" s="14">
        <f>DATE(YEAR(MJ88)+5,MONTH(MJ88),DAY(MJ88))</f>
        <v>46981</v>
      </c>
      <c r="ML88" s="65">
        <f ca="1">MK88-TODAY()</f>
        <v>850</v>
      </c>
      <c r="MM88" s="15" t="str">
        <f t="shared" ca="1" si="333"/>
        <v>VIGENTE</v>
      </c>
      <c r="MN88" s="13">
        <v>45155</v>
      </c>
      <c r="MO88" s="14">
        <f>DATE(YEAR(MN88)+5,MONTH(MN88),DAY(MN88))</f>
        <v>46982</v>
      </c>
      <c r="MP88" s="65">
        <f ca="1">MO88-TODAY()</f>
        <v>851</v>
      </c>
      <c r="MQ88" s="15" t="str">
        <f t="shared" ca="1" si="334"/>
        <v>VIGENTE</v>
      </c>
      <c r="MR88" s="16"/>
      <c r="MS88" s="16"/>
      <c r="MT88" s="14"/>
      <c r="MU88" s="65"/>
      <c r="MV88" s="15" t="str">
        <f t="shared" si="335"/>
        <v>NO APLICA</v>
      </c>
      <c r="MW88" s="16"/>
      <c r="MX88" s="16"/>
      <c r="MY88" s="14"/>
      <c r="MZ88" s="65"/>
      <c r="NA88" s="15" t="str">
        <f t="shared" si="336"/>
        <v>NO APLICA</v>
      </c>
      <c r="NB88" s="16"/>
      <c r="NC88" s="16"/>
      <c r="ND88" s="14"/>
      <c r="NE88" s="65"/>
      <c r="NF88" s="15" t="str">
        <f t="shared" si="337"/>
        <v>NO APLICA</v>
      </c>
      <c r="NG88" s="15"/>
      <c r="NH88" s="15"/>
      <c r="NI88" s="14"/>
      <c r="NJ88" s="65"/>
      <c r="NK88" s="15" t="str">
        <f t="shared" si="338"/>
        <v>NO APLICA</v>
      </c>
      <c r="NL88" s="15"/>
      <c r="NM88" s="15"/>
      <c r="NN88" s="15"/>
      <c r="NO88" s="15"/>
      <c r="NP88" s="15" t="str">
        <f t="shared" si="339"/>
        <v>NO APLICA</v>
      </c>
      <c r="NQ88" s="16"/>
      <c r="NR88" s="16"/>
      <c r="NS88" s="16"/>
      <c r="NT88" s="16"/>
      <c r="NU88" s="15" t="str">
        <f t="shared" si="340"/>
        <v>NO APLICA</v>
      </c>
      <c r="NV88" s="16"/>
      <c r="NW88" s="16"/>
      <c r="NX88" s="16"/>
      <c r="NY88" s="16"/>
      <c r="NZ88" s="15" t="str">
        <f t="shared" si="341"/>
        <v>NO APLICA</v>
      </c>
    </row>
    <row r="89" spans="1:390" ht="15.6" thickTop="1" thickBot="1" x14ac:dyDescent="0.35">
      <c r="A89" s="9">
        <v>1504</v>
      </c>
      <c r="B89" s="10" t="s">
        <v>369</v>
      </c>
      <c r="C89" s="21" t="s">
        <v>104</v>
      </c>
      <c r="D89" s="64" t="s">
        <v>168</v>
      </c>
      <c r="E89" s="15"/>
      <c r="F89" s="16"/>
      <c r="G89" s="14"/>
      <c r="H89" s="65"/>
      <c r="I89" s="15" t="str">
        <f t="shared" si="235"/>
        <v>NO APLICA</v>
      </c>
      <c r="J89" s="15"/>
      <c r="K89" s="16"/>
      <c r="L89" s="16"/>
      <c r="M89" s="65"/>
      <c r="N89" s="15" t="str">
        <f t="shared" si="236"/>
        <v>NO APLICA</v>
      </c>
      <c r="O89" s="16"/>
      <c r="P89" s="16"/>
      <c r="Q89" s="14"/>
      <c r="R89" s="65"/>
      <c r="S89" s="15" t="str">
        <f t="shared" si="342"/>
        <v>NO APLICA</v>
      </c>
      <c r="T89" s="12" t="s">
        <v>370</v>
      </c>
      <c r="U89" s="13">
        <v>44837</v>
      </c>
      <c r="V89" s="14">
        <v>44838</v>
      </c>
      <c r="W89" s="14">
        <f t="shared" si="237"/>
        <v>46664</v>
      </c>
      <c r="X89" s="65">
        <f t="shared" ca="1" si="238"/>
        <v>533</v>
      </c>
      <c r="Y89" s="15" t="str">
        <f t="shared" ca="1" si="239"/>
        <v>VIGENTE</v>
      </c>
      <c r="Z89" s="12" t="s">
        <v>371</v>
      </c>
      <c r="AA89" s="13">
        <v>44825</v>
      </c>
      <c r="AB89" s="14">
        <v>44826</v>
      </c>
      <c r="AC89" s="14">
        <f>DATE(YEAR(AB89)+5,MONTH(AB89),DAY(AB89))</f>
        <v>46652</v>
      </c>
      <c r="AD89" s="65">
        <f ca="1">AC89-TODAY()</f>
        <v>521</v>
      </c>
      <c r="AE89" s="15" t="str">
        <f t="shared" ca="1" si="367"/>
        <v>VIGENTE</v>
      </c>
      <c r="AF89" s="13">
        <v>44614</v>
      </c>
      <c r="AG89" s="14">
        <v>45589</v>
      </c>
      <c r="AH89" s="14">
        <f>DATE(YEAR(AG89)+2,MONTH(AG89),DAY(AG89)-1)</f>
        <v>46318</v>
      </c>
      <c r="AI89" s="65">
        <f t="shared" ca="1" si="241"/>
        <v>187</v>
      </c>
      <c r="AJ89" s="15" t="str">
        <f t="shared" ca="1" si="213"/>
        <v>VIGENTE</v>
      </c>
      <c r="AK89" s="13">
        <v>45269</v>
      </c>
      <c r="AL89" s="14">
        <v>45926</v>
      </c>
      <c r="AM89" s="14">
        <f t="shared" si="380"/>
        <v>46656</v>
      </c>
      <c r="AN89" s="65">
        <f t="shared" ca="1" si="242"/>
        <v>525</v>
      </c>
      <c r="AO89" s="15" t="str">
        <f t="shared" ca="1" si="243"/>
        <v>VIGENTE</v>
      </c>
      <c r="AP89" s="13">
        <v>45298</v>
      </c>
      <c r="AQ89" s="14">
        <v>45967</v>
      </c>
      <c r="AR89" s="14">
        <f t="shared" si="381"/>
        <v>46697</v>
      </c>
      <c r="AS89" s="65">
        <f t="shared" ca="1" si="244"/>
        <v>566</v>
      </c>
      <c r="AT89" s="15" t="str">
        <f t="shared" ca="1" si="245"/>
        <v>VIGENTE</v>
      </c>
      <c r="AU89" s="13">
        <v>44662</v>
      </c>
      <c r="AV89" s="14">
        <v>45972</v>
      </c>
      <c r="AW89" s="14">
        <f t="shared" si="382"/>
        <v>46702</v>
      </c>
      <c r="AX89" s="65">
        <f t="shared" ca="1" si="246"/>
        <v>571</v>
      </c>
      <c r="AY89" s="15" t="str">
        <f t="shared" ca="1" si="247"/>
        <v>VIGENTE</v>
      </c>
      <c r="AZ89" s="13">
        <v>45375</v>
      </c>
      <c r="BA89" s="14">
        <v>46041</v>
      </c>
      <c r="BB89" s="14">
        <f>DATE(YEAR(BA89)+2,MONTH(BA89),DAY(BA89))</f>
        <v>46771</v>
      </c>
      <c r="BC89" s="65">
        <f t="shared" ca="1" si="248"/>
        <v>640</v>
      </c>
      <c r="BD89" s="15" t="str">
        <f t="shared" ca="1" si="249"/>
        <v>VIGENTE</v>
      </c>
      <c r="BE89" s="13">
        <v>45382</v>
      </c>
      <c r="BF89" s="14">
        <v>46027</v>
      </c>
      <c r="BG89" s="14">
        <f t="shared" si="388"/>
        <v>46757</v>
      </c>
      <c r="BH89" s="65">
        <f t="shared" ca="1" si="250"/>
        <v>626</v>
      </c>
      <c r="BI89" s="15" t="str">
        <f t="shared" ca="1" si="251"/>
        <v>VIGENTE</v>
      </c>
      <c r="BJ89" s="13">
        <v>45389</v>
      </c>
      <c r="BK89" s="14">
        <v>46065</v>
      </c>
      <c r="BL89" s="14">
        <f>DATE(YEAR(BK89)+2,MONTH(BK89),DAY(BK89))</f>
        <v>46795</v>
      </c>
      <c r="BM89" s="65">
        <f t="shared" ca="1" si="252"/>
        <v>664</v>
      </c>
      <c r="BN89" s="15" t="str">
        <f t="shared" ca="1" si="253"/>
        <v>VIGENTE</v>
      </c>
      <c r="BO89" s="13">
        <v>44748</v>
      </c>
      <c r="BP89" s="14">
        <v>46069</v>
      </c>
      <c r="BQ89" s="14">
        <f>DATE(YEAR(BP89)+2,MONTH(BP89),DAY(BP89))</f>
        <v>46799</v>
      </c>
      <c r="BR89" s="65">
        <f t="shared" ca="1" si="254"/>
        <v>668</v>
      </c>
      <c r="BS89" s="15" t="str">
        <f t="shared" ca="1" si="255"/>
        <v>VIGENTE</v>
      </c>
      <c r="BT89" s="13">
        <v>44736</v>
      </c>
      <c r="BU89" s="14">
        <v>45449</v>
      </c>
      <c r="BV89" s="14">
        <f>DATE(YEAR(BU89)+2,MONTH(BU89),DAY(BU89)-1)</f>
        <v>46178</v>
      </c>
      <c r="BW89" s="65">
        <f t="shared" ca="1" si="256"/>
        <v>47</v>
      </c>
      <c r="BX89" s="15" t="str">
        <f t="shared" ca="1" si="257"/>
        <v>POR VENCER</v>
      </c>
      <c r="BY89" s="13">
        <v>44613</v>
      </c>
      <c r="BZ89" s="14">
        <v>45944</v>
      </c>
      <c r="CA89" s="14">
        <f t="shared" si="383"/>
        <v>46674</v>
      </c>
      <c r="CB89" s="65">
        <f t="shared" ca="1" si="258"/>
        <v>543</v>
      </c>
      <c r="CC89" s="15" t="str">
        <f t="shared" ca="1" si="259"/>
        <v>VIGENTE</v>
      </c>
      <c r="CD89" s="16" t="s">
        <v>108</v>
      </c>
      <c r="CE89" s="14">
        <v>45210</v>
      </c>
      <c r="CF89" s="14">
        <v>45211</v>
      </c>
      <c r="CG89" s="14">
        <f t="shared" si="377"/>
        <v>46672</v>
      </c>
      <c r="CH89" s="65">
        <f t="shared" ca="1" si="378"/>
        <v>541</v>
      </c>
      <c r="CI89" s="15" t="str">
        <f t="shared" ca="1" si="262"/>
        <v>VIGENTE</v>
      </c>
      <c r="CJ89" s="14">
        <v>45295</v>
      </c>
      <c r="CK89" s="14">
        <v>45973</v>
      </c>
      <c r="CL89" s="14">
        <f>DATE(YEAR(CK89)+2,MONTH(CK89),DAY(CK89))</f>
        <v>46703</v>
      </c>
      <c r="CM89" s="65">
        <f t="shared" ca="1" si="263"/>
        <v>572</v>
      </c>
      <c r="CN89" s="15" t="str">
        <f t="shared" ca="1" si="264"/>
        <v>VIGENTE</v>
      </c>
      <c r="CO89" s="13">
        <v>45301</v>
      </c>
      <c r="CP89" s="14">
        <v>45979</v>
      </c>
      <c r="CQ89" s="14">
        <f>DATE(YEAR(CP89)+2,MONTH(CP89),DAY(CP89))</f>
        <v>46709</v>
      </c>
      <c r="CR89" s="65">
        <f t="shared" ca="1" si="265"/>
        <v>578</v>
      </c>
      <c r="CS89" s="15" t="str">
        <f t="shared" ca="1" si="266"/>
        <v>VIGENTE</v>
      </c>
      <c r="CT89" s="13">
        <v>44967</v>
      </c>
      <c r="CU89" s="14">
        <v>45631</v>
      </c>
      <c r="CV89" s="14">
        <f>DATE(YEAR(CU89)+2,MONTH(CU89),DAY(CU89)-1)</f>
        <v>46360</v>
      </c>
      <c r="CW89" s="65">
        <f t="shared" ca="1" si="267"/>
        <v>229</v>
      </c>
      <c r="CX89" s="15" t="str">
        <f t="shared" ca="1" si="268"/>
        <v>VIGENTE</v>
      </c>
      <c r="CY89" s="13">
        <v>44991</v>
      </c>
      <c r="CZ89" s="14">
        <v>45665</v>
      </c>
      <c r="DA89" s="14">
        <f>DATE(YEAR(CZ89)+2,MONTH(CZ89),DAY(CZ89)-1)</f>
        <v>46394</v>
      </c>
      <c r="DB89" s="65">
        <f t="shared" ca="1" si="269"/>
        <v>263</v>
      </c>
      <c r="DC89" s="15" t="str">
        <f t="shared" ca="1" si="270"/>
        <v>VIGENTE</v>
      </c>
      <c r="DD89" s="13">
        <v>45023</v>
      </c>
      <c r="DE89" s="14">
        <v>45689</v>
      </c>
      <c r="DF89" s="14">
        <f t="shared" si="376"/>
        <v>46418</v>
      </c>
      <c r="DG89" s="65">
        <f t="shared" ca="1" si="271"/>
        <v>287</v>
      </c>
      <c r="DH89" s="15" t="str">
        <f t="shared" ca="1" si="272"/>
        <v>VIGENTE</v>
      </c>
      <c r="DI89" s="13">
        <v>45296</v>
      </c>
      <c r="DJ89" s="14">
        <v>45955</v>
      </c>
      <c r="DK89" s="14">
        <f t="shared" si="384"/>
        <v>46685</v>
      </c>
      <c r="DL89" s="65">
        <f t="shared" ca="1" si="273"/>
        <v>554</v>
      </c>
      <c r="DM89" s="15" t="str">
        <f t="shared" ca="1" si="274"/>
        <v>VIGENTE</v>
      </c>
      <c r="DN89" s="13">
        <v>44895</v>
      </c>
      <c r="DO89" s="14">
        <v>45520</v>
      </c>
      <c r="DP89" s="14">
        <f>DATE(YEAR(DO89)+2,MONTH(DO89),DAY(DO89)-1)</f>
        <v>46249</v>
      </c>
      <c r="DQ89" s="65">
        <f t="shared" ca="1" si="275"/>
        <v>118</v>
      </c>
      <c r="DR89" s="15" t="str">
        <f t="shared" ca="1" si="276"/>
        <v>VIGENTE</v>
      </c>
      <c r="DS89" s="13">
        <v>44734</v>
      </c>
      <c r="DT89" s="14">
        <v>46072</v>
      </c>
      <c r="DU89" s="14">
        <f>DATE(YEAR(DT89)+2,MONTH(DT89),DAY(DT89))</f>
        <v>46802</v>
      </c>
      <c r="DV89" s="65">
        <f t="shared" ca="1" si="277"/>
        <v>671</v>
      </c>
      <c r="DW89" s="15" t="str">
        <f t="shared" ca="1" si="278"/>
        <v>VIGENTE</v>
      </c>
      <c r="DX89" s="13">
        <v>45329</v>
      </c>
      <c r="DY89" s="14">
        <v>46020</v>
      </c>
      <c r="DZ89" s="14">
        <f>DATE(YEAR(DY89)+2,MONTH(DY89),DAY(DY89))</f>
        <v>46750</v>
      </c>
      <c r="EA89" s="65">
        <f t="shared" ca="1" si="279"/>
        <v>619</v>
      </c>
      <c r="EB89" s="15" t="str">
        <f t="shared" ca="1" si="280"/>
        <v>VIGENTE</v>
      </c>
      <c r="EC89" s="13">
        <v>45265</v>
      </c>
      <c r="ED89" s="14">
        <v>45938</v>
      </c>
      <c r="EE89" s="14">
        <f>DATE(YEAR(ED89)+2,MONTH(ED89),DAY(ED89))</f>
        <v>46668</v>
      </c>
      <c r="EF89" s="65">
        <f t="shared" ca="1" si="281"/>
        <v>537</v>
      </c>
      <c r="EG89" s="15" t="str">
        <f t="shared" ca="1" si="282"/>
        <v>VIGENTE</v>
      </c>
      <c r="EH89" s="14">
        <v>45521</v>
      </c>
      <c r="EI89" s="13">
        <v>45946</v>
      </c>
      <c r="EJ89" s="13">
        <v>45947</v>
      </c>
      <c r="EK89" s="14">
        <v>45948</v>
      </c>
      <c r="EL89" s="14">
        <f t="shared" si="344"/>
        <v>46313</v>
      </c>
      <c r="EM89" s="65">
        <f t="shared" ca="1" si="283"/>
        <v>182</v>
      </c>
      <c r="EN89" s="15" t="str">
        <f t="shared" ca="1" si="284"/>
        <v>VIGENTE</v>
      </c>
      <c r="EO89" s="13">
        <v>45337</v>
      </c>
      <c r="EP89" s="14">
        <v>45983</v>
      </c>
      <c r="EQ89" s="14">
        <f>DATE(YEAR(EP89)+2,MONTH(EP89),DAY(EP89))</f>
        <v>46713</v>
      </c>
      <c r="ER89" s="65">
        <f t="shared" ca="1" si="285"/>
        <v>582</v>
      </c>
      <c r="ES89" s="15" t="str">
        <f t="shared" ca="1" si="286"/>
        <v>VIGENTE</v>
      </c>
      <c r="ET89" s="13">
        <v>44732</v>
      </c>
      <c r="EU89" s="14">
        <v>46094</v>
      </c>
      <c r="EV89" s="14">
        <f t="shared" si="385"/>
        <v>46825</v>
      </c>
      <c r="EW89" s="65">
        <f t="shared" ca="1" si="287"/>
        <v>694</v>
      </c>
      <c r="EX89" s="15" t="str">
        <f t="shared" ca="1" si="288"/>
        <v>VIGENTE</v>
      </c>
      <c r="EY89" s="13">
        <v>44615</v>
      </c>
      <c r="EZ89" s="14">
        <v>45953</v>
      </c>
      <c r="FA89" s="14">
        <f>DATE(YEAR(EZ89)+2,MONTH(EZ89),DAY(EZ89))</f>
        <v>46683</v>
      </c>
      <c r="FB89" s="65">
        <f t="shared" ca="1" si="289"/>
        <v>552</v>
      </c>
      <c r="FC89" s="15" t="str">
        <f t="shared" ca="1" si="290"/>
        <v>VIGENTE</v>
      </c>
      <c r="FD89" s="13">
        <v>44615</v>
      </c>
      <c r="FE89" s="14">
        <v>45951</v>
      </c>
      <c r="FF89" s="14">
        <f t="shared" si="386"/>
        <v>46681</v>
      </c>
      <c r="FG89" s="65">
        <f t="shared" ca="1" si="291"/>
        <v>550</v>
      </c>
      <c r="FH89" s="15" t="str">
        <f t="shared" ca="1" si="292"/>
        <v>VIGENTE</v>
      </c>
      <c r="FI89" s="14">
        <v>45282</v>
      </c>
      <c r="FJ89" s="14">
        <v>45932</v>
      </c>
      <c r="FK89" s="14">
        <f t="shared" si="387"/>
        <v>46662</v>
      </c>
      <c r="FL89" s="65">
        <f t="shared" ca="1" si="293"/>
        <v>531</v>
      </c>
      <c r="FM89" s="15" t="str">
        <f t="shared" ca="1" si="294"/>
        <v>VIGENTE</v>
      </c>
      <c r="FN89" s="13">
        <v>44592</v>
      </c>
      <c r="FO89" s="14">
        <v>45933</v>
      </c>
      <c r="FP89" s="14">
        <f>DATE(YEAR(FO89)+2,MONTH(FO89),DAY(FO89))</f>
        <v>46663</v>
      </c>
      <c r="FQ89" s="65">
        <f t="shared" ca="1" si="295"/>
        <v>532</v>
      </c>
      <c r="FR89" s="15" t="str">
        <f t="shared" ca="1" si="296"/>
        <v>VIGENTE</v>
      </c>
      <c r="FS89" s="13">
        <v>45333</v>
      </c>
      <c r="FT89" s="14">
        <v>45957</v>
      </c>
      <c r="FU89" s="14">
        <f>DATE(YEAR(FT89)+2,MONTH(FT89),DAY(FT89))</f>
        <v>46687</v>
      </c>
      <c r="FV89" s="65">
        <f t="shared" ca="1" si="297"/>
        <v>556</v>
      </c>
      <c r="FW89" s="15" t="str">
        <f t="shared" ca="1" si="298"/>
        <v>VIGENTE</v>
      </c>
      <c r="FX89" s="13">
        <v>44924</v>
      </c>
      <c r="FY89" s="14">
        <v>45547</v>
      </c>
      <c r="FZ89" s="14">
        <f>DATE(YEAR(FY89)+2,MONTH(FY89),DAY(FY89)-1)</f>
        <v>46276</v>
      </c>
      <c r="GA89" s="65">
        <f t="shared" ca="1" si="299"/>
        <v>145</v>
      </c>
      <c r="GB89" s="15" t="str">
        <f t="shared" ca="1" si="300"/>
        <v>VIGENTE</v>
      </c>
      <c r="GC89" s="13">
        <v>45396</v>
      </c>
      <c r="GD89" s="14">
        <v>46030</v>
      </c>
      <c r="GE89" s="14">
        <f>DATE(YEAR(GD89)+2,MONTH(GD89),DAY(GD89))</f>
        <v>46760</v>
      </c>
      <c r="GF89" s="65">
        <f t="shared" ca="1" si="301"/>
        <v>629</v>
      </c>
      <c r="GG89" s="15" t="str">
        <f t="shared" ca="1" si="302"/>
        <v>VIGENTE</v>
      </c>
      <c r="GH89" s="13">
        <v>45252</v>
      </c>
      <c r="GI89" s="14">
        <v>45912</v>
      </c>
      <c r="GJ89" s="14">
        <f>DATE(YEAR(GI89)+2,MONTH(GI89),DAY(GI89))</f>
        <v>46642</v>
      </c>
      <c r="GK89" s="65">
        <f t="shared" ca="1" si="303"/>
        <v>511</v>
      </c>
      <c r="GL89" s="15" t="str">
        <f t="shared" ca="1" si="304"/>
        <v>VIGENTE</v>
      </c>
      <c r="GM89" s="13">
        <v>44567</v>
      </c>
      <c r="GN89" s="14">
        <v>45945</v>
      </c>
      <c r="GO89" s="14">
        <f>DATE(YEAR(GN89)+2,MONTH(GN89),DAY(GN89))</f>
        <v>46675</v>
      </c>
      <c r="GP89" s="65">
        <f t="shared" ca="1" si="305"/>
        <v>544</v>
      </c>
      <c r="GQ89" s="15" t="str">
        <f t="shared" ca="1" si="306"/>
        <v>VIGENTE</v>
      </c>
      <c r="GR89" s="14"/>
      <c r="GS89" s="14">
        <v>44966</v>
      </c>
      <c r="GT89" s="14">
        <f t="shared" si="307"/>
        <v>46792</v>
      </c>
      <c r="GU89" s="65">
        <f t="shared" ca="1" si="374"/>
        <v>661</v>
      </c>
      <c r="GV89" s="15" t="str">
        <f t="shared" ca="1" si="368"/>
        <v>VIGENTE</v>
      </c>
      <c r="GW89" s="13"/>
      <c r="GX89" s="14">
        <v>45006</v>
      </c>
      <c r="GY89" s="14">
        <f t="shared" si="309"/>
        <v>46833</v>
      </c>
      <c r="GZ89" s="65">
        <f t="shared" ca="1" si="310"/>
        <v>702</v>
      </c>
      <c r="HA89" s="15" t="str">
        <f t="shared" ca="1" si="369"/>
        <v>VIGENTE</v>
      </c>
      <c r="HB89" s="13">
        <v>44781</v>
      </c>
      <c r="HC89" s="14">
        <v>45415</v>
      </c>
      <c r="HD89" s="14">
        <f t="shared" si="312"/>
        <v>47241</v>
      </c>
      <c r="HE89" s="65">
        <f t="shared" ca="1" si="313"/>
        <v>1110</v>
      </c>
      <c r="HF89" s="15" t="str">
        <f t="shared" ca="1" si="370"/>
        <v>VIGENTE</v>
      </c>
      <c r="HG89" s="16"/>
      <c r="HH89" s="14">
        <v>45150</v>
      </c>
      <c r="HI89" s="14">
        <f>DATE(YEAR(HH89)+5,MONTH(HH89),DAY(HH89))</f>
        <v>46977</v>
      </c>
      <c r="HJ89" s="65">
        <f ca="1">HI89-TODAY()</f>
        <v>846</v>
      </c>
      <c r="HK89" s="15" t="str">
        <f t="shared" ca="1" si="379"/>
        <v>VIGENTE</v>
      </c>
      <c r="HL89" s="13">
        <v>44629</v>
      </c>
      <c r="HM89" s="14">
        <v>45480</v>
      </c>
      <c r="HN89" s="14">
        <f>DATE(YEAR(HM89)+5,MONTH(HM89),DAY(HM89))</f>
        <v>47306</v>
      </c>
      <c r="HO89" s="65">
        <f ca="1">HN89-TODAY()</f>
        <v>1175</v>
      </c>
      <c r="HP89" s="15" t="str">
        <f t="shared" ca="1" si="375"/>
        <v>VIGENTE</v>
      </c>
      <c r="HQ89" s="12"/>
      <c r="HR89" s="12"/>
      <c r="HS89" s="14"/>
      <c r="HT89" s="12"/>
      <c r="HU89" s="15" t="str">
        <f t="shared" si="315"/>
        <v>NO APLICA</v>
      </c>
      <c r="HV89" s="13">
        <v>44812</v>
      </c>
      <c r="HW89" s="14">
        <v>45420</v>
      </c>
      <c r="HX89" s="14">
        <f>DATE(YEAR(HW89)+5,MONTH(HW89),DAY(HW89))</f>
        <v>47246</v>
      </c>
      <c r="HY89" s="65">
        <f ca="1">HX89-TODAY()</f>
        <v>1115</v>
      </c>
      <c r="HZ89" s="15" t="str">
        <f t="shared" ca="1" si="316"/>
        <v>VIGENTE</v>
      </c>
      <c r="IA89" s="13">
        <v>44566</v>
      </c>
      <c r="IB89" s="14">
        <v>45395</v>
      </c>
      <c r="IC89" s="14">
        <f>DATE(YEAR(IB89)+5,MONTH(IB89),DAY(IB89))</f>
        <v>47221</v>
      </c>
      <c r="ID89" s="65">
        <f ca="1">IC89-TODAY()</f>
        <v>1090</v>
      </c>
      <c r="IE89" s="15" t="str">
        <f t="shared" ca="1" si="317"/>
        <v>VIGENTE</v>
      </c>
      <c r="IF89" s="13">
        <v>44792</v>
      </c>
      <c r="IG89" s="14">
        <v>45406</v>
      </c>
      <c r="IH89" s="14">
        <f>DATE(YEAR(IG89)+5,MONTH(IG89),DAY(IG89))</f>
        <v>47232</v>
      </c>
      <c r="II89" s="65">
        <f ca="1">IH89-TODAY()</f>
        <v>1101</v>
      </c>
      <c r="IJ89" s="15" t="str">
        <f t="shared" ca="1" si="318"/>
        <v>VIGENTE</v>
      </c>
      <c r="IK89" s="14">
        <v>44568</v>
      </c>
      <c r="IL89" s="14">
        <v>45266</v>
      </c>
      <c r="IM89" s="14">
        <f>DATE(YEAR(IL89)+5,MONTH(IL89),DAY(IL89))</f>
        <v>47093</v>
      </c>
      <c r="IN89" s="65">
        <f ca="1">IM89-TODAY()</f>
        <v>962</v>
      </c>
      <c r="IO89" s="15" t="str">
        <f t="shared" ca="1" si="319"/>
        <v>VIGENTE</v>
      </c>
      <c r="IP89" s="13"/>
      <c r="IQ89" s="14">
        <v>44893</v>
      </c>
      <c r="IR89" s="14">
        <f>DATE(YEAR(IQ89)+5,MONTH(IQ89),DAY(IQ89))</f>
        <v>46719</v>
      </c>
      <c r="IS89" s="65">
        <f ca="1">IR89-TODAY()</f>
        <v>588</v>
      </c>
      <c r="IT89" s="15" t="str">
        <f t="shared" ca="1" si="320"/>
        <v>VIGENTE</v>
      </c>
      <c r="IU89" s="13">
        <v>44567</v>
      </c>
      <c r="IV89" s="14">
        <v>45350</v>
      </c>
      <c r="IW89" s="14">
        <f>DATE(YEAR(IV89)+5,MONTH(IV89),DAY(IV89))</f>
        <v>47177</v>
      </c>
      <c r="IX89" s="65">
        <f ca="1">IW89-TODAY()</f>
        <v>1046</v>
      </c>
      <c r="IY89" s="15" t="str">
        <f t="shared" ca="1" si="321"/>
        <v>VIGENTE</v>
      </c>
      <c r="IZ89" s="13">
        <v>44781</v>
      </c>
      <c r="JA89" s="14">
        <v>45419</v>
      </c>
      <c r="JB89" s="14">
        <f>DATE(YEAR(JA89)+5,MONTH(JA89),DAY(JA89))</f>
        <v>47245</v>
      </c>
      <c r="JC89" s="65">
        <f ca="1">JB89-TODAY()</f>
        <v>1114</v>
      </c>
      <c r="JD89" s="15" t="str">
        <f t="shared" ca="1" si="322"/>
        <v>VIGENTE</v>
      </c>
      <c r="JE89" s="13"/>
      <c r="JF89" s="13"/>
      <c r="JG89" s="14"/>
      <c r="JH89" s="65"/>
      <c r="JI89" s="15" t="str">
        <f t="shared" si="323"/>
        <v>NO APLICA</v>
      </c>
      <c r="JJ89" s="16"/>
      <c r="JK89" s="16"/>
      <c r="JL89" s="16"/>
      <c r="JM89" s="15" t="str">
        <f t="shared" si="324"/>
        <v>NO APLICA</v>
      </c>
      <c r="JN89" s="16"/>
      <c r="JO89" s="16"/>
      <c r="JP89" s="16"/>
      <c r="JQ89" s="15" t="str">
        <f t="shared" si="325"/>
        <v>NO APLICA</v>
      </c>
      <c r="JR89" s="16"/>
      <c r="JS89" s="16"/>
      <c r="JT89" s="16"/>
      <c r="JU89" s="16"/>
      <c r="JV89" s="15" t="str">
        <f t="shared" si="326"/>
        <v>NO APLICA</v>
      </c>
      <c r="JW89" s="15"/>
      <c r="JX89" s="15"/>
      <c r="JY89" s="15"/>
      <c r="JZ89" s="15"/>
      <c r="KA89" s="15" t="str">
        <f t="shared" si="327"/>
        <v>NO APLICA</v>
      </c>
      <c r="KB89" s="12"/>
      <c r="KC89" s="14"/>
      <c r="KD89" s="65"/>
      <c r="KE89" s="15" t="str">
        <f t="shared" si="328"/>
        <v>NO APLICA</v>
      </c>
      <c r="KF89" s="12"/>
      <c r="KG89" s="14"/>
      <c r="KH89" s="65"/>
      <c r="KI89" s="15" t="str">
        <f t="shared" si="345"/>
        <v>NO APLICA</v>
      </c>
      <c r="KJ89" s="12"/>
      <c r="KK89" s="14"/>
      <c r="KL89" s="65"/>
      <c r="KM89" s="15" t="str">
        <f t="shared" si="329"/>
        <v>NO APLICA</v>
      </c>
      <c r="KN89" s="12"/>
      <c r="KO89" s="14"/>
      <c r="KP89" s="65"/>
      <c r="KQ89" s="15" t="str">
        <f t="shared" si="346"/>
        <v>NO APLICA</v>
      </c>
      <c r="KR89" s="13">
        <v>44657</v>
      </c>
      <c r="KS89" s="14">
        <v>44658</v>
      </c>
      <c r="KT89" s="14">
        <f>DATE(YEAR(KS89)+5,MONTH(KS89),DAY(KS89))</f>
        <v>46484</v>
      </c>
      <c r="KU89" s="65">
        <f ca="1">KT89-TODAY()</f>
        <v>353</v>
      </c>
      <c r="KV89" s="15" t="str">
        <f t="shared" ca="1" si="355"/>
        <v>VIGENTE</v>
      </c>
      <c r="KW89" s="14">
        <v>44607</v>
      </c>
      <c r="KX89" s="14">
        <f>DATE(YEAR(KW89)+5,MONTH(KW89),DAY(KW89))</f>
        <v>46433</v>
      </c>
      <c r="KY89" s="65">
        <f ca="1">KX89-TODAY()</f>
        <v>302</v>
      </c>
      <c r="KZ89" s="15" t="str">
        <f t="shared" ca="1" si="347"/>
        <v>VIGENTE</v>
      </c>
      <c r="LA89" s="16"/>
      <c r="LB89" s="14">
        <v>45509</v>
      </c>
      <c r="LC89" s="14">
        <f>DATE(YEAR(LB89)+2,MONTH(LB89),DAY(LB89))</f>
        <v>46239</v>
      </c>
      <c r="LD89" s="65">
        <f ca="1">LC89-TODAY()</f>
        <v>108</v>
      </c>
      <c r="LE89" s="15" t="str">
        <f t="shared" ca="1" si="330"/>
        <v>VIGENTE</v>
      </c>
      <c r="LF89" s="15"/>
      <c r="LG89" s="15"/>
      <c r="LH89" s="14"/>
      <c r="LI89" s="65"/>
      <c r="LJ89" s="15" t="str">
        <f t="shared" si="356"/>
        <v>NO APLICA</v>
      </c>
      <c r="LK89" s="12"/>
      <c r="LL89" s="16"/>
      <c r="LM89" s="14"/>
      <c r="LN89" s="65"/>
      <c r="LO89" s="15" t="str">
        <f t="shared" si="348"/>
        <v>NO APLICA</v>
      </c>
      <c r="LP89" s="16"/>
      <c r="LQ89" s="16"/>
      <c r="LR89" s="14"/>
      <c r="LS89" s="65"/>
      <c r="LT89" s="15" t="str">
        <f t="shared" si="349"/>
        <v>NO APLICA</v>
      </c>
      <c r="LU89" s="16"/>
      <c r="LV89" s="16"/>
      <c r="LW89" s="14"/>
      <c r="LX89" s="65"/>
      <c r="LY89" s="15" t="str">
        <f t="shared" si="350"/>
        <v>NO APLICA</v>
      </c>
      <c r="LZ89" s="12"/>
      <c r="MA89" s="12"/>
      <c r="MB89" s="14"/>
      <c r="MC89" s="65"/>
      <c r="MD89" s="15" t="str">
        <f t="shared" si="331"/>
        <v>NO APLICA</v>
      </c>
      <c r="ME89" s="12"/>
      <c r="MF89" s="12"/>
      <c r="MG89" s="14"/>
      <c r="MH89" s="65"/>
      <c r="MI89" s="15" t="str">
        <f t="shared" si="332"/>
        <v>NO APLICA</v>
      </c>
      <c r="MJ89" s="12"/>
      <c r="MK89" s="14"/>
      <c r="ML89" s="65"/>
      <c r="MM89" s="15" t="str">
        <f t="shared" si="333"/>
        <v>NO APLICA</v>
      </c>
      <c r="MN89" s="12"/>
      <c r="MO89" s="14"/>
      <c r="MP89" s="12"/>
      <c r="MQ89" s="15" t="str">
        <f t="shared" si="334"/>
        <v>NO APLICA</v>
      </c>
      <c r="MR89" s="12"/>
      <c r="MS89" s="16"/>
      <c r="MT89" s="14"/>
      <c r="MU89" s="65"/>
      <c r="MV89" s="15" t="str">
        <f t="shared" si="335"/>
        <v>NO APLICA</v>
      </c>
      <c r="MW89" s="12"/>
      <c r="MX89" s="16"/>
      <c r="MY89" s="14"/>
      <c r="MZ89" s="65"/>
      <c r="NA89" s="15" t="str">
        <f t="shared" si="336"/>
        <v>NO APLICA</v>
      </c>
      <c r="NB89" s="12"/>
      <c r="NC89" s="16"/>
      <c r="ND89" s="14"/>
      <c r="NE89" s="65"/>
      <c r="NF89" s="15" t="str">
        <f t="shared" si="337"/>
        <v>NO APLICA</v>
      </c>
      <c r="NG89" s="12"/>
      <c r="NH89" s="12"/>
      <c r="NI89" s="14"/>
      <c r="NJ89" s="12"/>
      <c r="NK89" s="15" t="str">
        <f t="shared" si="338"/>
        <v>NO APLICA</v>
      </c>
      <c r="NL89" s="12"/>
      <c r="NM89" s="12"/>
      <c r="NN89" s="14"/>
      <c r="NO89" s="12"/>
      <c r="NP89" s="15" t="str">
        <f t="shared" si="339"/>
        <v>NO APLICA</v>
      </c>
      <c r="NQ89" s="16"/>
      <c r="NR89" s="16"/>
      <c r="NS89" s="14"/>
      <c r="NT89" s="65"/>
      <c r="NU89" s="15" t="str">
        <f t="shared" si="340"/>
        <v>NO APLICA</v>
      </c>
      <c r="NV89" s="16"/>
      <c r="NW89" s="16"/>
      <c r="NX89" s="16"/>
      <c r="NY89" s="16"/>
      <c r="NZ89" s="15" t="str">
        <f t="shared" si="341"/>
        <v>NO APLICA</v>
      </c>
    </row>
    <row r="90" spans="1:390" ht="15.6" thickTop="1" thickBot="1" x14ac:dyDescent="0.35">
      <c r="A90" s="11">
        <v>1655</v>
      </c>
      <c r="B90" s="10" t="s">
        <v>372</v>
      </c>
      <c r="C90" s="21" t="s">
        <v>104</v>
      </c>
      <c r="D90" s="64" t="s">
        <v>110</v>
      </c>
      <c r="E90" s="15"/>
      <c r="F90" s="16"/>
      <c r="G90" s="14"/>
      <c r="H90" s="65"/>
      <c r="I90" s="15" t="str">
        <f t="shared" si="235"/>
        <v>NO APLICA</v>
      </c>
      <c r="J90" s="15"/>
      <c r="K90" s="16"/>
      <c r="L90" s="16"/>
      <c r="M90" s="65"/>
      <c r="N90" s="15" t="str">
        <f t="shared" si="236"/>
        <v>NO APLICA</v>
      </c>
      <c r="O90" s="14">
        <v>45357</v>
      </c>
      <c r="P90" s="14"/>
      <c r="Q90" s="14"/>
      <c r="R90" s="65"/>
      <c r="S90" s="15" t="str">
        <f t="shared" si="342"/>
        <v>NO APLICA</v>
      </c>
      <c r="T90" s="12" t="s">
        <v>373</v>
      </c>
      <c r="U90" s="13">
        <v>44421</v>
      </c>
      <c r="V90" s="14">
        <v>44422</v>
      </c>
      <c r="W90" s="14">
        <f t="shared" si="237"/>
        <v>46248</v>
      </c>
      <c r="X90" s="65">
        <f t="shared" ca="1" si="238"/>
        <v>117</v>
      </c>
      <c r="Y90" s="15" t="str">
        <f t="shared" ca="1" si="239"/>
        <v>VIGENTE</v>
      </c>
      <c r="Z90" s="12" t="s">
        <v>374</v>
      </c>
      <c r="AA90" s="13">
        <v>45191</v>
      </c>
      <c r="AB90" s="14">
        <v>45192</v>
      </c>
      <c r="AC90" s="14">
        <f>DATE(YEAR(AB90)+5,MONTH(AB90),DAY(AB90))</f>
        <v>47019</v>
      </c>
      <c r="AD90" s="65">
        <f ca="1">AC90-TODAY()</f>
        <v>888</v>
      </c>
      <c r="AE90" s="15" t="str">
        <f t="shared" ca="1" si="367"/>
        <v>VIGENTE</v>
      </c>
      <c r="AF90" s="13">
        <v>45314</v>
      </c>
      <c r="AG90" s="14">
        <v>46006</v>
      </c>
      <c r="AH90" s="14">
        <f>DATE(YEAR(AG90)+2,MONTH(AG90),DAY(AG90))</f>
        <v>46736</v>
      </c>
      <c r="AI90" s="65">
        <f t="shared" ca="1" si="241"/>
        <v>605</v>
      </c>
      <c r="AJ90" s="15" t="str">
        <f t="shared" ca="1" si="213"/>
        <v>VIGENTE</v>
      </c>
      <c r="AK90" s="12"/>
      <c r="AL90" s="14">
        <v>45937</v>
      </c>
      <c r="AM90" s="14">
        <f t="shared" si="380"/>
        <v>46667</v>
      </c>
      <c r="AN90" s="65">
        <f t="shared" ca="1" si="242"/>
        <v>536</v>
      </c>
      <c r="AO90" s="15" t="str">
        <f t="shared" ca="1" si="243"/>
        <v>VIGENTE</v>
      </c>
      <c r="AP90" s="13">
        <v>45298</v>
      </c>
      <c r="AQ90" s="14">
        <v>45967</v>
      </c>
      <c r="AR90" s="14">
        <f t="shared" si="381"/>
        <v>46697</v>
      </c>
      <c r="AS90" s="65">
        <f t="shared" ca="1" si="244"/>
        <v>566</v>
      </c>
      <c r="AT90" s="15" t="str">
        <f t="shared" ca="1" si="245"/>
        <v>VIGENTE</v>
      </c>
      <c r="AU90" s="13">
        <v>45318</v>
      </c>
      <c r="AV90" s="14">
        <v>45972</v>
      </c>
      <c r="AW90" s="14">
        <f t="shared" si="382"/>
        <v>46702</v>
      </c>
      <c r="AX90" s="65">
        <f t="shared" ca="1" si="246"/>
        <v>571</v>
      </c>
      <c r="AY90" s="15" t="str">
        <f t="shared" ca="1" si="247"/>
        <v>VIGENTE</v>
      </c>
      <c r="AZ90" s="13">
        <v>45263</v>
      </c>
      <c r="BA90" s="14">
        <v>45930</v>
      </c>
      <c r="BB90" s="14">
        <f>DATE(YEAR(BA90)+2,MONTH(BA90),DAY(BA90))</f>
        <v>46660</v>
      </c>
      <c r="BC90" s="65">
        <f t="shared" ca="1" si="248"/>
        <v>529</v>
      </c>
      <c r="BD90" s="15" t="str">
        <f t="shared" ca="1" si="249"/>
        <v>VIGENTE</v>
      </c>
      <c r="BE90" s="12"/>
      <c r="BF90" s="14">
        <v>45987</v>
      </c>
      <c r="BG90" s="14">
        <f t="shared" si="388"/>
        <v>46717</v>
      </c>
      <c r="BH90" s="65">
        <f t="shared" ca="1" si="250"/>
        <v>586</v>
      </c>
      <c r="BI90" s="15" t="str">
        <f t="shared" ca="1" si="251"/>
        <v>VIGENTE</v>
      </c>
      <c r="BJ90" s="13">
        <v>45348</v>
      </c>
      <c r="BK90" s="14">
        <v>46017</v>
      </c>
      <c r="BL90" s="14">
        <f>DATE(YEAR(BK90)+2,MONTH(BK90),DAY(BK90))</f>
        <v>46747</v>
      </c>
      <c r="BM90" s="65">
        <f t="shared" ca="1" si="252"/>
        <v>616</v>
      </c>
      <c r="BN90" s="15" t="str">
        <f t="shared" ca="1" si="253"/>
        <v>VIGENTE</v>
      </c>
      <c r="BO90" s="14">
        <v>45308</v>
      </c>
      <c r="BP90" s="14">
        <v>45981</v>
      </c>
      <c r="BQ90" s="14">
        <f>DATE(YEAR(BP90)+2,MONTH(BP90),DAY(BP90))</f>
        <v>46711</v>
      </c>
      <c r="BR90" s="65">
        <f t="shared" ca="1" si="254"/>
        <v>580</v>
      </c>
      <c r="BS90" s="15" t="str">
        <f t="shared" ca="1" si="255"/>
        <v>VIGENTE</v>
      </c>
      <c r="BT90" s="13">
        <v>45362</v>
      </c>
      <c r="BU90" s="14">
        <v>46031</v>
      </c>
      <c r="BV90" s="14">
        <f>DATE(YEAR(BU90)+2,MONTH(BU90),DAY(BU90))</f>
        <v>46761</v>
      </c>
      <c r="BW90" s="65">
        <f t="shared" ca="1" si="256"/>
        <v>630</v>
      </c>
      <c r="BX90" s="15" t="str">
        <f t="shared" ca="1" si="257"/>
        <v>VIGENTE</v>
      </c>
      <c r="BY90" s="12"/>
      <c r="BZ90" s="14">
        <v>45986</v>
      </c>
      <c r="CA90" s="14">
        <f t="shared" si="383"/>
        <v>46716</v>
      </c>
      <c r="CB90" s="65">
        <f t="shared" ca="1" si="258"/>
        <v>585</v>
      </c>
      <c r="CC90" s="15" t="str">
        <f t="shared" ca="1" si="259"/>
        <v>VIGENTE</v>
      </c>
      <c r="CD90" s="16" t="s">
        <v>108</v>
      </c>
      <c r="CE90" s="14">
        <v>45546</v>
      </c>
      <c r="CF90" s="14">
        <v>45547</v>
      </c>
      <c r="CG90" s="14">
        <f t="shared" si="377"/>
        <v>47008</v>
      </c>
      <c r="CH90" s="65">
        <f t="shared" ca="1" si="378"/>
        <v>877</v>
      </c>
      <c r="CI90" s="15" t="str">
        <f t="shared" ca="1" si="262"/>
        <v>VIGENTE</v>
      </c>
      <c r="CJ90" s="14">
        <v>45353</v>
      </c>
      <c r="CK90" s="14">
        <v>46020</v>
      </c>
      <c r="CL90" s="14">
        <f>DATE(YEAR(CK90)+2,MONTH(CK90),DAY(CK90))</f>
        <v>46750</v>
      </c>
      <c r="CM90" s="65">
        <f t="shared" ca="1" si="263"/>
        <v>619</v>
      </c>
      <c r="CN90" s="15" t="str">
        <f t="shared" ca="1" si="264"/>
        <v>VIGENTE</v>
      </c>
      <c r="CO90" s="14">
        <v>45305</v>
      </c>
      <c r="CP90" s="14">
        <v>45979</v>
      </c>
      <c r="CQ90" s="14">
        <f>DATE(YEAR(CP90)+2,MONTH(CP90),DAY(CP90))</f>
        <v>46709</v>
      </c>
      <c r="CR90" s="65">
        <f t="shared" ca="1" si="265"/>
        <v>578</v>
      </c>
      <c r="CS90" s="15" t="str">
        <f t="shared" ca="1" si="266"/>
        <v>VIGENTE</v>
      </c>
      <c r="CT90" s="12"/>
      <c r="CU90" s="14">
        <v>45939</v>
      </c>
      <c r="CV90" s="14">
        <f>DATE(YEAR(CU90)+2,MONTH(CU90),DAY(CU90))</f>
        <v>46669</v>
      </c>
      <c r="CW90" s="65">
        <f t="shared" ca="1" si="267"/>
        <v>538</v>
      </c>
      <c r="CX90" s="15" t="str">
        <f t="shared" ca="1" si="268"/>
        <v>VIGENTE</v>
      </c>
      <c r="CY90" s="13"/>
      <c r="CZ90" s="14">
        <v>45924</v>
      </c>
      <c r="DA90" s="14">
        <f>DATE(YEAR(CZ90)+2,MONTH(CZ90),DAY(CZ90))</f>
        <v>46654</v>
      </c>
      <c r="DB90" s="65">
        <f t="shared" ca="1" si="269"/>
        <v>523</v>
      </c>
      <c r="DC90" s="15" t="str">
        <f t="shared" ca="1" si="270"/>
        <v>VIGENTE</v>
      </c>
      <c r="DD90" s="14">
        <v>45365</v>
      </c>
      <c r="DE90" s="14">
        <v>46045</v>
      </c>
      <c r="DF90" s="14">
        <f>DATE(YEAR(DE90)+2,MONTH(DE90),DAY(DE90))</f>
        <v>46775</v>
      </c>
      <c r="DG90" s="65">
        <f t="shared" ca="1" si="271"/>
        <v>644</v>
      </c>
      <c r="DH90" s="15" t="str">
        <f t="shared" ca="1" si="272"/>
        <v>VIGENTE</v>
      </c>
      <c r="DI90" s="13">
        <v>45296</v>
      </c>
      <c r="DJ90" s="14">
        <v>45955</v>
      </c>
      <c r="DK90" s="14">
        <f t="shared" si="384"/>
        <v>46685</v>
      </c>
      <c r="DL90" s="65">
        <f t="shared" ca="1" si="273"/>
        <v>554</v>
      </c>
      <c r="DM90" s="15" t="str">
        <f t="shared" ca="1" si="274"/>
        <v>VIGENTE</v>
      </c>
      <c r="DN90" s="13">
        <v>45316</v>
      </c>
      <c r="DO90" s="14">
        <v>45982</v>
      </c>
      <c r="DP90" s="14">
        <f>DATE(YEAR(DO90)+2,MONTH(DO90),DAY(DO90))</f>
        <v>46712</v>
      </c>
      <c r="DQ90" s="65">
        <f t="shared" ca="1" si="275"/>
        <v>581</v>
      </c>
      <c r="DR90" s="15" t="str">
        <f t="shared" ca="1" si="276"/>
        <v>VIGENTE</v>
      </c>
      <c r="DS90" s="14">
        <v>45336</v>
      </c>
      <c r="DT90" s="14">
        <v>46018</v>
      </c>
      <c r="DU90" s="14">
        <f>DATE(YEAR(DT90)+2,MONTH(DT90),DAY(DT90))</f>
        <v>46748</v>
      </c>
      <c r="DV90" s="65">
        <f t="shared" ca="1" si="277"/>
        <v>617</v>
      </c>
      <c r="DW90" s="15" t="str">
        <f t="shared" ca="1" si="278"/>
        <v>VIGENTE</v>
      </c>
      <c r="DX90" s="13">
        <v>45274</v>
      </c>
      <c r="DY90" s="14">
        <v>45934</v>
      </c>
      <c r="DZ90" s="14">
        <f>DATE(YEAR(DY90)+2,MONTH(DY90),DAY(DY90))</f>
        <v>46664</v>
      </c>
      <c r="EA90" s="65">
        <f t="shared" ca="1" si="279"/>
        <v>533</v>
      </c>
      <c r="EB90" s="15" t="str">
        <f t="shared" ca="1" si="280"/>
        <v>VIGENTE</v>
      </c>
      <c r="EC90" s="13">
        <v>45265</v>
      </c>
      <c r="ED90" s="14">
        <v>45938</v>
      </c>
      <c r="EE90" s="14">
        <f>DATE(YEAR(ED90)+2,MONTH(ED90),DAY(ED90))</f>
        <v>46668</v>
      </c>
      <c r="EF90" s="65">
        <f t="shared" ca="1" si="281"/>
        <v>537</v>
      </c>
      <c r="EG90" s="15" t="str">
        <f t="shared" ca="1" si="282"/>
        <v>VIGENTE</v>
      </c>
      <c r="EH90" s="13">
        <v>45327</v>
      </c>
      <c r="EI90" s="13">
        <v>45806</v>
      </c>
      <c r="EJ90" s="13">
        <v>45807</v>
      </c>
      <c r="EK90" s="14">
        <v>45808</v>
      </c>
      <c r="EL90" s="14">
        <f t="shared" si="344"/>
        <v>46173</v>
      </c>
      <c r="EM90" s="65">
        <f t="shared" ca="1" si="283"/>
        <v>42</v>
      </c>
      <c r="EN90" s="15" t="str">
        <f t="shared" ca="1" si="284"/>
        <v>POR VENCER</v>
      </c>
      <c r="EO90" s="13"/>
      <c r="EP90" s="14">
        <v>45940</v>
      </c>
      <c r="EQ90" s="14">
        <f>DATE(YEAR(EP90)+2,MONTH(EP90),DAY(EP90))</f>
        <v>46670</v>
      </c>
      <c r="ER90" s="65">
        <f t="shared" ca="1" si="285"/>
        <v>539</v>
      </c>
      <c r="ES90" s="15" t="str">
        <f t="shared" ca="1" si="286"/>
        <v>VIGENTE</v>
      </c>
      <c r="ET90" s="13">
        <v>45351</v>
      </c>
      <c r="EU90" s="14">
        <v>45993</v>
      </c>
      <c r="EV90" s="14">
        <f t="shared" si="385"/>
        <v>46723</v>
      </c>
      <c r="EW90" s="65">
        <f t="shared" ca="1" si="287"/>
        <v>592</v>
      </c>
      <c r="EX90" s="15" t="str">
        <f t="shared" ca="1" si="288"/>
        <v>VIGENTE</v>
      </c>
      <c r="EY90" s="13">
        <v>45360</v>
      </c>
      <c r="EZ90" s="14">
        <v>46037</v>
      </c>
      <c r="FA90" s="14">
        <f>DATE(YEAR(EZ90)+2,MONTH(EZ90),DAY(EZ90))</f>
        <v>46767</v>
      </c>
      <c r="FB90" s="65">
        <f t="shared" ca="1" si="289"/>
        <v>636</v>
      </c>
      <c r="FC90" s="15" t="str">
        <f t="shared" ca="1" si="290"/>
        <v>VIGENTE</v>
      </c>
      <c r="FD90" s="12"/>
      <c r="FE90" s="14">
        <v>45988</v>
      </c>
      <c r="FF90" s="14">
        <f t="shared" si="386"/>
        <v>46718</v>
      </c>
      <c r="FG90" s="65">
        <f t="shared" ca="1" si="291"/>
        <v>587</v>
      </c>
      <c r="FH90" s="15" t="str">
        <f t="shared" ca="1" si="292"/>
        <v>VIGENTE</v>
      </c>
      <c r="FI90" s="12"/>
      <c r="FJ90" s="14">
        <v>45992</v>
      </c>
      <c r="FK90" s="14">
        <f t="shared" si="387"/>
        <v>46722</v>
      </c>
      <c r="FL90" s="65">
        <f t="shared" ca="1" si="293"/>
        <v>591</v>
      </c>
      <c r="FM90" s="15" t="str">
        <f t="shared" ca="1" si="294"/>
        <v>VIGENTE</v>
      </c>
      <c r="FN90" s="14">
        <v>45359</v>
      </c>
      <c r="FO90" s="14">
        <v>46039</v>
      </c>
      <c r="FP90" s="14">
        <f>DATE(YEAR(FO90)+2,MONTH(FO90),DAY(FO90))</f>
        <v>46769</v>
      </c>
      <c r="FQ90" s="65">
        <f t="shared" ca="1" si="295"/>
        <v>638</v>
      </c>
      <c r="FR90" s="15" t="str">
        <f t="shared" ca="1" si="296"/>
        <v>VIGENTE</v>
      </c>
      <c r="FS90" s="13">
        <v>45338</v>
      </c>
      <c r="FT90" s="14">
        <v>45957</v>
      </c>
      <c r="FU90" s="14">
        <f>DATE(YEAR(FT90)+2,MONTH(FT90),DAY(FT90))</f>
        <v>46687</v>
      </c>
      <c r="FV90" s="65">
        <f t="shared" ca="1" si="297"/>
        <v>556</v>
      </c>
      <c r="FW90" s="15" t="str">
        <f t="shared" ca="1" si="298"/>
        <v>VIGENTE</v>
      </c>
      <c r="FX90" s="13"/>
      <c r="FY90" s="14">
        <v>46014</v>
      </c>
      <c r="FZ90" s="14">
        <f>DATE(YEAR(FY90)+2,MONTH(FY90),DAY(FY90))</f>
        <v>46744</v>
      </c>
      <c r="GA90" s="65">
        <f t="shared" ca="1" si="299"/>
        <v>613</v>
      </c>
      <c r="GB90" s="15" t="str">
        <f t="shared" ca="1" si="300"/>
        <v>VIGENTE</v>
      </c>
      <c r="GC90" s="13"/>
      <c r="GD90" s="14">
        <v>45925</v>
      </c>
      <c r="GE90" s="14">
        <f>DATE(YEAR(GD90)+2,MONTH(GD90),DAY(GD90))</f>
        <v>46655</v>
      </c>
      <c r="GF90" s="65">
        <f t="shared" ca="1" si="301"/>
        <v>524</v>
      </c>
      <c r="GG90" s="15" t="str">
        <f t="shared" ca="1" si="302"/>
        <v>VIGENTE</v>
      </c>
      <c r="GH90" s="13">
        <v>45270</v>
      </c>
      <c r="GI90" s="14">
        <v>45960</v>
      </c>
      <c r="GJ90" s="14">
        <f>DATE(YEAR(GI90)+2,MONTH(GI90),DAY(GI90))</f>
        <v>46690</v>
      </c>
      <c r="GK90" s="65">
        <f t="shared" ca="1" si="303"/>
        <v>559</v>
      </c>
      <c r="GL90" s="15" t="str">
        <f t="shared" ca="1" si="304"/>
        <v>VIGENTE</v>
      </c>
      <c r="GM90" s="13"/>
      <c r="GN90" s="14">
        <v>45945</v>
      </c>
      <c r="GO90" s="14">
        <f>DATE(YEAR(GN90)+2,MONTH(GN90),DAY(GN90))</f>
        <v>46675</v>
      </c>
      <c r="GP90" s="65">
        <f t="shared" ca="1" si="305"/>
        <v>544</v>
      </c>
      <c r="GQ90" s="15" t="str">
        <f t="shared" ca="1" si="306"/>
        <v>VIGENTE</v>
      </c>
      <c r="GR90" s="14"/>
      <c r="GS90" s="14">
        <v>45295</v>
      </c>
      <c r="GT90" s="14">
        <f t="shared" si="307"/>
        <v>47122</v>
      </c>
      <c r="GU90" s="65">
        <f t="shared" ca="1" si="374"/>
        <v>991</v>
      </c>
      <c r="GV90" s="15" t="str">
        <f t="shared" ca="1" si="368"/>
        <v>VIGENTE</v>
      </c>
      <c r="GW90" s="13"/>
      <c r="GX90" s="14">
        <v>45329</v>
      </c>
      <c r="GY90" s="14">
        <f t="shared" si="309"/>
        <v>47156</v>
      </c>
      <c r="GZ90" s="65">
        <f t="shared" ca="1" si="310"/>
        <v>1025</v>
      </c>
      <c r="HA90" s="15" t="str">
        <f t="shared" ca="1" si="369"/>
        <v>VIGENTE</v>
      </c>
      <c r="HB90" s="12"/>
      <c r="HC90" s="14">
        <v>45293</v>
      </c>
      <c r="HD90" s="14">
        <f t="shared" si="312"/>
        <v>47120</v>
      </c>
      <c r="HE90" s="65">
        <f t="shared" ca="1" si="313"/>
        <v>989</v>
      </c>
      <c r="HF90" s="15" t="str">
        <f t="shared" ca="1" si="370"/>
        <v>VIGENTE</v>
      </c>
      <c r="HG90" s="16"/>
      <c r="HH90" s="14">
        <v>45267</v>
      </c>
      <c r="HI90" s="14">
        <f>DATE(YEAR(HH90)+5,MONTH(HH90),DAY(HH90))</f>
        <v>47094</v>
      </c>
      <c r="HJ90" s="65">
        <f ca="1">HI90-TODAY()</f>
        <v>963</v>
      </c>
      <c r="HK90" s="15" t="str">
        <f t="shared" ca="1" si="379"/>
        <v>VIGENTE</v>
      </c>
      <c r="HL90" s="12"/>
      <c r="HM90" s="16"/>
      <c r="HN90" s="14"/>
      <c r="HO90" s="65"/>
      <c r="HP90" s="15" t="str">
        <f t="shared" si="375"/>
        <v>NO APLICA</v>
      </c>
      <c r="HQ90" s="12"/>
      <c r="HR90" s="12"/>
      <c r="HS90" s="14"/>
      <c r="HT90" s="12"/>
      <c r="HU90" s="15" t="str">
        <f t="shared" si="315"/>
        <v>NO APLICA</v>
      </c>
      <c r="HV90" s="12"/>
      <c r="HW90" s="16"/>
      <c r="HX90" s="14"/>
      <c r="HY90" s="65"/>
      <c r="HZ90" s="15" t="str">
        <f t="shared" si="316"/>
        <v>NO APLICA</v>
      </c>
      <c r="IA90" s="12"/>
      <c r="IB90" s="16"/>
      <c r="IC90" s="14"/>
      <c r="ID90" s="65"/>
      <c r="IE90" s="15" t="str">
        <f t="shared" si="317"/>
        <v>NO APLICA</v>
      </c>
      <c r="IF90" s="12"/>
      <c r="IG90" s="16"/>
      <c r="IH90" s="14"/>
      <c r="II90" s="65"/>
      <c r="IJ90" s="15" t="str">
        <f t="shared" si="318"/>
        <v>NO APLICA</v>
      </c>
      <c r="IK90" s="16"/>
      <c r="IL90" s="16"/>
      <c r="IM90" s="14"/>
      <c r="IN90" s="65"/>
      <c r="IO90" s="15" t="str">
        <f t="shared" si="319"/>
        <v>NO APLICA</v>
      </c>
      <c r="IP90" s="12"/>
      <c r="IQ90" s="16"/>
      <c r="IR90" s="14"/>
      <c r="IS90" s="65"/>
      <c r="IT90" s="15" t="str">
        <f t="shared" si="320"/>
        <v>NO APLICA</v>
      </c>
      <c r="IU90" s="12"/>
      <c r="IV90" s="16"/>
      <c r="IW90" s="14"/>
      <c r="IX90" s="65"/>
      <c r="IY90" s="15" t="str">
        <f t="shared" si="321"/>
        <v>NO APLICA</v>
      </c>
      <c r="IZ90" s="12"/>
      <c r="JA90" s="16"/>
      <c r="JB90" s="14"/>
      <c r="JC90" s="65"/>
      <c r="JD90" s="15" t="str">
        <f t="shared" si="322"/>
        <v>NO APLICA</v>
      </c>
      <c r="JE90" s="13"/>
      <c r="JF90" s="13"/>
      <c r="JG90" s="14"/>
      <c r="JH90" s="65"/>
      <c r="JI90" s="15" t="str">
        <f t="shared" si="323"/>
        <v>NO APLICA</v>
      </c>
      <c r="JJ90" s="16"/>
      <c r="JK90" s="16"/>
      <c r="JL90" s="16"/>
      <c r="JM90" s="15" t="str">
        <f t="shared" si="324"/>
        <v>NO APLICA</v>
      </c>
      <c r="JN90" s="16"/>
      <c r="JO90" s="16"/>
      <c r="JP90" s="16"/>
      <c r="JQ90" s="15" t="str">
        <f t="shared" si="325"/>
        <v>NO APLICA</v>
      </c>
      <c r="JR90" s="16"/>
      <c r="JS90" s="16"/>
      <c r="JT90" s="16"/>
      <c r="JU90" s="16"/>
      <c r="JV90" s="15" t="str">
        <f t="shared" si="326"/>
        <v>NO APLICA</v>
      </c>
      <c r="JW90" s="15"/>
      <c r="JX90" s="15"/>
      <c r="JY90" s="15"/>
      <c r="JZ90" s="15"/>
      <c r="KA90" s="15" t="str">
        <f t="shared" si="327"/>
        <v>NO APLICA</v>
      </c>
      <c r="KB90" s="12"/>
      <c r="KC90" s="14"/>
      <c r="KD90" s="65"/>
      <c r="KE90" s="15" t="str">
        <f t="shared" si="328"/>
        <v>NO APLICA</v>
      </c>
      <c r="KF90" s="13">
        <v>45328</v>
      </c>
      <c r="KG90" s="14">
        <f>DATE(YEAR(KF90)+5,MONTH(KF90),DAY(KF90)-1)</f>
        <v>47154</v>
      </c>
      <c r="KH90" s="65">
        <f ca="1">KG90-TODAY()</f>
        <v>1023</v>
      </c>
      <c r="KI90" s="15" t="str">
        <f t="shared" ca="1" si="345"/>
        <v>VIGENTE</v>
      </c>
      <c r="KJ90" s="12"/>
      <c r="KK90" s="14"/>
      <c r="KL90" s="65"/>
      <c r="KM90" s="15" t="str">
        <f t="shared" si="329"/>
        <v>NO APLICA</v>
      </c>
      <c r="KN90" s="12"/>
      <c r="KO90" s="14"/>
      <c r="KP90" s="65"/>
      <c r="KQ90" s="15" t="str">
        <f t="shared" si="346"/>
        <v>NO APLICA</v>
      </c>
      <c r="KR90" s="12"/>
      <c r="KS90" s="16"/>
      <c r="KT90" s="14"/>
      <c r="KU90" s="65"/>
      <c r="KV90" s="15" t="str">
        <f t="shared" si="355"/>
        <v>NO APLICA</v>
      </c>
      <c r="KW90" s="16"/>
      <c r="KX90" s="14"/>
      <c r="KY90" s="65"/>
      <c r="KZ90" s="15" t="str">
        <f t="shared" si="347"/>
        <v>NO APLICA</v>
      </c>
      <c r="LA90" s="16"/>
      <c r="LB90" s="14">
        <v>45509</v>
      </c>
      <c r="LC90" s="14">
        <f>DATE(YEAR(LB90)+2,MONTH(LB90),DAY(LB90))</f>
        <v>46239</v>
      </c>
      <c r="LD90" s="65">
        <f ca="1">LC90-TODAY()</f>
        <v>108</v>
      </c>
      <c r="LE90" s="15" t="str">
        <f t="shared" ca="1" si="330"/>
        <v>VIGENTE</v>
      </c>
      <c r="LF90" s="15"/>
      <c r="LG90" s="15"/>
      <c r="LH90" s="14"/>
      <c r="LI90" s="65"/>
      <c r="LJ90" s="15" t="str">
        <f t="shared" si="356"/>
        <v>NO APLICA</v>
      </c>
      <c r="LK90" s="12"/>
      <c r="LL90" s="16"/>
      <c r="LM90" s="14"/>
      <c r="LN90" s="65"/>
      <c r="LO90" s="15" t="str">
        <f t="shared" si="348"/>
        <v>NO APLICA</v>
      </c>
      <c r="LP90" s="16"/>
      <c r="LQ90" s="16"/>
      <c r="LR90" s="14"/>
      <c r="LS90" s="65"/>
      <c r="LT90" s="15" t="str">
        <f t="shared" si="349"/>
        <v>NO APLICA</v>
      </c>
      <c r="LU90" s="16"/>
      <c r="LV90" s="16"/>
      <c r="LW90" s="14"/>
      <c r="LX90" s="65"/>
      <c r="LY90" s="15" t="str">
        <f t="shared" si="350"/>
        <v>NO APLICA</v>
      </c>
      <c r="LZ90" s="12"/>
      <c r="MA90" s="12"/>
      <c r="MB90" s="14"/>
      <c r="MC90" s="65"/>
      <c r="MD90" s="15" t="str">
        <f t="shared" si="331"/>
        <v>NO APLICA</v>
      </c>
      <c r="ME90" s="12"/>
      <c r="MF90" s="12"/>
      <c r="MG90" s="14"/>
      <c r="MH90" s="65"/>
      <c r="MI90" s="15" t="str">
        <f t="shared" si="332"/>
        <v>NO APLICA</v>
      </c>
      <c r="MJ90" s="12"/>
      <c r="MK90" s="14"/>
      <c r="ML90" s="65"/>
      <c r="MM90" s="15" t="str">
        <f t="shared" si="333"/>
        <v>NO APLICA</v>
      </c>
      <c r="MN90" s="12"/>
      <c r="MO90" s="14"/>
      <c r="MP90" s="12"/>
      <c r="MQ90" s="15" t="str">
        <f t="shared" si="334"/>
        <v>NO APLICA</v>
      </c>
      <c r="MR90" s="12"/>
      <c r="MS90" s="16"/>
      <c r="MT90" s="14"/>
      <c r="MU90" s="65"/>
      <c r="MV90" s="15" t="str">
        <f t="shared" si="335"/>
        <v>NO APLICA</v>
      </c>
      <c r="MW90" s="12"/>
      <c r="MX90" s="16"/>
      <c r="MY90" s="14"/>
      <c r="MZ90" s="65"/>
      <c r="NA90" s="15" t="str">
        <f t="shared" si="336"/>
        <v>NO APLICA</v>
      </c>
      <c r="NB90" s="12"/>
      <c r="NC90" s="16"/>
      <c r="ND90" s="14"/>
      <c r="NE90" s="65"/>
      <c r="NF90" s="15" t="str">
        <f t="shared" si="337"/>
        <v>NO APLICA</v>
      </c>
      <c r="NG90" s="12"/>
      <c r="NH90" s="12"/>
      <c r="NI90" s="14"/>
      <c r="NJ90" s="65"/>
      <c r="NK90" s="15" t="str">
        <f t="shared" si="338"/>
        <v>NO APLICA</v>
      </c>
      <c r="NL90" s="12"/>
      <c r="NM90" s="12"/>
      <c r="NN90" s="14"/>
      <c r="NO90" s="12"/>
      <c r="NP90" s="15" t="str">
        <f t="shared" si="339"/>
        <v>NO APLICA</v>
      </c>
      <c r="NQ90" s="16"/>
      <c r="NR90" s="16"/>
      <c r="NS90" s="14"/>
      <c r="NT90" s="65"/>
      <c r="NU90" s="15" t="str">
        <f t="shared" si="340"/>
        <v>NO APLICA</v>
      </c>
      <c r="NV90" s="16"/>
      <c r="NW90" s="16"/>
      <c r="NX90" s="16"/>
      <c r="NY90" s="16"/>
      <c r="NZ90" s="15" t="str">
        <f t="shared" si="341"/>
        <v>NO APLICA</v>
      </c>
    </row>
    <row r="91" spans="1:390" ht="15.6" thickTop="1" thickBot="1" x14ac:dyDescent="0.35">
      <c r="A91" s="9">
        <v>877</v>
      </c>
      <c r="B91" s="10" t="s">
        <v>375</v>
      </c>
      <c r="C91" s="21" t="s">
        <v>151</v>
      </c>
      <c r="D91" s="64" t="s">
        <v>165</v>
      </c>
      <c r="E91" s="13">
        <v>46118</v>
      </c>
      <c r="F91" s="14">
        <v>46119</v>
      </c>
      <c r="G91" s="14">
        <f>DATE(YEAR(F91)+2,MONTH(F91),DAY(F91))</f>
        <v>46850</v>
      </c>
      <c r="H91" s="65">
        <f ca="1">G91-TODAY()</f>
        <v>719</v>
      </c>
      <c r="I91" s="15" t="str">
        <f t="shared" ca="1" si="235"/>
        <v>VIGENTE</v>
      </c>
      <c r="J91" s="12"/>
      <c r="K91" s="16"/>
      <c r="L91" s="16"/>
      <c r="M91" s="65"/>
      <c r="N91" s="15" t="str">
        <f t="shared" si="236"/>
        <v>NO APLICA</v>
      </c>
      <c r="O91" s="16"/>
      <c r="P91" s="16"/>
      <c r="Q91" s="14"/>
      <c r="R91" s="65"/>
      <c r="S91" s="15" t="str">
        <f t="shared" si="342"/>
        <v>NO APLICA</v>
      </c>
      <c r="T91" s="12" t="s">
        <v>376</v>
      </c>
      <c r="U91" s="13">
        <v>45734</v>
      </c>
      <c r="V91" s="14">
        <v>45735</v>
      </c>
      <c r="W91" s="14">
        <f t="shared" si="237"/>
        <v>47561</v>
      </c>
      <c r="X91" s="65">
        <f t="shared" ca="1" si="238"/>
        <v>1430</v>
      </c>
      <c r="Y91" s="15" t="str">
        <f t="shared" ca="1" si="239"/>
        <v>VIGENTE</v>
      </c>
      <c r="Z91" s="12"/>
      <c r="AA91" s="12"/>
      <c r="AB91" s="16"/>
      <c r="AC91" s="14"/>
      <c r="AD91" s="65"/>
      <c r="AE91" s="15" t="str">
        <f t="shared" si="367"/>
        <v>NO APLICA</v>
      </c>
      <c r="AF91" s="13">
        <v>45243</v>
      </c>
      <c r="AG91" s="14">
        <v>45902</v>
      </c>
      <c r="AH91" s="14">
        <f>DATE(YEAR(AG91)+2,MONTH(AG91),DAY(AG91))</f>
        <v>46632</v>
      </c>
      <c r="AI91" s="65">
        <f t="shared" ca="1" si="241"/>
        <v>501</v>
      </c>
      <c r="AJ91" s="15" t="str">
        <f t="shared" ca="1" si="213"/>
        <v>VIGENTE</v>
      </c>
      <c r="AK91" s="13">
        <v>45236</v>
      </c>
      <c r="AL91" s="14">
        <v>45903</v>
      </c>
      <c r="AM91" s="14">
        <f t="shared" si="380"/>
        <v>46633</v>
      </c>
      <c r="AN91" s="65">
        <f t="shared" ca="1" si="242"/>
        <v>502</v>
      </c>
      <c r="AO91" s="15" t="str">
        <f t="shared" ca="1" si="243"/>
        <v>VIGENTE</v>
      </c>
      <c r="AP91" s="13">
        <v>45298</v>
      </c>
      <c r="AQ91" s="14">
        <v>45989</v>
      </c>
      <c r="AR91" s="14">
        <f t="shared" si="381"/>
        <v>46719</v>
      </c>
      <c r="AS91" s="65">
        <f t="shared" ca="1" si="244"/>
        <v>588</v>
      </c>
      <c r="AT91" s="15" t="str">
        <f t="shared" ca="1" si="245"/>
        <v>VIGENTE</v>
      </c>
      <c r="AU91" s="13">
        <v>44652</v>
      </c>
      <c r="AV91" s="14">
        <v>45927</v>
      </c>
      <c r="AW91" s="14">
        <f t="shared" si="382"/>
        <v>46657</v>
      </c>
      <c r="AX91" s="65">
        <f t="shared" ca="1" si="246"/>
        <v>526</v>
      </c>
      <c r="AY91" s="15" t="str">
        <f t="shared" ca="1" si="247"/>
        <v>VIGENTE</v>
      </c>
      <c r="AZ91" s="13">
        <v>45387</v>
      </c>
      <c r="BA91" s="14">
        <v>46071</v>
      </c>
      <c r="BB91" s="14">
        <f>DATE(YEAR(BA91)+2,MONTH(BA91),DAY(BA91))</f>
        <v>46801</v>
      </c>
      <c r="BC91" s="65">
        <f t="shared" ca="1" si="248"/>
        <v>670</v>
      </c>
      <c r="BD91" s="15" t="str">
        <f t="shared" ca="1" si="249"/>
        <v>VIGENTE</v>
      </c>
      <c r="BE91" s="13">
        <v>44714</v>
      </c>
      <c r="BF91" s="14">
        <v>46067</v>
      </c>
      <c r="BG91" s="14">
        <f t="shared" si="388"/>
        <v>46797</v>
      </c>
      <c r="BH91" s="65">
        <f t="shared" ca="1" si="250"/>
        <v>666</v>
      </c>
      <c r="BI91" s="15" t="str">
        <f t="shared" ca="1" si="251"/>
        <v>VIGENTE</v>
      </c>
      <c r="BJ91" s="13">
        <v>45339</v>
      </c>
      <c r="BK91" s="14">
        <v>45570</v>
      </c>
      <c r="BL91" s="14">
        <f>DATE(YEAR(BK91)+2,MONTH(BK91),DAY(BK91)-1)</f>
        <v>46299</v>
      </c>
      <c r="BM91" s="65">
        <f t="shared" ca="1" si="252"/>
        <v>168</v>
      </c>
      <c r="BN91" s="15" t="str">
        <f t="shared" ca="1" si="253"/>
        <v>VIGENTE</v>
      </c>
      <c r="BO91" s="13">
        <v>45031</v>
      </c>
      <c r="BP91" s="14">
        <v>45701</v>
      </c>
      <c r="BQ91" s="14">
        <f>DATE(YEAR(BP91)+2,MONTH(BP91),DAY(BP91)-1)</f>
        <v>46430</v>
      </c>
      <c r="BR91" s="65">
        <f t="shared" ca="1" si="254"/>
        <v>299</v>
      </c>
      <c r="BS91" s="15" t="str">
        <f t="shared" ca="1" si="255"/>
        <v>VIGENTE</v>
      </c>
      <c r="BT91" s="13">
        <v>45283</v>
      </c>
      <c r="BU91" s="14">
        <v>45950</v>
      </c>
      <c r="BV91" s="14">
        <f>DATE(YEAR(BU91)+2,MONTH(BU91),DAY(BU91))</f>
        <v>46680</v>
      </c>
      <c r="BW91" s="65">
        <f t="shared" ca="1" si="256"/>
        <v>549</v>
      </c>
      <c r="BX91" s="15" t="str">
        <f t="shared" ca="1" si="257"/>
        <v>VIGENTE</v>
      </c>
      <c r="BY91" s="13">
        <v>44606</v>
      </c>
      <c r="BZ91" s="14">
        <v>45944</v>
      </c>
      <c r="CA91" s="14">
        <f t="shared" si="383"/>
        <v>46674</v>
      </c>
      <c r="CB91" s="65">
        <f t="shared" ca="1" si="258"/>
        <v>543</v>
      </c>
      <c r="CC91" s="15" t="str">
        <f t="shared" ca="1" si="259"/>
        <v>VIGENTE</v>
      </c>
      <c r="CD91" s="16" t="s">
        <v>102</v>
      </c>
      <c r="CE91" s="14">
        <v>45827</v>
      </c>
      <c r="CF91" s="14">
        <v>45828</v>
      </c>
      <c r="CG91" s="14">
        <f t="shared" si="377"/>
        <v>47289</v>
      </c>
      <c r="CH91" s="65">
        <f t="shared" ca="1" si="378"/>
        <v>1158</v>
      </c>
      <c r="CI91" s="15" t="str">
        <f t="shared" ca="1" si="262"/>
        <v>VIGENTE</v>
      </c>
      <c r="CJ91" s="14">
        <v>45051</v>
      </c>
      <c r="CK91" s="14">
        <v>45688</v>
      </c>
      <c r="CL91" s="14">
        <f>DATE(YEAR(CK91)+2,MONTH(CK91),DAY(CK91)-1)</f>
        <v>46417</v>
      </c>
      <c r="CM91" s="65">
        <f t="shared" ca="1" si="263"/>
        <v>286</v>
      </c>
      <c r="CN91" s="15" t="str">
        <f t="shared" ca="1" si="264"/>
        <v>VIGENTE</v>
      </c>
      <c r="CO91" s="13">
        <v>45026</v>
      </c>
      <c r="CP91" s="14">
        <v>45684</v>
      </c>
      <c r="CQ91" s="14">
        <f>DATE(YEAR(CP91)+2,MONTH(CP91),DAY(CP91)-1)</f>
        <v>46413</v>
      </c>
      <c r="CR91" s="65">
        <f t="shared" ca="1" si="265"/>
        <v>282</v>
      </c>
      <c r="CS91" s="15" t="str">
        <f t="shared" ca="1" si="266"/>
        <v>VIGENTE</v>
      </c>
      <c r="CT91" s="13">
        <v>44651</v>
      </c>
      <c r="CU91" s="14">
        <v>45905</v>
      </c>
      <c r="CV91" s="14">
        <f>DATE(YEAR(CU91)+2,MONTH(CU91),DAY(CU91))</f>
        <v>46635</v>
      </c>
      <c r="CW91" s="65">
        <f t="shared" ca="1" si="267"/>
        <v>504</v>
      </c>
      <c r="CX91" s="15" t="str">
        <f t="shared" ca="1" si="268"/>
        <v>VIGENTE</v>
      </c>
      <c r="CY91" s="13">
        <v>44653</v>
      </c>
      <c r="CZ91" s="14">
        <v>46000</v>
      </c>
      <c r="DA91" s="14">
        <f>DATE(YEAR(CZ91)+2,MONTH(CZ91),DAY(CZ91))</f>
        <v>46730</v>
      </c>
      <c r="DB91" s="65">
        <f t="shared" ca="1" si="269"/>
        <v>599</v>
      </c>
      <c r="DC91" s="15" t="str">
        <f t="shared" ca="1" si="270"/>
        <v>VIGENTE</v>
      </c>
      <c r="DD91" s="13">
        <v>45079</v>
      </c>
      <c r="DE91" s="14">
        <v>45723</v>
      </c>
      <c r="DF91" s="14">
        <f>DATE(YEAR(DE91)+2,MONTH(DE91),DAY(DE91)-1)</f>
        <v>46452</v>
      </c>
      <c r="DG91" s="65">
        <f t="shared" ca="1" si="271"/>
        <v>321</v>
      </c>
      <c r="DH91" s="15" t="str">
        <f t="shared" ca="1" si="272"/>
        <v>VIGENTE</v>
      </c>
      <c r="DI91" s="13">
        <v>44653</v>
      </c>
      <c r="DJ91" s="14">
        <v>45975</v>
      </c>
      <c r="DK91" s="14">
        <f t="shared" si="384"/>
        <v>46705</v>
      </c>
      <c r="DL91" s="65">
        <f t="shared" ca="1" si="273"/>
        <v>574</v>
      </c>
      <c r="DM91" s="15" t="str">
        <f t="shared" ca="1" si="274"/>
        <v>VIGENTE</v>
      </c>
      <c r="DN91" s="13">
        <v>44650</v>
      </c>
      <c r="DO91" s="14">
        <v>45982</v>
      </c>
      <c r="DP91" s="14">
        <f>DATE(YEAR(DO91)+2,MONTH(DO91),DAY(DO91))</f>
        <v>46712</v>
      </c>
      <c r="DQ91" s="65">
        <f t="shared" ca="1" si="275"/>
        <v>581</v>
      </c>
      <c r="DR91" s="15" t="str">
        <f t="shared" ca="1" si="276"/>
        <v>VIGENTE</v>
      </c>
      <c r="DS91" s="13">
        <v>44714</v>
      </c>
      <c r="DT91" s="14">
        <v>46072</v>
      </c>
      <c r="DU91" s="14">
        <f>DATE(YEAR(DT91)+2,MONTH(DT91),DAY(DT91))</f>
        <v>46802</v>
      </c>
      <c r="DV91" s="65">
        <f t="shared" ca="1" si="277"/>
        <v>671</v>
      </c>
      <c r="DW91" s="15" t="str">
        <f t="shared" ca="1" si="278"/>
        <v>VIGENTE</v>
      </c>
      <c r="DX91" s="13">
        <v>45064</v>
      </c>
      <c r="DY91" s="14">
        <v>45663</v>
      </c>
      <c r="DZ91" s="14">
        <f>DATE(YEAR(DY91)+2,MONTH(DY91),DAY(DY91)-1)</f>
        <v>46392</v>
      </c>
      <c r="EA91" s="65">
        <f t="shared" ca="1" si="279"/>
        <v>261</v>
      </c>
      <c r="EB91" s="15" t="str">
        <f t="shared" ca="1" si="280"/>
        <v>VIGENTE</v>
      </c>
      <c r="EC91" s="13">
        <v>45090</v>
      </c>
      <c r="ED91" s="14">
        <v>45715</v>
      </c>
      <c r="EE91" s="14">
        <f>DATE(YEAR(ED91)+2,MONTH(ED91),DAY(ED91)-1)</f>
        <v>46444</v>
      </c>
      <c r="EF91" s="65">
        <f t="shared" ca="1" si="281"/>
        <v>313</v>
      </c>
      <c r="EG91" s="15" t="str">
        <f t="shared" ca="1" si="282"/>
        <v>VIGENTE</v>
      </c>
      <c r="EH91" s="13">
        <v>45048</v>
      </c>
      <c r="EI91" s="13">
        <v>46083</v>
      </c>
      <c r="EJ91" s="13">
        <v>46084</v>
      </c>
      <c r="EK91" s="13">
        <v>46085</v>
      </c>
      <c r="EL91" s="14">
        <f t="shared" si="344"/>
        <v>46450</v>
      </c>
      <c r="EM91" s="65">
        <f t="shared" ca="1" si="283"/>
        <v>319</v>
      </c>
      <c r="EN91" s="15" t="str">
        <f t="shared" ca="1" si="284"/>
        <v>VIGENTE</v>
      </c>
      <c r="EO91" s="13">
        <v>45042</v>
      </c>
      <c r="EP91" s="14">
        <v>45671</v>
      </c>
      <c r="EQ91" s="14">
        <f>DATE(YEAR(EP91)+2,MONTH(EP91),DAY(EP91)-1)</f>
        <v>46400</v>
      </c>
      <c r="ER91" s="65">
        <f t="shared" ca="1" si="285"/>
        <v>269</v>
      </c>
      <c r="ES91" s="15" t="str">
        <f t="shared" ca="1" si="286"/>
        <v>VIGENTE</v>
      </c>
      <c r="ET91" s="13">
        <v>45351</v>
      </c>
      <c r="EU91" s="14">
        <v>45987</v>
      </c>
      <c r="EV91" s="14">
        <f t="shared" si="385"/>
        <v>46717</v>
      </c>
      <c r="EW91" s="65">
        <f t="shared" ca="1" si="287"/>
        <v>586</v>
      </c>
      <c r="EX91" s="15" t="str">
        <f t="shared" ca="1" si="288"/>
        <v>VIGENTE</v>
      </c>
      <c r="EY91" s="13">
        <v>45017</v>
      </c>
      <c r="EZ91" s="14">
        <v>45694</v>
      </c>
      <c r="FA91" s="14">
        <f>DATE(YEAR(EZ91)+2,MONTH(EZ91),DAY(EZ91)-1)</f>
        <v>46423</v>
      </c>
      <c r="FB91" s="65">
        <f t="shared" ca="1" si="289"/>
        <v>292</v>
      </c>
      <c r="FC91" s="15" t="str">
        <f t="shared" ca="1" si="290"/>
        <v>VIGENTE</v>
      </c>
      <c r="FD91" s="13">
        <v>44608</v>
      </c>
      <c r="FE91" s="14">
        <v>45931</v>
      </c>
      <c r="FF91" s="14">
        <f t="shared" si="386"/>
        <v>46661</v>
      </c>
      <c r="FG91" s="65">
        <f t="shared" ca="1" si="291"/>
        <v>530</v>
      </c>
      <c r="FH91" s="15" t="str">
        <f t="shared" ca="1" si="292"/>
        <v>VIGENTE</v>
      </c>
      <c r="FI91" s="13">
        <v>45330</v>
      </c>
      <c r="FJ91" s="14">
        <v>45962</v>
      </c>
      <c r="FK91" s="14">
        <f t="shared" si="387"/>
        <v>46692</v>
      </c>
      <c r="FL91" s="65">
        <f t="shared" ca="1" si="293"/>
        <v>561</v>
      </c>
      <c r="FM91" s="15" t="str">
        <f t="shared" ca="1" si="294"/>
        <v>VIGENTE</v>
      </c>
      <c r="FN91" s="13">
        <v>45055</v>
      </c>
      <c r="FO91" s="14">
        <v>45670</v>
      </c>
      <c r="FP91" s="14">
        <f>DATE(YEAR(FO91)+2,MONTH(FO91),DAY(FO91)-1)</f>
        <v>46399</v>
      </c>
      <c r="FQ91" s="65">
        <f t="shared" ca="1" si="295"/>
        <v>268</v>
      </c>
      <c r="FR91" s="15" t="str">
        <f t="shared" ca="1" si="296"/>
        <v>VIGENTE</v>
      </c>
      <c r="FS91" s="13">
        <v>45014</v>
      </c>
      <c r="FT91" s="14">
        <v>45724</v>
      </c>
      <c r="FU91" s="14">
        <f>DATE(YEAR(FT91)+2,MONTH(FT91),DAY(FT91)-1)</f>
        <v>46453</v>
      </c>
      <c r="FV91" s="65">
        <f t="shared" ca="1" si="297"/>
        <v>322</v>
      </c>
      <c r="FW91" s="15" t="str">
        <f t="shared" ca="1" si="298"/>
        <v>VIGENTE</v>
      </c>
      <c r="FX91" s="13">
        <v>44609</v>
      </c>
      <c r="FY91" s="14">
        <v>45993</v>
      </c>
      <c r="FZ91" s="14">
        <f>DATE(YEAR(FY91)+2,MONTH(FY91),DAY(FY91))</f>
        <v>46723</v>
      </c>
      <c r="GA91" s="65">
        <f t="shared" ca="1" si="299"/>
        <v>592</v>
      </c>
      <c r="GB91" s="15" t="str">
        <f t="shared" ca="1" si="300"/>
        <v>VIGENTE</v>
      </c>
      <c r="GC91" s="13">
        <v>44595</v>
      </c>
      <c r="GD91" s="14">
        <v>45925</v>
      </c>
      <c r="GE91" s="14">
        <f>DATE(YEAR(GD91)+2,MONTH(GD91),DAY(GD91))</f>
        <v>46655</v>
      </c>
      <c r="GF91" s="65">
        <f t="shared" ca="1" si="301"/>
        <v>524</v>
      </c>
      <c r="GG91" s="15" t="str">
        <f t="shared" ca="1" si="302"/>
        <v>VIGENTE</v>
      </c>
      <c r="GH91" s="13">
        <v>45022</v>
      </c>
      <c r="GI91" s="14">
        <v>45672</v>
      </c>
      <c r="GJ91" s="14">
        <f>DATE(YEAR(GI91)+2,MONTH(GI91),DAY(GI91)-1)</f>
        <v>46401</v>
      </c>
      <c r="GK91" s="65">
        <f t="shared" ca="1" si="303"/>
        <v>270</v>
      </c>
      <c r="GL91" s="15" t="str">
        <f t="shared" ca="1" si="304"/>
        <v>VIGENTE</v>
      </c>
      <c r="GM91" s="13">
        <v>45024</v>
      </c>
      <c r="GN91" s="14">
        <v>45687</v>
      </c>
      <c r="GO91" s="14">
        <f>DATE(YEAR(GN91)+2,MONTH(GN91),DAY(GN91)-1)</f>
        <v>46416</v>
      </c>
      <c r="GP91" s="65">
        <f t="shared" ca="1" si="305"/>
        <v>285</v>
      </c>
      <c r="GQ91" s="15" t="str">
        <f t="shared" ca="1" si="306"/>
        <v>VIGENTE</v>
      </c>
      <c r="GR91" s="14"/>
      <c r="GS91" s="14">
        <v>45072</v>
      </c>
      <c r="GT91" s="14">
        <f t="shared" si="307"/>
        <v>46899</v>
      </c>
      <c r="GU91" s="65">
        <f t="shared" ca="1" si="374"/>
        <v>768</v>
      </c>
      <c r="GV91" s="15" t="str">
        <f t="shared" ca="1" si="368"/>
        <v>VIGENTE</v>
      </c>
      <c r="GW91" s="13"/>
      <c r="GX91" s="14">
        <v>45089</v>
      </c>
      <c r="GY91" s="14">
        <f t="shared" si="309"/>
        <v>46916</v>
      </c>
      <c r="GZ91" s="65">
        <f t="shared" ca="1" si="310"/>
        <v>785</v>
      </c>
      <c r="HA91" s="15" t="str">
        <f t="shared" ca="1" si="369"/>
        <v>VIGENTE</v>
      </c>
      <c r="HB91" s="12"/>
      <c r="HC91" s="14">
        <v>45016</v>
      </c>
      <c r="HD91" s="14">
        <f t="shared" si="312"/>
        <v>46843</v>
      </c>
      <c r="HE91" s="65">
        <f t="shared" ca="1" si="313"/>
        <v>712</v>
      </c>
      <c r="HF91" s="15" t="str">
        <f t="shared" ca="1" si="370"/>
        <v>VIGENTE</v>
      </c>
      <c r="HG91" s="16"/>
      <c r="HH91" s="16"/>
      <c r="HI91" s="14"/>
      <c r="HJ91" s="65"/>
      <c r="HK91" s="15" t="str">
        <f t="shared" si="379"/>
        <v>NO APLICA</v>
      </c>
      <c r="HL91" s="12"/>
      <c r="HM91" s="16"/>
      <c r="HN91" s="14"/>
      <c r="HO91" s="65"/>
      <c r="HP91" s="15" t="str">
        <f t="shared" si="375"/>
        <v>NO APLICA</v>
      </c>
      <c r="HQ91" s="12"/>
      <c r="HR91" s="12"/>
      <c r="HS91" s="14"/>
      <c r="HT91" s="12"/>
      <c r="HU91" s="15" t="str">
        <f t="shared" si="315"/>
        <v>NO APLICA</v>
      </c>
      <c r="HV91" s="12"/>
      <c r="HW91" s="16"/>
      <c r="HX91" s="14"/>
      <c r="HY91" s="65"/>
      <c r="HZ91" s="15" t="str">
        <f t="shared" si="316"/>
        <v>NO APLICA</v>
      </c>
      <c r="IA91" s="12"/>
      <c r="IB91" s="16"/>
      <c r="IC91" s="14"/>
      <c r="ID91" s="65"/>
      <c r="IE91" s="15" t="str">
        <f t="shared" si="317"/>
        <v>NO APLICA</v>
      </c>
      <c r="IF91" s="12"/>
      <c r="IG91" s="16"/>
      <c r="IH91" s="14"/>
      <c r="II91" s="65"/>
      <c r="IJ91" s="15" t="str">
        <f t="shared" si="318"/>
        <v>NO APLICA</v>
      </c>
      <c r="IK91" s="16"/>
      <c r="IL91" s="16"/>
      <c r="IM91" s="14"/>
      <c r="IN91" s="65"/>
      <c r="IO91" s="15" t="str">
        <f t="shared" si="319"/>
        <v>NO APLICA</v>
      </c>
      <c r="IP91" s="12"/>
      <c r="IQ91" s="16"/>
      <c r="IR91" s="14"/>
      <c r="IS91" s="65"/>
      <c r="IT91" s="15" t="str">
        <f t="shared" si="320"/>
        <v>NO APLICA</v>
      </c>
      <c r="IU91" s="12"/>
      <c r="IV91" s="16"/>
      <c r="IW91" s="14"/>
      <c r="IX91" s="65"/>
      <c r="IY91" s="15" t="str">
        <f t="shared" si="321"/>
        <v>NO APLICA</v>
      </c>
      <c r="IZ91" s="12"/>
      <c r="JA91" s="16"/>
      <c r="JB91" s="14"/>
      <c r="JC91" s="65"/>
      <c r="JD91" s="15" t="str">
        <f t="shared" si="322"/>
        <v>NO APLICA</v>
      </c>
      <c r="JE91" s="13"/>
      <c r="JF91" s="13"/>
      <c r="JG91" s="14"/>
      <c r="JH91" s="65"/>
      <c r="JI91" s="15" t="str">
        <f t="shared" si="323"/>
        <v>NO APLICA</v>
      </c>
      <c r="JJ91" s="16"/>
      <c r="JK91" s="16"/>
      <c r="JL91" s="16"/>
      <c r="JM91" s="15" t="str">
        <f t="shared" si="324"/>
        <v>NO APLICA</v>
      </c>
      <c r="JN91" s="16"/>
      <c r="JO91" s="16"/>
      <c r="JP91" s="16"/>
      <c r="JQ91" s="15" t="str">
        <f t="shared" si="325"/>
        <v>NO APLICA</v>
      </c>
      <c r="JR91" s="16"/>
      <c r="JS91" s="16"/>
      <c r="JT91" s="16"/>
      <c r="JU91" s="16"/>
      <c r="JV91" s="15" t="str">
        <f t="shared" si="326"/>
        <v>NO APLICA</v>
      </c>
      <c r="JW91" s="15"/>
      <c r="JX91" s="15"/>
      <c r="JY91" s="15"/>
      <c r="JZ91" s="15"/>
      <c r="KA91" s="15" t="str">
        <f t="shared" si="327"/>
        <v>NO APLICA</v>
      </c>
      <c r="KB91" s="12"/>
      <c r="KC91" s="14"/>
      <c r="KD91" s="65"/>
      <c r="KE91" s="15" t="str">
        <f t="shared" si="328"/>
        <v>NO APLICA</v>
      </c>
      <c r="KF91" s="12"/>
      <c r="KG91" s="14"/>
      <c r="KH91" s="65"/>
      <c r="KI91" s="15" t="str">
        <f t="shared" si="345"/>
        <v>NO APLICA</v>
      </c>
      <c r="KJ91" s="12"/>
      <c r="KK91" s="14"/>
      <c r="KL91" s="65"/>
      <c r="KM91" s="15" t="str">
        <f t="shared" si="329"/>
        <v>NO APLICA</v>
      </c>
      <c r="KN91" s="12"/>
      <c r="KO91" s="14"/>
      <c r="KP91" s="65"/>
      <c r="KQ91" s="15" t="str">
        <f t="shared" si="346"/>
        <v>NO APLICA</v>
      </c>
      <c r="KR91" s="12"/>
      <c r="KS91" s="16"/>
      <c r="KT91" s="14"/>
      <c r="KU91" s="65"/>
      <c r="KV91" s="15" t="str">
        <f t="shared" si="355"/>
        <v>NO APLICA</v>
      </c>
      <c r="KW91" s="16"/>
      <c r="KX91" s="14"/>
      <c r="KY91" s="65"/>
      <c r="KZ91" s="15" t="str">
        <f t="shared" si="347"/>
        <v>NO APLICA</v>
      </c>
      <c r="LA91" s="16"/>
      <c r="LB91" s="16"/>
      <c r="LC91" s="14"/>
      <c r="LD91" s="65"/>
      <c r="LE91" s="15" t="str">
        <f t="shared" si="330"/>
        <v>NO APLICA</v>
      </c>
      <c r="LF91" s="15"/>
      <c r="LG91" s="15"/>
      <c r="LH91" s="14"/>
      <c r="LI91" s="65"/>
      <c r="LJ91" s="15" t="str">
        <f t="shared" si="356"/>
        <v>NO APLICA</v>
      </c>
      <c r="LK91" s="12"/>
      <c r="LL91" s="16"/>
      <c r="LM91" s="14"/>
      <c r="LN91" s="65"/>
      <c r="LO91" s="15" t="str">
        <f t="shared" si="348"/>
        <v>NO APLICA</v>
      </c>
      <c r="LP91" s="16"/>
      <c r="LQ91" s="16"/>
      <c r="LR91" s="14"/>
      <c r="LS91" s="65"/>
      <c r="LT91" s="15" t="str">
        <f t="shared" si="349"/>
        <v>NO APLICA</v>
      </c>
      <c r="LU91" s="16"/>
      <c r="LV91" s="16"/>
      <c r="LW91" s="14"/>
      <c r="LX91" s="65"/>
      <c r="LY91" s="15" t="str">
        <f t="shared" si="350"/>
        <v>NO APLICA</v>
      </c>
      <c r="LZ91" s="12"/>
      <c r="MA91" s="12"/>
      <c r="MB91" s="14"/>
      <c r="MC91" s="65"/>
      <c r="MD91" s="15" t="str">
        <f t="shared" si="331"/>
        <v>NO APLICA</v>
      </c>
      <c r="ME91" s="12"/>
      <c r="MF91" s="12"/>
      <c r="MG91" s="14"/>
      <c r="MH91" s="65"/>
      <c r="MI91" s="15" t="str">
        <f t="shared" si="332"/>
        <v>NO APLICA</v>
      </c>
      <c r="MJ91" s="12"/>
      <c r="MK91" s="14"/>
      <c r="ML91" s="65"/>
      <c r="MM91" s="15" t="str">
        <f t="shared" si="333"/>
        <v>NO APLICA</v>
      </c>
      <c r="MN91" s="12"/>
      <c r="MO91" s="14"/>
      <c r="MP91" s="12"/>
      <c r="MQ91" s="15" t="str">
        <f t="shared" si="334"/>
        <v>NO APLICA</v>
      </c>
      <c r="MR91" s="12"/>
      <c r="MS91" s="16"/>
      <c r="MT91" s="14"/>
      <c r="MU91" s="65"/>
      <c r="MV91" s="15" t="str">
        <f t="shared" si="335"/>
        <v>NO APLICA</v>
      </c>
      <c r="MW91" s="12"/>
      <c r="MX91" s="16"/>
      <c r="MY91" s="14"/>
      <c r="MZ91" s="65"/>
      <c r="NA91" s="15" t="str">
        <f t="shared" si="336"/>
        <v>NO APLICA</v>
      </c>
      <c r="NB91" s="12"/>
      <c r="NC91" s="16"/>
      <c r="ND91" s="14"/>
      <c r="NE91" s="65"/>
      <c r="NF91" s="15" t="str">
        <f t="shared" si="337"/>
        <v>NO APLICA</v>
      </c>
      <c r="NG91" s="12"/>
      <c r="NH91" s="12"/>
      <c r="NI91" s="14"/>
      <c r="NJ91" s="65"/>
      <c r="NK91" s="15" t="str">
        <f t="shared" si="338"/>
        <v>NO APLICA</v>
      </c>
      <c r="NL91" s="12"/>
      <c r="NM91" s="12"/>
      <c r="NN91" s="12"/>
      <c r="NO91" s="12"/>
      <c r="NP91" s="15" t="str">
        <f t="shared" si="339"/>
        <v>NO APLICA</v>
      </c>
      <c r="NQ91" s="16"/>
      <c r="NR91" s="16"/>
      <c r="NS91" s="14"/>
      <c r="NT91" s="65"/>
      <c r="NU91" s="15" t="str">
        <f t="shared" si="340"/>
        <v>NO APLICA</v>
      </c>
      <c r="NV91" s="16"/>
      <c r="NW91" s="16"/>
      <c r="NX91" s="16"/>
      <c r="NY91" s="16"/>
      <c r="NZ91" s="15" t="str">
        <f t="shared" si="341"/>
        <v>NO APLICA</v>
      </c>
    </row>
    <row r="92" spans="1:390" ht="15.6" thickTop="1" thickBot="1" x14ac:dyDescent="0.35">
      <c r="A92" s="9">
        <v>1349</v>
      </c>
      <c r="B92" s="10" t="s">
        <v>377</v>
      </c>
      <c r="C92" s="21" t="s">
        <v>104</v>
      </c>
      <c r="D92" s="64" t="s">
        <v>110</v>
      </c>
      <c r="E92" s="15"/>
      <c r="F92" s="16"/>
      <c r="G92" s="14"/>
      <c r="H92" s="65"/>
      <c r="I92" s="15" t="str">
        <f t="shared" si="235"/>
        <v>NO APLICA</v>
      </c>
      <c r="J92" s="15"/>
      <c r="K92" s="16"/>
      <c r="L92" s="16"/>
      <c r="M92" s="65"/>
      <c r="N92" s="15" t="str">
        <f t="shared" si="236"/>
        <v>NO APLICA</v>
      </c>
      <c r="O92" s="16"/>
      <c r="P92" s="16"/>
      <c r="Q92" s="14"/>
      <c r="R92" s="65"/>
      <c r="S92" s="15" t="str">
        <f t="shared" si="342"/>
        <v>NO APLICA</v>
      </c>
      <c r="T92" s="12" t="s">
        <v>378</v>
      </c>
      <c r="U92" s="13">
        <v>45336</v>
      </c>
      <c r="V92" s="14">
        <v>45337</v>
      </c>
      <c r="W92" s="14">
        <f t="shared" si="237"/>
        <v>47164</v>
      </c>
      <c r="X92" s="65">
        <f t="shared" ca="1" si="238"/>
        <v>1033</v>
      </c>
      <c r="Y92" s="15" t="str">
        <f t="shared" ca="1" si="239"/>
        <v>VIGENTE</v>
      </c>
      <c r="Z92" s="12" t="s">
        <v>379</v>
      </c>
      <c r="AA92" s="13">
        <v>44825</v>
      </c>
      <c r="AB92" s="14">
        <v>44826</v>
      </c>
      <c r="AC92" s="14">
        <f>DATE(YEAR(AB92)+5,MONTH(AB92),DAY(AB92))</f>
        <v>46652</v>
      </c>
      <c r="AD92" s="65">
        <f ca="1">AC92-TODAY()</f>
        <v>521</v>
      </c>
      <c r="AE92" s="15" t="str">
        <f t="shared" ca="1" si="367"/>
        <v>VIGENTE</v>
      </c>
      <c r="AF92" s="13">
        <v>44931</v>
      </c>
      <c r="AG92" s="14">
        <v>45589</v>
      </c>
      <c r="AH92" s="14">
        <f>DATE(YEAR(AG92)+2,MONTH(AG92),DAY(AG92)-1)</f>
        <v>46318</v>
      </c>
      <c r="AI92" s="65">
        <f t="shared" ca="1" si="241"/>
        <v>187</v>
      </c>
      <c r="AJ92" s="15" t="str">
        <f t="shared" ca="1" si="213"/>
        <v>VIGENTE</v>
      </c>
      <c r="AK92" s="13">
        <v>44643</v>
      </c>
      <c r="AL92" s="14">
        <v>45937</v>
      </c>
      <c r="AM92" s="14">
        <f t="shared" si="380"/>
        <v>46667</v>
      </c>
      <c r="AN92" s="65">
        <f t="shared" ca="1" si="242"/>
        <v>536</v>
      </c>
      <c r="AO92" s="15" t="str">
        <f t="shared" ca="1" si="243"/>
        <v>VIGENTE</v>
      </c>
      <c r="AP92" s="13">
        <v>45298</v>
      </c>
      <c r="AQ92" s="14">
        <v>45967</v>
      </c>
      <c r="AR92" s="14">
        <f t="shared" si="381"/>
        <v>46697</v>
      </c>
      <c r="AS92" s="65">
        <f t="shared" ca="1" si="244"/>
        <v>566</v>
      </c>
      <c r="AT92" s="15" t="str">
        <f t="shared" ca="1" si="245"/>
        <v>VIGENTE</v>
      </c>
      <c r="AU92" s="13">
        <v>44663</v>
      </c>
      <c r="AV92" s="14">
        <v>45952</v>
      </c>
      <c r="AW92" s="14">
        <f t="shared" si="382"/>
        <v>46682</v>
      </c>
      <c r="AX92" s="65">
        <f t="shared" ca="1" si="246"/>
        <v>551</v>
      </c>
      <c r="AY92" s="15" t="str">
        <f t="shared" ca="1" si="247"/>
        <v>VIGENTE</v>
      </c>
      <c r="AZ92" s="13">
        <v>45075</v>
      </c>
      <c r="BA92" s="14">
        <v>45717</v>
      </c>
      <c r="BB92" s="14">
        <f>DATE(YEAR(BA92)+2,MONTH(BA92),DAY(BA92)-1)</f>
        <v>46446</v>
      </c>
      <c r="BC92" s="65">
        <f t="shared" ca="1" si="248"/>
        <v>315</v>
      </c>
      <c r="BD92" s="15" t="str">
        <f t="shared" ca="1" si="249"/>
        <v>VIGENTE</v>
      </c>
      <c r="BE92" s="13">
        <v>44686</v>
      </c>
      <c r="BF92" s="14">
        <v>45987</v>
      </c>
      <c r="BG92" s="14">
        <f t="shared" si="388"/>
        <v>46717</v>
      </c>
      <c r="BH92" s="65">
        <f t="shared" ca="1" si="250"/>
        <v>586</v>
      </c>
      <c r="BI92" s="15" t="str">
        <f t="shared" ca="1" si="251"/>
        <v>VIGENTE</v>
      </c>
      <c r="BJ92" s="13">
        <v>44721</v>
      </c>
      <c r="BK92" s="14">
        <v>46056</v>
      </c>
      <c r="BL92" s="14">
        <f>DATE(YEAR(BK92)+2,MONTH(BK92),DAY(BK92))</f>
        <v>46786</v>
      </c>
      <c r="BM92" s="65">
        <f t="shared" ca="1" si="252"/>
        <v>655</v>
      </c>
      <c r="BN92" s="15" t="str">
        <f t="shared" ca="1" si="253"/>
        <v>VIGENTE</v>
      </c>
      <c r="BO92" s="13">
        <v>44749</v>
      </c>
      <c r="BP92" s="14">
        <v>46069</v>
      </c>
      <c r="BQ92" s="14">
        <f>DATE(YEAR(BP92)+2,MONTH(BP92),DAY(BP92))</f>
        <v>46799</v>
      </c>
      <c r="BR92" s="65">
        <f t="shared" ca="1" si="254"/>
        <v>668</v>
      </c>
      <c r="BS92" s="15" t="str">
        <f t="shared" ca="1" si="255"/>
        <v>VIGENTE</v>
      </c>
      <c r="BT92" s="13">
        <v>44811</v>
      </c>
      <c r="BU92" s="14">
        <v>45449</v>
      </c>
      <c r="BV92" s="14">
        <f>DATE(YEAR(BU92)+2,MONTH(BU92),DAY(BU92)-1)</f>
        <v>46178</v>
      </c>
      <c r="BW92" s="65">
        <f t="shared" ca="1" si="256"/>
        <v>47</v>
      </c>
      <c r="BX92" s="15" t="str">
        <f t="shared" ca="1" si="257"/>
        <v>POR VENCER</v>
      </c>
      <c r="BY92" s="13">
        <v>44643</v>
      </c>
      <c r="BZ92" s="14">
        <v>45944</v>
      </c>
      <c r="CA92" s="14">
        <f t="shared" si="383"/>
        <v>46674</v>
      </c>
      <c r="CB92" s="65">
        <f t="shared" ca="1" si="258"/>
        <v>543</v>
      </c>
      <c r="CC92" s="15" t="str">
        <f t="shared" ca="1" si="259"/>
        <v>VIGENTE</v>
      </c>
      <c r="CD92" s="16" t="s">
        <v>108</v>
      </c>
      <c r="CE92" s="14">
        <v>45300</v>
      </c>
      <c r="CF92" s="14">
        <v>45301</v>
      </c>
      <c r="CG92" s="14">
        <f t="shared" si="377"/>
        <v>46762</v>
      </c>
      <c r="CH92" s="65">
        <f t="shared" ca="1" si="378"/>
        <v>631</v>
      </c>
      <c r="CI92" s="15" t="str">
        <f t="shared" ca="1" si="262"/>
        <v>VIGENTE</v>
      </c>
      <c r="CJ92" s="14">
        <v>44874</v>
      </c>
      <c r="CK92" s="14">
        <v>45511</v>
      </c>
      <c r="CL92" s="14">
        <f>DATE(YEAR(CK92)+2,MONTH(CK92),DAY(CK92)-1)</f>
        <v>46240</v>
      </c>
      <c r="CM92" s="65">
        <f t="shared" ca="1" si="263"/>
        <v>109</v>
      </c>
      <c r="CN92" s="15" t="str">
        <f t="shared" ca="1" si="264"/>
        <v>VIGENTE</v>
      </c>
      <c r="CO92" s="13">
        <v>44900</v>
      </c>
      <c r="CP92" s="14">
        <v>45517</v>
      </c>
      <c r="CQ92" s="14">
        <f>DATE(YEAR(CP92)+2,MONTH(CP92),DAY(CP92)-1)</f>
        <v>46246</v>
      </c>
      <c r="CR92" s="65">
        <f t="shared" ca="1" si="265"/>
        <v>115</v>
      </c>
      <c r="CS92" s="15" t="str">
        <f t="shared" ca="1" si="266"/>
        <v>VIGENTE</v>
      </c>
      <c r="CT92" s="13">
        <v>44967</v>
      </c>
      <c r="CU92" s="14">
        <v>45631</v>
      </c>
      <c r="CV92" s="14">
        <f>DATE(YEAR(CU92)+2,MONTH(CU92),DAY(CU92)-1)</f>
        <v>46360</v>
      </c>
      <c r="CW92" s="65">
        <f t="shared" ca="1" si="267"/>
        <v>229</v>
      </c>
      <c r="CX92" s="15" t="str">
        <f t="shared" ca="1" si="268"/>
        <v>VIGENTE</v>
      </c>
      <c r="CY92" s="13">
        <v>44992</v>
      </c>
      <c r="CZ92" s="14">
        <v>45661</v>
      </c>
      <c r="DA92" s="14">
        <f>DATE(YEAR(CZ92)+2,MONTH(CZ92),DAY(CZ92)-1)</f>
        <v>46390</v>
      </c>
      <c r="DB92" s="65">
        <f t="shared" ca="1" si="269"/>
        <v>259</v>
      </c>
      <c r="DC92" s="15" t="str">
        <f t="shared" ca="1" si="270"/>
        <v>VIGENTE</v>
      </c>
      <c r="DD92" s="13">
        <v>45037</v>
      </c>
      <c r="DE92" s="14">
        <v>45689</v>
      </c>
      <c r="DF92" s="14">
        <f>DATE(YEAR(DE92)+2,MONTH(DE92),DAY(DE92)-1)</f>
        <v>46418</v>
      </c>
      <c r="DG92" s="65">
        <f t="shared" ca="1" si="271"/>
        <v>287</v>
      </c>
      <c r="DH92" s="15" t="str">
        <f t="shared" ca="1" si="272"/>
        <v>VIGENTE</v>
      </c>
      <c r="DI92" s="13">
        <v>45058</v>
      </c>
      <c r="DJ92" s="14">
        <v>45734</v>
      </c>
      <c r="DK92" s="14">
        <f>DATE(YEAR(DJ92)+2,MONTH(DJ92),DAY(DJ92)-1)</f>
        <v>46463</v>
      </c>
      <c r="DL92" s="65">
        <f t="shared" ca="1" si="273"/>
        <v>332</v>
      </c>
      <c r="DM92" s="15" t="str">
        <f t="shared" ca="1" si="274"/>
        <v>VIGENTE</v>
      </c>
      <c r="DN92" s="13">
        <v>44819</v>
      </c>
      <c r="DO92" s="14">
        <v>45473</v>
      </c>
      <c r="DP92" s="14">
        <f>DATE(YEAR(DO92)+2,MONTH(DO92),DAY(DO92)-1)</f>
        <v>46202</v>
      </c>
      <c r="DQ92" s="65">
        <f t="shared" ca="1" si="275"/>
        <v>71</v>
      </c>
      <c r="DR92" s="15" t="str">
        <f t="shared" ca="1" si="276"/>
        <v>POR VENCER</v>
      </c>
      <c r="DS92" s="13">
        <v>45035</v>
      </c>
      <c r="DT92" s="14">
        <v>45685</v>
      </c>
      <c r="DU92" s="14">
        <f>DATE(YEAR(DT92)+2,MONTH(DT92),DAY(DT92)-1)</f>
        <v>46414</v>
      </c>
      <c r="DV92" s="65">
        <f t="shared" ca="1" si="277"/>
        <v>283</v>
      </c>
      <c r="DW92" s="15" t="str">
        <f t="shared" ca="1" si="278"/>
        <v>VIGENTE</v>
      </c>
      <c r="DX92" s="13">
        <v>45063</v>
      </c>
      <c r="DY92" s="14">
        <v>45682</v>
      </c>
      <c r="DZ92" s="14">
        <f>DATE(YEAR(DY92)+2,MONTH(DY92),DAY(DY92)-1)</f>
        <v>46411</v>
      </c>
      <c r="EA92" s="65">
        <f t="shared" ca="1" si="279"/>
        <v>280</v>
      </c>
      <c r="EB92" s="15" t="str">
        <f t="shared" ca="1" si="280"/>
        <v>VIGENTE</v>
      </c>
      <c r="EC92" s="13">
        <v>45051</v>
      </c>
      <c r="ED92" s="14">
        <v>45674</v>
      </c>
      <c r="EE92" s="14">
        <f>DATE(YEAR(ED92)+2,MONTH(ED92),DAY(ED92)-1)</f>
        <v>46403</v>
      </c>
      <c r="EF92" s="65">
        <f t="shared" ca="1" si="281"/>
        <v>272</v>
      </c>
      <c r="EG92" s="15" t="str">
        <f t="shared" ca="1" si="282"/>
        <v>VIGENTE</v>
      </c>
      <c r="EH92" s="13">
        <v>45750</v>
      </c>
      <c r="EI92" s="13">
        <v>46083</v>
      </c>
      <c r="EJ92" s="13">
        <v>46084</v>
      </c>
      <c r="EK92" s="13">
        <v>46085</v>
      </c>
      <c r="EL92" s="14">
        <f t="shared" si="344"/>
        <v>46450</v>
      </c>
      <c r="EM92" s="65">
        <f t="shared" ca="1" si="283"/>
        <v>319</v>
      </c>
      <c r="EN92" s="15" t="str">
        <f t="shared" ca="1" si="284"/>
        <v>VIGENTE</v>
      </c>
      <c r="EO92" s="13">
        <v>45042</v>
      </c>
      <c r="EP92" s="14">
        <v>45660</v>
      </c>
      <c r="EQ92" s="14">
        <f>DATE(YEAR(EP92)+2,MONTH(EP92),DAY(EP92)-1)</f>
        <v>46389</v>
      </c>
      <c r="ER92" s="65">
        <f t="shared" ca="1" si="285"/>
        <v>258</v>
      </c>
      <c r="ES92" s="15" t="str">
        <f t="shared" ca="1" si="286"/>
        <v>VIGENTE</v>
      </c>
      <c r="ET92" s="13">
        <v>45085</v>
      </c>
      <c r="EU92" s="14">
        <v>45735</v>
      </c>
      <c r="EV92" s="14">
        <f>DATE(YEAR(EU92)+2,MONTH(EU92),DAY(EU92)-1)</f>
        <v>46464</v>
      </c>
      <c r="EW92" s="65">
        <f t="shared" ca="1" si="287"/>
        <v>333</v>
      </c>
      <c r="EX92" s="15" t="str">
        <f t="shared" ca="1" si="288"/>
        <v>VIGENTE</v>
      </c>
      <c r="EY92" s="13">
        <v>44644</v>
      </c>
      <c r="EZ92" s="14">
        <v>45953</v>
      </c>
      <c r="FA92" s="14">
        <f>DATE(YEAR(EZ92)+2,MONTH(EZ92),DAY(EZ92))</f>
        <v>46683</v>
      </c>
      <c r="FB92" s="65">
        <f t="shared" ca="1" si="289"/>
        <v>552</v>
      </c>
      <c r="FC92" s="15" t="str">
        <f t="shared" ca="1" si="290"/>
        <v>VIGENTE</v>
      </c>
      <c r="FD92" s="13">
        <v>44644</v>
      </c>
      <c r="FE92" s="14">
        <v>45951</v>
      </c>
      <c r="FF92" s="14">
        <f t="shared" si="386"/>
        <v>46681</v>
      </c>
      <c r="FG92" s="65">
        <f t="shared" ca="1" si="291"/>
        <v>550</v>
      </c>
      <c r="FH92" s="15" t="str">
        <f t="shared" ca="1" si="292"/>
        <v>VIGENTE</v>
      </c>
      <c r="FI92" s="13">
        <v>44645</v>
      </c>
      <c r="FJ92" s="14">
        <v>45992</v>
      </c>
      <c r="FK92" s="14">
        <f t="shared" si="387"/>
        <v>46722</v>
      </c>
      <c r="FL92" s="65">
        <f t="shared" ca="1" si="293"/>
        <v>591</v>
      </c>
      <c r="FM92" s="15" t="str">
        <f t="shared" ca="1" si="294"/>
        <v>VIGENTE</v>
      </c>
      <c r="FN92" s="13">
        <v>45084</v>
      </c>
      <c r="FO92" s="14">
        <v>45738</v>
      </c>
      <c r="FP92" s="14">
        <f>DATE(YEAR(FO92)+2,MONTH(FO92),DAY(FO92)-1)</f>
        <v>46467</v>
      </c>
      <c r="FQ92" s="65">
        <f t="shared" ca="1" si="295"/>
        <v>336</v>
      </c>
      <c r="FR92" s="15" t="str">
        <f t="shared" ca="1" si="296"/>
        <v>VIGENTE</v>
      </c>
      <c r="FS92" s="13">
        <v>45041</v>
      </c>
      <c r="FT92" s="14">
        <v>45678</v>
      </c>
      <c r="FU92" s="14">
        <f>DATE(YEAR(FT92)+2,MONTH(FT92),DAY(FT92)-1)</f>
        <v>46407</v>
      </c>
      <c r="FV92" s="65">
        <f t="shared" ca="1" si="297"/>
        <v>276</v>
      </c>
      <c r="FW92" s="15" t="str">
        <f t="shared" ca="1" si="298"/>
        <v>VIGENTE</v>
      </c>
      <c r="FX92" s="13">
        <v>44965</v>
      </c>
      <c r="FY92" s="14">
        <v>45616</v>
      </c>
      <c r="FZ92" s="14">
        <f>DATE(YEAR(FY92)+2,MONTH(FY92),DAY(FY92)-1)</f>
        <v>46345</v>
      </c>
      <c r="GA92" s="65">
        <f t="shared" ca="1" si="299"/>
        <v>214</v>
      </c>
      <c r="GB92" s="15" t="str">
        <f t="shared" ca="1" si="300"/>
        <v>VIGENTE</v>
      </c>
      <c r="GC92" s="13">
        <v>45088</v>
      </c>
      <c r="GD92" s="14">
        <v>45741</v>
      </c>
      <c r="GE92" s="14">
        <f>DATE(YEAR(GD92)+2,MONTH(GD92),DAY(GD92)-1)</f>
        <v>46470</v>
      </c>
      <c r="GF92" s="65">
        <f t="shared" ca="1" si="301"/>
        <v>339</v>
      </c>
      <c r="GG92" s="15" t="str">
        <f t="shared" ca="1" si="302"/>
        <v>VIGENTE</v>
      </c>
      <c r="GH92" s="13">
        <v>45072</v>
      </c>
      <c r="GI92" s="14">
        <v>45712</v>
      </c>
      <c r="GJ92" s="14">
        <f>DATE(YEAR(GI92)+2,MONTH(GI92),DAY(GI92)-1)</f>
        <v>46441</v>
      </c>
      <c r="GK92" s="65">
        <f t="shared" ca="1" si="303"/>
        <v>310</v>
      </c>
      <c r="GL92" s="15" t="str">
        <f t="shared" ca="1" si="304"/>
        <v>VIGENTE</v>
      </c>
      <c r="GM92" s="13">
        <v>45259</v>
      </c>
      <c r="GN92" s="14">
        <v>45923</v>
      </c>
      <c r="GO92" s="14">
        <f>DATE(YEAR(GN92)+2,MONTH(GN92),DAY(GN92))</f>
        <v>46653</v>
      </c>
      <c r="GP92" s="65">
        <f t="shared" ca="1" si="305"/>
        <v>522</v>
      </c>
      <c r="GQ92" s="15" t="str">
        <f t="shared" ca="1" si="306"/>
        <v>VIGENTE</v>
      </c>
      <c r="GR92" s="14">
        <v>44571</v>
      </c>
      <c r="GS92" s="14">
        <v>45224</v>
      </c>
      <c r="GT92" s="14">
        <f t="shared" si="307"/>
        <v>47051</v>
      </c>
      <c r="GU92" s="65">
        <f t="shared" ca="1" si="374"/>
        <v>920</v>
      </c>
      <c r="GV92" s="15" t="str">
        <f t="shared" ca="1" si="368"/>
        <v>VIGENTE</v>
      </c>
      <c r="GW92" s="13">
        <v>44758</v>
      </c>
      <c r="GX92" s="14">
        <v>45478</v>
      </c>
      <c r="GY92" s="14">
        <f t="shared" si="309"/>
        <v>47304</v>
      </c>
      <c r="GZ92" s="65">
        <f t="shared" ca="1" si="310"/>
        <v>1173</v>
      </c>
      <c r="HA92" s="15" t="str">
        <f t="shared" ca="1" si="369"/>
        <v>VIGENTE</v>
      </c>
      <c r="HB92" s="13">
        <v>44565</v>
      </c>
      <c r="HC92" s="14">
        <v>45258</v>
      </c>
      <c r="HD92" s="14">
        <f t="shared" si="312"/>
        <v>47085</v>
      </c>
      <c r="HE92" s="65">
        <f t="shared" ca="1" si="313"/>
        <v>954</v>
      </c>
      <c r="HF92" s="15" t="str">
        <f t="shared" ca="1" si="370"/>
        <v>VIGENTE</v>
      </c>
      <c r="HG92" s="16"/>
      <c r="HH92" s="14">
        <v>44879</v>
      </c>
      <c r="HI92" s="14">
        <f>DATE(YEAR(HH92)+5,MONTH(HH92),DAY(HH92))</f>
        <v>46705</v>
      </c>
      <c r="HJ92" s="65">
        <f ca="1">HI92-TODAY()</f>
        <v>574</v>
      </c>
      <c r="HK92" s="15" t="str">
        <f t="shared" ca="1" si="379"/>
        <v>VIGENTE</v>
      </c>
      <c r="HL92" s="12"/>
      <c r="HM92" s="14">
        <v>45370</v>
      </c>
      <c r="HN92" s="14">
        <f>DATE(YEAR(HM92)+5,MONTH(HM92),DAY(HM92))</f>
        <v>47196</v>
      </c>
      <c r="HO92" s="65">
        <f ca="1">HN92-TODAY()</f>
        <v>1065</v>
      </c>
      <c r="HP92" s="15" t="str">
        <f t="shared" ca="1" si="375"/>
        <v>VIGENTE</v>
      </c>
      <c r="HQ92" s="12"/>
      <c r="HR92" s="13">
        <v>45374</v>
      </c>
      <c r="HS92" s="14">
        <f>DATE(YEAR(HR92)+5,MONTH(HR92),DAY(HR92))</f>
        <v>47200</v>
      </c>
      <c r="HT92" s="65">
        <f ca="1">HS92-TODAY()</f>
        <v>1069</v>
      </c>
      <c r="HU92" s="15" t="str">
        <f t="shared" ca="1" si="315"/>
        <v>VIGENTE</v>
      </c>
      <c r="HV92" s="12"/>
      <c r="HW92" s="14">
        <v>44987</v>
      </c>
      <c r="HX92" s="14">
        <f>DATE(YEAR(HW92)+5,MONTH(HW92),DAY(HW92))</f>
        <v>46814</v>
      </c>
      <c r="HY92" s="65">
        <f ca="1">HX92-TODAY()</f>
        <v>683</v>
      </c>
      <c r="HZ92" s="15" t="str">
        <f t="shared" ca="1" si="316"/>
        <v>VIGENTE</v>
      </c>
      <c r="IA92" s="12"/>
      <c r="IB92" s="14">
        <v>44988</v>
      </c>
      <c r="IC92" s="14">
        <f>DATE(YEAR(IB92)+5,MONTH(IB92),DAY(IB92))</f>
        <v>46815</v>
      </c>
      <c r="ID92" s="65">
        <f ca="1">IC92-TODAY()</f>
        <v>684</v>
      </c>
      <c r="IE92" s="15" t="str">
        <f t="shared" ca="1" si="317"/>
        <v>VIGENTE</v>
      </c>
      <c r="IF92" s="12"/>
      <c r="IG92" s="14">
        <v>45049</v>
      </c>
      <c r="IH92" s="14">
        <f>DATE(YEAR(IG92)+5,MONTH(IG92),DAY(IG92))</f>
        <v>46876</v>
      </c>
      <c r="II92" s="65">
        <f ca="1">IH92-TODAY()</f>
        <v>745</v>
      </c>
      <c r="IJ92" s="15" t="str">
        <f t="shared" ca="1" si="318"/>
        <v>VIGENTE</v>
      </c>
      <c r="IK92" s="16"/>
      <c r="IL92" s="14">
        <v>45009</v>
      </c>
      <c r="IM92" s="14">
        <f>DATE(YEAR(IL92)+5,MONTH(IL92),DAY(IL92))</f>
        <v>46836</v>
      </c>
      <c r="IN92" s="65">
        <f ca="1">IM92-TODAY()</f>
        <v>705</v>
      </c>
      <c r="IO92" s="15" t="str">
        <f t="shared" ca="1" si="319"/>
        <v>VIGENTE</v>
      </c>
      <c r="IP92" s="12"/>
      <c r="IQ92" s="14">
        <v>45064</v>
      </c>
      <c r="IR92" s="14">
        <f>DATE(YEAR(IQ92)+5,MONTH(IQ92),DAY(IQ92))</f>
        <v>46891</v>
      </c>
      <c r="IS92" s="65">
        <f ca="1">IR92-TODAY()</f>
        <v>760</v>
      </c>
      <c r="IT92" s="15" t="str">
        <f t="shared" ca="1" si="320"/>
        <v>VIGENTE</v>
      </c>
      <c r="IU92" s="12"/>
      <c r="IV92" s="14">
        <v>45013</v>
      </c>
      <c r="IW92" s="14">
        <f>DATE(YEAR(IV92)+5,MONTH(IV92),DAY(IV92))</f>
        <v>46840</v>
      </c>
      <c r="IX92" s="65">
        <f ca="1">IW92-TODAY()</f>
        <v>709</v>
      </c>
      <c r="IY92" s="15" t="str">
        <f t="shared" ca="1" si="321"/>
        <v>VIGENTE</v>
      </c>
      <c r="IZ92" s="12"/>
      <c r="JA92" s="14">
        <v>44996</v>
      </c>
      <c r="JB92" s="14">
        <f>DATE(YEAR(JA92)+5,MONTH(JA92),DAY(JA92))</f>
        <v>46823</v>
      </c>
      <c r="JC92" s="65">
        <f ca="1">JB92-TODAY()</f>
        <v>692</v>
      </c>
      <c r="JD92" s="15" t="str">
        <f t="shared" ca="1" si="322"/>
        <v>VIGENTE</v>
      </c>
      <c r="JE92" s="13"/>
      <c r="JF92" s="13"/>
      <c r="JG92" s="14"/>
      <c r="JH92" s="65"/>
      <c r="JI92" s="15" t="str">
        <f t="shared" si="323"/>
        <v>NO APLICA</v>
      </c>
      <c r="JJ92" s="16"/>
      <c r="JK92" s="16"/>
      <c r="JL92" s="16"/>
      <c r="JM92" s="15" t="str">
        <f t="shared" si="324"/>
        <v>NO APLICA</v>
      </c>
      <c r="JN92" s="16"/>
      <c r="JO92" s="16"/>
      <c r="JP92" s="16"/>
      <c r="JQ92" s="15" t="str">
        <f t="shared" si="325"/>
        <v>NO APLICA</v>
      </c>
      <c r="JR92" s="16"/>
      <c r="JS92" s="16"/>
      <c r="JT92" s="16"/>
      <c r="JU92" s="16"/>
      <c r="JV92" s="15" t="str">
        <f t="shared" si="326"/>
        <v>NO APLICA</v>
      </c>
      <c r="JW92" s="15"/>
      <c r="JX92" s="15"/>
      <c r="JY92" s="15"/>
      <c r="JZ92" s="15"/>
      <c r="KA92" s="15" t="str">
        <f t="shared" si="327"/>
        <v>NO APLICA</v>
      </c>
      <c r="KB92" s="12"/>
      <c r="KC92" s="14"/>
      <c r="KD92" s="65"/>
      <c r="KE92" s="15" t="str">
        <f t="shared" si="328"/>
        <v>NO APLICA</v>
      </c>
      <c r="KF92" s="12"/>
      <c r="KG92" s="14"/>
      <c r="KH92" s="65"/>
      <c r="KI92" s="15" t="str">
        <f t="shared" si="345"/>
        <v>NO APLICA</v>
      </c>
      <c r="KJ92" s="12"/>
      <c r="KK92" s="14"/>
      <c r="KL92" s="65"/>
      <c r="KM92" s="15" t="str">
        <f t="shared" si="329"/>
        <v>NO APLICA</v>
      </c>
      <c r="KN92" s="12"/>
      <c r="KO92" s="14"/>
      <c r="KP92" s="65"/>
      <c r="KQ92" s="15" t="str">
        <f t="shared" si="346"/>
        <v>NO APLICA</v>
      </c>
      <c r="KR92" s="12"/>
      <c r="KS92" s="16"/>
      <c r="KT92" s="14"/>
      <c r="KU92" s="65"/>
      <c r="KV92" s="15" t="str">
        <f t="shared" si="355"/>
        <v>NO APLICA</v>
      </c>
      <c r="KW92" s="16"/>
      <c r="KX92" s="14"/>
      <c r="KY92" s="65"/>
      <c r="KZ92" s="15" t="str">
        <f t="shared" si="347"/>
        <v>NO APLICA</v>
      </c>
      <c r="LA92" s="16"/>
      <c r="LB92" s="14">
        <v>45611</v>
      </c>
      <c r="LC92" s="14">
        <f>DATE(YEAR(LB92)+2,MONTH(LB92),DAY(LB92))</f>
        <v>46341</v>
      </c>
      <c r="LD92" s="65">
        <f ca="1">LC92-TODAY()</f>
        <v>210</v>
      </c>
      <c r="LE92" s="15" t="str">
        <f t="shared" ca="1" si="330"/>
        <v>VIGENTE</v>
      </c>
      <c r="LF92" s="15"/>
      <c r="LG92" s="15"/>
      <c r="LH92" s="14"/>
      <c r="LI92" s="65"/>
      <c r="LJ92" s="15" t="str">
        <f t="shared" si="356"/>
        <v>NO APLICA</v>
      </c>
      <c r="LK92" s="12"/>
      <c r="LL92" s="16"/>
      <c r="LM92" s="14"/>
      <c r="LN92" s="65"/>
      <c r="LO92" s="15" t="str">
        <f t="shared" si="348"/>
        <v>NO APLICA</v>
      </c>
      <c r="LP92" s="16"/>
      <c r="LQ92" s="16"/>
      <c r="LR92" s="14"/>
      <c r="LS92" s="65"/>
      <c r="LT92" s="15" t="str">
        <f t="shared" si="349"/>
        <v>NO APLICA</v>
      </c>
      <c r="LU92" s="16"/>
      <c r="LV92" s="16"/>
      <c r="LW92" s="14"/>
      <c r="LX92" s="65"/>
      <c r="LY92" s="15" t="str">
        <f t="shared" si="350"/>
        <v>NO APLICA</v>
      </c>
      <c r="LZ92" s="12"/>
      <c r="MA92" s="12"/>
      <c r="MB92" s="14"/>
      <c r="MC92" s="65"/>
      <c r="MD92" s="15" t="str">
        <f t="shared" si="331"/>
        <v>NO APLICA</v>
      </c>
      <c r="ME92" s="12"/>
      <c r="MF92" s="12"/>
      <c r="MG92" s="14"/>
      <c r="MH92" s="65"/>
      <c r="MI92" s="15" t="str">
        <f t="shared" si="332"/>
        <v>NO APLICA</v>
      </c>
      <c r="MJ92" s="12"/>
      <c r="MK92" s="14"/>
      <c r="ML92" s="65"/>
      <c r="MM92" s="15" t="str">
        <f t="shared" si="333"/>
        <v>NO APLICA</v>
      </c>
      <c r="MN92" s="12"/>
      <c r="MO92" s="14"/>
      <c r="MP92" s="12"/>
      <c r="MQ92" s="15" t="str">
        <f t="shared" si="334"/>
        <v>NO APLICA</v>
      </c>
      <c r="MR92" s="12"/>
      <c r="MS92" s="16"/>
      <c r="MT92" s="14"/>
      <c r="MU92" s="65"/>
      <c r="MV92" s="15" t="str">
        <f t="shared" si="335"/>
        <v>NO APLICA</v>
      </c>
      <c r="MW92" s="12"/>
      <c r="MX92" s="16"/>
      <c r="MY92" s="14"/>
      <c r="MZ92" s="65"/>
      <c r="NA92" s="15" t="str">
        <f t="shared" si="336"/>
        <v>NO APLICA</v>
      </c>
      <c r="NB92" s="12"/>
      <c r="NC92" s="16"/>
      <c r="ND92" s="14"/>
      <c r="NE92" s="65"/>
      <c r="NF92" s="15" t="str">
        <f t="shared" si="337"/>
        <v>NO APLICA</v>
      </c>
      <c r="NG92" s="12"/>
      <c r="NH92" s="12"/>
      <c r="NI92" s="14"/>
      <c r="NJ92" s="65"/>
      <c r="NK92" s="15" t="str">
        <f t="shared" si="338"/>
        <v>NO APLICA</v>
      </c>
      <c r="NL92" s="12"/>
      <c r="NM92" s="12"/>
      <c r="NN92" s="14"/>
      <c r="NO92" s="12"/>
      <c r="NP92" s="15" t="str">
        <f t="shared" si="339"/>
        <v>NO APLICA</v>
      </c>
      <c r="NQ92" s="16"/>
      <c r="NR92" s="16"/>
      <c r="NS92" s="14"/>
      <c r="NT92" s="65"/>
      <c r="NU92" s="15" t="str">
        <f t="shared" si="340"/>
        <v>NO APLICA</v>
      </c>
      <c r="NV92" s="16"/>
      <c r="NW92" s="16"/>
      <c r="NX92" s="16"/>
      <c r="NY92" s="16"/>
      <c r="NZ92" s="15" t="str">
        <f t="shared" si="341"/>
        <v>NO APLICA</v>
      </c>
    </row>
    <row r="93" spans="1:390" ht="15.6" thickTop="1" thickBot="1" x14ac:dyDescent="0.35">
      <c r="A93" s="11">
        <v>1718</v>
      </c>
      <c r="B93" s="10" t="s">
        <v>380</v>
      </c>
      <c r="C93" s="21" t="s">
        <v>98</v>
      </c>
      <c r="D93" s="64" t="s">
        <v>118</v>
      </c>
      <c r="E93" s="16"/>
      <c r="F93" s="16"/>
      <c r="G93" s="16"/>
      <c r="H93" s="16"/>
      <c r="I93" s="15" t="str">
        <f t="shared" si="235"/>
        <v>NO APLICA</v>
      </c>
      <c r="J93" s="16"/>
      <c r="K93" s="16"/>
      <c r="L93" s="16"/>
      <c r="M93" s="16"/>
      <c r="N93" s="15" t="str">
        <f t="shared" si="236"/>
        <v>NO APLICA</v>
      </c>
      <c r="O93" s="14">
        <v>45582</v>
      </c>
      <c r="P93" s="14">
        <v>45583</v>
      </c>
      <c r="Q93" s="14">
        <f>DATE(YEAR(P93)+2,MONTH(P93),DAY(P93)-1)</f>
        <v>46312</v>
      </c>
      <c r="R93" s="65">
        <f ca="1">Q93-TODAY()</f>
        <v>181</v>
      </c>
      <c r="S93" s="15" t="str">
        <f t="shared" ca="1" si="342"/>
        <v>VIGENTE</v>
      </c>
      <c r="T93" s="16" t="s">
        <v>381</v>
      </c>
      <c r="U93" s="14">
        <v>45308</v>
      </c>
      <c r="V93" s="14">
        <v>45309</v>
      </c>
      <c r="W93" s="14">
        <f t="shared" si="237"/>
        <v>47136</v>
      </c>
      <c r="X93" s="65">
        <f t="shared" ca="1" si="238"/>
        <v>1005</v>
      </c>
      <c r="Y93" s="15" t="str">
        <f t="shared" ca="1" si="239"/>
        <v>VIGENTE</v>
      </c>
      <c r="Z93" s="16"/>
      <c r="AA93" s="16"/>
      <c r="AB93" s="16"/>
      <c r="AC93" s="14"/>
      <c r="AD93" s="65"/>
      <c r="AE93" s="68" t="str">
        <f>IF(AD93&gt;=91,"VIGENTE",IF(AD93&gt;=1,"POR VENCER",IF(AD93&lt;=-1,"VENCIDA",IF(AB93=0,"PENDIENTE"))))</f>
        <v>PENDIENTE</v>
      </c>
      <c r="AF93" s="16"/>
      <c r="AG93" s="14">
        <v>45936</v>
      </c>
      <c r="AH93" s="14">
        <f>DATE(YEAR(AG93)+2,MONTH(AG93),DAY(AG93))</f>
        <v>46666</v>
      </c>
      <c r="AI93" s="65">
        <f t="shared" ca="1" si="241"/>
        <v>535</v>
      </c>
      <c r="AJ93" s="15" t="str">
        <f t="shared" ca="1" si="213"/>
        <v>VIGENTE</v>
      </c>
      <c r="AK93" s="16"/>
      <c r="AL93" s="14">
        <v>45937</v>
      </c>
      <c r="AM93" s="14">
        <f t="shared" si="380"/>
        <v>46667</v>
      </c>
      <c r="AN93" s="65">
        <f t="shared" ca="1" si="242"/>
        <v>536</v>
      </c>
      <c r="AO93" s="15" t="str">
        <f t="shared" ca="1" si="243"/>
        <v>VIGENTE</v>
      </c>
      <c r="AP93" s="14">
        <v>45349</v>
      </c>
      <c r="AQ93" s="14">
        <v>45989</v>
      </c>
      <c r="AR93" s="14">
        <f t="shared" si="381"/>
        <v>46719</v>
      </c>
      <c r="AS93" s="65">
        <f t="shared" ca="1" si="244"/>
        <v>588</v>
      </c>
      <c r="AT93" s="15" t="str">
        <f t="shared" ca="1" si="245"/>
        <v>VIGENTE</v>
      </c>
      <c r="AU93" s="14">
        <v>45323</v>
      </c>
      <c r="AV93" s="14">
        <v>45972</v>
      </c>
      <c r="AW93" s="14">
        <f t="shared" si="382"/>
        <v>46702</v>
      </c>
      <c r="AX93" s="65">
        <f t="shared" ca="1" si="246"/>
        <v>571</v>
      </c>
      <c r="AY93" s="15" t="str">
        <f t="shared" ca="1" si="247"/>
        <v>VIGENTE</v>
      </c>
      <c r="AZ93" s="13">
        <v>45387</v>
      </c>
      <c r="BA93" s="14">
        <v>46041</v>
      </c>
      <c r="BB93" s="14">
        <f>DATE(YEAR(BA93)+2,MONTH(BA93),DAY(BA93))</f>
        <v>46771</v>
      </c>
      <c r="BC93" s="65">
        <f t="shared" ca="1" si="248"/>
        <v>640</v>
      </c>
      <c r="BD93" s="15" t="str">
        <f t="shared" ca="1" si="249"/>
        <v>VIGENTE</v>
      </c>
      <c r="BE93" s="16"/>
      <c r="BF93" s="14">
        <v>45997</v>
      </c>
      <c r="BG93" s="14">
        <f t="shared" si="388"/>
        <v>46727</v>
      </c>
      <c r="BH93" s="65">
        <f t="shared" ca="1" si="250"/>
        <v>596</v>
      </c>
      <c r="BI93" s="15" t="str">
        <f t="shared" ca="1" si="251"/>
        <v>VIGENTE</v>
      </c>
      <c r="BJ93" s="14">
        <v>45348</v>
      </c>
      <c r="BK93" s="14">
        <v>46017</v>
      </c>
      <c r="BL93" s="14">
        <f>DATE(YEAR(BK93)+2,MONTH(BK93),DAY(BK93))</f>
        <v>46747</v>
      </c>
      <c r="BM93" s="65">
        <f t="shared" ca="1" si="252"/>
        <v>616</v>
      </c>
      <c r="BN93" s="15" t="str">
        <f t="shared" ca="1" si="253"/>
        <v>VIGENTE</v>
      </c>
      <c r="BO93" s="14"/>
      <c r="BP93" s="14">
        <v>46050</v>
      </c>
      <c r="BQ93" s="14">
        <f>DATE(YEAR(BP93)+2,MONTH(BP93),DAY(BP93))</f>
        <v>46780</v>
      </c>
      <c r="BR93" s="65">
        <f t="shared" ca="1" si="254"/>
        <v>649</v>
      </c>
      <c r="BS93" s="15" t="str">
        <f t="shared" ca="1" si="255"/>
        <v>VIGENTE</v>
      </c>
      <c r="BT93" s="13">
        <v>45362</v>
      </c>
      <c r="BU93" s="14">
        <v>46031</v>
      </c>
      <c r="BV93" s="14">
        <f>DATE(YEAR(BU93)+2,MONTH(BU93),DAY(BU93))</f>
        <v>46761</v>
      </c>
      <c r="BW93" s="65">
        <f t="shared" ca="1" si="256"/>
        <v>630</v>
      </c>
      <c r="BX93" s="15" t="str">
        <f t="shared" ca="1" si="257"/>
        <v>VIGENTE</v>
      </c>
      <c r="BY93" s="16"/>
      <c r="BZ93" s="14">
        <v>45986</v>
      </c>
      <c r="CA93" s="14">
        <f t="shared" si="383"/>
        <v>46716</v>
      </c>
      <c r="CB93" s="65">
        <f t="shared" ca="1" si="258"/>
        <v>585</v>
      </c>
      <c r="CC93" s="15" t="str">
        <f t="shared" ca="1" si="259"/>
        <v>VIGENTE</v>
      </c>
      <c r="CD93" s="16" t="s">
        <v>102</v>
      </c>
      <c r="CE93" s="14">
        <v>45722</v>
      </c>
      <c r="CF93" s="14">
        <v>45723</v>
      </c>
      <c r="CG93" s="14">
        <f t="shared" si="377"/>
        <v>47184</v>
      </c>
      <c r="CH93" s="65">
        <f t="shared" ca="1" si="378"/>
        <v>1053</v>
      </c>
      <c r="CI93" s="15" t="str">
        <f t="shared" ca="1" si="262"/>
        <v>VIGENTE</v>
      </c>
      <c r="CJ93" s="14">
        <v>45353</v>
      </c>
      <c r="CK93" s="14">
        <v>46018</v>
      </c>
      <c r="CL93" s="14">
        <f>DATE(YEAR(CK93)+2,MONTH(CK93),DAY(CK93))</f>
        <v>46748</v>
      </c>
      <c r="CM93" s="65">
        <f t="shared" ca="1" si="263"/>
        <v>617</v>
      </c>
      <c r="CN93" s="15" t="str">
        <f t="shared" ca="1" si="264"/>
        <v>VIGENTE</v>
      </c>
      <c r="CO93" s="14">
        <v>45305</v>
      </c>
      <c r="CP93" s="14">
        <v>45979</v>
      </c>
      <c r="CQ93" s="14">
        <f>DATE(YEAR(CP93)+2,MONTH(CP93),DAY(CP93))</f>
        <v>46709</v>
      </c>
      <c r="CR93" s="65">
        <f t="shared" ca="1" si="265"/>
        <v>578</v>
      </c>
      <c r="CS93" s="15" t="str">
        <f t="shared" ca="1" si="266"/>
        <v>VIGENTE</v>
      </c>
      <c r="CT93" s="14">
        <v>45408</v>
      </c>
      <c r="CU93" s="14">
        <v>46043</v>
      </c>
      <c r="CV93" s="14">
        <f>DATE(YEAR(CU93)+2,MONTH(CU93),DAY(CU93))</f>
        <v>46773</v>
      </c>
      <c r="CW93" s="65">
        <f t="shared" ca="1" si="267"/>
        <v>642</v>
      </c>
      <c r="CX93" s="15" t="str">
        <f t="shared" ca="1" si="268"/>
        <v>VIGENTE</v>
      </c>
      <c r="CY93" s="14"/>
      <c r="CZ93" s="14">
        <v>46000</v>
      </c>
      <c r="DA93" s="14">
        <f>DATE(YEAR(CZ93)+2,MONTH(CZ93),DAY(CZ93))</f>
        <v>46730</v>
      </c>
      <c r="DB93" s="65">
        <f t="shared" ca="1" si="269"/>
        <v>599</v>
      </c>
      <c r="DC93" s="15" t="str">
        <f t="shared" ca="1" si="270"/>
        <v>VIGENTE</v>
      </c>
      <c r="DD93" s="13">
        <v>45328</v>
      </c>
      <c r="DE93" s="14">
        <v>45996</v>
      </c>
      <c r="DF93" s="14">
        <f>DATE(YEAR(DE93)+2,MONTH(DE93),DAY(DE93))</f>
        <v>46726</v>
      </c>
      <c r="DG93" s="65">
        <f t="shared" ca="1" si="271"/>
        <v>595</v>
      </c>
      <c r="DH93" s="15" t="str">
        <f t="shared" ca="1" si="272"/>
        <v>VIGENTE</v>
      </c>
      <c r="DI93" s="14">
        <v>45312</v>
      </c>
      <c r="DJ93" s="14">
        <v>45975</v>
      </c>
      <c r="DK93" s="14">
        <f>DATE(YEAR(DJ93)+2,MONTH(DJ93),DAY(DJ93))</f>
        <v>46705</v>
      </c>
      <c r="DL93" s="65">
        <f t="shared" ca="1" si="273"/>
        <v>574</v>
      </c>
      <c r="DM93" s="15" t="str">
        <f t="shared" ca="1" si="274"/>
        <v>VIGENTE</v>
      </c>
      <c r="DN93" s="14">
        <v>45345</v>
      </c>
      <c r="DO93" s="14">
        <v>45982</v>
      </c>
      <c r="DP93" s="14">
        <f>DATE(YEAR(DO93)+2,MONTH(DO93),DAY(DO93))</f>
        <v>46712</v>
      </c>
      <c r="DQ93" s="65">
        <f t="shared" ca="1" si="275"/>
        <v>581</v>
      </c>
      <c r="DR93" s="15" t="str">
        <f t="shared" ca="1" si="276"/>
        <v>VIGENTE</v>
      </c>
      <c r="DS93" s="14">
        <v>45336</v>
      </c>
      <c r="DT93" s="13">
        <v>46009</v>
      </c>
      <c r="DU93" s="14">
        <f>DATE(YEAR(DT93)+2,MONTH(DT93),DAY(DT93))</f>
        <v>46739</v>
      </c>
      <c r="DV93" s="65">
        <f t="shared" ca="1" si="277"/>
        <v>608</v>
      </c>
      <c r="DW93" s="15" t="str">
        <f t="shared" ca="1" si="278"/>
        <v>VIGENTE</v>
      </c>
      <c r="DX93" s="14">
        <v>45355</v>
      </c>
      <c r="DY93" s="14">
        <v>46032</v>
      </c>
      <c r="DZ93" s="14">
        <f>DATE(YEAR(DY93)+2,MONTH(DY93),DAY(DY93))</f>
        <v>46762</v>
      </c>
      <c r="EA93" s="65">
        <f t="shared" ca="1" si="279"/>
        <v>631</v>
      </c>
      <c r="EB93" s="15" t="str">
        <f t="shared" ca="1" si="280"/>
        <v>VIGENTE</v>
      </c>
      <c r="EC93" s="14">
        <v>45341</v>
      </c>
      <c r="ED93" s="14">
        <v>45994</v>
      </c>
      <c r="EE93" s="14">
        <f>DATE(YEAR(ED93)+2,MONTH(ED93),DAY(ED93))</f>
        <v>46724</v>
      </c>
      <c r="EF93" s="65">
        <f t="shared" ca="1" si="281"/>
        <v>593</v>
      </c>
      <c r="EG93" s="15" t="str">
        <f t="shared" ca="1" si="282"/>
        <v>VIGENTE</v>
      </c>
      <c r="EH93" s="14"/>
      <c r="EI93" s="13">
        <v>46013</v>
      </c>
      <c r="EJ93" s="13">
        <v>46014</v>
      </c>
      <c r="EK93" s="13">
        <v>46015</v>
      </c>
      <c r="EL93" s="14">
        <f t="shared" si="344"/>
        <v>46380</v>
      </c>
      <c r="EM93" s="65">
        <f t="shared" ca="1" si="283"/>
        <v>249</v>
      </c>
      <c r="EN93" s="15" t="str">
        <f t="shared" ca="1" si="284"/>
        <v>VIGENTE</v>
      </c>
      <c r="EO93" s="14">
        <v>45346</v>
      </c>
      <c r="EP93" s="14">
        <v>45995</v>
      </c>
      <c r="EQ93" s="14">
        <f>DATE(YEAR(EP93)+2,MONTH(EP93),DAY(EP93))</f>
        <v>46725</v>
      </c>
      <c r="ER93" s="65">
        <f t="shared" ca="1" si="285"/>
        <v>594</v>
      </c>
      <c r="ES93" s="15" t="str">
        <f t="shared" ca="1" si="286"/>
        <v>VIGENTE</v>
      </c>
      <c r="ET93" s="16"/>
      <c r="EU93" s="14">
        <v>45999</v>
      </c>
      <c r="EV93" s="14">
        <f>DATE(YEAR(EU93)+2,MONTH(EU93),DAY(EU93))</f>
        <v>46729</v>
      </c>
      <c r="EW93" s="65">
        <f t="shared" ca="1" si="287"/>
        <v>598</v>
      </c>
      <c r="EX93" s="15" t="str">
        <f t="shared" ca="1" si="288"/>
        <v>VIGENTE</v>
      </c>
      <c r="EY93" s="14">
        <v>45339</v>
      </c>
      <c r="EZ93" s="14">
        <v>45964</v>
      </c>
      <c r="FA93" s="14">
        <f>DATE(YEAR(EZ93)+2,MONTH(EZ93),DAY(EZ93))</f>
        <v>46694</v>
      </c>
      <c r="FB93" s="65">
        <f t="shared" ca="1" si="289"/>
        <v>563</v>
      </c>
      <c r="FC93" s="15" t="str">
        <f t="shared" ca="1" si="290"/>
        <v>VIGENTE</v>
      </c>
      <c r="FD93" s="16"/>
      <c r="FE93" s="14">
        <v>45988</v>
      </c>
      <c r="FF93" s="14">
        <f t="shared" si="386"/>
        <v>46718</v>
      </c>
      <c r="FG93" s="65">
        <f t="shared" ca="1" si="291"/>
        <v>587</v>
      </c>
      <c r="FH93" s="15" t="str">
        <f t="shared" ca="1" si="292"/>
        <v>VIGENTE</v>
      </c>
      <c r="FI93" s="14">
        <v>45342</v>
      </c>
      <c r="FJ93" s="14">
        <v>45962</v>
      </c>
      <c r="FK93" s="14">
        <f t="shared" si="387"/>
        <v>46692</v>
      </c>
      <c r="FL93" s="65">
        <f t="shared" ca="1" si="293"/>
        <v>561</v>
      </c>
      <c r="FM93" s="15" t="str">
        <f t="shared" ca="1" si="294"/>
        <v>VIGENTE</v>
      </c>
      <c r="FN93" s="14">
        <v>45359</v>
      </c>
      <c r="FO93" s="14">
        <v>46039</v>
      </c>
      <c r="FP93" s="14">
        <f>DATE(YEAR(FO93)+2,MONTH(FO93),DAY(FO93))</f>
        <v>46769</v>
      </c>
      <c r="FQ93" s="65">
        <f t="shared" ca="1" si="295"/>
        <v>638</v>
      </c>
      <c r="FR93" s="15" t="str">
        <f t="shared" ca="1" si="296"/>
        <v>VIGENTE</v>
      </c>
      <c r="FS93" s="14">
        <v>45358</v>
      </c>
      <c r="FT93" s="14">
        <v>46034</v>
      </c>
      <c r="FU93" s="14">
        <f>DATE(YEAR(FT93)+2,MONTH(FT93),DAY(FT93))</f>
        <v>46764</v>
      </c>
      <c r="FV93" s="65">
        <f t="shared" ca="1" si="297"/>
        <v>633</v>
      </c>
      <c r="FW93" s="15" t="str">
        <f t="shared" ca="1" si="298"/>
        <v>VIGENTE</v>
      </c>
      <c r="FX93" s="14">
        <v>45324</v>
      </c>
      <c r="FY93" s="14">
        <v>46004</v>
      </c>
      <c r="FZ93" s="14">
        <f>DATE(YEAR(FY93)+2,MONTH(FY93),DAY(FY93))</f>
        <v>46734</v>
      </c>
      <c r="GA93" s="65">
        <f t="shared" ca="1" si="299"/>
        <v>603</v>
      </c>
      <c r="GB93" s="15" t="str">
        <f t="shared" ca="1" si="300"/>
        <v>VIGENTE</v>
      </c>
      <c r="GC93" s="14"/>
      <c r="GD93" s="14">
        <v>45925</v>
      </c>
      <c r="GE93" s="14">
        <f>DATE(YEAR(GD93)+2,MONTH(GD93),DAY(GD93))</f>
        <v>46655</v>
      </c>
      <c r="GF93" s="65">
        <f t="shared" ca="1" si="301"/>
        <v>524</v>
      </c>
      <c r="GG93" s="15" t="str">
        <f t="shared" ca="1" si="302"/>
        <v>VIGENTE</v>
      </c>
      <c r="GH93" s="14">
        <v>45332</v>
      </c>
      <c r="GI93" s="14">
        <v>45960</v>
      </c>
      <c r="GJ93" s="14">
        <f>DATE(YEAR(GI93)+2,MONTH(GI93),DAY(GI93))</f>
        <v>46690</v>
      </c>
      <c r="GK93" s="65">
        <f t="shared" ca="1" si="303"/>
        <v>559</v>
      </c>
      <c r="GL93" s="15" t="str">
        <f t="shared" ca="1" si="304"/>
        <v>VIGENTE</v>
      </c>
      <c r="GM93" s="14"/>
      <c r="GN93" s="14">
        <v>45499</v>
      </c>
      <c r="GO93" s="14">
        <f>DATE(YEAR(GN93)+2,MONTH(GN93),DAY(GN93)-1)</f>
        <v>46228</v>
      </c>
      <c r="GP93" s="65">
        <f t="shared" ca="1" si="305"/>
        <v>97</v>
      </c>
      <c r="GQ93" s="15" t="str">
        <f t="shared" ca="1" si="306"/>
        <v>VIGENTE</v>
      </c>
      <c r="GR93" s="14"/>
      <c r="GS93" s="14">
        <v>45299</v>
      </c>
      <c r="GT93" s="14">
        <f t="shared" si="307"/>
        <v>47126</v>
      </c>
      <c r="GU93" s="65">
        <f t="shared" ca="1" si="374"/>
        <v>995</v>
      </c>
      <c r="GV93" s="15" t="str">
        <f t="shared" ca="1" si="368"/>
        <v>VIGENTE</v>
      </c>
      <c r="GW93" s="14"/>
      <c r="GX93" s="14">
        <v>45329</v>
      </c>
      <c r="GY93" s="14">
        <f t="shared" si="309"/>
        <v>47156</v>
      </c>
      <c r="GZ93" s="65">
        <f t="shared" ca="1" si="310"/>
        <v>1025</v>
      </c>
      <c r="HA93" s="15" t="str">
        <f t="shared" ca="1" si="369"/>
        <v>VIGENTE</v>
      </c>
      <c r="HB93" s="16"/>
      <c r="HC93" s="14">
        <v>45343</v>
      </c>
      <c r="HD93" s="14">
        <f t="shared" si="312"/>
        <v>47170</v>
      </c>
      <c r="HE93" s="65">
        <f t="shared" ca="1" si="313"/>
        <v>1039</v>
      </c>
      <c r="HF93" s="15" t="str">
        <f t="shared" ca="1" si="370"/>
        <v>VIGENTE</v>
      </c>
      <c r="HG93" s="16"/>
      <c r="HH93" s="14">
        <v>45317</v>
      </c>
      <c r="HI93" s="14">
        <f>DATE(YEAR(HH93)+5,MONTH(HH93),DAY(HH93))</f>
        <v>47144</v>
      </c>
      <c r="HJ93" s="65">
        <f ca="1">HI93-TODAY()</f>
        <v>1013</v>
      </c>
      <c r="HK93" s="15" t="str">
        <f t="shared" ca="1" si="379"/>
        <v>VIGENTE</v>
      </c>
      <c r="HL93" s="16"/>
      <c r="HM93" s="16"/>
      <c r="HN93" s="14"/>
      <c r="HO93" s="65"/>
      <c r="HP93" s="15" t="str">
        <f t="shared" si="375"/>
        <v>NO APLICA</v>
      </c>
      <c r="HQ93" s="12"/>
      <c r="HR93" s="12"/>
      <c r="HS93" s="14"/>
      <c r="HT93" s="12"/>
      <c r="HU93" s="15" t="str">
        <f t="shared" si="315"/>
        <v>NO APLICA</v>
      </c>
      <c r="HV93" s="16"/>
      <c r="HW93" s="16"/>
      <c r="HX93" s="14"/>
      <c r="HY93" s="65"/>
      <c r="HZ93" s="15" t="str">
        <f t="shared" si="316"/>
        <v>NO APLICA</v>
      </c>
      <c r="IA93" s="16"/>
      <c r="IB93" s="16"/>
      <c r="IC93" s="14"/>
      <c r="ID93" s="65"/>
      <c r="IE93" s="15" t="str">
        <f t="shared" si="317"/>
        <v>NO APLICA</v>
      </c>
      <c r="IF93" s="16"/>
      <c r="IG93" s="16"/>
      <c r="IH93" s="14"/>
      <c r="II93" s="65"/>
      <c r="IJ93" s="15" t="str">
        <f t="shared" si="318"/>
        <v>NO APLICA</v>
      </c>
      <c r="IK93" s="16"/>
      <c r="IL93" s="16"/>
      <c r="IM93" s="14"/>
      <c r="IN93" s="16"/>
      <c r="IO93" s="15" t="str">
        <f t="shared" si="319"/>
        <v>NO APLICA</v>
      </c>
      <c r="IP93" s="16"/>
      <c r="IQ93" s="16"/>
      <c r="IR93" s="14"/>
      <c r="IS93" s="65"/>
      <c r="IT93" s="15" t="str">
        <f t="shared" si="320"/>
        <v>NO APLICA</v>
      </c>
      <c r="IU93" s="16"/>
      <c r="IV93" s="16"/>
      <c r="IW93" s="14"/>
      <c r="IX93" s="65"/>
      <c r="IY93" s="15" t="str">
        <f t="shared" si="321"/>
        <v>NO APLICA</v>
      </c>
      <c r="IZ93" s="16"/>
      <c r="JA93" s="16"/>
      <c r="JB93" s="14"/>
      <c r="JC93" s="65"/>
      <c r="JD93" s="15" t="str">
        <f t="shared" si="322"/>
        <v>NO APLICA</v>
      </c>
      <c r="JE93" s="13"/>
      <c r="JF93" s="13"/>
      <c r="JG93" s="14"/>
      <c r="JH93" s="65"/>
      <c r="JI93" s="15" t="str">
        <f t="shared" si="323"/>
        <v>NO APLICA</v>
      </c>
      <c r="JJ93" s="16"/>
      <c r="JK93" s="16"/>
      <c r="JL93" s="16"/>
      <c r="JM93" s="15" t="str">
        <f t="shared" si="324"/>
        <v>NO APLICA</v>
      </c>
      <c r="JN93" s="16"/>
      <c r="JO93" s="16"/>
      <c r="JP93" s="16"/>
      <c r="JQ93" s="15" t="str">
        <f t="shared" si="325"/>
        <v>NO APLICA</v>
      </c>
      <c r="JR93" s="16"/>
      <c r="JS93" s="16"/>
      <c r="JT93" s="16"/>
      <c r="JU93" s="16"/>
      <c r="JV93" s="15" t="str">
        <f t="shared" si="326"/>
        <v>NO APLICA</v>
      </c>
      <c r="JW93" s="15"/>
      <c r="JX93" s="15"/>
      <c r="JY93" s="15"/>
      <c r="JZ93" s="15"/>
      <c r="KA93" s="15" t="str">
        <f t="shared" si="327"/>
        <v>NO APLICA</v>
      </c>
      <c r="KB93" s="12"/>
      <c r="KC93" s="14"/>
      <c r="KD93" s="65"/>
      <c r="KE93" s="15" t="str">
        <f t="shared" si="328"/>
        <v>NO APLICA</v>
      </c>
      <c r="KF93" s="12"/>
      <c r="KG93" s="14"/>
      <c r="KH93" s="65"/>
      <c r="KI93" s="15" t="str">
        <f t="shared" si="345"/>
        <v>NO APLICA</v>
      </c>
      <c r="KJ93" s="12"/>
      <c r="KK93" s="14"/>
      <c r="KL93" s="65"/>
      <c r="KM93" s="15" t="str">
        <f t="shared" si="329"/>
        <v>NO APLICA</v>
      </c>
      <c r="KN93" s="13">
        <v>45346</v>
      </c>
      <c r="KO93" s="14">
        <f>DATE(YEAR(KN93)+5,MONTH(KN93),DAY(KN93))</f>
        <v>47173</v>
      </c>
      <c r="KP93" s="65">
        <f ca="1">KO93-TODAY()</f>
        <v>1042</v>
      </c>
      <c r="KQ93" s="15" t="str">
        <f t="shared" ca="1" si="346"/>
        <v>VIGENTE</v>
      </c>
      <c r="KR93" s="16"/>
      <c r="KS93" s="16"/>
      <c r="KT93" s="14"/>
      <c r="KU93" s="16"/>
      <c r="KV93" s="15" t="str">
        <f t="shared" si="355"/>
        <v>NO APLICA</v>
      </c>
      <c r="KW93" s="16"/>
      <c r="KX93" s="14"/>
      <c r="KY93" s="16"/>
      <c r="KZ93" s="15" t="str">
        <f t="shared" si="347"/>
        <v>NO APLICA</v>
      </c>
      <c r="LA93" s="16"/>
      <c r="LB93" s="16"/>
      <c r="LC93" s="16"/>
      <c r="LD93" s="16"/>
      <c r="LE93" s="15" t="str">
        <f t="shared" si="330"/>
        <v>NO APLICA</v>
      </c>
      <c r="LF93" s="15"/>
      <c r="LG93" s="15"/>
      <c r="LH93" s="14"/>
      <c r="LI93" s="65"/>
      <c r="LJ93" s="15" t="str">
        <f t="shared" si="356"/>
        <v>NO APLICA</v>
      </c>
      <c r="LK93" s="16"/>
      <c r="LL93" s="16"/>
      <c r="LM93" s="14"/>
      <c r="LN93" s="65"/>
      <c r="LO93" s="15" t="str">
        <f t="shared" si="348"/>
        <v>NO APLICA</v>
      </c>
      <c r="LP93" s="16"/>
      <c r="LQ93" s="16"/>
      <c r="LR93" s="14"/>
      <c r="LS93" s="16"/>
      <c r="LT93" s="15" t="str">
        <f t="shared" si="349"/>
        <v>NO APLICA</v>
      </c>
      <c r="LU93" s="16"/>
      <c r="LV93" s="16"/>
      <c r="LW93" s="14"/>
      <c r="LX93" s="16"/>
      <c r="LY93" s="15" t="str">
        <f t="shared" si="350"/>
        <v>NO APLICA</v>
      </c>
      <c r="LZ93" s="16"/>
      <c r="MA93" s="16"/>
      <c r="MB93" s="14"/>
      <c r="MC93" s="16"/>
      <c r="MD93" s="15" t="str">
        <f t="shared" si="331"/>
        <v>NO APLICA</v>
      </c>
      <c r="ME93" s="16"/>
      <c r="MF93" s="16"/>
      <c r="MG93" s="14"/>
      <c r="MH93" s="16"/>
      <c r="MI93" s="15" t="str">
        <f t="shared" si="332"/>
        <v>NO APLICA</v>
      </c>
      <c r="MJ93" s="16"/>
      <c r="MK93" s="14"/>
      <c r="ML93" s="16"/>
      <c r="MM93" s="15" t="str">
        <f t="shared" si="333"/>
        <v>NO APLICA</v>
      </c>
      <c r="MN93" s="16"/>
      <c r="MO93" s="16"/>
      <c r="MP93" s="16"/>
      <c r="MQ93" s="15" t="str">
        <f t="shared" si="334"/>
        <v>NO APLICA</v>
      </c>
      <c r="MR93" s="16"/>
      <c r="MS93" s="16"/>
      <c r="MT93" s="14"/>
      <c r="MU93" s="16"/>
      <c r="MV93" s="15" t="str">
        <f t="shared" si="335"/>
        <v>NO APLICA</v>
      </c>
      <c r="MW93" s="16"/>
      <c r="MX93" s="16"/>
      <c r="MY93" s="14"/>
      <c r="MZ93" s="16"/>
      <c r="NA93" s="15" t="str">
        <f t="shared" si="336"/>
        <v>NO APLICA</v>
      </c>
      <c r="NB93" s="16"/>
      <c r="NC93" s="16"/>
      <c r="ND93" s="14"/>
      <c r="NE93" s="16"/>
      <c r="NF93" s="15" t="str">
        <f t="shared" si="337"/>
        <v>NO APLICA</v>
      </c>
      <c r="NG93" s="16"/>
      <c r="NH93" s="16"/>
      <c r="NI93" s="14"/>
      <c r="NJ93" s="16"/>
      <c r="NK93" s="15" t="str">
        <f t="shared" si="338"/>
        <v>NO APLICA</v>
      </c>
      <c r="NL93" s="16"/>
      <c r="NM93" s="16"/>
      <c r="NN93" s="14"/>
      <c r="NO93" s="16"/>
      <c r="NP93" s="15" t="str">
        <f t="shared" si="339"/>
        <v>NO APLICA</v>
      </c>
      <c r="NQ93" s="16"/>
      <c r="NR93" s="16"/>
      <c r="NS93" s="14"/>
      <c r="NT93" s="65"/>
      <c r="NU93" s="15" t="str">
        <f t="shared" si="340"/>
        <v>NO APLICA</v>
      </c>
      <c r="NV93" s="16"/>
      <c r="NW93" s="16"/>
      <c r="NX93" s="16"/>
      <c r="NY93" s="16"/>
      <c r="NZ93" s="15" t="str">
        <f t="shared" si="341"/>
        <v>NO APLICA</v>
      </c>
    </row>
    <row r="94" spans="1:390" ht="15.6" thickTop="1" thickBot="1" x14ac:dyDescent="0.35">
      <c r="A94" s="11">
        <v>1695</v>
      </c>
      <c r="B94" s="10" t="s">
        <v>382</v>
      </c>
      <c r="C94" s="21" t="s">
        <v>104</v>
      </c>
      <c r="D94" s="64" t="s">
        <v>110</v>
      </c>
      <c r="E94" s="15"/>
      <c r="F94" s="16"/>
      <c r="G94" s="14"/>
      <c r="H94" s="65"/>
      <c r="I94" s="15" t="str">
        <f t="shared" si="235"/>
        <v>NO APLICA</v>
      </c>
      <c r="J94" s="15"/>
      <c r="K94" s="16"/>
      <c r="L94" s="16"/>
      <c r="M94" s="65"/>
      <c r="N94" s="15" t="str">
        <f t="shared" si="236"/>
        <v>NO APLICA</v>
      </c>
      <c r="O94" s="16"/>
      <c r="P94" s="16"/>
      <c r="Q94" s="14"/>
      <c r="R94" s="65"/>
      <c r="S94" s="15" t="str">
        <f t="shared" si="342"/>
        <v>NO APLICA</v>
      </c>
      <c r="T94" s="12" t="s">
        <v>383</v>
      </c>
      <c r="U94" s="13">
        <v>45155</v>
      </c>
      <c r="V94" s="14">
        <v>45156</v>
      </c>
      <c r="W94" s="14">
        <f t="shared" si="237"/>
        <v>46983</v>
      </c>
      <c r="X94" s="65">
        <f t="shared" ca="1" si="238"/>
        <v>852</v>
      </c>
      <c r="Y94" s="15" t="str">
        <f t="shared" ca="1" si="239"/>
        <v>VIGENTE</v>
      </c>
      <c r="Z94" s="12" t="s">
        <v>384</v>
      </c>
      <c r="AA94" s="13">
        <v>45161</v>
      </c>
      <c r="AB94" s="14">
        <v>45162</v>
      </c>
      <c r="AC94" s="14">
        <f>DATE(YEAR(AB94)+5,MONTH(AB94),DAY(AB94))</f>
        <v>46989</v>
      </c>
      <c r="AD94" s="65">
        <f ca="1">AC94-TODAY()</f>
        <v>858</v>
      </c>
      <c r="AE94" s="15" t="str">
        <f t="shared" ref="AE94:AE102" ca="1" si="389">IF(AD94&gt;=91,"VIGENTE",IF(AD94&gt;=1,"POR VENCER",IF(AD94&lt;=-1,"VENCIDA",IF(AB94=0,"NO APLICA"))))</f>
        <v>VIGENTE</v>
      </c>
      <c r="AF94" s="13">
        <v>45228</v>
      </c>
      <c r="AG94" s="14">
        <v>45902</v>
      </c>
      <c r="AH94" s="14">
        <f>DATE(YEAR(AG94)+2,MONTH(AG94),DAY(AG94))</f>
        <v>46632</v>
      </c>
      <c r="AI94" s="65">
        <f t="shared" ca="1" si="241"/>
        <v>501</v>
      </c>
      <c r="AJ94" s="15" t="str">
        <f t="shared" ca="1" si="213"/>
        <v>VIGENTE</v>
      </c>
      <c r="AK94" s="13">
        <v>45239</v>
      </c>
      <c r="AL94" s="14">
        <v>45903</v>
      </c>
      <c r="AM94" s="14">
        <f t="shared" si="380"/>
        <v>46633</v>
      </c>
      <c r="AN94" s="65">
        <f t="shared" ca="1" si="242"/>
        <v>502</v>
      </c>
      <c r="AO94" s="15" t="str">
        <f t="shared" ca="1" si="243"/>
        <v>VIGENTE</v>
      </c>
      <c r="AP94" s="13">
        <v>45298</v>
      </c>
      <c r="AQ94" s="14">
        <v>45989</v>
      </c>
      <c r="AR94" s="14">
        <f t="shared" si="381"/>
        <v>46719</v>
      </c>
      <c r="AS94" s="65">
        <f t="shared" ca="1" si="244"/>
        <v>588</v>
      </c>
      <c r="AT94" s="15" t="str">
        <f t="shared" ca="1" si="245"/>
        <v>VIGENTE</v>
      </c>
      <c r="AU94" s="13">
        <v>45323</v>
      </c>
      <c r="AV94" s="14">
        <v>45972</v>
      </c>
      <c r="AW94" s="14">
        <f t="shared" si="382"/>
        <v>46702</v>
      </c>
      <c r="AX94" s="65">
        <f t="shared" ca="1" si="246"/>
        <v>571</v>
      </c>
      <c r="AY94" s="15" t="str">
        <f t="shared" ca="1" si="247"/>
        <v>VIGENTE</v>
      </c>
      <c r="AZ94" s="13"/>
      <c r="BA94" s="14">
        <v>45943</v>
      </c>
      <c r="BB94" s="14">
        <f>DATE(YEAR(BA94)+2,MONTH(BA94),DAY(BA94))</f>
        <v>46673</v>
      </c>
      <c r="BC94" s="65">
        <f t="shared" ca="1" si="248"/>
        <v>542</v>
      </c>
      <c r="BD94" s="15" t="str">
        <f t="shared" ca="1" si="249"/>
        <v>VIGENTE</v>
      </c>
      <c r="BE94" s="12"/>
      <c r="BF94" s="14">
        <v>45987</v>
      </c>
      <c r="BG94" s="14">
        <f t="shared" si="388"/>
        <v>46717</v>
      </c>
      <c r="BH94" s="65">
        <f t="shared" ca="1" si="250"/>
        <v>586</v>
      </c>
      <c r="BI94" s="15" t="str">
        <f t="shared" ca="1" si="251"/>
        <v>VIGENTE</v>
      </c>
      <c r="BJ94" s="13">
        <v>45306</v>
      </c>
      <c r="BK94" s="14">
        <v>45976</v>
      </c>
      <c r="BL94" s="14">
        <f>DATE(YEAR(BK94)+2,MONTH(BK94),DAY(BK94))</f>
        <v>46706</v>
      </c>
      <c r="BM94" s="65">
        <f t="shared" ca="1" si="252"/>
        <v>575</v>
      </c>
      <c r="BN94" s="15" t="str">
        <f t="shared" ca="1" si="253"/>
        <v>VIGENTE</v>
      </c>
      <c r="BO94" s="13">
        <v>45190</v>
      </c>
      <c r="BP94" s="14">
        <v>45876</v>
      </c>
      <c r="BQ94" s="14">
        <f>DATE(YEAR(BP94)+2,MONTH(BP94),DAY(BP94))</f>
        <v>46606</v>
      </c>
      <c r="BR94" s="65">
        <f t="shared" ca="1" si="254"/>
        <v>475</v>
      </c>
      <c r="BS94" s="15" t="str">
        <f t="shared" ca="1" si="255"/>
        <v>VIGENTE</v>
      </c>
      <c r="BT94" s="13">
        <v>45183</v>
      </c>
      <c r="BU94" s="14">
        <v>45853</v>
      </c>
      <c r="BV94" s="14">
        <f>DATE(YEAR(BU94)+2,MONTH(BU94),DAY(BU94))</f>
        <v>46583</v>
      </c>
      <c r="BW94" s="65">
        <f t="shared" ca="1" si="256"/>
        <v>452</v>
      </c>
      <c r="BX94" s="15" t="str">
        <f t="shared" ca="1" si="257"/>
        <v>VIGENTE</v>
      </c>
      <c r="BY94" s="13">
        <v>45300</v>
      </c>
      <c r="BZ94" s="14">
        <v>45974</v>
      </c>
      <c r="CA94" s="14">
        <f t="shared" si="383"/>
        <v>46704</v>
      </c>
      <c r="CB94" s="65">
        <f t="shared" ca="1" si="258"/>
        <v>573</v>
      </c>
      <c r="CC94" s="15" t="str">
        <f t="shared" ca="1" si="259"/>
        <v>VIGENTE</v>
      </c>
      <c r="CD94" s="16" t="s">
        <v>108</v>
      </c>
      <c r="CE94" s="14">
        <v>45163</v>
      </c>
      <c r="CF94" s="14">
        <v>45164</v>
      </c>
      <c r="CG94" s="14">
        <f t="shared" si="377"/>
        <v>46625</v>
      </c>
      <c r="CH94" s="65">
        <f t="shared" ca="1" si="378"/>
        <v>494</v>
      </c>
      <c r="CI94" s="15" t="str">
        <f t="shared" ca="1" si="262"/>
        <v>VIGENTE</v>
      </c>
      <c r="CJ94" s="14">
        <v>45238</v>
      </c>
      <c r="CK94" s="14">
        <v>45895</v>
      </c>
      <c r="CL94" s="14">
        <f>DATE(YEAR(CK94)+2,MONTH(CK94),DAY(CK94))</f>
        <v>46625</v>
      </c>
      <c r="CM94" s="65">
        <f t="shared" ca="1" si="263"/>
        <v>494</v>
      </c>
      <c r="CN94" s="15" t="str">
        <f t="shared" ca="1" si="264"/>
        <v>VIGENTE</v>
      </c>
      <c r="CO94" s="14">
        <v>45305</v>
      </c>
      <c r="CP94" s="14">
        <v>45979</v>
      </c>
      <c r="CQ94" s="14">
        <f>DATE(YEAR(CP94)+2,MONTH(CP94),DAY(CP94))</f>
        <v>46709</v>
      </c>
      <c r="CR94" s="65">
        <f t="shared" ca="1" si="265"/>
        <v>578</v>
      </c>
      <c r="CS94" s="15" t="str">
        <f t="shared" ca="1" si="266"/>
        <v>VIGENTE</v>
      </c>
      <c r="CT94" s="12"/>
      <c r="CU94" s="14">
        <v>45939</v>
      </c>
      <c r="CV94" s="14">
        <f>DATE(YEAR(CU94)+2,MONTH(CU94),DAY(CU94))</f>
        <v>46669</v>
      </c>
      <c r="CW94" s="65">
        <f t="shared" ca="1" si="267"/>
        <v>538</v>
      </c>
      <c r="CX94" s="15" t="str">
        <f t="shared" ca="1" si="268"/>
        <v>VIGENTE</v>
      </c>
      <c r="CY94" s="13"/>
      <c r="CZ94" s="14">
        <v>46000</v>
      </c>
      <c r="DA94" s="14">
        <f>DATE(YEAR(CZ94)+2,MONTH(CZ94),DAY(CZ94))</f>
        <v>46730</v>
      </c>
      <c r="DB94" s="65">
        <f t="shared" ca="1" si="269"/>
        <v>599</v>
      </c>
      <c r="DC94" s="15" t="str">
        <f t="shared" ca="1" si="270"/>
        <v>VIGENTE</v>
      </c>
      <c r="DD94" s="13">
        <v>45181</v>
      </c>
      <c r="DE94" s="14">
        <v>45836</v>
      </c>
      <c r="DF94" s="14">
        <f>DATE(YEAR(DE94)+2,MONTH(DE94),DAY(DE94))</f>
        <v>46566</v>
      </c>
      <c r="DG94" s="65">
        <f t="shared" ca="1" si="271"/>
        <v>435</v>
      </c>
      <c r="DH94" s="15" t="str">
        <f t="shared" ca="1" si="272"/>
        <v>VIGENTE</v>
      </c>
      <c r="DI94" s="13">
        <v>45208</v>
      </c>
      <c r="DJ94" s="14">
        <v>45924</v>
      </c>
      <c r="DK94" s="14">
        <f>DATE(YEAR(DJ94)+2,MONTH(DJ94),DAY(DJ94))</f>
        <v>46654</v>
      </c>
      <c r="DL94" s="65">
        <f t="shared" ca="1" si="273"/>
        <v>523</v>
      </c>
      <c r="DM94" s="15" t="str">
        <f t="shared" ca="1" si="274"/>
        <v>VIGENTE</v>
      </c>
      <c r="DN94" s="13">
        <v>45196</v>
      </c>
      <c r="DO94" s="14">
        <v>45857</v>
      </c>
      <c r="DP94" s="14">
        <f>DATE(YEAR(DO94)+2,MONTH(DO94),DAY(DO94))</f>
        <v>46587</v>
      </c>
      <c r="DQ94" s="65">
        <f t="shared" ca="1" si="275"/>
        <v>456</v>
      </c>
      <c r="DR94" s="15" t="str">
        <f t="shared" ca="1" si="276"/>
        <v>VIGENTE</v>
      </c>
      <c r="DS94" s="14">
        <v>45336</v>
      </c>
      <c r="DT94" s="14">
        <v>46018</v>
      </c>
      <c r="DU94" s="14">
        <f>DATE(YEAR(DT94)+2,MONTH(DT94),DAY(DT94))</f>
        <v>46748</v>
      </c>
      <c r="DV94" s="65">
        <f t="shared" ca="1" si="277"/>
        <v>617</v>
      </c>
      <c r="DW94" s="15" t="str">
        <f t="shared" ca="1" si="278"/>
        <v>VIGENTE</v>
      </c>
      <c r="DX94" s="13">
        <v>45329</v>
      </c>
      <c r="DY94" s="14">
        <v>46020</v>
      </c>
      <c r="DZ94" s="14">
        <f>DATE(YEAR(DY94)+2,MONTH(DY94),DAY(DY94))</f>
        <v>46750</v>
      </c>
      <c r="EA94" s="65">
        <f t="shared" ca="1" si="279"/>
        <v>619</v>
      </c>
      <c r="EB94" s="15" t="str">
        <f t="shared" ca="1" si="280"/>
        <v>VIGENTE</v>
      </c>
      <c r="EC94" s="13">
        <v>45174</v>
      </c>
      <c r="ED94" s="14">
        <v>45829</v>
      </c>
      <c r="EE94" s="14">
        <f>DATE(YEAR(ED94)+2,MONTH(ED94),DAY(ED94))</f>
        <v>46559</v>
      </c>
      <c r="EF94" s="65">
        <f t="shared" ca="1" si="281"/>
        <v>428</v>
      </c>
      <c r="EG94" s="15" t="str">
        <f t="shared" ca="1" si="282"/>
        <v>VIGENTE</v>
      </c>
      <c r="EH94" s="13">
        <v>45253</v>
      </c>
      <c r="EI94" s="14">
        <v>45806</v>
      </c>
      <c r="EJ94" s="14">
        <v>45807</v>
      </c>
      <c r="EK94" s="14">
        <v>45808</v>
      </c>
      <c r="EL94" s="14">
        <f t="shared" si="344"/>
        <v>46173</v>
      </c>
      <c r="EM94" s="65">
        <f t="shared" ca="1" si="283"/>
        <v>42</v>
      </c>
      <c r="EN94" s="15" t="str">
        <f t="shared" ca="1" si="284"/>
        <v>POR VENCER</v>
      </c>
      <c r="EO94" s="13">
        <v>45337</v>
      </c>
      <c r="EP94" s="14">
        <v>45983</v>
      </c>
      <c r="EQ94" s="14">
        <f>DATE(YEAR(EP94)+2,MONTH(EP94),DAY(EP94))</f>
        <v>46713</v>
      </c>
      <c r="ER94" s="65">
        <f t="shared" ca="1" si="285"/>
        <v>582</v>
      </c>
      <c r="ES94" s="15" t="str">
        <f t="shared" ca="1" si="286"/>
        <v>VIGENTE</v>
      </c>
      <c r="ET94" s="12"/>
      <c r="EU94" s="14">
        <v>45999</v>
      </c>
      <c r="EV94" s="14">
        <f>DATE(YEAR(EU94)+2,MONTH(EU94),DAY(EU94))</f>
        <v>46729</v>
      </c>
      <c r="EW94" s="65">
        <f t="shared" ca="1" si="287"/>
        <v>598</v>
      </c>
      <c r="EX94" s="15" t="str">
        <f t="shared" ca="1" si="288"/>
        <v>VIGENTE</v>
      </c>
      <c r="EY94" s="13">
        <v>45311</v>
      </c>
      <c r="EZ94" s="14">
        <v>45973</v>
      </c>
      <c r="FA94" s="14">
        <f>DATE(YEAR(EZ94)+2,MONTH(EZ94),DAY(EZ94))</f>
        <v>46703</v>
      </c>
      <c r="FB94" s="65">
        <f t="shared" ca="1" si="289"/>
        <v>572</v>
      </c>
      <c r="FC94" s="15" t="str">
        <f t="shared" ca="1" si="290"/>
        <v>VIGENTE</v>
      </c>
      <c r="FD94" s="13">
        <v>45223</v>
      </c>
      <c r="FE94" s="14">
        <v>45922</v>
      </c>
      <c r="FF94" s="14">
        <f t="shared" si="386"/>
        <v>46652</v>
      </c>
      <c r="FG94" s="65">
        <f t="shared" ca="1" si="291"/>
        <v>521</v>
      </c>
      <c r="FH94" s="15" t="str">
        <f t="shared" ca="1" si="292"/>
        <v>VIGENTE</v>
      </c>
      <c r="FI94" s="12"/>
      <c r="FJ94" s="14">
        <v>46009</v>
      </c>
      <c r="FK94" s="14">
        <f t="shared" si="387"/>
        <v>46739</v>
      </c>
      <c r="FL94" s="65">
        <f t="shared" ca="1" si="293"/>
        <v>608</v>
      </c>
      <c r="FM94" s="15" t="str">
        <f t="shared" ca="1" si="294"/>
        <v>VIGENTE</v>
      </c>
      <c r="FN94" s="13">
        <v>45197</v>
      </c>
      <c r="FO94" s="14">
        <v>45850</v>
      </c>
      <c r="FP94" s="14">
        <f>DATE(YEAR(FO94)+2,MONTH(FO94),DAY(FO94))</f>
        <v>46580</v>
      </c>
      <c r="FQ94" s="65">
        <f t="shared" ca="1" si="295"/>
        <v>449</v>
      </c>
      <c r="FR94" s="15" t="str">
        <f t="shared" ca="1" si="296"/>
        <v>VIGENTE</v>
      </c>
      <c r="FS94" s="13">
        <v>45322</v>
      </c>
      <c r="FT94" s="14">
        <v>45957</v>
      </c>
      <c r="FU94" s="14">
        <f>DATE(YEAR(FT94)+2,MONTH(FT94),DAY(FT94))</f>
        <v>46687</v>
      </c>
      <c r="FV94" s="65">
        <f t="shared" ca="1" si="297"/>
        <v>556</v>
      </c>
      <c r="FW94" s="15" t="str">
        <f t="shared" ca="1" si="298"/>
        <v>VIGENTE</v>
      </c>
      <c r="FX94" s="13"/>
      <c r="FY94" s="14">
        <v>46014</v>
      </c>
      <c r="FZ94" s="14">
        <f>DATE(YEAR(FY94)+2,MONTH(FY94),DAY(FY94))</f>
        <v>46744</v>
      </c>
      <c r="GA94" s="65">
        <f t="shared" ca="1" si="299"/>
        <v>613</v>
      </c>
      <c r="GB94" s="15" t="str">
        <f t="shared" ca="1" si="300"/>
        <v>VIGENTE</v>
      </c>
      <c r="GC94" s="13">
        <v>45371</v>
      </c>
      <c r="GD94" s="14">
        <v>46030</v>
      </c>
      <c r="GE94" s="14">
        <f>DATE(YEAR(GD94)+2,MONTH(GD94),DAY(GD94))</f>
        <v>46760</v>
      </c>
      <c r="GF94" s="65">
        <f t="shared" ca="1" si="301"/>
        <v>629</v>
      </c>
      <c r="GG94" s="15" t="str">
        <f t="shared" ca="1" si="302"/>
        <v>VIGENTE</v>
      </c>
      <c r="GH94" s="13">
        <v>45252</v>
      </c>
      <c r="GI94" s="14">
        <v>45912</v>
      </c>
      <c r="GJ94" s="14">
        <f>DATE(YEAR(GI94)+2,MONTH(GI94),DAY(GI94))</f>
        <v>46642</v>
      </c>
      <c r="GK94" s="65">
        <f t="shared" ca="1" si="303"/>
        <v>511</v>
      </c>
      <c r="GL94" s="15" t="str">
        <f t="shared" ca="1" si="304"/>
        <v>VIGENTE</v>
      </c>
      <c r="GM94" s="13">
        <v>45234</v>
      </c>
      <c r="GN94" s="14">
        <v>45923</v>
      </c>
      <c r="GO94" s="14">
        <f>DATE(YEAR(GN94)+2,MONTH(GN94),DAY(GN94))</f>
        <v>46653</v>
      </c>
      <c r="GP94" s="65">
        <f t="shared" ca="1" si="305"/>
        <v>522</v>
      </c>
      <c r="GQ94" s="15" t="str">
        <f t="shared" ca="1" si="306"/>
        <v>VIGENTE</v>
      </c>
      <c r="GR94" s="14"/>
      <c r="GS94" s="14">
        <v>45299</v>
      </c>
      <c r="GT94" s="14">
        <f t="shared" si="307"/>
        <v>47126</v>
      </c>
      <c r="GU94" s="65">
        <f t="shared" ca="1" si="374"/>
        <v>995</v>
      </c>
      <c r="GV94" s="15" t="str">
        <f t="shared" ca="1" si="368"/>
        <v>VIGENTE</v>
      </c>
      <c r="GW94" s="13"/>
      <c r="GX94" s="14">
        <v>45195</v>
      </c>
      <c r="GY94" s="14">
        <f t="shared" si="309"/>
        <v>47022</v>
      </c>
      <c r="GZ94" s="65">
        <f t="shared" ca="1" si="310"/>
        <v>891</v>
      </c>
      <c r="HA94" s="15" t="str">
        <f t="shared" ca="1" si="369"/>
        <v>VIGENTE</v>
      </c>
      <c r="HB94" s="12"/>
      <c r="HC94" s="14">
        <v>45251</v>
      </c>
      <c r="HD94" s="14">
        <f t="shared" si="312"/>
        <v>47078</v>
      </c>
      <c r="HE94" s="65">
        <f t="shared" ca="1" si="313"/>
        <v>947</v>
      </c>
      <c r="HF94" s="15" t="str">
        <f t="shared" ca="1" si="370"/>
        <v>VIGENTE</v>
      </c>
      <c r="HG94" s="16"/>
      <c r="HH94" s="14">
        <v>45227</v>
      </c>
      <c r="HI94" s="14">
        <f>DATE(YEAR(HH94)+5,MONTH(HH94),DAY(HH94))</f>
        <v>47054</v>
      </c>
      <c r="HJ94" s="65">
        <f ca="1">HI94-TODAY()</f>
        <v>923</v>
      </c>
      <c r="HK94" s="15" t="str">
        <f t="shared" ca="1" si="379"/>
        <v>VIGENTE</v>
      </c>
      <c r="HL94" s="12"/>
      <c r="HM94" s="16"/>
      <c r="HN94" s="14"/>
      <c r="HO94" s="65"/>
      <c r="HP94" s="15" t="str">
        <f t="shared" si="375"/>
        <v>NO APLICA</v>
      </c>
      <c r="HQ94" s="12"/>
      <c r="HR94" s="12"/>
      <c r="HS94" s="14"/>
      <c r="HT94" s="12"/>
      <c r="HU94" s="15" t="str">
        <f t="shared" si="315"/>
        <v>NO APLICA</v>
      </c>
      <c r="HV94" s="12"/>
      <c r="HW94" s="16"/>
      <c r="HX94" s="14"/>
      <c r="HY94" s="65"/>
      <c r="HZ94" s="15" t="str">
        <f t="shared" si="316"/>
        <v>NO APLICA</v>
      </c>
      <c r="IA94" s="12"/>
      <c r="IB94" s="14">
        <v>45395</v>
      </c>
      <c r="IC94" s="14">
        <f>DATE(YEAR(IB94)+5,MONTH(IB94),DAY(IB94))</f>
        <v>47221</v>
      </c>
      <c r="ID94" s="65">
        <f ca="1">IC94-TODAY()</f>
        <v>1090</v>
      </c>
      <c r="IE94" s="15" t="str">
        <f t="shared" ca="1" si="317"/>
        <v>VIGENTE</v>
      </c>
      <c r="IF94" s="12"/>
      <c r="IG94" s="14">
        <v>45355</v>
      </c>
      <c r="IH94" s="14">
        <f>DATE(YEAR(IG94)+5,MONTH(IG94),DAY(IG94))</f>
        <v>47181</v>
      </c>
      <c r="II94" s="65">
        <f ca="1">IH94-TODAY()</f>
        <v>1050</v>
      </c>
      <c r="IJ94" s="15" t="str">
        <f t="shared" ca="1" si="318"/>
        <v>VIGENTE</v>
      </c>
      <c r="IK94" s="16"/>
      <c r="IL94" s="16"/>
      <c r="IM94" s="14"/>
      <c r="IN94" s="65"/>
      <c r="IO94" s="15" t="str">
        <f t="shared" si="319"/>
        <v>NO APLICA</v>
      </c>
      <c r="IP94" s="12"/>
      <c r="IQ94" s="14">
        <v>45304</v>
      </c>
      <c r="IR94" s="14">
        <f>DATE(YEAR(IQ94)+5,MONTH(IQ94),DAY(IQ94))</f>
        <v>47131</v>
      </c>
      <c r="IS94" s="65">
        <f ca="1">IR94-TODAY()</f>
        <v>1000</v>
      </c>
      <c r="IT94" s="15" t="str">
        <f t="shared" ca="1" si="320"/>
        <v>VIGENTE</v>
      </c>
      <c r="IU94" s="12"/>
      <c r="IV94" s="14">
        <v>45288</v>
      </c>
      <c r="IW94" s="14">
        <f>DATE(YEAR(IV94)+5,MONTH(IV94),DAY(IV94))</f>
        <v>47115</v>
      </c>
      <c r="IX94" s="65">
        <f ca="1">IW94-TODAY()</f>
        <v>984</v>
      </c>
      <c r="IY94" s="15" t="str">
        <f t="shared" ca="1" si="321"/>
        <v>VIGENTE</v>
      </c>
      <c r="IZ94" s="12"/>
      <c r="JA94" s="16"/>
      <c r="JB94" s="14"/>
      <c r="JC94" s="65"/>
      <c r="JD94" s="15" t="str">
        <f t="shared" si="322"/>
        <v>NO APLICA</v>
      </c>
      <c r="JE94" s="13"/>
      <c r="JF94" s="13"/>
      <c r="JG94" s="14"/>
      <c r="JH94" s="65"/>
      <c r="JI94" s="15" t="str">
        <f t="shared" si="323"/>
        <v>NO APLICA</v>
      </c>
      <c r="JJ94" s="16"/>
      <c r="JK94" s="16"/>
      <c r="JL94" s="16"/>
      <c r="JM94" s="15" t="str">
        <f t="shared" si="324"/>
        <v>NO APLICA</v>
      </c>
      <c r="JN94" s="16"/>
      <c r="JO94" s="16"/>
      <c r="JP94" s="16"/>
      <c r="JQ94" s="15" t="str">
        <f t="shared" si="325"/>
        <v>NO APLICA</v>
      </c>
      <c r="JR94" s="16"/>
      <c r="JS94" s="16"/>
      <c r="JT94" s="16"/>
      <c r="JU94" s="16"/>
      <c r="JV94" s="15" t="str">
        <f t="shared" si="326"/>
        <v>NO APLICA</v>
      </c>
      <c r="JW94" s="15"/>
      <c r="JX94" s="15"/>
      <c r="JY94" s="15"/>
      <c r="JZ94" s="15"/>
      <c r="KA94" s="15" t="str">
        <f t="shared" si="327"/>
        <v>NO APLICA</v>
      </c>
      <c r="KB94" s="12"/>
      <c r="KC94" s="14"/>
      <c r="KD94" s="65"/>
      <c r="KE94" s="15" t="str">
        <f t="shared" si="328"/>
        <v>NO APLICA</v>
      </c>
      <c r="KF94" s="12"/>
      <c r="KG94" s="14"/>
      <c r="KH94" s="65"/>
      <c r="KI94" s="15" t="str">
        <f t="shared" si="345"/>
        <v>NO APLICA</v>
      </c>
      <c r="KJ94" s="12"/>
      <c r="KK94" s="14"/>
      <c r="KL94" s="65"/>
      <c r="KM94" s="15" t="str">
        <f t="shared" si="329"/>
        <v>NO APLICA</v>
      </c>
      <c r="KN94" s="12"/>
      <c r="KO94" s="14"/>
      <c r="KP94" s="65"/>
      <c r="KQ94" s="15" t="str">
        <f t="shared" si="346"/>
        <v>NO APLICA</v>
      </c>
      <c r="KR94" s="12"/>
      <c r="KS94" s="16"/>
      <c r="KT94" s="14"/>
      <c r="KU94" s="65"/>
      <c r="KV94" s="15" t="str">
        <f t="shared" si="355"/>
        <v>NO APLICA</v>
      </c>
      <c r="KW94" s="16"/>
      <c r="KX94" s="14"/>
      <c r="KY94" s="65"/>
      <c r="KZ94" s="15" t="str">
        <f t="shared" si="347"/>
        <v>NO APLICA</v>
      </c>
      <c r="LA94" s="16"/>
      <c r="LB94" s="16"/>
      <c r="LC94" s="14"/>
      <c r="LD94" s="65"/>
      <c r="LE94" s="15" t="str">
        <f t="shared" si="330"/>
        <v>NO APLICA</v>
      </c>
      <c r="LF94" s="15"/>
      <c r="LG94" s="15"/>
      <c r="LH94" s="14"/>
      <c r="LI94" s="65"/>
      <c r="LJ94" s="15" t="str">
        <f t="shared" si="356"/>
        <v>NO APLICA</v>
      </c>
      <c r="LK94" s="12"/>
      <c r="LL94" s="16"/>
      <c r="LM94" s="14"/>
      <c r="LN94" s="65"/>
      <c r="LO94" s="15" t="str">
        <f t="shared" si="348"/>
        <v>NO APLICA</v>
      </c>
      <c r="LP94" s="16"/>
      <c r="LQ94" s="16"/>
      <c r="LR94" s="14"/>
      <c r="LS94" s="65"/>
      <c r="LT94" s="15" t="str">
        <f t="shared" si="349"/>
        <v>NO APLICA</v>
      </c>
      <c r="LU94" s="16"/>
      <c r="LV94" s="16"/>
      <c r="LW94" s="14"/>
      <c r="LX94" s="65"/>
      <c r="LY94" s="15" t="str">
        <f t="shared" si="350"/>
        <v>NO APLICA</v>
      </c>
      <c r="LZ94" s="12"/>
      <c r="MA94" s="12"/>
      <c r="MB94" s="14"/>
      <c r="MC94" s="65"/>
      <c r="MD94" s="15" t="str">
        <f t="shared" si="331"/>
        <v>NO APLICA</v>
      </c>
      <c r="ME94" s="12"/>
      <c r="MF94" s="12"/>
      <c r="MG94" s="14"/>
      <c r="MH94" s="65"/>
      <c r="MI94" s="15" t="str">
        <f t="shared" si="332"/>
        <v>NO APLICA</v>
      </c>
      <c r="MJ94" s="12"/>
      <c r="MK94" s="14"/>
      <c r="ML94" s="65"/>
      <c r="MM94" s="15" t="str">
        <f t="shared" si="333"/>
        <v>NO APLICA</v>
      </c>
      <c r="MN94" s="12"/>
      <c r="MO94" s="14"/>
      <c r="MP94" s="12"/>
      <c r="MQ94" s="15" t="str">
        <f t="shared" si="334"/>
        <v>NO APLICA</v>
      </c>
      <c r="MR94" s="12"/>
      <c r="MS94" s="16"/>
      <c r="MT94" s="14"/>
      <c r="MU94" s="65"/>
      <c r="MV94" s="15" t="str">
        <f t="shared" si="335"/>
        <v>NO APLICA</v>
      </c>
      <c r="MW94" s="12"/>
      <c r="MX94" s="16"/>
      <c r="MY94" s="14"/>
      <c r="MZ94" s="65"/>
      <c r="NA94" s="15" t="str">
        <f t="shared" si="336"/>
        <v>NO APLICA</v>
      </c>
      <c r="NB94" s="12"/>
      <c r="NC94" s="16"/>
      <c r="ND94" s="14"/>
      <c r="NE94" s="65"/>
      <c r="NF94" s="15" t="str">
        <f t="shared" si="337"/>
        <v>NO APLICA</v>
      </c>
      <c r="NG94" s="12"/>
      <c r="NH94" s="12"/>
      <c r="NI94" s="14"/>
      <c r="NJ94" s="65"/>
      <c r="NK94" s="15" t="str">
        <f t="shared" si="338"/>
        <v>NO APLICA</v>
      </c>
      <c r="NL94" s="12"/>
      <c r="NM94" s="12"/>
      <c r="NN94" s="14"/>
      <c r="NO94" s="12"/>
      <c r="NP94" s="15" t="str">
        <f t="shared" si="339"/>
        <v>NO APLICA</v>
      </c>
      <c r="NQ94" s="16"/>
      <c r="NR94" s="16"/>
      <c r="NS94" s="14"/>
      <c r="NT94" s="65"/>
      <c r="NU94" s="15" t="str">
        <f t="shared" si="340"/>
        <v>NO APLICA</v>
      </c>
      <c r="NV94" s="16"/>
      <c r="NW94" s="16"/>
      <c r="NX94" s="16"/>
      <c r="NY94" s="16"/>
      <c r="NZ94" s="15" t="str">
        <f t="shared" si="341"/>
        <v>NO APLICA</v>
      </c>
    </row>
    <row r="95" spans="1:390" ht="15.6" thickTop="1" thickBot="1" x14ac:dyDescent="0.35">
      <c r="A95" s="9">
        <v>1573</v>
      </c>
      <c r="B95" s="10" t="s">
        <v>385</v>
      </c>
      <c r="C95" s="21" t="s">
        <v>104</v>
      </c>
      <c r="D95" s="64" t="s">
        <v>110</v>
      </c>
      <c r="E95" s="15"/>
      <c r="F95" s="16"/>
      <c r="G95" s="14"/>
      <c r="H95" s="65"/>
      <c r="I95" s="15" t="str">
        <f t="shared" si="235"/>
        <v>NO APLICA</v>
      </c>
      <c r="J95" s="12"/>
      <c r="K95" s="16"/>
      <c r="L95" s="16"/>
      <c r="M95" s="65"/>
      <c r="N95" s="15" t="str">
        <f t="shared" si="236"/>
        <v>NO APLICA</v>
      </c>
      <c r="O95" s="16"/>
      <c r="P95" s="16"/>
      <c r="Q95" s="14"/>
      <c r="R95" s="65"/>
      <c r="S95" s="15" t="str">
        <f t="shared" si="342"/>
        <v>NO APLICA</v>
      </c>
      <c r="T95" s="12" t="s">
        <v>386</v>
      </c>
      <c r="U95" s="13">
        <v>45499</v>
      </c>
      <c r="V95" s="14">
        <v>45500</v>
      </c>
      <c r="W95" s="14">
        <f t="shared" si="237"/>
        <v>47326</v>
      </c>
      <c r="X95" s="65">
        <f t="shared" ca="1" si="238"/>
        <v>1195</v>
      </c>
      <c r="Y95" s="15" t="str">
        <f t="shared" ca="1" si="239"/>
        <v>VIGENTE</v>
      </c>
      <c r="Z95" s="12" t="s">
        <v>387</v>
      </c>
      <c r="AA95" s="13">
        <v>44987</v>
      </c>
      <c r="AB95" s="14">
        <v>44988</v>
      </c>
      <c r="AC95" s="14">
        <f>DATE(YEAR(AB95)+5,MONTH(AB95),DAY(AB95))</f>
        <v>46815</v>
      </c>
      <c r="AD95" s="65">
        <f ca="1">AC95-TODAY()</f>
        <v>684</v>
      </c>
      <c r="AE95" s="15" t="str">
        <f t="shared" ca="1" si="389"/>
        <v>VIGENTE</v>
      </c>
      <c r="AF95" s="13">
        <v>44948</v>
      </c>
      <c r="AG95" s="14">
        <v>45609</v>
      </c>
      <c r="AH95" s="14">
        <f>DATE(YEAR(AG95)+2,MONTH(AG95),DAY(AG95)-1)</f>
        <v>46338</v>
      </c>
      <c r="AI95" s="65">
        <f t="shared" ca="1" si="241"/>
        <v>207</v>
      </c>
      <c r="AJ95" s="15" t="str">
        <f t="shared" ca="1" si="213"/>
        <v>VIGENTE</v>
      </c>
      <c r="AK95" s="13">
        <v>45286</v>
      </c>
      <c r="AL95" s="14">
        <v>45959</v>
      </c>
      <c r="AM95" s="14">
        <f t="shared" si="380"/>
        <v>46689</v>
      </c>
      <c r="AN95" s="65">
        <f t="shared" ca="1" si="242"/>
        <v>558</v>
      </c>
      <c r="AO95" s="15" t="str">
        <f t="shared" ca="1" si="243"/>
        <v>VIGENTE</v>
      </c>
      <c r="AP95" s="13">
        <v>45047</v>
      </c>
      <c r="AQ95" s="14">
        <v>45703</v>
      </c>
      <c r="AR95" s="14">
        <f>DATE(YEAR(AQ95)+2,MONTH(AQ95),DAY(AQ95)-1)</f>
        <v>46432</v>
      </c>
      <c r="AS95" s="65">
        <f t="shared" ca="1" si="244"/>
        <v>301</v>
      </c>
      <c r="AT95" s="15" t="str">
        <f t="shared" ca="1" si="245"/>
        <v>VIGENTE</v>
      </c>
      <c r="AU95" s="13">
        <v>45021</v>
      </c>
      <c r="AV95" s="14">
        <v>45720</v>
      </c>
      <c r="AW95" s="14">
        <f>DATE(YEAR(AV95)+2,MONTH(AV95),DAY(AV95)-1)</f>
        <v>46449</v>
      </c>
      <c r="AX95" s="65">
        <f t="shared" ca="1" si="246"/>
        <v>318</v>
      </c>
      <c r="AY95" s="15" t="str">
        <f t="shared" ca="1" si="247"/>
        <v>VIGENTE</v>
      </c>
      <c r="AZ95" s="13">
        <v>45075</v>
      </c>
      <c r="BA95" s="14">
        <v>45717</v>
      </c>
      <c r="BB95" s="14">
        <f>DATE(YEAR(BA95)+2,MONTH(BA95),DAY(BA95)-1)</f>
        <v>46446</v>
      </c>
      <c r="BC95" s="65">
        <f t="shared" ca="1" si="248"/>
        <v>315</v>
      </c>
      <c r="BD95" s="15" t="str">
        <f t="shared" ca="1" si="249"/>
        <v>VIGENTE</v>
      </c>
      <c r="BE95" s="13">
        <v>45302</v>
      </c>
      <c r="BF95" s="14">
        <v>45968</v>
      </c>
      <c r="BG95" s="14">
        <f t="shared" si="388"/>
        <v>46698</v>
      </c>
      <c r="BH95" s="65">
        <f t="shared" ca="1" si="250"/>
        <v>567</v>
      </c>
      <c r="BI95" s="15" t="str">
        <f t="shared" ca="1" si="251"/>
        <v>VIGENTE</v>
      </c>
      <c r="BJ95" s="13">
        <v>45372</v>
      </c>
      <c r="BK95" s="14">
        <v>46035</v>
      </c>
      <c r="BL95" s="14">
        <f>DATE(YEAR(BK95)+2,MONTH(BK95),DAY(BK95))</f>
        <v>46765</v>
      </c>
      <c r="BM95" s="65">
        <f t="shared" ca="1" si="252"/>
        <v>634</v>
      </c>
      <c r="BN95" s="15" t="str">
        <f t="shared" ca="1" si="253"/>
        <v>VIGENTE</v>
      </c>
      <c r="BO95" s="13">
        <v>45031</v>
      </c>
      <c r="BP95" s="14">
        <v>45701</v>
      </c>
      <c r="BQ95" s="14">
        <f>DATE(YEAR(BP95)+2,MONTH(BP95),DAY(BP95)-1)</f>
        <v>46430</v>
      </c>
      <c r="BR95" s="65">
        <f t="shared" ca="1" si="254"/>
        <v>299</v>
      </c>
      <c r="BS95" s="15" t="str">
        <f t="shared" ca="1" si="255"/>
        <v>VIGENTE</v>
      </c>
      <c r="BT95" s="13">
        <v>45086</v>
      </c>
      <c r="BU95" s="14">
        <v>45736</v>
      </c>
      <c r="BV95" s="14">
        <f>DATE(YEAR(BU95)+2,MONTH(BU95),DAY(BU95)-1)</f>
        <v>46465</v>
      </c>
      <c r="BW95" s="65">
        <f t="shared" ca="1" si="256"/>
        <v>334</v>
      </c>
      <c r="BX95" s="15" t="str">
        <f t="shared" ca="1" si="257"/>
        <v>VIGENTE</v>
      </c>
      <c r="BY95" s="13">
        <v>45293</v>
      </c>
      <c r="BZ95" s="14">
        <v>45954</v>
      </c>
      <c r="CA95" s="14">
        <f t="shared" si="383"/>
        <v>46684</v>
      </c>
      <c r="CB95" s="65">
        <f t="shared" ca="1" si="258"/>
        <v>553</v>
      </c>
      <c r="CC95" s="15" t="str">
        <f t="shared" ca="1" si="259"/>
        <v>VIGENTE</v>
      </c>
      <c r="CD95" s="16" t="s">
        <v>108</v>
      </c>
      <c r="CE95" s="14">
        <v>45300</v>
      </c>
      <c r="CF95" s="14">
        <v>45301</v>
      </c>
      <c r="CG95" s="14">
        <f t="shared" si="377"/>
        <v>46762</v>
      </c>
      <c r="CH95" s="65">
        <f t="shared" ca="1" si="378"/>
        <v>631</v>
      </c>
      <c r="CI95" s="15" t="str">
        <f t="shared" ca="1" si="262"/>
        <v>VIGENTE</v>
      </c>
      <c r="CJ95" s="14">
        <v>44631</v>
      </c>
      <c r="CK95" s="14">
        <v>45929</v>
      </c>
      <c r="CL95" s="14">
        <f>DATE(YEAR(CK95)+2,MONTH(CK95),DAY(CK95))</f>
        <v>46659</v>
      </c>
      <c r="CM95" s="65">
        <f t="shared" ca="1" si="263"/>
        <v>528</v>
      </c>
      <c r="CN95" s="15" t="str">
        <f t="shared" ca="1" si="264"/>
        <v>VIGENTE</v>
      </c>
      <c r="CO95" s="13">
        <v>45026</v>
      </c>
      <c r="CP95" s="14">
        <v>45684</v>
      </c>
      <c r="CQ95" s="14">
        <f>DATE(YEAR(CP95)+2,MONTH(CP95),DAY(CP95)-1)</f>
        <v>46413</v>
      </c>
      <c r="CR95" s="65">
        <f t="shared" ca="1" si="265"/>
        <v>282</v>
      </c>
      <c r="CS95" s="15" t="str">
        <f t="shared" ca="1" si="266"/>
        <v>VIGENTE</v>
      </c>
      <c r="CT95" s="13">
        <v>44966</v>
      </c>
      <c r="CU95" s="14">
        <v>45645</v>
      </c>
      <c r="CV95" s="14">
        <f>DATE(YEAR(CU95)+2,MONTH(CU95),DAY(CU95)-1)</f>
        <v>46374</v>
      </c>
      <c r="CW95" s="65">
        <f t="shared" ca="1" si="267"/>
        <v>243</v>
      </c>
      <c r="CX95" s="15" t="str">
        <f t="shared" ca="1" si="268"/>
        <v>VIGENTE</v>
      </c>
      <c r="CY95" s="13">
        <v>44992</v>
      </c>
      <c r="CZ95" s="14">
        <v>45661</v>
      </c>
      <c r="DA95" s="14">
        <f>DATE(YEAR(CZ95)+2,MONTH(CZ95),DAY(CZ95)-1)</f>
        <v>46390</v>
      </c>
      <c r="DB95" s="65">
        <f t="shared" ca="1" si="269"/>
        <v>259</v>
      </c>
      <c r="DC95" s="15" t="str">
        <f t="shared" ca="1" si="270"/>
        <v>VIGENTE</v>
      </c>
      <c r="DD95" s="13">
        <v>44910</v>
      </c>
      <c r="DE95" s="14">
        <v>45549</v>
      </c>
      <c r="DF95" s="14">
        <f>DATE(YEAR(DE95)+2,MONTH(DE95),DAY(DE95)-1)</f>
        <v>46278</v>
      </c>
      <c r="DG95" s="65">
        <f t="shared" ca="1" si="271"/>
        <v>147</v>
      </c>
      <c r="DH95" s="15" t="str">
        <f t="shared" ca="1" si="272"/>
        <v>VIGENTE</v>
      </c>
      <c r="DI95" s="13">
        <v>45038</v>
      </c>
      <c r="DJ95" s="14">
        <v>45734</v>
      </c>
      <c r="DK95" s="14">
        <f>DATE(YEAR(DJ95)+2,MONTH(DJ95),DAY(DJ95)-1)</f>
        <v>46463</v>
      </c>
      <c r="DL95" s="65">
        <f t="shared" ca="1" si="273"/>
        <v>332</v>
      </c>
      <c r="DM95" s="15" t="str">
        <f t="shared" ca="1" si="274"/>
        <v>VIGENTE</v>
      </c>
      <c r="DN95" s="13" t="s">
        <v>388</v>
      </c>
      <c r="DO95" s="14">
        <v>45731</v>
      </c>
      <c r="DP95" s="14">
        <f>DATE(YEAR(DO95)+2,MONTH(DO95),DAY(DO95)-1)</f>
        <v>46460</v>
      </c>
      <c r="DQ95" s="65">
        <f t="shared" ca="1" si="275"/>
        <v>329</v>
      </c>
      <c r="DR95" s="15" t="str">
        <f t="shared" ca="1" si="276"/>
        <v>VIGENTE</v>
      </c>
      <c r="DS95" s="13">
        <v>45019</v>
      </c>
      <c r="DT95" s="14">
        <v>45685</v>
      </c>
      <c r="DU95" s="14">
        <f>DATE(YEAR(DT95)+2,MONTH(DT95),DAY(DT95)-1)</f>
        <v>46414</v>
      </c>
      <c r="DV95" s="65">
        <f t="shared" ca="1" si="277"/>
        <v>283</v>
      </c>
      <c r="DW95" s="15" t="str">
        <f t="shared" ca="1" si="278"/>
        <v>VIGENTE</v>
      </c>
      <c r="DX95" s="13">
        <v>45071</v>
      </c>
      <c r="DY95" s="14">
        <v>45751</v>
      </c>
      <c r="DZ95" s="14">
        <f>DATE(YEAR(DY95)+2,MONTH(DY95),DAY(DY95)-1)</f>
        <v>46480</v>
      </c>
      <c r="EA95" s="65">
        <f t="shared" ca="1" si="279"/>
        <v>349</v>
      </c>
      <c r="EB95" s="15" t="str">
        <f t="shared" ca="1" si="280"/>
        <v>VIGENTE</v>
      </c>
      <c r="EC95" s="13">
        <v>44940</v>
      </c>
      <c r="ED95" s="14">
        <v>45583</v>
      </c>
      <c r="EE95" s="14">
        <f>DATE(YEAR(ED95)+2,MONTH(ED95),DAY(ED95)-1)</f>
        <v>46312</v>
      </c>
      <c r="EF95" s="65">
        <f t="shared" ca="1" si="281"/>
        <v>181</v>
      </c>
      <c r="EG95" s="15" t="str">
        <f t="shared" ca="1" si="282"/>
        <v>VIGENTE</v>
      </c>
      <c r="EH95" s="13">
        <v>45675</v>
      </c>
      <c r="EI95" s="13">
        <v>45806</v>
      </c>
      <c r="EJ95" s="13">
        <v>45807</v>
      </c>
      <c r="EK95" s="14">
        <v>45808</v>
      </c>
      <c r="EL95" s="14">
        <f t="shared" si="344"/>
        <v>46173</v>
      </c>
      <c r="EM95" s="65">
        <f t="shared" ca="1" si="283"/>
        <v>42</v>
      </c>
      <c r="EN95" s="15" t="str">
        <f t="shared" ca="1" si="284"/>
        <v>POR VENCER</v>
      </c>
      <c r="EO95" s="13">
        <v>44993</v>
      </c>
      <c r="EP95" s="14">
        <v>45660</v>
      </c>
      <c r="EQ95" s="14">
        <f>DATE(YEAR(EP95)+2,MONTH(EP95),DAY(EP95)-1)</f>
        <v>46389</v>
      </c>
      <c r="ER95" s="65">
        <f t="shared" ca="1" si="285"/>
        <v>258</v>
      </c>
      <c r="ES95" s="15" t="str">
        <f t="shared" ca="1" si="286"/>
        <v>VIGENTE</v>
      </c>
      <c r="ET95" s="12">
        <v>45085</v>
      </c>
      <c r="EU95" s="14">
        <v>45755</v>
      </c>
      <c r="EV95" s="14">
        <f>DATE(YEAR(EU95)+2,MONTH(EU95),DAY(EU95)-1)</f>
        <v>46484</v>
      </c>
      <c r="EW95" s="65">
        <f t="shared" ca="1" si="287"/>
        <v>353</v>
      </c>
      <c r="EX95" s="15" t="str">
        <f t="shared" ca="1" si="288"/>
        <v>VIGENTE</v>
      </c>
      <c r="EY95" s="13">
        <v>44595</v>
      </c>
      <c r="EZ95" s="14">
        <v>45953</v>
      </c>
      <c r="FA95" s="14">
        <f>DATE(YEAR(EZ95)+2,MONTH(EZ95),DAY(EZ95))</f>
        <v>46683</v>
      </c>
      <c r="FB95" s="65">
        <f t="shared" ca="1" si="289"/>
        <v>552</v>
      </c>
      <c r="FC95" s="15" t="str">
        <f t="shared" ca="1" si="290"/>
        <v>VIGENTE</v>
      </c>
      <c r="FD95" s="13">
        <v>45280</v>
      </c>
      <c r="FE95" s="14">
        <v>45931</v>
      </c>
      <c r="FF95" s="14">
        <f t="shared" si="386"/>
        <v>46661</v>
      </c>
      <c r="FG95" s="65">
        <f t="shared" ca="1" si="291"/>
        <v>530</v>
      </c>
      <c r="FH95" s="15" t="str">
        <f t="shared" ca="1" si="292"/>
        <v>VIGENTE</v>
      </c>
      <c r="FI95" s="13">
        <v>45282</v>
      </c>
      <c r="FJ95" s="14">
        <v>45932</v>
      </c>
      <c r="FK95" s="14">
        <f t="shared" si="387"/>
        <v>46662</v>
      </c>
      <c r="FL95" s="65">
        <f t="shared" ca="1" si="293"/>
        <v>531</v>
      </c>
      <c r="FM95" s="15" t="str">
        <f t="shared" ca="1" si="294"/>
        <v>VIGENTE</v>
      </c>
      <c r="FN95" s="13">
        <v>45002</v>
      </c>
      <c r="FO95" s="14">
        <v>45670</v>
      </c>
      <c r="FP95" s="14">
        <f>DATE(YEAR(FO95)+2,MONTH(FO95),DAY(FO95)-1)</f>
        <v>46399</v>
      </c>
      <c r="FQ95" s="65">
        <f t="shared" ca="1" si="295"/>
        <v>268</v>
      </c>
      <c r="FR95" s="15" t="str">
        <f t="shared" ca="1" si="296"/>
        <v>VIGENTE</v>
      </c>
      <c r="FS95" s="13">
        <v>44994</v>
      </c>
      <c r="FT95" s="14">
        <v>45678</v>
      </c>
      <c r="FU95" s="14">
        <f>DATE(YEAR(FT95)+2,MONTH(FT95),DAY(FT95)-1)</f>
        <v>46407</v>
      </c>
      <c r="FV95" s="65">
        <f t="shared" ca="1" si="297"/>
        <v>276</v>
      </c>
      <c r="FW95" s="15" t="str">
        <f t="shared" ca="1" si="298"/>
        <v>VIGENTE</v>
      </c>
      <c r="FX95" s="13">
        <v>44596</v>
      </c>
      <c r="FY95" s="14">
        <v>45941</v>
      </c>
      <c r="FZ95" s="14">
        <f>DATE(YEAR(FY95)+2,MONTH(FY95),DAY(FY95))</f>
        <v>46671</v>
      </c>
      <c r="GA95" s="65">
        <f t="shared" ca="1" si="299"/>
        <v>540</v>
      </c>
      <c r="GB95" s="15" t="str">
        <f t="shared" ca="1" si="300"/>
        <v>VIGENTE</v>
      </c>
      <c r="GC95" s="13">
        <v>45036</v>
      </c>
      <c r="GD95" s="14">
        <v>45715</v>
      </c>
      <c r="GE95" s="14">
        <f>DATE(YEAR(GD95)+2,MONTH(GD95),DAY(GD95)-1)</f>
        <v>46444</v>
      </c>
      <c r="GF95" s="65">
        <f t="shared" ca="1" si="301"/>
        <v>313</v>
      </c>
      <c r="GG95" s="15" t="str">
        <f t="shared" ca="1" si="302"/>
        <v>VIGENTE</v>
      </c>
      <c r="GH95" s="13">
        <v>45022</v>
      </c>
      <c r="GI95" s="14">
        <v>45672</v>
      </c>
      <c r="GJ95" s="14">
        <f>DATE(YEAR(GI95)+2,MONTH(GI95),DAY(GI95)-1)</f>
        <v>46401</v>
      </c>
      <c r="GK95" s="65">
        <f t="shared" ca="1" si="303"/>
        <v>270</v>
      </c>
      <c r="GL95" s="15" t="str">
        <f t="shared" ca="1" si="304"/>
        <v>VIGENTE</v>
      </c>
      <c r="GM95" s="13">
        <v>45028</v>
      </c>
      <c r="GN95" s="14">
        <v>45687</v>
      </c>
      <c r="GO95" s="14">
        <f>DATE(YEAR(GN95)+2,MONTH(GN95),DAY(GN95)-1)</f>
        <v>46416</v>
      </c>
      <c r="GP95" s="65">
        <f t="shared" ca="1" si="305"/>
        <v>285</v>
      </c>
      <c r="GQ95" s="15" t="str">
        <f t="shared" ca="1" si="306"/>
        <v>VIGENTE</v>
      </c>
      <c r="GR95" s="14">
        <v>44459</v>
      </c>
      <c r="GS95" s="14">
        <v>45159</v>
      </c>
      <c r="GT95" s="14">
        <f t="shared" si="307"/>
        <v>46986</v>
      </c>
      <c r="GU95" s="65">
        <f t="shared" ca="1" si="374"/>
        <v>855</v>
      </c>
      <c r="GV95" s="15" t="str">
        <f t="shared" ca="1" si="368"/>
        <v>VIGENTE</v>
      </c>
      <c r="GW95" s="13"/>
      <c r="GX95" s="14">
        <v>44979</v>
      </c>
      <c r="GY95" s="14">
        <f t="shared" si="309"/>
        <v>46805</v>
      </c>
      <c r="GZ95" s="65">
        <f t="shared" ca="1" si="310"/>
        <v>674</v>
      </c>
      <c r="HA95" s="15" t="str">
        <f t="shared" ca="1" si="369"/>
        <v>VIGENTE</v>
      </c>
      <c r="HB95" s="13">
        <v>44460</v>
      </c>
      <c r="HC95" s="14">
        <v>45160</v>
      </c>
      <c r="HD95" s="14">
        <f t="shared" si="312"/>
        <v>46987</v>
      </c>
      <c r="HE95" s="65">
        <f t="shared" ca="1" si="313"/>
        <v>856</v>
      </c>
      <c r="HF95" s="15" t="str">
        <f t="shared" ca="1" si="370"/>
        <v>VIGENTE</v>
      </c>
      <c r="HG95" s="16"/>
      <c r="HH95" s="14">
        <v>45196</v>
      </c>
      <c r="HI95" s="14">
        <f>DATE(YEAR(HH95)+5,MONTH(HH95),DAY(HH95))</f>
        <v>47023</v>
      </c>
      <c r="HJ95" s="65">
        <f ca="1">HI95-TODAY()</f>
        <v>892</v>
      </c>
      <c r="HK95" s="15" t="str">
        <f t="shared" ca="1" si="379"/>
        <v>VIGENTE</v>
      </c>
      <c r="HL95" s="12"/>
      <c r="HM95" s="16"/>
      <c r="HN95" s="14"/>
      <c r="HO95" s="65"/>
      <c r="HP95" s="15" t="str">
        <f t="shared" si="375"/>
        <v>NO APLICA</v>
      </c>
      <c r="HQ95" s="12"/>
      <c r="HR95" s="12"/>
      <c r="HS95" s="14"/>
      <c r="HT95" s="12"/>
      <c r="HU95" s="15" t="str">
        <f t="shared" si="315"/>
        <v>NO APLICA</v>
      </c>
      <c r="HV95" s="13">
        <v>44589</v>
      </c>
      <c r="HW95" s="14">
        <v>45260</v>
      </c>
      <c r="HX95" s="14">
        <f>DATE(YEAR(HW95)+5,MONTH(HW95),DAY(HW95))</f>
        <v>47087</v>
      </c>
      <c r="HY95" s="65">
        <f ca="1">HX95-TODAY()</f>
        <v>956</v>
      </c>
      <c r="HZ95" s="15" t="str">
        <f t="shared" ca="1" si="316"/>
        <v>VIGENTE</v>
      </c>
      <c r="IA95" s="13">
        <v>44557</v>
      </c>
      <c r="IB95" s="14">
        <v>45205</v>
      </c>
      <c r="IC95" s="14">
        <f>DATE(YEAR(IB95)+5,MONTH(IB95),DAY(IB95))</f>
        <v>47032</v>
      </c>
      <c r="ID95" s="65">
        <f ca="1">IC95-TODAY()</f>
        <v>901</v>
      </c>
      <c r="IE95" s="15" t="str">
        <f t="shared" ca="1" si="317"/>
        <v>VIGENTE</v>
      </c>
      <c r="IF95" s="13">
        <v>44461</v>
      </c>
      <c r="IG95" s="14">
        <v>45154</v>
      </c>
      <c r="IH95" s="14">
        <f>DATE(YEAR(IG95)+5,MONTH(IG95),DAY(IG95))</f>
        <v>46981</v>
      </c>
      <c r="II95" s="65">
        <f ca="1">IH95-TODAY()</f>
        <v>850</v>
      </c>
      <c r="IJ95" s="15" t="str">
        <f t="shared" ca="1" si="318"/>
        <v>VIGENTE</v>
      </c>
      <c r="IK95" s="14">
        <v>44559</v>
      </c>
      <c r="IL95" s="14">
        <v>45246</v>
      </c>
      <c r="IM95" s="14">
        <f>DATE(YEAR(IL95)+5,MONTH(IL95),DAY(IL95))</f>
        <v>47073</v>
      </c>
      <c r="IN95" s="65">
        <f ca="1">IM95-TODAY()</f>
        <v>942</v>
      </c>
      <c r="IO95" s="15" t="str">
        <f t="shared" ca="1" si="319"/>
        <v>VIGENTE</v>
      </c>
      <c r="IP95" s="13">
        <v>44559</v>
      </c>
      <c r="IQ95" s="14">
        <v>45259</v>
      </c>
      <c r="IR95" s="14">
        <f>DATE(YEAR(IQ95)+5,MONTH(IQ95),DAY(IQ95))</f>
        <v>47086</v>
      </c>
      <c r="IS95" s="65">
        <f ca="1">IR95-TODAY()</f>
        <v>955</v>
      </c>
      <c r="IT95" s="15" t="str">
        <f t="shared" ca="1" si="320"/>
        <v>VIGENTE</v>
      </c>
      <c r="IU95" s="13">
        <v>44558</v>
      </c>
      <c r="IV95" s="14">
        <v>45191</v>
      </c>
      <c r="IW95" s="14">
        <f>DATE(YEAR(IV95)+5,MONTH(IV95),DAY(IV95))</f>
        <v>47018</v>
      </c>
      <c r="IX95" s="65">
        <f ca="1">IW95-TODAY()</f>
        <v>887</v>
      </c>
      <c r="IY95" s="15" t="str">
        <f t="shared" ca="1" si="321"/>
        <v>VIGENTE</v>
      </c>
      <c r="IZ95" s="13">
        <v>44557</v>
      </c>
      <c r="JA95" s="14">
        <v>45289</v>
      </c>
      <c r="JB95" s="14">
        <f>DATE(YEAR(JA95)+5,MONTH(JA95),DAY(JA95))</f>
        <v>47116</v>
      </c>
      <c r="JC95" s="65">
        <f ca="1">JB95-TODAY()</f>
        <v>985</v>
      </c>
      <c r="JD95" s="15" t="str">
        <f t="shared" ca="1" si="322"/>
        <v>VIGENTE</v>
      </c>
      <c r="JE95" s="13"/>
      <c r="JF95" s="13"/>
      <c r="JG95" s="14"/>
      <c r="JH95" s="65"/>
      <c r="JI95" s="15" t="str">
        <f t="shared" si="323"/>
        <v>NO APLICA</v>
      </c>
      <c r="JJ95" s="16"/>
      <c r="JK95" s="16"/>
      <c r="JL95" s="16"/>
      <c r="JM95" s="15" t="str">
        <f t="shared" si="324"/>
        <v>NO APLICA</v>
      </c>
      <c r="JN95" s="16"/>
      <c r="JO95" s="16"/>
      <c r="JP95" s="16"/>
      <c r="JQ95" s="15" t="str">
        <f t="shared" si="325"/>
        <v>NO APLICA</v>
      </c>
      <c r="JR95" s="16"/>
      <c r="JS95" s="16"/>
      <c r="JT95" s="16"/>
      <c r="JU95" s="16"/>
      <c r="JV95" s="15" t="str">
        <f t="shared" si="326"/>
        <v>NO APLICA</v>
      </c>
      <c r="JW95" s="15"/>
      <c r="JX95" s="15"/>
      <c r="JY95" s="15"/>
      <c r="JZ95" s="15"/>
      <c r="KA95" s="15" t="str">
        <f t="shared" si="327"/>
        <v>NO APLICA</v>
      </c>
      <c r="KB95" s="12"/>
      <c r="KC95" s="14"/>
      <c r="KD95" s="65"/>
      <c r="KE95" s="15" t="str">
        <f t="shared" si="328"/>
        <v>NO APLICA</v>
      </c>
      <c r="KF95" s="12"/>
      <c r="KG95" s="14"/>
      <c r="KH95" s="65"/>
      <c r="KI95" s="15" t="str">
        <f t="shared" si="345"/>
        <v>NO APLICA</v>
      </c>
      <c r="KJ95" s="12"/>
      <c r="KK95" s="14"/>
      <c r="KL95" s="65"/>
      <c r="KM95" s="15" t="str">
        <f t="shared" si="329"/>
        <v>NO APLICA</v>
      </c>
      <c r="KN95" s="12"/>
      <c r="KO95" s="14"/>
      <c r="KP95" s="65"/>
      <c r="KQ95" s="15" t="str">
        <f t="shared" si="346"/>
        <v>NO APLICA</v>
      </c>
      <c r="KR95" s="12"/>
      <c r="KS95" s="16"/>
      <c r="KT95" s="14"/>
      <c r="KU95" s="65"/>
      <c r="KV95" s="15" t="str">
        <f t="shared" si="355"/>
        <v>NO APLICA</v>
      </c>
      <c r="KW95" s="14">
        <v>44603</v>
      </c>
      <c r="KX95" s="14">
        <f>DATE(YEAR(KW95)+5,MONTH(KW95),DAY(KW95))</f>
        <v>46429</v>
      </c>
      <c r="KY95" s="65">
        <f ca="1">KX95-TODAY()</f>
        <v>298</v>
      </c>
      <c r="KZ95" s="15" t="str">
        <f t="shared" ca="1" si="347"/>
        <v>VIGENTE</v>
      </c>
      <c r="LA95" s="16"/>
      <c r="LB95" s="16"/>
      <c r="LC95" s="14"/>
      <c r="LD95" s="65"/>
      <c r="LE95" s="15" t="str">
        <f t="shared" si="330"/>
        <v>NO APLICA</v>
      </c>
      <c r="LF95" s="15"/>
      <c r="LG95" s="15"/>
      <c r="LH95" s="14"/>
      <c r="LI95" s="65"/>
      <c r="LJ95" s="15" t="str">
        <f t="shared" si="356"/>
        <v>NO APLICA</v>
      </c>
      <c r="LK95" s="12"/>
      <c r="LL95" s="16"/>
      <c r="LM95" s="14"/>
      <c r="LN95" s="65"/>
      <c r="LO95" s="15" t="str">
        <f t="shared" si="348"/>
        <v>NO APLICA</v>
      </c>
      <c r="LP95" s="16"/>
      <c r="LQ95" s="16"/>
      <c r="LR95" s="14"/>
      <c r="LS95" s="65"/>
      <c r="LT95" s="15" t="str">
        <f t="shared" si="349"/>
        <v>NO APLICA</v>
      </c>
      <c r="LU95" s="16"/>
      <c r="LV95" s="16"/>
      <c r="LW95" s="14"/>
      <c r="LX95" s="65"/>
      <c r="LY95" s="15" t="str">
        <f t="shared" si="350"/>
        <v>NO APLICA</v>
      </c>
      <c r="LZ95" s="12"/>
      <c r="MA95" s="12"/>
      <c r="MB95" s="14"/>
      <c r="MC95" s="65"/>
      <c r="MD95" s="15" t="str">
        <f t="shared" si="331"/>
        <v>NO APLICA</v>
      </c>
      <c r="ME95" s="12"/>
      <c r="MF95" s="12"/>
      <c r="MG95" s="14"/>
      <c r="MH95" s="65"/>
      <c r="MI95" s="15" t="str">
        <f t="shared" si="332"/>
        <v>NO APLICA</v>
      </c>
      <c r="MJ95" s="12"/>
      <c r="MK95" s="14"/>
      <c r="ML95" s="65"/>
      <c r="MM95" s="15" t="str">
        <f t="shared" si="333"/>
        <v>NO APLICA</v>
      </c>
      <c r="MN95" s="12"/>
      <c r="MO95" s="14"/>
      <c r="MP95" s="12"/>
      <c r="MQ95" s="15" t="str">
        <f t="shared" si="334"/>
        <v>NO APLICA</v>
      </c>
      <c r="MR95" s="12"/>
      <c r="MS95" s="16"/>
      <c r="MT95" s="14"/>
      <c r="MU95" s="65"/>
      <c r="MV95" s="15" t="str">
        <f t="shared" si="335"/>
        <v>NO APLICA</v>
      </c>
      <c r="MW95" s="12"/>
      <c r="MX95" s="16"/>
      <c r="MY95" s="14"/>
      <c r="MZ95" s="65"/>
      <c r="NA95" s="15" t="str">
        <f t="shared" si="336"/>
        <v>NO APLICA</v>
      </c>
      <c r="NB95" s="12"/>
      <c r="NC95" s="16"/>
      <c r="ND95" s="14"/>
      <c r="NE95" s="65"/>
      <c r="NF95" s="15" t="str">
        <f t="shared" si="337"/>
        <v>NO APLICA</v>
      </c>
      <c r="NG95" s="12"/>
      <c r="NH95" s="12"/>
      <c r="NI95" s="14"/>
      <c r="NJ95" s="65"/>
      <c r="NK95" s="15" t="str">
        <f t="shared" si="338"/>
        <v>NO APLICA</v>
      </c>
      <c r="NL95" s="12"/>
      <c r="NM95" s="12"/>
      <c r="NN95" s="14"/>
      <c r="NO95" s="12"/>
      <c r="NP95" s="15" t="str">
        <f t="shared" si="339"/>
        <v>NO APLICA</v>
      </c>
      <c r="NQ95" s="16"/>
      <c r="NR95" s="16"/>
      <c r="NS95" s="14"/>
      <c r="NT95" s="65"/>
      <c r="NU95" s="15" t="str">
        <f t="shared" si="340"/>
        <v>NO APLICA</v>
      </c>
      <c r="NV95" s="16"/>
      <c r="NW95" s="16"/>
      <c r="NX95" s="16"/>
      <c r="NY95" s="16"/>
      <c r="NZ95" s="15" t="str">
        <f t="shared" si="341"/>
        <v>NO APLICA</v>
      </c>
    </row>
    <row r="96" spans="1:390" ht="15.6" thickTop="1" thickBot="1" x14ac:dyDescent="0.35">
      <c r="A96" s="11">
        <v>1186</v>
      </c>
      <c r="B96" s="10" t="s">
        <v>389</v>
      </c>
      <c r="C96" s="21" t="s">
        <v>104</v>
      </c>
      <c r="D96" s="64" t="s">
        <v>110</v>
      </c>
      <c r="E96" s="15"/>
      <c r="F96" s="16"/>
      <c r="G96" s="14"/>
      <c r="H96" s="65"/>
      <c r="I96" s="15" t="str">
        <f t="shared" si="235"/>
        <v>NO APLICA</v>
      </c>
      <c r="J96" s="15"/>
      <c r="K96" s="16"/>
      <c r="L96" s="16"/>
      <c r="M96" s="65"/>
      <c r="N96" s="15" t="str">
        <f t="shared" si="236"/>
        <v>NO APLICA</v>
      </c>
      <c r="O96" s="16"/>
      <c r="P96" s="16"/>
      <c r="Q96" s="14"/>
      <c r="R96" s="65"/>
      <c r="S96" s="15" t="str">
        <f t="shared" si="342"/>
        <v>NO APLICA</v>
      </c>
      <c r="T96" s="12" t="s">
        <v>390</v>
      </c>
      <c r="U96" s="13">
        <v>45390</v>
      </c>
      <c r="V96" s="14">
        <v>45391</v>
      </c>
      <c r="W96" s="14">
        <f t="shared" si="237"/>
        <v>47217</v>
      </c>
      <c r="X96" s="65">
        <f t="shared" ca="1" si="238"/>
        <v>1086</v>
      </c>
      <c r="Y96" s="15" t="str">
        <f t="shared" ca="1" si="239"/>
        <v>VIGENTE</v>
      </c>
      <c r="Z96" s="12" t="s">
        <v>391</v>
      </c>
      <c r="AA96" s="13">
        <v>45232</v>
      </c>
      <c r="AB96" s="14">
        <v>45233</v>
      </c>
      <c r="AC96" s="14">
        <f>DATE(YEAR(AB96)+5,MONTH(AB96),DAY(AB96))</f>
        <v>47060</v>
      </c>
      <c r="AD96" s="65">
        <f ca="1">AC96-TODAY()</f>
        <v>929</v>
      </c>
      <c r="AE96" s="15" t="str">
        <f t="shared" ca="1" si="389"/>
        <v>VIGENTE</v>
      </c>
      <c r="AF96" s="13">
        <v>45228</v>
      </c>
      <c r="AG96" s="14">
        <v>45902</v>
      </c>
      <c r="AH96" s="14">
        <f>DATE(YEAR(AG96)+2,MONTH(AG96),DAY(AG96))</f>
        <v>46632</v>
      </c>
      <c r="AI96" s="65">
        <f t="shared" ca="1" si="241"/>
        <v>501</v>
      </c>
      <c r="AJ96" s="15" t="str">
        <f t="shared" ca="1" si="213"/>
        <v>VIGENTE</v>
      </c>
      <c r="AK96" s="13">
        <v>45239</v>
      </c>
      <c r="AL96" s="14">
        <v>45903</v>
      </c>
      <c r="AM96" s="14">
        <f t="shared" si="380"/>
        <v>46633</v>
      </c>
      <c r="AN96" s="65">
        <f t="shared" ca="1" si="242"/>
        <v>502</v>
      </c>
      <c r="AO96" s="15" t="str">
        <f t="shared" ca="1" si="243"/>
        <v>VIGENTE</v>
      </c>
      <c r="AP96" s="13">
        <v>45258</v>
      </c>
      <c r="AQ96" s="14">
        <v>45904</v>
      </c>
      <c r="AR96" s="14">
        <f>DATE(YEAR(AQ96)+2,MONTH(AQ96),DAY(AQ96))</f>
        <v>46634</v>
      </c>
      <c r="AS96" s="65">
        <f t="shared" ca="1" si="244"/>
        <v>503</v>
      </c>
      <c r="AT96" s="15" t="str">
        <f t="shared" ca="1" si="245"/>
        <v>VIGENTE</v>
      </c>
      <c r="AU96" s="12"/>
      <c r="AV96" s="14">
        <v>45952</v>
      </c>
      <c r="AW96" s="14">
        <f>DATE(YEAR(AV96)+2,MONTH(AV96),DAY(AV96))</f>
        <v>46682</v>
      </c>
      <c r="AX96" s="65">
        <f t="shared" ca="1" si="246"/>
        <v>551</v>
      </c>
      <c r="AY96" s="15" t="str">
        <f t="shared" ca="1" si="247"/>
        <v>VIGENTE</v>
      </c>
      <c r="AZ96" s="13"/>
      <c r="BA96" s="14">
        <v>45943</v>
      </c>
      <c r="BB96" s="14">
        <f>DATE(YEAR(BA96)+2,MONTH(BA96),DAY(BA96))</f>
        <v>46673</v>
      </c>
      <c r="BC96" s="65">
        <f t="shared" ca="1" si="248"/>
        <v>542</v>
      </c>
      <c r="BD96" s="15" t="str">
        <f t="shared" ca="1" si="249"/>
        <v>VIGENTE</v>
      </c>
      <c r="BE96" s="12"/>
      <c r="BF96" s="14">
        <v>45997</v>
      </c>
      <c r="BG96" s="14">
        <f t="shared" si="388"/>
        <v>46727</v>
      </c>
      <c r="BH96" s="65">
        <f t="shared" ca="1" si="250"/>
        <v>596</v>
      </c>
      <c r="BI96" s="15" t="str">
        <f t="shared" ca="1" si="251"/>
        <v>VIGENTE</v>
      </c>
      <c r="BJ96" s="13">
        <v>45306</v>
      </c>
      <c r="BK96" s="14">
        <v>45976</v>
      </c>
      <c r="BL96" s="14">
        <f>DATE(YEAR(BK96)+2,MONTH(BK96),DAY(BK96))</f>
        <v>46706</v>
      </c>
      <c r="BM96" s="65">
        <f t="shared" ca="1" si="252"/>
        <v>575</v>
      </c>
      <c r="BN96" s="15" t="str">
        <f t="shared" ca="1" si="253"/>
        <v>VIGENTE</v>
      </c>
      <c r="BO96" s="14">
        <v>45308</v>
      </c>
      <c r="BP96" s="14">
        <v>45981</v>
      </c>
      <c r="BQ96" s="14">
        <f>DATE(YEAR(BP96)+2,MONTH(BP96),DAY(BP96))</f>
        <v>46711</v>
      </c>
      <c r="BR96" s="65">
        <f t="shared" ca="1" si="254"/>
        <v>580</v>
      </c>
      <c r="BS96" s="15" t="str">
        <f t="shared" ca="1" si="255"/>
        <v>VIGENTE</v>
      </c>
      <c r="BT96" s="13">
        <v>45203</v>
      </c>
      <c r="BU96" s="14">
        <v>45871</v>
      </c>
      <c r="BV96" s="14">
        <f>DATE(YEAR(BU96)+2,MONTH(BU96),DAY(BU96))</f>
        <v>46601</v>
      </c>
      <c r="BW96" s="65">
        <f t="shared" ca="1" si="256"/>
        <v>470</v>
      </c>
      <c r="BX96" s="15" t="str">
        <f t="shared" ca="1" si="257"/>
        <v>VIGENTE</v>
      </c>
      <c r="BY96" s="13">
        <v>45261</v>
      </c>
      <c r="BZ96" s="14">
        <v>46011</v>
      </c>
      <c r="CA96" s="14">
        <f t="shared" si="383"/>
        <v>46741</v>
      </c>
      <c r="CB96" s="65">
        <f t="shared" ca="1" si="258"/>
        <v>610</v>
      </c>
      <c r="CC96" s="15" t="str">
        <f t="shared" ca="1" si="259"/>
        <v>VIGENTE</v>
      </c>
      <c r="CD96" s="16" t="s">
        <v>392</v>
      </c>
      <c r="CE96" s="14">
        <v>45264</v>
      </c>
      <c r="CF96" s="14">
        <v>45266</v>
      </c>
      <c r="CG96" s="14">
        <f t="shared" si="377"/>
        <v>46727</v>
      </c>
      <c r="CH96" s="65">
        <f t="shared" ca="1" si="378"/>
        <v>596</v>
      </c>
      <c r="CI96" s="15" t="str">
        <f t="shared" ca="1" si="262"/>
        <v>VIGENTE</v>
      </c>
      <c r="CJ96" s="14">
        <v>45363</v>
      </c>
      <c r="CK96" s="14">
        <v>46018</v>
      </c>
      <c r="CL96" s="14">
        <f>DATE(YEAR(CK96)+2,MONTH(CK96),DAY(CK96))</f>
        <v>46748</v>
      </c>
      <c r="CM96" s="65">
        <f t="shared" ca="1" si="263"/>
        <v>617</v>
      </c>
      <c r="CN96" s="15" t="str">
        <f t="shared" ca="1" si="264"/>
        <v>VIGENTE</v>
      </c>
      <c r="CO96" s="14">
        <v>45301</v>
      </c>
      <c r="CP96" s="14">
        <v>45979</v>
      </c>
      <c r="CQ96" s="14">
        <f>DATE(YEAR(CP96)+2,MONTH(CP96),DAY(CP96))</f>
        <v>46709</v>
      </c>
      <c r="CR96" s="65">
        <f t="shared" ca="1" si="265"/>
        <v>578</v>
      </c>
      <c r="CS96" s="15" t="str">
        <f t="shared" ca="1" si="266"/>
        <v>VIGENTE</v>
      </c>
      <c r="CT96" s="13">
        <v>45287</v>
      </c>
      <c r="CU96" s="14">
        <v>45965</v>
      </c>
      <c r="CV96" s="14">
        <f>DATE(YEAR(CU96)+2,MONTH(CU96),DAY(CU96))</f>
        <v>46695</v>
      </c>
      <c r="CW96" s="65">
        <f t="shared" ca="1" si="267"/>
        <v>564</v>
      </c>
      <c r="CX96" s="15" t="str">
        <f t="shared" ca="1" si="268"/>
        <v>VIGENTE</v>
      </c>
      <c r="CY96" s="13">
        <v>45205</v>
      </c>
      <c r="CZ96" s="14">
        <v>45878</v>
      </c>
      <c r="DA96" s="14">
        <f>DATE(YEAR(CZ96)+2,MONTH(CZ96),DAY(CZ96))</f>
        <v>46608</v>
      </c>
      <c r="DB96" s="65">
        <f t="shared" ca="1" si="269"/>
        <v>477</v>
      </c>
      <c r="DC96" s="15" t="str">
        <f t="shared" ca="1" si="270"/>
        <v>VIGENTE</v>
      </c>
      <c r="DD96" s="14">
        <v>45404</v>
      </c>
      <c r="DE96" s="14">
        <v>46045</v>
      </c>
      <c r="DF96" s="14">
        <f>DATE(YEAR(DE96)+2,MONTH(DE96),DAY(DE96))</f>
        <v>46775</v>
      </c>
      <c r="DG96" s="65">
        <f t="shared" ca="1" si="271"/>
        <v>644</v>
      </c>
      <c r="DH96" s="15" t="str">
        <f t="shared" ca="1" si="272"/>
        <v>VIGENTE</v>
      </c>
      <c r="DI96" s="13">
        <v>45251</v>
      </c>
      <c r="DJ96" s="14">
        <v>45924</v>
      </c>
      <c r="DK96" s="14">
        <f>DATE(YEAR(DJ96)+2,MONTH(DJ96),DAY(DJ96))</f>
        <v>46654</v>
      </c>
      <c r="DL96" s="65">
        <f t="shared" ca="1" si="273"/>
        <v>523</v>
      </c>
      <c r="DM96" s="15" t="str">
        <f t="shared" ca="1" si="274"/>
        <v>VIGENTE</v>
      </c>
      <c r="DN96" s="13">
        <v>45325</v>
      </c>
      <c r="DO96" s="14">
        <v>45982</v>
      </c>
      <c r="DP96" s="14">
        <f>DATE(YEAR(DO96)+2,MONTH(DO96),DAY(DO96))</f>
        <v>46712</v>
      </c>
      <c r="DQ96" s="65">
        <f t="shared" ca="1" si="275"/>
        <v>581</v>
      </c>
      <c r="DR96" s="15" t="str">
        <f t="shared" ca="1" si="276"/>
        <v>VIGENTE</v>
      </c>
      <c r="DS96" s="13">
        <v>45250</v>
      </c>
      <c r="DT96" s="14">
        <v>45918</v>
      </c>
      <c r="DU96" s="14">
        <f>DATE(YEAR(DT96)+2,MONTH(DT96),DAY(DT96))</f>
        <v>46648</v>
      </c>
      <c r="DV96" s="65">
        <f t="shared" ca="1" si="277"/>
        <v>517</v>
      </c>
      <c r="DW96" s="15" t="str">
        <f t="shared" ca="1" si="278"/>
        <v>VIGENTE</v>
      </c>
      <c r="DX96" s="13">
        <v>45432</v>
      </c>
      <c r="DY96" s="14">
        <v>46099</v>
      </c>
      <c r="DZ96" s="14">
        <f>DATE(YEAR(DY96)+2,MONTH(DY96),DAY(DY96))</f>
        <v>46830</v>
      </c>
      <c r="EA96" s="65">
        <f t="shared" ca="1" si="279"/>
        <v>699</v>
      </c>
      <c r="EB96" s="15" t="str">
        <f t="shared" ca="1" si="280"/>
        <v>VIGENTE</v>
      </c>
      <c r="EC96" s="14">
        <v>45341</v>
      </c>
      <c r="ED96" s="14">
        <v>45994</v>
      </c>
      <c r="EE96" s="14">
        <f>DATE(YEAR(ED96)+2,MONTH(ED96),DAY(ED96))</f>
        <v>46724</v>
      </c>
      <c r="EF96" s="65">
        <f t="shared" ca="1" si="281"/>
        <v>593</v>
      </c>
      <c r="EG96" s="15" t="str">
        <f t="shared" ca="1" si="282"/>
        <v>VIGENTE</v>
      </c>
      <c r="EH96" s="14">
        <v>45209</v>
      </c>
      <c r="EI96" s="13">
        <v>45946</v>
      </c>
      <c r="EJ96" s="13">
        <v>45947</v>
      </c>
      <c r="EK96" s="14">
        <v>45948</v>
      </c>
      <c r="EL96" s="14">
        <f t="shared" si="344"/>
        <v>46313</v>
      </c>
      <c r="EM96" s="65">
        <f t="shared" ca="1" si="283"/>
        <v>182</v>
      </c>
      <c r="EN96" s="15" t="str">
        <f t="shared" ca="1" si="284"/>
        <v>VIGENTE</v>
      </c>
      <c r="EO96" s="13">
        <v>45262</v>
      </c>
      <c r="EP96" s="14">
        <v>45983</v>
      </c>
      <c r="EQ96" s="14">
        <f>DATE(YEAR(EP96)+2,MONTH(EP96),DAY(EP96))</f>
        <v>46713</v>
      </c>
      <c r="ER96" s="65">
        <f t="shared" ca="1" si="285"/>
        <v>582</v>
      </c>
      <c r="ES96" s="15" t="str">
        <f t="shared" ca="1" si="286"/>
        <v>VIGENTE</v>
      </c>
      <c r="ET96" s="12"/>
      <c r="EU96" s="14">
        <v>45999</v>
      </c>
      <c r="EV96" s="14">
        <f>DATE(YEAR(EU96)+2,MONTH(EU96),DAY(EU96))</f>
        <v>46729</v>
      </c>
      <c r="EW96" s="65">
        <f t="shared" ca="1" si="287"/>
        <v>598</v>
      </c>
      <c r="EX96" s="15" t="str">
        <f t="shared" ca="1" si="288"/>
        <v>VIGENTE</v>
      </c>
      <c r="EY96" s="13">
        <v>45373</v>
      </c>
      <c r="EZ96" s="14">
        <v>46037</v>
      </c>
      <c r="FA96" s="14">
        <f>DATE(YEAR(EZ96)+2,MONTH(EZ96),DAY(EZ96))</f>
        <v>46767</v>
      </c>
      <c r="FB96" s="65">
        <f t="shared" ca="1" si="289"/>
        <v>636</v>
      </c>
      <c r="FC96" s="15" t="str">
        <f t="shared" ca="1" si="290"/>
        <v>VIGENTE</v>
      </c>
      <c r="FD96" s="13">
        <v>45343</v>
      </c>
      <c r="FE96" s="14">
        <v>46017</v>
      </c>
      <c r="FF96" s="14">
        <f t="shared" si="386"/>
        <v>46747</v>
      </c>
      <c r="FG96" s="65">
        <f t="shared" ca="1" si="291"/>
        <v>616</v>
      </c>
      <c r="FH96" s="15" t="str">
        <f t="shared" ca="1" si="292"/>
        <v>VIGENTE</v>
      </c>
      <c r="FI96" s="13">
        <v>45317</v>
      </c>
      <c r="FJ96" s="14">
        <v>45969</v>
      </c>
      <c r="FK96" s="14">
        <f t="shared" si="387"/>
        <v>46699</v>
      </c>
      <c r="FL96" s="65">
        <f t="shared" ca="1" si="293"/>
        <v>568</v>
      </c>
      <c r="FM96" s="15" t="str">
        <f t="shared" ca="1" si="294"/>
        <v>VIGENTE</v>
      </c>
      <c r="FN96" s="13">
        <v>45257</v>
      </c>
      <c r="FO96" s="14">
        <v>45920</v>
      </c>
      <c r="FP96" s="14">
        <f>DATE(YEAR(FO96)+2,MONTH(FO96),DAY(FO96))</f>
        <v>46650</v>
      </c>
      <c r="FQ96" s="65">
        <f t="shared" ca="1" si="295"/>
        <v>519</v>
      </c>
      <c r="FR96" s="15" t="str">
        <f t="shared" ca="1" si="296"/>
        <v>VIGENTE</v>
      </c>
      <c r="FS96" s="13">
        <v>45279</v>
      </c>
      <c r="FT96" s="14">
        <v>45957</v>
      </c>
      <c r="FU96" s="14">
        <f>DATE(YEAR(FT96)+2,MONTH(FT96),DAY(FT96))</f>
        <v>46687</v>
      </c>
      <c r="FV96" s="65">
        <f t="shared" ca="1" si="297"/>
        <v>556</v>
      </c>
      <c r="FW96" s="15" t="str">
        <f t="shared" ca="1" si="298"/>
        <v>VIGENTE</v>
      </c>
      <c r="FX96" s="13">
        <v>45204</v>
      </c>
      <c r="FY96" s="14">
        <v>45875</v>
      </c>
      <c r="FZ96" s="14">
        <f>DATE(YEAR(FY96)+2,MONTH(FY96),DAY(FY96))</f>
        <v>46605</v>
      </c>
      <c r="GA96" s="65">
        <f t="shared" ca="1" si="299"/>
        <v>474</v>
      </c>
      <c r="GB96" s="15" t="str">
        <f t="shared" ca="1" si="300"/>
        <v>VIGENTE</v>
      </c>
      <c r="GC96" s="13">
        <v>45202</v>
      </c>
      <c r="GD96" s="14">
        <v>45874</v>
      </c>
      <c r="GE96" s="14">
        <f>DATE(YEAR(GD96)+2,MONTH(GD96),DAY(GD96))</f>
        <v>46604</v>
      </c>
      <c r="GF96" s="65">
        <f t="shared" ca="1" si="301"/>
        <v>473</v>
      </c>
      <c r="GG96" s="15" t="str">
        <f t="shared" ca="1" si="302"/>
        <v>VIGENTE</v>
      </c>
      <c r="GH96" s="13">
        <v>45252</v>
      </c>
      <c r="GI96" s="14">
        <v>45912</v>
      </c>
      <c r="GJ96" s="14">
        <f>DATE(YEAR(GI96)+2,MONTH(GI96),DAY(GI96))</f>
        <v>46642</v>
      </c>
      <c r="GK96" s="65">
        <f t="shared" ca="1" si="303"/>
        <v>511</v>
      </c>
      <c r="GL96" s="15" t="str">
        <f t="shared" ca="1" si="304"/>
        <v>VIGENTE</v>
      </c>
      <c r="GM96" s="13">
        <v>45368</v>
      </c>
      <c r="GN96" s="14">
        <v>46044</v>
      </c>
      <c r="GO96" s="14">
        <f>DATE(YEAR(GN96)+2,MONTH(GN96),DAY(GN96))</f>
        <v>46774</v>
      </c>
      <c r="GP96" s="65">
        <f t="shared" ca="1" si="305"/>
        <v>643</v>
      </c>
      <c r="GQ96" s="15" t="str">
        <f t="shared" ca="1" si="306"/>
        <v>VIGENTE</v>
      </c>
      <c r="GR96" s="14"/>
      <c r="GS96" s="14">
        <v>45367</v>
      </c>
      <c r="GT96" s="14">
        <f t="shared" si="307"/>
        <v>47193</v>
      </c>
      <c r="GU96" s="65">
        <f t="shared" ca="1" si="374"/>
        <v>1062</v>
      </c>
      <c r="GV96" s="15" t="str">
        <f t="shared" ca="1" si="368"/>
        <v>VIGENTE</v>
      </c>
      <c r="GW96" s="13"/>
      <c r="GX96" s="14">
        <v>45329</v>
      </c>
      <c r="GY96" s="14">
        <f t="shared" si="309"/>
        <v>47156</v>
      </c>
      <c r="GZ96" s="65">
        <f t="shared" ca="1" si="310"/>
        <v>1025</v>
      </c>
      <c r="HA96" s="15" t="str">
        <f t="shared" ca="1" si="369"/>
        <v>VIGENTE</v>
      </c>
      <c r="HB96" s="12"/>
      <c r="HC96" s="14">
        <v>45479</v>
      </c>
      <c r="HD96" s="14">
        <f t="shared" si="312"/>
        <v>47305</v>
      </c>
      <c r="HE96" s="65">
        <f t="shared" ca="1" si="313"/>
        <v>1174</v>
      </c>
      <c r="HF96" s="15" t="str">
        <f t="shared" ca="1" si="370"/>
        <v>VIGENTE</v>
      </c>
      <c r="HG96" s="16"/>
      <c r="HH96" s="14">
        <v>45222</v>
      </c>
      <c r="HI96" s="14">
        <f>DATE(YEAR(HH96)+5,MONTH(HH96),DAY(HH96))</f>
        <v>47049</v>
      </c>
      <c r="HJ96" s="65">
        <f ca="1">HI96-TODAY()</f>
        <v>918</v>
      </c>
      <c r="HK96" s="15" t="str">
        <f t="shared" ca="1" si="379"/>
        <v>VIGENTE</v>
      </c>
      <c r="HL96" s="12"/>
      <c r="HM96" s="16"/>
      <c r="HN96" s="14"/>
      <c r="HO96" s="65"/>
      <c r="HP96" s="15" t="str">
        <f t="shared" si="375"/>
        <v>NO APLICA</v>
      </c>
      <c r="HQ96" s="12"/>
      <c r="HR96" s="12"/>
      <c r="HS96" s="14"/>
      <c r="HT96" s="12"/>
      <c r="HU96" s="15" t="str">
        <f t="shared" si="315"/>
        <v>NO APLICA</v>
      </c>
      <c r="HV96" s="12"/>
      <c r="HW96" s="14">
        <v>45300</v>
      </c>
      <c r="HX96" s="14">
        <f>DATE(YEAR(HW96)+5,MONTH(HW96),DAY(HW96))</f>
        <v>47127</v>
      </c>
      <c r="HY96" s="65">
        <f ca="1">HX96-TODAY()</f>
        <v>996</v>
      </c>
      <c r="HZ96" s="15" t="str">
        <f t="shared" ca="1" si="316"/>
        <v>VIGENTE</v>
      </c>
      <c r="IA96" s="12"/>
      <c r="IB96" s="16"/>
      <c r="IC96" s="14"/>
      <c r="ID96" s="65"/>
      <c r="IE96" s="15" t="str">
        <f t="shared" si="317"/>
        <v>NO APLICA</v>
      </c>
      <c r="IF96" s="12"/>
      <c r="IG96" s="16"/>
      <c r="IH96" s="14"/>
      <c r="II96" s="65"/>
      <c r="IJ96" s="15" t="str">
        <f t="shared" si="318"/>
        <v>NO APLICA</v>
      </c>
      <c r="IK96" s="16"/>
      <c r="IL96" s="16"/>
      <c r="IM96" s="14"/>
      <c r="IN96" s="65"/>
      <c r="IO96" s="15" t="str">
        <f t="shared" si="319"/>
        <v>NO APLICA</v>
      </c>
      <c r="IP96" s="12"/>
      <c r="IQ96" s="16"/>
      <c r="IR96" s="14"/>
      <c r="IS96" s="65"/>
      <c r="IT96" s="15" t="str">
        <f t="shared" si="320"/>
        <v>NO APLICA</v>
      </c>
      <c r="IU96" s="12"/>
      <c r="IV96" s="14">
        <v>45350</v>
      </c>
      <c r="IW96" s="14">
        <f>DATE(YEAR(IV96)+5,MONTH(IV96),DAY(IV96))</f>
        <v>47177</v>
      </c>
      <c r="IX96" s="65">
        <f ca="1">IW96-TODAY()</f>
        <v>1046</v>
      </c>
      <c r="IY96" s="15" t="str">
        <f t="shared" ca="1" si="321"/>
        <v>VIGENTE</v>
      </c>
      <c r="IZ96" s="12"/>
      <c r="JA96" s="16"/>
      <c r="JB96" s="14"/>
      <c r="JC96" s="65"/>
      <c r="JD96" s="15" t="str">
        <f t="shared" si="322"/>
        <v>NO APLICA</v>
      </c>
      <c r="JE96" s="13"/>
      <c r="JF96" s="13"/>
      <c r="JG96" s="14"/>
      <c r="JH96" s="65"/>
      <c r="JI96" s="15" t="str">
        <f t="shared" si="323"/>
        <v>NO APLICA</v>
      </c>
      <c r="JJ96" s="16"/>
      <c r="JK96" s="16"/>
      <c r="JL96" s="16"/>
      <c r="JM96" s="15" t="str">
        <f t="shared" si="324"/>
        <v>NO APLICA</v>
      </c>
      <c r="JN96" s="16"/>
      <c r="JO96" s="16"/>
      <c r="JP96" s="16"/>
      <c r="JQ96" s="15" t="str">
        <f t="shared" si="325"/>
        <v>NO APLICA</v>
      </c>
      <c r="JR96" s="16"/>
      <c r="JS96" s="16"/>
      <c r="JT96" s="16"/>
      <c r="JU96" s="16"/>
      <c r="JV96" s="15" t="str">
        <f t="shared" si="326"/>
        <v>NO APLICA</v>
      </c>
      <c r="JW96" s="15"/>
      <c r="JX96" s="15"/>
      <c r="JY96" s="15"/>
      <c r="JZ96" s="15"/>
      <c r="KA96" s="15" t="str">
        <f t="shared" si="327"/>
        <v>NO APLICA</v>
      </c>
      <c r="KB96" s="12"/>
      <c r="KC96" s="14"/>
      <c r="KD96" s="65"/>
      <c r="KE96" s="15" t="str">
        <f t="shared" si="328"/>
        <v>NO APLICA</v>
      </c>
      <c r="KF96" s="13">
        <v>45328</v>
      </c>
      <c r="KG96" s="14">
        <f>DATE(YEAR(KF96)+5,MONTH(KF96),DAY(KF96)-1)</f>
        <v>47154</v>
      </c>
      <c r="KH96" s="65">
        <f ca="1">KG96-TODAY()</f>
        <v>1023</v>
      </c>
      <c r="KI96" s="15" t="str">
        <f t="shared" ca="1" si="345"/>
        <v>VIGENTE</v>
      </c>
      <c r="KJ96" s="12"/>
      <c r="KK96" s="14"/>
      <c r="KL96" s="65"/>
      <c r="KM96" s="15" t="str">
        <f t="shared" si="329"/>
        <v>NO APLICA</v>
      </c>
      <c r="KN96" s="13">
        <v>45346</v>
      </c>
      <c r="KO96" s="14">
        <f>DATE(YEAR(KN96)+5,MONTH(KN96),DAY(KN96))</f>
        <v>47173</v>
      </c>
      <c r="KP96" s="65">
        <f ca="1">KO96-TODAY()</f>
        <v>1042</v>
      </c>
      <c r="KQ96" s="15" t="str">
        <f t="shared" ca="1" si="346"/>
        <v>VIGENTE</v>
      </c>
      <c r="KR96" s="12"/>
      <c r="KS96" s="16"/>
      <c r="KT96" s="14"/>
      <c r="KU96" s="65"/>
      <c r="KV96" s="15" t="str">
        <f t="shared" si="355"/>
        <v>NO APLICA</v>
      </c>
      <c r="KW96" s="16"/>
      <c r="KX96" s="14"/>
      <c r="KY96" s="65"/>
      <c r="KZ96" s="15" t="str">
        <f t="shared" si="347"/>
        <v>NO APLICA</v>
      </c>
      <c r="LA96" s="16"/>
      <c r="LB96" s="14">
        <v>45516</v>
      </c>
      <c r="LC96" s="14">
        <f>DATE(YEAR(LB96)+2,MONTH(LB96),DAY(LB96))</f>
        <v>46246</v>
      </c>
      <c r="LD96" s="65">
        <f ca="1">LC96-TODAY()</f>
        <v>115</v>
      </c>
      <c r="LE96" s="15" t="str">
        <f t="shared" ca="1" si="330"/>
        <v>VIGENTE</v>
      </c>
      <c r="LF96" s="15"/>
      <c r="LG96" s="15"/>
      <c r="LH96" s="15"/>
      <c r="LI96" s="15"/>
      <c r="LJ96" s="15" t="str">
        <f t="shared" si="356"/>
        <v>NO APLICA</v>
      </c>
      <c r="LK96" s="12"/>
      <c r="LL96" s="16"/>
      <c r="LM96" s="14"/>
      <c r="LN96" s="65"/>
      <c r="LO96" s="15" t="str">
        <f t="shared" si="348"/>
        <v>NO APLICA</v>
      </c>
      <c r="LP96" s="16"/>
      <c r="LQ96" s="16"/>
      <c r="LR96" s="14"/>
      <c r="LS96" s="65"/>
      <c r="LT96" s="15" t="str">
        <f t="shared" si="349"/>
        <v>NO APLICA</v>
      </c>
      <c r="LU96" s="16"/>
      <c r="LV96" s="16"/>
      <c r="LW96" s="14"/>
      <c r="LX96" s="65"/>
      <c r="LY96" s="15" t="str">
        <f t="shared" si="350"/>
        <v>NO APLICA</v>
      </c>
      <c r="LZ96" s="12"/>
      <c r="MA96" s="12"/>
      <c r="MB96" s="14"/>
      <c r="MC96" s="65"/>
      <c r="MD96" s="15" t="str">
        <f t="shared" si="331"/>
        <v>NO APLICA</v>
      </c>
      <c r="ME96" s="12"/>
      <c r="MF96" s="12"/>
      <c r="MG96" s="14"/>
      <c r="MH96" s="65"/>
      <c r="MI96" s="15" t="str">
        <f t="shared" si="332"/>
        <v>NO APLICA</v>
      </c>
      <c r="MJ96" s="12"/>
      <c r="MK96" s="14"/>
      <c r="ML96" s="65"/>
      <c r="MM96" s="15" t="str">
        <f t="shared" si="333"/>
        <v>NO APLICA</v>
      </c>
      <c r="MN96" s="12"/>
      <c r="MO96" s="12"/>
      <c r="MP96" s="12"/>
      <c r="MQ96" s="15" t="str">
        <f t="shared" si="334"/>
        <v>NO APLICA</v>
      </c>
      <c r="MR96" s="12"/>
      <c r="MS96" s="16"/>
      <c r="MT96" s="14"/>
      <c r="MU96" s="65"/>
      <c r="MV96" s="15" t="str">
        <f t="shared" si="335"/>
        <v>NO APLICA</v>
      </c>
      <c r="MW96" s="12"/>
      <c r="MX96" s="16"/>
      <c r="MY96" s="14"/>
      <c r="MZ96" s="65"/>
      <c r="NA96" s="15" t="str">
        <f t="shared" si="336"/>
        <v>NO APLICA</v>
      </c>
      <c r="NB96" s="12"/>
      <c r="NC96" s="16"/>
      <c r="ND96" s="14"/>
      <c r="NE96" s="65"/>
      <c r="NF96" s="15" t="str">
        <f t="shared" si="337"/>
        <v>NO APLICA</v>
      </c>
      <c r="NG96" s="12"/>
      <c r="NH96" s="12"/>
      <c r="NI96" s="14"/>
      <c r="NJ96" s="65"/>
      <c r="NK96" s="15" t="str">
        <f t="shared" si="338"/>
        <v>NO APLICA</v>
      </c>
      <c r="NL96" s="12"/>
      <c r="NM96" s="12"/>
      <c r="NN96" s="14"/>
      <c r="NO96" s="12"/>
      <c r="NP96" s="15" t="str">
        <f t="shared" si="339"/>
        <v>NO APLICA</v>
      </c>
      <c r="NQ96" s="16"/>
      <c r="NR96" s="16"/>
      <c r="NS96" s="14"/>
      <c r="NT96" s="65"/>
      <c r="NU96" s="15" t="str">
        <f t="shared" si="340"/>
        <v>NO APLICA</v>
      </c>
      <c r="NV96" s="16"/>
      <c r="NW96" s="16"/>
      <c r="NX96" s="16"/>
      <c r="NY96" s="16"/>
      <c r="NZ96" s="15" t="str">
        <f t="shared" si="341"/>
        <v>NO APLICA</v>
      </c>
    </row>
    <row r="97" spans="1:390" ht="15.6" thickTop="1" thickBot="1" x14ac:dyDescent="0.35">
      <c r="A97" s="11">
        <v>1106</v>
      </c>
      <c r="B97" s="10" t="s">
        <v>393</v>
      </c>
      <c r="C97" s="21" t="s">
        <v>151</v>
      </c>
      <c r="D97" s="64" t="s">
        <v>188</v>
      </c>
      <c r="E97" s="13">
        <v>46118</v>
      </c>
      <c r="F97" s="14">
        <v>46119</v>
      </c>
      <c r="G97" s="14">
        <f>DATE(YEAR(F97)+2,MONTH(F97),DAY(F97))</f>
        <v>46850</v>
      </c>
      <c r="H97" s="65">
        <f ca="1">G97-TODAY()</f>
        <v>719</v>
      </c>
      <c r="I97" s="15" t="str">
        <f t="shared" ca="1" si="235"/>
        <v>VIGENTE</v>
      </c>
      <c r="J97" s="12"/>
      <c r="K97" s="16"/>
      <c r="L97" s="16"/>
      <c r="M97" s="65"/>
      <c r="N97" s="15" t="str">
        <f t="shared" si="236"/>
        <v>NO APLICA</v>
      </c>
      <c r="O97" s="16"/>
      <c r="P97" s="16"/>
      <c r="Q97" s="14"/>
      <c r="R97" s="65"/>
      <c r="S97" s="15" t="str">
        <f t="shared" si="342"/>
        <v>NO APLICA</v>
      </c>
      <c r="T97" s="12" t="s">
        <v>394</v>
      </c>
      <c r="U97" s="14">
        <v>45040</v>
      </c>
      <c r="V97" s="14">
        <v>45041</v>
      </c>
      <c r="W97" s="14">
        <f t="shared" si="237"/>
        <v>46868</v>
      </c>
      <c r="X97" s="65">
        <f t="shared" ca="1" si="238"/>
        <v>737</v>
      </c>
      <c r="Y97" s="15" t="str">
        <f t="shared" ca="1" si="239"/>
        <v>VIGENTE</v>
      </c>
      <c r="Z97" s="12"/>
      <c r="AA97" s="12"/>
      <c r="AB97" s="16"/>
      <c r="AC97" s="14"/>
      <c r="AD97" s="65"/>
      <c r="AE97" s="15" t="str">
        <f t="shared" si="389"/>
        <v>NO APLICA</v>
      </c>
      <c r="AF97" s="13">
        <v>45037</v>
      </c>
      <c r="AG97" s="14">
        <v>45721</v>
      </c>
      <c r="AH97" s="14">
        <f>DATE(YEAR(AG97)+2,MONTH(AG97),DAY(AG97)-1)</f>
        <v>46450</v>
      </c>
      <c r="AI97" s="65">
        <f t="shared" ca="1" si="241"/>
        <v>319</v>
      </c>
      <c r="AJ97" s="15" t="str">
        <f t="shared" ca="1" si="213"/>
        <v>VIGENTE</v>
      </c>
      <c r="AK97" s="13">
        <v>44978</v>
      </c>
      <c r="AL97" s="14">
        <v>45602</v>
      </c>
      <c r="AM97" s="14">
        <f>DATE(YEAR(AL97)+2,MONTH(AL97),DAY(AL97)-1)</f>
        <v>46331</v>
      </c>
      <c r="AN97" s="65">
        <f t="shared" ca="1" si="242"/>
        <v>200</v>
      </c>
      <c r="AO97" s="15" t="str">
        <f t="shared" ca="1" si="243"/>
        <v>VIGENTE</v>
      </c>
      <c r="AP97" s="13">
        <v>45047</v>
      </c>
      <c r="AQ97" s="14">
        <v>45703</v>
      </c>
      <c r="AR97" s="14">
        <f>DATE(YEAR(AQ97)+2,MONTH(AQ97),DAY(AQ97)-1)</f>
        <v>46432</v>
      </c>
      <c r="AS97" s="65">
        <f t="shared" ca="1" si="244"/>
        <v>301</v>
      </c>
      <c r="AT97" s="15" t="str">
        <f t="shared" ca="1" si="245"/>
        <v>VIGENTE</v>
      </c>
      <c r="AU97" s="13">
        <v>45072</v>
      </c>
      <c r="AV97" s="14">
        <v>45702</v>
      </c>
      <c r="AW97" s="14">
        <f>DATE(YEAR(AV97)+2,MONTH(AV97),DAY(AV97)-1)</f>
        <v>46431</v>
      </c>
      <c r="AX97" s="65">
        <f t="shared" ca="1" si="246"/>
        <v>300</v>
      </c>
      <c r="AY97" s="15" t="str">
        <f t="shared" ca="1" si="247"/>
        <v>VIGENTE</v>
      </c>
      <c r="AZ97" s="13">
        <v>45030</v>
      </c>
      <c r="BA97" s="14">
        <v>45717</v>
      </c>
      <c r="BB97" s="14">
        <f>DATE(YEAR(BA97)+2,MONTH(BA97),DAY(BA97)-1)</f>
        <v>46446</v>
      </c>
      <c r="BC97" s="65">
        <f t="shared" ca="1" si="248"/>
        <v>315</v>
      </c>
      <c r="BD97" s="15" t="str">
        <f t="shared" ca="1" si="249"/>
        <v>VIGENTE</v>
      </c>
      <c r="BE97" s="13">
        <v>45052</v>
      </c>
      <c r="BF97" s="14">
        <v>45698</v>
      </c>
      <c r="BG97" s="14">
        <f>DATE(YEAR(BF97)+2,MONTH(BF97),DAY(BF97)-1)</f>
        <v>46427</v>
      </c>
      <c r="BH97" s="65">
        <f t="shared" ca="1" si="250"/>
        <v>296</v>
      </c>
      <c r="BI97" s="15" t="str">
        <f t="shared" ca="1" si="251"/>
        <v>VIGENTE</v>
      </c>
      <c r="BJ97" s="13">
        <v>44974</v>
      </c>
      <c r="BK97" s="14">
        <v>45600</v>
      </c>
      <c r="BL97" s="14">
        <f>DATE(YEAR(BK97)+2,MONTH(BK97),DAY(BK97)-1)</f>
        <v>46329</v>
      </c>
      <c r="BM97" s="65">
        <f t="shared" ca="1" si="252"/>
        <v>198</v>
      </c>
      <c r="BN97" s="15" t="str">
        <f t="shared" ca="1" si="253"/>
        <v>VIGENTE</v>
      </c>
      <c r="BO97" s="13">
        <v>45031</v>
      </c>
      <c r="BP97" s="14">
        <v>45701</v>
      </c>
      <c r="BQ97" s="14">
        <f>DATE(YEAR(BP97)+2,MONTH(BP97),DAY(BP97)-1)</f>
        <v>46430</v>
      </c>
      <c r="BR97" s="65">
        <f t="shared" ca="1" si="254"/>
        <v>299</v>
      </c>
      <c r="BS97" s="15" t="str">
        <f t="shared" ca="1" si="255"/>
        <v>VIGENTE</v>
      </c>
      <c r="BT97" s="13">
        <v>44973</v>
      </c>
      <c r="BU97" s="14">
        <v>45611</v>
      </c>
      <c r="BV97" s="14">
        <f>DATE(YEAR(BU97)+2,MONTH(BU97),DAY(BU97)-1)</f>
        <v>46340</v>
      </c>
      <c r="BW97" s="65">
        <f t="shared" ca="1" si="256"/>
        <v>209</v>
      </c>
      <c r="BX97" s="15" t="str">
        <f t="shared" ca="1" si="257"/>
        <v>VIGENTE</v>
      </c>
      <c r="BY97" s="13">
        <v>44975</v>
      </c>
      <c r="BZ97" s="14">
        <v>45629</v>
      </c>
      <c r="CA97" s="14">
        <f>DATE(YEAR(BZ97)+2,MONTH(BZ97),DAY(BZ97)-1)</f>
        <v>46358</v>
      </c>
      <c r="CB97" s="65">
        <f t="shared" ca="1" si="258"/>
        <v>227</v>
      </c>
      <c r="CC97" s="15" t="str">
        <f t="shared" ca="1" si="259"/>
        <v>VIGENTE</v>
      </c>
      <c r="CD97" s="16" t="s">
        <v>102</v>
      </c>
      <c r="CE97" s="14">
        <v>45827</v>
      </c>
      <c r="CF97" s="14">
        <v>45828</v>
      </c>
      <c r="CG97" s="14">
        <f t="shared" si="377"/>
        <v>47289</v>
      </c>
      <c r="CH97" s="65">
        <f t="shared" ca="1" si="378"/>
        <v>1158</v>
      </c>
      <c r="CI97" s="15" t="str">
        <f t="shared" ca="1" si="262"/>
        <v>VIGENTE</v>
      </c>
      <c r="CJ97" s="14">
        <v>45006</v>
      </c>
      <c r="CK97" s="14">
        <v>45688</v>
      </c>
      <c r="CL97" s="14">
        <f>DATE(YEAR(CK97)+2,MONTH(CK97),DAY(CK97)-1)</f>
        <v>46417</v>
      </c>
      <c r="CM97" s="65">
        <f t="shared" ca="1" si="263"/>
        <v>286</v>
      </c>
      <c r="CN97" s="15" t="str">
        <f t="shared" ca="1" si="264"/>
        <v>VIGENTE</v>
      </c>
      <c r="CO97" s="13">
        <v>45024</v>
      </c>
      <c r="CP97" s="14">
        <v>45684</v>
      </c>
      <c r="CQ97" s="14">
        <f>DATE(YEAR(CP97)+2,MONTH(CP97),DAY(CP97)-1)</f>
        <v>46413</v>
      </c>
      <c r="CR97" s="65">
        <f t="shared" ca="1" si="265"/>
        <v>282</v>
      </c>
      <c r="CS97" s="15" t="str">
        <f t="shared" ca="1" si="266"/>
        <v>VIGENTE</v>
      </c>
      <c r="CT97" s="13">
        <v>44977</v>
      </c>
      <c r="CU97" s="14">
        <v>45624</v>
      </c>
      <c r="CV97" s="14">
        <f>DATE(YEAR(CU97)+2,MONTH(CU97),DAY(CU97)-1)</f>
        <v>46353</v>
      </c>
      <c r="CW97" s="65">
        <f t="shared" ca="1" si="267"/>
        <v>222</v>
      </c>
      <c r="CX97" s="15" t="str">
        <f t="shared" ca="1" si="268"/>
        <v>VIGENTE</v>
      </c>
      <c r="CY97" s="13">
        <v>45087</v>
      </c>
      <c r="CZ97" s="14">
        <v>45744</v>
      </c>
      <c r="DA97" s="14">
        <f t="shared" ref="DA97:DA102" si="390">DATE(YEAR(CZ97)+2,MONTH(CZ97),DAY(CZ97)-1)</f>
        <v>46473</v>
      </c>
      <c r="DB97" s="65">
        <f t="shared" ca="1" si="269"/>
        <v>342</v>
      </c>
      <c r="DC97" s="15" t="str">
        <f t="shared" ca="1" si="270"/>
        <v>VIGENTE</v>
      </c>
      <c r="DD97" s="13">
        <v>45020</v>
      </c>
      <c r="DE97" s="14">
        <v>45689</v>
      </c>
      <c r="DF97" s="14">
        <f>DATE(YEAR(DE97)+2,MONTH(DE97),DAY(DE97)-1)</f>
        <v>46418</v>
      </c>
      <c r="DG97" s="65">
        <f t="shared" ca="1" si="271"/>
        <v>287</v>
      </c>
      <c r="DH97" s="15" t="str">
        <f t="shared" ca="1" si="272"/>
        <v>VIGENTE</v>
      </c>
      <c r="DI97" s="13">
        <v>45038</v>
      </c>
      <c r="DJ97" s="14">
        <v>45696</v>
      </c>
      <c r="DK97" s="14">
        <f>DATE(YEAR(DJ97)+2,MONTH(DJ97),DAY(DJ97)-1)</f>
        <v>46425</v>
      </c>
      <c r="DL97" s="65">
        <f t="shared" ca="1" si="273"/>
        <v>294</v>
      </c>
      <c r="DM97" s="15" t="str">
        <f t="shared" ca="1" si="274"/>
        <v>VIGENTE</v>
      </c>
      <c r="DN97" s="13">
        <v>45025</v>
      </c>
      <c r="DO97" s="14">
        <v>45731</v>
      </c>
      <c r="DP97" s="14">
        <f>DATE(YEAR(DO97)+2,MONTH(DO97),DAY(DO97)-1)</f>
        <v>46460</v>
      </c>
      <c r="DQ97" s="65">
        <f t="shared" ca="1" si="275"/>
        <v>329</v>
      </c>
      <c r="DR97" s="15" t="str">
        <f t="shared" ca="1" si="276"/>
        <v>VIGENTE</v>
      </c>
      <c r="DS97" s="13">
        <v>45019</v>
      </c>
      <c r="DT97" s="14">
        <v>45707</v>
      </c>
      <c r="DU97" s="14">
        <f>DATE(YEAR(DT97)+2,MONTH(DT97),DAY(DT97)-1)</f>
        <v>46436</v>
      </c>
      <c r="DV97" s="65">
        <f t="shared" ca="1" si="277"/>
        <v>305</v>
      </c>
      <c r="DW97" s="15" t="str">
        <f t="shared" ca="1" si="278"/>
        <v>VIGENTE</v>
      </c>
      <c r="DX97" s="13">
        <v>44992</v>
      </c>
      <c r="DY97" s="14">
        <v>45663</v>
      </c>
      <c r="DZ97" s="14">
        <f>DATE(YEAR(DY97)+2,MONTH(DY97),DAY(DY97)-1)</f>
        <v>46392</v>
      </c>
      <c r="EA97" s="65">
        <f t="shared" ca="1" si="279"/>
        <v>261</v>
      </c>
      <c r="EB97" s="15" t="str">
        <f t="shared" ca="1" si="280"/>
        <v>VIGENTE</v>
      </c>
      <c r="EC97" s="13">
        <v>45070</v>
      </c>
      <c r="ED97" s="14">
        <v>45674</v>
      </c>
      <c r="EE97" s="14">
        <f>DATE(YEAR(ED97)+2,MONTH(ED97),DAY(ED97)-1)</f>
        <v>46403</v>
      </c>
      <c r="EF97" s="65">
        <f t="shared" ca="1" si="281"/>
        <v>272</v>
      </c>
      <c r="EG97" s="15" t="str">
        <f t="shared" ca="1" si="282"/>
        <v>VIGENTE</v>
      </c>
      <c r="EH97" s="13">
        <v>45059</v>
      </c>
      <c r="EI97" s="13">
        <v>46083</v>
      </c>
      <c r="EJ97" s="13">
        <v>46084</v>
      </c>
      <c r="EK97" s="13">
        <v>46085</v>
      </c>
      <c r="EL97" s="14">
        <f t="shared" si="344"/>
        <v>46450</v>
      </c>
      <c r="EM97" s="65">
        <f t="shared" ca="1" si="283"/>
        <v>319</v>
      </c>
      <c r="EN97" s="15" t="str">
        <f t="shared" ca="1" si="284"/>
        <v>VIGENTE</v>
      </c>
      <c r="EO97" s="13">
        <v>44985</v>
      </c>
      <c r="EP97" s="14">
        <v>45705</v>
      </c>
      <c r="EQ97" s="14">
        <f>DATE(YEAR(EP97)+2,MONTH(EP97),DAY(EP97)-1)</f>
        <v>46434</v>
      </c>
      <c r="ER97" s="65">
        <f t="shared" ca="1" si="285"/>
        <v>303</v>
      </c>
      <c r="ES97" s="15" t="str">
        <f t="shared" ca="1" si="286"/>
        <v>VIGENTE</v>
      </c>
      <c r="ET97" s="13">
        <v>45012</v>
      </c>
      <c r="EU97" s="14">
        <v>45677</v>
      </c>
      <c r="EV97" s="14">
        <f>DATE(YEAR(EU97)+2,MONTH(EU97),DAY(EU97)-1)</f>
        <v>46406</v>
      </c>
      <c r="EW97" s="65">
        <f t="shared" ca="1" si="287"/>
        <v>275</v>
      </c>
      <c r="EX97" s="15" t="str">
        <f t="shared" ca="1" si="288"/>
        <v>VIGENTE</v>
      </c>
      <c r="EY97" s="13">
        <v>45058</v>
      </c>
      <c r="EZ97" s="14">
        <v>45694</v>
      </c>
      <c r="FA97" s="14">
        <f>DATE(YEAR(EZ97)+2,MONTH(EZ97),DAY(EZ97)-1)</f>
        <v>46423</v>
      </c>
      <c r="FB97" s="65">
        <f t="shared" ca="1" si="289"/>
        <v>292</v>
      </c>
      <c r="FC97" s="15" t="str">
        <f t="shared" ca="1" si="290"/>
        <v>VIGENTE</v>
      </c>
      <c r="FD97" s="13">
        <v>45056</v>
      </c>
      <c r="FE97" s="14">
        <v>45666</v>
      </c>
      <c r="FF97" s="14">
        <f>DATE(YEAR(FE97)+2,MONTH(FE97),DAY(FE97)-1)</f>
        <v>46395</v>
      </c>
      <c r="FG97" s="65">
        <f t="shared" ca="1" si="291"/>
        <v>264</v>
      </c>
      <c r="FH97" s="15" t="str">
        <f t="shared" ca="1" si="292"/>
        <v>VIGENTE</v>
      </c>
      <c r="FI97" s="13">
        <v>45066</v>
      </c>
      <c r="FJ97" s="14">
        <v>45722</v>
      </c>
      <c r="FK97" s="14">
        <f t="shared" si="387"/>
        <v>46452</v>
      </c>
      <c r="FL97" s="65">
        <f t="shared" ca="1" si="293"/>
        <v>321</v>
      </c>
      <c r="FM97" s="15" t="str">
        <f t="shared" ca="1" si="294"/>
        <v>VIGENTE</v>
      </c>
      <c r="FN97" s="13">
        <v>45029</v>
      </c>
      <c r="FO97" s="14">
        <v>45670</v>
      </c>
      <c r="FP97" s="14">
        <f>DATE(YEAR(FO97)+2,MONTH(FO97),DAY(FO97)-1)</f>
        <v>46399</v>
      </c>
      <c r="FQ97" s="65">
        <f t="shared" ca="1" si="295"/>
        <v>268</v>
      </c>
      <c r="FR97" s="15" t="str">
        <f t="shared" ca="1" si="296"/>
        <v>VIGENTE</v>
      </c>
      <c r="FS97" s="13">
        <v>45018</v>
      </c>
      <c r="FT97" s="14">
        <v>45678</v>
      </c>
      <c r="FU97" s="14">
        <f>DATE(YEAR(FT97)+2,MONTH(FT97),DAY(FT97)-1)</f>
        <v>46407</v>
      </c>
      <c r="FV97" s="65">
        <f t="shared" ca="1" si="297"/>
        <v>276</v>
      </c>
      <c r="FW97" s="15" t="str">
        <f t="shared" ca="1" si="298"/>
        <v>VIGENTE</v>
      </c>
      <c r="FX97" s="13">
        <v>45028</v>
      </c>
      <c r="FY97" s="14">
        <v>45700</v>
      </c>
      <c r="FZ97" s="14">
        <f t="shared" ref="FZ97:FZ102" si="391">DATE(YEAR(FY97)+2,MONTH(FY97),DAY(FY97)-1)</f>
        <v>46429</v>
      </c>
      <c r="GA97" s="65">
        <f t="shared" ca="1" si="299"/>
        <v>298</v>
      </c>
      <c r="GB97" s="15" t="str">
        <f t="shared" ca="1" si="300"/>
        <v>VIGENTE</v>
      </c>
      <c r="GC97" s="13">
        <v>45015</v>
      </c>
      <c r="GD97" s="14">
        <v>45667</v>
      </c>
      <c r="GE97" s="14">
        <f>DATE(YEAR(GD97)+2,MONTH(GD97),DAY(GD97)-1)</f>
        <v>46396</v>
      </c>
      <c r="GF97" s="65">
        <f t="shared" ca="1" si="301"/>
        <v>265</v>
      </c>
      <c r="GG97" s="15" t="str">
        <f t="shared" ca="1" si="302"/>
        <v>VIGENTE</v>
      </c>
      <c r="GH97" s="13">
        <v>44996</v>
      </c>
      <c r="GI97" s="14">
        <v>45672</v>
      </c>
      <c r="GJ97" s="14">
        <f>DATE(YEAR(GI97)+2,MONTH(GI97),DAY(GI97)-1)</f>
        <v>46401</v>
      </c>
      <c r="GK97" s="65">
        <f t="shared" ca="1" si="303"/>
        <v>270</v>
      </c>
      <c r="GL97" s="15" t="str">
        <f t="shared" ca="1" si="304"/>
        <v>VIGENTE</v>
      </c>
      <c r="GM97" s="13">
        <v>44976</v>
      </c>
      <c r="GN97" s="14">
        <v>45615</v>
      </c>
      <c r="GO97" s="14">
        <f>DATE(YEAR(GN97)+2,MONTH(GN97),DAY(GN97)-1)</f>
        <v>46344</v>
      </c>
      <c r="GP97" s="65">
        <f t="shared" ca="1" si="305"/>
        <v>213</v>
      </c>
      <c r="GQ97" s="15" t="str">
        <f t="shared" ca="1" si="306"/>
        <v>VIGENTE</v>
      </c>
      <c r="GR97" s="14"/>
      <c r="GS97" s="14">
        <v>45013</v>
      </c>
      <c r="GT97" s="14">
        <f t="shared" si="307"/>
        <v>46840</v>
      </c>
      <c r="GU97" s="65">
        <f t="shared" ca="1" si="374"/>
        <v>709</v>
      </c>
      <c r="GV97" s="15" t="str">
        <f t="shared" ca="1" si="368"/>
        <v>VIGENTE</v>
      </c>
      <c r="GW97" s="13"/>
      <c r="GX97" s="14">
        <v>45099</v>
      </c>
      <c r="GY97" s="14">
        <f t="shared" si="309"/>
        <v>46926</v>
      </c>
      <c r="GZ97" s="65">
        <f t="shared" ca="1" si="310"/>
        <v>795</v>
      </c>
      <c r="HA97" s="15" t="str">
        <f t="shared" ca="1" si="369"/>
        <v>VIGENTE</v>
      </c>
      <c r="HB97" s="12"/>
      <c r="HC97" s="14">
        <v>45073</v>
      </c>
      <c r="HD97" s="14">
        <f t="shared" si="312"/>
        <v>46900</v>
      </c>
      <c r="HE97" s="65">
        <f t="shared" ca="1" si="313"/>
        <v>769</v>
      </c>
      <c r="HF97" s="15" t="str">
        <f t="shared" ca="1" si="370"/>
        <v>VIGENTE</v>
      </c>
      <c r="HG97" s="16"/>
      <c r="HH97" s="16"/>
      <c r="HI97" s="14"/>
      <c r="HJ97" s="65"/>
      <c r="HK97" s="15" t="str">
        <f t="shared" si="379"/>
        <v>NO APLICA</v>
      </c>
      <c r="HL97" s="12"/>
      <c r="HM97" s="16"/>
      <c r="HN97" s="14"/>
      <c r="HO97" s="65"/>
      <c r="HP97" s="15" t="str">
        <f t="shared" si="375"/>
        <v>NO APLICA</v>
      </c>
      <c r="HQ97" s="12"/>
      <c r="HR97" s="12"/>
      <c r="HS97" s="14"/>
      <c r="HT97" s="12"/>
      <c r="HU97" s="15" t="str">
        <f t="shared" si="315"/>
        <v>NO APLICA</v>
      </c>
      <c r="HV97" s="12"/>
      <c r="HW97" s="16"/>
      <c r="HX97" s="14"/>
      <c r="HY97" s="65"/>
      <c r="HZ97" s="15" t="str">
        <f t="shared" si="316"/>
        <v>NO APLICA</v>
      </c>
      <c r="IA97" s="12"/>
      <c r="IB97" s="16"/>
      <c r="IC97" s="14"/>
      <c r="ID97" s="65"/>
      <c r="IE97" s="15" t="str">
        <f t="shared" si="317"/>
        <v>NO APLICA</v>
      </c>
      <c r="IF97" s="12"/>
      <c r="IG97" s="16"/>
      <c r="IH97" s="14"/>
      <c r="II97" s="65"/>
      <c r="IJ97" s="15" t="str">
        <f t="shared" si="318"/>
        <v>NO APLICA</v>
      </c>
      <c r="IK97" s="16"/>
      <c r="IL97" s="16"/>
      <c r="IM97" s="14"/>
      <c r="IN97" s="65"/>
      <c r="IO97" s="15" t="str">
        <f t="shared" si="319"/>
        <v>NO APLICA</v>
      </c>
      <c r="IP97" s="12"/>
      <c r="IQ97" s="16"/>
      <c r="IR97" s="14"/>
      <c r="IS97" s="65"/>
      <c r="IT97" s="15" t="str">
        <f t="shared" si="320"/>
        <v>NO APLICA</v>
      </c>
      <c r="IU97" s="12"/>
      <c r="IV97" s="16"/>
      <c r="IW97" s="14"/>
      <c r="IX97" s="65"/>
      <c r="IY97" s="15" t="str">
        <f t="shared" si="321"/>
        <v>NO APLICA</v>
      </c>
      <c r="IZ97" s="12"/>
      <c r="JA97" s="16"/>
      <c r="JB97" s="14"/>
      <c r="JC97" s="65"/>
      <c r="JD97" s="15" t="str">
        <f t="shared" si="322"/>
        <v>NO APLICA</v>
      </c>
      <c r="JE97" s="13"/>
      <c r="JF97" s="13"/>
      <c r="JG97" s="14"/>
      <c r="JH97" s="65"/>
      <c r="JI97" s="15" t="str">
        <f t="shared" si="323"/>
        <v>NO APLICA</v>
      </c>
      <c r="JJ97" s="16"/>
      <c r="JK97" s="16"/>
      <c r="JL97" s="16"/>
      <c r="JM97" s="15" t="str">
        <f t="shared" si="324"/>
        <v>NO APLICA</v>
      </c>
      <c r="JN97" s="16"/>
      <c r="JO97" s="16"/>
      <c r="JP97" s="16"/>
      <c r="JQ97" s="15" t="str">
        <f t="shared" si="325"/>
        <v>NO APLICA</v>
      </c>
      <c r="JR97" s="16"/>
      <c r="JS97" s="16"/>
      <c r="JT97" s="16"/>
      <c r="JU97" s="16"/>
      <c r="JV97" s="15" t="str">
        <f t="shared" si="326"/>
        <v>NO APLICA</v>
      </c>
      <c r="JW97" s="15"/>
      <c r="JX97" s="15"/>
      <c r="JY97" s="15"/>
      <c r="JZ97" s="15"/>
      <c r="KA97" s="15" t="str">
        <f t="shared" si="327"/>
        <v>NO APLICA</v>
      </c>
      <c r="KB97" s="12"/>
      <c r="KC97" s="14"/>
      <c r="KD97" s="65"/>
      <c r="KE97" s="15" t="str">
        <f t="shared" si="328"/>
        <v>NO APLICA</v>
      </c>
      <c r="KF97" s="12"/>
      <c r="KG97" s="14"/>
      <c r="KH97" s="65"/>
      <c r="KI97" s="15" t="str">
        <f t="shared" si="345"/>
        <v>NO APLICA</v>
      </c>
      <c r="KJ97" s="12"/>
      <c r="KK97" s="14"/>
      <c r="KL97" s="65"/>
      <c r="KM97" s="15" t="str">
        <f t="shared" si="329"/>
        <v>NO APLICA</v>
      </c>
      <c r="KN97" s="12"/>
      <c r="KO97" s="14"/>
      <c r="KP97" s="65"/>
      <c r="KQ97" s="15" t="str">
        <f t="shared" si="346"/>
        <v>NO APLICA</v>
      </c>
      <c r="KR97" s="12"/>
      <c r="KS97" s="16"/>
      <c r="KT97" s="14"/>
      <c r="KU97" s="65"/>
      <c r="KV97" s="15" t="str">
        <f t="shared" si="355"/>
        <v>NO APLICA</v>
      </c>
      <c r="KW97" s="16"/>
      <c r="KX97" s="14"/>
      <c r="KY97" s="65"/>
      <c r="KZ97" s="15" t="str">
        <f t="shared" si="347"/>
        <v>NO APLICA</v>
      </c>
      <c r="LA97" s="16"/>
      <c r="LB97" s="16"/>
      <c r="LC97" s="14"/>
      <c r="LD97" s="65"/>
      <c r="LE97" s="15" t="str">
        <f t="shared" si="330"/>
        <v>NO APLICA</v>
      </c>
      <c r="LF97" s="15"/>
      <c r="LG97" s="15"/>
      <c r="LH97" s="14"/>
      <c r="LI97" s="65"/>
      <c r="LJ97" s="15" t="str">
        <f t="shared" si="356"/>
        <v>NO APLICA</v>
      </c>
      <c r="LK97" s="12"/>
      <c r="LL97" s="16"/>
      <c r="LM97" s="14"/>
      <c r="LN97" s="65"/>
      <c r="LO97" s="15" t="str">
        <f t="shared" si="348"/>
        <v>NO APLICA</v>
      </c>
      <c r="LP97" s="16"/>
      <c r="LQ97" s="16"/>
      <c r="LR97" s="14"/>
      <c r="LS97" s="65"/>
      <c r="LT97" s="15" t="str">
        <f t="shared" si="349"/>
        <v>NO APLICA</v>
      </c>
      <c r="LU97" s="16"/>
      <c r="LV97" s="16"/>
      <c r="LW97" s="14"/>
      <c r="LX97" s="65"/>
      <c r="LY97" s="15" t="str">
        <f t="shared" si="350"/>
        <v>NO APLICA</v>
      </c>
      <c r="LZ97" s="12"/>
      <c r="MA97" s="12"/>
      <c r="MB97" s="14"/>
      <c r="MC97" s="65"/>
      <c r="MD97" s="15" t="str">
        <f t="shared" si="331"/>
        <v>NO APLICA</v>
      </c>
      <c r="ME97" s="12"/>
      <c r="MF97" s="12"/>
      <c r="MG97" s="14"/>
      <c r="MH97" s="65"/>
      <c r="MI97" s="15" t="str">
        <f t="shared" si="332"/>
        <v>NO APLICA</v>
      </c>
      <c r="MJ97" s="12"/>
      <c r="MK97" s="14"/>
      <c r="ML97" s="65"/>
      <c r="MM97" s="15" t="str">
        <f t="shared" si="333"/>
        <v>NO APLICA</v>
      </c>
      <c r="MN97" s="12"/>
      <c r="MO97" s="14"/>
      <c r="MP97" s="12"/>
      <c r="MQ97" s="15" t="str">
        <f t="shared" si="334"/>
        <v>NO APLICA</v>
      </c>
      <c r="MR97" s="12"/>
      <c r="MS97" s="16"/>
      <c r="MT97" s="14"/>
      <c r="MU97" s="65"/>
      <c r="MV97" s="15" t="str">
        <f t="shared" si="335"/>
        <v>NO APLICA</v>
      </c>
      <c r="MW97" s="12"/>
      <c r="MX97" s="16"/>
      <c r="MY97" s="14"/>
      <c r="MZ97" s="65"/>
      <c r="NA97" s="15" t="str">
        <f t="shared" si="336"/>
        <v>NO APLICA</v>
      </c>
      <c r="NB97" s="12"/>
      <c r="NC97" s="16"/>
      <c r="ND97" s="14"/>
      <c r="NE97" s="65"/>
      <c r="NF97" s="15" t="str">
        <f t="shared" si="337"/>
        <v>NO APLICA</v>
      </c>
      <c r="NG97" s="12"/>
      <c r="NH97" s="12"/>
      <c r="NI97" s="14"/>
      <c r="NJ97" s="65"/>
      <c r="NK97" s="15" t="str">
        <f t="shared" si="338"/>
        <v>NO APLICA</v>
      </c>
      <c r="NL97" s="12"/>
      <c r="NM97" s="12"/>
      <c r="NN97" s="14"/>
      <c r="NO97" s="12"/>
      <c r="NP97" s="15" t="str">
        <f t="shared" si="339"/>
        <v>NO APLICA</v>
      </c>
      <c r="NQ97" s="16"/>
      <c r="NR97" s="16"/>
      <c r="NS97" s="14"/>
      <c r="NT97" s="65"/>
      <c r="NU97" s="15" t="str">
        <f t="shared" si="340"/>
        <v>NO APLICA</v>
      </c>
      <c r="NV97" s="16"/>
      <c r="NW97" s="16"/>
      <c r="NX97" s="16"/>
      <c r="NY97" s="16"/>
      <c r="NZ97" s="15" t="str">
        <f t="shared" si="341"/>
        <v>NO APLICA</v>
      </c>
    </row>
    <row r="98" spans="1:390" ht="15.6" thickTop="1" thickBot="1" x14ac:dyDescent="0.35">
      <c r="A98" s="11">
        <v>1724</v>
      </c>
      <c r="B98" s="10" t="s">
        <v>395</v>
      </c>
      <c r="C98" s="21" t="s">
        <v>104</v>
      </c>
      <c r="D98" s="64" t="s">
        <v>110</v>
      </c>
      <c r="E98" s="16"/>
      <c r="F98" s="16"/>
      <c r="G98" s="16"/>
      <c r="H98" s="16"/>
      <c r="I98" s="15" t="str">
        <f t="shared" si="235"/>
        <v>NO APLICA</v>
      </c>
      <c r="J98" s="16"/>
      <c r="K98" s="16"/>
      <c r="L98" s="16"/>
      <c r="M98" s="16"/>
      <c r="N98" s="15" t="str">
        <f t="shared" si="236"/>
        <v>NO APLICA</v>
      </c>
      <c r="O98" s="16"/>
      <c r="P98" s="16"/>
      <c r="Q98" s="16"/>
      <c r="R98" s="16"/>
      <c r="S98" s="15" t="str">
        <f t="shared" si="342"/>
        <v>NO APLICA</v>
      </c>
      <c r="T98" s="16" t="s">
        <v>396</v>
      </c>
      <c r="U98" s="14">
        <v>45308</v>
      </c>
      <c r="V98" s="14">
        <v>45309</v>
      </c>
      <c r="W98" s="14">
        <f t="shared" si="237"/>
        <v>47136</v>
      </c>
      <c r="X98" s="65">
        <f t="shared" ca="1" si="238"/>
        <v>1005</v>
      </c>
      <c r="Y98" s="15" t="str">
        <f t="shared" ca="1" si="239"/>
        <v>VIGENTE</v>
      </c>
      <c r="Z98" s="16" t="s">
        <v>397</v>
      </c>
      <c r="AA98" s="14">
        <v>45576</v>
      </c>
      <c r="AB98" s="14">
        <v>45577</v>
      </c>
      <c r="AC98" s="14">
        <f>DATE(YEAR(AB98)+5,MONTH(AB98),DAY(AB98))</f>
        <v>47403</v>
      </c>
      <c r="AD98" s="65">
        <f ca="1">AC98-TODAY()</f>
        <v>1272</v>
      </c>
      <c r="AE98" s="15" t="str">
        <f t="shared" ca="1" si="389"/>
        <v>VIGENTE</v>
      </c>
      <c r="AF98" s="14">
        <v>45314</v>
      </c>
      <c r="AG98" s="14">
        <v>46006</v>
      </c>
      <c r="AH98" s="14">
        <f>DATE(YEAR(AG98)+2,MONTH(AG98),DAY(AG98))</f>
        <v>46736</v>
      </c>
      <c r="AI98" s="65">
        <f t="shared" ca="1" si="241"/>
        <v>605</v>
      </c>
      <c r="AJ98" s="15" t="str">
        <f t="shared" ca="1" si="213"/>
        <v>VIGENTE</v>
      </c>
      <c r="AK98" s="14">
        <v>45307</v>
      </c>
      <c r="AL98" s="14">
        <v>45959</v>
      </c>
      <c r="AM98" s="14">
        <f>DATE(YEAR(AL98)+2,MONTH(AL98),DAY(AL98))</f>
        <v>46689</v>
      </c>
      <c r="AN98" s="65">
        <f t="shared" ca="1" si="242"/>
        <v>558</v>
      </c>
      <c r="AO98" s="15" t="str">
        <f t="shared" ca="1" si="243"/>
        <v>VIGENTE</v>
      </c>
      <c r="AP98" s="16"/>
      <c r="AQ98" s="14">
        <v>46048</v>
      </c>
      <c r="AR98" s="14">
        <f>DATE(YEAR(AQ98)+2,MONTH(AQ98),DAY(AQ98))</f>
        <v>46778</v>
      </c>
      <c r="AS98" s="65">
        <f t="shared" ca="1" si="244"/>
        <v>647</v>
      </c>
      <c r="AT98" s="15" t="str">
        <f t="shared" ca="1" si="245"/>
        <v>VIGENTE</v>
      </c>
      <c r="AU98" s="14">
        <v>45323</v>
      </c>
      <c r="AV98" s="14">
        <v>45972</v>
      </c>
      <c r="AW98" s="14">
        <f>DATE(YEAR(AV98)+2,MONTH(AV98),DAY(AV98))</f>
        <v>46702</v>
      </c>
      <c r="AX98" s="65">
        <f t="shared" ca="1" si="246"/>
        <v>571</v>
      </c>
      <c r="AY98" s="15" t="str">
        <f t="shared" ca="1" si="247"/>
        <v>VIGENTE</v>
      </c>
      <c r="AZ98" s="13">
        <v>45387</v>
      </c>
      <c r="BA98" s="14">
        <v>46041</v>
      </c>
      <c r="BB98" s="14">
        <f>DATE(YEAR(BA98)+2,MONTH(BA98),DAY(BA98))</f>
        <v>46771</v>
      </c>
      <c r="BC98" s="65">
        <f t="shared" ca="1" si="248"/>
        <v>640</v>
      </c>
      <c r="BD98" s="15" t="str">
        <f t="shared" ca="1" si="249"/>
        <v>VIGENTE</v>
      </c>
      <c r="BE98" s="16"/>
      <c r="BF98" s="14">
        <v>45987</v>
      </c>
      <c r="BG98" s="14">
        <f>DATE(YEAR(BF98)+2,MONTH(BF98),DAY(BF98))</f>
        <v>46717</v>
      </c>
      <c r="BH98" s="65">
        <f t="shared" ca="1" si="250"/>
        <v>586</v>
      </c>
      <c r="BI98" s="15" t="str">
        <f t="shared" ca="1" si="251"/>
        <v>VIGENTE</v>
      </c>
      <c r="BJ98" s="14"/>
      <c r="BK98" s="14">
        <v>46056</v>
      </c>
      <c r="BL98" s="14">
        <f>DATE(YEAR(BK98)+2,MONTH(BK98),DAY(BK98))</f>
        <v>46786</v>
      </c>
      <c r="BM98" s="65">
        <f t="shared" ca="1" si="252"/>
        <v>655</v>
      </c>
      <c r="BN98" s="15" t="str">
        <f t="shared" ca="1" si="253"/>
        <v>VIGENTE</v>
      </c>
      <c r="BO98" s="14"/>
      <c r="BP98" s="14">
        <v>45988</v>
      </c>
      <c r="BQ98" s="14">
        <f>DATE(YEAR(BP98)+2,MONTH(BP98),DAY(BP98))</f>
        <v>46718</v>
      </c>
      <c r="BR98" s="65">
        <f t="shared" ca="1" si="254"/>
        <v>587</v>
      </c>
      <c r="BS98" s="15" t="str">
        <f t="shared" ca="1" si="255"/>
        <v>VIGENTE</v>
      </c>
      <c r="BT98" s="13">
        <v>45362</v>
      </c>
      <c r="BU98" s="14">
        <v>46031</v>
      </c>
      <c r="BV98" s="14">
        <f>DATE(YEAR(BU98)+2,MONTH(BU98),DAY(BU98))</f>
        <v>46761</v>
      </c>
      <c r="BW98" s="65">
        <f t="shared" ca="1" si="256"/>
        <v>630</v>
      </c>
      <c r="BX98" s="15" t="str">
        <f t="shared" ca="1" si="257"/>
        <v>VIGENTE</v>
      </c>
      <c r="BY98" s="14">
        <v>45347</v>
      </c>
      <c r="BZ98" s="14">
        <v>45974</v>
      </c>
      <c r="CA98" s="14">
        <f>DATE(YEAR(BZ98)+2,MONTH(BZ98),DAY(BZ98))</f>
        <v>46704</v>
      </c>
      <c r="CB98" s="65">
        <f t="shared" ca="1" si="258"/>
        <v>573</v>
      </c>
      <c r="CC98" s="15" t="str">
        <f t="shared" ca="1" si="259"/>
        <v>VIGENTE</v>
      </c>
      <c r="CD98" s="16" t="s">
        <v>108</v>
      </c>
      <c r="CE98" s="14">
        <v>45564</v>
      </c>
      <c r="CF98" s="14">
        <v>45565</v>
      </c>
      <c r="CG98" s="14">
        <f t="shared" si="377"/>
        <v>47026</v>
      </c>
      <c r="CH98" s="65">
        <f t="shared" ca="1" si="378"/>
        <v>895</v>
      </c>
      <c r="CI98" s="15" t="str">
        <f t="shared" ca="1" si="262"/>
        <v>VIGENTE</v>
      </c>
      <c r="CJ98" s="14">
        <v>45363</v>
      </c>
      <c r="CK98" s="14">
        <v>46018</v>
      </c>
      <c r="CL98" s="14">
        <f>DATE(YEAR(CK98)+2,MONTH(CK98),DAY(CK98))</f>
        <v>46748</v>
      </c>
      <c r="CM98" s="65">
        <f t="shared" ca="1" si="263"/>
        <v>617</v>
      </c>
      <c r="CN98" s="15" t="str">
        <f t="shared" ca="1" si="264"/>
        <v>VIGENTE</v>
      </c>
      <c r="CO98" s="14">
        <v>45379</v>
      </c>
      <c r="CP98" s="14">
        <v>46038</v>
      </c>
      <c r="CQ98" s="14">
        <f>DATE(YEAR(CP98)+2,MONTH(CP98),DAY(CP98))</f>
        <v>46768</v>
      </c>
      <c r="CR98" s="65">
        <f t="shared" ca="1" si="265"/>
        <v>637</v>
      </c>
      <c r="CS98" s="15" t="str">
        <f t="shared" ca="1" si="266"/>
        <v>VIGENTE</v>
      </c>
      <c r="CT98" s="14">
        <v>45361</v>
      </c>
      <c r="CU98" s="14">
        <v>46043</v>
      </c>
      <c r="CV98" s="14">
        <f>DATE(YEAR(CU98)+2,MONTH(CU98),DAY(CU98))</f>
        <v>46773</v>
      </c>
      <c r="CW98" s="65">
        <f t="shared" ca="1" si="267"/>
        <v>642</v>
      </c>
      <c r="CX98" s="15" t="str">
        <f t="shared" ca="1" si="268"/>
        <v>VIGENTE</v>
      </c>
      <c r="CY98" s="14"/>
      <c r="CZ98" s="14">
        <v>45646</v>
      </c>
      <c r="DA98" s="14">
        <f t="shared" si="390"/>
        <v>46375</v>
      </c>
      <c r="DB98" s="65">
        <f t="shared" ca="1" si="269"/>
        <v>244</v>
      </c>
      <c r="DC98" s="15" t="str">
        <f t="shared" ca="1" si="270"/>
        <v>VIGENTE</v>
      </c>
      <c r="DD98" s="14">
        <v>45365</v>
      </c>
      <c r="DE98" s="14">
        <v>45996</v>
      </c>
      <c r="DF98" s="14">
        <f>DATE(YEAR(DE98)+2,MONTH(DE98),DAY(DE98))</f>
        <v>46726</v>
      </c>
      <c r="DG98" s="65">
        <f t="shared" ca="1" si="271"/>
        <v>595</v>
      </c>
      <c r="DH98" s="15" t="str">
        <f t="shared" ca="1" si="272"/>
        <v>VIGENTE</v>
      </c>
      <c r="DI98" s="14">
        <v>45386</v>
      </c>
      <c r="DJ98" s="14">
        <v>46073</v>
      </c>
      <c r="DK98" s="14">
        <f>DATE(YEAR(DJ98)+2,MONTH(DJ98),DAY(DJ98))</f>
        <v>46803</v>
      </c>
      <c r="DL98" s="65">
        <f t="shared" ca="1" si="273"/>
        <v>672</v>
      </c>
      <c r="DM98" s="15" t="str">
        <f t="shared" ca="1" si="274"/>
        <v>VIGENTE</v>
      </c>
      <c r="DN98" s="14"/>
      <c r="DO98" s="14">
        <v>46046</v>
      </c>
      <c r="DP98" s="14">
        <f>DATE(YEAR(DO98)+2,MONTH(DO98),DAY(DO98))</f>
        <v>46776</v>
      </c>
      <c r="DQ98" s="65">
        <f t="shared" ca="1" si="275"/>
        <v>645</v>
      </c>
      <c r="DR98" s="15" t="str">
        <f t="shared" ca="1" si="276"/>
        <v>VIGENTE</v>
      </c>
      <c r="DS98" s="16"/>
      <c r="DT98" s="14">
        <v>46072</v>
      </c>
      <c r="DU98" s="14">
        <f>DATE(YEAR(DT98)+2,MONTH(DT98),DAY(DT98))</f>
        <v>46802</v>
      </c>
      <c r="DV98" s="65">
        <f t="shared" ca="1" si="277"/>
        <v>671</v>
      </c>
      <c r="DW98" s="15" t="str">
        <f t="shared" ca="1" si="278"/>
        <v>VIGENTE</v>
      </c>
      <c r="DX98" s="14">
        <v>45355</v>
      </c>
      <c r="DY98" s="14">
        <v>46032</v>
      </c>
      <c r="DZ98" s="14">
        <f>DATE(YEAR(DY98)+2,MONTH(DY98),DAY(DY98))</f>
        <v>46762</v>
      </c>
      <c r="EA98" s="65">
        <f t="shared" ca="1" si="279"/>
        <v>631</v>
      </c>
      <c r="EB98" s="15" t="str">
        <f t="shared" ca="1" si="280"/>
        <v>VIGENTE</v>
      </c>
      <c r="EC98" s="14"/>
      <c r="ED98" s="14">
        <v>45462</v>
      </c>
      <c r="EE98" s="14">
        <f>DATE(YEAR(ED98)+2,MONTH(ED98),DAY(ED98)-1)</f>
        <v>46191</v>
      </c>
      <c r="EF98" s="65">
        <f t="shared" ca="1" si="281"/>
        <v>60</v>
      </c>
      <c r="EG98" s="15" t="str">
        <f t="shared" ca="1" si="282"/>
        <v>POR VENCER</v>
      </c>
      <c r="EH98" s="14">
        <v>45350</v>
      </c>
      <c r="EI98" s="13">
        <v>45806</v>
      </c>
      <c r="EJ98" s="13">
        <v>45807</v>
      </c>
      <c r="EK98" s="14">
        <v>45808</v>
      </c>
      <c r="EL98" s="14">
        <f t="shared" si="344"/>
        <v>46173</v>
      </c>
      <c r="EM98" s="65">
        <f t="shared" ca="1" si="283"/>
        <v>42</v>
      </c>
      <c r="EN98" s="15" t="str">
        <f t="shared" ca="1" si="284"/>
        <v>POR VENCER</v>
      </c>
      <c r="EO98" s="13">
        <v>45346</v>
      </c>
      <c r="EP98" s="14">
        <v>45983</v>
      </c>
      <c r="EQ98" s="14">
        <f>DATE(YEAR(EP98)+2,MONTH(EP98),DAY(EP98))</f>
        <v>46713</v>
      </c>
      <c r="ER98" s="65">
        <f t="shared" ca="1" si="285"/>
        <v>582</v>
      </c>
      <c r="ES98" s="15" t="str">
        <f t="shared" ca="1" si="286"/>
        <v>VIGENTE</v>
      </c>
      <c r="ET98" s="16"/>
      <c r="EU98" s="14">
        <v>45999</v>
      </c>
      <c r="EV98" s="14">
        <f>DATE(YEAR(EU98)+2,MONTH(EU98),DAY(EU98))</f>
        <v>46729</v>
      </c>
      <c r="EW98" s="65">
        <f t="shared" ca="1" si="287"/>
        <v>598</v>
      </c>
      <c r="EX98" s="15" t="str">
        <f t="shared" ca="1" si="288"/>
        <v>VIGENTE</v>
      </c>
      <c r="EY98" s="13">
        <v>45360</v>
      </c>
      <c r="EZ98" s="14">
        <v>46037</v>
      </c>
      <c r="FA98" s="14">
        <f>DATE(YEAR(EZ98)+2,MONTH(EZ98),DAY(EZ98))</f>
        <v>46767</v>
      </c>
      <c r="FB98" s="65">
        <f t="shared" ca="1" si="289"/>
        <v>636</v>
      </c>
      <c r="FC98" s="15" t="str">
        <f t="shared" ca="1" si="290"/>
        <v>VIGENTE</v>
      </c>
      <c r="FD98" s="16"/>
      <c r="FE98" s="14">
        <v>46091</v>
      </c>
      <c r="FF98" s="14">
        <f>DATE(YEAR(FE98)+2,MONTH(FE98),DAY(FE98))</f>
        <v>46822</v>
      </c>
      <c r="FG98" s="65">
        <f t="shared" ca="1" si="291"/>
        <v>691</v>
      </c>
      <c r="FH98" s="15" t="str">
        <f t="shared" ca="1" si="292"/>
        <v>VIGENTE</v>
      </c>
      <c r="FI98" s="16"/>
      <c r="FJ98" s="14">
        <v>45506</v>
      </c>
      <c r="FK98" s="14">
        <f>DATE(YEAR(FJ98)+2,MONTH(FJ98),DAY(FJ98)-1)</f>
        <v>46235</v>
      </c>
      <c r="FL98" s="65">
        <f t="shared" ca="1" si="293"/>
        <v>104</v>
      </c>
      <c r="FM98" s="15" t="str">
        <f t="shared" ca="1" si="294"/>
        <v>VIGENTE</v>
      </c>
      <c r="FN98" s="14"/>
      <c r="FO98" s="14">
        <v>46049</v>
      </c>
      <c r="FP98" s="14">
        <f>DATE(YEAR(FO98)+2,MONTH(FO98),DAY(FO98))</f>
        <v>46779</v>
      </c>
      <c r="FQ98" s="65">
        <f t="shared" ca="1" si="295"/>
        <v>648</v>
      </c>
      <c r="FR98" s="15" t="str">
        <f t="shared" ca="1" si="296"/>
        <v>VIGENTE</v>
      </c>
      <c r="FS98" s="14"/>
      <c r="FT98" s="14">
        <v>46057</v>
      </c>
      <c r="FU98" s="14">
        <f>DATE(YEAR(FT98)+2,MONTH(FT98),DAY(FT98))</f>
        <v>46787</v>
      </c>
      <c r="FV98" s="65">
        <f t="shared" ca="1" si="297"/>
        <v>656</v>
      </c>
      <c r="FW98" s="15" t="str">
        <f t="shared" ca="1" si="298"/>
        <v>VIGENTE</v>
      </c>
      <c r="FX98" s="14"/>
      <c r="FY98" s="14">
        <v>45587</v>
      </c>
      <c r="FZ98" s="14">
        <f t="shared" si="391"/>
        <v>46316</v>
      </c>
      <c r="GA98" s="65">
        <f t="shared" ca="1" si="299"/>
        <v>185</v>
      </c>
      <c r="GB98" s="15" t="str">
        <f t="shared" ca="1" si="300"/>
        <v>VIGENTE</v>
      </c>
      <c r="GC98" s="14">
        <v>45396</v>
      </c>
      <c r="GD98" s="14">
        <v>46030</v>
      </c>
      <c r="GE98" s="14">
        <f>DATE(YEAR(GD98)+2,MONTH(GD98),DAY(GD98))</f>
        <v>46760</v>
      </c>
      <c r="GF98" s="65">
        <f t="shared" ca="1" si="301"/>
        <v>629</v>
      </c>
      <c r="GG98" s="15" t="str">
        <f t="shared" ca="1" si="302"/>
        <v>VIGENTE</v>
      </c>
      <c r="GH98" s="14"/>
      <c r="GI98" s="14">
        <v>46079</v>
      </c>
      <c r="GJ98" s="14">
        <f>DATE(YEAR(GI98)+2,MONTH(GI98),DAY(GI98))</f>
        <v>46809</v>
      </c>
      <c r="GK98" s="65">
        <f t="shared" ca="1" si="303"/>
        <v>678</v>
      </c>
      <c r="GL98" s="15" t="str">
        <f t="shared" ca="1" si="304"/>
        <v>VIGENTE</v>
      </c>
      <c r="GM98" s="13">
        <v>45368</v>
      </c>
      <c r="GN98" s="14">
        <v>46044</v>
      </c>
      <c r="GO98" s="14">
        <f>DATE(YEAR(GN98)+2,MONTH(GN98),DAY(GN98))</f>
        <v>46774</v>
      </c>
      <c r="GP98" s="65">
        <f t="shared" ca="1" si="305"/>
        <v>643</v>
      </c>
      <c r="GQ98" s="15" t="str">
        <f t="shared" ca="1" si="306"/>
        <v>VIGENTE</v>
      </c>
      <c r="GR98" s="14"/>
      <c r="GS98" s="14">
        <v>45367</v>
      </c>
      <c r="GT98" s="14">
        <f t="shared" si="307"/>
        <v>47193</v>
      </c>
      <c r="GU98" s="65">
        <f t="shared" ca="1" si="374"/>
        <v>1062</v>
      </c>
      <c r="GV98" s="15" t="str">
        <f t="shared" ca="1" si="368"/>
        <v>VIGENTE</v>
      </c>
      <c r="GW98" s="14"/>
      <c r="GX98" s="14">
        <v>45507</v>
      </c>
      <c r="GY98" s="14">
        <f t="shared" si="309"/>
        <v>47333</v>
      </c>
      <c r="GZ98" s="65">
        <f t="shared" ca="1" si="310"/>
        <v>1202</v>
      </c>
      <c r="HA98" s="15" t="str">
        <f t="shared" ca="1" si="369"/>
        <v>VIGENTE</v>
      </c>
      <c r="HB98" s="16"/>
      <c r="HC98" s="16"/>
      <c r="HD98" s="14">
        <f t="shared" si="312"/>
        <v>1827</v>
      </c>
      <c r="HE98" s="65">
        <f t="shared" ca="1" si="313"/>
        <v>-44304</v>
      </c>
      <c r="HF98" s="15" t="str">
        <f ca="1">IF(HE98&gt;=61,"VIGENTE",IF(HE98&gt;=1,"POR VENCER",IF(HE98&lt;=-1,"PROGRAMAR",IF(HC98=0,"NO APLICA"))))</f>
        <v>PROGRAMAR</v>
      </c>
      <c r="HG98" s="16"/>
      <c r="HH98" s="16"/>
      <c r="HI98" s="14">
        <f t="shared" ref="HI98:HI103" si="392">DATE(YEAR(HH98)+5,MONTH(HH98),DAY(HH98))</f>
        <v>1827</v>
      </c>
      <c r="HJ98" s="65">
        <f t="shared" ref="HJ98:HJ103" ca="1" si="393">HI98-TODAY()</f>
        <v>-44304</v>
      </c>
      <c r="HK98" s="15" t="str">
        <f ca="1">IF(HJ98&gt;=61,"VIGENTE",IF(HJ98&gt;=1,"POR VENCER",IF(HJ98&lt;=-1,"PROGRAMAR",IF(HH98=0,"NO APLICA"))))</f>
        <v>PROGRAMAR</v>
      </c>
      <c r="HL98" s="16"/>
      <c r="HM98" s="16"/>
      <c r="HN98" s="14"/>
      <c r="HO98" s="65"/>
      <c r="HP98" s="15" t="str">
        <f t="shared" si="375"/>
        <v>NO APLICA</v>
      </c>
      <c r="HQ98" s="12"/>
      <c r="HR98" s="12"/>
      <c r="HS98" s="14"/>
      <c r="HT98" s="12"/>
      <c r="HU98" s="15" t="str">
        <f t="shared" si="315"/>
        <v>NO APLICA</v>
      </c>
      <c r="HV98" s="16"/>
      <c r="HW98" s="16"/>
      <c r="HX98" s="14"/>
      <c r="HY98" s="65"/>
      <c r="HZ98" s="15" t="str">
        <f t="shared" si="316"/>
        <v>NO APLICA</v>
      </c>
      <c r="IA98" s="16"/>
      <c r="IB98" s="16"/>
      <c r="IC98" s="14"/>
      <c r="ID98" s="65"/>
      <c r="IE98" s="15" t="str">
        <f t="shared" si="317"/>
        <v>NO APLICA</v>
      </c>
      <c r="IF98" s="16"/>
      <c r="IG98" s="14"/>
      <c r="IH98" s="14"/>
      <c r="II98" s="65"/>
      <c r="IJ98" s="15" t="str">
        <f t="shared" si="318"/>
        <v>NO APLICA</v>
      </c>
      <c r="IK98" s="16"/>
      <c r="IL98" s="16"/>
      <c r="IM98" s="14"/>
      <c r="IN98" s="16"/>
      <c r="IO98" s="15" t="str">
        <f t="shared" si="319"/>
        <v>NO APLICA</v>
      </c>
      <c r="IP98" s="16"/>
      <c r="IQ98" s="16"/>
      <c r="IR98" s="14"/>
      <c r="IS98" s="65"/>
      <c r="IT98" s="15" t="str">
        <f t="shared" si="320"/>
        <v>NO APLICA</v>
      </c>
      <c r="IU98" s="16"/>
      <c r="IV98" s="14">
        <v>45402</v>
      </c>
      <c r="IW98" s="14">
        <f>DATE(YEAR(IV98)+5,MONTH(IV98),DAY(IV98))</f>
        <v>47228</v>
      </c>
      <c r="IX98" s="65">
        <f ca="1">IW98-TODAY()</f>
        <v>1097</v>
      </c>
      <c r="IY98" s="15" t="str">
        <f t="shared" ca="1" si="321"/>
        <v>VIGENTE</v>
      </c>
      <c r="IZ98" s="16"/>
      <c r="JA98" s="16"/>
      <c r="JB98" s="14"/>
      <c r="JC98" s="65"/>
      <c r="JD98" s="15" t="str">
        <f t="shared" si="322"/>
        <v>NO APLICA</v>
      </c>
      <c r="JE98" s="13"/>
      <c r="JF98" s="13"/>
      <c r="JG98" s="14"/>
      <c r="JH98" s="65"/>
      <c r="JI98" s="15" t="str">
        <f t="shared" si="323"/>
        <v>NO APLICA</v>
      </c>
      <c r="JJ98" s="16"/>
      <c r="JK98" s="16"/>
      <c r="JL98" s="16"/>
      <c r="JM98" s="15" t="str">
        <f t="shared" si="324"/>
        <v>NO APLICA</v>
      </c>
      <c r="JN98" s="16"/>
      <c r="JO98" s="16"/>
      <c r="JP98" s="16"/>
      <c r="JQ98" s="15" t="str">
        <f t="shared" si="325"/>
        <v>NO APLICA</v>
      </c>
      <c r="JR98" s="16"/>
      <c r="JS98" s="16"/>
      <c r="JT98" s="16"/>
      <c r="JU98" s="16"/>
      <c r="JV98" s="15" t="str">
        <f t="shared" si="326"/>
        <v>NO APLICA</v>
      </c>
      <c r="JW98" s="15"/>
      <c r="JX98" s="15"/>
      <c r="JY98" s="15"/>
      <c r="JZ98" s="15"/>
      <c r="KA98" s="15" t="str">
        <f t="shared" si="327"/>
        <v>NO APLICA</v>
      </c>
      <c r="KB98" s="12"/>
      <c r="KC98" s="14"/>
      <c r="KD98" s="65"/>
      <c r="KE98" s="15" t="str">
        <f t="shared" si="328"/>
        <v>NO APLICA</v>
      </c>
      <c r="KF98" s="13">
        <v>45328</v>
      </c>
      <c r="KG98" s="14">
        <f>DATE(YEAR(KF98)+5,MONTH(KF98),DAY(KF98)-1)</f>
        <v>47154</v>
      </c>
      <c r="KH98" s="65">
        <f ca="1">KG98-TODAY()</f>
        <v>1023</v>
      </c>
      <c r="KI98" s="15" t="str">
        <f t="shared" ca="1" si="345"/>
        <v>VIGENTE</v>
      </c>
      <c r="KJ98" s="12"/>
      <c r="KK98" s="14"/>
      <c r="KL98" s="65"/>
      <c r="KM98" s="15" t="str">
        <f t="shared" si="329"/>
        <v>NO APLICA</v>
      </c>
      <c r="KN98" s="13">
        <v>45346</v>
      </c>
      <c r="KO98" s="14">
        <f>DATE(YEAR(KN98)+5,MONTH(KN98),DAY(KN98))</f>
        <v>47173</v>
      </c>
      <c r="KP98" s="65">
        <f ca="1">KO98-TODAY()</f>
        <v>1042</v>
      </c>
      <c r="KQ98" s="15" t="str">
        <f t="shared" ca="1" si="346"/>
        <v>VIGENTE</v>
      </c>
      <c r="KR98" s="16"/>
      <c r="KS98" s="16"/>
      <c r="KT98" s="14"/>
      <c r="KU98" s="16"/>
      <c r="KV98" s="15" t="str">
        <f t="shared" si="355"/>
        <v>NO APLICA</v>
      </c>
      <c r="KW98" s="16"/>
      <c r="KX98" s="14"/>
      <c r="KY98" s="16"/>
      <c r="KZ98" s="15" t="str">
        <f t="shared" si="347"/>
        <v>NO APLICA</v>
      </c>
      <c r="LA98" s="16"/>
      <c r="LB98" s="14">
        <v>45516</v>
      </c>
      <c r="LC98" s="14">
        <f>DATE(YEAR(LB98)+2,MONTH(LB98),DAY(LB98))</f>
        <v>46246</v>
      </c>
      <c r="LD98" s="65">
        <f ca="1">LC98-TODAY()</f>
        <v>115</v>
      </c>
      <c r="LE98" s="15" t="str">
        <f t="shared" ca="1" si="330"/>
        <v>VIGENTE</v>
      </c>
      <c r="LF98" s="15"/>
      <c r="LG98" s="15"/>
      <c r="LH98" s="14"/>
      <c r="LI98" s="65"/>
      <c r="LJ98" s="15" t="str">
        <f t="shared" si="356"/>
        <v>NO APLICA</v>
      </c>
      <c r="LK98" s="16"/>
      <c r="LL98" s="16"/>
      <c r="LM98" s="14"/>
      <c r="LN98" s="65"/>
      <c r="LO98" s="15" t="str">
        <f t="shared" si="348"/>
        <v>NO APLICA</v>
      </c>
      <c r="LP98" s="16"/>
      <c r="LQ98" s="16"/>
      <c r="LR98" s="14"/>
      <c r="LS98" s="16"/>
      <c r="LT98" s="15" t="str">
        <f t="shared" si="349"/>
        <v>NO APLICA</v>
      </c>
      <c r="LU98" s="16"/>
      <c r="LV98" s="16"/>
      <c r="LW98" s="14"/>
      <c r="LX98" s="16"/>
      <c r="LY98" s="15" t="str">
        <f t="shared" si="350"/>
        <v>NO APLICA</v>
      </c>
      <c r="LZ98" s="16"/>
      <c r="MA98" s="16"/>
      <c r="MB98" s="14"/>
      <c r="MC98" s="16"/>
      <c r="MD98" s="15" t="str">
        <f t="shared" si="331"/>
        <v>NO APLICA</v>
      </c>
      <c r="ME98" s="16"/>
      <c r="MF98" s="16"/>
      <c r="MG98" s="14"/>
      <c r="MH98" s="16"/>
      <c r="MI98" s="15" t="str">
        <f t="shared" si="332"/>
        <v>NO APLICA</v>
      </c>
      <c r="MJ98" s="16"/>
      <c r="MK98" s="14"/>
      <c r="ML98" s="16"/>
      <c r="MM98" s="15" t="str">
        <f t="shared" si="333"/>
        <v>NO APLICA</v>
      </c>
      <c r="MN98" s="16"/>
      <c r="MO98" s="16"/>
      <c r="MP98" s="16"/>
      <c r="MQ98" s="15" t="str">
        <f t="shared" si="334"/>
        <v>NO APLICA</v>
      </c>
      <c r="MR98" s="16"/>
      <c r="MS98" s="16"/>
      <c r="MT98" s="14"/>
      <c r="MU98" s="16"/>
      <c r="MV98" s="15" t="str">
        <f t="shared" si="335"/>
        <v>NO APLICA</v>
      </c>
      <c r="MW98" s="16"/>
      <c r="MX98" s="16"/>
      <c r="MY98" s="14"/>
      <c r="MZ98" s="16"/>
      <c r="NA98" s="15" t="str">
        <f t="shared" si="336"/>
        <v>NO APLICA</v>
      </c>
      <c r="NB98" s="16"/>
      <c r="NC98" s="16"/>
      <c r="ND98" s="14"/>
      <c r="NE98" s="16"/>
      <c r="NF98" s="15" t="str">
        <f t="shared" si="337"/>
        <v>NO APLICA</v>
      </c>
      <c r="NG98" s="16"/>
      <c r="NH98" s="16"/>
      <c r="NI98" s="14"/>
      <c r="NJ98" s="16"/>
      <c r="NK98" s="15" t="str">
        <f t="shared" si="338"/>
        <v>NO APLICA</v>
      </c>
      <c r="NL98" s="16"/>
      <c r="NM98" s="16"/>
      <c r="NN98" s="14"/>
      <c r="NO98" s="16"/>
      <c r="NP98" s="15" t="str">
        <f t="shared" si="339"/>
        <v>NO APLICA</v>
      </c>
      <c r="NQ98" s="16"/>
      <c r="NR98" s="16"/>
      <c r="NS98" s="14"/>
      <c r="NT98" s="65"/>
      <c r="NU98" s="15" t="str">
        <f t="shared" si="340"/>
        <v>NO APLICA</v>
      </c>
      <c r="NV98" s="16"/>
      <c r="NW98" s="16"/>
      <c r="NX98" s="16"/>
      <c r="NY98" s="16"/>
      <c r="NZ98" s="15" t="str">
        <f t="shared" si="341"/>
        <v>NO APLICA</v>
      </c>
    </row>
    <row r="99" spans="1:390" ht="15.6" thickTop="1" thickBot="1" x14ac:dyDescent="0.35">
      <c r="A99" s="9">
        <v>996</v>
      </c>
      <c r="B99" s="10" t="s">
        <v>398</v>
      </c>
      <c r="C99" s="21" t="s">
        <v>104</v>
      </c>
      <c r="D99" s="64" t="s">
        <v>160</v>
      </c>
      <c r="E99" s="15"/>
      <c r="F99" s="16"/>
      <c r="G99" s="14"/>
      <c r="H99" s="65"/>
      <c r="I99" s="15" t="str">
        <f t="shared" si="235"/>
        <v>NO APLICA</v>
      </c>
      <c r="J99" s="15"/>
      <c r="K99" s="16"/>
      <c r="L99" s="16"/>
      <c r="M99" s="65"/>
      <c r="N99" s="15" t="str">
        <f t="shared" si="236"/>
        <v>NO APLICA</v>
      </c>
      <c r="O99" s="16"/>
      <c r="P99" s="16"/>
      <c r="Q99" s="14"/>
      <c r="R99" s="65"/>
      <c r="S99" s="15" t="str">
        <f t="shared" si="342"/>
        <v>NO APLICA</v>
      </c>
      <c r="T99" s="12" t="s">
        <v>399</v>
      </c>
      <c r="U99" s="13">
        <v>45499</v>
      </c>
      <c r="V99" s="14">
        <v>45500</v>
      </c>
      <c r="W99" s="14">
        <f t="shared" si="237"/>
        <v>47326</v>
      </c>
      <c r="X99" s="65">
        <f t="shared" ca="1" si="238"/>
        <v>1195</v>
      </c>
      <c r="Y99" s="15" t="str">
        <f t="shared" ca="1" si="239"/>
        <v>VIGENTE</v>
      </c>
      <c r="Z99" s="12" t="s">
        <v>400</v>
      </c>
      <c r="AA99" s="13">
        <v>44602</v>
      </c>
      <c r="AB99" s="14">
        <v>44603</v>
      </c>
      <c r="AC99" s="14">
        <f>DATE(YEAR(AB99)+5,MONTH(AB99),DAY(AB99))</f>
        <v>46429</v>
      </c>
      <c r="AD99" s="65">
        <f ca="1">AC99-TODAY()</f>
        <v>298</v>
      </c>
      <c r="AE99" s="15" t="str">
        <f t="shared" ca="1" si="389"/>
        <v>VIGENTE</v>
      </c>
      <c r="AF99" s="13">
        <v>45228</v>
      </c>
      <c r="AG99" s="14">
        <v>45902</v>
      </c>
      <c r="AH99" s="14">
        <f>DATE(YEAR(AG99)+2,MONTH(AG99),DAY(AG99))</f>
        <v>46632</v>
      </c>
      <c r="AI99" s="65">
        <f t="shared" ca="1" si="241"/>
        <v>501</v>
      </c>
      <c r="AJ99" s="15" t="str">
        <f t="shared" ca="1" si="213"/>
        <v>VIGENTE</v>
      </c>
      <c r="AK99" s="13">
        <v>45269</v>
      </c>
      <c r="AL99" s="14">
        <v>45926</v>
      </c>
      <c r="AM99" s="14">
        <f>DATE(YEAR(AL99)+2,MONTH(AL99),DAY(AL99))</f>
        <v>46656</v>
      </c>
      <c r="AN99" s="65">
        <f t="shared" ca="1" si="242"/>
        <v>525</v>
      </c>
      <c r="AO99" s="15" t="str">
        <f t="shared" ca="1" si="243"/>
        <v>VIGENTE</v>
      </c>
      <c r="AP99" s="13">
        <v>45226</v>
      </c>
      <c r="AQ99" s="14">
        <v>45904</v>
      </c>
      <c r="AR99" s="14">
        <f>DATE(YEAR(AQ99)+2,MONTH(AQ99),DAY(AQ99))</f>
        <v>46634</v>
      </c>
      <c r="AS99" s="65">
        <f t="shared" ca="1" si="244"/>
        <v>503</v>
      </c>
      <c r="AT99" s="15" t="str">
        <f t="shared" ca="1" si="245"/>
        <v>VIGENTE</v>
      </c>
      <c r="AU99" s="13">
        <v>44659</v>
      </c>
      <c r="AV99" s="14">
        <v>45990</v>
      </c>
      <c r="AW99" s="14">
        <f>DATE(YEAR(AV99)+2,MONTH(AV99),DAY(AV99))</f>
        <v>46720</v>
      </c>
      <c r="AX99" s="65">
        <f t="shared" ca="1" si="246"/>
        <v>589</v>
      </c>
      <c r="AY99" s="15" t="str">
        <f t="shared" ca="1" si="247"/>
        <v>VIGENTE</v>
      </c>
      <c r="AZ99" s="13">
        <v>45289</v>
      </c>
      <c r="BA99" s="14">
        <v>45980</v>
      </c>
      <c r="BB99" s="14">
        <f>DATE(YEAR(BA99)+2,MONTH(BA99),DAY(BA99))</f>
        <v>46710</v>
      </c>
      <c r="BC99" s="65">
        <f t="shared" ca="1" si="248"/>
        <v>579</v>
      </c>
      <c r="BD99" s="15" t="str">
        <f t="shared" ca="1" si="249"/>
        <v>VIGENTE</v>
      </c>
      <c r="BE99" s="13">
        <v>44685</v>
      </c>
      <c r="BF99" s="14">
        <v>45987</v>
      </c>
      <c r="BG99" s="14">
        <f>DATE(YEAR(BF99)+2,MONTH(BF99),DAY(BF99))</f>
        <v>46717</v>
      </c>
      <c r="BH99" s="65">
        <f t="shared" ca="1" si="250"/>
        <v>586</v>
      </c>
      <c r="BI99" s="15" t="str">
        <f t="shared" ca="1" si="251"/>
        <v>VIGENTE</v>
      </c>
      <c r="BJ99" s="13">
        <v>45389</v>
      </c>
      <c r="BK99" s="14">
        <v>46035</v>
      </c>
      <c r="BL99" s="14">
        <f>DATE(YEAR(BK99)+2,MONTH(BK99),DAY(BK99))</f>
        <v>46765</v>
      </c>
      <c r="BM99" s="65">
        <f t="shared" ca="1" si="252"/>
        <v>634</v>
      </c>
      <c r="BN99" s="15" t="str">
        <f t="shared" ca="1" si="253"/>
        <v>VIGENTE</v>
      </c>
      <c r="BO99" s="13">
        <v>44747</v>
      </c>
      <c r="BP99" s="14">
        <v>46069</v>
      </c>
      <c r="BQ99" s="14">
        <f>DATE(YEAR(BP99)+2,MONTH(BP99),DAY(BP99))</f>
        <v>46799</v>
      </c>
      <c r="BR99" s="65">
        <f t="shared" ca="1" si="254"/>
        <v>668</v>
      </c>
      <c r="BS99" s="15" t="str">
        <f t="shared" ca="1" si="255"/>
        <v>VIGENTE</v>
      </c>
      <c r="BT99" s="13">
        <v>44575</v>
      </c>
      <c r="BU99" s="14">
        <v>45871</v>
      </c>
      <c r="BV99" s="14">
        <f>DATE(YEAR(BU99)+2,MONTH(BU99),DAY(BU99))</f>
        <v>46601</v>
      </c>
      <c r="BW99" s="65">
        <f t="shared" ca="1" si="256"/>
        <v>470</v>
      </c>
      <c r="BX99" s="15" t="str">
        <f t="shared" ca="1" si="257"/>
        <v>VIGENTE</v>
      </c>
      <c r="BY99" s="13">
        <v>45272</v>
      </c>
      <c r="BZ99" s="14">
        <v>45954</v>
      </c>
      <c r="CA99" s="14">
        <f>DATE(YEAR(BZ99)+2,MONTH(BZ99),DAY(BZ99))</f>
        <v>46684</v>
      </c>
      <c r="CB99" s="65">
        <f t="shared" ca="1" si="258"/>
        <v>553</v>
      </c>
      <c r="CC99" s="15" t="str">
        <f t="shared" ca="1" si="259"/>
        <v>VIGENTE</v>
      </c>
      <c r="CD99" s="16" t="s">
        <v>108</v>
      </c>
      <c r="CE99" s="14">
        <v>45300</v>
      </c>
      <c r="CF99" s="14">
        <v>45301</v>
      </c>
      <c r="CG99" s="14">
        <f t="shared" si="377"/>
        <v>46762</v>
      </c>
      <c r="CH99" s="65">
        <f t="shared" ca="1" si="378"/>
        <v>631</v>
      </c>
      <c r="CI99" s="15" t="str">
        <f t="shared" ca="1" si="262"/>
        <v>VIGENTE</v>
      </c>
      <c r="CJ99" s="14">
        <v>44588</v>
      </c>
      <c r="CK99" s="14">
        <v>45929</v>
      </c>
      <c r="CL99" s="14">
        <f>DATE(YEAR(CK99)+2,MONTH(CK99),DAY(CK99))</f>
        <v>46659</v>
      </c>
      <c r="CM99" s="65">
        <f t="shared" ca="1" si="263"/>
        <v>528</v>
      </c>
      <c r="CN99" s="15" t="str">
        <f t="shared" ca="1" si="264"/>
        <v>VIGENTE</v>
      </c>
      <c r="CO99" s="13">
        <v>45240</v>
      </c>
      <c r="CP99" s="14">
        <v>45898</v>
      </c>
      <c r="CQ99" s="14">
        <f>DATE(YEAR(CP99)+2,MONTH(CP99),DAY(CP99))</f>
        <v>46628</v>
      </c>
      <c r="CR99" s="65">
        <f t="shared" ca="1" si="265"/>
        <v>497</v>
      </c>
      <c r="CS99" s="15" t="str">
        <f t="shared" ca="1" si="266"/>
        <v>VIGENTE</v>
      </c>
      <c r="CT99" s="14">
        <v>44970</v>
      </c>
      <c r="CU99" s="14">
        <v>45631</v>
      </c>
      <c r="CV99" s="14">
        <f>DATE(YEAR(CU99)+2,MONTH(CU99),DAY(CU99)-1)</f>
        <v>46360</v>
      </c>
      <c r="CW99" s="65">
        <f t="shared" ca="1" si="267"/>
        <v>229</v>
      </c>
      <c r="CX99" s="15" t="str">
        <f t="shared" ca="1" si="268"/>
        <v>VIGENTE</v>
      </c>
      <c r="CY99" s="13">
        <v>44991</v>
      </c>
      <c r="CZ99" s="14">
        <v>45665</v>
      </c>
      <c r="DA99" s="14">
        <f t="shared" si="390"/>
        <v>46394</v>
      </c>
      <c r="DB99" s="65">
        <f t="shared" ca="1" si="269"/>
        <v>263</v>
      </c>
      <c r="DC99" s="15" t="str">
        <f t="shared" ca="1" si="270"/>
        <v>VIGENTE</v>
      </c>
      <c r="DD99" s="14">
        <v>45020</v>
      </c>
      <c r="DE99" s="14">
        <v>45689</v>
      </c>
      <c r="DF99" s="14">
        <f>DATE(YEAR(DE99)+2,MONTH(DE99),DAY(DE99)-1)</f>
        <v>46418</v>
      </c>
      <c r="DG99" s="65">
        <f t="shared" ca="1" si="271"/>
        <v>287</v>
      </c>
      <c r="DH99" s="15" t="str">
        <f t="shared" ca="1" si="272"/>
        <v>VIGENTE</v>
      </c>
      <c r="DI99" s="13">
        <v>45251</v>
      </c>
      <c r="DJ99" s="14">
        <v>45899</v>
      </c>
      <c r="DK99" s="14">
        <f>DATE(YEAR(DJ99)+2,MONTH(DJ99),DAY(DJ99))</f>
        <v>46629</v>
      </c>
      <c r="DL99" s="65">
        <f t="shared" ca="1" si="273"/>
        <v>498</v>
      </c>
      <c r="DM99" s="15" t="str">
        <f t="shared" ca="1" si="274"/>
        <v>VIGENTE</v>
      </c>
      <c r="DN99" s="13">
        <v>44796</v>
      </c>
      <c r="DO99" s="14">
        <v>45473</v>
      </c>
      <c r="DP99" s="14">
        <f>DATE(YEAR(DO99)+2,MONTH(DO99),DAY(DO99)-1)</f>
        <v>46202</v>
      </c>
      <c r="DQ99" s="65">
        <f t="shared" ca="1" si="275"/>
        <v>71</v>
      </c>
      <c r="DR99" s="15" t="str">
        <f t="shared" ca="1" si="276"/>
        <v>POR VENCER</v>
      </c>
      <c r="DS99" s="13">
        <v>45200</v>
      </c>
      <c r="DT99" s="14">
        <v>45852</v>
      </c>
      <c r="DU99" s="14">
        <f>DATE(YEAR(DT99)+2,MONTH(DT99),DAY(DT99)-1)</f>
        <v>46581</v>
      </c>
      <c r="DV99" s="65">
        <f t="shared" ca="1" si="277"/>
        <v>450</v>
      </c>
      <c r="DW99" s="15" t="str">
        <f t="shared" ca="1" si="278"/>
        <v>VIGENTE</v>
      </c>
      <c r="DX99" s="13">
        <v>45267</v>
      </c>
      <c r="DY99" s="14">
        <v>45934</v>
      </c>
      <c r="DZ99" s="14">
        <f>DATE(YEAR(DY99)+2,MONTH(DY99),DAY(DY99))</f>
        <v>46664</v>
      </c>
      <c r="EA99" s="65">
        <f t="shared" ca="1" si="279"/>
        <v>533</v>
      </c>
      <c r="EB99" s="15" t="str">
        <f t="shared" ca="1" si="280"/>
        <v>VIGENTE</v>
      </c>
      <c r="EC99" s="13">
        <v>45204</v>
      </c>
      <c r="ED99" s="14">
        <v>45883</v>
      </c>
      <c r="EE99" s="14">
        <f>DATE(YEAR(ED99)+2,MONTH(ED99),DAY(ED99))</f>
        <v>46613</v>
      </c>
      <c r="EF99" s="65">
        <f t="shared" ca="1" si="281"/>
        <v>482</v>
      </c>
      <c r="EG99" s="15" t="str">
        <f t="shared" ca="1" si="282"/>
        <v>VIGENTE</v>
      </c>
      <c r="EH99" s="14">
        <v>45253</v>
      </c>
      <c r="EI99" s="13">
        <v>46000</v>
      </c>
      <c r="EJ99" s="13">
        <v>46001</v>
      </c>
      <c r="EK99" s="13">
        <v>46002</v>
      </c>
      <c r="EL99" s="14">
        <f t="shared" si="344"/>
        <v>46367</v>
      </c>
      <c r="EM99" s="65">
        <f t="shared" ca="1" si="283"/>
        <v>236</v>
      </c>
      <c r="EN99" s="15" t="str">
        <f t="shared" ca="1" si="284"/>
        <v>VIGENTE</v>
      </c>
      <c r="EO99" s="13">
        <v>45303</v>
      </c>
      <c r="EP99" s="14">
        <v>45966</v>
      </c>
      <c r="EQ99" s="14">
        <f>DATE(YEAR(EP99)+2,MONTH(EP99),DAY(EP99))</f>
        <v>46696</v>
      </c>
      <c r="ER99" s="65">
        <f t="shared" ca="1" si="285"/>
        <v>565</v>
      </c>
      <c r="ES99" s="15" t="str">
        <f t="shared" ca="1" si="286"/>
        <v>VIGENTE</v>
      </c>
      <c r="ET99" s="13">
        <v>44635</v>
      </c>
      <c r="EU99" s="14">
        <v>45999</v>
      </c>
      <c r="EV99" s="14">
        <f>DATE(YEAR(EU99)+2,MONTH(EU99),DAY(EU99))</f>
        <v>46729</v>
      </c>
      <c r="EW99" s="65">
        <f t="shared" ca="1" si="287"/>
        <v>598</v>
      </c>
      <c r="EX99" s="15" t="str">
        <f t="shared" ca="1" si="288"/>
        <v>VIGENTE</v>
      </c>
      <c r="EY99" s="13">
        <v>44608</v>
      </c>
      <c r="EZ99" s="14">
        <v>45953</v>
      </c>
      <c r="FA99" s="14">
        <f>DATE(YEAR(EZ99)+2,MONTH(EZ99),DAY(EZ99))</f>
        <v>46683</v>
      </c>
      <c r="FB99" s="65">
        <f t="shared" ca="1" si="289"/>
        <v>552</v>
      </c>
      <c r="FC99" s="15" t="str">
        <f t="shared" ca="1" si="290"/>
        <v>VIGENTE</v>
      </c>
      <c r="FD99" s="13">
        <v>45241</v>
      </c>
      <c r="FE99" s="14">
        <v>45922</v>
      </c>
      <c r="FF99" s="14">
        <f>DATE(YEAR(FE99)+2,MONTH(FE99),DAY(FE99))</f>
        <v>46652</v>
      </c>
      <c r="FG99" s="65">
        <f t="shared" ca="1" si="291"/>
        <v>521</v>
      </c>
      <c r="FH99" s="15" t="str">
        <f t="shared" ca="1" si="292"/>
        <v>VIGENTE</v>
      </c>
      <c r="FI99" s="13">
        <v>45330</v>
      </c>
      <c r="FJ99" s="14">
        <v>45962</v>
      </c>
      <c r="FK99" s="14">
        <f>DATE(YEAR(FJ99)+2,MONTH(FJ99),DAY(FJ99))</f>
        <v>46692</v>
      </c>
      <c r="FL99" s="65">
        <f t="shared" ca="1" si="293"/>
        <v>561</v>
      </c>
      <c r="FM99" s="15" t="str">
        <f t="shared" ca="1" si="294"/>
        <v>VIGENTE</v>
      </c>
      <c r="FN99" s="13">
        <v>45232</v>
      </c>
      <c r="FO99" s="14">
        <v>45920</v>
      </c>
      <c r="FP99" s="14">
        <f>DATE(YEAR(FO99)+2,MONTH(FO99),DAY(FO99))</f>
        <v>46650</v>
      </c>
      <c r="FQ99" s="65">
        <f t="shared" ca="1" si="295"/>
        <v>519</v>
      </c>
      <c r="FR99" s="15" t="str">
        <f t="shared" ca="1" si="296"/>
        <v>VIGENTE</v>
      </c>
      <c r="FS99" s="13">
        <v>45279</v>
      </c>
      <c r="FT99" s="14">
        <v>45957</v>
      </c>
      <c r="FU99" s="14">
        <f>DATE(YEAR(FT99)+2,MONTH(FT99),DAY(FT99))</f>
        <v>46687</v>
      </c>
      <c r="FV99" s="65">
        <f t="shared" ca="1" si="297"/>
        <v>556</v>
      </c>
      <c r="FW99" s="15" t="str">
        <f t="shared" ca="1" si="298"/>
        <v>VIGENTE</v>
      </c>
      <c r="FX99" s="14">
        <v>44968</v>
      </c>
      <c r="FY99" s="14">
        <v>45574</v>
      </c>
      <c r="FZ99" s="14">
        <f t="shared" si="391"/>
        <v>46303</v>
      </c>
      <c r="GA99" s="65">
        <f t="shared" ca="1" si="299"/>
        <v>172</v>
      </c>
      <c r="GB99" s="15" t="str">
        <f t="shared" ca="1" si="300"/>
        <v>VIGENTE</v>
      </c>
      <c r="GC99" s="13">
        <v>45406</v>
      </c>
      <c r="GD99" s="14">
        <v>46030</v>
      </c>
      <c r="GE99" s="14">
        <f>DATE(YEAR(GD99)+2,MONTH(GD99),DAY(GD99))</f>
        <v>46760</v>
      </c>
      <c r="GF99" s="65">
        <f t="shared" ca="1" si="301"/>
        <v>629</v>
      </c>
      <c r="GG99" s="15" t="str">
        <f t="shared" ca="1" si="302"/>
        <v>VIGENTE</v>
      </c>
      <c r="GH99" s="13">
        <v>45252</v>
      </c>
      <c r="GI99" s="14">
        <v>45960</v>
      </c>
      <c r="GJ99" s="14">
        <f>DATE(YEAR(GI99)+2,MONTH(GI99),DAY(GI99))</f>
        <v>46690</v>
      </c>
      <c r="GK99" s="65">
        <f t="shared" ca="1" si="303"/>
        <v>559</v>
      </c>
      <c r="GL99" s="15" t="str">
        <f t="shared" ca="1" si="304"/>
        <v>VIGENTE</v>
      </c>
      <c r="GM99" s="13">
        <v>45275</v>
      </c>
      <c r="GN99" s="14">
        <v>45958</v>
      </c>
      <c r="GO99" s="14">
        <f>DATE(YEAR(GN99)+2,MONTH(GN99),DAY(GN99))</f>
        <v>46688</v>
      </c>
      <c r="GP99" s="65">
        <f t="shared" ca="1" si="305"/>
        <v>557</v>
      </c>
      <c r="GQ99" s="15" t="str">
        <f t="shared" ca="1" si="306"/>
        <v>VIGENTE</v>
      </c>
      <c r="GR99" s="14">
        <v>44571</v>
      </c>
      <c r="GS99" s="14">
        <v>45265</v>
      </c>
      <c r="GT99" s="14">
        <f t="shared" si="307"/>
        <v>47092</v>
      </c>
      <c r="GU99" s="65">
        <f t="shared" ca="1" si="374"/>
        <v>961</v>
      </c>
      <c r="GV99" s="15" t="str">
        <f t="shared" ca="1" si="368"/>
        <v>VIGENTE</v>
      </c>
      <c r="GW99" s="13">
        <v>44573</v>
      </c>
      <c r="GX99" s="14">
        <v>45329</v>
      </c>
      <c r="GY99" s="14">
        <f t="shared" si="309"/>
        <v>47156</v>
      </c>
      <c r="GZ99" s="65">
        <f t="shared" ca="1" si="310"/>
        <v>1025</v>
      </c>
      <c r="HA99" s="15" t="str">
        <f t="shared" ca="1" si="369"/>
        <v>VIGENTE</v>
      </c>
      <c r="HB99" s="13">
        <v>44565</v>
      </c>
      <c r="HC99" s="14">
        <v>45268</v>
      </c>
      <c r="HD99" s="14">
        <f t="shared" si="312"/>
        <v>47095</v>
      </c>
      <c r="HE99" s="65">
        <f t="shared" ca="1" si="313"/>
        <v>964</v>
      </c>
      <c r="HF99" s="15" t="str">
        <f t="shared" ref="HF99:HF104" ca="1" si="394">IF(HE99&gt;=91,"VIGENTE",IF(HE99&gt;=1,"POR VENCER",IF(HE99&lt;=-1,"VENCIDA",IF(HC99=0,"NO APLICA"))))</f>
        <v>VIGENTE</v>
      </c>
      <c r="HG99" s="16"/>
      <c r="HH99" s="14">
        <v>44876</v>
      </c>
      <c r="HI99" s="14">
        <f t="shared" si="392"/>
        <v>46702</v>
      </c>
      <c r="HJ99" s="65">
        <f t="shared" ca="1" si="393"/>
        <v>571</v>
      </c>
      <c r="HK99" s="15" t="str">
        <f t="shared" ref="HK99:HK104" ca="1" si="395">IF(HJ99&gt;=61,"VIGENTE",IF(HJ99&gt;=1,"POR VENCER",IF(HJ99&lt;=-1,"VENCIDA",IF(HH99=0,"NO APLICA"))))</f>
        <v>VIGENTE</v>
      </c>
      <c r="HL99" s="12"/>
      <c r="HM99" s="16"/>
      <c r="HN99" s="14"/>
      <c r="HO99" s="65"/>
      <c r="HP99" s="15" t="str">
        <f t="shared" si="375"/>
        <v>NO APLICA</v>
      </c>
      <c r="HQ99" s="12"/>
      <c r="HR99" s="12"/>
      <c r="HS99" s="14"/>
      <c r="HT99" s="12"/>
      <c r="HU99" s="15" t="str">
        <f t="shared" si="315"/>
        <v>NO APLICA</v>
      </c>
      <c r="HV99" s="13">
        <v>44560</v>
      </c>
      <c r="HW99" s="14">
        <v>45306</v>
      </c>
      <c r="HX99" s="14">
        <f>DATE(YEAR(HW99)+5,MONTH(HW99),DAY(HW99))</f>
        <v>47133</v>
      </c>
      <c r="HY99" s="65">
        <f ca="1">HX99-TODAY()</f>
        <v>1002</v>
      </c>
      <c r="HZ99" s="15" t="str">
        <f t="shared" ca="1" si="316"/>
        <v>VIGENTE</v>
      </c>
      <c r="IA99" s="13">
        <v>44765</v>
      </c>
      <c r="IB99" s="14">
        <v>45475</v>
      </c>
      <c r="IC99" s="14">
        <f>DATE(YEAR(IB99)+5,MONTH(IB99),DAY(IB99))</f>
        <v>47301</v>
      </c>
      <c r="ID99" s="65">
        <f ca="1">IC99-TODAY()</f>
        <v>1170</v>
      </c>
      <c r="IE99" s="15" t="str">
        <f t="shared" ca="1" si="317"/>
        <v>VIGENTE</v>
      </c>
      <c r="IF99" s="13">
        <v>44767</v>
      </c>
      <c r="IG99" s="14">
        <v>45483</v>
      </c>
      <c r="IH99" s="14">
        <f>DATE(YEAR(IG99)+5,MONTH(IG99),DAY(IG99))</f>
        <v>47309</v>
      </c>
      <c r="II99" s="65">
        <f ca="1">IH99-TODAY()</f>
        <v>1178</v>
      </c>
      <c r="IJ99" s="15" t="str">
        <f t="shared" ca="1" si="318"/>
        <v>VIGENTE</v>
      </c>
      <c r="IK99" s="14">
        <v>44768</v>
      </c>
      <c r="IL99" s="14">
        <v>45429</v>
      </c>
      <c r="IM99" s="14">
        <f>DATE(YEAR(IL99)+5,MONTH(IL99),DAY(IL99))</f>
        <v>47255</v>
      </c>
      <c r="IN99" s="65">
        <f ca="1">IM99-TODAY()</f>
        <v>1124</v>
      </c>
      <c r="IO99" s="15" t="str">
        <f t="shared" ca="1" si="319"/>
        <v>VIGENTE</v>
      </c>
      <c r="IP99" s="13">
        <v>44765</v>
      </c>
      <c r="IQ99" s="14">
        <v>45460</v>
      </c>
      <c r="IR99" s="14">
        <f>DATE(YEAR(IQ99)+5,MONTH(IQ99),DAY(IQ99))</f>
        <v>47286</v>
      </c>
      <c r="IS99" s="65">
        <f ca="1">IR99-TODAY()</f>
        <v>1155</v>
      </c>
      <c r="IT99" s="15" t="str">
        <f t="shared" ca="1" si="320"/>
        <v>VIGENTE</v>
      </c>
      <c r="IU99" s="13">
        <v>44768</v>
      </c>
      <c r="IV99" s="14">
        <v>45435</v>
      </c>
      <c r="IW99" s="14">
        <f>DATE(YEAR(IV99)+5,MONTH(IV99),DAY(IV99))</f>
        <v>47261</v>
      </c>
      <c r="IX99" s="65">
        <f ca="1">IW99-TODAY()</f>
        <v>1130</v>
      </c>
      <c r="IY99" s="15" t="str">
        <f t="shared" ca="1" si="321"/>
        <v>VIGENTE</v>
      </c>
      <c r="IZ99" s="13">
        <v>44767</v>
      </c>
      <c r="JA99" s="14">
        <v>45446</v>
      </c>
      <c r="JB99" s="14">
        <f>DATE(YEAR(JA99)+5,MONTH(JA99),DAY(JA99))</f>
        <v>47272</v>
      </c>
      <c r="JC99" s="65">
        <f ca="1">JB99-TODAY()</f>
        <v>1141</v>
      </c>
      <c r="JD99" s="15" t="str">
        <f t="shared" ca="1" si="322"/>
        <v>VIGENTE</v>
      </c>
      <c r="JE99" s="13">
        <v>45635</v>
      </c>
      <c r="JF99" s="13">
        <v>45636</v>
      </c>
      <c r="JG99" s="14">
        <f>DATE(YEAR(JF99)+5,MONTH(JF99),DAY(JF99))</f>
        <v>47462</v>
      </c>
      <c r="JH99" s="65">
        <f ca="1">JG99-TODAY()</f>
        <v>1331</v>
      </c>
      <c r="JI99" s="15" t="str">
        <f t="shared" ca="1" si="323"/>
        <v>VIGENTE</v>
      </c>
      <c r="JJ99" s="14">
        <v>45644</v>
      </c>
      <c r="JK99" s="14">
        <f>DATE(YEAR(JJ99)+5,MONTH(JJ99),DAY(JJ99))</f>
        <v>47470</v>
      </c>
      <c r="JL99" s="65">
        <f ca="1">JK99-TODAY()</f>
        <v>1339</v>
      </c>
      <c r="JM99" s="15" t="str">
        <f t="shared" ca="1" si="324"/>
        <v>VIGENTE</v>
      </c>
      <c r="JN99" s="14">
        <v>45647</v>
      </c>
      <c r="JO99" s="14">
        <f>DATE(YEAR(JN99)+5,MONTH(JN99),DAY(JN99))</f>
        <v>47473</v>
      </c>
      <c r="JP99" s="65">
        <f ca="1">JO99-TODAY()</f>
        <v>1342</v>
      </c>
      <c r="JQ99" s="15" t="str">
        <f t="shared" ca="1" si="325"/>
        <v>VIGENTE</v>
      </c>
      <c r="JR99" s="14">
        <v>45642</v>
      </c>
      <c r="JS99" s="14">
        <v>45643</v>
      </c>
      <c r="JT99" s="14">
        <f>DATE(YEAR(JS99)+5,MONTH(JS99),DAY(JS99))</f>
        <v>47469</v>
      </c>
      <c r="JU99" s="65">
        <f ca="1">JT99-TODAY()</f>
        <v>1338</v>
      </c>
      <c r="JV99" s="15" t="str">
        <f t="shared" ca="1" si="326"/>
        <v>VIGENTE</v>
      </c>
      <c r="JW99" s="15"/>
      <c r="JX99" s="15"/>
      <c r="JY99" s="15"/>
      <c r="JZ99" s="15"/>
      <c r="KA99" s="15" t="str">
        <f t="shared" si="327"/>
        <v>NO APLICA</v>
      </c>
      <c r="KB99" s="12"/>
      <c r="KC99" s="14"/>
      <c r="KD99" s="65"/>
      <c r="KE99" s="15" t="str">
        <f t="shared" si="328"/>
        <v>NO APLICA</v>
      </c>
      <c r="KF99" s="12"/>
      <c r="KG99" s="14"/>
      <c r="KH99" s="65"/>
      <c r="KI99" s="15" t="str">
        <f t="shared" si="345"/>
        <v>NO APLICA</v>
      </c>
      <c r="KJ99" s="12"/>
      <c r="KK99" s="14"/>
      <c r="KL99" s="65"/>
      <c r="KM99" s="15" t="str">
        <f t="shared" si="329"/>
        <v>NO APLICA</v>
      </c>
      <c r="KN99" s="12"/>
      <c r="KO99" s="14"/>
      <c r="KP99" s="65"/>
      <c r="KQ99" s="15" t="str">
        <f t="shared" si="346"/>
        <v>NO APLICA</v>
      </c>
      <c r="KR99" s="12"/>
      <c r="KS99" s="16"/>
      <c r="KT99" s="14"/>
      <c r="KU99" s="65"/>
      <c r="KV99" s="15" t="str">
        <f t="shared" si="355"/>
        <v>NO APLICA</v>
      </c>
      <c r="KW99" s="16"/>
      <c r="KX99" s="14"/>
      <c r="KY99" s="65"/>
      <c r="KZ99" s="15" t="str">
        <f t="shared" si="347"/>
        <v>NO APLICA</v>
      </c>
      <c r="LA99" s="16"/>
      <c r="LB99" s="14">
        <v>45516</v>
      </c>
      <c r="LC99" s="14">
        <f>DATE(YEAR(LB99)+2,MONTH(LB99),DAY(LB99))</f>
        <v>46246</v>
      </c>
      <c r="LD99" s="65">
        <f ca="1">LC99-TODAY()</f>
        <v>115</v>
      </c>
      <c r="LE99" s="15" t="str">
        <f t="shared" ca="1" si="330"/>
        <v>VIGENTE</v>
      </c>
      <c r="LF99" s="15"/>
      <c r="LG99" s="15"/>
      <c r="LH99" s="14"/>
      <c r="LI99" s="65"/>
      <c r="LJ99" s="15" t="str">
        <f t="shared" si="356"/>
        <v>NO APLICA</v>
      </c>
      <c r="LK99" s="12"/>
      <c r="LL99" s="16"/>
      <c r="LM99" s="14"/>
      <c r="LN99" s="65"/>
      <c r="LO99" s="15" t="str">
        <f t="shared" si="348"/>
        <v>NO APLICA</v>
      </c>
      <c r="LP99" s="16"/>
      <c r="LQ99" s="16"/>
      <c r="LR99" s="14"/>
      <c r="LS99" s="65"/>
      <c r="LT99" s="15" t="str">
        <f t="shared" si="349"/>
        <v>NO APLICA</v>
      </c>
      <c r="LU99" s="16"/>
      <c r="LV99" s="16"/>
      <c r="LW99" s="14"/>
      <c r="LX99" s="65"/>
      <c r="LY99" s="15" t="str">
        <f t="shared" si="350"/>
        <v>NO APLICA</v>
      </c>
      <c r="LZ99" s="12"/>
      <c r="MA99" s="12"/>
      <c r="MB99" s="14"/>
      <c r="MC99" s="65"/>
      <c r="MD99" s="15" t="str">
        <f t="shared" si="331"/>
        <v>NO APLICA</v>
      </c>
      <c r="ME99" s="12"/>
      <c r="MF99" s="12"/>
      <c r="MG99" s="14"/>
      <c r="MH99" s="65"/>
      <c r="MI99" s="15" t="str">
        <f t="shared" si="332"/>
        <v>NO APLICA</v>
      </c>
      <c r="MJ99" s="12"/>
      <c r="MK99" s="14"/>
      <c r="ML99" s="65"/>
      <c r="MM99" s="15" t="str">
        <f t="shared" si="333"/>
        <v>NO APLICA</v>
      </c>
      <c r="MN99" s="12"/>
      <c r="MO99" s="14"/>
      <c r="MP99" s="12"/>
      <c r="MQ99" s="15" t="str">
        <f t="shared" si="334"/>
        <v>NO APLICA</v>
      </c>
      <c r="MR99" s="12"/>
      <c r="MS99" s="16"/>
      <c r="MT99" s="14"/>
      <c r="MU99" s="65"/>
      <c r="MV99" s="15" t="str">
        <f t="shared" si="335"/>
        <v>NO APLICA</v>
      </c>
      <c r="MW99" s="12"/>
      <c r="MX99" s="16"/>
      <c r="MY99" s="14"/>
      <c r="MZ99" s="65"/>
      <c r="NA99" s="15" t="str">
        <f t="shared" si="336"/>
        <v>NO APLICA</v>
      </c>
      <c r="NB99" s="12"/>
      <c r="NC99" s="16"/>
      <c r="ND99" s="14"/>
      <c r="NE99" s="65"/>
      <c r="NF99" s="15" t="str">
        <f t="shared" si="337"/>
        <v>NO APLICA</v>
      </c>
      <c r="NG99" s="12"/>
      <c r="NH99" s="12"/>
      <c r="NI99" s="14"/>
      <c r="NJ99" s="12"/>
      <c r="NK99" s="15" t="str">
        <f t="shared" si="338"/>
        <v>NO APLICA</v>
      </c>
      <c r="NL99" s="12"/>
      <c r="NM99" s="12"/>
      <c r="NN99" s="12"/>
      <c r="NO99" s="12"/>
      <c r="NP99" s="15" t="str">
        <f t="shared" si="339"/>
        <v>NO APLICA</v>
      </c>
      <c r="NQ99" s="16"/>
      <c r="NR99" s="16"/>
      <c r="NS99" s="14"/>
      <c r="NT99" s="65"/>
      <c r="NU99" s="15" t="str">
        <f t="shared" si="340"/>
        <v>NO APLICA</v>
      </c>
      <c r="NV99" s="16"/>
      <c r="NW99" s="16"/>
      <c r="NX99" s="16"/>
      <c r="NY99" s="16"/>
      <c r="NZ99" s="15" t="str">
        <f t="shared" si="341"/>
        <v>NO APLICA</v>
      </c>
    </row>
    <row r="100" spans="1:390" ht="15.6" thickTop="1" thickBot="1" x14ac:dyDescent="0.35">
      <c r="A100" s="9">
        <v>880</v>
      </c>
      <c r="B100" s="10" t="s">
        <v>401</v>
      </c>
      <c r="C100" s="21" t="s">
        <v>104</v>
      </c>
      <c r="D100" s="64" t="s">
        <v>168</v>
      </c>
      <c r="E100" s="15"/>
      <c r="F100" s="16"/>
      <c r="G100" s="14"/>
      <c r="H100" s="65"/>
      <c r="I100" s="15" t="str">
        <f t="shared" si="235"/>
        <v>NO APLICA</v>
      </c>
      <c r="J100" s="12"/>
      <c r="K100" s="16"/>
      <c r="L100" s="16"/>
      <c r="M100" s="65"/>
      <c r="N100" s="15" t="str">
        <f t="shared" si="236"/>
        <v>NO APLICA</v>
      </c>
      <c r="O100" s="16"/>
      <c r="P100" s="16"/>
      <c r="Q100" s="14"/>
      <c r="R100" s="65"/>
      <c r="S100" s="15" t="str">
        <f t="shared" si="342"/>
        <v>NO APLICA</v>
      </c>
      <c r="T100" s="12" t="s">
        <v>402</v>
      </c>
      <c r="U100" s="13">
        <v>45491</v>
      </c>
      <c r="V100" s="14">
        <v>45492</v>
      </c>
      <c r="W100" s="14">
        <f t="shared" si="237"/>
        <v>47318</v>
      </c>
      <c r="X100" s="65">
        <f t="shared" ca="1" si="238"/>
        <v>1187</v>
      </c>
      <c r="Y100" s="15" t="str">
        <f t="shared" ca="1" si="239"/>
        <v>VIGENTE</v>
      </c>
      <c r="Z100" s="12" t="s">
        <v>403</v>
      </c>
      <c r="AA100" s="13">
        <v>44830</v>
      </c>
      <c r="AB100" s="14">
        <v>44831</v>
      </c>
      <c r="AC100" s="14">
        <f>DATE(YEAR(AB100)+5,MONTH(AB100),DAY(AB100))</f>
        <v>46657</v>
      </c>
      <c r="AD100" s="65">
        <f ca="1">AC100-TODAY()</f>
        <v>526</v>
      </c>
      <c r="AE100" s="15" t="str">
        <f t="shared" ca="1" si="389"/>
        <v>VIGENTE</v>
      </c>
      <c r="AF100" s="13">
        <v>44932</v>
      </c>
      <c r="AG100" s="13">
        <v>45594</v>
      </c>
      <c r="AH100" s="14">
        <f>DATE(YEAR(AG100)+2,MONTH(AG100),DAY(AG100)-1)</f>
        <v>46323</v>
      </c>
      <c r="AI100" s="65">
        <f t="shared" ca="1" si="241"/>
        <v>192</v>
      </c>
      <c r="AJ100" s="15" t="str">
        <f t="shared" ca="1" si="213"/>
        <v>VIGENTE</v>
      </c>
      <c r="AK100" s="13">
        <v>45286</v>
      </c>
      <c r="AL100" s="14">
        <v>45937</v>
      </c>
      <c r="AM100" s="14">
        <f>DATE(YEAR(AL100)+2,MONTH(AL100),DAY(AL100))</f>
        <v>46667</v>
      </c>
      <c r="AN100" s="65">
        <f t="shared" ca="1" si="242"/>
        <v>536</v>
      </c>
      <c r="AO100" s="15" t="str">
        <f t="shared" ca="1" si="243"/>
        <v>VIGENTE</v>
      </c>
      <c r="AP100" s="13">
        <v>44782</v>
      </c>
      <c r="AQ100" s="14">
        <v>46048</v>
      </c>
      <c r="AR100" s="14">
        <f>DATE(YEAR(AQ100)+2,MONTH(AQ100),DAY(AQ100))</f>
        <v>46778</v>
      </c>
      <c r="AS100" s="65">
        <f t="shared" ca="1" si="244"/>
        <v>647</v>
      </c>
      <c r="AT100" s="15" t="str">
        <f t="shared" ca="1" si="245"/>
        <v>VIGENTE</v>
      </c>
      <c r="AU100" s="13">
        <v>44785</v>
      </c>
      <c r="AV100" s="14">
        <v>46070</v>
      </c>
      <c r="AW100" s="14">
        <f>DATE(YEAR(AV100)+2,MONTH(AV100),DAY(AV100))</f>
        <v>46800</v>
      </c>
      <c r="AX100" s="65">
        <f t="shared" ca="1" si="246"/>
        <v>669</v>
      </c>
      <c r="AY100" s="15" t="str">
        <f t="shared" ca="1" si="247"/>
        <v>VIGENTE</v>
      </c>
      <c r="AZ100" s="13">
        <v>45387</v>
      </c>
      <c r="BA100" s="14">
        <v>46041</v>
      </c>
      <c r="BB100" s="14">
        <f>DATE(YEAR(BA100)+2,MONTH(BA100),DAY(BA100))</f>
        <v>46771</v>
      </c>
      <c r="BC100" s="65">
        <f t="shared" ca="1" si="248"/>
        <v>640</v>
      </c>
      <c r="BD100" s="15" t="str">
        <f t="shared" ca="1" si="249"/>
        <v>VIGENTE</v>
      </c>
      <c r="BE100" s="13">
        <v>44688</v>
      </c>
      <c r="BF100" s="14">
        <v>45987</v>
      </c>
      <c r="BG100" s="14">
        <f>DATE(YEAR(BF100)+2,MONTH(BF100),DAY(BF100))</f>
        <v>46717</v>
      </c>
      <c r="BH100" s="65">
        <f t="shared" ca="1" si="250"/>
        <v>586</v>
      </c>
      <c r="BI100" s="15" t="str">
        <f t="shared" ca="1" si="251"/>
        <v>VIGENTE</v>
      </c>
      <c r="BJ100" s="13">
        <v>45372</v>
      </c>
      <c r="BK100" s="14">
        <v>46035</v>
      </c>
      <c r="BL100" s="14">
        <f>DATE(YEAR(BK100)+2,MONTH(BK100),DAY(BK100))</f>
        <v>46765</v>
      </c>
      <c r="BM100" s="65">
        <f t="shared" ca="1" si="252"/>
        <v>634</v>
      </c>
      <c r="BN100" s="15" t="str">
        <f t="shared" ca="1" si="253"/>
        <v>VIGENTE</v>
      </c>
      <c r="BO100" s="13">
        <v>44754</v>
      </c>
      <c r="BP100" s="14">
        <v>46069</v>
      </c>
      <c r="BQ100" s="14">
        <f>DATE(YEAR(BP100)+2,MONTH(BP100),DAY(BP100))</f>
        <v>46799</v>
      </c>
      <c r="BR100" s="65">
        <f t="shared" ca="1" si="254"/>
        <v>668</v>
      </c>
      <c r="BS100" s="15" t="str">
        <f t="shared" ca="1" si="255"/>
        <v>VIGENTE</v>
      </c>
      <c r="BT100" s="13">
        <v>44810</v>
      </c>
      <c r="BU100" s="14">
        <v>45449</v>
      </c>
      <c r="BV100" s="14">
        <f>DATE(YEAR(BU100)+2,MONTH(BU100),DAY(BU100)-1)</f>
        <v>46178</v>
      </c>
      <c r="BW100" s="65">
        <f t="shared" ca="1" si="256"/>
        <v>47</v>
      </c>
      <c r="BX100" s="15" t="str">
        <f t="shared" ca="1" si="257"/>
        <v>POR VENCER</v>
      </c>
      <c r="BY100" s="13">
        <v>44634</v>
      </c>
      <c r="BZ100" s="14">
        <v>45944</v>
      </c>
      <c r="CA100" s="14">
        <f>DATE(YEAR(BZ100)+2,MONTH(BZ100),DAY(BZ100))</f>
        <v>46674</v>
      </c>
      <c r="CB100" s="65">
        <f t="shared" ca="1" si="258"/>
        <v>543</v>
      </c>
      <c r="CC100" s="15" t="str">
        <f t="shared" ca="1" si="259"/>
        <v>VIGENTE</v>
      </c>
      <c r="CD100" s="16" t="s">
        <v>108</v>
      </c>
      <c r="CE100" s="14">
        <v>45281</v>
      </c>
      <c r="CF100" s="14">
        <v>45282</v>
      </c>
      <c r="CG100" s="14">
        <f t="shared" si="377"/>
        <v>46743</v>
      </c>
      <c r="CH100" s="65">
        <f t="shared" ca="1" si="378"/>
        <v>612</v>
      </c>
      <c r="CI100" s="15" t="str">
        <f t="shared" ca="1" si="262"/>
        <v>VIGENTE</v>
      </c>
      <c r="CJ100" s="14">
        <v>44786</v>
      </c>
      <c r="CK100" s="14">
        <v>46064</v>
      </c>
      <c r="CL100" s="14">
        <f>DATE(YEAR(CK100)+2,MONTH(CK100),DAY(CK100))</f>
        <v>46794</v>
      </c>
      <c r="CM100" s="65">
        <f t="shared" ca="1" si="263"/>
        <v>663</v>
      </c>
      <c r="CN100" s="15" t="str">
        <f t="shared" ca="1" si="264"/>
        <v>VIGENTE</v>
      </c>
      <c r="CO100" s="13">
        <v>45428</v>
      </c>
      <c r="CP100" s="14">
        <v>46101</v>
      </c>
      <c r="CQ100" s="14">
        <f>DATE(YEAR(CP100)+2,MONTH(CP100),DAY(CP100))</f>
        <v>46832</v>
      </c>
      <c r="CR100" s="65">
        <f t="shared" ca="1" si="265"/>
        <v>701</v>
      </c>
      <c r="CS100" s="15" t="str">
        <f t="shared" ca="1" si="266"/>
        <v>VIGENTE</v>
      </c>
      <c r="CT100" s="13">
        <v>44970</v>
      </c>
      <c r="CU100" s="14">
        <v>45631</v>
      </c>
      <c r="CV100" s="14">
        <f>DATE(YEAR(CU100)+2,MONTH(CU100),DAY(CU100)-1)</f>
        <v>46360</v>
      </c>
      <c r="CW100" s="65">
        <f t="shared" ca="1" si="267"/>
        <v>229</v>
      </c>
      <c r="CX100" s="15" t="str">
        <f t="shared" ca="1" si="268"/>
        <v>VIGENTE</v>
      </c>
      <c r="CY100" s="13">
        <v>44991</v>
      </c>
      <c r="CZ100" s="14">
        <v>45665</v>
      </c>
      <c r="DA100" s="14">
        <f t="shared" si="390"/>
        <v>46394</v>
      </c>
      <c r="DB100" s="65">
        <f t="shared" ca="1" si="269"/>
        <v>263</v>
      </c>
      <c r="DC100" s="15" t="str">
        <f t="shared" ca="1" si="270"/>
        <v>VIGENTE</v>
      </c>
      <c r="DD100" s="13">
        <v>45020</v>
      </c>
      <c r="DE100" s="14">
        <v>45689</v>
      </c>
      <c r="DF100" s="14">
        <f>DATE(YEAR(DE100)+2,MONTH(DE100),DAY(DE100)-1)</f>
        <v>46418</v>
      </c>
      <c r="DG100" s="65">
        <f t="shared" ca="1" si="271"/>
        <v>287</v>
      </c>
      <c r="DH100" s="15" t="str">
        <f t="shared" ca="1" si="272"/>
        <v>VIGENTE</v>
      </c>
      <c r="DI100" s="13">
        <v>45402</v>
      </c>
      <c r="DJ100" s="14">
        <v>46029</v>
      </c>
      <c r="DK100" s="14">
        <f>DATE(YEAR(DJ100)+2,MONTH(DJ100),DAY(DJ100))</f>
        <v>46759</v>
      </c>
      <c r="DL100" s="65">
        <f t="shared" ca="1" si="273"/>
        <v>628</v>
      </c>
      <c r="DM100" s="15" t="str">
        <f t="shared" ca="1" si="274"/>
        <v>VIGENTE</v>
      </c>
      <c r="DN100" s="13">
        <v>44796</v>
      </c>
      <c r="DO100" s="14">
        <v>45473</v>
      </c>
      <c r="DP100" s="14">
        <f>DATE(YEAR(DO100)+2,MONTH(DO100),DAY(DO100)-1)</f>
        <v>46202</v>
      </c>
      <c r="DQ100" s="65">
        <f t="shared" ca="1" si="275"/>
        <v>71</v>
      </c>
      <c r="DR100" s="15" t="str">
        <f t="shared" ca="1" si="276"/>
        <v>POR VENCER</v>
      </c>
      <c r="DS100" s="13">
        <v>44796</v>
      </c>
      <c r="DT100" s="14">
        <v>46053</v>
      </c>
      <c r="DU100" s="14">
        <f>DATE(YEAR(DT100)+2,MONTH(DT100),DAY(DT100))</f>
        <v>46783</v>
      </c>
      <c r="DV100" s="65">
        <f t="shared" ca="1" si="277"/>
        <v>652</v>
      </c>
      <c r="DW100" s="15" t="str">
        <f t="shared" ca="1" si="278"/>
        <v>VIGENTE</v>
      </c>
      <c r="DX100" s="13">
        <v>45432</v>
      </c>
      <c r="DY100" s="14">
        <v>46099</v>
      </c>
      <c r="DZ100" s="14">
        <f>DATE(YEAR(DY100)+2,MONTH(DY100),DAY(DY100))</f>
        <v>46830</v>
      </c>
      <c r="EA100" s="65">
        <f t="shared" ca="1" si="279"/>
        <v>699</v>
      </c>
      <c r="EB100" s="15" t="str">
        <f t="shared" ca="1" si="280"/>
        <v>VIGENTE</v>
      </c>
      <c r="EC100" s="13">
        <v>45450</v>
      </c>
      <c r="ED100" s="14">
        <v>46104</v>
      </c>
      <c r="EE100" s="14">
        <f>DATE(YEAR(ED100)+2,MONTH(ED100),DAY(ED100))</f>
        <v>46835</v>
      </c>
      <c r="EF100" s="65">
        <f t="shared" ca="1" si="281"/>
        <v>704</v>
      </c>
      <c r="EG100" s="15" t="str">
        <f t="shared" ca="1" si="282"/>
        <v>VIGENTE</v>
      </c>
      <c r="EH100" s="13">
        <v>45423</v>
      </c>
      <c r="EI100" s="13">
        <v>45810</v>
      </c>
      <c r="EJ100" s="13">
        <v>45811</v>
      </c>
      <c r="EK100" s="14">
        <v>45812</v>
      </c>
      <c r="EL100" s="14">
        <f t="shared" si="344"/>
        <v>46177</v>
      </c>
      <c r="EM100" s="65">
        <f t="shared" ca="1" si="283"/>
        <v>46</v>
      </c>
      <c r="EN100" s="15" t="str">
        <f t="shared" ca="1" si="284"/>
        <v>POR VENCER</v>
      </c>
      <c r="EO100" s="13">
        <v>44775</v>
      </c>
      <c r="EP100" s="14">
        <v>45460</v>
      </c>
      <c r="EQ100" s="14">
        <f>DATE(YEAR(EP100)+2,MONTH(EP100),DAY(EP100)-1)</f>
        <v>46189</v>
      </c>
      <c r="ER100" s="65">
        <f t="shared" ca="1" si="285"/>
        <v>58</v>
      </c>
      <c r="ES100" s="15" t="str">
        <f t="shared" ca="1" si="286"/>
        <v>POR VENCER</v>
      </c>
      <c r="ET100" s="13">
        <v>44776</v>
      </c>
      <c r="EU100" s="14">
        <v>46094</v>
      </c>
      <c r="EV100" s="14">
        <f>DATE(YEAR(EU100)+2,MONTH(EU100),DAY(EU100))</f>
        <v>46825</v>
      </c>
      <c r="EW100" s="65">
        <f t="shared" ca="1" si="287"/>
        <v>694</v>
      </c>
      <c r="EX100" s="15" t="str">
        <f t="shared" ca="1" si="288"/>
        <v>VIGENTE</v>
      </c>
      <c r="EY100" s="13">
        <v>44636</v>
      </c>
      <c r="EZ100" s="14">
        <v>45953</v>
      </c>
      <c r="FA100" s="14">
        <f>DATE(YEAR(EZ100)+2,MONTH(EZ100),DAY(EZ100))</f>
        <v>46683</v>
      </c>
      <c r="FB100" s="65">
        <f t="shared" ca="1" si="289"/>
        <v>552</v>
      </c>
      <c r="FC100" s="15" t="str">
        <f t="shared" ca="1" si="290"/>
        <v>VIGENTE</v>
      </c>
      <c r="FD100" s="13">
        <v>44636</v>
      </c>
      <c r="FE100" s="14">
        <v>45988</v>
      </c>
      <c r="FF100" s="14">
        <f>DATE(YEAR(FE100)+2,MONTH(FE100),DAY(FE100))</f>
        <v>46718</v>
      </c>
      <c r="FG100" s="65">
        <f t="shared" ca="1" si="291"/>
        <v>587</v>
      </c>
      <c r="FH100" s="15" t="str">
        <f t="shared" ca="1" si="292"/>
        <v>VIGENTE</v>
      </c>
      <c r="FI100" s="13">
        <v>45317</v>
      </c>
      <c r="FJ100" s="14">
        <v>45969</v>
      </c>
      <c r="FK100" s="14">
        <f>DATE(YEAR(FJ100)+2,MONTH(FJ100),DAY(FJ100))</f>
        <v>46699</v>
      </c>
      <c r="FL100" s="65">
        <f t="shared" ca="1" si="293"/>
        <v>568</v>
      </c>
      <c r="FM100" s="15" t="str">
        <f t="shared" ca="1" si="294"/>
        <v>VIGENTE</v>
      </c>
      <c r="FN100" s="13">
        <v>44803</v>
      </c>
      <c r="FO100" s="14">
        <v>45479</v>
      </c>
      <c r="FP100" s="14">
        <f>DATE(YEAR(FO100)+2,MONTH(FO100),DAY(FO100)-1)</f>
        <v>46208</v>
      </c>
      <c r="FQ100" s="65">
        <f t="shared" ca="1" si="295"/>
        <v>77</v>
      </c>
      <c r="FR100" s="15" t="str">
        <f t="shared" ca="1" si="296"/>
        <v>POR VENCER</v>
      </c>
      <c r="FS100" s="13">
        <v>44777</v>
      </c>
      <c r="FT100" s="14">
        <v>45458</v>
      </c>
      <c r="FU100" s="14">
        <f>DATE(YEAR(FT100)+2,MONTH(FT100),DAY(FT100)-1)</f>
        <v>46187</v>
      </c>
      <c r="FV100" s="65">
        <f t="shared" ca="1" si="297"/>
        <v>56</v>
      </c>
      <c r="FW100" s="15" t="str">
        <f t="shared" ca="1" si="298"/>
        <v>POR VENCER</v>
      </c>
      <c r="FX100" s="13">
        <v>44943</v>
      </c>
      <c r="FY100" s="14">
        <v>45574</v>
      </c>
      <c r="FZ100" s="14">
        <f t="shared" si="391"/>
        <v>46303</v>
      </c>
      <c r="GA100" s="65">
        <f t="shared" ca="1" si="299"/>
        <v>172</v>
      </c>
      <c r="GB100" s="15" t="str">
        <f t="shared" ca="1" si="300"/>
        <v>VIGENTE</v>
      </c>
      <c r="GC100" s="13">
        <v>45049</v>
      </c>
      <c r="GD100" s="14">
        <v>45667</v>
      </c>
      <c r="GE100" s="14">
        <f>DATE(YEAR(GD100)+2,MONTH(GD100),DAY(GD100)-1)</f>
        <v>46396</v>
      </c>
      <c r="GF100" s="65">
        <f t="shared" ca="1" si="301"/>
        <v>265</v>
      </c>
      <c r="GG100" s="15" t="str">
        <f t="shared" ca="1" si="302"/>
        <v>VIGENTE</v>
      </c>
      <c r="GH100" s="13">
        <v>45391</v>
      </c>
      <c r="GI100" s="14">
        <v>46036</v>
      </c>
      <c r="GJ100" s="14">
        <f>DATE(YEAR(GI100)+2,MONTH(GI100),DAY(GI100))</f>
        <v>46766</v>
      </c>
      <c r="GK100" s="65">
        <f t="shared" ca="1" si="303"/>
        <v>635</v>
      </c>
      <c r="GL100" s="15" t="str">
        <f t="shared" ca="1" si="304"/>
        <v>VIGENTE</v>
      </c>
      <c r="GM100" s="13">
        <v>45247</v>
      </c>
      <c r="GN100" s="14">
        <v>45923</v>
      </c>
      <c r="GO100" s="14">
        <f>DATE(YEAR(GN100)+2,MONTH(GN100),DAY(GN100))</f>
        <v>46653</v>
      </c>
      <c r="GP100" s="65">
        <f t="shared" ca="1" si="305"/>
        <v>522</v>
      </c>
      <c r="GQ100" s="15" t="str">
        <f t="shared" ca="1" si="306"/>
        <v>VIGENTE</v>
      </c>
      <c r="GR100" s="14">
        <v>44784</v>
      </c>
      <c r="GS100" s="14">
        <v>45459</v>
      </c>
      <c r="GT100" s="14">
        <f t="shared" si="307"/>
        <v>47285</v>
      </c>
      <c r="GU100" s="65">
        <f t="shared" ca="1" si="374"/>
        <v>1154</v>
      </c>
      <c r="GV100" s="15" t="str">
        <f t="shared" ca="1" si="368"/>
        <v>VIGENTE</v>
      </c>
      <c r="GW100" s="13">
        <v>44785</v>
      </c>
      <c r="GX100" s="14">
        <v>45464</v>
      </c>
      <c r="GY100" s="14">
        <f t="shared" si="309"/>
        <v>47290</v>
      </c>
      <c r="GZ100" s="65">
        <f t="shared" ca="1" si="310"/>
        <v>1159</v>
      </c>
      <c r="HA100" s="15" t="str">
        <f t="shared" ca="1" si="369"/>
        <v>VIGENTE</v>
      </c>
      <c r="HB100" s="13">
        <v>44784</v>
      </c>
      <c r="HC100" s="14">
        <v>45454</v>
      </c>
      <c r="HD100" s="14">
        <f t="shared" si="312"/>
        <v>47280</v>
      </c>
      <c r="HE100" s="65">
        <f t="shared" ca="1" si="313"/>
        <v>1149</v>
      </c>
      <c r="HF100" s="15" t="str">
        <f t="shared" ca="1" si="394"/>
        <v>VIGENTE</v>
      </c>
      <c r="HG100" s="16"/>
      <c r="HH100" s="14">
        <v>44862</v>
      </c>
      <c r="HI100" s="14">
        <f t="shared" si="392"/>
        <v>46688</v>
      </c>
      <c r="HJ100" s="65">
        <f t="shared" ca="1" si="393"/>
        <v>557</v>
      </c>
      <c r="HK100" s="15" t="str">
        <f t="shared" ca="1" si="395"/>
        <v>VIGENTE</v>
      </c>
      <c r="HL100" s="13">
        <v>44632</v>
      </c>
      <c r="HM100" s="14">
        <v>45368</v>
      </c>
      <c r="HN100" s="14">
        <f>DATE(YEAR(HM100)+5,MONTH(HM100),DAY(HM100))</f>
        <v>47194</v>
      </c>
      <c r="HO100" s="65">
        <f ca="1">HN100-TODAY()</f>
        <v>1063</v>
      </c>
      <c r="HP100" s="15" t="str">
        <f t="shared" ca="1" si="375"/>
        <v>VIGENTE</v>
      </c>
      <c r="HQ100" s="12"/>
      <c r="HR100" s="12"/>
      <c r="HS100" s="14"/>
      <c r="HT100" s="12"/>
      <c r="HU100" s="15" t="str">
        <f t="shared" si="315"/>
        <v>NO APLICA</v>
      </c>
      <c r="HV100" s="13">
        <v>44560</v>
      </c>
      <c r="HW100" s="14">
        <v>45274</v>
      </c>
      <c r="HX100" s="14">
        <f>DATE(YEAR(HW100)+5,MONTH(HW100),DAY(HW100))</f>
        <v>47101</v>
      </c>
      <c r="HY100" s="65">
        <f ca="1">HX100-TODAY()</f>
        <v>970</v>
      </c>
      <c r="HZ100" s="15" t="str">
        <f t="shared" ca="1" si="316"/>
        <v>VIGENTE</v>
      </c>
      <c r="IA100" s="13">
        <v>44522</v>
      </c>
      <c r="IB100" s="14">
        <v>45234</v>
      </c>
      <c r="IC100" s="14">
        <f>DATE(YEAR(IB100)+5,MONTH(IB100),DAY(IB100))</f>
        <v>47061</v>
      </c>
      <c r="ID100" s="65">
        <f ca="1">IC100-TODAY()</f>
        <v>930</v>
      </c>
      <c r="IE100" s="15" t="str">
        <f t="shared" ca="1" si="317"/>
        <v>VIGENTE</v>
      </c>
      <c r="IF100" s="13">
        <v>44510</v>
      </c>
      <c r="IG100" s="14">
        <v>45236</v>
      </c>
      <c r="IH100" s="14">
        <f>DATE(YEAR(IG100)+5,MONTH(IG100),DAY(IG100))</f>
        <v>47063</v>
      </c>
      <c r="II100" s="65">
        <f ca="1">IH100-TODAY()</f>
        <v>932</v>
      </c>
      <c r="IJ100" s="15" t="str">
        <f t="shared" ca="1" si="318"/>
        <v>VIGENTE</v>
      </c>
      <c r="IK100" s="14">
        <v>44559</v>
      </c>
      <c r="IL100" s="14">
        <v>45262</v>
      </c>
      <c r="IM100" s="14">
        <f>DATE(YEAR(IL100)+5,MONTH(IL100),DAY(IL100))</f>
        <v>47089</v>
      </c>
      <c r="IN100" s="65">
        <f ca="1">IM100-TODAY()</f>
        <v>958</v>
      </c>
      <c r="IO100" s="15" t="str">
        <f t="shared" ca="1" si="319"/>
        <v>VIGENTE</v>
      </c>
      <c r="IP100" s="13">
        <v>44559</v>
      </c>
      <c r="IQ100" s="14">
        <v>45239</v>
      </c>
      <c r="IR100" s="14">
        <f>DATE(YEAR(IQ100)+5,MONTH(IQ100),DAY(IQ100))</f>
        <v>47066</v>
      </c>
      <c r="IS100" s="65">
        <f ca="1">IR100-TODAY()</f>
        <v>935</v>
      </c>
      <c r="IT100" s="15" t="str">
        <f t="shared" ca="1" si="320"/>
        <v>VIGENTE</v>
      </c>
      <c r="IU100" s="13">
        <v>44510</v>
      </c>
      <c r="IV100" s="14">
        <v>45233</v>
      </c>
      <c r="IW100" s="14">
        <f>DATE(YEAR(IV100)+5,MONTH(IV100),DAY(IV100))</f>
        <v>47060</v>
      </c>
      <c r="IX100" s="65">
        <f ca="1">IW100-TODAY()</f>
        <v>929</v>
      </c>
      <c r="IY100" s="15" t="str">
        <f t="shared" ca="1" si="321"/>
        <v>VIGENTE</v>
      </c>
      <c r="IZ100" s="13">
        <v>44522</v>
      </c>
      <c r="JA100" s="14">
        <v>45224</v>
      </c>
      <c r="JB100" s="14">
        <f>DATE(YEAR(JA100)+5,MONTH(JA100),DAY(JA100))</f>
        <v>47051</v>
      </c>
      <c r="JC100" s="65">
        <f ca="1">JB100-TODAY()</f>
        <v>920</v>
      </c>
      <c r="JD100" s="15" t="str">
        <f t="shared" ca="1" si="322"/>
        <v>VIGENTE</v>
      </c>
      <c r="JE100" s="13"/>
      <c r="JF100" s="13"/>
      <c r="JG100" s="14"/>
      <c r="JH100" s="65"/>
      <c r="JI100" s="15" t="str">
        <f t="shared" si="323"/>
        <v>NO APLICA</v>
      </c>
      <c r="JJ100" s="16"/>
      <c r="JK100" s="16"/>
      <c r="JL100" s="16"/>
      <c r="JM100" s="15" t="str">
        <f t="shared" si="324"/>
        <v>NO APLICA</v>
      </c>
      <c r="JN100" s="16"/>
      <c r="JO100" s="16"/>
      <c r="JP100" s="16"/>
      <c r="JQ100" s="15" t="str">
        <f t="shared" si="325"/>
        <v>NO APLICA</v>
      </c>
      <c r="JR100" s="16"/>
      <c r="JS100" s="16"/>
      <c r="JT100" s="16"/>
      <c r="JU100" s="16"/>
      <c r="JV100" s="15" t="str">
        <f t="shared" si="326"/>
        <v>NO APLICA</v>
      </c>
      <c r="JW100" s="15"/>
      <c r="JX100" s="15"/>
      <c r="JY100" s="15"/>
      <c r="JZ100" s="15"/>
      <c r="KA100" s="15" t="str">
        <f t="shared" si="327"/>
        <v>NO APLICA</v>
      </c>
      <c r="KB100" s="12"/>
      <c r="KC100" s="14"/>
      <c r="KD100" s="65"/>
      <c r="KE100" s="15" t="str">
        <f t="shared" si="328"/>
        <v>NO APLICA</v>
      </c>
      <c r="KF100" s="12"/>
      <c r="KG100" s="14"/>
      <c r="KH100" s="65"/>
      <c r="KI100" s="15" t="str">
        <f t="shared" si="345"/>
        <v>NO APLICA</v>
      </c>
      <c r="KJ100" s="12"/>
      <c r="KK100" s="14"/>
      <c r="KL100" s="65"/>
      <c r="KM100" s="15" t="str">
        <f t="shared" si="329"/>
        <v>NO APLICA</v>
      </c>
      <c r="KN100" s="12"/>
      <c r="KO100" s="14"/>
      <c r="KP100" s="65"/>
      <c r="KQ100" s="15" t="str">
        <f t="shared" si="346"/>
        <v>NO APLICA</v>
      </c>
      <c r="KR100" s="12"/>
      <c r="KS100" s="16"/>
      <c r="KT100" s="14"/>
      <c r="KU100" s="65"/>
      <c r="KV100" s="15" t="str">
        <f t="shared" si="355"/>
        <v>NO APLICA</v>
      </c>
      <c r="KW100" s="14">
        <v>44603</v>
      </c>
      <c r="KX100" s="14">
        <f>DATE(YEAR(KW100)+5,MONTH(KW100),DAY(KW100))</f>
        <v>46429</v>
      </c>
      <c r="KY100" s="65">
        <f ca="1">KX100-TODAY()</f>
        <v>298</v>
      </c>
      <c r="KZ100" s="15" t="str">
        <f t="shared" ca="1" si="347"/>
        <v>VIGENTE</v>
      </c>
      <c r="LA100" s="14">
        <v>44494</v>
      </c>
      <c r="LB100" s="14"/>
      <c r="LC100" s="14"/>
      <c r="LD100" s="65"/>
      <c r="LE100" s="15" t="str">
        <f t="shared" si="330"/>
        <v>NO APLICA</v>
      </c>
      <c r="LF100" s="15"/>
      <c r="LG100" s="15"/>
      <c r="LH100" s="14"/>
      <c r="LI100" s="65"/>
      <c r="LJ100" s="15" t="str">
        <f t="shared" si="356"/>
        <v>NO APLICA</v>
      </c>
      <c r="LK100" s="12"/>
      <c r="LL100" s="16"/>
      <c r="LM100" s="14"/>
      <c r="LN100" s="65"/>
      <c r="LO100" s="15" t="str">
        <f t="shared" si="348"/>
        <v>NO APLICA</v>
      </c>
      <c r="LP100" s="16"/>
      <c r="LQ100" s="16"/>
      <c r="LR100" s="14"/>
      <c r="LS100" s="65"/>
      <c r="LT100" s="15" t="str">
        <f t="shared" si="349"/>
        <v>NO APLICA</v>
      </c>
      <c r="LU100" s="16"/>
      <c r="LV100" s="16"/>
      <c r="LW100" s="14"/>
      <c r="LX100" s="65"/>
      <c r="LY100" s="15" t="str">
        <f t="shared" si="350"/>
        <v>NO APLICA</v>
      </c>
      <c r="LZ100" s="12"/>
      <c r="MA100" s="12"/>
      <c r="MB100" s="14"/>
      <c r="MC100" s="65"/>
      <c r="MD100" s="15" t="str">
        <f t="shared" si="331"/>
        <v>NO APLICA</v>
      </c>
      <c r="ME100" s="12"/>
      <c r="MF100" s="12"/>
      <c r="MG100" s="14"/>
      <c r="MH100" s="65"/>
      <c r="MI100" s="15" t="str">
        <f t="shared" si="332"/>
        <v>NO APLICA</v>
      </c>
      <c r="MJ100" s="12"/>
      <c r="MK100" s="14"/>
      <c r="ML100" s="65"/>
      <c r="MM100" s="15" t="str">
        <f t="shared" si="333"/>
        <v>NO APLICA</v>
      </c>
      <c r="MN100" s="12"/>
      <c r="MO100" s="14"/>
      <c r="MP100" s="12"/>
      <c r="MQ100" s="15" t="str">
        <f t="shared" si="334"/>
        <v>NO APLICA</v>
      </c>
      <c r="MR100" s="12"/>
      <c r="MS100" s="16"/>
      <c r="MT100" s="14"/>
      <c r="MU100" s="65"/>
      <c r="MV100" s="15" t="str">
        <f t="shared" si="335"/>
        <v>NO APLICA</v>
      </c>
      <c r="MW100" s="12"/>
      <c r="MX100" s="16"/>
      <c r="MY100" s="14"/>
      <c r="MZ100" s="65"/>
      <c r="NA100" s="15" t="str">
        <f t="shared" si="336"/>
        <v>NO APLICA</v>
      </c>
      <c r="NB100" s="12"/>
      <c r="NC100" s="16"/>
      <c r="ND100" s="14"/>
      <c r="NE100" s="65"/>
      <c r="NF100" s="15" t="str">
        <f t="shared" si="337"/>
        <v>NO APLICA</v>
      </c>
      <c r="NG100" s="12"/>
      <c r="NH100" s="12"/>
      <c r="NI100" s="14"/>
      <c r="NJ100" s="65"/>
      <c r="NK100" s="15" t="str">
        <f t="shared" si="338"/>
        <v>NO APLICA</v>
      </c>
      <c r="NL100" s="12"/>
      <c r="NM100" s="12"/>
      <c r="NN100" s="12"/>
      <c r="NO100" s="12"/>
      <c r="NP100" s="15" t="str">
        <f t="shared" si="339"/>
        <v>NO APLICA</v>
      </c>
      <c r="NQ100" s="16"/>
      <c r="NR100" s="16"/>
      <c r="NS100" s="14"/>
      <c r="NT100" s="65"/>
      <c r="NU100" s="15" t="str">
        <f t="shared" si="340"/>
        <v>NO APLICA</v>
      </c>
      <c r="NV100" s="16"/>
      <c r="NW100" s="16"/>
      <c r="NX100" s="16"/>
      <c r="NY100" s="16"/>
      <c r="NZ100" s="15" t="str">
        <f t="shared" si="341"/>
        <v>NO APLICA</v>
      </c>
    </row>
    <row r="101" spans="1:390" ht="15.6" thickTop="1" thickBot="1" x14ac:dyDescent="0.35">
      <c r="A101" s="9">
        <v>811</v>
      </c>
      <c r="B101" s="10" t="s">
        <v>404</v>
      </c>
      <c r="C101" s="21" t="s">
        <v>104</v>
      </c>
      <c r="D101" s="64" t="s">
        <v>114</v>
      </c>
      <c r="E101" s="12"/>
      <c r="F101" s="16"/>
      <c r="G101" s="14"/>
      <c r="H101" s="65"/>
      <c r="I101" s="15" t="str">
        <f t="shared" si="235"/>
        <v>NO APLICA</v>
      </c>
      <c r="J101" s="12"/>
      <c r="K101" s="16"/>
      <c r="L101" s="16"/>
      <c r="M101" s="65"/>
      <c r="N101" s="15" t="str">
        <f t="shared" si="236"/>
        <v>NO APLICA</v>
      </c>
      <c r="O101" s="16"/>
      <c r="P101" s="16"/>
      <c r="Q101" s="14"/>
      <c r="R101" s="65"/>
      <c r="S101" s="15" t="str">
        <f t="shared" si="342"/>
        <v>NO APLICA</v>
      </c>
      <c r="T101" s="12" t="s">
        <v>405</v>
      </c>
      <c r="U101" s="13">
        <v>44828</v>
      </c>
      <c r="V101" s="14">
        <v>44829</v>
      </c>
      <c r="W101" s="14">
        <f t="shared" si="237"/>
        <v>46655</v>
      </c>
      <c r="X101" s="65">
        <f t="shared" ca="1" si="238"/>
        <v>524</v>
      </c>
      <c r="Y101" s="15" t="str">
        <f t="shared" ca="1" si="239"/>
        <v>VIGENTE</v>
      </c>
      <c r="Z101" s="12" t="s">
        <v>406</v>
      </c>
      <c r="AA101" s="13">
        <v>44830</v>
      </c>
      <c r="AB101" s="14">
        <v>44831</v>
      </c>
      <c r="AC101" s="14">
        <f>DATE(YEAR(AB101)+5,MONTH(AB101),DAY(AB101))</f>
        <v>46657</v>
      </c>
      <c r="AD101" s="65">
        <f ca="1">AC101-TODAY()</f>
        <v>526</v>
      </c>
      <c r="AE101" s="15" t="str">
        <f t="shared" ca="1" si="389"/>
        <v>VIGENTE</v>
      </c>
      <c r="AF101" s="13">
        <v>45334</v>
      </c>
      <c r="AG101" s="14">
        <v>46006</v>
      </c>
      <c r="AH101" s="14">
        <f>DATE(YEAR(AG101)+2,MONTH(AG101),DAY(AG101))</f>
        <v>46736</v>
      </c>
      <c r="AI101" s="65">
        <f t="shared" ca="1" si="241"/>
        <v>605</v>
      </c>
      <c r="AJ101" s="15" t="str">
        <f t="shared" ca="1" si="213"/>
        <v>VIGENTE</v>
      </c>
      <c r="AK101" s="13">
        <v>45307</v>
      </c>
      <c r="AL101" s="14">
        <v>45959</v>
      </c>
      <c r="AM101" s="14">
        <f>DATE(YEAR(AL101)+2,MONTH(AL101),DAY(AL101))</f>
        <v>46689</v>
      </c>
      <c r="AN101" s="65">
        <f t="shared" ca="1" si="242"/>
        <v>558</v>
      </c>
      <c r="AO101" s="15" t="str">
        <f t="shared" ca="1" si="243"/>
        <v>VIGENTE</v>
      </c>
      <c r="AP101" s="13">
        <v>45349</v>
      </c>
      <c r="AQ101" s="14">
        <v>45996</v>
      </c>
      <c r="AR101" s="14">
        <f>DATE(YEAR(AQ101)+2,MONTH(AQ101),DAY(AQ101))</f>
        <v>46726</v>
      </c>
      <c r="AS101" s="65">
        <f t="shared" ca="1" si="244"/>
        <v>595</v>
      </c>
      <c r="AT101" s="15" t="str">
        <f t="shared" ca="1" si="245"/>
        <v>VIGENTE</v>
      </c>
      <c r="AU101" s="13">
        <v>45323</v>
      </c>
      <c r="AV101" s="14">
        <v>45972</v>
      </c>
      <c r="AW101" s="14">
        <f>DATE(YEAR(AV101)+2,MONTH(AV101),DAY(AV101))</f>
        <v>46702</v>
      </c>
      <c r="AX101" s="65">
        <f t="shared" ca="1" si="246"/>
        <v>571</v>
      </c>
      <c r="AY101" s="15" t="str">
        <f t="shared" ca="1" si="247"/>
        <v>VIGENTE</v>
      </c>
      <c r="AZ101" s="13">
        <v>44917</v>
      </c>
      <c r="BA101" s="14">
        <v>45603</v>
      </c>
      <c r="BB101" s="14">
        <f>DATE(YEAR(BA101)+2,MONTH(BA101),DAY(BA101)-1)</f>
        <v>46332</v>
      </c>
      <c r="BC101" s="65">
        <f t="shared" ca="1" si="248"/>
        <v>201</v>
      </c>
      <c r="BD101" s="15" t="str">
        <f t="shared" ca="1" si="249"/>
        <v>VIGENTE</v>
      </c>
      <c r="BE101" s="13">
        <v>44683</v>
      </c>
      <c r="BF101" s="14">
        <v>46067</v>
      </c>
      <c r="BG101" s="14">
        <f>DATE(YEAR(BF101)+2,MONTH(BF101),DAY(BF101))</f>
        <v>46797</v>
      </c>
      <c r="BH101" s="65">
        <f t="shared" ca="1" si="250"/>
        <v>666</v>
      </c>
      <c r="BI101" s="15" t="str">
        <f t="shared" ca="1" si="251"/>
        <v>VIGENTE</v>
      </c>
      <c r="BJ101" s="13">
        <v>45389</v>
      </c>
      <c r="BK101" s="14">
        <v>46035</v>
      </c>
      <c r="BL101" s="14">
        <f>DATE(YEAR(BK101)+2,MONTH(BK101),DAY(BK101))</f>
        <v>46765</v>
      </c>
      <c r="BM101" s="65">
        <f t="shared" ca="1" si="252"/>
        <v>634</v>
      </c>
      <c r="BN101" s="15" t="str">
        <f t="shared" ca="1" si="253"/>
        <v>VIGENTE</v>
      </c>
      <c r="BO101" s="13">
        <v>44754</v>
      </c>
      <c r="BP101" s="14">
        <v>46069</v>
      </c>
      <c r="BQ101" s="14">
        <f>DATE(YEAR(BP101)+2,MONTH(BP101),DAY(BP101))</f>
        <v>46799</v>
      </c>
      <c r="BR101" s="65">
        <f t="shared" ca="1" si="254"/>
        <v>668</v>
      </c>
      <c r="BS101" s="15" t="str">
        <f t="shared" ca="1" si="255"/>
        <v>VIGENTE</v>
      </c>
      <c r="BT101" s="13">
        <v>45048</v>
      </c>
      <c r="BU101" s="14">
        <v>45695</v>
      </c>
      <c r="BV101" s="14">
        <f>DATE(YEAR(BU101)+2,MONTH(BU101),DAY(BU101)-1)</f>
        <v>46424</v>
      </c>
      <c r="BW101" s="65">
        <f t="shared" ca="1" si="256"/>
        <v>293</v>
      </c>
      <c r="BX101" s="15" t="str">
        <f t="shared" ca="1" si="257"/>
        <v>VIGENTE</v>
      </c>
      <c r="BY101" s="13">
        <v>45293</v>
      </c>
      <c r="BZ101" s="14">
        <v>45974</v>
      </c>
      <c r="CA101" s="14">
        <f>DATE(YEAR(BZ101)+2,MONTH(BZ101),DAY(BZ101))</f>
        <v>46704</v>
      </c>
      <c r="CB101" s="65">
        <f t="shared" ca="1" si="258"/>
        <v>573</v>
      </c>
      <c r="CC101" s="15" t="str">
        <f t="shared" ca="1" si="259"/>
        <v>VIGENTE</v>
      </c>
      <c r="CD101" s="16" t="s">
        <v>108</v>
      </c>
      <c r="CE101" s="14">
        <v>45281</v>
      </c>
      <c r="CF101" s="14">
        <v>45282</v>
      </c>
      <c r="CG101" s="14">
        <f t="shared" si="377"/>
        <v>46743</v>
      </c>
      <c r="CH101" s="65">
        <f t="shared" ca="1" si="378"/>
        <v>612</v>
      </c>
      <c r="CI101" s="15" t="str">
        <f t="shared" ca="1" si="262"/>
        <v>VIGENTE</v>
      </c>
      <c r="CJ101" s="14">
        <v>45051</v>
      </c>
      <c r="CK101" s="14">
        <v>45688</v>
      </c>
      <c r="CL101" s="14">
        <f>DATE(YEAR(CK101)+2,MONTH(CK101),DAY(CK101)-1)</f>
        <v>46417</v>
      </c>
      <c r="CM101" s="65">
        <f t="shared" ca="1" si="263"/>
        <v>286</v>
      </c>
      <c r="CN101" s="15" t="str">
        <f t="shared" ca="1" si="264"/>
        <v>VIGENTE</v>
      </c>
      <c r="CO101" s="13">
        <v>45087</v>
      </c>
      <c r="CP101" s="14">
        <v>45726</v>
      </c>
      <c r="CQ101" s="14">
        <f>DATE(YEAR(CP101)+2,MONTH(CP101),DAY(CP101)-1)</f>
        <v>46455</v>
      </c>
      <c r="CR101" s="65">
        <f t="shared" ca="1" si="265"/>
        <v>324</v>
      </c>
      <c r="CS101" s="15" t="str">
        <f t="shared" ca="1" si="266"/>
        <v>VIGENTE</v>
      </c>
      <c r="CT101" s="13">
        <v>44967</v>
      </c>
      <c r="CU101" s="14">
        <v>45631</v>
      </c>
      <c r="CV101" s="14">
        <f>DATE(YEAR(CU101)+2,MONTH(CU101),DAY(CU101)-1)</f>
        <v>46360</v>
      </c>
      <c r="CW101" s="65">
        <f t="shared" ca="1" si="267"/>
        <v>229</v>
      </c>
      <c r="CX101" s="15" t="str">
        <f t="shared" ca="1" si="268"/>
        <v>VIGENTE</v>
      </c>
      <c r="CY101" s="13">
        <v>44999</v>
      </c>
      <c r="CZ101" s="14">
        <v>45661</v>
      </c>
      <c r="DA101" s="14">
        <f t="shared" si="390"/>
        <v>46390</v>
      </c>
      <c r="DB101" s="65">
        <f t="shared" ca="1" si="269"/>
        <v>259</v>
      </c>
      <c r="DC101" s="15" t="str">
        <f t="shared" ca="1" si="270"/>
        <v>VIGENTE</v>
      </c>
      <c r="DD101" s="13">
        <v>44966</v>
      </c>
      <c r="DE101" s="14">
        <v>45607</v>
      </c>
      <c r="DF101" s="14">
        <f>DATE(YEAR(DE101)+2,MONTH(DE101),DAY(DE101)-1)</f>
        <v>46336</v>
      </c>
      <c r="DG101" s="65">
        <f t="shared" ca="1" si="271"/>
        <v>205</v>
      </c>
      <c r="DH101" s="15" t="str">
        <f t="shared" ca="1" si="272"/>
        <v>VIGENTE</v>
      </c>
      <c r="DI101" s="13">
        <v>44914</v>
      </c>
      <c r="DJ101" s="14">
        <v>45580</v>
      </c>
      <c r="DK101" s="14">
        <f>DATE(YEAR(DJ101)+2,MONTH(DJ101),DAY(DJ101)-1)</f>
        <v>46309</v>
      </c>
      <c r="DL101" s="65">
        <f t="shared" ca="1" si="273"/>
        <v>178</v>
      </c>
      <c r="DM101" s="15" t="str">
        <f t="shared" ca="1" si="274"/>
        <v>VIGENTE</v>
      </c>
      <c r="DN101" s="13">
        <v>44613</v>
      </c>
      <c r="DO101" s="14">
        <v>46008</v>
      </c>
      <c r="DP101" s="14">
        <f>DATE(YEAR(DO101)+2,MONTH(DO101),DAY(DO101))</f>
        <v>46738</v>
      </c>
      <c r="DQ101" s="65">
        <f t="shared" ca="1" si="275"/>
        <v>607</v>
      </c>
      <c r="DR101" s="15" t="str">
        <f t="shared" ca="1" si="276"/>
        <v>VIGENTE</v>
      </c>
      <c r="DS101" s="13">
        <v>45035</v>
      </c>
      <c r="DT101" s="14">
        <v>45685</v>
      </c>
      <c r="DU101" s="14">
        <f>DATE(YEAR(DT101)+2,MONTH(DT101),DAY(DT101)-1)</f>
        <v>46414</v>
      </c>
      <c r="DV101" s="65">
        <f t="shared" ca="1" si="277"/>
        <v>283</v>
      </c>
      <c r="DW101" s="15" t="str">
        <f t="shared" ca="1" si="278"/>
        <v>VIGENTE</v>
      </c>
      <c r="DX101" s="13">
        <v>44993</v>
      </c>
      <c r="DY101" s="14">
        <v>45663</v>
      </c>
      <c r="DZ101" s="14">
        <f>DATE(YEAR(DY101)+2,MONTH(DY101),DAY(DY101)-1)</f>
        <v>46392</v>
      </c>
      <c r="EA101" s="65">
        <f t="shared" ca="1" si="279"/>
        <v>261</v>
      </c>
      <c r="EB101" s="15" t="str">
        <f t="shared" ca="1" si="280"/>
        <v>VIGENTE</v>
      </c>
      <c r="EC101" s="13">
        <v>44994</v>
      </c>
      <c r="ED101" s="14">
        <v>45674</v>
      </c>
      <c r="EE101" s="14">
        <f>DATE(YEAR(ED101)+2,MONTH(ED101),DAY(ED101)-1)</f>
        <v>46403</v>
      </c>
      <c r="EF101" s="65">
        <f t="shared" ca="1" si="281"/>
        <v>272</v>
      </c>
      <c r="EG101" s="15" t="str">
        <f t="shared" ca="1" si="282"/>
        <v>VIGENTE</v>
      </c>
      <c r="EH101" s="13">
        <v>45750</v>
      </c>
      <c r="EI101" s="13">
        <v>46083</v>
      </c>
      <c r="EJ101" s="13">
        <v>46084</v>
      </c>
      <c r="EK101" s="13">
        <v>46085</v>
      </c>
      <c r="EL101" s="14">
        <f t="shared" si="344"/>
        <v>46450</v>
      </c>
      <c r="EM101" s="65">
        <f t="shared" ca="1" si="283"/>
        <v>319</v>
      </c>
      <c r="EN101" s="15" t="str">
        <f t="shared" ca="1" si="284"/>
        <v>VIGENTE</v>
      </c>
      <c r="EO101" s="13">
        <v>45283</v>
      </c>
      <c r="EP101" s="14">
        <v>45612</v>
      </c>
      <c r="EQ101" s="14">
        <f>DATE(YEAR(EP101)+2,MONTH(EP101),DAY(EP101)-1)</f>
        <v>46341</v>
      </c>
      <c r="ER101" s="65">
        <f t="shared" ca="1" si="285"/>
        <v>210</v>
      </c>
      <c r="ES101" s="15" t="str">
        <f t="shared" ca="1" si="286"/>
        <v>VIGENTE</v>
      </c>
      <c r="ET101" s="12">
        <v>45096</v>
      </c>
      <c r="EU101" s="14">
        <v>45755</v>
      </c>
      <c r="EV101" s="14">
        <f>DATE(YEAR(EU101)+2,MONTH(EU101),DAY(EU101)-1)</f>
        <v>46484</v>
      </c>
      <c r="EW101" s="65">
        <f t="shared" ca="1" si="287"/>
        <v>353</v>
      </c>
      <c r="EX101" s="15" t="str">
        <f t="shared" ca="1" si="288"/>
        <v>VIGENTE</v>
      </c>
      <c r="EY101" s="13">
        <v>45311</v>
      </c>
      <c r="EZ101" s="14">
        <v>45973</v>
      </c>
      <c r="FA101" s="14">
        <f>DATE(YEAR(EZ101)+2,MONTH(EZ101),DAY(EZ101))</f>
        <v>46703</v>
      </c>
      <c r="FB101" s="65">
        <f t="shared" ca="1" si="289"/>
        <v>572</v>
      </c>
      <c r="FC101" s="15" t="str">
        <f t="shared" ca="1" si="290"/>
        <v>VIGENTE</v>
      </c>
      <c r="FD101" s="13">
        <v>45343</v>
      </c>
      <c r="FE101" s="14">
        <v>46017</v>
      </c>
      <c r="FF101" s="14">
        <f>DATE(YEAR(FE101)+2,MONTH(FE101),DAY(FE101))</f>
        <v>46747</v>
      </c>
      <c r="FG101" s="65">
        <f t="shared" ca="1" si="291"/>
        <v>616</v>
      </c>
      <c r="FH101" s="15" t="str">
        <f t="shared" ca="1" si="292"/>
        <v>VIGENTE</v>
      </c>
      <c r="FI101" s="13">
        <v>44645</v>
      </c>
      <c r="FJ101" s="14">
        <v>46009</v>
      </c>
      <c r="FK101" s="14">
        <f>DATE(YEAR(FJ101)+2,MONTH(FJ101),DAY(FJ101))</f>
        <v>46739</v>
      </c>
      <c r="FL101" s="65">
        <f t="shared" ca="1" si="293"/>
        <v>608</v>
      </c>
      <c r="FM101" s="15" t="str">
        <f t="shared" ca="1" si="294"/>
        <v>VIGENTE</v>
      </c>
      <c r="FN101" s="13">
        <v>44980</v>
      </c>
      <c r="FO101" s="14">
        <v>45637</v>
      </c>
      <c r="FP101" s="14">
        <f>DATE(YEAR(FO101)+2,MONTH(FO101),DAY(FO101)-1)</f>
        <v>46366</v>
      </c>
      <c r="FQ101" s="65">
        <f t="shared" ca="1" si="295"/>
        <v>235</v>
      </c>
      <c r="FR101" s="15" t="str">
        <f t="shared" ca="1" si="296"/>
        <v>VIGENTE</v>
      </c>
      <c r="FS101" s="13">
        <v>44925</v>
      </c>
      <c r="FT101" s="14">
        <v>45605</v>
      </c>
      <c r="FU101" s="14">
        <f>DATE(YEAR(FT101)+2,MONTH(FT101),DAY(FT101)-1)</f>
        <v>46334</v>
      </c>
      <c r="FV101" s="65">
        <f t="shared" ca="1" si="297"/>
        <v>203</v>
      </c>
      <c r="FW101" s="15" t="str">
        <f t="shared" ca="1" si="298"/>
        <v>VIGENTE</v>
      </c>
      <c r="FX101" s="13">
        <v>44924</v>
      </c>
      <c r="FY101" s="14">
        <v>45587</v>
      </c>
      <c r="FZ101" s="14">
        <f t="shared" si="391"/>
        <v>46316</v>
      </c>
      <c r="GA101" s="65">
        <f t="shared" ca="1" si="299"/>
        <v>185</v>
      </c>
      <c r="GB101" s="15" t="str">
        <f t="shared" ca="1" si="300"/>
        <v>VIGENTE</v>
      </c>
      <c r="GC101" s="13">
        <v>44923</v>
      </c>
      <c r="GD101" s="14">
        <v>45595</v>
      </c>
      <c r="GE101" s="14">
        <f>DATE(YEAR(GD101)+2,MONTH(GD101),DAY(GD101)-1)</f>
        <v>46324</v>
      </c>
      <c r="GF101" s="65">
        <f t="shared" ca="1" si="301"/>
        <v>193</v>
      </c>
      <c r="GG101" s="15" t="str">
        <f t="shared" ca="1" si="302"/>
        <v>VIGENTE</v>
      </c>
      <c r="GH101" s="13">
        <v>44909</v>
      </c>
      <c r="GI101" s="14">
        <v>45498</v>
      </c>
      <c r="GJ101" s="14">
        <f>DATE(YEAR(GI101)+2,MONTH(GI101),DAY(GI101)-1)</f>
        <v>46227</v>
      </c>
      <c r="GK101" s="65">
        <f t="shared" ca="1" si="303"/>
        <v>96</v>
      </c>
      <c r="GL101" s="15" t="str">
        <f t="shared" ca="1" si="304"/>
        <v>VIGENTE</v>
      </c>
      <c r="GM101" s="13">
        <v>45264</v>
      </c>
      <c r="GN101" s="14">
        <v>45958</v>
      </c>
      <c r="GO101" s="14">
        <f>DATE(YEAR(GN101)+2,MONTH(GN101),DAY(GN101))</f>
        <v>46688</v>
      </c>
      <c r="GP101" s="65">
        <f t="shared" ca="1" si="305"/>
        <v>557</v>
      </c>
      <c r="GQ101" s="15" t="str">
        <f t="shared" ca="1" si="306"/>
        <v>VIGENTE</v>
      </c>
      <c r="GR101" s="14">
        <v>44571</v>
      </c>
      <c r="GS101" s="14">
        <v>45283</v>
      </c>
      <c r="GT101" s="14">
        <f t="shared" si="307"/>
        <v>47110</v>
      </c>
      <c r="GU101" s="65">
        <f t="shared" ca="1" si="374"/>
        <v>979</v>
      </c>
      <c r="GV101" s="15" t="str">
        <f t="shared" ca="1" si="368"/>
        <v>VIGENTE</v>
      </c>
      <c r="GW101" s="13">
        <v>44571</v>
      </c>
      <c r="GX101" s="14">
        <v>45252</v>
      </c>
      <c r="GY101" s="14">
        <f t="shared" si="309"/>
        <v>47079</v>
      </c>
      <c r="GZ101" s="65">
        <f t="shared" ca="1" si="310"/>
        <v>948</v>
      </c>
      <c r="HA101" s="15" t="str">
        <f t="shared" ca="1" si="369"/>
        <v>VIGENTE</v>
      </c>
      <c r="HB101" s="13">
        <v>44565</v>
      </c>
      <c r="HC101" s="14">
        <v>45251</v>
      </c>
      <c r="HD101" s="14">
        <f t="shared" si="312"/>
        <v>47078</v>
      </c>
      <c r="HE101" s="65">
        <f t="shared" ca="1" si="313"/>
        <v>947</v>
      </c>
      <c r="HF101" s="15" t="str">
        <f t="shared" ca="1" si="394"/>
        <v>VIGENTE</v>
      </c>
      <c r="HG101" s="16"/>
      <c r="HH101" s="14">
        <v>44862</v>
      </c>
      <c r="HI101" s="14">
        <f t="shared" si="392"/>
        <v>46688</v>
      </c>
      <c r="HJ101" s="65">
        <f t="shared" ca="1" si="393"/>
        <v>557</v>
      </c>
      <c r="HK101" s="15" t="str">
        <f t="shared" ca="1" si="395"/>
        <v>VIGENTE</v>
      </c>
      <c r="HL101" s="13">
        <v>44635</v>
      </c>
      <c r="HM101" s="14">
        <v>45341</v>
      </c>
      <c r="HN101" s="14">
        <f>DATE(YEAR(HM101)+5,MONTH(HM101),DAY(HM101))</f>
        <v>47168</v>
      </c>
      <c r="HO101" s="65">
        <f ca="1">HN101-TODAY()</f>
        <v>1037</v>
      </c>
      <c r="HP101" s="15" t="str">
        <f t="shared" ca="1" si="375"/>
        <v>VIGENTE</v>
      </c>
      <c r="HQ101" s="12"/>
      <c r="HR101" s="13">
        <v>45386</v>
      </c>
      <c r="HS101" s="14">
        <f>DATE(YEAR(HR101)+5,MONTH(HR101),DAY(HR101))</f>
        <v>47212</v>
      </c>
      <c r="HT101" s="65">
        <f ca="1">HS101-TODAY()</f>
        <v>1081</v>
      </c>
      <c r="HU101" s="15" t="str">
        <f t="shared" ca="1" si="315"/>
        <v>VIGENTE</v>
      </c>
      <c r="HV101" s="13">
        <v>44782</v>
      </c>
      <c r="HW101" s="14">
        <v>45469</v>
      </c>
      <c r="HX101" s="14">
        <f>DATE(YEAR(HW101)+5,MONTH(HW101),DAY(HW101))</f>
        <v>47295</v>
      </c>
      <c r="HY101" s="65">
        <f ca="1">HX101-TODAY()</f>
        <v>1164</v>
      </c>
      <c r="HZ101" s="15" t="str">
        <f t="shared" ca="1" si="316"/>
        <v>VIGENTE</v>
      </c>
      <c r="IA101" s="13">
        <v>44522</v>
      </c>
      <c r="IB101" s="14">
        <v>45223</v>
      </c>
      <c r="IC101" s="14">
        <f>DATE(YEAR(IB101)+5,MONTH(IB101),DAY(IB101))</f>
        <v>47050</v>
      </c>
      <c r="ID101" s="65">
        <f ca="1">IC101-TODAY()</f>
        <v>919</v>
      </c>
      <c r="IE101" s="15" t="str">
        <f t="shared" ca="1" si="317"/>
        <v>VIGENTE</v>
      </c>
      <c r="IF101" s="13">
        <v>44510</v>
      </c>
      <c r="IG101" s="14">
        <v>45192</v>
      </c>
      <c r="IH101" s="14">
        <f>DATE(YEAR(IG101)+5,MONTH(IG101),DAY(IG101))</f>
        <v>47019</v>
      </c>
      <c r="II101" s="65">
        <f ca="1">IH101-TODAY()</f>
        <v>888</v>
      </c>
      <c r="IJ101" s="15" t="str">
        <f t="shared" ca="1" si="318"/>
        <v>VIGENTE</v>
      </c>
      <c r="IK101" s="14">
        <v>44795</v>
      </c>
      <c r="IL101" s="14">
        <v>45455</v>
      </c>
      <c r="IM101" s="14">
        <f>DATE(YEAR(IL101)+5,MONTH(IL101),DAY(IL101))</f>
        <v>47281</v>
      </c>
      <c r="IN101" s="65">
        <f ca="1">IM101-TODAY()</f>
        <v>1150</v>
      </c>
      <c r="IO101" s="15" t="str">
        <f t="shared" ca="1" si="319"/>
        <v>VIGENTE</v>
      </c>
      <c r="IP101" s="13">
        <v>44795</v>
      </c>
      <c r="IQ101" s="14">
        <v>45490</v>
      </c>
      <c r="IR101" s="14">
        <f>DATE(YEAR(IQ101)+5,MONTH(IQ101),DAY(IQ101))</f>
        <v>47316</v>
      </c>
      <c r="IS101" s="65">
        <f ca="1">IR101-TODAY()</f>
        <v>1185</v>
      </c>
      <c r="IT101" s="15" t="str">
        <f t="shared" ca="1" si="320"/>
        <v>VIGENTE</v>
      </c>
      <c r="IU101" s="13">
        <v>44510</v>
      </c>
      <c r="IV101" s="14">
        <v>45191</v>
      </c>
      <c r="IW101" s="14">
        <f>DATE(YEAR(IV101)+5,MONTH(IV101),DAY(IV101))</f>
        <v>47018</v>
      </c>
      <c r="IX101" s="65">
        <f ca="1">IW101-TODAY()</f>
        <v>887</v>
      </c>
      <c r="IY101" s="15" t="str">
        <f t="shared" ca="1" si="321"/>
        <v>VIGENTE</v>
      </c>
      <c r="IZ101" s="13">
        <v>44522</v>
      </c>
      <c r="JA101" s="14">
        <v>45224</v>
      </c>
      <c r="JB101" s="14">
        <f>DATE(YEAR(JA101)+5,MONTH(JA101),DAY(JA101))</f>
        <v>47051</v>
      </c>
      <c r="JC101" s="65">
        <f ca="1">JB101-TODAY()</f>
        <v>920</v>
      </c>
      <c r="JD101" s="15" t="str">
        <f t="shared" ca="1" si="322"/>
        <v>VIGENTE</v>
      </c>
      <c r="JE101" s="13"/>
      <c r="JF101" s="13"/>
      <c r="JG101" s="14"/>
      <c r="JH101" s="65"/>
      <c r="JI101" s="15" t="str">
        <f t="shared" si="323"/>
        <v>NO APLICA</v>
      </c>
      <c r="JJ101" s="16"/>
      <c r="JK101" s="16"/>
      <c r="JL101" s="16"/>
      <c r="JM101" s="15" t="str">
        <f t="shared" si="324"/>
        <v>NO APLICA</v>
      </c>
      <c r="JN101" s="16"/>
      <c r="JO101" s="16"/>
      <c r="JP101" s="16"/>
      <c r="JQ101" s="15" t="str">
        <f t="shared" si="325"/>
        <v>NO APLICA</v>
      </c>
      <c r="JR101" s="16"/>
      <c r="JS101" s="16"/>
      <c r="JT101" s="16"/>
      <c r="JU101" s="16"/>
      <c r="JV101" s="15" t="str">
        <f t="shared" si="326"/>
        <v>NO APLICA</v>
      </c>
      <c r="JW101" s="15"/>
      <c r="JX101" s="13">
        <v>45948</v>
      </c>
      <c r="JY101" s="14">
        <f>DATE(YEAR(JX101)+2,MONTH(JX101),DAY(JX101))</f>
        <v>46678</v>
      </c>
      <c r="JZ101" s="65">
        <f ca="1">JY101-TODAY()</f>
        <v>547</v>
      </c>
      <c r="KA101" s="15" t="str">
        <f t="shared" ca="1" si="327"/>
        <v>VIGENTE</v>
      </c>
      <c r="KB101" s="12"/>
      <c r="KC101" s="14"/>
      <c r="KD101" s="65"/>
      <c r="KE101" s="15" t="str">
        <f t="shared" si="328"/>
        <v>NO APLICA</v>
      </c>
      <c r="KF101" s="12"/>
      <c r="KG101" s="14"/>
      <c r="KH101" s="65"/>
      <c r="KI101" s="15" t="str">
        <f t="shared" si="345"/>
        <v>NO APLICA</v>
      </c>
      <c r="KJ101" s="12"/>
      <c r="KK101" s="14"/>
      <c r="KL101" s="65"/>
      <c r="KM101" s="15" t="str">
        <f t="shared" si="329"/>
        <v>NO APLICA</v>
      </c>
      <c r="KN101" s="12"/>
      <c r="KO101" s="14"/>
      <c r="KP101" s="65"/>
      <c r="KQ101" s="15" t="str">
        <f t="shared" si="346"/>
        <v>NO APLICA</v>
      </c>
      <c r="KR101" s="13">
        <v>44655</v>
      </c>
      <c r="KS101" s="14">
        <v>44656</v>
      </c>
      <c r="KT101" s="14">
        <f>DATE(YEAR(KS101)+5,MONTH(KS101),DAY(KS101))</f>
        <v>46482</v>
      </c>
      <c r="KU101" s="65">
        <f ca="1">KT101-TODAY()</f>
        <v>351</v>
      </c>
      <c r="KV101" s="15" t="str">
        <f t="shared" ca="1" si="355"/>
        <v>VIGENTE</v>
      </c>
      <c r="KW101" s="16"/>
      <c r="KX101" s="14"/>
      <c r="KY101" s="65"/>
      <c r="KZ101" s="15" t="str">
        <f t="shared" si="347"/>
        <v>NO APLICA</v>
      </c>
      <c r="LA101" s="14">
        <v>44487</v>
      </c>
      <c r="LB101" s="14"/>
      <c r="LC101" s="14"/>
      <c r="LD101" s="65"/>
      <c r="LE101" s="15" t="str">
        <f t="shared" si="330"/>
        <v>NO APLICA</v>
      </c>
      <c r="LF101" s="15"/>
      <c r="LG101" s="15"/>
      <c r="LH101" s="14"/>
      <c r="LI101" s="65"/>
      <c r="LJ101" s="15" t="str">
        <f t="shared" si="356"/>
        <v>NO APLICA</v>
      </c>
      <c r="LK101" s="12"/>
      <c r="LL101" s="16"/>
      <c r="LM101" s="14"/>
      <c r="LN101" s="65"/>
      <c r="LO101" s="15" t="str">
        <f t="shared" si="348"/>
        <v>NO APLICA</v>
      </c>
      <c r="LP101" s="16"/>
      <c r="LQ101" s="16"/>
      <c r="LR101" s="14"/>
      <c r="LS101" s="65"/>
      <c r="LT101" s="15" t="str">
        <f t="shared" si="349"/>
        <v>NO APLICA</v>
      </c>
      <c r="LU101" s="16"/>
      <c r="LV101" s="16"/>
      <c r="LW101" s="14"/>
      <c r="LX101" s="65"/>
      <c r="LY101" s="15" t="str">
        <f t="shared" si="350"/>
        <v>NO APLICA</v>
      </c>
      <c r="LZ101" s="12"/>
      <c r="MA101" s="12"/>
      <c r="MB101" s="14"/>
      <c r="MC101" s="65"/>
      <c r="MD101" s="15" t="str">
        <f t="shared" si="331"/>
        <v>NO APLICA</v>
      </c>
      <c r="ME101" s="12"/>
      <c r="MF101" s="12"/>
      <c r="MG101" s="14"/>
      <c r="MH101" s="65"/>
      <c r="MI101" s="15" t="str">
        <f t="shared" si="332"/>
        <v>NO APLICA</v>
      </c>
      <c r="MJ101" s="12"/>
      <c r="MK101" s="14"/>
      <c r="ML101" s="65"/>
      <c r="MM101" s="15" t="str">
        <f t="shared" si="333"/>
        <v>NO APLICA</v>
      </c>
      <c r="MN101" s="12"/>
      <c r="MO101" s="14"/>
      <c r="MP101" s="12"/>
      <c r="MQ101" s="15" t="str">
        <f t="shared" si="334"/>
        <v>NO APLICA</v>
      </c>
      <c r="MR101" s="12"/>
      <c r="MS101" s="16"/>
      <c r="MT101" s="14"/>
      <c r="MU101" s="65"/>
      <c r="MV101" s="15" t="str">
        <f t="shared" si="335"/>
        <v>NO APLICA</v>
      </c>
      <c r="MW101" s="12"/>
      <c r="MX101" s="16"/>
      <c r="MY101" s="14"/>
      <c r="MZ101" s="65"/>
      <c r="NA101" s="15" t="str">
        <f t="shared" si="336"/>
        <v>NO APLICA</v>
      </c>
      <c r="NB101" s="12"/>
      <c r="NC101" s="16"/>
      <c r="ND101" s="14"/>
      <c r="NE101" s="65"/>
      <c r="NF101" s="15" t="str">
        <f t="shared" si="337"/>
        <v>NO APLICA</v>
      </c>
      <c r="NG101" s="12"/>
      <c r="NH101" s="12"/>
      <c r="NI101" s="14"/>
      <c r="NJ101" s="65"/>
      <c r="NK101" s="15" t="str">
        <f t="shared" si="338"/>
        <v>NO APLICA</v>
      </c>
      <c r="NL101" s="12"/>
      <c r="NM101" s="12"/>
      <c r="NN101" s="12"/>
      <c r="NO101" s="12"/>
      <c r="NP101" s="15" t="str">
        <f t="shared" si="339"/>
        <v>NO APLICA</v>
      </c>
      <c r="NQ101" s="16"/>
      <c r="NR101" s="16"/>
      <c r="NS101" s="14"/>
      <c r="NT101" s="65"/>
      <c r="NU101" s="15" t="str">
        <f t="shared" si="340"/>
        <v>NO APLICA</v>
      </c>
      <c r="NV101" s="16"/>
      <c r="NW101" s="16"/>
      <c r="NX101" s="16"/>
      <c r="NY101" s="16"/>
      <c r="NZ101" s="15" t="str">
        <f t="shared" si="341"/>
        <v>NO APLICA</v>
      </c>
    </row>
    <row r="102" spans="1:390" ht="15.6" thickTop="1" thickBot="1" x14ac:dyDescent="0.35">
      <c r="A102" s="9">
        <v>323</v>
      </c>
      <c r="B102" s="10" t="s">
        <v>407</v>
      </c>
      <c r="C102" s="21" t="s">
        <v>104</v>
      </c>
      <c r="D102" s="64" t="s">
        <v>408</v>
      </c>
      <c r="E102" s="15"/>
      <c r="F102" s="16"/>
      <c r="G102" s="14"/>
      <c r="H102" s="65"/>
      <c r="I102" s="15" t="str">
        <f t="shared" si="235"/>
        <v>NO APLICA</v>
      </c>
      <c r="J102" s="15"/>
      <c r="K102" s="16"/>
      <c r="L102" s="16"/>
      <c r="M102" s="65"/>
      <c r="N102" s="15" t="str">
        <f t="shared" si="236"/>
        <v>NO APLICA</v>
      </c>
      <c r="O102" s="14">
        <v>45757</v>
      </c>
      <c r="P102" s="14">
        <v>45758</v>
      </c>
      <c r="Q102" s="14">
        <f>DATE(YEAR(P102)+2,MONTH(P102),DAY(P102)-1)</f>
        <v>46487</v>
      </c>
      <c r="R102" s="65">
        <f ca="1">Q102-TODAY()</f>
        <v>356</v>
      </c>
      <c r="S102" s="15" t="str">
        <f t="shared" ca="1" si="342"/>
        <v>VIGENTE</v>
      </c>
      <c r="T102" s="12" t="s">
        <v>409</v>
      </c>
      <c r="U102" s="13">
        <v>44917</v>
      </c>
      <c r="V102" s="14">
        <v>44918</v>
      </c>
      <c r="W102" s="14">
        <f t="shared" si="237"/>
        <v>46744</v>
      </c>
      <c r="X102" s="65">
        <f t="shared" ca="1" si="238"/>
        <v>613</v>
      </c>
      <c r="Y102" s="15" t="str">
        <f t="shared" ca="1" si="239"/>
        <v>VIGENTE</v>
      </c>
      <c r="Z102" s="12" t="s">
        <v>410</v>
      </c>
      <c r="AA102" s="13">
        <v>44987</v>
      </c>
      <c r="AB102" s="14">
        <v>44988</v>
      </c>
      <c r="AC102" s="14">
        <f>DATE(YEAR(AB102)+5,MONTH(AB102),DAY(AB102))</f>
        <v>46815</v>
      </c>
      <c r="AD102" s="65">
        <f ca="1">AC102-TODAY()</f>
        <v>684</v>
      </c>
      <c r="AE102" s="15" t="str">
        <f t="shared" ca="1" si="389"/>
        <v>VIGENTE</v>
      </c>
      <c r="AF102" s="13">
        <v>44932</v>
      </c>
      <c r="AG102" s="14">
        <v>45594</v>
      </c>
      <c r="AH102" s="14">
        <f>DATE(YEAR(AG102)+2,MONTH(AG102),DAY(AG102)-1)</f>
        <v>46323</v>
      </c>
      <c r="AI102" s="65">
        <f t="shared" ca="1" si="241"/>
        <v>192</v>
      </c>
      <c r="AJ102" s="15" t="str">
        <f t="shared" ca="1" si="213"/>
        <v>VIGENTE</v>
      </c>
      <c r="AK102" s="13">
        <v>45044</v>
      </c>
      <c r="AL102" s="14">
        <v>45710</v>
      </c>
      <c r="AM102" s="14">
        <f>DATE(YEAR(AL102)+2,MONTH(AL102),DAY(AL102)-1)</f>
        <v>46439</v>
      </c>
      <c r="AN102" s="65">
        <f t="shared" ca="1" si="242"/>
        <v>308</v>
      </c>
      <c r="AO102" s="15" t="str">
        <f t="shared" ca="1" si="243"/>
        <v>VIGENTE</v>
      </c>
      <c r="AP102" s="13">
        <v>45047</v>
      </c>
      <c r="AQ102" s="14">
        <v>45703</v>
      </c>
      <c r="AR102" s="14">
        <f>DATE(YEAR(AQ102)+2,MONTH(AQ102),DAY(AQ102)-1)</f>
        <v>46432</v>
      </c>
      <c r="AS102" s="65">
        <f t="shared" ca="1" si="244"/>
        <v>301</v>
      </c>
      <c r="AT102" s="15" t="str">
        <f t="shared" ca="1" si="245"/>
        <v>VIGENTE</v>
      </c>
      <c r="AU102" s="13">
        <v>45021</v>
      </c>
      <c r="AV102" s="14">
        <v>45702</v>
      </c>
      <c r="AW102" s="14">
        <f>DATE(YEAR(AV102)+2,MONTH(AV102),DAY(AV102)-1)</f>
        <v>46431</v>
      </c>
      <c r="AX102" s="65">
        <f t="shared" ca="1" si="246"/>
        <v>300</v>
      </c>
      <c r="AY102" s="15" t="str">
        <f t="shared" ca="1" si="247"/>
        <v>VIGENTE</v>
      </c>
      <c r="AZ102" s="13">
        <v>44930</v>
      </c>
      <c r="BA102" s="14">
        <v>45603</v>
      </c>
      <c r="BB102" s="14">
        <f>DATE(YEAR(BA102)+2,MONTH(BA102),DAY(BA102)-1)</f>
        <v>46332</v>
      </c>
      <c r="BC102" s="65">
        <f t="shared" ca="1" si="248"/>
        <v>201</v>
      </c>
      <c r="BD102" s="15" t="str">
        <f t="shared" ca="1" si="249"/>
        <v>VIGENTE</v>
      </c>
      <c r="BE102" s="13">
        <v>44977</v>
      </c>
      <c r="BF102" s="14">
        <v>45605</v>
      </c>
      <c r="BG102" s="14">
        <f>DATE(YEAR(BF102)+2,MONTH(BF102),DAY(BF102)-1)</f>
        <v>46334</v>
      </c>
      <c r="BH102" s="65">
        <f t="shared" ca="1" si="250"/>
        <v>203</v>
      </c>
      <c r="BI102" s="15" t="str">
        <f t="shared" ca="1" si="251"/>
        <v>VIGENTE</v>
      </c>
      <c r="BJ102" s="13">
        <v>44937</v>
      </c>
      <c r="BK102" s="14">
        <v>45600</v>
      </c>
      <c r="BL102" s="14">
        <f>DATE(YEAR(BK102)+2,MONTH(BK102),DAY(BK102)-1)</f>
        <v>46329</v>
      </c>
      <c r="BM102" s="65">
        <f t="shared" ca="1" si="252"/>
        <v>198</v>
      </c>
      <c r="BN102" s="15" t="str">
        <f t="shared" ca="1" si="253"/>
        <v>VIGENTE</v>
      </c>
      <c r="BO102" s="13">
        <v>45031</v>
      </c>
      <c r="BP102" s="14">
        <v>45701</v>
      </c>
      <c r="BQ102" s="14">
        <f>DATE(YEAR(BP102)+2,MONTH(BP102),DAY(BP102)-1)</f>
        <v>46430</v>
      </c>
      <c r="BR102" s="65">
        <f t="shared" ca="1" si="254"/>
        <v>299</v>
      </c>
      <c r="BS102" s="15" t="str">
        <f t="shared" ca="1" si="255"/>
        <v>VIGENTE</v>
      </c>
      <c r="BT102" s="13">
        <v>44953</v>
      </c>
      <c r="BU102" s="14">
        <v>45572</v>
      </c>
      <c r="BV102" s="14">
        <f>DATE(YEAR(BU102)+2,MONTH(BU102),DAY(BU102)-1)</f>
        <v>46301</v>
      </c>
      <c r="BW102" s="65">
        <f t="shared" ca="1" si="256"/>
        <v>170</v>
      </c>
      <c r="BX102" s="15" t="str">
        <f t="shared" ca="1" si="257"/>
        <v>VIGENTE</v>
      </c>
      <c r="BY102" s="13">
        <v>44975</v>
      </c>
      <c r="BZ102" s="14">
        <v>45629</v>
      </c>
      <c r="CA102" s="14">
        <f>DATE(YEAR(BZ102)+2,MONTH(BZ102),DAY(BZ102)-1)</f>
        <v>46358</v>
      </c>
      <c r="CB102" s="65">
        <f t="shared" ca="1" si="258"/>
        <v>227</v>
      </c>
      <c r="CC102" s="15" t="str">
        <f t="shared" ca="1" si="259"/>
        <v>VIGENTE</v>
      </c>
      <c r="CD102" s="16" t="s">
        <v>108</v>
      </c>
      <c r="CE102" s="14">
        <v>45281</v>
      </c>
      <c r="CF102" s="14">
        <v>45282</v>
      </c>
      <c r="CG102" s="14">
        <f t="shared" si="377"/>
        <v>46743</v>
      </c>
      <c r="CH102" s="65">
        <f t="shared" ca="1" si="378"/>
        <v>612</v>
      </c>
      <c r="CI102" s="15" t="str">
        <f t="shared" ca="1" si="262"/>
        <v>VIGENTE</v>
      </c>
      <c r="CJ102" s="14">
        <v>44964</v>
      </c>
      <c r="CK102" s="14">
        <v>45601</v>
      </c>
      <c r="CL102" s="14">
        <f>DATE(YEAR(CK102)+2,MONTH(CK102),DAY(CK102)-1)</f>
        <v>46330</v>
      </c>
      <c r="CM102" s="65">
        <f t="shared" ca="1" si="263"/>
        <v>199</v>
      </c>
      <c r="CN102" s="15" t="str">
        <f t="shared" ca="1" si="264"/>
        <v>VIGENTE</v>
      </c>
      <c r="CO102" s="13">
        <v>44970</v>
      </c>
      <c r="CP102" s="14">
        <v>45618</v>
      </c>
      <c r="CQ102" s="14">
        <f>DATE(YEAR(CP102)+2,MONTH(CP102),DAY(CP102)-1)</f>
        <v>46347</v>
      </c>
      <c r="CR102" s="65">
        <f t="shared" ca="1" si="265"/>
        <v>216</v>
      </c>
      <c r="CS102" s="15" t="str">
        <f t="shared" ca="1" si="266"/>
        <v>VIGENTE</v>
      </c>
      <c r="CT102" s="13">
        <v>44978</v>
      </c>
      <c r="CU102" s="14">
        <v>45631</v>
      </c>
      <c r="CV102" s="14">
        <f>DATE(YEAR(CU102)+2,MONTH(CU102),DAY(CU102)-1)</f>
        <v>46360</v>
      </c>
      <c r="CW102" s="65">
        <f t="shared" ca="1" si="267"/>
        <v>229</v>
      </c>
      <c r="CX102" s="15" t="str">
        <f t="shared" ca="1" si="268"/>
        <v>VIGENTE</v>
      </c>
      <c r="CY102" s="13">
        <v>44986</v>
      </c>
      <c r="CZ102" s="14">
        <v>45646</v>
      </c>
      <c r="DA102" s="14">
        <f t="shared" si="390"/>
        <v>46375</v>
      </c>
      <c r="DB102" s="65">
        <f t="shared" ca="1" si="269"/>
        <v>244</v>
      </c>
      <c r="DC102" s="15" t="str">
        <f t="shared" ca="1" si="270"/>
        <v>VIGENTE</v>
      </c>
      <c r="DD102" s="13">
        <v>45020</v>
      </c>
      <c r="DE102" s="14">
        <v>45689</v>
      </c>
      <c r="DF102" s="14">
        <f>DATE(YEAR(DE102)+2,MONTH(DE102),DAY(DE102)-1)</f>
        <v>46418</v>
      </c>
      <c r="DG102" s="65">
        <f t="shared" ca="1" si="271"/>
        <v>287</v>
      </c>
      <c r="DH102" s="15" t="str">
        <f t="shared" ca="1" si="272"/>
        <v>VIGENTE</v>
      </c>
      <c r="DI102" s="13">
        <v>45038</v>
      </c>
      <c r="DJ102" s="14">
        <v>45696</v>
      </c>
      <c r="DK102" s="14">
        <f>DATE(YEAR(DJ102)+2,MONTH(DJ102),DAY(DJ102)-1)</f>
        <v>46425</v>
      </c>
      <c r="DL102" s="65">
        <f t="shared" ca="1" si="273"/>
        <v>294</v>
      </c>
      <c r="DM102" s="15" t="str">
        <f t="shared" ca="1" si="274"/>
        <v>VIGENTE</v>
      </c>
      <c r="DN102" s="13">
        <v>44954</v>
      </c>
      <c r="DO102" s="14">
        <v>45577</v>
      </c>
      <c r="DP102" s="14">
        <f>DATE(YEAR(DO102)+2,MONTH(DO102),DAY(DO102)-1)</f>
        <v>46306</v>
      </c>
      <c r="DQ102" s="65">
        <f t="shared" ca="1" si="275"/>
        <v>175</v>
      </c>
      <c r="DR102" s="15" t="str">
        <f t="shared" ca="1" si="276"/>
        <v>VIGENTE</v>
      </c>
      <c r="DS102" s="13">
        <v>44935</v>
      </c>
      <c r="DT102" s="14">
        <v>45619</v>
      </c>
      <c r="DU102" s="14">
        <f>DATE(YEAR(DT102)+2,MONTH(DT102),DAY(DT102)-1)</f>
        <v>46348</v>
      </c>
      <c r="DV102" s="65">
        <f t="shared" ca="1" si="277"/>
        <v>217</v>
      </c>
      <c r="DW102" s="15" t="str">
        <f t="shared" ca="1" si="278"/>
        <v>VIGENTE</v>
      </c>
      <c r="DX102" s="13">
        <v>44931</v>
      </c>
      <c r="DY102" s="14">
        <v>45582</v>
      </c>
      <c r="DZ102" s="14">
        <f>DATE(YEAR(DY102)+2,MONTH(DY102),DAY(DY102)-1)</f>
        <v>46311</v>
      </c>
      <c r="EA102" s="65">
        <f t="shared" ca="1" si="279"/>
        <v>180</v>
      </c>
      <c r="EB102" s="15" t="str">
        <f t="shared" ca="1" si="280"/>
        <v>VIGENTE</v>
      </c>
      <c r="EC102" s="13">
        <v>44982</v>
      </c>
      <c r="ED102" s="14">
        <v>45602</v>
      </c>
      <c r="EE102" s="14">
        <f>DATE(YEAR(ED102)+2,MONTH(ED102),DAY(ED102)-1)</f>
        <v>46331</v>
      </c>
      <c r="EF102" s="65">
        <f t="shared" ca="1" si="281"/>
        <v>200</v>
      </c>
      <c r="EG102" s="15" t="str">
        <f t="shared" ca="1" si="282"/>
        <v>VIGENTE</v>
      </c>
      <c r="EH102" s="13">
        <v>45576</v>
      </c>
      <c r="EI102" s="13">
        <v>45810</v>
      </c>
      <c r="EJ102" s="13">
        <v>45811</v>
      </c>
      <c r="EK102" s="14">
        <v>45812</v>
      </c>
      <c r="EL102" s="14">
        <f t="shared" si="344"/>
        <v>46177</v>
      </c>
      <c r="EM102" s="65">
        <f t="shared" ca="1" si="283"/>
        <v>46</v>
      </c>
      <c r="EN102" s="15" t="str">
        <f t="shared" ca="1" si="284"/>
        <v>POR VENCER</v>
      </c>
      <c r="EO102" s="13">
        <v>45042</v>
      </c>
      <c r="EP102" s="14">
        <v>45671</v>
      </c>
      <c r="EQ102" s="14">
        <f>DATE(YEAR(EP102)+2,MONTH(EP102),DAY(EP102)-1)</f>
        <v>46400</v>
      </c>
      <c r="ER102" s="65">
        <f t="shared" ca="1" si="285"/>
        <v>269</v>
      </c>
      <c r="ES102" s="15" t="str">
        <f t="shared" ca="1" si="286"/>
        <v>VIGENTE</v>
      </c>
      <c r="ET102" s="13">
        <v>44929</v>
      </c>
      <c r="EU102" s="14">
        <v>45575</v>
      </c>
      <c r="EV102" s="14">
        <f>DATE(YEAR(EU102)+2,MONTH(EU102),DAY(EU102)-1)</f>
        <v>46304</v>
      </c>
      <c r="EW102" s="65">
        <f t="shared" ca="1" si="287"/>
        <v>173</v>
      </c>
      <c r="EX102" s="15" t="str">
        <f t="shared" ca="1" si="288"/>
        <v>VIGENTE</v>
      </c>
      <c r="EY102" s="13">
        <v>44957</v>
      </c>
      <c r="EZ102" s="14">
        <v>45610</v>
      </c>
      <c r="FA102" s="14">
        <f>DATE(YEAR(EZ102)+2,MONTH(EZ102),DAY(EZ102)-1)</f>
        <v>46339</v>
      </c>
      <c r="FB102" s="65">
        <f t="shared" ca="1" si="289"/>
        <v>208</v>
      </c>
      <c r="FC102" s="15" t="str">
        <f t="shared" ca="1" si="290"/>
        <v>VIGENTE</v>
      </c>
      <c r="FD102" s="13">
        <v>44936</v>
      </c>
      <c r="FE102" s="14">
        <v>45611</v>
      </c>
      <c r="FF102" s="14">
        <f>DATE(YEAR(FE102)+2,MONTH(FE102),DAY(FE102)-1)</f>
        <v>46340</v>
      </c>
      <c r="FG102" s="65">
        <f t="shared" ca="1" si="291"/>
        <v>209</v>
      </c>
      <c r="FH102" s="15" t="str">
        <f t="shared" ca="1" si="292"/>
        <v>VIGENTE</v>
      </c>
      <c r="FI102" s="13">
        <v>45006</v>
      </c>
      <c r="FJ102" s="14">
        <v>45668</v>
      </c>
      <c r="FK102" s="14">
        <f>DATE(YEAR(FJ102)+2,MONTH(FJ102),DAY(FJ102)-1)</f>
        <v>46397</v>
      </c>
      <c r="FL102" s="65">
        <f t="shared" ca="1" si="293"/>
        <v>266</v>
      </c>
      <c r="FM102" s="15" t="str">
        <f t="shared" ca="1" si="294"/>
        <v>VIGENTE</v>
      </c>
      <c r="FN102" s="13">
        <v>44947</v>
      </c>
      <c r="FO102" s="14">
        <v>45588</v>
      </c>
      <c r="FP102" s="14">
        <f>DATE(YEAR(FO102)+2,MONTH(FO102),DAY(FO102)-1)</f>
        <v>46317</v>
      </c>
      <c r="FQ102" s="65">
        <f t="shared" ca="1" si="295"/>
        <v>186</v>
      </c>
      <c r="FR102" s="15" t="str">
        <f t="shared" ca="1" si="296"/>
        <v>VIGENTE</v>
      </c>
      <c r="FS102" s="13">
        <v>45005</v>
      </c>
      <c r="FT102" s="14">
        <v>45664</v>
      </c>
      <c r="FU102" s="14">
        <f>DATE(YEAR(FT102)+2,MONTH(FT102),DAY(FT102)-1)</f>
        <v>46393</v>
      </c>
      <c r="FV102" s="65">
        <f t="shared" ca="1" si="297"/>
        <v>262</v>
      </c>
      <c r="FW102" s="15" t="str">
        <f t="shared" ca="1" si="298"/>
        <v>VIGENTE</v>
      </c>
      <c r="FX102" s="13">
        <v>45028</v>
      </c>
      <c r="FY102" s="14">
        <v>45700</v>
      </c>
      <c r="FZ102" s="14">
        <f t="shared" si="391"/>
        <v>46429</v>
      </c>
      <c r="GA102" s="65">
        <f t="shared" ca="1" si="299"/>
        <v>298</v>
      </c>
      <c r="GB102" s="15" t="str">
        <f t="shared" ca="1" si="300"/>
        <v>VIGENTE</v>
      </c>
      <c r="GC102" s="13">
        <v>45049</v>
      </c>
      <c r="GD102" s="14">
        <v>45667</v>
      </c>
      <c r="GE102" s="14">
        <f>DATE(YEAR(GD102)+2,MONTH(GD102),DAY(GD102)-1)</f>
        <v>46396</v>
      </c>
      <c r="GF102" s="65">
        <f t="shared" ca="1" si="301"/>
        <v>265</v>
      </c>
      <c r="GG102" s="15" t="str">
        <f t="shared" ca="1" si="302"/>
        <v>VIGENTE</v>
      </c>
      <c r="GH102" s="13">
        <v>45022</v>
      </c>
      <c r="GI102" s="14">
        <v>45672</v>
      </c>
      <c r="GJ102" s="14">
        <f>DATE(YEAR(GI102)+2,MONTH(GI102),DAY(GI102)-1)</f>
        <v>46401</v>
      </c>
      <c r="GK102" s="65">
        <f t="shared" ca="1" si="303"/>
        <v>270</v>
      </c>
      <c r="GL102" s="15" t="str">
        <f t="shared" ca="1" si="304"/>
        <v>VIGENTE</v>
      </c>
      <c r="GM102" s="13">
        <v>44945</v>
      </c>
      <c r="GN102" s="14">
        <v>45608</v>
      </c>
      <c r="GO102" s="14">
        <f>DATE(YEAR(GN102)+2,MONTH(GN102),DAY(GN102)-1)</f>
        <v>46337</v>
      </c>
      <c r="GP102" s="65">
        <f t="shared" ca="1" si="305"/>
        <v>206</v>
      </c>
      <c r="GQ102" s="15" t="str">
        <f t="shared" ca="1" si="306"/>
        <v>VIGENTE</v>
      </c>
      <c r="GR102" s="14"/>
      <c r="GS102" s="14">
        <v>44952</v>
      </c>
      <c r="GT102" s="14">
        <f t="shared" si="307"/>
        <v>46778</v>
      </c>
      <c r="GU102" s="65">
        <f t="shared" ca="1" si="374"/>
        <v>647</v>
      </c>
      <c r="GV102" s="15" t="str">
        <f t="shared" ca="1" si="368"/>
        <v>VIGENTE</v>
      </c>
      <c r="GW102" s="13"/>
      <c r="GX102" s="14">
        <v>44961</v>
      </c>
      <c r="GY102" s="14">
        <f t="shared" si="309"/>
        <v>46787</v>
      </c>
      <c r="GZ102" s="65">
        <f t="shared" ca="1" si="310"/>
        <v>656</v>
      </c>
      <c r="HA102" s="15" t="str">
        <f t="shared" ca="1" si="369"/>
        <v>VIGENTE</v>
      </c>
      <c r="HB102" s="12"/>
      <c r="HC102" s="14">
        <v>44980</v>
      </c>
      <c r="HD102" s="14">
        <f t="shared" si="312"/>
        <v>46806</v>
      </c>
      <c r="HE102" s="65">
        <f t="shared" ca="1" si="313"/>
        <v>675</v>
      </c>
      <c r="HF102" s="15" t="str">
        <f t="shared" ca="1" si="394"/>
        <v>VIGENTE</v>
      </c>
      <c r="HG102" s="16"/>
      <c r="HH102" s="14">
        <v>45115</v>
      </c>
      <c r="HI102" s="14">
        <f t="shared" si="392"/>
        <v>46942</v>
      </c>
      <c r="HJ102" s="65">
        <f t="shared" ca="1" si="393"/>
        <v>811</v>
      </c>
      <c r="HK102" s="15" t="str">
        <f t="shared" ca="1" si="395"/>
        <v>VIGENTE</v>
      </c>
      <c r="HL102" s="12"/>
      <c r="HM102" s="16"/>
      <c r="HN102" s="14"/>
      <c r="HO102" s="65"/>
      <c r="HP102" s="15" t="str">
        <f t="shared" si="375"/>
        <v>NO APLICA</v>
      </c>
      <c r="HQ102" s="12"/>
      <c r="HR102" s="15"/>
      <c r="HS102" s="14"/>
      <c r="HT102" s="15"/>
      <c r="HU102" s="15" t="str">
        <f t="shared" si="315"/>
        <v>NO APLICA</v>
      </c>
      <c r="HV102" s="12"/>
      <c r="HW102" s="14">
        <v>45089</v>
      </c>
      <c r="HX102" s="14">
        <f>DATE(YEAR(HW102)+5,MONTH(HW102),DAY(HW102))</f>
        <v>46916</v>
      </c>
      <c r="HY102" s="65">
        <f ca="1">HX102-TODAY()</f>
        <v>785</v>
      </c>
      <c r="HZ102" s="15" t="str">
        <f t="shared" ca="1" si="316"/>
        <v>VIGENTE</v>
      </c>
      <c r="IA102" s="12"/>
      <c r="IB102" s="14">
        <v>45092</v>
      </c>
      <c r="IC102" s="14">
        <f>DATE(YEAR(IB102)+5,MONTH(IB102),DAY(IB102))</f>
        <v>46919</v>
      </c>
      <c r="ID102" s="65">
        <f ca="1">IC102-TODAY()</f>
        <v>788</v>
      </c>
      <c r="IE102" s="15" t="str">
        <f t="shared" ca="1" si="317"/>
        <v>VIGENTE</v>
      </c>
      <c r="IF102" s="12"/>
      <c r="IG102" s="14">
        <v>45100</v>
      </c>
      <c r="IH102" s="14">
        <f>DATE(YEAR(IG102)+5,MONTH(IG102),DAY(IG102))</f>
        <v>46927</v>
      </c>
      <c r="II102" s="65">
        <f ca="1">IH102-TODAY()</f>
        <v>796</v>
      </c>
      <c r="IJ102" s="15" t="str">
        <f t="shared" ca="1" si="318"/>
        <v>VIGENTE</v>
      </c>
      <c r="IK102" s="16"/>
      <c r="IL102" s="14">
        <v>45105</v>
      </c>
      <c r="IM102" s="14">
        <f>DATE(YEAR(IL102)+5,MONTH(IL102),DAY(IL102))</f>
        <v>46932</v>
      </c>
      <c r="IN102" s="65">
        <f ca="1">IM102-TODAY()</f>
        <v>801</v>
      </c>
      <c r="IO102" s="15" t="str">
        <f t="shared" ca="1" si="319"/>
        <v>VIGENTE</v>
      </c>
      <c r="IP102" s="12"/>
      <c r="IQ102" s="14">
        <v>45064</v>
      </c>
      <c r="IR102" s="14">
        <f>DATE(YEAR(IQ102)+5,MONTH(IQ102),DAY(IQ102))</f>
        <v>46891</v>
      </c>
      <c r="IS102" s="65">
        <f ca="1">IR102-TODAY()</f>
        <v>760</v>
      </c>
      <c r="IT102" s="15" t="str">
        <f t="shared" ca="1" si="320"/>
        <v>VIGENTE</v>
      </c>
      <c r="IU102" s="12"/>
      <c r="IV102" s="14">
        <v>45062</v>
      </c>
      <c r="IW102" s="14">
        <f>DATE(YEAR(IV102)+5,MONTH(IV102),DAY(IV102))</f>
        <v>46889</v>
      </c>
      <c r="IX102" s="65">
        <f ca="1">IW102-TODAY()</f>
        <v>758</v>
      </c>
      <c r="IY102" s="15" t="str">
        <f t="shared" ca="1" si="321"/>
        <v>VIGENTE</v>
      </c>
      <c r="IZ102" s="12"/>
      <c r="JA102" s="14">
        <v>45101</v>
      </c>
      <c r="JB102" s="14">
        <f>DATE(YEAR(JA102)+5,MONTH(JA102),DAY(JA102))</f>
        <v>46928</v>
      </c>
      <c r="JC102" s="65">
        <f ca="1">JB102-TODAY()</f>
        <v>797</v>
      </c>
      <c r="JD102" s="15" t="str">
        <f t="shared" ca="1" si="322"/>
        <v>VIGENTE</v>
      </c>
      <c r="JE102" s="13"/>
      <c r="JF102" s="13"/>
      <c r="JG102" s="14"/>
      <c r="JH102" s="65"/>
      <c r="JI102" s="15" t="str">
        <f t="shared" si="323"/>
        <v>NO APLICA</v>
      </c>
      <c r="JJ102" s="16"/>
      <c r="JK102" s="16"/>
      <c r="JL102" s="16"/>
      <c r="JM102" s="15" t="str">
        <f t="shared" si="324"/>
        <v>NO APLICA</v>
      </c>
      <c r="JN102" s="16"/>
      <c r="JO102" s="16"/>
      <c r="JP102" s="16"/>
      <c r="JQ102" s="15" t="str">
        <f t="shared" si="325"/>
        <v>NO APLICA</v>
      </c>
      <c r="JR102" s="16"/>
      <c r="JS102" s="16"/>
      <c r="JT102" s="16"/>
      <c r="JU102" s="16"/>
      <c r="JV102" s="15" t="str">
        <f t="shared" si="326"/>
        <v>NO APLICA</v>
      </c>
      <c r="JW102" s="15"/>
      <c r="JX102" s="15"/>
      <c r="JY102" s="15"/>
      <c r="JZ102" s="15"/>
      <c r="KA102" s="15" t="str">
        <f t="shared" si="327"/>
        <v>NO APLICA</v>
      </c>
      <c r="KB102" s="15"/>
      <c r="KC102" s="14"/>
      <c r="KD102" s="65"/>
      <c r="KE102" s="15" t="str">
        <f t="shared" si="328"/>
        <v>NO APLICA</v>
      </c>
      <c r="KF102" s="15"/>
      <c r="KG102" s="14"/>
      <c r="KH102" s="65"/>
      <c r="KI102" s="15" t="str">
        <f t="shared" si="345"/>
        <v>NO APLICA</v>
      </c>
      <c r="KJ102" s="13">
        <v>45364</v>
      </c>
      <c r="KK102" s="14">
        <f>DATE(YEAR(KJ102)+5,MONTH(KJ102),DAY(KJ102))</f>
        <v>47190</v>
      </c>
      <c r="KL102" s="65">
        <f ca="1">KK102-TODAY()</f>
        <v>1059</v>
      </c>
      <c r="KM102" s="15" t="str">
        <f t="shared" ca="1" si="329"/>
        <v>VIGENTE</v>
      </c>
      <c r="KN102" s="12"/>
      <c r="KO102" s="14"/>
      <c r="KP102" s="65"/>
      <c r="KQ102" s="15" t="str">
        <f t="shared" si="346"/>
        <v>NO APLICA</v>
      </c>
      <c r="KR102" s="12"/>
      <c r="KS102" s="16"/>
      <c r="KT102" s="14"/>
      <c r="KU102" s="65"/>
      <c r="KV102" s="15" t="str">
        <f t="shared" si="355"/>
        <v>NO APLICA</v>
      </c>
      <c r="KW102" s="14">
        <v>44545</v>
      </c>
      <c r="KX102" s="14">
        <f>DATE(YEAR(KW102)+5,MONTH(KW102),DAY(KW102))</f>
        <v>46371</v>
      </c>
      <c r="KY102" s="65">
        <f ca="1">KX102-TODAY()</f>
        <v>240</v>
      </c>
      <c r="KZ102" s="15" t="str">
        <f t="shared" ca="1" si="347"/>
        <v>VIGENTE</v>
      </c>
      <c r="LA102" s="16"/>
      <c r="LB102" s="16"/>
      <c r="LC102" s="14"/>
      <c r="LD102" s="65"/>
      <c r="LE102" s="15" t="str">
        <f t="shared" si="330"/>
        <v>NO APLICA</v>
      </c>
      <c r="LF102" s="15"/>
      <c r="LG102" s="15"/>
      <c r="LH102" s="14"/>
      <c r="LI102" s="65"/>
      <c r="LJ102" s="15" t="str">
        <f t="shared" si="356"/>
        <v>NO APLICA</v>
      </c>
      <c r="LK102" s="15"/>
      <c r="LL102" s="16"/>
      <c r="LM102" s="14"/>
      <c r="LN102" s="65"/>
      <c r="LO102" s="15" t="str">
        <f t="shared" si="348"/>
        <v>NO APLICA</v>
      </c>
      <c r="LP102" s="16"/>
      <c r="LQ102" s="16"/>
      <c r="LR102" s="14"/>
      <c r="LS102" s="65"/>
      <c r="LT102" s="15" t="str">
        <f t="shared" si="349"/>
        <v>NO APLICA</v>
      </c>
      <c r="LU102" s="16"/>
      <c r="LV102" s="16"/>
      <c r="LW102" s="14"/>
      <c r="LX102" s="65"/>
      <c r="LY102" s="15" t="str">
        <f t="shared" si="350"/>
        <v>NO APLICA</v>
      </c>
      <c r="LZ102" s="15"/>
      <c r="MA102" s="15"/>
      <c r="MB102" s="14"/>
      <c r="MC102" s="65"/>
      <c r="MD102" s="15" t="str">
        <f t="shared" si="331"/>
        <v>NO APLICA</v>
      </c>
      <c r="ME102" s="15"/>
      <c r="MF102" s="15"/>
      <c r="MG102" s="14"/>
      <c r="MH102" s="65"/>
      <c r="MI102" s="15" t="str">
        <f t="shared" si="332"/>
        <v>NO APLICA</v>
      </c>
      <c r="MJ102" s="15"/>
      <c r="MK102" s="14"/>
      <c r="ML102" s="65"/>
      <c r="MM102" s="15" t="str">
        <f t="shared" si="333"/>
        <v>NO APLICA</v>
      </c>
      <c r="MN102" s="15"/>
      <c r="MO102" s="14"/>
      <c r="MP102" s="15"/>
      <c r="MQ102" s="15" t="str">
        <f t="shared" si="334"/>
        <v>NO APLICA</v>
      </c>
      <c r="MR102" s="15"/>
      <c r="MS102" s="16"/>
      <c r="MT102" s="14"/>
      <c r="MU102" s="65"/>
      <c r="MV102" s="15" t="str">
        <f t="shared" si="335"/>
        <v>NO APLICA</v>
      </c>
      <c r="MW102" s="15"/>
      <c r="MX102" s="16"/>
      <c r="MY102" s="14"/>
      <c r="MZ102" s="65"/>
      <c r="NA102" s="15" t="str">
        <f t="shared" si="336"/>
        <v>NO APLICA</v>
      </c>
      <c r="NB102" s="15"/>
      <c r="NC102" s="16"/>
      <c r="ND102" s="14"/>
      <c r="NE102" s="65"/>
      <c r="NF102" s="15" t="str">
        <f t="shared" si="337"/>
        <v>NO APLICA</v>
      </c>
      <c r="NG102" s="15"/>
      <c r="NH102" s="15"/>
      <c r="NI102" s="14"/>
      <c r="NJ102" s="65"/>
      <c r="NK102" s="15" t="str">
        <f t="shared" si="338"/>
        <v>NO APLICA</v>
      </c>
      <c r="NL102" s="15"/>
      <c r="NM102" s="15"/>
      <c r="NN102" s="15"/>
      <c r="NO102" s="15"/>
      <c r="NP102" s="15" t="str">
        <f t="shared" si="339"/>
        <v>NO APLICA</v>
      </c>
      <c r="NQ102" s="16"/>
      <c r="NR102" s="16"/>
      <c r="NS102" s="16"/>
      <c r="NT102" s="16"/>
      <c r="NU102" s="15" t="str">
        <f t="shared" si="340"/>
        <v>NO APLICA</v>
      </c>
      <c r="NV102" s="16"/>
      <c r="NW102" s="16"/>
      <c r="NX102" s="16"/>
      <c r="NY102" s="16"/>
      <c r="NZ102" s="15" t="str">
        <f t="shared" si="341"/>
        <v>NO APLICA</v>
      </c>
    </row>
    <row r="103" spans="1:390" ht="15.6" thickTop="1" thickBot="1" x14ac:dyDescent="0.35">
      <c r="A103" s="11">
        <v>1716</v>
      </c>
      <c r="B103" s="10" t="s">
        <v>411</v>
      </c>
      <c r="C103" s="21" t="s">
        <v>98</v>
      </c>
      <c r="D103" s="64" t="s">
        <v>118</v>
      </c>
      <c r="E103" s="16"/>
      <c r="F103" s="16"/>
      <c r="G103" s="16"/>
      <c r="H103" s="16"/>
      <c r="I103" s="15" t="str">
        <f t="shared" si="235"/>
        <v>NO APLICA</v>
      </c>
      <c r="J103" s="16"/>
      <c r="K103" s="16"/>
      <c r="L103" s="16"/>
      <c r="M103" s="16"/>
      <c r="N103" s="15" t="str">
        <f t="shared" si="236"/>
        <v>NO APLICA</v>
      </c>
      <c r="O103" s="14">
        <v>45596</v>
      </c>
      <c r="P103" s="14">
        <v>45597</v>
      </c>
      <c r="Q103" s="14">
        <f>DATE(YEAR(P103)+2,MONTH(P103),DAY(P103)-1)</f>
        <v>46326</v>
      </c>
      <c r="R103" s="65">
        <f ca="1">Q103-TODAY()</f>
        <v>195</v>
      </c>
      <c r="S103" s="15" t="str">
        <f t="shared" ca="1" si="342"/>
        <v>VIGENTE</v>
      </c>
      <c r="T103" s="16" t="s">
        <v>412</v>
      </c>
      <c r="U103" s="14">
        <v>45308</v>
      </c>
      <c r="V103" s="14">
        <v>45309</v>
      </c>
      <c r="W103" s="14">
        <f t="shared" si="237"/>
        <v>47136</v>
      </c>
      <c r="X103" s="65">
        <f t="shared" ca="1" si="238"/>
        <v>1005</v>
      </c>
      <c r="Y103" s="15" t="str">
        <f t="shared" ca="1" si="239"/>
        <v>VIGENTE</v>
      </c>
      <c r="Z103" s="16"/>
      <c r="AA103" s="16"/>
      <c r="AB103" s="16"/>
      <c r="AC103" s="14"/>
      <c r="AD103" s="65"/>
      <c r="AE103" s="68" t="str">
        <f>IF(AD103&gt;=91,"VIGENTE",IF(AD103&gt;=1,"POR VENCER",IF(AD103&lt;=-1,"VENCIDA",IF(AB103=0,"PENDIENTE"))))</f>
        <v>PENDIENTE</v>
      </c>
      <c r="AF103" s="16"/>
      <c r="AG103" s="14">
        <v>45936</v>
      </c>
      <c r="AH103" s="14">
        <f>DATE(YEAR(AG103)+2,MONTH(AG103),DAY(AG103))</f>
        <v>46666</v>
      </c>
      <c r="AI103" s="65">
        <f t="shared" ca="1" si="241"/>
        <v>535</v>
      </c>
      <c r="AJ103" s="15" t="str">
        <f t="shared" ca="1" si="213"/>
        <v>VIGENTE</v>
      </c>
      <c r="AK103" s="16"/>
      <c r="AL103" s="14">
        <v>45937</v>
      </c>
      <c r="AM103" s="14">
        <f>DATE(YEAR(AL103)+2,MONTH(AL103),DAY(AL103))</f>
        <v>46667</v>
      </c>
      <c r="AN103" s="65">
        <f t="shared" ca="1" si="242"/>
        <v>536</v>
      </c>
      <c r="AO103" s="15" t="str">
        <f t="shared" ca="1" si="243"/>
        <v>VIGENTE</v>
      </c>
      <c r="AP103" s="14">
        <v>45349</v>
      </c>
      <c r="AQ103" s="14">
        <v>45989</v>
      </c>
      <c r="AR103" s="14">
        <f>DATE(YEAR(AQ103)+2,MONTH(AQ103),DAY(AQ103))</f>
        <v>46719</v>
      </c>
      <c r="AS103" s="65">
        <f t="shared" ca="1" si="244"/>
        <v>588</v>
      </c>
      <c r="AT103" s="15" t="str">
        <f t="shared" ca="1" si="245"/>
        <v>VIGENTE</v>
      </c>
      <c r="AU103" s="14">
        <v>45323</v>
      </c>
      <c r="AV103" s="14">
        <v>45972</v>
      </c>
      <c r="AW103" s="14">
        <f>DATE(YEAR(AV103)+2,MONTH(AV103),DAY(AV103))</f>
        <v>46702</v>
      </c>
      <c r="AX103" s="65">
        <f t="shared" ca="1" si="246"/>
        <v>571</v>
      </c>
      <c r="AY103" s="15" t="str">
        <f t="shared" ca="1" si="247"/>
        <v>VIGENTE</v>
      </c>
      <c r="AZ103" s="13">
        <v>45387</v>
      </c>
      <c r="BA103" s="14">
        <v>46041</v>
      </c>
      <c r="BB103" s="14">
        <f>DATE(YEAR(BA103)+2,MONTH(BA103),DAY(BA103))</f>
        <v>46771</v>
      </c>
      <c r="BC103" s="65">
        <f t="shared" ca="1" si="248"/>
        <v>640</v>
      </c>
      <c r="BD103" s="15" t="str">
        <f t="shared" ca="1" si="249"/>
        <v>VIGENTE</v>
      </c>
      <c r="BE103" s="16"/>
      <c r="BF103" s="14">
        <v>45997</v>
      </c>
      <c r="BG103" s="14">
        <f>DATE(YEAR(BF103)+2,MONTH(BF103),DAY(BF103))</f>
        <v>46727</v>
      </c>
      <c r="BH103" s="65">
        <f t="shared" ca="1" si="250"/>
        <v>596</v>
      </c>
      <c r="BI103" s="15" t="str">
        <f t="shared" ca="1" si="251"/>
        <v>VIGENTE</v>
      </c>
      <c r="BJ103" s="14">
        <v>45348</v>
      </c>
      <c r="BK103" s="14">
        <v>46017</v>
      </c>
      <c r="BL103" s="14">
        <f>DATE(YEAR(BK103)+2,MONTH(BK103),DAY(BK103))</f>
        <v>46747</v>
      </c>
      <c r="BM103" s="65">
        <f t="shared" ca="1" si="252"/>
        <v>616</v>
      </c>
      <c r="BN103" s="15" t="str">
        <f t="shared" ca="1" si="253"/>
        <v>VIGENTE</v>
      </c>
      <c r="BO103" s="14"/>
      <c r="BP103" s="14">
        <v>46050</v>
      </c>
      <c r="BQ103" s="14">
        <f>DATE(YEAR(BP103)+2,MONTH(BP103),DAY(BP103))</f>
        <v>46780</v>
      </c>
      <c r="BR103" s="65">
        <f t="shared" ca="1" si="254"/>
        <v>649</v>
      </c>
      <c r="BS103" s="15" t="str">
        <f t="shared" ca="1" si="255"/>
        <v>VIGENTE</v>
      </c>
      <c r="BT103" s="13">
        <v>45362</v>
      </c>
      <c r="BU103" s="14">
        <v>46031</v>
      </c>
      <c r="BV103" s="14">
        <f>DATE(YEAR(BU103)+2,MONTH(BU103),DAY(BU103))</f>
        <v>46761</v>
      </c>
      <c r="BW103" s="65">
        <f t="shared" ca="1" si="256"/>
        <v>630</v>
      </c>
      <c r="BX103" s="15" t="str">
        <f t="shared" ca="1" si="257"/>
        <v>VIGENTE</v>
      </c>
      <c r="BY103" s="16"/>
      <c r="BZ103" s="14">
        <v>45986</v>
      </c>
      <c r="CA103" s="14">
        <f>DATE(YEAR(BZ103)+2,MONTH(BZ103),DAY(BZ103))</f>
        <v>46716</v>
      </c>
      <c r="CB103" s="65">
        <f t="shared" ca="1" si="258"/>
        <v>585</v>
      </c>
      <c r="CC103" s="15" t="str">
        <f t="shared" ca="1" si="259"/>
        <v>VIGENTE</v>
      </c>
      <c r="CD103" s="16" t="s">
        <v>102</v>
      </c>
      <c r="CE103" s="14">
        <v>45722</v>
      </c>
      <c r="CF103" s="14">
        <v>45723</v>
      </c>
      <c r="CG103" s="14">
        <f t="shared" si="377"/>
        <v>47184</v>
      </c>
      <c r="CH103" s="65">
        <f t="shared" ca="1" si="378"/>
        <v>1053</v>
      </c>
      <c r="CI103" s="15" t="str">
        <f t="shared" ca="1" si="262"/>
        <v>VIGENTE</v>
      </c>
      <c r="CJ103" s="14">
        <v>45353</v>
      </c>
      <c r="CK103" s="14">
        <v>46018</v>
      </c>
      <c r="CL103" s="14">
        <f>DATE(YEAR(CK103)+2,MONTH(CK103),DAY(CK103))</f>
        <v>46748</v>
      </c>
      <c r="CM103" s="65">
        <f t="shared" ca="1" si="263"/>
        <v>617</v>
      </c>
      <c r="CN103" s="15" t="str">
        <f t="shared" ca="1" si="264"/>
        <v>VIGENTE</v>
      </c>
      <c r="CO103" s="14">
        <v>45305</v>
      </c>
      <c r="CP103" s="14">
        <v>45979</v>
      </c>
      <c r="CQ103" s="14">
        <f>DATE(YEAR(CP103)+2,MONTH(CP103),DAY(CP103))</f>
        <v>46709</v>
      </c>
      <c r="CR103" s="65">
        <f t="shared" ca="1" si="265"/>
        <v>578</v>
      </c>
      <c r="CS103" s="15" t="str">
        <f t="shared" ca="1" si="266"/>
        <v>VIGENTE</v>
      </c>
      <c r="CT103" s="14">
        <v>45408</v>
      </c>
      <c r="CU103" s="14">
        <v>46043</v>
      </c>
      <c r="CV103" s="14">
        <f>DATE(YEAR(CU103)+2,MONTH(CU103),DAY(CU103))</f>
        <v>46773</v>
      </c>
      <c r="CW103" s="65">
        <f t="shared" ca="1" si="267"/>
        <v>642</v>
      </c>
      <c r="CX103" s="15" t="str">
        <f t="shared" ca="1" si="268"/>
        <v>VIGENTE</v>
      </c>
      <c r="CY103" s="14"/>
      <c r="CZ103" s="14">
        <v>46000</v>
      </c>
      <c r="DA103" s="14">
        <f>DATE(YEAR(CZ103)+2,MONTH(CZ103),DAY(CZ103))</f>
        <v>46730</v>
      </c>
      <c r="DB103" s="65">
        <f t="shared" ca="1" si="269"/>
        <v>599</v>
      </c>
      <c r="DC103" s="15" t="str">
        <f t="shared" ca="1" si="270"/>
        <v>VIGENTE</v>
      </c>
      <c r="DD103" s="13">
        <v>45328</v>
      </c>
      <c r="DE103" s="14">
        <v>45996</v>
      </c>
      <c r="DF103" s="14">
        <f>DATE(YEAR(DE103)+2,MONTH(DE103),DAY(DE103))</f>
        <v>46726</v>
      </c>
      <c r="DG103" s="65">
        <f t="shared" ca="1" si="271"/>
        <v>595</v>
      </c>
      <c r="DH103" s="15" t="str">
        <f t="shared" ca="1" si="272"/>
        <v>VIGENTE</v>
      </c>
      <c r="DI103" s="14">
        <v>45312</v>
      </c>
      <c r="DJ103" s="14">
        <v>45975</v>
      </c>
      <c r="DK103" s="14">
        <f>DATE(YEAR(DJ103)+2,MONTH(DJ103),DAY(DJ103))</f>
        <v>46705</v>
      </c>
      <c r="DL103" s="65">
        <f t="shared" ca="1" si="273"/>
        <v>574</v>
      </c>
      <c r="DM103" s="15" t="str">
        <f t="shared" ca="1" si="274"/>
        <v>VIGENTE</v>
      </c>
      <c r="DN103" s="14">
        <v>45345</v>
      </c>
      <c r="DO103" s="14">
        <v>45982</v>
      </c>
      <c r="DP103" s="14">
        <f>DATE(YEAR(DO103)+2,MONTH(DO103),DAY(DO103))</f>
        <v>46712</v>
      </c>
      <c r="DQ103" s="65">
        <f t="shared" ca="1" si="275"/>
        <v>581</v>
      </c>
      <c r="DR103" s="15" t="str">
        <f t="shared" ca="1" si="276"/>
        <v>VIGENTE</v>
      </c>
      <c r="DS103" s="14">
        <v>45336</v>
      </c>
      <c r="DT103" s="13">
        <v>46009</v>
      </c>
      <c r="DU103" s="14">
        <f>DATE(YEAR(DT103)+2,MONTH(DT103),DAY(DT103))</f>
        <v>46739</v>
      </c>
      <c r="DV103" s="65">
        <f t="shared" ca="1" si="277"/>
        <v>608</v>
      </c>
      <c r="DW103" s="15" t="str">
        <f t="shared" ca="1" si="278"/>
        <v>VIGENTE</v>
      </c>
      <c r="DX103" s="14">
        <v>45355</v>
      </c>
      <c r="DY103" s="14">
        <v>46032</v>
      </c>
      <c r="DZ103" s="14">
        <f>DATE(YEAR(DY103)+2,MONTH(DY103),DAY(DY103))</f>
        <v>46762</v>
      </c>
      <c r="EA103" s="65">
        <f t="shared" ca="1" si="279"/>
        <v>631</v>
      </c>
      <c r="EB103" s="15" t="str">
        <f t="shared" ca="1" si="280"/>
        <v>VIGENTE</v>
      </c>
      <c r="EC103" s="14">
        <v>45341</v>
      </c>
      <c r="ED103" s="14">
        <v>45994</v>
      </c>
      <c r="EE103" s="14">
        <f>DATE(YEAR(ED103)+2,MONTH(ED103),DAY(ED103))</f>
        <v>46724</v>
      </c>
      <c r="EF103" s="65">
        <f t="shared" ca="1" si="281"/>
        <v>593</v>
      </c>
      <c r="EG103" s="15" t="str">
        <f t="shared" ca="1" si="282"/>
        <v>VIGENTE</v>
      </c>
      <c r="EH103" s="14"/>
      <c r="EI103" s="13">
        <v>46013</v>
      </c>
      <c r="EJ103" s="13">
        <v>46014</v>
      </c>
      <c r="EK103" s="13">
        <v>46015</v>
      </c>
      <c r="EL103" s="14">
        <f t="shared" si="344"/>
        <v>46380</v>
      </c>
      <c r="EM103" s="65">
        <f t="shared" ca="1" si="283"/>
        <v>249</v>
      </c>
      <c r="EN103" s="15" t="str">
        <f t="shared" ca="1" si="284"/>
        <v>VIGENTE</v>
      </c>
      <c r="EO103" s="13">
        <v>45346</v>
      </c>
      <c r="EP103" s="14">
        <v>45983</v>
      </c>
      <c r="EQ103" s="14">
        <f>DATE(YEAR(EP103)+2,MONTH(EP103),DAY(EP103))</f>
        <v>46713</v>
      </c>
      <c r="ER103" s="65">
        <f t="shared" ca="1" si="285"/>
        <v>582</v>
      </c>
      <c r="ES103" s="15" t="str">
        <f t="shared" ca="1" si="286"/>
        <v>VIGENTE</v>
      </c>
      <c r="ET103" s="16"/>
      <c r="EU103" s="14">
        <v>45999</v>
      </c>
      <c r="EV103" s="14">
        <f>DATE(YEAR(EU103)+2,MONTH(EU103),DAY(EU103))</f>
        <v>46729</v>
      </c>
      <c r="EW103" s="65">
        <f t="shared" ca="1" si="287"/>
        <v>598</v>
      </c>
      <c r="EX103" s="15" t="str">
        <f t="shared" ca="1" si="288"/>
        <v>VIGENTE</v>
      </c>
      <c r="EY103" s="14">
        <v>45339</v>
      </c>
      <c r="EZ103" s="14">
        <v>45964</v>
      </c>
      <c r="FA103" s="14">
        <f>DATE(YEAR(EZ103)+2,MONTH(EZ103),DAY(EZ103))</f>
        <v>46694</v>
      </c>
      <c r="FB103" s="65">
        <f t="shared" ca="1" si="289"/>
        <v>563</v>
      </c>
      <c r="FC103" s="15" t="str">
        <f t="shared" ca="1" si="290"/>
        <v>VIGENTE</v>
      </c>
      <c r="FD103" s="16"/>
      <c r="FE103" s="14">
        <v>45988</v>
      </c>
      <c r="FF103" s="14">
        <f>DATE(YEAR(FE103)+2,MONTH(FE103),DAY(FE103))</f>
        <v>46718</v>
      </c>
      <c r="FG103" s="65">
        <f t="shared" ca="1" si="291"/>
        <v>587</v>
      </c>
      <c r="FH103" s="15" t="str">
        <f t="shared" ca="1" si="292"/>
        <v>VIGENTE</v>
      </c>
      <c r="FI103" s="14">
        <v>45342</v>
      </c>
      <c r="FJ103" s="14">
        <v>45962</v>
      </c>
      <c r="FK103" s="14">
        <f>DATE(YEAR(FJ103)+2,MONTH(FJ103),DAY(FJ103))</f>
        <v>46692</v>
      </c>
      <c r="FL103" s="65">
        <f t="shared" ca="1" si="293"/>
        <v>561</v>
      </c>
      <c r="FM103" s="15" t="str">
        <f t="shared" ca="1" si="294"/>
        <v>VIGENTE</v>
      </c>
      <c r="FN103" s="14">
        <v>45359</v>
      </c>
      <c r="FO103" s="14">
        <v>46039</v>
      </c>
      <c r="FP103" s="14">
        <f>DATE(YEAR(FO103)+2,MONTH(FO103),DAY(FO103))</f>
        <v>46769</v>
      </c>
      <c r="FQ103" s="65">
        <f t="shared" ca="1" si="295"/>
        <v>638</v>
      </c>
      <c r="FR103" s="15" t="str">
        <f t="shared" ca="1" si="296"/>
        <v>VIGENTE</v>
      </c>
      <c r="FS103" s="14">
        <v>45358</v>
      </c>
      <c r="FT103" s="14">
        <v>46034</v>
      </c>
      <c r="FU103" s="14">
        <f>DATE(YEAR(FT103)+2,MONTH(FT103),DAY(FT103))</f>
        <v>46764</v>
      </c>
      <c r="FV103" s="65">
        <f t="shared" ca="1" si="297"/>
        <v>633</v>
      </c>
      <c r="FW103" s="15" t="str">
        <f t="shared" ca="1" si="298"/>
        <v>VIGENTE</v>
      </c>
      <c r="FX103" s="14">
        <v>45324</v>
      </c>
      <c r="FY103" s="14">
        <v>46004</v>
      </c>
      <c r="FZ103" s="14">
        <f>DATE(YEAR(FY103)+2,MONTH(FY103),DAY(FY103))</f>
        <v>46734</v>
      </c>
      <c r="GA103" s="65">
        <f t="shared" ca="1" si="299"/>
        <v>603</v>
      </c>
      <c r="GB103" s="15" t="str">
        <f t="shared" ca="1" si="300"/>
        <v>VIGENTE</v>
      </c>
      <c r="GC103" s="14"/>
      <c r="GD103" s="14">
        <v>45925</v>
      </c>
      <c r="GE103" s="14">
        <f>DATE(YEAR(GD103)+2,MONTH(GD103),DAY(GD103))</f>
        <v>46655</v>
      </c>
      <c r="GF103" s="65">
        <f t="shared" ca="1" si="301"/>
        <v>524</v>
      </c>
      <c r="GG103" s="15" t="str">
        <f t="shared" ca="1" si="302"/>
        <v>VIGENTE</v>
      </c>
      <c r="GH103" s="14">
        <v>45332</v>
      </c>
      <c r="GI103" s="14">
        <v>45960</v>
      </c>
      <c r="GJ103" s="14">
        <f>DATE(YEAR(GI103)+2,MONTH(GI103),DAY(GI103))</f>
        <v>46690</v>
      </c>
      <c r="GK103" s="65">
        <f t="shared" ca="1" si="303"/>
        <v>559</v>
      </c>
      <c r="GL103" s="15" t="str">
        <f t="shared" ca="1" si="304"/>
        <v>VIGENTE</v>
      </c>
      <c r="GM103" s="14"/>
      <c r="GN103" s="14">
        <v>45499</v>
      </c>
      <c r="GO103" s="14">
        <f>DATE(YEAR(GN103)+2,MONTH(GN103),DAY(GN103)-1)</f>
        <v>46228</v>
      </c>
      <c r="GP103" s="65">
        <f t="shared" ca="1" si="305"/>
        <v>97</v>
      </c>
      <c r="GQ103" s="15" t="str">
        <f t="shared" ca="1" si="306"/>
        <v>VIGENTE</v>
      </c>
      <c r="GR103" s="14"/>
      <c r="GS103" s="14">
        <v>45299</v>
      </c>
      <c r="GT103" s="14">
        <f t="shared" si="307"/>
        <v>47126</v>
      </c>
      <c r="GU103" s="65">
        <f t="shared" ca="1" si="374"/>
        <v>995</v>
      </c>
      <c r="GV103" s="15" t="str">
        <f t="shared" ca="1" si="368"/>
        <v>VIGENTE</v>
      </c>
      <c r="GW103" s="14"/>
      <c r="GX103" s="14">
        <v>45329</v>
      </c>
      <c r="GY103" s="14">
        <f t="shared" si="309"/>
        <v>47156</v>
      </c>
      <c r="GZ103" s="65">
        <f t="shared" ca="1" si="310"/>
        <v>1025</v>
      </c>
      <c r="HA103" s="15" t="str">
        <f t="shared" ca="1" si="369"/>
        <v>VIGENTE</v>
      </c>
      <c r="HB103" s="16"/>
      <c r="HC103" s="14">
        <v>45343</v>
      </c>
      <c r="HD103" s="14">
        <f t="shared" si="312"/>
        <v>47170</v>
      </c>
      <c r="HE103" s="65">
        <f t="shared" ca="1" si="313"/>
        <v>1039</v>
      </c>
      <c r="HF103" s="15" t="str">
        <f t="shared" ca="1" si="394"/>
        <v>VIGENTE</v>
      </c>
      <c r="HG103" s="16"/>
      <c r="HH103" s="14">
        <v>45317</v>
      </c>
      <c r="HI103" s="14">
        <f t="shared" si="392"/>
        <v>47144</v>
      </c>
      <c r="HJ103" s="65">
        <f t="shared" ca="1" si="393"/>
        <v>1013</v>
      </c>
      <c r="HK103" s="15" t="str">
        <f t="shared" ca="1" si="395"/>
        <v>VIGENTE</v>
      </c>
      <c r="HL103" s="16"/>
      <c r="HM103" s="16"/>
      <c r="HN103" s="14"/>
      <c r="HO103" s="65"/>
      <c r="HP103" s="15" t="str">
        <f t="shared" si="375"/>
        <v>NO APLICA</v>
      </c>
      <c r="HQ103" s="12"/>
      <c r="HR103" s="12"/>
      <c r="HS103" s="14"/>
      <c r="HT103" s="12"/>
      <c r="HU103" s="15" t="str">
        <f t="shared" si="315"/>
        <v>NO APLICA</v>
      </c>
      <c r="HV103" s="16"/>
      <c r="HW103" s="16"/>
      <c r="HX103" s="14"/>
      <c r="HY103" s="65"/>
      <c r="HZ103" s="15" t="str">
        <f t="shared" si="316"/>
        <v>NO APLICA</v>
      </c>
      <c r="IA103" s="16"/>
      <c r="IB103" s="16"/>
      <c r="IC103" s="14"/>
      <c r="ID103" s="65"/>
      <c r="IE103" s="15" t="str">
        <f t="shared" si="317"/>
        <v>NO APLICA</v>
      </c>
      <c r="IF103" s="16"/>
      <c r="IG103" s="16"/>
      <c r="IH103" s="14"/>
      <c r="II103" s="65"/>
      <c r="IJ103" s="15" t="str">
        <f t="shared" si="318"/>
        <v>NO APLICA</v>
      </c>
      <c r="IK103" s="16"/>
      <c r="IL103" s="16"/>
      <c r="IM103" s="14"/>
      <c r="IN103" s="16"/>
      <c r="IO103" s="15" t="str">
        <f t="shared" si="319"/>
        <v>NO APLICA</v>
      </c>
      <c r="IP103" s="16"/>
      <c r="IQ103" s="16"/>
      <c r="IR103" s="14"/>
      <c r="IS103" s="65"/>
      <c r="IT103" s="15" t="str">
        <f t="shared" si="320"/>
        <v>NO APLICA</v>
      </c>
      <c r="IU103" s="16"/>
      <c r="IV103" s="16"/>
      <c r="IW103" s="14"/>
      <c r="IX103" s="65"/>
      <c r="IY103" s="15" t="str">
        <f t="shared" si="321"/>
        <v>NO APLICA</v>
      </c>
      <c r="IZ103" s="16"/>
      <c r="JA103" s="16"/>
      <c r="JB103" s="14"/>
      <c r="JC103" s="65"/>
      <c r="JD103" s="15" t="str">
        <f t="shared" si="322"/>
        <v>NO APLICA</v>
      </c>
      <c r="JE103" s="13"/>
      <c r="JF103" s="13"/>
      <c r="JG103" s="14"/>
      <c r="JH103" s="65"/>
      <c r="JI103" s="15" t="str">
        <f t="shared" si="323"/>
        <v>NO APLICA</v>
      </c>
      <c r="JJ103" s="16"/>
      <c r="JK103" s="16"/>
      <c r="JL103" s="16"/>
      <c r="JM103" s="15" t="str">
        <f t="shared" si="324"/>
        <v>NO APLICA</v>
      </c>
      <c r="JN103" s="16"/>
      <c r="JO103" s="16"/>
      <c r="JP103" s="16"/>
      <c r="JQ103" s="15" t="str">
        <f t="shared" si="325"/>
        <v>NO APLICA</v>
      </c>
      <c r="JR103" s="16"/>
      <c r="JS103" s="16"/>
      <c r="JT103" s="16"/>
      <c r="JU103" s="16"/>
      <c r="JV103" s="15" t="str">
        <f t="shared" si="326"/>
        <v>NO APLICA</v>
      </c>
      <c r="JW103" s="15"/>
      <c r="JX103" s="15"/>
      <c r="JY103" s="15"/>
      <c r="JZ103" s="15"/>
      <c r="KA103" s="15" t="str">
        <f t="shared" si="327"/>
        <v>NO APLICA</v>
      </c>
      <c r="KB103" s="12"/>
      <c r="KC103" s="14"/>
      <c r="KD103" s="65"/>
      <c r="KE103" s="15" t="str">
        <f t="shared" si="328"/>
        <v>NO APLICA</v>
      </c>
      <c r="KF103" s="12"/>
      <c r="KG103" s="14"/>
      <c r="KH103" s="65"/>
      <c r="KI103" s="15" t="str">
        <f t="shared" si="345"/>
        <v>NO APLICA</v>
      </c>
      <c r="KJ103" s="12"/>
      <c r="KK103" s="14"/>
      <c r="KL103" s="65"/>
      <c r="KM103" s="15" t="str">
        <f t="shared" si="329"/>
        <v>NO APLICA</v>
      </c>
      <c r="KN103" s="12"/>
      <c r="KO103" s="14"/>
      <c r="KP103" s="65"/>
      <c r="KQ103" s="15" t="str">
        <f t="shared" si="346"/>
        <v>NO APLICA</v>
      </c>
      <c r="KR103" s="16"/>
      <c r="KS103" s="16"/>
      <c r="KT103" s="14"/>
      <c r="KU103" s="16"/>
      <c r="KV103" s="15" t="str">
        <f t="shared" si="355"/>
        <v>NO APLICA</v>
      </c>
      <c r="KW103" s="16"/>
      <c r="KX103" s="14"/>
      <c r="KY103" s="16"/>
      <c r="KZ103" s="15" t="str">
        <f t="shared" si="347"/>
        <v>NO APLICA</v>
      </c>
      <c r="LA103" s="16"/>
      <c r="LB103" s="16"/>
      <c r="LC103" s="16"/>
      <c r="LD103" s="16"/>
      <c r="LE103" s="15" t="str">
        <f t="shared" si="330"/>
        <v>NO APLICA</v>
      </c>
      <c r="LF103" s="15"/>
      <c r="LG103" s="15"/>
      <c r="LH103" s="14"/>
      <c r="LI103" s="65"/>
      <c r="LJ103" s="15" t="str">
        <f t="shared" si="356"/>
        <v>NO APLICA</v>
      </c>
      <c r="LK103" s="16"/>
      <c r="LL103" s="16"/>
      <c r="LM103" s="14"/>
      <c r="LN103" s="65"/>
      <c r="LO103" s="15" t="str">
        <f t="shared" si="348"/>
        <v>NO APLICA</v>
      </c>
      <c r="LP103" s="16"/>
      <c r="LQ103" s="16"/>
      <c r="LR103" s="14"/>
      <c r="LS103" s="16"/>
      <c r="LT103" s="15" t="str">
        <f t="shared" si="349"/>
        <v>NO APLICA</v>
      </c>
      <c r="LU103" s="16"/>
      <c r="LV103" s="16"/>
      <c r="LW103" s="14"/>
      <c r="LX103" s="16"/>
      <c r="LY103" s="15" t="str">
        <f t="shared" si="350"/>
        <v>NO APLICA</v>
      </c>
      <c r="LZ103" s="16"/>
      <c r="MA103" s="16"/>
      <c r="MB103" s="14"/>
      <c r="MC103" s="16"/>
      <c r="MD103" s="15" t="str">
        <f t="shared" si="331"/>
        <v>NO APLICA</v>
      </c>
      <c r="ME103" s="16"/>
      <c r="MF103" s="16"/>
      <c r="MG103" s="14"/>
      <c r="MH103" s="16"/>
      <c r="MI103" s="15" t="str">
        <f t="shared" si="332"/>
        <v>NO APLICA</v>
      </c>
      <c r="MJ103" s="16"/>
      <c r="MK103" s="14"/>
      <c r="ML103" s="16"/>
      <c r="MM103" s="15" t="str">
        <f t="shared" si="333"/>
        <v>NO APLICA</v>
      </c>
      <c r="MN103" s="16"/>
      <c r="MO103" s="16"/>
      <c r="MP103" s="16"/>
      <c r="MQ103" s="15" t="str">
        <f t="shared" si="334"/>
        <v>NO APLICA</v>
      </c>
      <c r="MR103" s="16"/>
      <c r="MS103" s="16"/>
      <c r="MT103" s="14"/>
      <c r="MU103" s="16"/>
      <c r="MV103" s="15" t="str">
        <f t="shared" si="335"/>
        <v>NO APLICA</v>
      </c>
      <c r="MW103" s="16"/>
      <c r="MX103" s="16"/>
      <c r="MY103" s="14"/>
      <c r="MZ103" s="16"/>
      <c r="NA103" s="15" t="str">
        <f t="shared" si="336"/>
        <v>NO APLICA</v>
      </c>
      <c r="NB103" s="16"/>
      <c r="NC103" s="16"/>
      <c r="ND103" s="14"/>
      <c r="NE103" s="16"/>
      <c r="NF103" s="15" t="str">
        <f t="shared" si="337"/>
        <v>NO APLICA</v>
      </c>
      <c r="NG103" s="16"/>
      <c r="NH103" s="16"/>
      <c r="NI103" s="14"/>
      <c r="NJ103" s="16"/>
      <c r="NK103" s="15" t="str">
        <f t="shared" si="338"/>
        <v>NO APLICA</v>
      </c>
      <c r="NL103" s="16"/>
      <c r="NM103" s="16"/>
      <c r="NN103" s="14"/>
      <c r="NO103" s="16"/>
      <c r="NP103" s="15" t="str">
        <f t="shared" si="339"/>
        <v>NO APLICA</v>
      </c>
      <c r="NQ103" s="16"/>
      <c r="NR103" s="14">
        <v>45320</v>
      </c>
      <c r="NS103" s="14">
        <f>DATE(YEAR(NR103)+2,MONTH(NR103),DAY(NR103))</f>
        <v>46051</v>
      </c>
      <c r="NT103" s="65">
        <f ca="1">NS103-TODAY()</f>
        <v>-80</v>
      </c>
      <c r="NU103" s="15" t="str">
        <f t="shared" ca="1" si="340"/>
        <v>VENCIDA</v>
      </c>
      <c r="NV103" s="16"/>
      <c r="NW103" s="16"/>
      <c r="NX103" s="16"/>
      <c r="NY103" s="16"/>
      <c r="NZ103" s="15" t="str">
        <f t="shared" si="341"/>
        <v>NO APLICA</v>
      </c>
    </row>
    <row r="104" spans="1:390" ht="15.6" thickTop="1" thickBot="1" x14ac:dyDescent="0.35">
      <c r="A104" s="9">
        <v>917</v>
      </c>
      <c r="B104" s="10" t="s">
        <v>413</v>
      </c>
      <c r="C104" s="21" t="s">
        <v>151</v>
      </c>
      <c r="D104" s="64" t="s">
        <v>414</v>
      </c>
      <c r="E104" s="15"/>
      <c r="F104" s="16"/>
      <c r="G104" s="14"/>
      <c r="H104" s="65"/>
      <c r="I104" s="15" t="str">
        <f t="shared" si="235"/>
        <v>NO APLICA</v>
      </c>
      <c r="J104" s="15"/>
      <c r="K104" s="16"/>
      <c r="L104" s="16"/>
      <c r="M104" s="65"/>
      <c r="N104" s="15" t="str">
        <f t="shared" si="236"/>
        <v>NO APLICA</v>
      </c>
      <c r="O104" s="16"/>
      <c r="P104" s="16"/>
      <c r="Q104" s="14"/>
      <c r="R104" s="65"/>
      <c r="S104" s="15" t="str">
        <f t="shared" si="342"/>
        <v>NO APLICA</v>
      </c>
      <c r="T104" s="12" t="s">
        <v>415</v>
      </c>
      <c r="U104" s="13">
        <v>45281</v>
      </c>
      <c r="V104" s="14">
        <v>45282</v>
      </c>
      <c r="W104" s="14">
        <f t="shared" si="237"/>
        <v>47109</v>
      </c>
      <c r="X104" s="65">
        <f t="shared" ca="1" si="238"/>
        <v>978</v>
      </c>
      <c r="Y104" s="15" t="str">
        <f t="shared" ca="1" si="239"/>
        <v>VIGENTE</v>
      </c>
      <c r="Z104" s="12"/>
      <c r="AA104" s="12"/>
      <c r="AB104" s="16"/>
      <c r="AC104" s="14"/>
      <c r="AD104" s="65"/>
      <c r="AE104" s="15" t="str">
        <f>IF(AD104&gt;=91,"VIGENTE",IF(AD104&gt;=1,"POR VENCER",IF(AD104&lt;=-1,"VENCIDA",IF(AB104=0,"NO APLICA"))))</f>
        <v>NO APLICA</v>
      </c>
      <c r="AF104" s="13">
        <v>45243</v>
      </c>
      <c r="AG104" s="14">
        <v>45902</v>
      </c>
      <c r="AH104" s="14">
        <f>DATE(YEAR(AG104)+2,MONTH(AG104),DAY(AG104))</f>
        <v>46632</v>
      </c>
      <c r="AI104" s="65">
        <f t="shared" ca="1" si="241"/>
        <v>501</v>
      </c>
      <c r="AJ104" s="15" t="str">
        <f t="shared" ca="1" si="213"/>
        <v>VIGENTE</v>
      </c>
      <c r="AK104" s="13">
        <v>45236</v>
      </c>
      <c r="AL104" s="14">
        <v>45903</v>
      </c>
      <c r="AM104" s="14">
        <f>DATE(YEAR(AL104)+2,MONTH(AL104),DAY(AL104))</f>
        <v>46633</v>
      </c>
      <c r="AN104" s="65">
        <f t="shared" ca="1" si="242"/>
        <v>502</v>
      </c>
      <c r="AO104" s="15" t="str">
        <f t="shared" ca="1" si="243"/>
        <v>VIGENTE</v>
      </c>
      <c r="AP104" s="13">
        <v>44652</v>
      </c>
      <c r="AQ104" s="14">
        <v>45904</v>
      </c>
      <c r="AR104" s="14">
        <f>DATE(YEAR(AQ104)+2,MONTH(AQ104),DAY(AQ104))</f>
        <v>46634</v>
      </c>
      <c r="AS104" s="65">
        <f t="shared" ca="1" si="244"/>
        <v>503</v>
      </c>
      <c r="AT104" s="15" t="str">
        <f t="shared" ca="1" si="245"/>
        <v>VIGENTE</v>
      </c>
      <c r="AU104" s="13">
        <v>44652</v>
      </c>
      <c r="AV104" s="14">
        <v>45927</v>
      </c>
      <c r="AW104" s="14">
        <f>DATE(YEAR(AV104)+2,MONTH(AV104),DAY(AV104))</f>
        <v>46657</v>
      </c>
      <c r="AX104" s="65">
        <f t="shared" ca="1" si="246"/>
        <v>526</v>
      </c>
      <c r="AY104" s="15" t="str">
        <f t="shared" ca="1" si="247"/>
        <v>VIGENTE</v>
      </c>
      <c r="AZ104" s="13">
        <v>45075</v>
      </c>
      <c r="BA104" s="14">
        <v>45717</v>
      </c>
      <c r="BB104" s="14">
        <f>DATE(YEAR(BA104)+2,MONTH(BA104),DAY(BA104)-1)</f>
        <v>46446</v>
      </c>
      <c r="BC104" s="65">
        <f t="shared" ca="1" si="248"/>
        <v>315</v>
      </c>
      <c r="BD104" s="15" t="str">
        <f t="shared" ca="1" si="249"/>
        <v>VIGENTE</v>
      </c>
      <c r="BE104" s="13">
        <v>45071</v>
      </c>
      <c r="BF104" s="14">
        <v>45698</v>
      </c>
      <c r="BG104" s="14">
        <f>DATE(YEAR(BF104)+2,MONTH(BF104),DAY(BF104)-1)</f>
        <v>46427</v>
      </c>
      <c r="BH104" s="65">
        <f t="shared" ca="1" si="250"/>
        <v>296</v>
      </c>
      <c r="BI104" s="15" t="str">
        <f t="shared" ca="1" si="251"/>
        <v>VIGENTE</v>
      </c>
      <c r="BJ104" s="13">
        <v>44956</v>
      </c>
      <c r="BK104" s="14">
        <v>45600</v>
      </c>
      <c r="BL104" s="14">
        <f>DATE(YEAR(BK104)+2,MONTH(BK104),DAY(BK104)-1)</f>
        <v>46329</v>
      </c>
      <c r="BM104" s="65">
        <f t="shared" ca="1" si="252"/>
        <v>198</v>
      </c>
      <c r="BN104" s="15" t="str">
        <f t="shared" ca="1" si="253"/>
        <v>VIGENTE</v>
      </c>
      <c r="BO104" s="13">
        <v>45031</v>
      </c>
      <c r="BP104" s="14">
        <v>45701</v>
      </c>
      <c r="BQ104" s="14">
        <f>DATE(YEAR(BP104)+2,MONTH(BP104),DAY(BP104)-1)</f>
        <v>46430</v>
      </c>
      <c r="BR104" s="65">
        <f t="shared" ca="1" si="254"/>
        <v>299</v>
      </c>
      <c r="BS104" s="15" t="str">
        <f t="shared" ca="1" si="255"/>
        <v>VIGENTE</v>
      </c>
      <c r="BT104" s="13">
        <v>44973</v>
      </c>
      <c r="BU104" s="14">
        <v>45611</v>
      </c>
      <c r="BV104" s="14">
        <f>DATE(YEAR(BU104)+2,MONTH(BU104),DAY(BU104)-1)</f>
        <v>46340</v>
      </c>
      <c r="BW104" s="65">
        <f t="shared" ca="1" si="256"/>
        <v>209</v>
      </c>
      <c r="BX104" s="15" t="str">
        <f t="shared" ca="1" si="257"/>
        <v>VIGENTE</v>
      </c>
      <c r="BY104" s="13">
        <v>45300</v>
      </c>
      <c r="BZ104" s="14">
        <v>45954</v>
      </c>
      <c r="CA104" s="14">
        <f>DATE(YEAR(BZ104)+2,MONTH(BZ104),DAY(BZ104))</f>
        <v>46684</v>
      </c>
      <c r="CB104" s="65">
        <f t="shared" ca="1" si="258"/>
        <v>553</v>
      </c>
      <c r="CC104" s="15" t="str">
        <f t="shared" ca="1" si="259"/>
        <v>VIGENTE</v>
      </c>
      <c r="CD104" s="16" t="s">
        <v>102</v>
      </c>
      <c r="CE104" s="14">
        <v>45831</v>
      </c>
      <c r="CF104" s="14">
        <v>45832</v>
      </c>
      <c r="CG104" s="14">
        <f t="shared" si="377"/>
        <v>47293</v>
      </c>
      <c r="CH104" s="65">
        <f t="shared" ca="1" si="378"/>
        <v>1162</v>
      </c>
      <c r="CI104" s="15" t="str">
        <f t="shared" ca="1" si="262"/>
        <v>VIGENTE</v>
      </c>
      <c r="CJ104" s="14">
        <v>45054</v>
      </c>
      <c r="CK104" s="14">
        <v>45688</v>
      </c>
      <c r="CL104" s="14">
        <f>DATE(YEAR(CK104)+2,MONTH(CK104),DAY(CK104)-1)</f>
        <v>46417</v>
      </c>
      <c r="CM104" s="65">
        <f t="shared" ca="1" si="263"/>
        <v>286</v>
      </c>
      <c r="CN104" s="15" t="str">
        <f t="shared" ca="1" si="264"/>
        <v>VIGENTE</v>
      </c>
      <c r="CO104" s="13">
        <v>45077</v>
      </c>
      <c r="CP104" s="14">
        <v>45726</v>
      </c>
      <c r="CQ104" s="14">
        <f>DATE(YEAR(CP104)+2,MONTH(CP104),DAY(CP104)-1)</f>
        <v>46455</v>
      </c>
      <c r="CR104" s="65">
        <f t="shared" ca="1" si="265"/>
        <v>324</v>
      </c>
      <c r="CS104" s="15" t="str">
        <f t="shared" ca="1" si="266"/>
        <v>VIGENTE</v>
      </c>
      <c r="CT104" s="13">
        <v>44651</v>
      </c>
      <c r="CU104" s="14">
        <v>45905</v>
      </c>
      <c r="CV104" s="14">
        <f>DATE(YEAR(CU104)+2,MONTH(CU104),DAY(CU104))</f>
        <v>46635</v>
      </c>
      <c r="CW104" s="65">
        <f t="shared" ca="1" si="267"/>
        <v>504</v>
      </c>
      <c r="CX104" s="15" t="str">
        <f t="shared" ca="1" si="268"/>
        <v>VIGENTE</v>
      </c>
      <c r="CY104" s="13">
        <v>44653</v>
      </c>
      <c r="CZ104" s="14">
        <v>46000</v>
      </c>
      <c r="DA104" s="14">
        <f>DATE(YEAR(CZ104)+2,MONTH(CZ104),DAY(CZ104))</f>
        <v>46730</v>
      </c>
      <c r="DB104" s="65">
        <f t="shared" ca="1" si="269"/>
        <v>599</v>
      </c>
      <c r="DC104" s="15" t="str">
        <f t="shared" ca="1" si="270"/>
        <v>VIGENTE</v>
      </c>
      <c r="DD104" s="13">
        <v>45079</v>
      </c>
      <c r="DE104" s="14">
        <v>45761</v>
      </c>
      <c r="DF104" s="14">
        <f>DATE(YEAR(DE104)+2,MONTH(DE104),DAY(DE104))</f>
        <v>46491</v>
      </c>
      <c r="DG104" s="65">
        <f t="shared" ca="1" si="271"/>
        <v>360</v>
      </c>
      <c r="DH104" s="15" t="str">
        <f t="shared" ca="1" si="272"/>
        <v>VIGENTE</v>
      </c>
      <c r="DI104" s="13">
        <v>45198</v>
      </c>
      <c r="DJ104" s="14">
        <v>45834</v>
      </c>
      <c r="DK104" s="14">
        <f>DATE(YEAR(DJ104)+2,MONTH(DJ104),DAY(DJ104))</f>
        <v>46564</v>
      </c>
      <c r="DL104" s="65">
        <f t="shared" ca="1" si="273"/>
        <v>433</v>
      </c>
      <c r="DM104" s="15" t="str">
        <f t="shared" ca="1" si="274"/>
        <v>VIGENTE</v>
      </c>
      <c r="DN104" s="13">
        <v>45316</v>
      </c>
      <c r="DO104" s="14">
        <v>45982</v>
      </c>
      <c r="DP104" s="14">
        <f>DATE(YEAR(DO104)+2,MONTH(DO104),DAY(DO104))</f>
        <v>46712</v>
      </c>
      <c r="DQ104" s="65">
        <f t="shared" ca="1" si="275"/>
        <v>581</v>
      </c>
      <c r="DR104" s="15" t="str">
        <f t="shared" ca="1" si="276"/>
        <v>VIGENTE</v>
      </c>
      <c r="DS104" s="13">
        <v>45066</v>
      </c>
      <c r="DT104" s="14">
        <v>45685</v>
      </c>
      <c r="DU104" s="14">
        <f>DATE(YEAR(DT104)+2,MONTH(DT104),DAY(DT104)-1)</f>
        <v>46414</v>
      </c>
      <c r="DV104" s="65">
        <f t="shared" ca="1" si="277"/>
        <v>283</v>
      </c>
      <c r="DW104" s="15" t="str">
        <f t="shared" ca="1" si="278"/>
        <v>VIGENTE</v>
      </c>
      <c r="DX104" s="13">
        <v>45063</v>
      </c>
      <c r="DY104" s="14">
        <v>45663</v>
      </c>
      <c r="DZ104" s="14">
        <f>DATE(YEAR(DY104)+2,MONTH(DY104),DAY(DY104)-1)</f>
        <v>46392</v>
      </c>
      <c r="EA104" s="65">
        <f t="shared" ca="1" si="279"/>
        <v>261</v>
      </c>
      <c r="EB104" s="15" t="str">
        <f t="shared" ca="1" si="280"/>
        <v>VIGENTE</v>
      </c>
      <c r="EC104" s="13">
        <v>45051</v>
      </c>
      <c r="ED104" s="14">
        <v>45674</v>
      </c>
      <c r="EE104" s="14">
        <f>DATE(YEAR(ED104)+2,MONTH(ED104),DAY(ED104)-1)</f>
        <v>46403</v>
      </c>
      <c r="EF104" s="65">
        <f t="shared" ca="1" si="281"/>
        <v>272</v>
      </c>
      <c r="EG104" s="15" t="str">
        <f t="shared" ca="1" si="282"/>
        <v>VIGENTE</v>
      </c>
      <c r="EH104" s="13">
        <v>45057</v>
      </c>
      <c r="EI104" s="13">
        <v>46083</v>
      </c>
      <c r="EJ104" s="13">
        <v>46084</v>
      </c>
      <c r="EK104" s="13">
        <v>46085</v>
      </c>
      <c r="EL104" s="14">
        <f t="shared" si="344"/>
        <v>46450</v>
      </c>
      <c r="EM104" s="65">
        <f t="shared" ca="1" si="283"/>
        <v>319</v>
      </c>
      <c r="EN104" s="15" t="str">
        <f t="shared" ca="1" si="284"/>
        <v>VIGENTE</v>
      </c>
      <c r="EO104" s="13">
        <v>45076</v>
      </c>
      <c r="EP104" s="14">
        <v>45705</v>
      </c>
      <c r="EQ104" s="14">
        <f>DATE(YEAR(EP104)+2,MONTH(EP104),DAY(EP104)-1)</f>
        <v>46434</v>
      </c>
      <c r="ER104" s="65">
        <f t="shared" ca="1" si="285"/>
        <v>303</v>
      </c>
      <c r="ES104" s="15" t="str">
        <f t="shared" ca="1" si="286"/>
        <v>VIGENTE</v>
      </c>
      <c r="ET104" s="12">
        <v>45096</v>
      </c>
      <c r="EU104" s="14">
        <v>45735</v>
      </c>
      <c r="EV104" s="14">
        <f>DATE(YEAR(EU104)+2,MONTH(EU104),DAY(EU104)-1)</f>
        <v>46464</v>
      </c>
      <c r="EW104" s="65">
        <f t="shared" ca="1" si="287"/>
        <v>333</v>
      </c>
      <c r="EX104" s="15" t="str">
        <f t="shared" ca="1" si="288"/>
        <v>VIGENTE</v>
      </c>
      <c r="EY104" s="13">
        <v>44608</v>
      </c>
      <c r="EZ104" s="14">
        <v>45917</v>
      </c>
      <c r="FA104" s="14">
        <f>DATE(YEAR(EZ104)+2,MONTH(EZ104),DAY(EZ104))</f>
        <v>46647</v>
      </c>
      <c r="FB104" s="65">
        <f t="shared" ca="1" si="289"/>
        <v>516</v>
      </c>
      <c r="FC104" s="15" t="str">
        <f t="shared" ca="1" si="290"/>
        <v>VIGENTE</v>
      </c>
      <c r="FD104" s="13">
        <v>44608</v>
      </c>
      <c r="FE104" s="14">
        <v>45931</v>
      </c>
      <c r="FF104" s="14">
        <f>DATE(YEAR(FE104)+2,MONTH(FE104),DAY(FE104))</f>
        <v>46661</v>
      </c>
      <c r="FG104" s="65">
        <f t="shared" ca="1" si="291"/>
        <v>530</v>
      </c>
      <c r="FH104" s="15" t="str">
        <f t="shared" ca="1" si="292"/>
        <v>VIGENTE</v>
      </c>
      <c r="FI104" s="13">
        <v>44609</v>
      </c>
      <c r="FJ104" s="14">
        <v>45932</v>
      </c>
      <c r="FK104" s="14">
        <f>DATE(YEAR(FJ104)+2,MONTH(FJ104),DAY(FJ104))</f>
        <v>46662</v>
      </c>
      <c r="FL104" s="65">
        <f t="shared" ca="1" si="293"/>
        <v>531</v>
      </c>
      <c r="FM104" s="15" t="str">
        <f t="shared" ca="1" si="294"/>
        <v>VIGENTE</v>
      </c>
      <c r="FN104" s="13">
        <v>45055</v>
      </c>
      <c r="FO104" s="14">
        <v>45670</v>
      </c>
      <c r="FP104" s="14">
        <f>DATE(YEAR(FO104)+2,MONTH(FO104),DAY(FO104)-1)</f>
        <v>46399</v>
      </c>
      <c r="FQ104" s="65">
        <f t="shared" ca="1" si="295"/>
        <v>268</v>
      </c>
      <c r="FR104" s="15" t="str">
        <f t="shared" ca="1" si="296"/>
        <v>VIGENTE</v>
      </c>
      <c r="FS104" s="13">
        <v>45052</v>
      </c>
      <c r="FT104" s="14">
        <v>45664</v>
      </c>
      <c r="FU104" s="14">
        <f>DATE(YEAR(FT104)+2,MONTH(FT104),DAY(FT104)-1)</f>
        <v>46393</v>
      </c>
      <c r="FV104" s="65">
        <f t="shared" ca="1" si="297"/>
        <v>262</v>
      </c>
      <c r="FW104" s="15" t="str">
        <f t="shared" ca="1" si="298"/>
        <v>VIGENTE</v>
      </c>
      <c r="FX104" s="13">
        <v>44609</v>
      </c>
      <c r="FY104" s="14">
        <v>46014</v>
      </c>
      <c r="FZ104" s="14">
        <f>DATE(YEAR(FY104)+2,MONTH(FY104),DAY(FY104))</f>
        <v>46744</v>
      </c>
      <c r="GA104" s="65">
        <f t="shared" ca="1" si="299"/>
        <v>613</v>
      </c>
      <c r="GB104" s="15" t="str">
        <f t="shared" ca="1" si="300"/>
        <v>VIGENTE</v>
      </c>
      <c r="GC104" s="13">
        <v>45036</v>
      </c>
      <c r="GD104" s="14">
        <v>45667</v>
      </c>
      <c r="GE104" s="14">
        <f>DATE(YEAR(GD104)+2,MONTH(GD104),DAY(GD104)-1)</f>
        <v>46396</v>
      </c>
      <c r="GF104" s="65">
        <f t="shared" ca="1" si="301"/>
        <v>265</v>
      </c>
      <c r="GG104" s="15" t="str">
        <f t="shared" ca="1" si="302"/>
        <v>VIGENTE</v>
      </c>
      <c r="GH104" s="13">
        <v>45034</v>
      </c>
      <c r="GI104" s="14">
        <v>45672</v>
      </c>
      <c r="GJ104" s="14">
        <f>DATE(YEAR(GI104)+2,MONTH(GI104),DAY(GI104)-1)</f>
        <v>46401</v>
      </c>
      <c r="GK104" s="65">
        <f t="shared" ca="1" si="303"/>
        <v>270</v>
      </c>
      <c r="GL104" s="15" t="str">
        <f t="shared" ca="1" si="304"/>
        <v>VIGENTE</v>
      </c>
      <c r="GM104" s="13">
        <v>44566</v>
      </c>
      <c r="GN104" s="14">
        <v>45945</v>
      </c>
      <c r="GO104" s="14">
        <f>DATE(YEAR(GN104)+2,MONTH(GN104),DAY(GN104))</f>
        <v>46675</v>
      </c>
      <c r="GP104" s="65">
        <f t="shared" ca="1" si="305"/>
        <v>544</v>
      </c>
      <c r="GQ104" s="15" t="str">
        <f t="shared" ca="1" si="306"/>
        <v>VIGENTE</v>
      </c>
      <c r="GR104" s="14"/>
      <c r="GS104" s="14">
        <v>45013</v>
      </c>
      <c r="GT104" s="14">
        <f t="shared" si="307"/>
        <v>46840</v>
      </c>
      <c r="GU104" s="65">
        <f t="shared" ca="1" si="374"/>
        <v>709</v>
      </c>
      <c r="GV104" s="15" t="str">
        <f t="shared" ca="1" si="368"/>
        <v>VIGENTE</v>
      </c>
      <c r="GW104" s="13"/>
      <c r="GX104" s="14">
        <v>45099</v>
      </c>
      <c r="GY104" s="14">
        <f t="shared" si="309"/>
        <v>46926</v>
      </c>
      <c r="GZ104" s="65">
        <f t="shared" ca="1" si="310"/>
        <v>795</v>
      </c>
      <c r="HA104" s="15" t="str">
        <f t="shared" ca="1" si="369"/>
        <v>VIGENTE</v>
      </c>
      <c r="HB104" s="12"/>
      <c r="HC104" s="14">
        <v>45073</v>
      </c>
      <c r="HD104" s="14">
        <f t="shared" si="312"/>
        <v>46900</v>
      </c>
      <c r="HE104" s="65">
        <f t="shared" ca="1" si="313"/>
        <v>769</v>
      </c>
      <c r="HF104" s="15" t="str">
        <f t="shared" ca="1" si="394"/>
        <v>VIGENTE</v>
      </c>
      <c r="HG104" s="16"/>
      <c r="HH104" s="16"/>
      <c r="HI104" s="14"/>
      <c r="HJ104" s="65"/>
      <c r="HK104" s="15" t="str">
        <f t="shared" si="395"/>
        <v>NO APLICA</v>
      </c>
      <c r="HL104" s="12"/>
      <c r="HM104" s="16"/>
      <c r="HN104" s="14"/>
      <c r="HO104" s="65"/>
      <c r="HP104" s="15" t="str">
        <f t="shared" si="375"/>
        <v>NO APLICA</v>
      </c>
      <c r="HQ104" s="12"/>
      <c r="HR104" s="12"/>
      <c r="HS104" s="14"/>
      <c r="HT104" s="12"/>
      <c r="HU104" s="15" t="str">
        <f t="shared" si="315"/>
        <v>NO APLICA</v>
      </c>
      <c r="HV104" s="12"/>
      <c r="HW104" s="16"/>
      <c r="HX104" s="14"/>
      <c r="HY104" s="65"/>
      <c r="HZ104" s="15" t="str">
        <f t="shared" si="316"/>
        <v>NO APLICA</v>
      </c>
      <c r="IA104" s="12"/>
      <c r="IB104" s="16"/>
      <c r="IC104" s="14"/>
      <c r="ID104" s="65"/>
      <c r="IE104" s="15" t="str">
        <f t="shared" si="317"/>
        <v>NO APLICA</v>
      </c>
      <c r="IF104" s="12"/>
      <c r="IG104" s="16"/>
      <c r="IH104" s="14"/>
      <c r="II104" s="65"/>
      <c r="IJ104" s="15" t="str">
        <f t="shared" si="318"/>
        <v>NO APLICA</v>
      </c>
      <c r="IK104" s="16"/>
      <c r="IL104" s="16"/>
      <c r="IM104" s="14"/>
      <c r="IN104" s="65"/>
      <c r="IO104" s="15" t="str">
        <f t="shared" si="319"/>
        <v>NO APLICA</v>
      </c>
      <c r="IP104" s="12"/>
      <c r="IQ104" s="16"/>
      <c r="IR104" s="14"/>
      <c r="IS104" s="65"/>
      <c r="IT104" s="15" t="str">
        <f t="shared" si="320"/>
        <v>NO APLICA</v>
      </c>
      <c r="IU104" s="12"/>
      <c r="IV104" s="16"/>
      <c r="IW104" s="14"/>
      <c r="IX104" s="65"/>
      <c r="IY104" s="15" t="str">
        <f t="shared" si="321"/>
        <v>NO APLICA</v>
      </c>
      <c r="IZ104" s="12"/>
      <c r="JA104" s="16"/>
      <c r="JB104" s="14"/>
      <c r="JC104" s="65"/>
      <c r="JD104" s="15" t="str">
        <f t="shared" si="322"/>
        <v>NO APLICA</v>
      </c>
      <c r="JE104" s="13"/>
      <c r="JF104" s="13"/>
      <c r="JG104" s="14"/>
      <c r="JH104" s="65"/>
      <c r="JI104" s="15" t="str">
        <f t="shared" si="323"/>
        <v>NO APLICA</v>
      </c>
      <c r="JJ104" s="16"/>
      <c r="JK104" s="16"/>
      <c r="JL104" s="16"/>
      <c r="JM104" s="15" t="str">
        <f t="shared" si="324"/>
        <v>NO APLICA</v>
      </c>
      <c r="JN104" s="16"/>
      <c r="JO104" s="16"/>
      <c r="JP104" s="16"/>
      <c r="JQ104" s="15" t="str">
        <f t="shared" si="325"/>
        <v>NO APLICA</v>
      </c>
      <c r="JR104" s="16"/>
      <c r="JS104" s="16"/>
      <c r="JT104" s="16"/>
      <c r="JU104" s="16"/>
      <c r="JV104" s="15" t="str">
        <f t="shared" si="326"/>
        <v>NO APLICA</v>
      </c>
      <c r="JW104" s="15"/>
      <c r="JX104" s="15"/>
      <c r="JY104" s="15"/>
      <c r="JZ104" s="15"/>
      <c r="KA104" s="15" t="str">
        <f t="shared" si="327"/>
        <v>NO APLICA</v>
      </c>
      <c r="KB104" s="12"/>
      <c r="KC104" s="14"/>
      <c r="KD104" s="65"/>
      <c r="KE104" s="15" t="str">
        <f t="shared" si="328"/>
        <v>NO APLICA</v>
      </c>
      <c r="KF104" s="12"/>
      <c r="KG104" s="14"/>
      <c r="KH104" s="65"/>
      <c r="KI104" s="15" t="str">
        <f t="shared" si="345"/>
        <v>NO APLICA</v>
      </c>
      <c r="KJ104" s="12"/>
      <c r="KK104" s="14"/>
      <c r="KL104" s="65"/>
      <c r="KM104" s="15" t="str">
        <f t="shared" si="329"/>
        <v>NO APLICA</v>
      </c>
      <c r="KN104" s="12"/>
      <c r="KO104" s="14"/>
      <c r="KP104" s="65"/>
      <c r="KQ104" s="15" t="str">
        <f t="shared" si="346"/>
        <v>NO APLICA</v>
      </c>
      <c r="KR104" s="12"/>
      <c r="KS104" s="16"/>
      <c r="KT104" s="14"/>
      <c r="KU104" s="65"/>
      <c r="KV104" s="15" t="str">
        <f t="shared" si="355"/>
        <v>NO APLICA</v>
      </c>
      <c r="KW104" s="16"/>
      <c r="KX104" s="14"/>
      <c r="KY104" s="65"/>
      <c r="KZ104" s="15" t="str">
        <f t="shared" si="347"/>
        <v>NO APLICA</v>
      </c>
      <c r="LA104" s="16"/>
      <c r="LB104" s="16"/>
      <c r="LC104" s="14"/>
      <c r="LD104" s="65"/>
      <c r="LE104" s="15" t="str">
        <f t="shared" si="330"/>
        <v>NO APLICA</v>
      </c>
      <c r="LF104" s="15"/>
      <c r="LG104" s="15"/>
      <c r="LH104" s="14"/>
      <c r="LI104" s="65"/>
      <c r="LJ104" s="15" t="str">
        <f t="shared" si="356"/>
        <v>NO APLICA</v>
      </c>
      <c r="LK104" s="12"/>
      <c r="LL104" s="16"/>
      <c r="LM104" s="14"/>
      <c r="LN104" s="65"/>
      <c r="LO104" s="15" t="str">
        <f t="shared" si="348"/>
        <v>NO APLICA</v>
      </c>
      <c r="LP104" s="16"/>
      <c r="LQ104" s="16"/>
      <c r="LR104" s="14"/>
      <c r="LS104" s="65"/>
      <c r="LT104" s="15" t="str">
        <f t="shared" si="349"/>
        <v>NO APLICA</v>
      </c>
      <c r="LU104" s="16"/>
      <c r="LV104" s="16"/>
      <c r="LW104" s="14"/>
      <c r="LX104" s="65"/>
      <c r="LY104" s="15" t="str">
        <f t="shared" si="350"/>
        <v>NO APLICA</v>
      </c>
      <c r="LZ104" s="12"/>
      <c r="MA104" s="12"/>
      <c r="MB104" s="14"/>
      <c r="MC104" s="65"/>
      <c r="MD104" s="15" t="str">
        <f t="shared" si="331"/>
        <v>NO APLICA</v>
      </c>
      <c r="ME104" s="12"/>
      <c r="MF104" s="12"/>
      <c r="MG104" s="14"/>
      <c r="MH104" s="65"/>
      <c r="MI104" s="15" t="str">
        <f t="shared" si="332"/>
        <v>NO APLICA</v>
      </c>
      <c r="MJ104" s="12"/>
      <c r="MK104" s="14"/>
      <c r="ML104" s="65"/>
      <c r="MM104" s="15" t="str">
        <f t="shared" si="333"/>
        <v>NO APLICA</v>
      </c>
      <c r="MN104" s="12"/>
      <c r="MO104" s="14"/>
      <c r="MP104" s="12"/>
      <c r="MQ104" s="15" t="str">
        <f t="shared" si="334"/>
        <v>NO APLICA</v>
      </c>
      <c r="MR104" s="12"/>
      <c r="MS104" s="16"/>
      <c r="MT104" s="14"/>
      <c r="MU104" s="65"/>
      <c r="MV104" s="15" t="str">
        <f t="shared" si="335"/>
        <v>NO APLICA</v>
      </c>
      <c r="MW104" s="12"/>
      <c r="MX104" s="16"/>
      <c r="MY104" s="14"/>
      <c r="MZ104" s="65"/>
      <c r="NA104" s="15" t="str">
        <f t="shared" si="336"/>
        <v>NO APLICA</v>
      </c>
      <c r="NB104" s="12"/>
      <c r="NC104" s="16"/>
      <c r="ND104" s="14"/>
      <c r="NE104" s="65"/>
      <c r="NF104" s="15" t="str">
        <f t="shared" si="337"/>
        <v>NO APLICA</v>
      </c>
      <c r="NG104" s="12"/>
      <c r="NH104" s="12"/>
      <c r="NI104" s="14"/>
      <c r="NJ104" s="12"/>
      <c r="NK104" s="15" t="str">
        <f t="shared" si="338"/>
        <v>NO APLICA</v>
      </c>
      <c r="NL104" s="12"/>
      <c r="NM104" s="12"/>
      <c r="NN104" s="12"/>
      <c r="NO104" s="12"/>
      <c r="NP104" s="15" t="str">
        <f t="shared" si="339"/>
        <v>NO APLICA</v>
      </c>
      <c r="NQ104" s="16"/>
      <c r="NR104" s="16"/>
      <c r="NS104" s="14"/>
      <c r="NT104" s="65"/>
      <c r="NU104" s="15" t="str">
        <f t="shared" si="340"/>
        <v>NO APLICA</v>
      </c>
      <c r="NV104" s="16"/>
      <c r="NW104" s="16"/>
      <c r="NX104" s="16"/>
      <c r="NY104" s="16"/>
      <c r="NZ104" s="15" t="str">
        <f t="shared" si="341"/>
        <v>NO APLICA</v>
      </c>
    </row>
    <row r="105" spans="1:390" ht="15.6" thickTop="1" thickBot="1" x14ac:dyDescent="0.35">
      <c r="A105" s="11">
        <v>1742</v>
      </c>
      <c r="B105" s="10" t="s">
        <v>416</v>
      </c>
      <c r="C105" s="21" t="s">
        <v>197</v>
      </c>
      <c r="D105" s="64" t="s">
        <v>198</v>
      </c>
      <c r="E105" s="16"/>
      <c r="F105" s="16"/>
      <c r="G105" s="16"/>
      <c r="H105" s="16"/>
      <c r="I105" s="15" t="str">
        <f t="shared" si="235"/>
        <v>NO APLICA</v>
      </c>
      <c r="J105" s="16"/>
      <c r="K105" s="16"/>
      <c r="L105" s="16"/>
      <c r="M105" s="16"/>
      <c r="N105" s="15" t="str">
        <f t="shared" si="236"/>
        <v>NO APLICA</v>
      </c>
      <c r="O105" s="16"/>
      <c r="P105" s="16"/>
      <c r="Q105" s="16"/>
      <c r="R105" s="16"/>
      <c r="S105" s="15" t="str">
        <f t="shared" si="342"/>
        <v>NO APLICA</v>
      </c>
      <c r="T105" s="16" t="s">
        <v>417</v>
      </c>
      <c r="U105" s="14">
        <v>45692</v>
      </c>
      <c r="V105" s="14">
        <v>45693</v>
      </c>
      <c r="W105" s="14">
        <f t="shared" si="237"/>
        <v>47519</v>
      </c>
      <c r="X105" s="65">
        <f t="shared" ca="1" si="238"/>
        <v>1388</v>
      </c>
      <c r="Y105" s="15" t="str">
        <f t="shared" ca="1" si="239"/>
        <v>VIGENTE</v>
      </c>
      <c r="Z105" s="12"/>
      <c r="AA105" s="12"/>
      <c r="AB105" s="12"/>
      <c r="AC105" s="14"/>
      <c r="AD105" s="65"/>
      <c r="AE105" s="68" t="str">
        <f>IF(AD105&gt;=91,"VIGENTE",IF(AD105&gt;=1,"POR VENCER",IF(AD105&lt;=-1,"VENCIDA",IF(AB105=0,"PENDIENTE"))))</f>
        <v>PENDIENTE</v>
      </c>
      <c r="AF105" s="16"/>
      <c r="AG105" s="14">
        <v>45589</v>
      </c>
      <c r="AH105" s="14">
        <f>DATE(YEAR(AG105)+2,MONTH(AG105),DAY(AG105)-1)</f>
        <v>46318</v>
      </c>
      <c r="AI105" s="65">
        <f t="shared" ca="1" si="241"/>
        <v>187</v>
      </c>
      <c r="AJ105" s="15" t="str">
        <f t="shared" ca="1" si="213"/>
        <v>VIGENTE</v>
      </c>
      <c r="AK105" s="16"/>
      <c r="AL105" s="14">
        <v>45602</v>
      </c>
      <c r="AM105" s="14">
        <f>DATE(YEAR(AL105)+2,MONTH(AL105),DAY(AL105)-1)</f>
        <v>46331</v>
      </c>
      <c r="AN105" s="65">
        <f t="shared" ca="1" si="242"/>
        <v>200</v>
      </c>
      <c r="AO105" s="15" t="str">
        <f t="shared" ca="1" si="243"/>
        <v>VIGENTE</v>
      </c>
      <c r="AP105" s="16"/>
      <c r="AQ105" s="14">
        <v>45591</v>
      </c>
      <c r="AR105" s="14">
        <f>DATE(YEAR(AQ105)+2,MONTH(AQ105),DAY(AQ105)-1)</f>
        <v>46320</v>
      </c>
      <c r="AS105" s="65">
        <f t="shared" ca="1" si="244"/>
        <v>189</v>
      </c>
      <c r="AT105" s="15" t="str">
        <f t="shared" ca="1" si="245"/>
        <v>VIGENTE</v>
      </c>
      <c r="AU105" s="16"/>
      <c r="AV105" s="14">
        <v>45644</v>
      </c>
      <c r="AW105" s="14">
        <f>DATE(YEAR(AV105)+2,MONTH(AV105),DAY(AV105)-1)</f>
        <v>46373</v>
      </c>
      <c r="AX105" s="65">
        <f t="shared" ca="1" si="246"/>
        <v>242</v>
      </c>
      <c r="AY105" s="15" t="str">
        <f t="shared" ca="1" si="247"/>
        <v>VIGENTE</v>
      </c>
      <c r="AZ105" s="14"/>
      <c r="BA105" s="14">
        <v>45603</v>
      </c>
      <c r="BB105" s="14">
        <f>DATE(YEAR(BA105)+2,MONTH(BA105),DAY(BA105)-1)</f>
        <v>46332</v>
      </c>
      <c r="BC105" s="65">
        <f t="shared" ca="1" si="248"/>
        <v>201</v>
      </c>
      <c r="BD105" s="15" t="str">
        <f t="shared" ca="1" si="249"/>
        <v>VIGENTE</v>
      </c>
      <c r="BE105" s="16"/>
      <c r="BF105" s="14">
        <v>45605</v>
      </c>
      <c r="BG105" s="14">
        <f>DATE(YEAR(BF105)+2,MONTH(BF105),DAY(BF105)-1)</f>
        <v>46334</v>
      </c>
      <c r="BH105" s="65">
        <f t="shared" ca="1" si="250"/>
        <v>203</v>
      </c>
      <c r="BI105" s="15" t="str">
        <f t="shared" ca="1" si="251"/>
        <v>VIGENTE</v>
      </c>
      <c r="BJ105" s="14"/>
      <c r="BK105" s="14">
        <v>45600</v>
      </c>
      <c r="BL105" s="14">
        <f>DATE(YEAR(BK105)+2,MONTH(BK105),DAY(BK105)-1)</f>
        <v>46329</v>
      </c>
      <c r="BM105" s="65">
        <f t="shared" ca="1" si="252"/>
        <v>198</v>
      </c>
      <c r="BN105" s="15" t="str">
        <f t="shared" ca="1" si="253"/>
        <v>VIGENTE</v>
      </c>
      <c r="BO105" s="14"/>
      <c r="BP105" s="14">
        <v>45604</v>
      </c>
      <c r="BQ105" s="14">
        <f>DATE(YEAR(BP105)+2,MONTH(BP105),DAY(BP105)-1)</f>
        <v>46333</v>
      </c>
      <c r="BR105" s="65">
        <f t="shared" ca="1" si="254"/>
        <v>202</v>
      </c>
      <c r="BS105" s="15" t="str">
        <f t="shared" ca="1" si="255"/>
        <v>VIGENTE</v>
      </c>
      <c r="BT105" s="16"/>
      <c r="BU105" s="14">
        <v>45568</v>
      </c>
      <c r="BV105" s="14">
        <f>DATE(YEAR(BU105)+2,MONTH(BU105),DAY(BU105)-1)</f>
        <v>46297</v>
      </c>
      <c r="BW105" s="65">
        <f t="shared" ca="1" si="256"/>
        <v>166</v>
      </c>
      <c r="BX105" s="15" t="str">
        <f t="shared" ca="1" si="257"/>
        <v>VIGENTE</v>
      </c>
      <c r="BY105" s="16"/>
      <c r="BZ105" s="14">
        <v>45730</v>
      </c>
      <c r="CA105" s="14">
        <f>DATE(YEAR(BZ105)+2,MONTH(BZ105),DAY(BZ105)-1)</f>
        <v>46459</v>
      </c>
      <c r="CB105" s="65">
        <f t="shared" ca="1" si="258"/>
        <v>328</v>
      </c>
      <c r="CC105" s="15" t="str">
        <f t="shared" ca="1" si="259"/>
        <v>VIGENTE</v>
      </c>
      <c r="CD105" s="16" t="s">
        <v>102</v>
      </c>
      <c r="CE105" s="14">
        <v>45722</v>
      </c>
      <c r="CF105" s="14">
        <v>45723</v>
      </c>
      <c r="CG105" s="14">
        <f t="shared" si="377"/>
        <v>47184</v>
      </c>
      <c r="CH105" s="65">
        <f t="shared" ca="1" si="378"/>
        <v>1053</v>
      </c>
      <c r="CI105" s="15" t="str">
        <f t="shared" ca="1" si="262"/>
        <v>VIGENTE</v>
      </c>
      <c r="CJ105" s="16"/>
      <c r="CK105" s="14">
        <v>45601</v>
      </c>
      <c r="CL105" s="14">
        <f>DATE(YEAR(CK105)+2,MONTH(CK105),DAY(CK105)-1)</f>
        <v>46330</v>
      </c>
      <c r="CM105" s="65">
        <f t="shared" ca="1" si="263"/>
        <v>199</v>
      </c>
      <c r="CN105" s="15" t="str">
        <f t="shared" ca="1" si="264"/>
        <v>VIGENTE</v>
      </c>
      <c r="CO105" s="16"/>
      <c r="CP105" s="14">
        <v>45597</v>
      </c>
      <c r="CQ105" s="14">
        <f>DATE(YEAR(CP105)+2,MONTH(CP105),DAY(CP105)-1)</f>
        <v>46326</v>
      </c>
      <c r="CR105" s="65">
        <f t="shared" ca="1" si="265"/>
        <v>195</v>
      </c>
      <c r="CS105" s="15" t="str">
        <f t="shared" ca="1" si="266"/>
        <v>VIGENTE</v>
      </c>
      <c r="CT105" s="16"/>
      <c r="CU105" s="14">
        <v>45624</v>
      </c>
      <c r="CV105" s="14">
        <f>DATE(YEAR(CU105)+2,MONTH(CU105),DAY(CU105)-1)</f>
        <v>46353</v>
      </c>
      <c r="CW105" s="65">
        <f t="shared" ca="1" si="267"/>
        <v>222</v>
      </c>
      <c r="CX105" s="15" t="str">
        <f t="shared" ca="1" si="268"/>
        <v>VIGENTE</v>
      </c>
      <c r="CY105" s="14"/>
      <c r="CZ105" s="14">
        <v>45646</v>
      </c>
      <c r="DA105" s="14">
        <f>DATE(YEAR(CZ105)+2,MONTH(CZ105),DAY(CZ105)-1)</f>
        <v>46375</v>
      </c>
      <c r="DB105" s="65">
        <f t="shared" ca="1" si="269"/>
        <v>244</v>
      </c>
      <c r="DC105" s="15" t="str">
        <f t="shared" ca="1" si="270"/>
        <v>VIGENTE</v>
      </c>
      <c r="DD105" s="14"/>
      <c r="DE105" s="14">
        <v>45596</v>
      </c>
      <c r="DF105" s="14">
        <f>DATE(YEAR(DE105)+2,MONTH(DE105),DAY(DE105)-1)</f>
        <v>46325</v>
      </c>
      <c r="DG105" s="65">
        <f t="shared" ca="1" si="271"/>
        <v>194</v>
      </c>
      <c r="DH105" s="15" t="str">
        <f t="shared" ca="1" si="272"/>
        <v>VIGENTE</v>
      </c>
      <c r="DI105" s="16"/>
      <c r="DJ105" s="14">
        <v>45580</v>
      </c>
      <c r="DK105" s="14">
        <f>DATE(YEAR(DJ105)+2,MONTH(DJ105),DAY(DJ105)-1)</f>
        <v>46309</v>
      </c>
      <c r="DL105" s="65">
        <f t="shared" ca="1" si="273"/>
        <v>178</v>
      </c>
      <c r="DM105" s="15" t="str">
        <f t="shared" ca="1" si="274"/>
        <v>VIGENTE</v>
      </c>
      <c r="DN105" s="14"/>
      <c r="DO105" s="14">
        <v>45577</v>
      </c>
      <c r="DP105" s="14">
        <f>DATE(YEAR(DO105)+2,MONTH(DO105),DAY(DO105)-1)</f>
        <v>46306</v>
      </c>
      <c r="DQ105" s="65">
        <f t="shared" ca="1" si="275"/>
        <v>175</v>
      </c>
      <c r="DR105" s="15" t="str">
        <f t="shared" ca="1" si="276"/>
        <v>VIGENTE</v>
      </c>
      <c r="DS105" s="16"/>
      <c r="DT105" s="14">
        <v>45608</v>
      </c>
      <c r="DU105" s="14">
        <f>DATE(YEAR(DT105)+2,MONTH(DT105),DAY(DT105)-1)</f>
        <v>46337</v>
      </c>
      <c r="DV105" s="65">
        <f t="shared" ca="1" si="277"/>
        <v>206</v>
      </c>
      <c r="DW105" s="15" t="str">
        <f t="shared" ca="1" si="278"/>
        <v>VIGENTE</v>
      </c>
      <c r="DX105" s="14"/>
      <c r="DY105" s="14">
        <v>45582</v>
      </c>
      <c r="DZ105" s="14">
        <f>DATE(YEAR(DY105)+2,MONTH(DY105),DAY(DY105)-1)</f>
        <v>46311</v>
      </c>
      <c r="EA105" s="65">
        <f t="shared" ca="1" si="279"/>
        <v>180</v>
      </c>
      <c r="EB105" s="15" t="str">
        <f t="shared" ca="1" si="280"/>
        <v>VIGENTE</v>
      </c>
      <c r="EC105" s="14"/>
      <c r="ED105" s="14">
        <v>45583</v>
      </c>
      <c r="EE105" s="14">
        <f>DATE(YEAR(ED105)+2,MONTH(ED105),DAY(ED105)-1)</f>
        <v>46312</v>
      </c>
      <c r="EF105" s="65">
        <f t="shared" ca="1" si="281"/>
        <v>181</v>
      </c>
      <c r="EG105" s="15" t="str">
        <f t="shared" ca="1" si="282"/>
        <v>VIGENTE</v>
      </c>
      <c r="EH105" s="14"/>
      <c r="EI105" s="13">
        <v>46105</v>
      </c>
      <c r="EJ105" s="13">
        <v>46106</v>
      </c>
      <c r="EK105" s="13">
        <v>46107</v>
      </c>
      <c r="EL105" s="14">
        <f t="shared" si="344"/>
        <v>46472</v>
      </c>
      <c r="EM105" s="65">
        <f t="shared" ca="1" si="283"/>
        <v>341</v>
      </c>
      <c r="EN105" s="15" t="str">
        <f t="shared" ca="1" si="284"/>
        <v>VIGENTE</v>
      </c>
      <c r="EO105" s="14"/>
      <c r="EP105" s="14">
        <v>45584</v>
      </c>
      <c r="EQ105" s="14">
        <f>DATE(YEAR(EP105)+2,MONTH(EP105),DAY(EP105)-1)</f>
        <v>46313</v>
      </c>
      <c r="ER105" s="65">
        <f t="shared" ca="1" si="285"/>
        <v>182</v>
      </c>
      <c r="ES105" s="15" t="str">
        <f t="shared" ca="1" si="286"/>
        <v>VIGENTE</v>
      </c>
      <c r="ET105" s="16"/>
      <c r="EU105" s="14">
        <v>45575</v>
      </c>
      <c r="EV105" s="14">
        <f>DATE(YEAR(EU105)+2,MONTH(EU105),DAY(EU105)-1)</f>
        <v>46304</v>
      </c>
      <c r="EW105" s="65">
        <f t="shared" ca="1" si="287"/>
        <v>173</v>
      </c>
      <c r="EX105" s="15" t="str">
        <f t="shared" ca="1" si="288"/>
        <v>VIGENTE</v>
      </c>
      <c r="EY105" s="16"/>
      <c r="EZ105" s="14">
        <v>45610</v>
      </c>
      <c r="FA105" s="14">
        <f>DATE(YEAR(EZ105)+2,MONTH(EZ105),DAY(EZ105)-1)</f>
        <v>46339</v>
      </c>
      <c r="FB105" s="65">
        <f t="shared" ca="1" si="289"/>
        <v>208</v>
      </c>
      <c r="FC105" s="15" t="str">
        <f t="shared" ca="1" si="290"/>
        <v>VIGENTE</v>
      </c>
      <c r="FD105" s="16"/>
      <c r="FE105" s="14">
        <v>45611</v>
      </c>
      <c r="FF105" s="14">
        <f>DATE(YEAR(FE105)+2,MONTH(FE105),DAY(FE105)-1)</f>
        <v>46340</v>
      </c>
      <c r="FG105" s="65">
        <f t="shared" ca="1" si="291"/>
        <v>209</v>
      </c>
      <c r="FH105" s="15" t="str">
        <f t="shared" ca="1" si="292"/>
        <v>VIGENTE</v>
      </c>
      <c r="FI105" s="16"/>
      <c r="FJ105" s="14">
        <v>45668</v>
      </c>
      <c r="FK105" s="14">
        <f>DATE(YEAR(FJ105)+2,MONTH(FJ105),DAY(FJ105)-1)</f>
        <v>46397</v>
      </c>
      <c r="FL105" s="65">
        <f t="shared" ca="1" si="293"/>
        <v>266</v>
      </c>
      <c r="FM105" s="15" t="str">
        <f t="shared" ca="1" si="294"/>
        <v>VIGENTE</v>
      </c>
      <c r="FN105" s="14"/>
      <c r="FO105" s="14">
        <v>45588</v>
      </c>
      <c r="FP105" s="14">
        <f>DATE(YEAR(FO105)+2,MONTH(FO105),DAY(FO105)-1)</f>
        <v>46317</v>
      </c>
      <c r="FQ105" s="65">
        <f t="shared" ca="1" si="295"/>
        <v>186</v>
      </c>
      <c r="FR105" s="15" t="str">
        <f t="shared" ca="1" si="296"/>
        <v>VIGENTE</v>
      </c>
      <c r="FS105" s="14"/>
      <c r="FT105" s="14">
        <v>45586</v>
      </c>
      <c r="FU105" s="14">
        <f>DATE(YEAR(FT105)+2,MONTH(FT105),DAY(FT105)-1)</f>
        <v>46315</v>
      </c>
      <c r="FV105" s="65">
        <f t="shared" ca="1" si="297"/>
        <v>184</v>
      </c>
      <c r="FW105" s="15" t="str">
        <f t="shared" ca="1" si="298"/>
        <v>VIGENTE</v>
      </c>
      <c r="FX105" s="14"/>
      <c r="FY105" s="14">
        <v>45587</v>
      </c>
      <c r="FZ105" s="14">
        <f>DATE(YEAR(FY105)+2,MONTH(FY105),DAY(FY105)-1)</f>
        <v>46316</v>
      </c>
      <c r="GA105" s="65">
        <f t="shared" ca="1" si="299"/>
        <v>185</v>
      </c>
      <c r="GB105" s="15" t="str">
        <f t="shared" ca="1" si="300"/>
        <v>VIGENTE</v>
      </c>
      <c r="GC105" s="14"/>
      <c r="GD105" s="14">
        <v>45595</v>
      </c>
      <c r="GE105" s="14">
        <f>DATE(YEAR(GD105)+2,MONTH(GD105),DAY(GD105)-1)</f>
        <v>46324</v>
      </c>
      <c r="GF105" s="65">
        <f t="shared" ca="1" si="301"/>
        <v>193</v>
      </c>
      <c r="GG105" s="15" t="str">
        <f t="shared" ca="1" si="302"/>
        <v>VIGENTE</v>
      </c>
      <c r="GH105" s="14"/>
      <c r="GI105" s="14">
        <v>45579</v>
      </c>
      <c r="GJ105" s="14">
        <f>DATE(YEAR(GI105)+2,MONTH(GI105),DAY(GI105)-1)</f>
        <v>46308</v>
      </c>
      <c r="GK105" s="65">
        <f t="shared" ca="1" si="303"/>
        <v>177</v>
      </c>
      <c r="GL105" s="15" t="str">
        <f t="shared" ca="1" si="304"/>
        <v>VIGENTE</v>
      </c>
      <c r="GM105" s="14"/>
      <c r="GN105" s="14">
        <v>45567</v>
      </c>
      <c r="GO105" s="14">
        <f>DATE(YEAR(GN105)+2,MONTH(GN105),DAY(GN105)-1)</f>
        <v>46296</v>
      </c>
      <c r="GP105" s="65">
        <f t="shared" ca="1" si="305"/>
        <v>165</v>
      </c>
      <c r="GQ105" s="15" t="str">
        <f t="shared" ca="1" si="306"/>
        <v>VIGENTE</v>
      </c>
      <c r="GR105" s="14"/>
      <c r="GS105" s="16"/>
      <c r="GT105" s="14">
        <f t="shared" si="307"/>
        <v>1827</v>
      </c>
      <c r="GU105" s="16"/>
      <c r="GV105" s="15" t="str">
        <f t="shared" si="368"/>
        <v>NO APLICA</v>
      </c>
      <c r="GW105" s="14"/>
      <c r="GX105" s="16"/>
      <c r="GY105" s="14">
        <f t="shared" si="309"/>
        <v>1827</v>
      </c>
      <c r="GZ105" s="65">
        <f t="shared" ca="1" si="310"/>
        <v>-44304</v>
      </c>
      <c r="HA105" s="15" t="str">
        <f ca="1">IF(GZ105&gt;=61,"VIGENTE",IF(GZ105&gt;=1,"POR VENCER",IF(GZ105&lt;=-1,"PROGRAMAR",IF(GX105=0,"NO APLICA"))))</f>
        <v>PROGRAMAR</v>
      </c>
      <c r="HB105" s="16"/>
      <c r="HC105" s="16"/>
      <c r="HD105" s="14">
        <f t="shared" si="312"/>
        <v>1827</v>
      </c>
      <c r="HE105" s="65">
        <f t="shared" ca="1" si="313"/>
        <v>-44304</v>
      </c>
      <c r="HF105" s="15" t="str">
        <f ca="1">IF(HE105&gt;=61,"VIGENTE",IF(HE105&gt;=1,"POR VENCER",IF(HE105&lt;=-1,"PROGRAMAR",IF(HC105=0,"NO APLICA"))))</f>
        <v>PROGRAMAR</v>
      </c>
      <c r="HG105" s="16"/>
      <c r="HH105" s="16"/>
      <c r="HI105" s="14">
        <f t="shared" ref="HI105:HI117" si="396">DATE(YEAR(HH105)+5,MONTH(HH105),DAY(HH105))</f>
        <v>1827</v>
      </c>
      <c r="HJ105" s="65">
        <f t="shared" ref="HJ105:HJ117" ca="1" si="397">HI105-TODAY()</f>
        <v>-44304</v>
      </c>
      <c r="HK105" s="15" t="str">
        <f ca="1">IF(HJ105&gt;=61,"VIGENTE",IF(HJ105&gt;=1,"POR VENCER",IF(HJ105&lt;=-1,"PROGRAMAR",IF(HH105=0,"NO APLICA"))))</f>
        <v>PROGRAMAR</v>
      </c>
      <c r="HL105" s="16"/>
      <c r="HM105" s="16"/>
      <c r="HN105" s="14">
        <f>DATE(YEAR(HM105)+5,MONTH(HM105),DAY(HM105))</f>
        <v>1827</v>
      </c>
      <c r="HO105" s="65">
        <f ca="1">HN105-TODAY()</f>
        <v>-44304</v>
      </c>
      <c r="HP105" s="15" t="str">
        <f ca="1">IF(HO105&gt;=61,"VIGENTE",IF(HO105&gt;=1,"POR VENCER",IF(HO105&lt;=-1,"PROGRAMAR",IF(HM105=0,"NO APLICA"))))</f>
        <v>PROGRAMAR</v>
      </c>
      <c r="HQ105" s="16"/>
      <c r="HR105" s="16"/>
      <c r="HS105" s="14"/>
      <c r="HT105" s="16"/>
      <c r="HU105" s="15" t="str">
        <f t="shared" si="315"/>
        <v>NO APLICA</v>
      </c>
      <c r="HV105" s="16"/>
      <c r="HW105" s="16"/>
      <c r="HX105" s="14"/>
      <c r="HY105" s="16"/>
      <c r="HZ105" s="15" t="str">
        <f t="shared" si="316"/>
        <v>NO APLICA</v>
      </c>
      <c r="IA105" s="16"/>
      <c r="IB105" s="16"/>
      <c r="IC105" s="14"/>
      <c r="ID105" s="16"/>
      <c r="IE105" s="15" t="str">
        <f t="shared" si="317"/>
        <v>NO APLICA</v>
      </c>
      <c r="IF105" s="16"/>
      <c r="IG105" s="16"/>
      <c r="IH105" s="14"/>
      <c r="II105" s="16"/>
      <c r="IJ105" s="15" t="str">
        <f t="shared" si="318"/>
        <v>NO APLICA</v>
      </c>
      <c r="IK105" s="16"/>
      <c r="IL105" s="16"/>
      <c r="IM105" s="14"/>
      <c r="IN105" s="16"/>
      <c r="IO105" s="15" t="str">
        <f t="shared" si="319"/>
        <v>NO APLICA</v>
      </c>
      <c r="IP105" s="16"/>
      <c r="IQ105" s="16"/>
      <c r="IR105" s="14"/>
      <c r="IS105" s="16"/>
      <c r="IT105" s="15" t="str">
        <f t="shared" si="320"/>
        <v>NO APLICA</v>
      </c>
      <c r="IU105" s="16"/>
      <c r="IV105" s="16"/>
      <c r="IW105" s="14"/>
      <c r="IX105" s="16"/>
      <c r="IY105" s="15" t="str">
        <f t="shared" si="321"/>
        <v>NO APLICA</v>
      </c>
      <c r="IZ105" s="16"/>
      <c r="JA105" s="16"/>
      <c r="JB105" s="14"/>
      <c r="JC105" s="16"/>
      <c r="JD105" s="15" t="str">
        <f t="shared" si="322"/>
        <v>NO APLICA</v>
      </c>
      <c r="JE105" s="16"/>
      <c r="JF105" s="16"/>
      <c r="JG105" s="16"/>
      <c r="JH105" s="16"/>
      <c r="JI105" s="15" t="str">
        <f t="shared" si="323"/>
        <v>NO APLICA</v>
      </c>
      <c r="JJ105" s="16"/>
      <c r="JK105" s="16"/>
      <c r="JL105" s="16"/>
      <c r="JM105" s="15" t="str">
        <f t="shared" si="324"/>
        <v>NO APLICA</v>
      </c>
      <c r="JN105" s="16"/>
      <c r="JO105" s="16"/>
      <c r="JP105" s="16"/>
      <c r="JQ105" s="15" t="str">
        <f t="shared" si="325"/>
        <v>NO APLICA</v>
      </c>
      <c r="JR105" s="16"/>
      <c r="JS105" s="16"/>
      <c r="JT105" s="16"/>
      <c r="JU105" s="16"/>
      <c r="JV105" s="15" t="str">
        <f t="shared" si="326"/>
        <v>NO APLICA</v>
      </c>
      <c r="JW105" s="15"/>
      <c r="JX105" s="15"/>
      <c r="JY105" s="15"/>
      <c r="JZ105" s="15"/>
      <c r="KA105" s="15" t="str">
        <f t="shared" si="327"/>
        <v>NO APLICA</v>
      </c>
      <c r="KB105" s="16"/>
      <c r="KC105" s="14"/>
      <c r="KD105" s="16"/>
      <c r="KE105" s="15" t="str">
        <f t="shared" si="328"/>
        <v>NO APLICA</v>
      </c>
      <c r="KF105" s="16"/>
      <c r="KG105" s="14"/>
      <c r="KH105" s="16"/>
      <c r="KI105" s="15" t="str">
        <f t="shared" si="345"/>
        <v>NO APLICA</v>
      </c>
      <c r="KJ105" s="16"/>
      <c r="KK105" s="14"/>
      <c r="KL105" s="16"/>
      <c r="KM105" s="15" t="str">
        <f t="shared" si="329"/>
        <v>NO APLICA</v>
      </c>
      <c r="KN105" s="12"/>
      <c r="KO105" s="12"/>
      <c r="KP105" s="12"/>
      <c r="KQ105" s="15" t="str">
        <f t="shared" si="346"/>
        <v>NO APLICA</v>
      </c>
      <c r="KR105" s="16"/>
      <c r="KS105" s="16"/>
      <c r="KT105" s="14"/>
      <c r="KU105" s="16"/>
      <c r="KV105" s="15" t="str">
        <f t="shared" si="355"/>
        <v>NO APLICA</v>
      </c>
      <c r="KW105" s="16"/>
      <c r="KX105" s="14"/>
      <c r="KY105" s="16"/>
      <c r="KZ105" s="15" t="str">
        <f t="shared" si="347"/>
        <v>NO APLICA</v>
      </c>
      <c r="LA105" s="16"/>
      <c r="LB105" s="16"/>
      <c r="LC105" s="16"/>
      <c r="LD105" s="16"/>
      <c r="LE105" s="15" t="str">
        <f t="shared" si="330"/>
        <v>NO APLICA</v>
      </c>
      <c r="LF105" s="15"/>
      <c r="LG105" s="15"/>
      <c r="LH105" s="14"/>
      <c r="LI105" s="65"/>
      <c r="LJ105" s="15" t="str">
        <f t="shared" si="356"/>
        <v>NO APLICA</v>
      </c>
      <c r="LK105" s="16"/>
      <c r="LL105" s="16"/>
      <c r="LM105" s="16"/>
      <c r="LN105" s="16"/>
      <c r="LO105" s="15" t="str">
        <f t="shared" si="348"/>
        <v>NO APLICA</v>
      </c>
      <c r="LP105" s="16"/>
      <c r="LQ105" s="16"/>
      <c r="LR105" s="14"/>
      <c r="LS105" s="16"/>
      <c r="LT105" s="15" t="str">
        <f t="shared" si="349"/>
        <v>NO APLICA</v>
      </c>
      <c r="LU105" s="16"/>
      <c r="LV105" s="16"/>
      <c r="LW105" s="14"/>
      <c r="LX105" s="16"/>
      <c r="LY105" s="15" t="str">
        <f t="shared" si="350"/>
        <v>NO APLICA</v>
      </c>
      <c r="LZ105" s="16"/>
      <c r="MA105" s="16"/>
      <c r="MB105" s="14"/>
      <c r="MC105" s="16"/>
      <c r="MD105" s="15" t="str">
        <f t="shared" si="331"/>
        <v>NO APLICA</v>
      </c>
      <c r="ME105" s="16"/>
      <c r="MF105" s="16"/>
      <c r="MG105" s="14"/>
      <c r="MH105" s="16"/>
      <c r="MI105" s="15" t="str">
        <f t="shared" si="332"/>
        <v>NO APLICA</v>
      </c>
      <c r="MJ105" s="16"/>
      <c r="MK105" s="14"/>
      <c r="ML105" s="16"/>
      <c r="MM105" s="15" t="str">
        <f t="shared" si="333"/>
        <v>NO APLICA</v>
      </c>
      <c r="MN105" s="16"/>
      <c r="MO105" s="16"/>
      <c r="MP105" s="16"/>
      <c r="MQ105" s="15" t="str">
        <f t="shared" si="334"/>
        <v>NO APLICA</v>
      </c>
      <c r="MR105" s="16"/>
      <c r="MS105" s="16"/>
      <c r="MT105" s="14"/>
      <c r="MU105" s="16"/>
      <c r="MV105" s="15" t="str">
        <f t="shared" si="335"/>
        <v>NO APLICA</v>
      </c>
      <c r="MW105" s="16"/>
      <c r="MX105" s="16"/>
      <c r="MY105" s="14"/>
      <c r="MZ105" s="16"/>
      <c r="NA105" s="15" t="str">
        <f t="shared" si="336"/>
        <v>NO APLICA</v>
      </c>
      <c r="NB105" s="16"/>
      <c r="NC105" s="16"/>
      <c r="ND105" s="14"/>
      <c r="NE105" s="16"/>
      <c r="NF105" s="15" t="str">
        <f t="shared" si="337"/>
        <v>NO APLICA</v>
      </c>
      <c r="NG105" s="16"/>
      <c r="NH105" s="16"/>
      <c r="NI105" s="14"/>
      <c r="NJ105" s="16"/>
      <c r="NK105" s="15" t="str">
        <f t="shared" si="338"/>
        <v>NO APLICA</v>
      </c>
      <c r="NL105" s="16"/>
      <c r="NM105" s="16"/>
      <c r="NN105" s="14"/>
      <c r="NO105" s="16"/>
      <c r="NP105" s="15" t="str">
        <f t="shared" si="339"/>
        <v>NO APLICA</v>
      </c>
      <c r="NQ105" s="16"/>
      <c r="NR105" s="16"/>
      <c r="NS105" s="14"/>
      <c r="NT105" s="65"/>
      <c r="NU105" s="15" t="str">
        <f t="shared" si="340"/>
        <v>NO APLICA</v>
      </c>
      <c r="NV105" s="16"/>
      <c r="NW105" s="16"/>
      <c r="NX105" s="16"/>
      <c r="NY105" s="16"/>
      <c r="NZ105" s="15" t="str">
        <f t="shared" si="341"/>
        <v>NO APLICA</v>
      </c>
    </row>
    <row r="106" spans="1:390" ht="15.6" thickTop="1" thickBot="1" x14ac:dyDescent="0.35">
      <c r="A106" s="11">
        <v>1689</v>
      </c>
      <c r="B106" s="10" t="s">
        <v>418</v>
      </c>
      <c r="C106" s="21" t="s">
        <v>104</v>
      </c>
      <c r="D106" s="64" t="s">
        <v>110</v>
      </c>
      <c r="E106" s="15"/>
      <c r="F106" s="16"/>
      <c r="G106" s="14"/>
      <c r="H106" s="65"/>
      <c r="I106" s="15" t="str">
        <f t="shared" si="235"/>
        <v>NO APLICA</v>
      </c>
      <c r="J106" s="15"/>
      <c r="K106" s="16"/>
      <c r="L106" s="16"/>
      <c r="M106" s="65"/>
      <c r="N106" s="15" t="str">
        <f t="shared" si="236"/>
        <v>NO APLICA</v>
      </c>
      <c r="O106" s="14">
        <v>45206</v>
      </c>
      <c r="P106" s="14"/>
      <c r="Q106" s="14"/>
      <c r="R106" s="65"/>
      <c r="S106" s="15" t="str">
        <f t="shared" si="342"/>
        <v>NO APLICA</v>
      </c>
      <c r="T106" s="12" t="s">
        <v>419</v>
      </c>
      <c r="U106" s="13">
        <v>45141</v>
      </c>
      <c r="V106" s="14">
        <v>45142</v>
      </c>
      <c r="W106" s="14">
        <f t="shared" si="237"/>
        <v>46969</v>
      </c>
      <c r="X106" s="65">
        <f t="shared" ca="1" si="238"/>
        <v>838</v>
      </c>
      <c r="Y106" s="15" t="str">
        <f t="shared" ca="1" si="239"/>
        <v>VIGENTE</v>
      </c>
      <c r="Z106" s="12" t="s">
        <v>420</v>
      </c>
      <c r="AA106" s="13">
        <v>45191</v>
      </c>
      <c r="AB106" s="14">
        <v>45192</v>
      </c>
      <c r="AC106" s="14">
        <f>DATE(YEAR(AB106)+5,MONTH(AB106),DAY(AB106))</f>
        <v>47019</v>
      </c>
      <c r="AD106" s="65">
        <f ca="1">AC106-TODAY()</f>
        <v>888</v>
      </c>
      <c r="AE106" s="15" t="str">
        <f ca="1">IF(AD106&gt;=91,"VIGENTE",IF(AD106&gt;=1,"POR VENCER",IF(AD106&lt;=-1,"VENCIDA",IF(AB106=0,"NO APLICA"))))</f>
        <v>VIGENTE</v>
      </c>
      <c r="AF106" s="13">
        <v>45314</v>
      </c>
      <c r="AG106" s="14">
        <v>46006</v>
      </c>
      <c r="AH106" s="14">
        <f>DATE(YEAR(AG106)+2,MONTH(AG106),DAY(AG106))</f>
        <v>46736</v>
      </c>
      <c r="AI106" s="65">
        <f t="shared" ca="1" si="241"/>
        <v>605</v>
      </c>
      <c r="AJ106" s="15" t="str">
        <f t="shared" ca="1" si="213"/>
        <v>VIGENTE</v>
      </c>
      <c r="AK106" s="12"/>
      <c r="AL106" s="14">
        <v>45937</v>
      </c>
      <c r="AM106" s="14">
        <f>DATE(YEAR(AL106)+2,MONTH(AL106),DAY(AL106))</f>
        <v>46667</v>
      </c>
      <c r="AN106" s="65">
        <f t="shared" ca="1" si="242"/>
        <v>536</v>
      </c>
      <c r="AO106" s="15" t="str">
        <f t="shared" ca="1" si="243"/>
        <v>VIGENTE</v>
      </c>
      <c r="AP106" s="13">
        <v>45298</v>
      </c>
      <c r="AQ106" s="14">
        <v>45967</v>
      </c>
      <c r="AR106" s="14">
        <f>DATE(YEAR(AQ106)+2,MONTH(AQ106),DAY(AQ106))</f>
        <v>46697</v>
      </c>
      <c r="AS106" s="65">
        <f t="shared" ca="1" si="244"/>
        <v>566</v>
      </c>
      <c r="AT106" s="15" t="str">
        <f t="shared" ca="1" si="245"/>
        <v>VIGENTE</v>
      </c>
      <c r="AU106" s="12"/>
      <c r="AV106" s="14">
        <v>45952</v>
      </c>
      <c r="AW106" s="14">
        <f>DATE(YEAR(AV106)+2,MONTH(AV106),DAY(AV106))</f>
        <v>46682</v>
      </c>
      <c r="AX106" s="65">
        <f t="shared" ca="1" si="246"/>
        <v>551</v>
      </c>
      <c r="AY106" s="15" t="str">
        <f t="shared" ca="1" si="247"/>
        <v>VIGENTE</v>
      </c>
      <c r="AZ106" s="13">
        <v>45387</v>
      </c>
      <c r="BA106" s="14">
        <v>46071</v>
      </c>
      <c r="BB106" s="14">
        <f>DATE(YEAR(BA106)+2,MONTH(BA106),DAY(BA106))</f>
        <v>46801</v>
      </c>
      <c r="BC106" s="65">
        <f t="shared" ca="1" si="248"/>
        <v>670</v>
      </c>
      <c r="BD106" s="15" t="str">
        <f t="shared" ca="1" si="249"/>
        <v>VIGENTE</v>
      </c>
      <c r="BE106" s="12"/>
      <c r="BF106" s="14">
        <v>45987</v>
      </c>
      <c r="BG106" s="14">
        <f>DATE(YEAR(BF106)+2,MONTH(BF106),DAY(BF106))</f>
        <v>46717</v>
      </c>
      <c r="BH106" s="65">
        <f t="shared" ca="1" si="250"/>
        <v>586</v>
      </c>
      <c r="BI106" s="15" t="str">
        <f t="shared" ca="1" si="251"/>
        <v>VIGENTE</v>
      </c>
      <c r="BJ106" s="13">
        <v>45348</v>
      </c>
      <c r="BK106" s="14">
        <v>46017</v>
      </c>
      <c r="BL106" s="14">
        <f>DATE(YEAR(BK106)+2,MONTH(BK106),DAY(BK106))</f>
        <v>46747</v>
      </c>
      <c r="BM106" s="65">
        <f t="shared" ca="1" si="252"/>
        <v>616</v>
      </c>
      <c r="BN106" s="15" t="str">
        <f t="shared" ca="1" si="253"/>
        <v>VIGENTE</v>
      </c>
      <c r="BO106" s="13"/>
      <c r="BP106" s="14">
        <v>45988</v>
      </c>
      <c r="BQ106" s="14">
        <f>DATE(YEAR(BP106)+2,MONTH(BP106),DAY(BP106))</f>
        <v>46718</v>
      </c>
      <c r="BR106" s="65">
        <f t="shared" ca="1" si="254"/>
        <v>587</v>
      </c>
      <c r="BS106" s="15" t="str">
        <f t="shared" ca="1" si="255"/>
        <v>VIGENTE</v>
      </c>
      <c r="BT106" s="13">
        <v>45362</v>
      </c>
      <c r="BU106" s="14">
        <v>46031</v>
      </c>
      <c r="BV106" s="14">
        <f>DATE(YEAR(BU106)+2,MONTH(BU106),DAY(BU106))</f>
        <v>46761</v>
      </c>
      <c r="BW106" s="65">
        <f t="shared" ca="1" si="256"/>
        <v>630</v>
      </c>
      <c r="BX106" s="15" t="str">
        <f t="shared" ca="1" si="257"/>
        <v>VIGENTE</v>
      </c>
      <c r="BY106" s="12"/>
      <c r="BZ106" s="14">
        <v>45986</v>
      </c>
      <c r="CA106" s="14">
        <f>DATE(YEAR(BZ106)+2,MONTH(BZ106),DAY(BZ106))</f>
        <v>46716</v>
      </c>
      <c r="CB106" s="65">
        <f t="shared" ca="1" si="258"/>
        <v>585</v>
      </c>
      <c r="CC106" s="15" t="str">
        <f t="shared" ca="1" si="259"/>
        <v>VIGENTE</v>
      </c>
      <c r="CD106" s="16" t="s">
        <v>108</v>
      </c>
      <c r="CE106" s="14">
        <v>45532</v>
      </c>
      <c r="CF106" s="14">
        <v>45533</v>
      </c>
      <c r="CG106" s="14">
        <f t="shared" si="377"/>
        <v>46994</v>
      </c>
      <c r="CH106" s="65">
        <f t="shared" ca="1" si="378"/>
        <v>863</v>
      </c>
      <c r="CI106" s="15" t="str">
        <f t="shared" ca="1" si="262"/>
        <v>VIGENTE</v>
      </c>
      <c r="CJ106" s="14">
        <v>45353</v>
      </c>
      <c r="CK106" s="14">
        <v>46020</v>
      </c>
      <c r="CL106" s="14">
        <f>DATE(YEAR(CK106)+2,MONTH(CK106),DAY(CK106))</f>
        <v>46750</v>
      </c>
      <c r="CM106" s="65">
        <f t="shared" ca="1" si="263"/>
        <v>619</v>
      </c>
      <c r="CN106" s="15" t="str">
        <f t="shared" ca="1" si="264"/>
        <v>VIGENTE</v>
      </c>
      <c r="CO106" s="13">
        <v>45305</v>
      </c>
      <c r="CP106" s="14">
        <v>45994</v>
      </c>
      <c r="CQ106" s="14">
        <f>DATE(YEAR(CP106)+2,MONTH(CP106),DAY(CP106))</f>
        <v>46724</v>
      </c>
      <c r="CR106" s="65">
        <f t="shared" ca="1" si="265"/>
        <v>593</v>
      </c>
      <c r="CS106" s="15" t="str">
        <f t="shared" ca="1" si="266"/>
        <v>VIGENTE</v>
      </c>
      <c r="CT106" s="12"/>
      <c r="CU106" s="14">
        <v>45939</v>
      </c>
      <c r="CV106" s="14">
        <f>DATE(YEAR(CU106)+2,MONTH(CU106),DAY(CU106))</f>
        <v>46669</v>
      </c>
      <c r="CW106" s="65">
        <f t="shared" ca="1" si="267"/>
        <v>538</v>
      </c>
      <c r="CX106" s="15" t="str">
        <f t="shared" ca="1" si="268"/>
        <v>VIGENTE</v>
      </c>
      <c r="CY106" s="13"/>
      <c r="CZ106" s="14">
        <v>46000</v>
      </c>
      <c r="DA106" s="14">
        <f>DATE(YEAR(CZ106)+2,MONTH(CZ106),DAY(CZ106))</f>
        <v>46730</v>
      </c>
      <c r="DB106" s="65">
        <f t="shared" ca="1" si="269"/>
        <v>599</v>
      </c>
      <c r="DC106" s="15" t="str">
        <f t="shared" ca="1" si="270"/>
        <v>VIGENTE</v>
      </c>
      <c r="DD106" s="14">
        <v>45404</v>
      </c>
      <c r="DE106" s="14">
        <v>46045</v>
      </c>
      <c r="DF106" s="14">
        <f>DATE(YEAR(DE106)+2,MONTH(DE106),DAY(DE106))</f>
        <v>46775</v>
      </c>
      <c r="DG106" s="65">
        <f t="shared" ca="1" si="271"/>
        <v>644</v>
      </c>
      <c r="DH106" s="15" t="str">
        <f t="shared" ca="1" si="272"/>
        <v>VIGENTE</v>
      </c>
      <c r="DI106" s="13">
        <v>45312</v>
      </c>
      <c r="DJ106" s="14">
        <v>45955</v>
      </c>
      <c r="DK106" s="14">
        <f>DATE(YEAR(DJ106)+2,MONTH(DJ106),DAY(DJ106))</f>
        <v>46685</v>
      </c>
      <c r="DL106" s="65">
        <f t="shared" ca="1" si="273"/>
        <v>554</v>
      </c>
      <c r="DM106" s="15" t="str">
        <f t="shared" ca="1" si="274"/>
        <v>VIGENTE</v>
      </c>
      <c r="DN106" s="13"/>
      <c r="DO106" s="14">
        <v>46007</v>
      </c>
      <c r="DP106" s="14">
        <f>DATE(YEAR(DO106)+2,MONTH(DO106),DAY(DO106))</f>
        <v>46737</v>
      </c>
      <c r="DQ106" s="65">
        <f t="shared" ca="1" si="275"/>
        <v>606</v>
      </c>
      <c r="DR106" s="15" t="str">
        <f t="shared" ca="1" si="276"/>
        <v>VIGENTE</v>
      </c>
      <c r="DS106" s="14">
        <v>45336</v>
      </c>
      <c r="DT106" s="14">
        <v>46018</v>
      </c>
      <c r="DU106" s="14">
        <f>DATE(YEAR(DT106)+2,MONTH(DT106),DAY(DT106))</f>
        <v>46748</v>
      </c>
      <c r="DV106" s="65">
        <f t="shared" ca="1" si="277"/>
        <v>617</v>
      </c>
      <c r="DW106" s="15" t="str">
        <f t="shared" ca="1" si="278"/>
        <v>VIGENTE</v>
      </c>
      <c r="DX106" s="14">
        <v>45355</v>
      </c>
      <c r="DY106" s="14">
        <v>46032</v>
      </c>
      <c r="DZ106" s="14">
        <f>DATE(YEAR(DY106)+2,MONTH(DY106),DAY(DY106))</f>
        <v>46762</v>
      </c>
      <c r="EA106" s="65">
        <f t="shared" ca="1" si="279"/>
        <v>631</v>
      </c>
      <c r="EB106" s="15" t="str">
        <f t="shared" ca="1" si="280"/>
        <v>VIGENTE</v>
      </c>
      <c r="EC106" s="14">
        <v>45341</v>
      </c>
      <c r="ED106" s="14">
        <v>45985</v>
      </c>
      <c r="EE106" s="14">
        <f>DATE(YEAR(ED106)+2,MONTH(ED106),DAY(ED106))</f>
        <v>46715</v>
      </c>
      <c r="EF106" s="65">
        <f t="shared" ca="1" si="281"/>
        <v>584</v>
      </c>
      <c r="EG106" s="15" t="str">
        <f t="shared" ca="1" si="282"/>
        <v>VIGENTE</v>
      </c>
      <c r="EH106" s="13">
        <v>45350</v>
      </c>
      <c r="EI106" s="13">
        <v>45810</v>
      </c>
      <c r="EJ106" s="13">
        <v>45811</v>
      </c>
      <c r="EK106" s="14">
        <v>45812</v>
      </c>
      <c r="EL106" s="14">
        <f t="shared" si="344"/>
        <v>46177</v>
      </c>
      <c r="EM106" s="65">
        <f t="shared" ca="1" si="283"/>
        <v>46</v>
      </c>
      <c r="EN106" s="15" t="str">
        <f t="shared" ca="1" si="284"/>
        <v>POR VENCER</v>
      </c>
      <c r="EO106" s="13">
        <v>45346</v>
      </c>
      <c r="EP106" s="14">
        <v>45983</v>
      </c>
      <c r="EQ106" s="14">
        <f>DATE(YEAR(EP106)+2,MONTH(EP106),DAY(EP106))</f>
        <v>46713</v>
      </c>
      <c r="ER106" s="65">
        <f t="shared" ca="1" si="285"/>
        <v>582</v>
      </c>
      <c r="ES106" s="15" t="str">
        <f t="shared" ca="1" si="286"/>
        <v>VIGENTE</v>
      </c>
      <c r="ET106" s="12"/>
      <c r="EU106" s="14">
        <v>45999</v>
      </c>
      <c r="EV106" s="14">
        <f>DATE(YEAR(EU106)+2,MONTH(EU106),DAY(EU106))</f>
        <v>46729</v>
      </c>
      <c r="EW106" s="65">
        <f t="shared" ca="1" si="287"/>
        <v>598</v>
      </c>
      <c r="EX106" s="15" t="str">
        <f t="shared" ca="1" si="288"/>
        <v>VIGENTE</v>
      </c>
      <c r="EY106" s="13">
        <v>45339</v>
      </c>
      <c r="EZ106" s="14">
        <v>45964</v>
      </c>
      <c r="FA106" s="14">
        <f>DATE(YEAR(EZ106)+2,MONTH(EZ106),DAY(EZ106))</f>
        <v>46694</v>
      </c>
      <c r="FB106" s="65">
        <f t="shared" ca="1" si="289"/>
        <v>563</v>
      </c>
      <c r="FC106" s="15" t="str">
        <f t="shared" ca="1" si="290"/>
        <v>VIGENTE</v>
      </c>
      <c r="FD106" s="13">
        <v>45321</v>
      </c>
      <c r="FE106" s="14">
        <v>46010</v>
      </c>
      <c r="FF106" s="14">
        <f>DATE(YEAR(FE106)+2,MONTH(FE106),DAY(FE106))</f>
        <v>46740</v>
      </c>
      <c r="FG106" s="65">
        <f t="shared" ca="1" si="291"/>
        <v>609</v>
      </c>
      <c r="FH106" s="15" t="str">
        <f t="shared" ca="1" si="292"/>
        <v>VIGENTE</v>
      </c>
      <c r="FI106" s="13">
        <v>45342</v>
      </c>
      <c r="FJ106" s="14">
        <v>45969</v>
      </c>
      <c r="FK106" s="14">
        <f>DATE(YEAR(FJ106)+2,MONTH(FJ106),DAY(FJ106))</f>
        <v>46699</v>
      </c>
      <c r="FL106" s="65">
        <f t="shared" ca="1" si="293"/>
        <v>568</v>
      </c>
      <c r="FM106" s="15" t="str">
        <f t="shared" ca="1" si="294"/>
        <v>VIGENTE</v>
      </c>
      <c r="FN106" s="13"/>
      <c r="FO106" s="14">
        <v>46049</v>
      </c>
      <c r="FP106" s="14">
        <f>DATE(YEAR(FO106)+2,MONTH(FO106),DAY(FO106))</f>
        <v>46779</v>
      </c>
      <c r="FQ106" s="65">
        <f t="shared" ca="1" si="295"/>
        <v>648</v>
      </c>
      <c r="FR106" s="15" t="str">
        <f t="shared" ca="1" si="296"/>
        <v>VIGENTE</v>
      </c>
      <c r="FS106" s="14">
        <v>45358</v>
      </c>
      <c r="FT106" s="14">
        <v>46034</v>
      </c>
      <c r="FU106" s="14">
        <f>DATE(YEAR(FT106)+2,MONTH(FT106),DAY(FT106))</f>
        <v>46764</v>
      </c>
      <c r="FV106" s="65">
        <f t="shared" ca="1" si="297"/>
        <v>633</v>
      </c>
      <c r="FW106" s="15" t="str">
        <f t="shared" ca="1" si="298"/>
        <v>VIGENTE</v>
      </c>
      <c r="FX106" s="13"/>
      <c r="FY106" s="14">
        <v>46014</v>
      </c>
      <c r="FZ106" s="14">
        <f>DATE(YEAR(FY106)+2,MONTH(FY106),DAY(FY106))</f>
        <v>46744</v>
      </c>
      <c r="GA106" s="65">
        <f t="shared" ca="1" si="299"/>
        <v>613</v>
      </c>
      <c r="GB106" s="15" t="str">
        <f t="shared" ca="1" si="300"/>
        <v>VIGENTE</v>
      </c>
      <c r="GC106" s="13"/>
      <c r="GD106" s="14">
        <v>45925</v>
      </c>
      <c r="GE106" s="14">
        <f>DATE(YEAR(GD106)+2,MONTH(GD106),DAY(GD106))</f>
        <v>46655</v>
      </c>
      <c r="GF106" s="65">
        <f t="shared" ca="1" si="301"/>
        <v>524</v>
      </c>
      <c r="GG106" s="15" t="str">
        <f t="shared" ca="1" si="302"/>
        <v>VIGENTE</v>
      </c>
      <c r="GH106" s="13">
        <v>45332</v>
      </c>
      <c r="GI106" s="14">
        <v>45960</v>
      </c>
      <c r="GJ106" s="14">
        <f>DATE(YEAR(GI106)+2,MONTH(GI106),DAY(GI106))</f>
        <v>46690</v>
      </c>
      <c r="GK106" s="65">
        <f t="shared" ca="1" si="303"/>
        <v>559</v>
      </c>
      <c r="GL106" s="15" t="str">
        <f t="shared" ca="1" si="304"/>
        <v>VIGENTE</v>
      </c>
      <c r="GM106" s="13">
        <v>45368</v>
      </c>
      <c r="GN106" s="14">
        <v>46044</v>
      </c>
      <c r="GO106" s="14">
        <f>DATE(YEAR(GN106)+2,MONTH(GN106),DAY(GN106))</f>
        <v>46774</v>
      </c>
      <c r="GP106" s="65">
        <f t="shared" ca="1" si="305"/>
        <v>643</v>
      </c>
      <c r="GQ106" s="15" t="str">
        <f t="shared" ca="1" si="306"/>
        <v>VIGENTE</v>
      </c>
      <c r="GR106" s="14"/>
      <c r="GS106" s="14">
        <v>45299</v>
      </c>
      <c r="GT106" s="14">
        <f t="shared" si="307"/>
        <v>47126</v>
      </c>
      <c r="GU106" s="65">
        <f t="shared" ref="GU106:GU169" ca="1" si="398">GT106-TODAY()</f>
        <v>995</v>
      </c>
      <c r="GV106" s="15" t="str">
        <f t="shared" ca="1" si="368"/>
        <v>VIGENTE</v>
      </c>
      <c r="GW106" s="13"/>
      <c r="GX106" s="14">
        <v>45329</v>
      </c>
      <c r="GY106" s="14">
        <f t="shared" si="309"/>
        <v>47156</v>
      </c>
      <c r="GZ106" s="65">
        <f t="shared" ca="1" si="310"/>
        <v>1025</v>
      </c>
      <c r="HA106" s="15" t="str">
        <f ca="1">IF(GZ106&gt;=91,"VIGENTE",IF(GZ106&gt;=1,"POR VENCER",IF(GZ106&lt;=-1,"VENCIDA",IF(GX106=0,"NO APLICA"))))</f>
        <v>VIGENTE</v>
      </c>
      <c r="HB106" s="12"/>
      <c r="HC106" s="14">
        <v>45343</v>
      </c>
      <c r="HD106" s="14">
        <f t="shared" si="312"/>
        <v>47170</v>
      </c>
      <c r="HE106" s="65">
        <f t="shared" ca="1" si="313"/>
        <v>1039</v>
      </c>
      <c r="HF106" s="15" t="str">
        <f ca="1">IF(HE106&gt;=91,"VIGENTE",IF(HE106&gt;=1,"POR VENCER",IF(HE106&lt;=-1,"VENCIDA",IF(HC106=0,"NO APLICA"))))</f>
        <v>VIGENTE</v>
      </c>
      <c r="HG106" s="16"/>
      <c r="HH106" s="14">
        <v>45317</v>
      </c>
      <c r="HI106" s="14">
        <f t="shared" si="396"/>
        <v>47144</v>
      </c>
      <c r="HJ106" s="65">
        <f t="shared" ca="1" si="397"/>
        <v>1013</v>
      </c>
      <c r="HK106" s="15" t="str">
        <f ca="1">IF(HJ106&gt;=61,"VIGENTE",IF(HJ106&gt;=1,"POR VENCER",IF(HJ106&lt;=-1,"VENCIDA",IF(HH106=0,"NO APLICA"))))</f>
        <v>VIGENTE</v>
      </c>
      <c r="HL106" s="12"/>
      <c r="HM106" s="16"/>
      <c r="HN106" s="14"/>
      <c r="HO106" s="65"/>
      <c r="HP106" s="15" t="str">
        <f>IF(HO106&gt;=61,"VIGENTE",IF(HO106&gt;=1,"POR VENCER",IF(HO106&lt;=-1,"VENCIDA",IF(HM106=0,"NO APLICA"))))</f>
        <v>NO APLICA</v>
      </c>
      <c r="HQ106" s="12"/>
      <c r="HR106" s="12"/>
      <c r="HS106" s="14"/>
      <c r="HT106" s="12"/>
      <c r="HU106" s="15" t="str">
        <f t="shared" si="315"/>
        <v>NO APLICA</v>
      </c>
      <c r="HV106" s="12"/>
      <c r="HW106" s="16"/>
      <c r="HX106" s="14"/>
      <c r="HY106" s="65"/>
      <c r="HZ106" s="15" t="str">
        <f t="shared" si="316"/>
        <v>NO APLICA</v>
      </c>
      <c r="IA106" s="12"/>
      <c r="IB106" s="16"/>
      <c r="IC106" s="14"/>
      <c r="ID106" s="65"/>
      <c r="IE106" s="15" t="str">
        <f t="shared" si="317"/>
        <v>NO APLICA</v>
      </c>
      <c r="IF106" s="12"/>
      <c r="IG106" s="16"/>
      <c r="IH106" s="14"/>
      <c r="II106" s="65"/>
      <c r="IJ106" s="15" t="str">
        <f t="shared" si="318"/>
        <v>NO APLICA</v>
      </c>
      <c r="IK106" s="16"/>
      <c r="IL106" s="16"/>
      <c r="IM106" s="14"/>
      <c r="IN106" s="65"/>
      <c r="IO106" s="15" t="str">
        <f t="shared" si="319"/>
        <v>NO APLICA</v>
      </c>
      <c r="IP106" s="12"/>
      <c r="IQ106" s="16"/>
      <c r="IR106" s="14"/>
      <c r="IS106" s="65"/>
      <c r="IT106" s="15" t="str">
        <f t="shared" si="320"/>
        <v>NO APLICA</v>
      </c>
      <c r="IU106" s="12"/>
      <c r="IV106" s="16"/>
      <c r="IW106" s="14"/>
      <c r="IX106" s="65"/>
      <c r="IY106" s="15" t="str">
        <f t="shared" si="321"/>
        <v>NO APLICA</v>
      </c>
      <c r="IZ106" s="12"/>
      <c r="JA106" s="16"/>
      <c r="JB106" s="14"/>
      <c r="JC106" s="65"/>
      <c r="JD106" s="15" t="str">
        <f t="shared" si="322"/>
        <v>NO APLICA</v>
      </c>
      <c r="JE106" s="13"/>
      <c r="JF106" s="13"/>
      <c r="JG106" s="14"/>
      <c r="JH106" s="65"/>
      <c r="JI106" s="15" t="str">
        <f t="shared" si="323"/>
        <v>NO APLICA</v>
      </c>
      <c r="JJ106" s="16"/>
      <c r="JK106" s="16"/>
      <c r="JL106" s="16"/>
      <c r="JM106" s="15" t="str">
        <f t="shared" si="324"/>
        <v>NO APLICA</v>
      </c>
      <c r="JN106" s="16"/>
      <c r="JO106" s="16"/>
      <c r="JP106" s="16"/>
      <c r="JQ106" s="15" t="str">
        <f t="shared" si="325"/>
        <v>NO APLICA</v>
      </c>
      <c r="JR106" s="16"/>
      <c r="JS106" s="16"/>
      <c r="JT106" s="16"/>
      <c r="JU106" s="16"/>
      <c r="JV106" s="15" t="str">
        <f t="shared" si="326"/>
        <v>NO APLICA</v>
      </c>
      <c r="JW106" s="15"/>
      <c r="JX106" s="15"/>
      <c r="JY106" s="15"/>
      <c r="JZ106" s="15"/>
      <c r="KA106" s="15" t="str">
        <f t="shared" si="327"/>
        <v>NO APLICA</v>
      </c>
      <c r="KB106" s="12"/>
      <c r="KC106" s="14"/>
      <c r="KD106" s="65"/>
      <c r="KE106" s="15" t="str">
        <f t="shared" si="328"/>
        <v>NO APLICA</v>
      </c>
      <c r="KF106" s="13">
        <v>45328</v>
      </c>
      <c r="KG106" s="14">
        <f>DATE(YEAR(KF106)+5,MONTH(KF106),DAY(KF106)-1)</f>
        <v>47154</v>
      </c>
      <c r="KH106" s="65">
        <f ca="1">KG106-TODAY()</f>
        <v>1023</v>
      </c>
      <c r="KI106" s="15" t="str">
        <f t="shared" ca="1" si="345"/>
        <v>VIGENTE</v>
      </c>
      <c r="KJ106" s="12"/>
      <c r="KK106" s="14"/>
      <c r="KL106" s="65"/>
      <c r="KM106" s="15" t="str">
        <f t="shared" si="329"/>
        <v>NO APLICA</v>
      </c>
      <c r="KN106" s="12"/>
      <c r="KO106" s="14"/>
      <c r="KP106" s="65"/>
      <c r="KQ106" s="15" t="str">
        <f t="shared" si="346"/>
        <v>NO APLICA</v>
      </c>
      <c r="KR106" s="12"/>
      <c r="KS106" s="16"/>
      <c r="KT106" s="14"/>
      <c r="KU106" s="65"/>
      <c r="KV106" s="15" t="str">
        <f t="shared" si="355"/>
        <v>NO APLICA</v>
      </c>
      <c r="KW106" s="16"/>
      <c r="KX106" s="14"/>
      <c r="KY106" s="65"/>
      <c r="KZ106" s="15" t="str">
        <f t="shared" si="347"/>
        <v>NO APLICA</v>
      </c>
      <c r="LA106" s="16"/>
      <c r="LB106" s="16"/>
      <c r="LC106" s="14"/>
      <c r="LD106" s="65"/>
      <c r="LE106" s="15" t="str">
        <f t="shared" si="330"/>
        <v>NO APLICA</v>
      </c>
      <c r="LF106" s="15"/>
      <c r="LG106" s="15"/>
      <c r="LH106" s="15"/>
      <c r="LI106" s="15"/>
      <c r="LJ106" s="15" t="str">
        <f t="shared" si="356"/>
        <v>NO APLICA</v>
      </c>
      <c r="LK106" s="12"/>
      <c r="LL106" s="16"/>
      <c r="LM106" s="14"/>
      <c r="LN106" s="65"/>
      <c r="LO106" s="15" t="str">
        <f t="shared" si="348"/>
        <v>NO APLICA</v>
      </c>
      <c r="LP106" s="16"/>
      <c r="LQ106" s="16"/>
      <c r="LR106" s="14"/>
      <c r="LS106" s="65"/>
      <c r="LT106" s="15" t="str">
        <f t="shared" si="349"/>
        <v>NO APLICA</v>
      </c>
      <c r="LU106" s="16"/>
      <c r="LV106" s="16"/>
      <c r="LW106" s="14"/>
      <c r="LX106" s="65"/>
      <c r="LY106" s="15" t="str">
        <f t="shared" si="350"/>
        <v>NO APLICA</v>
      </c>
      <c r="LZ106" s="12"/>
      <c r="MA106" s="12"/>
      <c r="MB106" s="14"/>
      <c r="MC106" s="65"/>
      <c r="MD106" s="15" t="str">
        <f t="shared" si="331"/>
        <v>NO APLICA</v>
      </c>
      <c r="ME106" s="12"/>
      <c r="MF106" s="12"/>
      <c r="MG106" s="14"/>
      <c r="MH106" s="65"/>
      <c r="MI106" s="15" t="str">
        <f t="shared" si="332"/>
        <v>NO APLICA</v>
      </c>
      <c r="MJ106" s="12"/>
      <c r="MK106" s="14"/>
      <c r="ML106" s="65"/>
      <c r="MM106" s="15" t="str">
        <f t="shared" si="333"/>
        <v>NO APLICA</v>
      </c>
      <c r="MN106" s="12"/>
      <c r="MO106" s="14"/>
      <c r="MP106" s="12"/>
      <c r="MQ106" s="15" t="str">
        <f t="shared" si="334"/>
        <v>NO APLICA</v>
      </c>
      <c r="MR106" s="12"/>
      <c r="MS106" s="16"/>
      <c r="MT106" s="14"/>
      <c r="MU106" s="65"/>
      <c r="MV106" s="15" t="str">
        <f t="shared" si="335"/>
        <v>NO APLICA</v>
      </c>
      <c r="MW106" s="12"/>
      <c r="MX106" s="16"/>
      <c r="MY106" s="14"/>
      <c r="MZ106" s="65"/>
      <c r="NA106" s="15" t="str">
        <f t="shared" si="336"/>
        <v>NO APLICA</v>
      </c>
      <c r="NB106" s="12"/>
      <c r="NC106" s="16"/>
      <c r="ND106" s="14"/>
      <c r="NE106" s="65"/>
      <c r="NF106" s="15" t="str">
        <f t="shared" si="337"/>
        <v>NO APLICA</v>
      </c>
      <c r="NG106" s="12"/>
      <c r="NH106" s="12"/>
      <c r="NI106" s="14"/>
      <c r="NJ106" s="65"/>
      <c r="NK106" s="15" t="str">
        <f t="shared" si="338"/>
        <v>NO APLICA</v>
      </c>
      <c r="NL106" s="12"/>
      <c r="NM106" s="12"/>
      <c r="NN106" s="14"/>
      <c r="NO106" s="12"/>
      <c r="NP106" s="15" t="str">
        <f t="shared" si="339"/>
        <v>NO APLICA</v>
      </c>
      <c r="NQ106" s="16"/>
      <c r="NR106" s="16"/>
      <c r="NS106" s="14"/>
      <c r="NT106" s="65"/>
      <c r="NU106" s="15" t="str">
        <f t="shared" si="340"/>
        <v>NO APLICA</v>
      </c>
      <c r="NV106" s="16"/>
      <c r="NW106" s="16"/>
      <c r="NX106" s="16"/>
      <c r="NY106" s="16"/>
      <c r="NZ106" s="15" t="str">
        <f t="shared" si="341"/>
        <v>NO APLICA</v>
      </c>
    </row>
    <row r="107" spans="1:390" ht="15.6" thickTop="1" thickBot="1" x14ac:dyDescent="0.35">
      <c r="A107" s="9">
        <v>1603</v>
      </c>
      <c r="B107" s="10" t="s">
        <v>421</v>
      </c>
      <c r="C107" s="21" t="s">
        <v>104</v>
      </c>
      <c r="D107" s="64" t="s">
        <v>193</v>
      </c>
      <c r="E107" s="15"/>
      <c r="F107" s="16"/>
      <c r="G107" s="14"/>
      <c r="H107" s="65"/>
      <c r="I107" s="15" t="str">
        <f t="shared" si="235"/>
        <v>NO APLICA</v>
      </c>
      <c r="J107" s="12"/>
      <c r="K107" s="16"/>
      <c r="L107" s="16"/>
      <c r="M107" s="65"/>
      <c r="N107" s="15" t="str">
        <f t="shared" si="236"/>
        <v>NO APLICA</v>
      </c>
      <c r="O107" s="14">
        <v>44852</v>
      </c>
      <c r="P107" s="14"/>
      <c r="Q107" s="14"/>
      <c r="R107" s="65"/>
      <c r="S107" s="15" t="str">
        <f t="shared" si="342"/>
        <v>NO APLICA</v>
      </c>
      <c r="T107" s="12" t="s">
        <v>422</v>
      </c>
      <c r="U107" s="13">
        <v>44771</v>
      </c>
      <c r="V107" s="14">
        <v>44772</v>
      </c>
      <c r="W107" s="14">
        <f t="shared" si="237"/>
        <v>46598</v>
      </c>
      <c r="X107" s="65">
        <f t="shared" ca="1" si="238"/>
        <v>467</v>
      </c>
      <c r="Y107" s="15" t="str">
        <f t="shared" ca="1" si="239"/>
        <v>VIGENTE</v>
      </c>
      <c r="Z107" s="12" t="s">
        <v>423</v>
      </c>
      <c r="AA107" s="13">
        <v>45232</v>
      </c>
      <c r="AB107" s="14">
        <v>45233</v>
      </c>
      <c r="AC107" s="14">
        <f>DATE(YEAR(AB107)+5,MONTH(AB107),DAY(AB107))</f>
        <v>47060</v>
      </c>
      <c r="AD107" s="65">
        <f ca="1">AC107-TODAY()</f>
        <v>929</v>
      </c>
      <c r="AE107" s="15" t="str">
        <f ca="1">IF(AD107&gt;=91,"VIGENTE",IF(AD107&gt;=1,"POR VENCER",IF(AD107&lt;=-1,"VENCIDA",IF(AB107=0,"NO APLICA"))))</f>
        <v>VIGENTE</v>
      </c>
      <c r="AF107" s="13">
        <v>45228</v>
      </c>
      <c r="AG107" s="14">
        <v>45902</v>
      </c>
      <c r="AH107" s="14">
        <f>DATE(YEAR(AG107)+2,MONTH(AG107),DAY(AG107))</f>
        <v>46632</v>
      </c>
      <c r="AI107" s="65">
        <f t="shared" ca="1" si="241"/>
        <v>501</v>
      </c>
      <c r="AJ107" s="15" t="str">
        <f t="shared" ref="AJ107:AJ170" ca="1" si="399">IF(AI107&gt;=91,"VIGENTE",IF(AI107&gt;=1,"POR VENCER",IF(AI107&lt;=-1,"VENCIDA",IF(AG107=0,"NO APLICA"))))</f>
        <v>VIGENTE</v>
      </c>
      <c r="AK107" s="13">
        <v>45239</v>
      </c>
      <c r="AL107" s="14">
        <v>45903</v>
      </c>
      <c r="AM107" s="14">
        <f>DATE(YEAR(AL107)+2,MONTH(AL107),DAY(AL107))</f>
        <v>46633</v>
      </c>
      <c r="AN107" s="65">
        <f t="shared" ca="1" si="242"/>
        <v>502</v>
      </c>
      <c r="AO107" s="15" t="str">
        <f t="shared" ca="1" si="243"/>
        <v>VIGENTE</v>
      </c>
      <c r="AP107" s="13">
        <v>45357</v>
      </c>
      <c r="AQ107" s="14">
        <v>45989</v>
      </c>
      <c r="AR107" s="14">
        <f>DATE(YEAR(AQ107)+2,MONTH(AQ107),DAY(AQ107))</f>
        <v>46719</v>
      </c>
      <c r="AS107" s="65">
        <f t="shared" ca="1" si="244"/>
        <v>588</v>
      </c>
      <c r="AT107" s="15" t="str">
        <f t="shared" ca="1" si="245"/>
        <v>VIGENTE</v>
      </c>
      <c r="AU107" s="13">
        <v>44706</v>
      </c>
      <c r="AV107" s="14">
        <v>46070</v>
      </c>
      <c r="AW107" s="14">
        <f>DATE(YEAR(AV107)+2,MONTH(AV107),DAY(AV107))</f>
        <v>46800</v>
      </c>
      <c r="AX107" s="65">
        <f t="shared" ca="1" si="246"/>
        <v>669</v>
      </c>
      <c r="AY107" s="15" t="str">
        <f t="shared" ca="1" si="247"/>
        <v>VIGENTE</v>
      </c>
      <c r="AZ107" s="13">
        <v>44930</v>
      </c>
      <c r="BA107" s="14">
        <v>45603</v>
      </c>
      <c r="BB107" s="14">
        <f>DATE(YEAR(BA107)+2,MONTH(BA107),DAY(BA107)-1)</f>
        <v>46332</v>
      </c>
      <c r="BC107" s="65">
        <f t="shared" ca="1" si="248"/>
        <v>201</v>
      </c>
      <c r="BD107" s="15" t="str">
        <f t="shared" ca="1" si="249"/>
        <v>VIGENTE</v>
      </c>
      <c r="BE107" s="13">
        <v>45071</v>
      </c>
      <c r="BF107" s="14">
        <v>45698</v>
      </c>
      <c r="BG107" s="14">
        <f>DATE(YEAR(BF107)+2,MONTH(BF107),DAY(BF107)-1)</f>
        <v>46427</v>
      </c>
      <c r="BH107" s="65">
        <f t="shared" ca="1" si="250"/>
        <v>296</v>
      </c>
      <c r="BI107" s="15" t="str">
        <f t="shared" ca="1" si="251"/>
        <v>VIGENTE</v>
      </c>
      <c r="BJ107" s="13">
        <v>44956</v>
      </c>
      <c r="BK107" s="14">
        <v>45600</v>
      </c>
      <c r="BL107" s="14">
        <f>DATE(YEAR(BK107)+2,MONTH(BK107),DAY(BK107)-1)</f>
        <v>46329</v>
      </c>
      <c r="BM107" s="65">
        <f t="shared" ca="1" si="252"/>
        <v>198</v>
      </c>
      <c r="BN107" s="15" t="str">
        <f t="shared" ca="1" si="253"/>
        <v>VIGENTE</v>
      </c>
      <c r="BO107" s="13">
        <v>44951</v>
      </c>
      <c r="BP107" s="14">
        <v>45604</v>
      </c>
      <c r="BQ107" s="14">
        <f>DATE(YEAR(BP107)+2,MONTH(BP107),DAY(BP107)-1)</f>
        <v>46333</v>
      </c>
      <c r="BR107" s="65">
        <f t="shared" ca="1" si="254"/>
        <v>202</v>
      </c>
      <c r="BS107" s="15" t="str">
        <f t="shared" ca="1" si="255"/>
        <v>VIGENTE</v>
      </c>
      <c r="BT107" s="13">
        <v>44963</v>
      </c>
      <c r="BU107" s="14">
        <v>45611</v>
      </c>
      <c r="BV107" s="14">
        <f>DATE(YEAR(BU107)+2,MONTH(BU107),DAY(BU107)-1)</f>
        <v>46340</v>
      </c>
      <c r="BW107" s="65">
        <f t="shared" ca="1" si="256"/>
        <v>209</v>
      </c>
      <c r="BX107" s="15" t="str">
        <f t="shared" ca="1" si="257"/>
        <v>VIGENTE</v>
      </c>
      <c r="BY107" s="13">
        <v>45293</v>
      </c>
      <c r="BZ107" s="14">
        <v>45954</v>
      </c>
      <c r="CA107" s="14">
        <f>DATE(YEAR(BZ107)+2,MONTH(BZ107),DAY(BZ107))</f>
        <v>46684</v>
      </c>
      <c r="CB107" s="65">
        <f t="shared" ca="1" si="258"/>
        <v>553</v>
      </c>
      <c r="CC107" s="15" t="str">
        <f t="shared" ca="1" si="259"/>
        <v>VIGENTE</v>
      </c>
      <c r="CD107" s="16" t="s">
        <v>108</v>
      </c>
      <c r="CE107" s="14">
        <v>45300</v>
      </c>
      <c r="CF107" s="14">
        <v>45301</v>
      </c>
      <c r="CG107" s="14">
        <f t="shared" si="377"/>
        <v>46762</v>
      </c>
      <c r="CH107" s="65">
        <f t="shared" ca="1" si="378"/>
        <v>631</v>
      </c>
      <c r="CI107" s="15" t="str">
        <f t="shared" ca="1" si="262"/>
        <v>VIGENTE</v>
      </c>
      <c r="CJ107" s="14">
        <v>45054</v>
      </c>
      <c r="CK107" s="14">
        <v>45688</v>
      </c>
      <c r="CL107" s="14">
        <f>DATE(YEAR(CK107)+2,MONTH(CK107),DAY(CK107)-1)</f>
        <v>46417</v>
      </c>
      <c r="CM107" s="65">
        <f t="shared" ca="1" si="263"/>
        <v>286</v>
      </c>
      <c r="CN107" s="15" t="str">
        <f t="shared" ca="1" si="264"/>
        <v>VIGENTE</v>
      </c>
      <c r="CO107" s="13">
        <v>45077</v>
      </c>
      <c r="CP107" s="14">
        <v>45726</v>
      </c>
      <c r="CQ107" s="14">
        <f>DATE(YEAR(CP107)+2,MONTH(CP107),DAY(CP107)-1)</f>
        <v>46455</v>
      </c>
      <c r="CR107" s="65">
        <f t="shared" ca="1" si="265"/>
        <v>324</v>
      </c>
      <c r="CS107" s="15" t="str">
        <f t="shared" ca="1" si="266"/>
        <v>VIGENTE</v>
      </c>
      <c r="CT107" s="13">
        <v>45408</v>
      </c>
      <c r="CU107" s="14">
        <v>46043</v>
      </c>
      <c r="CV107" s="14">
        <f>DATE(YEAR(CU107)+2,MONTH(CU107),DAY(CU107))</f>
        <v>46773</v>
      </c>
      <c r="CW107" s="65">
        <f t="shared" ca="1" si="267"/>
        <v>642</v>
      </c>
      <c r="CX107" s="15" t="str">
        <f t="shared" ca="1" si="268"/>
        <v>VIGENTE</v>
      </c>
      <c r="CY107" s="13">
        <v>44707</v>
      </c>
      <c r="CZ107" s="14">
        <v>46000</v>
      </c>
      <c r="DA107" s="14">
        <f>DATE(YEAR(CZ107)+2,MONTH(CZ107),DAY(CZ107))</f>
        <v>46730</v>
      </c>
      <c r="DB107" s="65">
        <f t="shared" ca="1" si="269"/>
        <v>599</v>
      </c>
      <c r="DC107" s="15" t="str">
        <f t="shared" ca="1" si="270"/>
        <v>VIGENTE</v>
      </c>
      <c r="DD107" s="13">
        <v>45089</v>
      </c>
      <c r="DE107" s="14">
        <v>45761</v>
      </c>
      <c r="DF107" s="14">
        <f>DATE(YEAR(DE107)+2,MONTH(DE107),DAY(DE107))</f>
        <v>46491</v>
      </c>
      <c r="DG107" s="65">
        <f t="shared" ca="1" si="271"/>
        <v>360</v>
      </c>
      <c r="DH107" s="15" t="str">
        <f t="shared" ca="1" si="272"/>
        <v>VIGENTE</v>
      </c>
      <c r="DI107" s="13">
        <v>45386</v>
      </c>
      <c r="DJ107" s="14">
        <v>46029</v>
      </c>
      <c r="DK107" s="14">
        <f>DATE(YEAR(DJ107)+2,MONTH(DJ107),DAY(DJ107))</f>
        <v>46759</v>
      </c>
      <c r="DL107" s="65">
        <f t="shared" ca="1" si="273"/>
        <v>628</v>
      </c>
      <c r="DM107" s="15" t="str">
        <f t="shared" ca="1" si="274"/>
        <v>VIGENTE</v>
      </c>
      <c r="DN107" s="13">
        <v>45325</v>
      </c>
      <c r="DO107" s="14">
        <v>45982</v>
      </c>
      <c r="DP107" s="14">
        <f>DATE(YEAR(DO107)+2,MONTH(DO107),DAY(DO107))</f>
        <v>46712</v>
      </c>
      <c r="DQ107" s="65">
        <f t="shared" ca="1" si="275"/>
        <v>581</v>
      </c>
      <c r="DR107" s="15" t="str">
        <f t="shared" ca="1" si="276"/>
        <v>VIGENTE</v>
      </c>
      <c r="DS107" s="13">
        <v>44935</v>
      </c>
      <c r="DT107" s="14">
        <v>45619</v>
      </c>
      <c r="DU107" s="14">
        <f>DATE(YEAR(DT107)+2,MONTH(DT107),DAY(DT107)-1)</f>
        <v>46348</v>
      </c>
      <c r="DV107" s="65">
        <f t="shared" ca="1" si="277"/>
        <v>217</v>
      </c>
      <c r="DW107" s="15" t="str">
        <f t="shared" ca="1" si="278"/>
        <v>VIGENTE</v>
      </c>
      <c r="DX107" s="13">
        <v>45064</v>
      </c>
      <c r="DY107" s="14">
        <v>45682</v>
      </c>
      <c r="DZ107" s="14">
        <f>DATE(YEAR(DY107)+2,MONTH(DY107),DAY(DY107)-1)</f>
        <v>46411</v>
      </c>
      <c r="EA107" s="65">
        <f t="shared" ca="1" si="279"/>
        <v>280</v>
      </c>
      <c r="EB107" s="15" t="str">
        <f t="shared" ca="1" si="280"/>
        <v>VIGENTE</v>
      </c>
      <c r="EC107" s="13">
        <v>44940</v>
      </c>
      <c r="ED107" s="14">
        <v>45583</v>
      </c>
      <c r="EE107" s="14">
        <f>DATE(YEAR(ED107)+2,MONTH(ED107),DAY(ED107)-1)</f>
        <v>46312</v>
      </c>
      <c r="EF107" s="65">
        <f t="shared" ca="1" si="281"/>
        <v>181</v>
      </c>
      <c r="EG107" s="15" t="str">
        <f t="shared" ca="1" si="282"/>
        <v>VIGENTE</v>
      </c>
      <c r="EH107" s="13">
        <v>45750</v>
      </c>
      <c r="EI107" s="13">
        <v>46083</v>
      </c>
      <c r="EJ107" s="13">
        <v>46084</v>
      </c>
      <c r="EK107" s="13">
        <v>46085</v>
      </c>
      <c r="EL107" s="14">
        <f t="shared" si="344"/>
        <v>46450</v>
      </c>
      <c r="EM107" s="65">
        <f t="shared" ca="1" si="283"/>
        <v>319</v>
      </c>
      <c r="EN107" s="15" t="str">
        <f t="shared" ca="1" si="284"/>
        <v>VIGENTE</v>
      </c>
      <c r="EO107" s="13">
        <v>45042</v>
      </c>
      <c r="EP107" s="14">
        <v>45660</v>
      </c>
      <c r="EQ107" s="14">
        <f>DATE(YEAR(EP107)+2,MONTH(EP107),DAY(EP107)-1)</f>
        <v>46389</v>
      </c>
      <c r="ER107" s="65">
        <f t="shared" ca="1" si="285"/>
        <v>258</v>
      </c>
      <c r="ES107" s="15" t="str">
        <f t="shared" ca="1" si="286"/>
        <v>VIGENTE</v>
      </c>
      <c r="ET107" s="13">
        <v>45043</v>
      </c>
      <c r="EU107" s="14">
        <v>45677</v>
      </c>
      <c r="EV107" s="14">
        <f>DATE(YEAR(EU107)+2,MONTH(EU107),DAY(EU107)-1)</f>
        <v>46406</v>
      </c>
      <c r="EW107" s="65">
        <f t="shared" ca="1" si="287"/>
        <v>275</v>
      </c>
      <c r="EX107" s="15" t="str">
        <f t="shared" ca="1" si="288"/>
        <v>VIGENTE</v>
      </c>
      <c r="EY107" s="13">
        <v>44623</v>
      </c>
      <c r="EZ107" s="14">
        <v>45953</v>
      </c>
      <c r="FA107" s="14">
        <f>DATE(YEAR(EZ107)+2,MONTH(EZ107),DAY(EZ107))</f>
        <v>46683</v>
      </c>
      <c r="FB107" s="65">
        <f t="shared" ca="1" si="289"/>
        <v>552</v>
      </c>
      <c r="FC107" s="15" t="str">
        <f t="shared" ca="1" si="290"/>
        <v>VIGENTE</v>
      </c>
      <c r="FD107" s="13">
        <v>44622</v>
      </c>
      <c r="FE107" s="14">
        <v>45951</v>
      </c>
      <c r="FF107" s="14">
        <f>DATE(YEAR(FE107)+2,MONTH(FE107),DAY(FE107))</f>
        <v>46681</v>
      </c>
      <c r="FG107" s="65">
        <f t="shared" ca="1" si="291"/>
        <v>550</v>
      </c>
      <c r="FH107" s="15" t="str">
        <f t="shared" ca="1" si="292"/>
        <v>VIGENTE</v>
      </c>
      <c r="FI107" s="13">
        <v>45248</v>
      </c>
      <c r="FJ107" s="14">
        <v>45919</v>
      </c>
      <c r="FK107" s="14">
        <f>DATE(YEAR(FJ107)+2,MONTH(FJ107),DAY(FJ107))</f>
        <v>46649</v>
      </c>
      <c r="FL107" s="65">
        <f t="shared" ca="1" si="293"/>
        <v>518</v>
      </c>
      <c r="FM107" s="15" t="str">
        <f t="shared" ca="1" si="294"/>
        <v>VIGENTE</v>
      </c>
      <c r="FN107" s="13">
        <v>44967</v>
      </c>
      <c r="FO107" s="14">
        <v>45588</v>
      </c>
      <c r="FP107" s="14">
        <f>DATE(YEAR(FO107)+2,MONTH(FO107),DAY(FO107)-1)</f>
        <v>46317</v>
      </c>
      <c r="FQ107" s="65">
        <f t="shared" ca="1" si="295"/>
        <v>186</v>
      </c>
      <c r="FR107" s="15" t="str">
        <f t="shared" ca="1" si="296"/>
        <v>VIGENTE</v>
      </c>
      <c r="FS107" s="13">
        <v>44949</v>
      </c>
      <c r="FT107" s="14">
        <v>45605</v>
      </c>
      <c r="FU107" s="14">
        <f>DATE(YEAR(FT107)+2,MONTH(FT107),DAY(FT107)-1)</f>
        <v>46334</v>
      </c>
      <c r="FV107" s="65">
        <f t="shared" ca="1" si="297"/>
        <v>203</v>
      </c>
      <c r="FW107" s="15" t="str">
        <f t="shared" ca="1" si="298"/>
        <v>VIGENTE</v>
      </c>
      <c r="FX107" s="13">
        <v>44623</v>
      </c>
      <c r="FY107" s="14">
        <v>46014</v>
      </c>
      <c r="FZ107" s="14">
        <f>DATE(YEAR(FY107)+2,MONTH(FY107),DAY(FY107))</f>
        <v>46744</v>
      </c>
      <c r="GA107" s="65">
        <f t="shared" ca="1" si="299"/>
        <v>613</v>
      </c>
      <c r="GB107" s="15" t="str">
        <f t="shared" ca="1" si="300"/>
        <v>VIGENTE</v>
      </c>
      <c r="GC107" s="13">
        <v>44995</v>
      </c>
      <c r="GD107" s="14">
        <v>45667</v>
      </c>
      <c r="GE107" s="14">
        <f>DATE(YEAR(GD107)+2,MONTH(GD107),DAY(GD107)-1)</f>
        <v>46396</v>
      </c>
      <c r="GF107" s="65">
        <f t="shared" ca="1" si="301"/>
        <v>265</v>
      </c>
      <c r="GG107" s="15" t="str">
        <f t="shared" ca="1" si="302"/>
        <v>VIGENTE</v>
      </c>
      <c r="GH107" s="13">
        <v>44939</v>
      </c>
      <c r="GI107" s="14">
        <v>45579</v>
      </c>
      <c r="GJ107" s="14">
        <f>DATE(YEAR(GI107)+2,MONTH(GI107),DAY(GI107)-1)</f>
        <v>46308</v>
      </c>
      <c r="GK107" s="65">
        <f t="shared" ca="1" si="303"/>
        <v>177</v>
      </c>
      <c r="GL107" s="15" t="str">
        <f t="shared" ca="1" si="304"/>
        <v>VIGENTE</v>
      </c>
      <c r="GM107" s="13">
        <v>45084</v>
      </c>
      <c r="GN107" s="14">
        <v>45752</v>
      </c>
      <c r="GO107" s="14">
        <f>DATE(YEAR(GN107)+2,MONTH(GN107),DAY(GN107)-1)</f>
        <v>46481</v>
      </c>
      <c r="GP107" s="65">
        <f t="shared" ca="1" si="305"/>
        <v>350</v>
      </c>
      <c r="GQ107" s="15" t="str">
        <f t="shared" ca="1" si="306"/>
        <v>VIGENTE</v>
      </c>
      <c r="GR107" s="14"/>
      <c r="GS107" s="14">
        <v>44952</v>
      </c>
      <c r="GT107" s="14">
        <f t="shared" si="307"/>
        <v>46778</v>
      </c>
      <c r="GU107" s="65">
        <f t="shared" ca="1" si="398"/>
        <v>647</v>
      </c>
      <c r="GV107" s="15" t="str">
        <f t="shared" ca="1" si="368"/>
        <v>VIGENTE</v>
      </c>
      <c r="GW107" s="13"/>
      <c r="GX107" s="14">
        <v>45010</v>
      </c>
      <c r="GY107" s="14">
        <f t="shared" si="309"/>
        <v>46837</v>
      </c>
      <c r="GZ107" s="65">
        <f t="shared" ca="1" si="310"/>
        <v>706</v>
      </c>
      <c r="HA107" s="15" t="str">
        <f ca="1">IF(GZ107&gt;=91,"VIGENTE",IF(GZ107&gt;=1,"POR VENCER",IF(GZ107&lt;=-1,"VENCIDA",IF(GX107=0,"NO APLICA"))))</f>
        <v>VIGENTE</v>
      </c>
      <c r="HB107" s="12"/>
      <c r="HC107" s="14">
        <v>44980</v>
      </c>
      <c r="HD107" s="14">
        <f t="shared" si="312"/>
        <v>46806</v>
      </c>
      <c r="HE107" s="65">
        <f t="shared" ca="1" si="313"/>
        <v>675</v>
      </c>
      <c r="HF107" s="15" t="str">
        <f ca="1">IF(HE107&gt;=91,"VIGENTE",IF(HE107&gt;=1,"POR VENCER",IF(HE107&lt;=-1,"VENCIDA",IF(HC107=0,"NO APLICA"))))</f>
        <v>VIGENTE</v>
      </c>
      <c r="HG107" s="16"/>
      <c r="HH107" s="14">
        <v>45094</v>
      </c>
      <c r="HI107" s="14">
        <f t="shared" si="396"/>
        <v>46921</v>
      </c>
      <c r="HJ107" s="65">
        <f t="shared" ca="1" si="397"/>
        <v>790</v>
      </c>
      <c r="HK107" s="15" t="str">
        <f ca="1">IF(HJ107&gt;=61,"VIGENTE",IF(HJ107&gt;=1,"POR VENCER",IF(HJ107&lt;=-1,"VENCIDA",IF(HH107=0,"NO APLICA"))))</f>
        <v>VIGENTE</v>
      </c>
      <c r="HL107" s="12"/>
      <c r="HM107" s="16"/>
      <c r="HN107" s="14">
        <f>DATE(YEAR(HM107)+5,MONTH(HM107),DAY(HM107))</f>
        <v>1827</v>
      </c>
      <c r="HO107" s="65">
        <f ca="1">HN107-TODAY()</f>
        <v>-44304</v>
      </c>
      <c r="HP107" s="15" t="str">
        <f ca="1">IF(HO107&gt;=61,"VIGENTE",IF(HO107&gt;=1,"POR VENCER",IF(HO107&lt;=-1,"PROGRAMAR",IF(HM107=0,"NO APLICA"))))</f>
        <v>PROGRAMAR</v>
      </c>
      <c r="HQ107" s="12"/>
      <c r="HR107" s="12"/>
      <c r="HS107" s="14"/>
      <c r="HT107" s="12"/>
      <c r="HU107" s="15" t="str">
        <f t="shared" si="315"/>
        <v>NO APLICA</v>
      </c>
      <c r="HV107" s="12"/>
      <c r="HW107" s="14">
        <v>44987</v>
      </c>
      <c r="HX107" s="14">
        <f>DATE(YEAR(HW107)+5,MONTH(HW107),DAY(HW107))</f>
        <v>46814</v>
      </c>
      <c r="HY107" s="65">
        <f ca="1">HX107-TODAY()</f>
        <v>683</v>
      </c>
      <c r="HZ107" s="15" t="str">
        <f t="shared" ca="1" si="316"/>
        <v>VIGENTE</v>
      </c>
      <c r="IA107" s="12"/>
      <c r="IB107" s="14">
        <v>45092</v>
      </c>
      <c r="IC107" s="14">
        <f>DATE(YEAR(IB107)+5,MONTH(IB107),DAY(IB107))</f>
        <v>46919</v>
      </c>
      <c r="ID107" s="65">
        <f ca="1">IC107-TODAY()</f>
        <v>788</v>
      </c>
      <c r="IE107" s="15" t="str">
        <f t="shared" ca="1" si="317"/>
        <v>VIGENTE</v>
      </c>
      <c r="IF107" s="12"/>
      <c r="IG107" s="14">
        <v>45024</v>
      </c>
      <c r="IH107" s="14">
        <f>DATE(YEAR(IG107)+5,MONTH(IG107),DAY(IG107))</f>
        <v>46851</v>
      </c>
      <c r="II107" s="65">
        <f ca="1">IH107-TODAY()</f>
        <v>720</v>
      </c>
      <c r="IJ107" s="15" t="str">
        <f t="shared" ca="1" si="318"/>
        <v>VIGENTE</v>
      </c>
      <c r="IK107" s="16"/>
      <c r="IL107" s="14">
        <v>45009</v>
      </c>
      <c r="IM107" s="14">
        <f>DATE(YEAR(IL107)+5,MONTH(IL107),DAY(IL107))</f>
        <v>46836</v>
      </c>
      <c r="IN107" s="65">
        <f ca="1">IM107-TODAY()</f>
        <v>705</v>
      </c>
      <c r="IO107" s="15" t="str">
        <f t="shared" ca="1" si="319"/>
        <v>VIGENTE</v>
      </c>
      <c r="IP107" s="12"/>
      <c r="IQ107" s="14">
        <v>44977</v>
      </c>
      <c r="IR107" s="14">
        <f>DATE(YEAR(IQ107)+5,MONTH(IQ107),DAY(IQ107))</f>
        <v>46803</v>
      </c>
      <c r="IS107" s="65">
        <f ca="1">IR107-TODAY()</f>
        <v>672</v>
      </c>
      <c r="IT107" s="15" t="str">
        <f t="shared" ca="1" si="320"/>
        <v>VIGENTE</v>
      </c>
      <c r="IU107" s="12"/>
      <c r="IV107" s="14">
        <v>45062</v>
      </c>
      <c r="IW107" s="14">
        <f>DATE(YEAR(IV107)+5,MONTH(IV107),DAY(IV107))</f>
        <v>46889</v>
      </c>
      <c r="IX107" s="65">
        <f ca="1">IW107-TODAY()</f>
        <v>758</v>
      </c>
      <c r="IY107" s="15" t="str">
        <f t="shared" ca="1" si="321"/>
        <v>VIGENTE</v>
      </c>
      <c r="IZ107" s="12"/>
      <c r="JA107" s="14">
        <v>45101</v>
      </c>
      <c r="JB107" s="14">
        <f>DATE(YEAR(JA107)+5,MONTH(JA107),DAY(JA107))</f>
        <v>46928</v>
      </c>
      <c r="JC107" s="65">
        <f ca="1">JB107-TODAY()</f>
        <v>797</v>
      </c>
      <c r="JD107" s="15" t="str">
        <f t="shared" ca="1" si="322"/>
        <v>VIGENTE</v>
      </c>
      <c r="JE107" s="13"/>
      <c r="JF107" s="13"/>
      <c r="JG107" s="14"/>
      <c r="JH107" s="65"/>
      <c r="JI107" s="15" t="str">
        <f t="shared" si="323"/>
        <v>NO APLICA</v>
      </c>
      <c r="JJ107" s="16"/>
      <c r="JK107" s="16"/>
      <c r="JL107" s="16"/>
      <c r="JM107" s="15" t="str">
        <f t="shared" si="324"/>
        <v>NO APLICA</v>
      </c>
      <c r="JN107" s="16"/>
      <c r="JO107" s="16"/>
      <c r="JP107" s="16"/>
      <c r="JQ107" s="15" t="str">
        <f t="shared" si="325"/>
        <v>NO APLICA</v>
      </c>
      <c r="JR107" s="16"/>
      <c r="JS107" s="16"/>
      <c r="JT107" s="16"/>
      <c r="JU107" s="16"/>
      <c r="JV107" s="15" t="str">
        <f t="shared" si="326"/>
        <v>NO APLICA</v>
      </c>
      <c r="JW107" s="15"/>
      <c r="JX107" s="15"/>
      <c r="JY107" s="15"/>
      <c r="JZ107" s="15"/>
      <c r="KA107" s="15" t="str">
        <f t="shared" si="327"/>
        <v>NO APLICA</v>
      </c>
      <c r="KB107" s="13">
        <v>45362</v>
      </c>
      <c r="KC107" s="14">
        <f>DATE(YEAR(KB107)+5,MONTH(KB107),DAY(KB107))</f>
        <v>47188</v>
      </c>
      <c r="KD107" s="65">
        <f ca="1">KC107-TODAY()</f>
        <v>1057</v>
      </c>
      <c r="KE107" s="15" t="str">
        <f t="shared" ca="1" si="328"/>
        <v>VIGENTE</v>
      </c>
      <c r="KF107" s="12"/>
      <c r="KG107" s="14"/>
      <c r="KH107" s="65"/>
      <c r="KI107" s="15" t="str">
        <f t="shared" si="345"/>
        <v>NO APLICA</v>
      </c>
      <c r="KJ107" s="13"/>
      <c r="KK107" s="14"/>
      <c r="KL107" s="65"/>
      <c r="KM107" s="15" t="str">
        <f t="shared" si="329"/>
        <v>NO APLICA</v>
      </c>
      <c r="KN107" s="12"/>
      <c r="KO107" s="14"/>
      <c r="KP107" s="65"/>
      <c r="KQ107" s="15" t="str">
        <f t="shared" si="346"/>
        <v>NO APLICA</v>
      </c>
      <c r="KR107" s="12"/>
      <c r="KS107" s="16"/>
      <c r="KT107" s="14"/>
      <c r="KU107" s="65"/>
      <c r="KV107" s="15" t="str">
        <f t="shared" si="355"/>
        <v>NO APLICA</v>
      </c>
      <c r="KW107" s="16"/>
      <c r="KX107" s="14"/>
      <c r="KY107" s="65"/>
      <c r="KZ107" s="15" t="str">
        <f t="shared" si="347"/>
        <v>NO APLICA</v>
      </c>
      <c r="LA107" s="16"/>
      <c r="LB107" s="16"/>
      <c r="LC107" s="14"/>
      <c r="LD107" s="65"/>
      <c r="LE107" s="15" t="str">
        <f t="shared" si="330"/>
        <v>NO APLICA</v>
      </c>
      <c r="LF107" s="15"/>
      <c r="LG107" s="15"/>
      <c r="LH107" s="14"/>
      <c r="LI107" s="65"/>
      <c r="LJ107" s="15" t="str">
        <f t="shared" si="356"/>
        <v>NO APLICA</v>
      </c>
      <c r="LK107" s="12"/>
      <c r="LL107" s="16"/>
      <c r="LM107" s="14"/>
      <c r="LN107" s="65"/>
      <c r="LO107" s="15" t="str">
        <f t="shared" si="348"/>
        <v>NO APLICA</v>
      </c>
      <c r="LP107" s="16"/>
      <c r="LQ107" s="16"/>
      <c r="LR107" s="14"/>
      <c r="LS107" s="65"/>
      <c r="LT107" s="15" t="str">
        <f t="shared" si="349"/>
        <v>NO APLICA</v>
      </c>
      <c r="LU107" s="16"/>
      <c r="LV107" s="16"/>
      <c r="LW107" s="14"/>
      <c r="LX107" s="65"/>
      <c r="LY107" s="15" t="str">
        <f t="shared" si="350"/>
        <v>NO APLICA</v>
      </c>
      <c r="LZ107" s="12"/>
      <c r="MA107" s="12"/>
      <c r="MB107" s="14"/>
      <c r="MC107" s="65"/>
      <c r="MD107" s="15" t="str">
        <f t="shared" si="331"/>
        <v>NO APLICA</v>
      </c>
      <c r="ME107" s="12"/>
      <c r="MF107" s="12"/>
      <c r="MG107" s="14"/>
      <c r="MH107" s="65"/>
      <c r="MI107" s="15" t="str">
        <f t="shared" si="332"/>
        <v>NO APLICA</v>
      </c>
      <c r="MJ107" s="12"/>
      <c r="MK107" s="14"/>
      <c r="ML107" s="65"/>
      <c r="MM107" s="15" t="str">
        <f t="shared" si="333"/>
        <v>NO APLICA</v>
      </c>
      <c r="MN107" s="12"/>
      <c r="MO107" s="14"/>
      <c r="MP107" s="12"/>
      <c r="MQ107" s="15" t="str">
        <f t="shared" si="334"/>
        <v>NO APLICA</v>
      </c>
      <c r="MR107" s="12"/>
      <c r="MS107" s="16"/>
      <c r="MT107" s="14"/>
      <c r="MU107" s="65"/>
      <c r="MV107" s="15" t="str">
        <f t="shared" si="335"/>
        <v>NO APLICA</v>
      </c>
      <c r="MW107" s="12"/>
      <c r="MX107" s="16"/>
      <c r="MY107" s="14"/>
      <c r="MZ107" s="65"/>
      <c r="NA107" s="15" t="str">
        <f t="shared" si="336"/>
        <v>NO APLICA</v>
      </c>
      <c r="NB107" s="12"/>
      <c r="NC107" s="16"/>
      <c r="ND107" s="14"/>
      <c r="NE107" s="65"/>
      <c r="NF107" s="15" t="str">
        <f t="shared" si="337"/>
        <v>NO APLICA</v>
      </c>
      <c r="NG107" s="12"/>
      <c r="NH107" s="12"/>
      <c r="NI107" s="14"/>
      <c r="NJ107" s="65"/>
      <c r="NK107" s="15" t="str">
        <f t="shared" si="338"/>
        <v>NO APLICA</v>
      </c>
      <c r="NL107" s="12"/>
      <c r="NM107" s="12"/>
      <c r="NN107" s="14"/>
      <c r="NO107" s="12"/>
      <c r="NP107" s="15" t="str">
        <f t="shared" si="339"/>
        <v>NO APLICA</v>
      </c>
      <c r="NQ107" s="16"/>
      <c r="NR107" s="16"/>
      <c r="NS107" s="14"/>
      <c r="NT107" s="65"/>
      <c r="NU107" s="15" t="str">
        <f t="shared" si="340"/>
        <v>NO APLICA</v>
      </c>
      <c r="NV107" s="16"/>
      <c r="NW107" s="16"/>
      <c r="NX107" s="16"/>
      <c r="NY107" s="16"/>
      <c r="NZ107" s="15" t="str">
        <f t="shared" si="341"/>
        <v>NO APLICA</v>
      </c>
    </row>
    <row r="108" spans="1:390" ht="15.6" thickTop="1" thickBot="1" x14ac:dyDescent="0.35">
      <c r="A108" s="9">
        <v>1744</v>
      </c>
      <c r="B108" s="10" t="s">
        <v>424</v>
      </c>
      <c r="C108" s="21" t="s">
        <v>98</v>
      </c>
      <c r="D108" s="64" t="s">
        <v>202</v>
      </c>
      <c r="E108" s="17"/>
      <c r="F108" s="17"/>
      <c r="G108" s="17"/>
      <c r="H108" s="17"/>
      <c r="I108" s="15" t="str">
        <f t="shared" si="235"/>
        <v>NO APLICA</v>
      </c>
      <c r="J108" s="13"/>
      <c r="K108" s="14"/>
      <c r="L108" s="17"/>
      <c r="M108" s="17"/>
      <c r="N108" s="15" t="str">
        <f t="shared" si="236"/>
        <v>NO APLICA</v>
      </c>
      <c r="O108" s="17"/>
      <c r="P108" s="17"/>
      <c r="Q108" s="17"/>
      <c r="R108" s="17"/>
      <c r="S108" s="15" t="str">
        <f t="shared" si="342"/>
        <v>NO APLICA</v>
      </c>
      <c r="T108" s="16"/>
      <c r="U108" s="14"/>
      <c r="V108" s="14"/>
      <c r="W108" s="14"/>
      <c r="X108" s="65"/>
      <c r="Y108" s="68" t="str">
        <f>IF(X108&gt;=90,"VIGENTE",IF(X108&gt;=1,"POR VENCER",IF(X108&lt;=-1,"VENCIDA",IF(V108=0,"PENDIENTE"))))</f>
        <v>PENDIENTE</v>
      </c>
      <c r="Z108" s="12"/>
      <c r="AA108" s="12"/>
      <c r="AB108" s="12"/>
      <c r="AC108" s="14"/>
      <c r="AD108" s="65"/>
      <c r="AE108" s="68" t="str">
        <f>IF(AD108&gt;=91,"VIGENTE",IF(AD108&gt;=1,"POR VENCER",IF(AD108&lt;=-1,"VENCIDA",IF(AB108=0,"PENDIENTE"))))</f>
        <v>PENDIENTE</v>
      </c>
      <c r="AF108" s="16"/>
      <c r="AG108" s="14">
        <v>45609</v>
      </c>
      <c r="AH108" s="14">
        <f>DATE(YEAR(AG108)+2,MONTH(AG108),DAY(AG108)-1)</f>
        <v>46338</v>
      </c>
      <c r="AI108" s="65">
        <f t="shared" ca="1" si="241"/>
        <v>207</v>
      </c>
      <c r="AJ108" s="15" t="str">
        <f t="shared" ca="1" si="399"/>
        <v>VIGENTE</v>
      </c>
      <c r="AK108" s="16"/>
      <c r="AL108" s="14">
        <v>45710</v>
      </c>
      <c r="AM108" s="14">
        <f>DATE(YEAR(AL108)+2,MONTH(AL108),DAY(AL108)-1)</f>
        <v>46439</v>
      </c>
      <c r="AN108" s="65">
        <f t="shared" ca="1" si="242"/>
        <v>308</v>
      </c>
      <c r="AO108" s="15" t="str">
        <f t="shared" ca="1" si="243"/>
        <v>VIGENTE</v>
      </c>
      <c r="AP108" s="16"/>
      <c r="AQ108" s="14">
        <v>45640</v>
      </c>
      <c r="AR108" s="14">
        <f>DATE(YEAR(AQ108)+2,MONTH(AQ108),DAY(AQ108)-1)</f>
        <v>46369</v>
      </c>
      <c r="AS108" s="65">
        <f t="shared" ca="1" si="244"/>
        <v>238</v>
      </c>
      <c r="AT108" s="15" t="str">
        <f t="shared" ca="1" si="245"/>
        <v>VIGENTE</v>
      </c>
      <c r="AU108" s="16"/>
      <c r="AV108" s="14">
        <v>45644</v>
      </c>
      <c r="AW108" s="14">
        <f>DATE(YEAR(AV108)+2,MONTH(AV108),DAY(AV108)-1)</f>
        <v>46373</v>
      </c>
      <c r="AX108" s="65">
        <f t="shared" ca="1" si="246"/>
        <v>242</v>
      </c>
      <c r="AY108" s="15" t="str">
        <f t="shared" ca="1" si="247"/>
        <v>VIGENTE</v>
      </c>
      <c r="AZ108" s="14"/>
      <c r="BA108" s="14">
        <v>45603</v>
      </c>
      <c r="BB108" s="14">
        <f>DATE(YEAR(BA108)+2,MONTH(BA108),DAY(BA108)-1)</f>
        <v>46332</v>
      </c>
      <c r="BC108" s="65">
        <f t="shared" ca="1" si="248"/>
        <v>201</v>
      </c>
      <c r="BD108" s="15" t="str">
        <f t="shared" ca="1" si="249"/>
        <v>VIGENTE</v>
      </c>
      <c r="BE108" s="16"/>
      <c r="BF108" s="14">
        <v>45643</v>
      </c>
      <c r="BG108" s="14">
        <f>DATE(YEAR(BF108)+2,MONTH(BF108),DAY(BF108)-1)</f>
        <v>46372</v>
      </c>
      <c r="BH108" s="65">
        <f t="shared" ca="1" si="250"/>
        <v>241</v>
      </c>
      <c r="BI108" s="15" t="str">
        <f t="shared" ca="1" si="251"/>
        <v>VIGENTE</v>
      </c>
      <c r="BJ108" s="14"/>
      <c r="BK108" s="14">
        <v>45699</v>
      </c>
      <c r="BL108" s="14">
        <f>DATE(YEAR(BK108)+2,MONTH(BK108),DAY(BK108)-1)</f>
        <v>46428</v>
      </c>
      <c r="BM108" s="65">
        <f t="shared" ca="1" si="252"/>
        <v>297</v>
      </c>
      <c r="BN108" s="15" t="str">
        <f t="shared" ca="1" si="253"/>
        <v>VIGENTE</v>
      </c>
      <c r="BO108" s="14"/>
      <c r="BP108" s="14">
        <v>45701</v>
      </c>
      <c r="BQ108" s="14">
        <f>DATE(YEAR(BP108)+2,MONTH(BP108),DAY(BP108)-1)</f>
        <v>46430</v>
      </c>
      <c r="BR108" s="65">
        <f t="shared" ca="1" si="254"/>
        <v>299</v>
      </c>
      <c r="BS108" s="15" t="str">
        <f t="shared" ca="1" si="255"/>
        <v>VIGENTE</v>
      </c>
      <c r="BT108" s="16"/>
      <c r="BU108" s="14">
        <v>45695</v>
      </c>
      <c r="BV108" s="14">
        <f>DATE(YEAR(BU108)+2,MONTH(BU108),DAY(BU108)-1)</f>
        <v>46424</v>
      </c>
      <c r="BW108" s="65">
        <f t="shared" ca="1" si="256"/>
        <v>293</v>
      </c>
      <c r="BX108" s="15" t="str">
        <f t="shared" ca="1" si="257"/>
        <v>VIGENTE</v>
      </c>
      <c r="BY108" s="16"/>
      <c r="BZ108" s="14">
        <v>45730</v>
      </c>
      <c r="CA108" s="14">
        <f>DATE(YEAR(BZ108)+2,MONTH(BZ108),DAY(BZ108)-1)</f>
        <v>46459</v>
      </c>
      <c r="CB108" s="65">
        <f t="shared" ca="1" si="258"/>
        <v>328</v>
      </c>
      <c r="CC108" s="15" t="str">
        <f t="shared" ca="1" si="259"/>
        <v>VIGENTE</v>
      </c>
      <c r="CD108" s="12"/>
      <c r="CE108" s="12"/>
      <c r="CF108" s="12"/>
      <c r="CG108" s="14"/>
      <c r="CH108" s="65"/>
      <c r="CI108" s="15" t="str">
        <f>IF(CH108&gt;=90,"VIGENTE",IF(CH108&gt;=1,"POR VENCER",IF(CH108&lt;=-1,"PROGRAMAR",IF(CH108=0,"PENDIENTE"))))</f>
        <v>PENDIENTE</v>
      </c>
      <c r="CJ108" s="16"/>
      <c r="CK108" s="14">
        <v>45688</v>
      </c>
      <c r="CL108" s="14">
        <f>DATE(YEAR(CK108)+2,MONTH(CK108),DAY(CK108)-1)</f>
        <v>46417</v>
      </c>
      <c r="CM108" s="65">
        <f t="shared" ca="1" si="263"/>
        <v>286</v>
      </c>
      <c r="CN108" s="15" t="str">
        <f t="shared" ca="1" si="264"/>
        <v>VIGENTE</v>
      </c>
      <c r="CO108" s="16"/>
      <c r="CP108" s="14">
        <v>45684</v>
      </c>
      <c r="CQ108" s="14">
        <f>DATE(YEAR(CP108)+2,MONTH(CP108),DAY(CP108)-1)</f>
        <v>46413</v>
      </c>
      <c r="CR108" s="65">
        <f t="shared" ca="1" si="265"/>
        <v>282</v>
      </c>
      <c r="CS108" s="15" t="str">
        <f t="shared" ca="1" si="266"/>
        <v>VIGENTE</v>
      </c>
      <c r="CT108" s="16"/>
      <c r="CU108" s="14">
        <v>45639</v>
      </c>
      <c r="CV108" s="14">
        <f>DATE(YEAR(CU108)+2,MONTH(CU108),DAY(CU108)-1)</f>
        <v>46368</v>
      </c>
      <c r="CW108" s="65">
        <f t="shared" ca="1" si="267"/>
        <v>237</v>
      </c>
      <c r="CX108" s="15" t="str">
        <f t="shared" ca="1" si="268"/>
        <v>VIGENTE</v>
      </c>
      <c r="CY108" s="14"/>
      <c r="CZ108" s="14">
        <v>45646</v>
      </c>
      <c r="DA108" s="14">
        <f>DATE(YEAR(CZ108)+2,MONTH(CZ108),DAY(CZ108)-1)</f>
        <v>46375</v>
      </c>
      <c r="DB108" s="65">
        <f t="shared" ca="1" si="269"/>
        <v>244</v>
      </c>
      <c r="DC108" s="15" t="str">
        <f t="shared" ca="1" si="270"/>
        <v>VIGENTE</v>
      </c>
      <c r="DD108" s="14"/>
      <c r="DE108" s="14">
        <v>45689</v>
      </c>
      <c r="DF108" s="14">
        <f>DATE(YEAR(DE108)+2,MONTH(DE108),DAY(DE108)-1)</f>
        <v>46418</v>
      </c>
      <c r="DG108" s="65">
        <f t="shared" ca="1" si="271"/>
        <v>287</v>
      </c>
      <c r="DH108" s="15" t="str">
        <f t="shared" ca="1" si="272"/>
        <v>VIGENTE</v>
      </c>
      <c r="DI108" s="16"/>
      <c r="DJ108" s="14">
        <v>45696</v>
      </c>
      <c r="DK108" s="14">
        <f>DATE(YEAR(DJ108)+2,MONTH(DJ108),DAY(DJ108)-1)</f>
        <v>46425</v>
      </c>
      <c r="DL108" s="65">
        <f t="shared" ca="1" si="273"/>
        <v>294</v>
      </c>
      <c r="DM108" s="15" t="str">
        <f t="shared" ca="1" si="274"/>
        <v>VIGENTE</v>
      </c>
      <c r="DN108" s="14"/>
      <c r="DO108" s="14">
        <v>45731</v>
      </c>
      <c r="DP108" s="14">
        <f>DATE(YEAR(DO108)+2,MONTH(DO108),DAY(DO108)-1)</f>
        <v>46460</v>
      </c>
      <c r="DQ108" s="65">
        <f t="shared" ca="1" si="275"/>
        <v>329</v>
      </c>
      <c r="DR108" s="15" t="str">
        <f t="shared" ca="1" si="276"/>
        <v>VIGENTE</v>
      </c>
      <c r="DS108" s="16"/>
      <c r="DT108" s="14">
        <v>45625</v>
      </c>
      <c r="DU108" s="14">
        <f>DATE(YEAR(DT108)+2,MONTH(DT108),DAY(DT108)-1)</f>
        <v>46354</v>
      </c>
      <c r="DV108" s="65">
        <f t="shared" ca="1" si="277"/>
        <v>223</v>
      </c>
      <c r="DW108" s="15" t="str">
        <f t="shared" ca="1" si="278"/>
        <v>VIGENTE</v>
      </c>
      <c r="DX108" s="14"/>
      <c r="DY108" s="14">
        <v>45663</v>
      </c>
      <c r="DZ108" s="14">
        <f>DATE(YEAR(DY108)+2,MONTH(DY108),DAY(DY108)-1)</f>
        <v>46392</v>
      </c>
      <c r="EA108" s="65">
        <f t="shared" ca="1" si="279"/>
        <v>261</v>
      </c>
      <c r="EB108" s="15" t="str">
        <f t="shared" ca="1" si="280"/>
        <v>VIGENTE</v>
      </c>
      <c r="EC108" s="14"/>
      <c r="ED108" s="14">
        <v>45642</v>
      </c>
      <c r="EE108" s="14">
        <f>DATE(YEAR(ED108)+2,MONTH(ED108),DAY(ED108)-1)</f>
        <v>46371</v>
      </c>
      <c r="EF108" s="65">
        <f t="shared" ca="1" si="281"/>
        <v>240</v>
      </c>
      <c r="EG108" s="15" t="str">
        <f t="shared" ca="1" si="282"/>
        <v>VIGENTE</v>
      </c>
      <c r="EH108" s="14"/>
      <c r="EI108" s="13">
        <v>46105</v>
      </c>
      <c r="EJ108" s="13">
        <v>46106</v>
      </c>
      <c r="EK108" s="13">
        <v>46107</v>
      </c>
      <c r="EL108" s="14">
        <f t="shared" si="344"/>
        <v>46472</v>
      </c>
      <c r="EM108" s="65">
        <f t="shared" ca="1" si="283"/>
        <v>341</v>
      </c>
      <c r="EN108" s="15" t="str">
        <f t="shared" ca="1" si="284"/>
        <v>VIGENTE</v>
      </c>
      <c r="EO108" s="14"/>
      <c r="EP108" s="14">
        <v>45636</v>
      </c>
      <c r="EQ108" s="14">
        <f>DATE(YEAR(EP108)+2,MONTH(EP108),DAY(EP108)-1)</f>
        <v>46365</v>
      </c>
      <c r="ER108" s="65">
        <f t="shared" ca="1" si="285"/>
        <v>234</v>
      </c>
      <c r="ES108" s="15" t="str">
        <f t="shared" ca="1" si="286"/>
        <v>VIGENTE</v>
      </c>
      <c r="ET108" s="16"/>
      <c r="EU108" s="14">
        <v>45677</v>
      </c>
      <c r="EV108" s="14">
        <f>DATE(YEAR(EU108)+2,MONTH(EU108),DAY(EU108)-1)</f>
        <v>46406</v>
      </c>
      <c r="EW108" s="65">
        <f t="shared" ca="1" si="287"/>
        <v>275</v>
      </c>
      <c r="EX108" s="15" t="str">
        <f t="shared" ca="1" si="288"/>
        <v>VIGENTE</v>
      </c>
      <c r="EY108" s="16"/>
      <c r="EZ108" s="14">
        <v>45630</v>
      </c>
      <c r="FA108" s="14">
        <f>DATE(YEAR(EZ108)+2,MONTH(EZ108),DAY(EZ108)-1)</f>
        <v>46359</v>
      </c>
      <c r="FB108" s="65">
        <f t="shared" ca="1" si="289"/>
        <v>228</v>
      </c>
      <c r="FC108" s="15" t="str">
        <f t="shared" ca="1" si="290"/>
        <v>VIGENTE</v>
      </c>
      <c r="FD108" s="16"/>
      <c r="FE108" s="14">
        <v>45632</v>
      </c>
      <c r="FF108" s="14">
        <f>DATE(YEAR(FE108)+2,MONTH(FE108),DAY(FE108)-1)</f>
        <v>46361</v>
      </c>
      <c r="FG108" s="65">
        <f t="shared" ca="1" si="291"/>
        <v>230</v>
      </c>
      <c r="FH108" s="15" t="str">
        <f t="shared" ca="1" si="292"/>
        <v>VIGENTE</v>
      </c>
      <c r="FI108" s="16"/>
      <c r="FJ108" s="14">
        <v>45668</v>
      </c>
      <c r="FK108" s="14">
        <f>DATE(YEAR(FJ108)+2,MONTH(FJ108),DAY(FJ108)-1)</f>
        <v>46397</v>
      </c>
      <c r="FL108" s="65">
        <f t="shared" ca="1" si="293"/>
        <v>266</v>
      </c>
      <c r="FM108" s="15" t="str">
        <f t="shared" ca="1" si="294"/>
        <v>VIGENTE</v>
      </c>
      <c r="FN108" s="14"/>
      <c r="FO108" s="14">
        <v>45637</v>
      </c>
      <c r="FP108" s="14">
        <f>DATE(YEAR(FO108)+2,MONTH(FO108),DAY(FO108)-1)</f>
        <v>46366</v>
      </c>
      <c r="FQ108" s="65">
        <f t="shared" ca="1" si="295"/>
        <v>235</v>
      </c>
      <c r="FR108" s="15" t="str">
        <f t="shared" ca="1" si="296"/>
        <v>VIGENTE</v>
      </c>
      <c r="FS108" s="14"/>
      <c r="FT108" s="14">
        <v>45664</v>
      </c>
      <c r="FU108" s="14">
        <f>DATE(YEAR(FT108)+2,MONTH(FT108),DAY(FT108)-1)</f>
        <v>46393</v>
      </c>
      <c r="FV108" s="65">
        <f t="shared" ca="1" si="297"/>
        <v>262</v>
      </c>
      <c r="FW108" s="15" t="str">
        <f t="shared" ca="1" si="298"/>
        <v>VIGENTE</v>
      </c>
      <c r="FX108" s="14"/>
      <c r="FY108" s="14">
        <v>45700</v>
      </c>
      <c r="FZ108" s="14">
        <f>DATE(YEAR(FY108)+2,MONTH(FY108),DAY(FY108)-1)</f>
        <v>46429</v>
      </c>
      <c r="GA108" s="65">
        <f t="shared" ca="1" si="299"/>
        <v>298</v>
      </c>
      <c r="GB108" s="15" t="str">
        <f t="shared" ca="1" si="300"/>
        <v>VIGENTE</v>
      </c>
      <c r="GC108" s="14"/>
      <c r="GD108" s="14">
        <v>45626</v>
      </c>
      <c r="GE108" s="14">
        <f>DATE(YEAR(GD108)+2,MONTH(GD108),DAY(GD108)-1)</f>
        <v>46355</v>
      </c>
      <c r="GF108" s="65">
        <f t="shared" ca="1" si="301"/>
        <v>224</v>
      </c>
      <c r="GG108" s="15" t="str">
        <f t="shared" ca="1" si="302"/>
        <v>VIGENTE</v>
      </c>
      <c r="GH108" s="14"/>
      <c r="GI108" s="14">
        <v>45672</v>
      </c>
      <c r="GJ108" s="14">
        <f>DATE(YEAR(GI108)+2,MONTH(GI108),DAY(GI108)-1)</f>
        <v>46401</v>
      </c>
      <c r="GK108" s="65">
        <f t="shared" ca="1" si="303"/>
        <v>270</v>
      </c>
      <c r="GL108" s="15" t="str">
        <f t="shared" ca="1" si="304"/>
        <v>VIGENTE</v>
      </c>
      <c r="GM108" s="14"/>
      <c r="GN108" s="14">
        <v>45633</v>
      </c>
      <c r="GO108" s="14">
        <f>DATE(YEAR(GN108)+2,MONTH(GN108),DAY(GN108)-1)</f>
        <v>46362</v>
      </c>
      <c r="GP108" s="65">
        <f t="shared" ca="1" si="305"/>
        <v>231</v>
      </c>
      <c r="GQ108" s="15" t="str">
        <f t="shared" ca="1" si="306"/>
        <v>VIGENTE</v>
      </c>
      <c r="GR108" s="14"/>
      <c r="GS108" s="16"/>
      <c r="GT108" s="14">
        <f t="shared" si="307"/>
        <v>1827</v>
      </c>
      <c r="GU108" s="65">
        <f t="shared" ca="1" si="398"/>
        <v>-44304</v>
      </c>
      <c r="GV108" s="15" t="str">
        <f ca="1">IF(GU108&gt;=61,"VIGENTE",IF(GU108&gt;=1,"POR VENCER",IF(GU108&lt;=-1,"PROGRAMAR",IF(GS108=0,"NO APLICA"))))</f>
        <v>PROGRAMAR</v>
      </c>
      <c r="GW108" s="14"/>
      <c r="GX108" s="16"/>
      <c r="GY108" s="14">
        <f t="shared" si="309"/>
        <v>1827</v>
      </c>
      <c r="GZ108" s="65">
        <f t="shared" ca="1" si="310"/>
        <v>-44304</v>
      </c>
      <c r="HA108" s="15" t="str">
        <f ca="1">IF(GZ108&gt;=61,"VIGENTE",IF(GZ108&gt;=1,"POR VENCER",IF(GZ108&lt;=-1,"PROGRAMAR",IF(GX108=0,"NO APLICA"))))</f>
        <v>PROGRAMAR</v>
      </c>
      <c r="HB108" s="16"/>
      <c r="HC108" s="16"/>
      <c r="HD108" s="14">
        <f t="shared" si="312"/>
        <v>1827</v>
      </c>
      <c r="HE108" s="65">
        <f t="shared" ca="1" si="313"/>
        <v>-44304</v>
      </c>
      <c r="HF108" s="15" t="str">
        <f ca="1">IF(HE108&gt;=61,"VIGENTE",IF(HE108&gt;=1,"POR VENCER",IF(HE108&lt;=-1,"PROGRAMAR",IF(HC108=0,"NO APLICA"))))</f>
        <v>PROGRAMAR</v>
      </c>
      <c r="HG108" s="16"/>
      <c r="HH108" s="16"/>
      <c r="HI108" s="14">
        <f t="shared" si="396"/>
        <v>1827</v>
      </c>
      <c r="HJ108" s="65">
        <f t="shared" ca="1" si="397"/>
        <v>-44304</v>
      </c>
      <c r="HK108" s="15" t="str">
        <f ca="1">IF(HJ108&gt;=61,"VIGENTE",IF(HJ108&gt;=1,"POR VENCER",IF(HJ108&lt;=-1,"PROGRAMAR",IF(HH108=0,"NO APLICA"))))</f>
        <v>PROGRAMAR</v>
      </c>
      <c r="HL108" s="16"/>
      <c r="HM108" s="16"/>
      <c r="HN108" s="16"/>
      <c r="HO108" s="16"/>
      <c r="HP108" s="15" t="str">
        <f t="shared" ref="HP108:HP122" si="400">IF(HO108&gt;=61,"VIGENTE",IF(HO108&gt;=1,"POR VENCER",IF(HO108&lt;=-1,"VENCIDA",IF(HM108=0,"NO APLICA"))))</f>
        <v>NO APLICA</v>
      </c>
      <c r="HQ108" s="16"/>
      <c r="HR108" s="16"/>
      <c r="HS108" s="16"/>
      <c r="HT108" s="16"/>
      <c r="HU108" s="15" t="str">
        <f t="shared" si="315"/>
        <v>NO APLICA</v>
      </c>
      <c r="HV108" s="16"/>
      <c r="HW108" s="16"/>
      <c r="HX108" s="16"/>
      <c r="HY108" s="16"/>
      <c r="HZ108" s="15" t="str">
        <f t="shared" si="316"/>
        <v>NO APLICA</v>
      </c>
      <c r="IA108" s="16"/>
      <c r="IB108" s="16"/>
      <c r="IC108" s="16"/>
      <c r="ID108" s="16"/>
      <c r="IE108" s="15" t="str">
        <f t="shared" si="317"/>
        <v>NO APLICA</v>
      </c>
      <c r="IF108" s="16"/>
      <c r="IG108" s="16"/>
      <c r="IH108" s="16"/>
      <c r="II108" s="16"/>
      <c r="IJ108" s="15" t="str">
        <f t="shared" si="318"/>
        <v>NO APLICA</v>
      </c>
      <c r="IK108" s="16"/>
      <c r="IL108" s="16"/>
      <c r="IM108" s="16"/>
      <c r="IN108" s="16"/>
      <c r="IO108" s="15" t="str">
        <f t="shared" si="319"/>
        <v>NO APLICA</v>
      </c>
      <c r="IP108" s="16"/>
      <c r="IQ108" s="16"/>
      <c r="IR108" s="16"/>
      <c r="IS108" s="16"/>
      <c r="IT108" s="15" t="str">
        <f t="shared" si="320"/>
        <v>NO APLICA</v>
      </c>
      <c r="IU108" s="16"/>
      <c r="IV108" s="16"/>
      <c r="IW108" s="16"/>
      <c r="IX108" s="16"/>
      <c r="IY108" s="15" t="str">
        <f t="shared" si="321"/>
        <v>NO APLICA</v>
      </c>
      <c r="IZ108" s="16"/>
      <c r="JA108" s="16"/>
      <c r="JB108" s="16"/>
      <c r="JC108" s="16"/>
      <c r="JD108" s="15" t="str">
        <f t="shared" si="322"/>
        <v>NO APLICA</v>
      </c>
      <c r="JE108" s="16"/>
      <c r="JF108" s="16"/>
      <c r="JG108" s="16"/>
      <c r="JH108" s="16"/>
      <c r="JI108" s="15" t="str">
        <f t="shared" si="323"/>
        <v>NO APLICA</v>
      </c>
      <c r="JJ108" s="16"/>
      <c r="JK108" s="16"/>
      <c r="JL108" s="16"/>
      <c r="JM108" s="15" t="str">
        <f t="shared" si="324"/>
        <v>NO APLICA</v>
      </c>
      <c r="JN108" s="16"/>
      <c r="JO108" s="16"/>
      <c r="JP108" s="16"/>
      <c r="JQ108" s="15" t="str">
        <f t="shared" si="325"/>
        <v>NO APLICA</v>
      </c>
      <c r="JR108" s="16"/>
      <c r="JS108" s="16"/>
      <c r="JT108" s="16"/>
      <c r="JU108" s="16"/>
      <c r="JV108" s="15" t="str">
        <f t="shared" si="326"/>
        <v>NO APLICA</v>
      </c>
      <c r="JW108" s="15"/>
      <c r="JX108" s="15"/>
      <c r="JY108" s="15"/>
      <c r="JZ108" s="15"/>
      <c r="KA108" s="15" t="str">
        <f t="shared" si="327"/>
        <v>NO APLICA</v>
      </c>
      <c r="KB108" s="16"/>
      <c r="KC108" s="16"/>
      <c r="KD108" s="16"/>
      <c r="KE108" s="15" t="str">
        <f t="shared" si="328"/>
        <v>NO APLICA</v>
      </c>
      <c r="KF108" s="16"/>
      <c r="KG108" s="16"/>
      <c r="KH108" s="16"/>
      <c r="KI108" s="15" t="str">
        <f t="shared" si="345"/>
        <v>NO APLICA</v>
      </c>
      <c r="KJ108" s="16"/>
      <c r="KK108" s="16"/>
      <c r="KL108" s="16"/>
      <c r="KM108" s="15" t="str">
        <f t="shared" si="329"/>
        <v>NO APLICA</v>
      </c>
      <c r="KN108" s="12"/>
      <c r="KO108" s="12"/>
      <c r="KP108" s="12"/>
      <c r="KQ108" s="15" t="str">
        <f t="shared" si="346"/>
        <v>NO APLICA</v>
      </c>
      <c r="KR108" s="16"/>
      <c r="KS108" s="16"/>
      <c r="KT108" s="16"/>
      <c r="KU108" s="16"/>
      <c r="KV108" s="15" t="str">
        <f t="shared" si="355"/>
        <v>NO APLICA</v>
      </c>
      <c r="KW108" s="16"/>
      <c r="KX108" s="16"/>
      <c r="KY108" s="16"/>
      <c r="KZ108" s="15" t="str">
        <f t="shared" si="347"/>
        <v>NO APLICA</v>
      </c>
      <c r="LA108" s="16"/>
      <c r="LB108" s="16"/>
      <c r="LC108" s="16"/>
      <c r="LD108" s="16"/>
      <c r="LE108" s="15" t="str">
        <f t="shared" si="330"/>
        <v>NO APLICA</v>
      </c>
      <c r="LF108" s="15"/>
      <c r="LG108" s="15"/>
      <c r="LH108" s="14"/>
      <c r="LI108" s="65"/>
      <c r="LJ108" s="15" t="str">
        <f t="shared" si="356"/>
        <v>NO APLICA</v>
      </c>
      <c r="LK108" s="16"/>
      <c r="LL108" s="16"/>
      <c r="LM108" s="16"/>
      <c r="LN108" s="16"/>
      <c r="LO108" s="15" t="str">
        <f t="shared" si="348"/>
        <v>NO APLICA</v>
      </c>
      <c r="LP108" s="16"/>
      <c r="LQ108" s="16"/>
      <c r="LR108" s="16"/>
      <c r="LS108" s="16"/>
      <c r="LT108" s="15" t="str">
        <f t="shared" si="349"/>
        <v>NO APLICA</v>
      </c>
      <c r="LU108" s="16"/>
      <c r="LV108" s="16"/>
      <c r="LW108" s="16"/>
      <c r="LX108" s="16"/>
      <c r="LY108" s="15" t="str">
        <f t="shared" si="350"/>
        <v>NO APLICA</v>
      </c>
      <c r="LZ108" s="16"/>
      <c r="MA108" s="16"/>
      <c r="MB108" s="16"/>
      <c r="MC108" s="16"/>
      <c r="MD108" s="15" t="str">
        <f t="shared" si="331"/>
        <v>NO APLICA</v>
      </c>
      <c r="ME108" s="16"/>
      <c r="MF108" s="16"/>
      <c r="MG108" s="16"/>
      <c r="MH108" s="16"/>
      <c r="MI108" s="15" t="str">
        <f t="shared" si="332"/>
        <v>NO APLICA</v>
      </c>
      <c r="MJ108" s="16"/>
      <c r="MK108" s="16"/>
      <c r="ML108" s="16"/>
      <c r="MM108" s="15" t="str">
        <f t="shared" si="333"/>
        <v>NO APLICA</v>
      </c>
      <c r="MN108" s="16"/>
      <c r="MO108" s="16"/>
      <c r="MP108" s="16"/>
      <c r="MQ108" s="15" t="str">
        <f t="shared" si="334"/>
        <v>NO APLICA</v>
      </c>
      <c r="MR108" s="16"/>
      <c r="MS108" s="16"/>
      <c r="MT108" s="16"/>
      <c r="MU108" s="16"/>
      <c r="MV108" s="15" t="str">
        <f t="shared" si="335"/>
        <v>NO APLICA</v>
      </c>
      <c r="MW108" s="16"/>
      <c r="MX108" s="16"/>
      <c r="MY108" s="16"/>
      <c r="MZ108" s="16"/>
      <c r="NA108" s="15" t="str">
        <f t="shared" si="336"/>
        <v>NO APLICA</v>
      </c>
      <c r="NB108" s="16"/>
      <c r="NC108" s="16"/>
      <c r="ND108" s="16"/>
      <c r="NE108" s="16"/>
      <c r="NF108" s="15" t="str">
        <f t="shared" si="337"/>
        <v>NO APLICA</v>
      </c>
      <c r="NG108" s="16"/>
      <c r="NH108" s="16"/>
      <c r="NI108" s="16"/>
      <c r="NJ108" s="16"/>
      <c r="NK108" s="15" t="str">
        <f t="shared" si="338"/>
        <v>NO APLICA</v>
      </c>
      <c r="NL108" s="16"/>
      <c r="NM108" s="16"/>
      <c r="NN108" s="16"/>
      <c r="NO108" s="16"/>
      <c r="NP108" s="15" t="str">
        <f t="shared" si="339"/>
        <v>NO APLICA</v>
      </c>
      <c r="NQ108" s="16"/>
      <c r="NR108" s="16"/>
      <c r="NS108" s="16"/>
      <c r="NT108" s="16"/>
      <c r="NU108" s="15" t="str">
        <f t="shared" si="340"/>
        <v>NO APLICA</v>
      </c>
      <c r="NV108" s="16"/>
      <c r="NW108" s="16"/>
      <c r="NX108" s="16"/>
      <c r="NY108" s="16"/>
      <c r="NZ108" s="15" t="str">
        <f t="shared" si="341"/>
        <v>NO APLICA</v>
      </c>
    </row>
    <row r="109" spans="1:390" ht="15.6" thickTop="1" thickBot="1" x14ac:dyDescent="0.35">
      <c r="A109" s="9">
        <v>1546</v>
      </c>
      <c r="B109" s="10" t="s">
        <v>425</v>
      </c>
      <c r="C109" s="21" t="s">
        <v>104</v>
      </c>
      <c r="D109" s="64" t="s">
        <v>131</v>
      </c>
      <c r="E109" s="15"/>
      <c r="F109" s="16"/>
      <c r="G109" s="14"/>
      <c r="H109" s="65"/>
      <c r="I109" s="15" t="str">
        <f t="shared" si="235"/>
        <v>NO APLICA</v>
      </c>
      <c r="J109" s="15"/>
      <c r="K109" s="16"/>
      <c r="L109" s="16"/>
      <c r="M109" s="65"/>
      <c r="N109" s="15" t="str">
        <f t="shared" si="236"/>
        <v>NO APLICA</v>
      </c>
      <c r="O109" s="16"/>
      <c r="P109" s="16"/>
      <c r="Q109" s="14"/>
      <c r="R109" s="65"/>
      <c r="S109" s="15" t="str">
        <f t="shared" si="342"/>
        <v>NO APLICA</v>
      </c>
      <c r="T109" s="16" t="s">
        <v>426</v>
      </c>
      <c r="U109" s="13">
        <v>45425</v>
      </c>
      <c r="V109" s="14">
        <v>45426</v>
      </c>
      <c r="W109" s="14">
        <f t="shared" ref="W109:W156" si="401">DATE(YEAR(V109)+5,MONTH(V109),DAY(V109))</f>
        <v>47252</v>
      </c>
      <c r="X109" s="65">
        <f t="shared" ref="X109:X156" ca="1" si="402">W109-TODAY()</f>
        <v>1121</v>
      </c>
      <c r="Y109" s="15" t="str">
        <f t="shared" ref="Y109:Y172" ca="1" si="403">IF(X109&gt;=90,"VIGENTE",IF(X109&gt;=1,"POR VENCER",IF(X109&lt;=-1,"VENCIDA",IF(V109=0,"NO APLICA"))))</f>
        <v>VIGENTE</v>
      </c>
      <c r="Z109" s="12" t="s">
        <v>427</v>
      </c>
      <c r="AA109" s="13">
        <v>44823</v>
      </c>
      <c r="AB109" s="14">
        <v>44824</v>
      </c>
      <c r="AC109" s="14">
        <f t="shared" ref="AC109:AC117" si="404">DATE(YEAR(AB109)+5,MONTH(AB109),DAY(AB109))</f>
        <v>46650</v>
      </c>
      <c r="AD109" s="65">
        <f t="shared" ref="AD109:AD117" ca="1" si="405">AC109-TODAY()</f>
        <v>519</v>
      </c>
      <c r="AE109" s="15" t="str">
        <f t="shared" ref="AE109:AE118" ca="1" si="406">IF(AD109&gt;=91,"VIGENTE",IF(AD109&gt;=1,"POR VENCER",IF(AD109&lt;=-1,"VENCIDA",IF(AB109=0,"NO APLICA"))))</f>
        <v>VIGENTE</v>
      </c>
      <c r="AF109" s="13">
        <v>44929</v>
      </c>
      <c r="AG109" s="14">
        <v>45594</v>
      </c>
      <c r="AH109" s="14">
        <f>DATE(YEAR(AG109)+2,MONTH(AG109),DAY(AG109)-1)</f>
        <v>46323</v>
      </c>
      <c r="AI109" s="65">
        <f t="shared" ca="1" si="241"/>
        <v>192</v>
      </c>
      <c r="AJ109" s="15" t="str">
        <f t="shared" ca="1" si="399"/>
        <v>VIGENTE</v>
      </c>
      <c r="AK109" s="14">
        <v>45269</v>
      </c>
      <c r="AL109" s="14">
        <v>45926</v>
      </c>
      <c r="AM109" s="14">
        <f t="shared" ref="AM109:AM115" si="407">DATE(YEAR(AL109)+2,MONTH(AL109),DAY(AL109))</f>
        <v>46656</v>
      </c>
      <c r="AN109" s="65">
        <f t="shared" ca="1" si="242"/>
        <v>525</v>
      </c>
      <c r="AO109" s="15" t="str">
        <f t="shared" ca="1" si="243"/>
        <v>VIGENTE</v>
      </c>
      <c r="AP109" s="13">
        <v>45074</v>
      </c>
      <c r="AQ109" s="14">
        <v>45703</v>
      </c>
      <c r="AR109" s="14">
        <f>DATE(YEAR(AQ109)+2,MONTH(AQ109),DAY(AQ109)-1)</f>
        <v>46432</v>
      </c>
      <c r="AS109" s="65">
        <f t="shared" ca="1" si="244"/>
        <v>301</v>
      </c>
      <c r="AT109" s="15" t="str">
        <f t="shared" ca="1" si="245"/>
        <v>VIGENTE</v>
      </c>
      <c r="AU109" s="14">
        <v>45021</v>
      </c>
      <c r="AV109" s="14">
        <v>45702</v>
      </c>
      <c r="AW109" s="14">
        <f>DATE(YEAR(AV109)+2,MONTH(AV109),DAY(AV109)-1)</f>
        <v>46431</v>
      </c>
      <c r="AX109" s="65">
        <f t="shared" ca="1" si="246"/>
        <v>300</v>
      </c>
      <c r="AY109" s="15" t="str">
        <f t="shared" ca="1" si="247"/>
        <v>VIGENTE</v>
      </c>
      <c r="AZ109" s="13">
        <v>44930</v>
      </c>
      <c r="BA109" s="14">
        <v>45603</v>
      </c>
      <c r="BB109" s="14">
        <f>DATE(YEAR(BA109)+2,MONTH(BA109),DAY(BA109)-1)</f>
        <v>46332</v>
      </c>
      <c r="BC109" s="65">
        <f t="shared" ca="1" si="248"/>
        <v>201</v>
      </c>
      <c r="BD109" s="15" t="str">
        <f t="shared" ca="1" si="249"/>
        <v>VIGENTE</v>
      </c>
      <c r="BE109" s="13">
        <v>44685</v>
      </c>
      <c r="BF109" s="14">
        <v>45987</v>
      </c>
      <c r="BG109" s="14">
        <f>DATE(YEAR(BF109)+2,MONTH(BF109),DAY(BF109))</f>
        <v>46717</v>
      </c>
      <c r="BH109" s="65">
        <f t="shared" ca="1" si="250"/>
        <v>586</v>
      </c>
      <c r="BI109" s="15" t="str">
        <f t="shared" ca="1" si="251"/>
        <v>VIGENTE</v>
      </c>
      <c r="BJ109" s="13">
        <v>45348</v>
      </c>
      <c r="BK109" s="14">
        <v>46017</v>
      </c>
      <c r="BL109" s="14">
        <f>DATE(YEAR(BK109)+2,MONTH(BK109),DAY(BK109))</f>
        <v>46747</v>
      </c>
      <c r="BM109" s="65">
        <f t="shared" ca="1" si="252"/>
        <v>616</v>
      </c>
      <c r="BN109" s="15" t="str">
        <f t="shared" ca="1" si="253"/>
        <v>VIGENTE</v>
      </c>
      <c r="BO109" s="13">
        <v>45073</v>
      </c>
      <c r="BP109" s="14">
        <v>45701</v>
      </c>
      <c r="BQ109" s="14">
        <f>DATE(YEAR(BP109)+2,MONTH(BP109),DAY(BP109)-1)</f>
        <v>46430</v>
      </c>
      <c r="BR109" s="65">
        <f t="shared" ca="1" si="254"/>
        <v>299</v>
      </c>
      <c r="BS109" s="15" t="str">
        <f t="shared" ca="1" si="255"/>
        <v>VIGENTE</v>
      </c>
      <c r="BT109" s="13">
        <v>44811</v>
      </c>
      <c r="BU109" s="14">
        <v>45449</v>
      </c>
      <c r="BV109" s="14">
        <f>DATE(YEAR(BU109)+2,MONTH(BU109),DAY(BU109)-1)</f>
        <v>46178</v>
      </c>
      <c r="BW109" s="65">
        <f t="shared" ca="1" si="256"/>
        <v>47</v>
      </c>
      <c r="BX109" s="15" t="str">
        <f t="shared" ca="1" si="257"/>
        <v>POR VENCER</v>
      </c>
      <c r="BY109" s="13">
        <v>44845</v>
      </c>
      <c r="BZ109" s="14">
        <v>45480</v>
      </c>
      <c r="CA109" s="14">
        <f>DATE(YEAR(BZ109)+2,MONTH(BZ109),DAY(BZ109)-1)</f>
        <v>46209</v>
      </c>
      <c r="CB109" s="65">
        <f t="shared" ca="1" si="258"/>
        <v>78</v>
      </c>
      <c r="CC109" s="15" t="str">
        <f t="shared" ca="1" si="259"/>
        <v>POR VENCER</v>
      </c>
      <c r="CD109" s="16" t="s">
        <v>108</v>
      </c>
      <c r="CE109" s="14">
        <v>45210</v>
      </c>
      <c r="CF109" s="14">
        <v>45211</v>
      </c>
      <c r="CG109" s="14">
        <f t="shared" ref="CG109:CG156" si="408">DATE(YEAR(CF109)+4,MONTH(CF109),DAY(CF109))</f>
        <v>46672</v>
      </c>
      <c r="CH109" s="65">
        <f t="shared" ref="CH109:CH156" ca="1" si="409">CG109-TODAY()</f>
        <v>541</v>
      </c>
      <c r="CI109" s="15" t="str">
        <f t="shared" ref="CI109:CI141" ca="1" si="410">IF(CH109&gt;=90,"VIGENTE",IF(CH109&gt;=1,"POR VENCER",IF(CH109&lt;=-1,"VENCIDA",IF(CH109=0,"NO APLICA"))))</f>
        <v>VIGENTE</v>
      </c>
      <c r="CJ109" s="14">
        <v>44874</v>
      </c>
      <c r="CK109" s="14">
        <v>45504</v>
      </c>
      <c r="CL109" s="14">
        <f>DATE(YEAR(CK109)+2,MONTH(CK109),DAY(CK109)-1)</f>
        <v>46233</v>
      </c>
      <c r="CM109" s="65">
        <f t="shared" ca="1" si="263"/>
        <v>102</v>
      </c>
      <c r="CN109" s="15" t="str">
        <f t="shared" ca="1" si="264"/>
        <v>VIGENTE</v>
      </c>
      <c r="CO109" s="13">
        <v>44900</v>
      </c>
      <c r="CP109" s="14">
        <v>45517</v>
      </c>
      <c r="CQ109" s="14">
        <f>DATE(YEAR(CP109)+2,MONTH(CP109),DAY(CP109)-1)</f>
        <v>46246</v>
      </c>
      <c r="CR109" s="65">
        <f t="shared" ca="1" si="265"/>
        <v>115</v>
      </c>
      <c r="CS109" s="15" t="str">
        <f t="shared" ca="1" si="266"/>
        <v>VIGENTE</v>
      </c>
      <c r="CT109" s="13">
        <v>45086</v>
      </c>
      <c r="CU109" s="14">
        <v>45727</v>
      </c>
      <c r="CV109" s="14">
        <f>DATE(YEAR(CU109)+2,MONTH(CU109),DAY(CU109)-1)</f>
        <v>46456</v>
      </c>
      <c r="CW109" s="65">
        <f t="shared" ca="1" si="267"/>
        <v>325</v>
      </c>
      <c r="CX109" s="15" t="str">
        <f t="shared" ca="1" si="268"/>
        <v>VIGENTE</v>
      </c>
      <c r="CY109" s="13">
        <v>44999</v>
      </c>
      <c r="CZ109" s="14">
        <v>45665</v>
      </c>
      <c r="DA109" s="14">
        <f>DATE(YEAR(CZ109)+2,MONTH(CZ109),DAY(CZ109)-1)</f>
        <v>46394</v>
      </c>
      <c r="DB109" s="65">
        <f t="shared" ca="1" si="269"/>
        <v>263</v>
      </c>
      <c r="DC109" s="15" t="str">
        <f t="shared" ca="1" si="270"/>
        <v>VIGENTE</v>
      </c>
      <c r="DD109" s="13">
        <v>45027</v>
      </c>
      <c r="DE109" s="14">
        <v>45689</v>
      </c>
      <c r="DF109" s="14">
        <f>DATE(YEAR(DE109)+2,MONTH(DE109),DAY(DE109)-1)</f>
        <v>46418</v>
      </c>
      <c r="DG109" s="65">
        <f t="shared" ca="1" si="271"/>
        <v>287</v>
      </c>
      <c r="DH109" s="15" t="str">
        <f t="shared" ca="1" si="272"/>
        <v>VIGENTE</v>
      </c>
      <c r="DI109" s="13">
        <v>45044</v>
      </c>
      <c r="DJ109" s="14">
        <v>45696</v>
      </c>
      <c r="DK109" s="14">
        <f>DATE(YEAR(DJ109)+2,MONTH(DJ109),DAY(DJ109)-1)</f>
        <v>46425</v>
      </c>
      <c r="DL109" s="65">
        <f t="shared" ca="1" si="273"/>
        <v>294</v>
      </c>
      <c r="DM109" s="15" t="str">
        <f t="shared" ca="1" si="274"/>
        <v>VIGENTE</v>
      </c>
      <c r="DN109" s="13">
        <v>45316</v>
      </c>
      <c r="DO109" s="14">
        <v>45982</v>
      </c>
      <c r="DP109" s="14">
        <f>DATE(YEAR(DO109)+2,MONTH(DO109),DAY(DO109))</f>
        <v>46712</v>
      </c>
      <c r="DQ109" s="65">
        <f t="shared" ca="1" si="275"/>
        <v>581</v>
      </c>
      <c r="DR109" s="15" t="str">
        <f t="shared" ca="1" si="276"/>
        <v>VIGENTE</v>
      </c>
      <c r="DS109" s="13">
        <v>44935</v>
      </c>
      <c r="DT109" s="14">
        <v>45619</v>
      </c>
      <c r="DU109" s="14">
        <f>DATE(YEAR(DT109)+2,MONTH(DT109),DAY(DT109)-1)</f>
        <v>46348</v>
      </c>
      <c r="DV109" s="65">
        <f t="shared" ca="1" si="277"/>
        <v>217</v>
      </c>
      <c r="DW109" s="15" t="str">
        <f t="shared" ca="1" si="278"/>
        <v>VIGENTE</v>
      </c>
      <c r="DX109" s="13">
        <v>44931</v>
      </c>
      <c r="DY109" s="14">
        <v>45582</v>
      </c>
      <c r="DZ109" s="14">
        <f>DATE(YEAR(DY109)+2,MONTH(DY109),DAY(DY109)-1)</f>
        <v>46311</v>
      </c>
      <c r="EA109" s="65">
        <f t="shared" ca="1" si="279"/>
        <v>180</v>
      </c>
      <c r="EB109" s="15" t="str">
        <f t="shared" ca="1" si="280"/>
        <v>VIGENTE</v>
      </c>
      <c r="EC109" s="13">
        <v>45061</v>
      </c>
      <c r="ED109" s="14">
        <v>45674</v>
      </c>
      <c r="EE109" s="14">
        <f>DATE(YEAR(ED109)+2,MONTH(ED109),DAY(ED109)-1)</f>
        <v>46403</v>
      </c>
      <c r="EF109" s="65">
        <f t="shared" ca="1" si="281"/>
        <v>272</v>
      </c>
      <c r="EG109" s="15" t="str">
        <f t="shared" ca="1" si="282"/>
        <v>VIGENTE</v>
      </c>
      <c r="EH109" s="13">
        <v>45675</v>
      </c>
      <c r="EI109" s="13">
        <v>45806</v>
      </c>
      <c r="EJ109" s="13">
        <v>45807</v>
      </c>
      <c r="EK109" s="14">
        <v>45808</v>
      </c>
      <c r="EL109" s="14">
        <f t="shared" si="344"/>
        <v>46173</v>
      </c>
      <c r="EM109" s="65">
        <f t="shared" ca="1" si="283"/>
        <v>42</v>
      </c>
      <c r="EN109" s="15" t="str">
        <f t="shared" ca="1" si="284"/>
        <v>POR VENCER</v>
      </c>
      <c r="EO109" s="13">
        <v>44942</v>
      </c>
      <c r="EP109" s="14">
        <v>45584</v>
      </c>
      <c r="EQ109" s="14">
        <f>DATE(YEAR(EP109)+2,MONTH(EP109),DAY(EP109)-1)</f>
        <v>46313</v>
      </c>
      <c r="ER109" s="65">
        <f t="shared" ca="1" si="285"/>
        <v>182</v>
      </c>
      <c r="ES109" s="15" t="str">
        <f t="shared" ca="1" si="286"/>
        <v>VIGENTE</v>
      </c>
      <c r="ET109" s="12">
        <v>45085</v>
      </c>
      <c r="EU109" s="14">
        <v>45749</v>
      </c>
      <c r="EV109" s="14">
        <f>DATE(YEAR(EU109)+2,MONTH(EU109),DAY(EU109)-1)</f>
        <v>46478</v>
      </c>
      <c r="EW109" s="65">
        <f t="shared" ca="1" si="287"/>
        <v>347</v>
      </c>
      <c r="EX109" s="15" t="str">
        <f t="shared" ca="1" si="288"/>
        <v>VIGENTE</v>
      </c>
      <c r="EY109" s="13">
        <v>45017</v>
      </c>
      <c r="EZ109" s="14">
        <v>45694</v>
      </c>
      <c r="FA109" s="14">
        <f>DATE(YEAR(EZ109)+2,MONTH(EZ109),DAY(EZ109)-1)</f>
        <v>46423</v>
      </c>
      <c r="FB109" s="65">
        <f t="shared" ca="1" si="289"/>
        <v>292</v>
      </c>
      <c r="FC109" s="15" t="str">
        <f t="shared" ca="1" si="290"/>
        <v>VIGENTE</v>
      </c>
      <c r="FD109" s="13">
        <v>45009</v>
      </c>
      <c r="FE109" s="14">
        <v>45666</v>
      </c>
      <c r="FF109" s="14">
        <f>DATE(YEAR(FE109)+2,MONTH(FE109),DAY(FE109)-1)</f>
        <v>46395</v>
      </c>
      <c r="FG109" s="65">
        <f t="shared" ca="1" si="291"/>
        <v>264</v>
      </c>
      <c r="FH109" s="15" t="str">
        <f t="shared" ca="1" si="292"/>
        <v>VIGENTE</v>
      </c>
      <c r="FI109" s="13">
        <v>45043</v>
      </c>
      <c r="FJ109" s="14">
        <v>45668</v>
      </c>
      <c r="FK109" s="14">
        <f>DATE(YEAR(FJ109)+2,MONTH(FJ109),DAY(FJ109)-1)</f>
        <v>46397</v>
      </c>
      <c r="FL109" s="65">
        <f t="shared" ca="1" si="293"/>
        <v>266</v>
      </c>
      <c r="FM109" s="15" t="str">
        <f t="shared" ca="1" si="294"/>
        <v>VIGENTE</v>
      </c>
      <c r="FN109" s="13">
        <v>45084</v>
      </c>
      <c r="FO109" s="14">
        <v>45738</v>
      </c>
      <c r="FP109" s="14">
        <f>DATE(YEAR(FO109)+2,MONTH(FO109),DAY(FO109)-1)</f>
        <v>46467</v>
      </c>
      <c r="FQ109" s="65">
        <f t="shared" ca="1" si="295"/>
        <v>336</v>
      </c>
      <c r="FR109" s="15" t="str">
        <f t="shared" ca="1" si="296"/>
        <v>VIGENTE</v>
      </c>
      <c r="FS109" s="13">
        <v>45018</v>
      </c>
      <c r="FT109" s="14">
        <v>45664</v>
      </c>
      <c r="FU109" s="14">
        <f>DATE(YEAR(FT109)+2,MONTH(FT109),DAY(FT109)-1)</f>
        <v>46393</v>
      </c>
      <c r="FV109" s="65">
        <f t="shared" ca="1" si="297"/>
        <v>262</v>
      </c>
      <c r="FW109" s="15" t="str">
        <f t="shared" ca="1" si="298"/>
        <v>VIGENTE</v>
      </c>
      <c r="FX109" s="13">
        <v>45028</v>
      </c>
      <c r="FY109" s="14">
        <v>45700</v>
      </c>
      <c r="FZ109" s="14">
        <f>DATE(YEAR(FY109)+2,MONTH(FY109),DAY(FY109)-1)</f>
        <v>46429</v>
      </c>
      <c r="GA109" s="65">
        <f t="shared" ca="1" si="299"/>
        <v>298</v>
      </c>
      <c r="GB109" s="15" t="str">
        <f t="shared" ca="1" si="300"/>
        <v>VIGENTE</v>
      </c>
      <c r="GC109" s="13">
        <v>45088</v>
      </c>
      <c r="GD109" s="14">
        <v>45741</v>
      </c>
      <c r="GE109" s="14">
        <f>DATE(YEAR(GD109)+2,MONTH(GD109),DAY(GD109)-1)</f>
        <v>46470</v>
      </c>
      <c r="GF109" s="65">
        <f t="shared" ca="1" si="301"/>
        <v>339</v>
      </c>
      <c r="GG109" s="15" t="str">
        <f t="shared" ca="1" si="302"/>
        <v>VIGENTE</v>
      </c>
      <c r="GH109" s="13">
        <v>45072</v>
      </c>
      <c r="GI109" s="14">
        <v>45672</v>
      </c>
      <c r="GJ109" s="14">
        <f>DATE(YEAR(GI109)+2,MONTH(GI109),DAY(GI109)-1)</f>
        <v>46401</v>
      </c>
      <c r="GK109" s="65">
        <f t="shared" ca="1" si="303"/>
        <v>270</v>
      </c>
      <c r="GL109" s="15" t="str">
        <f t="shared" ca="1" si="304"/>
        <v>VIGENTE</v>
      </c>
      <c r="GM109" s="13">
        <v>45368</v>
      </c>
      <c r="GN109" s="14">
        <v>46044</v>
      </c>
      <c r="GO109" s="14">
        <f>DATE(YEAR(GN109)+2,MONTH(GN109),DAY(GN109))</f>
        <v>46774</v>
      </c>
      <c r="GP109" s="65">
        <f t="shared" ca="1" si="305"/>
        <v>643</v>
      </c>
      <c r="GQ109" s="15" t="str">
        <f t="shared" ca="1" si="306"/>
        <v>VIGENTE</v>
      </c>
      <c r="GR109" s="14">
        <v>44571</v>
      </c>
      <c r="GS109" s="14">
        <v>45224</v>
      </c>
      <c r="GT109" s="14">
        <f t="shared" si="307"/>
        <v>47051</v>
      </c>
      <c r="GU109" s="65">
        <f t="shared" ca="1" si="398"/>
        <v>920</v>
      </c>
      <c r="GV109" s="15" t="str">
        <f t="shared" ref="GV109:GV172" ca="1" si="411">IF(GU109&gt;=91,"VIGENTE",IF(GU109&gt;=1,"POR VENCER",IF(GU109&lt;=-1,"VENCIDA",IF(GS109=0,"NO APLICA"))))</f>
        <v>VIGENTE</v>
      </c>
      <c r="GW109" s="13">
        <v>44571</v>
      </c>
      <c r="GX109" s="14">
        <v>45277</v>
      </c>
      <c r="GY109" s="14">
        <f t="shared" si="309"/>
        <v>47104</v>
      </c>
      <c r="GZ109" s="65">
        <f t="shared" ca="1" si="310"/>
        <v>973</v>
      </c>
      <c r="HA109" s="15" t="str">
        <f t="shared" ref="HA109:HA114" ca="1" si="412">IF(GZ109&gt;=91,"VIGENTE",IF(GZ109&gt;=1,"POR VENCER",IF(GZ109&lt;=-1,"VENCIDA",IF(GX109=0,"NO APLICA"))))</f>
        <v>VIGENTE</v>
      </c>
      <c r="HB109" s="14">
        <v>44565</v>
      </c>
      <c r="HC109" s="14">
        <v>45268</v>
      </c>
      <c r="HD109" s="14">
        <f t="shared" si="312"/>
        <v>47095</v>
      </c>
      <c r="HE109" s="65">
        <f t="shared" ca="1" si="313"/>
        <v>964</v>
      </c>
      <c r="HF109" s="15" t="str">
        <f t="shared" ref="HF109:HF172" ca="1" si="413">IF(HE109&gt;=91,"VIGENTE",IF(HE109&gt;=1,"POR VENCER",IF(HE109&lt;=-1,"VENCIDA",IF(HC109=0,"NO APLICA"))))</f>
        <v>VIGENTE</v>
      </c>
      <c r="HG109" s="16"/>
      <c r="HH109" s="14">
        <v>44884</v>
      </c>
      <c r="HI109" s="14">
        <f t="shared" si="396"/>
        <v>46710</v>
      </c>
      <c r="HJ109" s="65">
        <f t="shared" ca="1" si="397"/>
        <v>579</v>
      </c>
      <c r="HK109" s="15" t="str">
        <f t="shared" ref="HK109:HK114" ca="1" si="414">IF(HJ109&gt;=61,"VIGENTE",IF(HJ109&gt;=1,"POR VENCER",IF(HJ109&lt;=-1,"VENCIDA",IF(HH109=0,"NO APLICA"))))</f>
        <v>VIGENTE</v>
      </c>
      <c r="HL109" s="12"/>
      <c r="HM109" s="14">
        <v>45370</v>
      </c>
      <c r="HN109" s="14">
        <f>DATE(YEAR(HM109)+5,MONTH(HM109),DAY(HM109))</f>
        <v>47196</v>
      </c>
      <c r="HO109" s="65">
        <f ca="1">HN109-TODAY()</f>
        <v>1065</v>
      </c>
      <c r="HP109" s="15" t="str">
        <f t="shared" ca="1" si="400"/>
        <v>VIGENTE</v>
      </c>
      <c r="HQ109" s="13">
        <v>45374</v>
      </c>
      <c r="HR109" s="13">
        <v>45698</v>
      </c>
      <c r="HS109" s="14">
        <f>DATE(YEAR(HR109)+5,MONTH(HR109),DAY(HR109))</f>
        <v>47524</v>
      </c>
      <c r="HT109" s="65">
        <f ca="1">HS109-TODAY()</f>
        <v>1393</v>
      </c>
      <c r="HU109" s="15" t="str">
        <f t="shared" ca="1" si="315"/>
        <v>VIGENTE</v>
      </c>
      <c r="HV109" s="12"/>
      <c r="HW109" s="14">
        <v>45010</v>
      </c>
      <c r="HX109" s="14">
        <f>DATE(YEAR(HW109)+5,MONTH(HW109),DAY(HW109))</f>
        <v>46837</v>
      </c>
      <c r="HY109" s="65">
        <f ca="1">HX109-TODAY()</f>
        <v>706</v>
      </c>
      <c r="HZ109" s="15" t="str">
        <f t="shared" ca="1" si="316"/>
        <v>VIGENTE</v>
      </c>
      <c r="IA109" s="12"/>
      <c r="IB109" s="14">
        <v>44932</v>
      </c>
      <c r="IC109" s="14">
        <f>DATE(YEAR(IB109)+5,MONTH(IB109),DAY(IB109))</f>
        <v>46758</v>
      </c>
      <c r="ID109" s="65">
        <f ca="1">IC109-TODAY()</f>
        <v>627</v>
      </c>
      <c r="IE109" s="15" t="str">
        <f t="shared" ca="1" si="317"/>
        <v>VIGENTE</v>
      </c>
      <c r="IF109" s="12"/>
      <c r="IG109" s="14">
        <v>45049</v>
      </c>
      <c r="IH109" s="14">
        <f>DATE(YEAR(IG109)+5,MONTH(IG109),DAY(IG109))</f>
        <v>46876</v>
      </c>
      <c r="II109" s="65">
        <f ca="1">IH109-TODAY()</f>
        <v>745</v>
      </c>
      <c r="IJ109" s="15" t="str">
        <f t="shared" ca="1" si="318"/>
        <v>VIGENTE</v>
      </c>
      <c r="IK109" s="16"/>
      <c r="IL109" s="14">
        <v>45058</v>
      </c>
      <c r="IM109" s="14">
        <f>DATE(YEAR(IL109)+5,MONTH(IL109),DAY(IL109))</f>
        <v>46885</v>
      </c>
      <c r="IN109" s="65">
        <f ca="1">IM109-TODAY()</f>
        <v>754</v>
      </c>
      <c r="IO109" s="15" t="str">
        <f t="shared" ca="1" si="319"/>
        <v>VIGENTE</v>
      </c>
      <c r="IP109" s="12"/>
      <c r="IQ109" s="14">
        <v>44982</v>
      </c>
      <c r="IR109" s="14">
        <f>DATE(YEAR(IQ109)+5,MONTH(IQ109),DAY(IQ109))</f>
        <v>46808</v>
      </c>
      <c r="IS109" s="65">
        <f ca="1">IR109-TODAY()</f>
        <v>677</v>
      </c>
      <c r="IT109" s="15" t="str">
        <f t="shared" ca="1" si="320"/>
        <v>VIGENTE</v>
      </c>
      <c r="IU109" s="12"/>
      <c r="IV109" s="14">
        <v>45062</v>
      </c>
      <c r="IW109" s="14">
        <f>DATE(YEAR(IV109)+5,MONTH(IV109),DAY(IV109))</f>
        <v>46889</v>
      </c>
      <c r="IX109" s="65">
        <f ca="1">IW109-TODAY()</f>
        <v>758</v>
      </c>
      <c r="IY109" s="15" t="str">
        <f t="shared" ca="1" si="321"/>
        <v>VIGENTE</v>
      </c>
      <c r="IZ109" s="12"/>
      <c r="JA109" s="14">
        <v>44933</v>
      </c>
      <c r="JB109" s="14">
        <f>DATE(YEAR(JA109)+5,MONTH(JA109),DAY(JA109))</f>
        <v>46759</v>
      </c>
      <c r="JC109" s="65">
        <f ca="1">JB109-TODAY()</f>
        <v>628</v>
      </c>
      <c r="JD109" s="15" t="str">
        <f t="shared" ca="1" si="322"/>
        <v>VIGENTE</v>
      </c>
      <c r="JE109" s="13"/>
      <c r="JF109" s="13"/>
      <c r="JG109" s="14"/>
      <c r="JH109" s="65"/>
      <c r="JI109" s="15" t="str">
        <f t="shared" si="323"/>
        <v>NO APLICA</v>
      </c>
      <c r="JJ109" s="16"/>
      <c r="JK109" s="16"/>
      <c r="JL109" s="16"/>
      <c r="JM109" s="15" t="str">
        <f t="shared" si="324"/>
        <v>NO APLICA</v>
      </c>
      <c r="JN109" s="16"/>
      <c r="JO109" s="16"/>
      <c r="JP109" s="16"/>
      <c r="JQ109" s="15" t="str">
        <f t="shared" si="325"/>
        <v>NO APLICA</v>
      </c>
      <c r="JR109" s="16"/>
      <c r="JS109" s="16"/>
      <c r="JT109" s="16"/>
      <c r="JU109" s="16"/>
      <c r="JV109" s="15" t="str">
        <f t="shared" si="326"/>
        <v>NO APLICA</v>
      </c>
      <c r="JW109" s="15"/>
      <c r="JX109" s="15"/>
      <c r="JY109" s="15"/>
      <c r="JZ109" s="15"/>
      <c r="KA109" s="15" t="str">
        <f t="shared" si="327"/>
        <v>NO APLICA</v>
      </c>
      <c r="KB109" s="12"/>
      <c r="KC109" s="14"/>
      <c r="KD109" s="65"/>
      <c r="KE109" s="15" t="str">
        <f t="shared" si="328"/>
        <v>NO APLICA</v>
      </c>
      <c r="KF109" s="13">
        <v>45328</v>
      </c>
      <c r="KG109" s="14">
        <f>DATE(YEAR(KF109)+5,MONTH(KF109),DAY(KF109)-1)</f>
        <v>47154</v>
      </c>
      <c r="KH109" s="65">
        <f ca="1">KG109-TODAY()</f>
        <v>1023</v>
      </c>
      <c r="KI109" s="15" t="str">
        <f t="shared" ca="1" si="345"/>
        <v>VIGENTE</v>
      </c>
      <c r="KJ109" s="12"/>
      <c r="KK109" s="14"/>
      <c r="KL109" s="65"/>
      <c r="KM109" s="15" t="str">
        <f t="shared" si="329"/>
        <v>NO APLICA</v>
      </c>
      <c r="KN109" s="12"/>
      <c r="KO109" s="14"/>
      <c r="KP109" s="65"/>
      <c r="KQ109" s="15" t="str">
        <f t="shared" si="346"/>
        <v>NO APLICA</v>
      </c>
      <c r="KR109" s="12"/>
      <c r="KS109" s="16"/>
      <c r="KT109" s="14"/>
      <c r="KU109" s="65"/>
      <c r="KV109" s="15" t="str">
        <f t="shared" si="355"/>
        <v>NO APLICA</v>
      </c>
      <c r="KW109" s="16"/>
      <c r="KX109" s="14"/>
      <c r="KY109" s="65"/>
      <c r="KZ109" s="15" t="str">
        <f t="shared" si="347"/>
        <v>NO APLICA</v>
      </c>
      <c r="LA109" s="14">
        <v>45611</v>
      </c>
      <c r="LB109" s="14">
        <v>45615</v>
      </c>
      <c r="LC109" s="14">
        <f>DATE(YEAR(LB109)+2,MONTH(LB109),DAY(LB109))</f>
        <v>46345</v>
      </c>
      <c r="LD109" s="65">
        <f ca="1">LC109-TODAY()</f>
        <v>214</v>
      </c>
      <c r="LE109" s="15" t="str">
        <f t="shared" ca="1" si="330"/>
        <v>VIGENTE</v>
      </c>
      <c r="LF109" s="15"/>
      <c r="LG109" s="15"/>
      <c r="LH109" s="14"/>
      <c r="LI109" s="65"/>
      <c r="LJ109" s="15" t="str">
        <f t="shared" si="356"/>
        <v>NO APLICA</v>
      </c>
      <c r="LK109" s="12"/>
      <c r="LL109" s="16"/>
      <c r="LM109" s="14"/>
      <c r="LN109" s="65"/>
      <c r="LO109" s="15" t="str">
        <f t="shared" si="348"/>
        <v>NO APLICA</v>
      </c>
      <c r="LP109" s="16"/>
      <c r="LQ109" s="16"/>
      <c r="LR109" s="14"/>
      <c r="LS109" s="65"/>
      <c r="LT109" s="15" t="str">
        <f t="shared" si="349"/>
        <v>NO APLICA</v>
      </c>
      <c r="LU109" s="16"/>
      <c r="LV109" s="16"/>
      <c r="LW109" s="14"/>
      <c r="LX109" s="65"/>
      <c r="LY109" s="15" t="str">
        <f t="shared" si="350"/>
        <v>NO APLICA</v>
      </c>
      <c r="LZ109" s="12"/>
      <c r="MA109" s="12"/>
      <c r="MB109" s="14"/>
      <c r="MC109" s="65"/>
      <c r="MD109" s="15" t="str">
        <f t="shared" si="331"/>
        <v>NO APLICA</v>
      </c>
      <c r="ME109" s="12"/>
      <c r="MF109" s="12"/>
      <c r="MG109" s="14"/>
      <c r="MH109" s="65"/>
      <c r="MI109" s="15" t="str">
        <f t="shared" si="332"/>
        <v>NO APLICA</v>
      </c>
      <c r="MJ109" s="12"/>
      <c r="MK109" s="14"/>
      <c r="ML109" s="65"/>
      <c r="MM109" s="15" t="str">
        <f t="shared" si="333"/>
        <v>NO APLICA</v>
      </c>
      <c r="MN109" s="12"/>
      <c r="MO109" s="14"/>
      <c r="MP109" s="12"/>
      <c r="MQ109" s="15" t="str">
        <f t="shared" si="334"/>
        <v>NO APLICA</v>
      </c>
      <c r="MR109" s="12"/>
      <c r="MS109" s="16"/>
      <c r="MT109" s="14"/>
      <c r="MU109" s="65"/>
      <c r="MV109" s="15" t="str">
        <f t="shared" si="335"/>
        <v>NO APLICA</v>
      </c>
      <c r="MW109" s="12"/>
      <c r="MX109" s="16"/>
      <c r="MY109" s="14"/>
      <c r="MZ109" s="65"/>
      <c r="NA109" s="15" t="str">
        <f t="shared" si="336"/>
        <v>NO APLICA</v>
      </c>
      <c r="NB109" s="12"/>
      <c r="NC109" s="16"/>
      <c r="ND109" s="14"/>
      <c r="NE109" s="65"/>
      <c r="NF109" s="15" t="str">
        <f t="shared" si="337"/>
        <v>NO APLICA</v>
      </c>
      <c r="NG109" s="12"/>
      <c r="NH109" s="12"/>
      <c r="NI109" s="14"/>
      <c r="NJ109" s="12"/>
      <c r="NK109" s="15" t="str">
        <f t="shared" si="338"/>
        <v>NO APLICA</v>
      </c>
      <c r="NL109" s="12"/>
      <c r="NM109" s="12"/>
      <c r="NN109" s="14"/>
      <c r="NO109" s="12"/>
      <c r="NP109" s="15" t="str">
        <f t="shared" si="339"/>
        <v>NO APLICA</v>
      </c>
      <c r="NQ109" s="16"/>
      <c r="NR109" s="16"/>
      <c r="NS109" s="14"/>
      <c r="NT109" s="65"/>
      <c r="NU109" s="15" t="str">
        <f t="shared" si="340"/>
        <v>NO APLICA</v>
      </c>
      <c r="NV109" s="16"/>
      <c r="NW109" s="16"/>
      <c r="NX109" s="16"/>
      <c r="NY109" s="16"/>
      <c r="NZ109" s="15" t="str">
        <f t="shared" si="341"/>
        <v>NO APLICA</v>
      </c>
    </row>
    <row r="110" spans="1:390" ht="15.6" thickTop="1" thickBot="1" x14ac:dyDescent="0.35">
      <c r="A110" s="9">
        <v>541</v>
      </c>
      <c r="B110" s="10" t="s">
        <v>428</v>
      </c>
      <c r="C110" s="21" t="s">
        <v>104</v>
      </c>
      <c r="D110" s="64" t="s">
        <v>228</v>
      </c>
      <c r="E110" s="15"/>
      <c r="F110" s="16"/>
      <c r="G110" s="14"/>
      <c r="H110" s="65"/>
      <c r="I110" s="15" t="str">
        <f t="shared" si="235"/>
        <v>NO APLICA</v>
      </c>
      <c r="J110" s="15"/>
      <c r="K110" s="16"/>
      <c r="L110" s="16"/>
      <c r="M110" s="65"/>
      <c r="N110" s="15" t="str">
        <f t="shared" si="236"/>
        <v>NO APLICA</v>
      </c>
      <c r="O110" s="16"/>
      <c r="P110" s="16"/>
      <c r="Q110" s="14"/>
      <c r="R110" s="65"/>
      <c r="S110" s="15" t="str">
        <f t="shared" si="342"/>
        <v>NO APLICA</v>
      </c>
      <c r="T110" s="12" t="s">
        <v>429</v>
      </c>
      <c r="U110" s="13">
        <v>44789</v>
      </c>
      <c r="V110" s="14">
        <v>44790</v>
      </c>
      <c r="W110" s="14">
        <f t="shared" si="401"/>
        <v>46616</v>
      </c>
      <c r="X110" s="65">
        <f t="shared" ca="1" si="402"/>
        <v>485</v>
      </c>
      <c r="Y110" s="15" t="str">
        <f t="shared" ca="1" si="403"/>
        <v>VIGENTE</v>
      </c>
      <c r="Z110" s="12" t="s">
        <v>430</v>
      </c>
      <c r="AA110" s="13">
        <v>44827</v>
      </c>
      <c r="AB110" s="14">
        <v>44828</v>
      </c>
      <c r="AC110" s="14">
        <f t="shared" si="404"/>
        <v>46654</v>
      </c>
      <c r="AD110" s="65">
        <f t="shared" ca="1" si="405"/>
        <v>523</v>
      </c>
      <c r="AE110" s="15" t="str">
        <f t="shared" ca="1" si="406"/>
        <v>VIGENTE</v>
      </c>
      <c r="AF110" s="14">
        <v>44935</v>
      </c>
      <c r="AG110" s="14">
        <v>45594</v>
      </c>
      <c r="AH110" s="14">
        <f>DATE(YEAR(AG110)+2,MONTH(AG110),DAY(AG110)-1)</f>
        <v>46323</v>
      </c>
      <c r="AI110" s="65">
        <f t="shared" ca="1" si="241"/>
        <v>192</v>
      </c>
      <c r="AJ110" s="15" t="str">
        <f t="shared" ca="1" si="399"/>
        <v>VIGENTE</v>
      </c>
      <c r="AK110" s="13">
        <v>45269</v>
      </c>
      <c r="AL110" s="14">
        <v>45926</v>
      </c>
      <c r="AM110" s="14">
        <f t="shared" si="407"/>
        <v>46656</v>
      </c>
      <c r="AN110" s="65">
        <f t="shared" ca="1" si="242"/>
        <v>525</v>
      </c>
      <c r="AO110" s="15" t="str">
        <f t="shared" ca="1" si="243"/>
        <v>VIGENTE</v>
      </c>
      <c r="AP110" s="13">
        <v>45074</v>
      </c>
      <c r="AQ110" s="14">
        <v>45703</v>
      </c>
      <c r="AR110" s="14">
        <f>DATE(YEAR(AQ110)+2,MONTH(AQ110),DAY(AQ110)-1)</f>
        <v>46432</v>
      </c>
      <c r="AS110" s="65">
        <f t="shared" ca="1" si="244"/>
        <v>301</v>
      </c>
      <c r="AT110" s="15" t="str">
        <f t="shared" ca="1" si="245"/>
        <v>VIGENTE</v>
      </c>
      <c r="AU110" s="13">
        <v>45072</v>
      </c>
      <c r="AV110" s="14">
        <v>45702</v>
      </c>
      <c r="AW110" s="14">
        <f>DATE(YEAR(AV110)+2,MONTH(AV110),DAY(AV110)-1)</f>
        <v>46431</v>
      </c>
      <c r="AX110" s="65">
        <f t="shared" ca="1" si="246"/>
        <v>300</v>
      </c>
      <c r="AY110" s="15" t="str">
        <f t="shared" ca="1" si="247"/>
        <v>VIGENTE</v>
      </c>
      <c r="AZ110" s="13">
        <v>44973</v>
      </c>
      <c r="BA110" s="14">
        <v>45603</v>
      </c>
      <c r="BB110" s="14">
        <f>DATE(YEAR(BA110)+2,MONTH(BA110),DAY(BA110)-1)</f>
        <v>46332</v>
      </c>
      <c r="BC110" s="65">
        <f t="shared" ca="1" si="248"/>
        <v>201</v>
      </c>
      <c r="BD110" s="15" t="str">
        <f t="shared" ca="1" si="249"/>
        <v>VIGENTE</v>
      </c>
      <c r="BE110" s="13">
        <v>45071</v>
      </c>
      <c r="BF110" s="14">
        <v>45698</v>
      </c>
      <c r="BG110" s="14">
        <f>DATE(YEAR(BF110)+2,MONTH(BF110),DAY(BF110)-1)</f>
        <v>46427</v>
      </c>
      <c r="BH110" s="65">
        <f t="shared" ca="1" si="250"/>
        <v>296</v>
      </c>
      <c r="BI110" s="15" t="str">
        <f t="shared" ca="1" si="251"/>
        <v>VIGENTE</v>
      </c>
      <c r="BJ110" s="13">
        <v>44974</v>
      </c>
      <c r="BK110" s="14">
        <v>45600</v>
      </c>
      <c r="BL110" s="14">
        <f>DATE(YEAR(BK110)+2,MONTH(BK110),DAY(BK110)-1)</f>
        <v>46329</v>
      </c>
      <c r="BM110" s="65">
        <f t="shared" ca="1" si="252"/>
        <v>198</v>
      </c>
      <c r="BN110" s="15" t="str">
        <f t="shared" ca="1" si="253"/>
        <v>VIGENTE</v>
      </c>
      <c r="BO110" s="13">
        <v>45073</v>
      </c>
      <c r="BP110" s="14">
        <v>45701</v>
      </c>
      <c r="BQ110" s="14">
        <f>DATE(YEAR(BP110)+2,MONTH(BP110),DAY(BP110)-1)</f>
        <v>46430</v>
      </c>
      <c r="BR110" s="65">
        <f t="shared" ca="1" si="254"/>
        <v>299</v>
      </c>
      <c r="BS110" s="15" t="str">
        <f t="shared" ca="1" si="255"/>
        <v>VIGENTE</v>
      </c>
      <c r="BT110" s="13">
        <v>45068</v>
      </c>
      <c r="BU110" s="14">
        <v>45695</v>
      </c>
      <c r="BV110" s="14">
        <f>DATE(YEAR(BU110)+2,MONTH(BU110),DAY(BU110)-1)</f>
        <v>46424</v>
      </c>
      <c r="BW110" s="65">
        <f t="shared" ca="1" si="256"/>
        <v>293</v>
      </c>
      <c r="BX110" s="15" t="str">
        <f t="shared" ca="1" si="257"/>
        <v>VIGENTE</v>
      </c>
      <c r="BY110" s="13">
        <v>44613</v>
      </c>
      <c r="BZ110" s="14">
        <v>45944</v>
      </c>
      <c r="CA110" s="14">
        <f t="shared" ref="CA110:CA119" si="415">DATE(YEAR(BZ110)+2,MONTH(BZ110),DAY(BZ110))</f>
        <v>46674</v>
      </c>
      <c r="CB110" s="65">
        <f t="shared" ca="1" si="258"/>
        <v>543</v>
      </c>
      <c r="CC110" s="15" t="str">
        <f t="shared" ca="1" si="259"/>
        <v>VIGENTE</v>
      </c>
      <c r="CD110" s="16" t="s">
        <v>108</v>
      </c>
      <c r="CE110" s="14">
        <v>45240</v>
      </c>
      <c r="CF110" s="14">
        <v>45241</v>
      </c>
      <c r="CG110" s="14">
        <f t="shared" si="408"/>
        <v>46702</v>
      </c>
      <c r="CH110" s="65">
        <f t="shared" ca="1" si="409"/>
        <v>571</v>
      </c>
      <c r="CI110" s="15" t="str">
        <f t="shared" ca="1" si="410"/>
        <v>VIGENTE</v>
      </c>
      <c r="CJ110" s="14">
        <v>44964</v>
      </c>
      <c r="CK110" s="14">
        <v>45601</v>
      </c>
      <c r="CL110" s="14">
        <f>DATE(YEAR(CK110)+2,MONTH(CK110),DAY(CK110)-1)</f>
        <v>46330</v>
      </c>
      <c r="CM110" s="65">
        <f t="shared" ca="1" si="263"/>
        <v>199</v>
      </c>
      <c r="CN110" s="15" t="str">
        <f t="shared" ca="1" si="264"/>
        <v>VIGENTE</v>
      </c>
      <c r="CO110" s="13">
        <v>45011</v>
      </c>
      <c r="CP110" s="14">
        <v>45684</v>
      </c>
      <c r="CQ110" s="14">
        <f>DATE(YEAR(CP110)+2,MONTH(CP110),DAY(CP110)-1)</f>
        <v>46413</v>
      </c>
      <c r="CR110" s="65">
        <f t="shared" ca="1" si="265"/>
        <v>282</v>
      </c>
      <c r="CS110" s="15" t="str">
        <f t="shared" ca="1" si="266"/>
        <v>VIGENTE</v>
      </c>
      <c r="CT110" s="13">
        <v>44971</v>
      </c>
      <c r="CU110" s="14">
        <v>45631</v>
      </c>
      <c r="CV110" s="14">
        <f>DATE(YEAR(CU110)+2,MONTH(CU110),DAY(CU110)-1)</f>
        <v>46360</v>
      </c>
      <c r="CW110" s="65">
        <f t="shared" ca="1" si="267"/>
        <v>229</v>
      </c>
      <c r="CX110" s="15" t="str">
        <f t="shared" ca="1" si="268"/>
        <v>VIGENTE</v>
      </c>
      <c r="CY110" s="13">
        <v>44992</v>
      </c>
      <c r="CZ110" s="14">
        <v>45661</v>
      </c>
      <c r="DA110" s="14">
        <f>DATE(YEAR(CZ110)+2,MONTH(CZ110),DAY(CZ110)-1)</f>
        <v>46390</v>
      </c>
      <c r="DB110" s="65">
        <f t="shared" ca="1" si="269"/>
        <v>259</v>
      </c>
      <c r="DC110" s="15" t="str">
        <f t="shared" ca="1" si="270"/>
        <v>VIGENTE</v>
      </c>
      <c r="DD110" s="13">
        <v>45023</v>
      </c>
      <c r="DE110" s="14">
        <v>45689</v>
      </c>
      <c r="DF110" s="14">
        <f>DATE(YEAR(DE110)+2,MONTH(DE110),DAY(DE110)-1)</f>
        <v>46418</v>
      </c>
      <c r="DG110" s="65">
        <f t="shared" ca="1" si="271"/>
        <v>287</v>
      </c>
      <c r="DH110" s="15" t="str">
        <f t="shared" ca="1" si="272"/>
        <v>VIGENTE</v>
      </c>
      <c r="DI110" s="13">
        <v>45080</v>
      </c>
      <c r="DJ110" s="14">
        <v>45734</v>
      </c>
      <c r="DK110" s="14">
        <f>DATE(YEAR(DJ110)+2,MONTH(DJ110),DAY(DJ110)-1)</f>
        <v>46463</v>
      </c>
      <c r="DL110" s="65">
        <f t="shared" ca="1" si="273"/>
        <v>332</v>
      </c>
      <c r="DM110" s="15" t="str">
        <f t="shared" ca="1" si="274"/>
        <v>VIGENTE</v>
      </c>
      <c r="DN110" s="13">
        <v>44954</v>
      </c>
      <c r="DO110" s="14">
        <v>45577</v>
      </c>
      <c r="DP110" s="14">
        <f>DATE(YEAR(DO110)+2,MONTH(DO110),DAY(DO110)-1)</f>
        <v>46306</v>
      </c>
      <c r="DQ110" s="65">
        <f t="shared" ca="1" si="275"/>
        <v>175</v>
      </c>
      <c r="DR110" s="15" t="str">
        <f t="shared" ca="1" si="276"/>
        <v>VIGENTE</v>
      </c>
      <c r="DS110" s="13">
        <v>45096</v>
      </c>
      <c r="DT110" s="14">
        <v>45728</v>
      </c>
      <c r="DU110" s="14">
        <f>DATE(YEAR(DT110)+2,MONTH(DT110),DAY(DT110)-1)</f>
        <v>46457</v>
      </c>
      <c r="DV110" s="65">
        <f t="shared" ca="1" si="277"/>
        <v>326</v>
      </c>
      <c r="DW110" s="15" t="str">
        <f t="shared" ca="1" si="278"/>
        <v>VIGENTE</v>
      </c>
      <c r="DX110" s="13">
        <v>45100</v>
      </c>
      <c r="DY110" s="14">
        <v>45751</v>
      </c>
      <c r="DZ110" s="14">
        <f>DATE(YEAR(DY110)+2,MONTH(DY110),DAY(DY110)-1)</f>
        <v>46480</v>
      </c>
      <c r="EA110" s="65">
        <f t="shared" ca="1" si="279"/>
        <v>349</v>
      </c>
      <c r="EB110" s="15" t="str">
        <f t="shared" ca="1" si="280"/>
        <v>VIGENTE</v>
      </c>
      <c r="EC110" s="13">
        <v>45090</v>
      </c>
      <c r="ED110" s="14">
        <v>45768</v>
      </c>
      <c r="EE110" s="14">
        <f>DATE(YEAR(ED110)+2,MONTH(ED110),DAY(ED110))</f>
        <v>46498</v>
      </c>
      <c r="EF110" s="65">
        <f t="shared" ca="1" si="281"/>
        <v>367</v>
      </c>
      <c r="EG110" s="15" t="str">
        <f t="shared" ca="1" si="282"/>
        <v>VIGENTE</v>
      </c>
      <c r="EH110" s="14">
        <v>45059</v>
      </c>
      <c r="EI110" s="13">
        <v>46000</v>
      </c>
      <c r="EJ110" s="13">
        <v>46001</v>
      </c>
      <c r="EK110" s="13">
        <v>46002</v>
      </c>
      <c r="EL110" s="14">
        <f t="shared" si="344"/>
        <v>46367</v>
      </c>
      <c r="EM110" s="65">
        <f t="shared" ca="1" si="283"/>
        <v>236</v>
      </c>
      <c r="EN110" s="15" t="str">
        <f t="shared" ca="1" si="284"/>
        <v>VIGENTE</v>
      </c>
      <c r="EO110" s="13">
        <v>44993</v>
      </c>
      <c r="EP110" s="14">
        <v>45660</v>
      </c>
      <c r="EQ110" s="14">
        <f>DATE(YEAR(EP110)+2,MONTH(EP110),DAY(EP110)-1)</f>
        <v>46389</v>
      </c>
      <c r="ER110" s="65">
        <f t="shared" ca="1" si="285"/>
        <v>258</v>
      </c>
      <c r="ES110" s="15" t="str">
        <f t="shared" ca="1" si="286"/>
        <v>VIGENTE</v>
      </c>
      <c r="ET110" s="13">
        <v>45043</v>
      </c>
      <c r="EU110" s="14">
        <v>45677</v>
      </c>
      <c r="EV110" s="14">
        <f>DATE(YEAR(EU110)+2,MONTH(EU110),DAY(EU110)-1)</f>
        <v>46406</v>
      </c>
      <c r="EW110" s="65">
        <f t="shared" ca="1" si="287"/>
        <v>275</v>
      </c>
      <c r="EX110" s="15" t="str">
        <f t="shared" ca="1" si="288"/>
        <v>VIGENTE</v>
      </c>
      <c r="EY110" s="13">
        <v>44615</v>
      </c>
      <c r="EZ110" s="14">
        <v>45953</v>
      </c>
      <c r="FA110" s="14">
        <f t="shared" ref="FA110:FA119" si="416">DATE(YEAR(EZ110)+2,MONTH(EZ110),DAY(EZ110))</f>
        <v>46683</v>
      </c>
      <c r="FB110" s="65">
        <f t="shared" ca="1" si="289"/>
        <v>552</v>
      </c>
      <c r="FC110" s="15" t="str">
        <f t="shared" ca="1" si="290"/>
        <v>VIGENTE</v>
      </c>
      <c r="FD110" s="13">
        <v>44615</v>
      </c>
      <c r="FE110" s="14">
        <v>45951</v>
      </c>
      <c r="FF110" s="14">
        <f>DATE(YEAR(FE110)+2,MONTH(FE110),DAY(FE110))</f>
        <v>46681</v>
      </c>
      <c r="FG110" s="65">
        <f t="shared" ca="1" si="291"/>
        <v>550</v>
      </c>
      <c r="FH110" s="15" t="str">
        <f t="shared" ca="1" si="292"/>
        <v>VIGENTE</v>
      </c>
      <c r="FI110" s="13">
        <v>45317</v>
      </c>
      <c r="FJ110" s="14">
        <v>45969</v>
      </c>
      <c r="FK110" s="14">
        <f t="shared" ref="FK110:FK119" si="417">DATE(YEAR(FJ110)+2,MONTH(FJ110),DAY(FJ110))</f>
        <v>46699</v>
      </c>
      <c r="FL110" s="65">
        <f t="shared" ca="1" si="293"/>
        <v>568</v>
      </c>
      <c r="FM110" s="15" t="str">
        <f t="shared" ca="1" si="294"/>
        <v>VIGENTE</v>
      </c>
      <c r="FN110" s="13">
        <v>44972</v>
      </c>
      <c r="FO110" s="14">
        <v>45588</v>
      </c>
      <c r="FP110" s="14">
        <f>DATE(YEAR(FO110)+2,MONTH(FO110),DAY(FO110)-1)</f>
        <v>46317</v>
      </c>
      <c r="FQ110" s="65">
        <f t="shared" ca="1" si="295"/>
        <v>186</v>
      </c>
      <c r="FR110" s="15" t="str">
        <f t="shared" ca="1" si="296"/>
        <v>VIGENTE</v>
      </c>
      <c r="FS110" s="13">
        <v>44994</v>
      </c>
      <c r="FT110" s="14">
        <v>45664</v>
      </c>
      <c r="FU110" s="14">
        <f>DATE(YEAR(FT110)+2,MONTH(FT110),DAY(FT110)-1)</f>
        <v>46393</v>
      </c>
      <c r="FV110" s="65">
        <f t="shared" ca="1" si="297"/>
        <v>262</v>
      </c>
      <c r="FW110" s="15" t="str">
        <f t="shared" ca="1" si="298"/>
        <v>VIGENTE</v>
      </c>
      <c r="FX110" s="13">
        <v>44616</v>
      </c>
      <c r="FY110" s="14">
        <v>45941</v>
      </c>
      <c r="FZ110" s="14">
        <f>DATE(YEAR(FY110)+2,MONTH(FY110),DAY(FY110))</f>
        <v>46671</v>
      </c>
      <c r="GA110" s="65">
        <f t="shared" ca="1" si="299"/>
        <v>540</v>
      </c>
      <c r="GB110" s="15" t="str">
        <f t="shared" ca="1" si="300"/>
        <v>VIGENTE</v>
      </c>
      <c r="GC110" s="13">
        <v>45049</v>
      </c>
      <c r="GD110" s="14">
        <v>45667</v>
      </c>
      <c r="GE110" s="14">
        <f>DATE(YEAR(GD110)+2,MONTH(GD110),DAY(GD110)-1)</f>
        <v>46396</v>
      </c>
      <c r="GF110" s="65">
        <f t="shared" ca="1" si="301"/>
        <v>265</v>
      </c>
      <c r="GG110" s="15" t="str">
        <f t="shared" ca="1" si="302"/>
        <v>VIGENTE</v>
      </c>
      <c r="GH110" s="13">
        <v>44909</v>
      </c>
      <c r="GI110" s="14">
        <v>45498</v>
      </c>
      <c r="GJ110" s="14">
        <f>DATE(YEAR(GI110)+2,MONTH(GI110),DAY(GI110)-1)</f>
        <v>46227</v>
      </c>
      <c r="GK110" s="65">
        <f t="shared" ca="1" si="303"/>
        <v>96</v>
      </c>
      <c r="GL110" s="15" t="str">
        <f t="shared" ca="1" si="304"/>
        <v>VIGENTE</v>
      </c>
      <c r="GM110" s="13">
        <v>44976</v>
      </c>
      <c r="GN110" s="14">
        <v>45633</v>
      </c>
      <c r="GO110" s="14">
        <f>DATE(YEAR(GN110)+2,MONTH(GN110),DAY(GN110)-1)</f>
        <v>46362</v>
      </c>
      <c r="GP110" s="65">
        <f t="shared" ca="1" si="305"/>
        <v>231</v>
      </c>
      <c r="GQ110" s="15" t="str">
        <f t="shared" ca="1" si="306"/>
        <v>VIGENTE</v>
      </c>
      <c r="GR110" s="14"/>
      <c r="GS110" s="14">
        <v>44989</v>
      </c>
      <c r="GT110" s="14">
        <f t="shared" si="307"/>
        <v>46816</v>
      </c>
      <c r="GU110" s="65">
        <f t="shared" ca="1" si="398"/>
        <v>685</v>
      </c>
      <c r="GV110" s="15" t="str">
        <f t="shared" ca="1" si="411"/>
        <v>VIGENTE</v>
      </c>
      <c r="GW110" s="13">
        <v>44762</v>
      </c>
      <c r="GX110" s="14">
        <v>45464</v>
      </c>
      <c r="GY110" s="14">
        <f t="shared" si="309"/>
        <v>47290</v>
      </c>
      <c r="GZ110" s="65">
        <f t="shared" ca="1" si="310"/>
        <v>1159</v>
      </c>
      <c r="HA110" s="15" t="str">
        <f t="shared" ca="1" si="412"/>
        <v>VIGENTE</v>
      </c>
      <c r="HB110" s="12"/>
      <c r="HC110" s="14">
        <v>45003</v>
      </c>
      <c r="HD110" s="14">
        <f t="shared" si="312"/>
        <v>46830</v>
      </c>
      <c r="HE110" s="65">
        <f t="shared" ca="1" si="313"/>
        <v>699</v>
      </c>
      <c r="HF110" s="15" t="str">
        <f t="shared" ca="1" si="413"/>
        <v>VIGENTE</v>
      </c>
      <c r="HG110" s="16"/>
      <c r="HH110" s="14">
        <v>44865</v>
      </c>
      <c r="HI110" s="14">
        <f t="shared" si="396"/>
        <v>46691</v>
      </c>
      <c r="HJ110" s="65">
        <f t="shared" ca="1" si="397"/>
        <v>560</v>
      </c>
      <c r="HK110" s="15" t="str">
        <f t="shared" ca="1" si="414"/>
        <v>VIGENTE</v>
      </c>
      <c r="HL110" s="12"/>
      <c r="HM110" s="14">
        <v>45370</v>
      </c>
      <c r="HN110" s="14">
        <f>DATE(YEAR(HM110)+5,MONTH(HM110),DAY(HM110))</f>
        <v>47196</v>
      </c>
      <c r="HO110" s="65">
        <f ca="1">HN110-TODAY()</f>
        <v>1065</v>
      </c>
      <c r="HP110" s="15" t="str">
        <f t="shared" ca="1" si="400"/>
        <v>VIGENTE</v>
      </c>
      <c r="HQ110" s="12"/>
      <c r="HR110" s="13">
        <v>45374</v>
      </c>
      <c r="HS110" s="14">
        <f>DATE(YEAR(HR110)+5,MONTH(HR110),DAY(HR110))</f>
        <v>47200</v>
      </c>
      <c r="HT110" s="65">
        <f ca="1">HS110-TODAY()</f>
        <v>1069</v>
      </c>
      <c r="HU110" s="15" t="str">
        <f t="shared" ca="1" si="315"/>
        <v>VIGENTE</v>
      </c>
      <c r="HV110" s="12"/>
      <c r="HW110" s="14">
        <v>44990</v>
      </c>
      <c r="HX110" s="14">
        <f>DATE(YEAR(HW110)+5,MONTH(HW110),DAY(HW110))</f>
        <v>46817</v>
      </c>
      <c r="HY110" s="65">
        <f ca="1">HX110-TODAY()</f>
        <v>686</v>
      </c>
      <c r="HZ110" s="15" t="str">
        <f t="shared" ca="1" si="316"/>
        <v>VIGENTE</v>
      </c>
      <c r="IA110" s="13">
        <v>44761</v>
      </c>
      <c r="IB110" s="14">
        <v>45475</v>
      </c>
      <c r="IC110" s="14">
        <f>DATE(YEAR(IB110)+5,MONTH(IB110),DAY(IB110))</f>
        <v>47301</v>
      </c>
      <c r="ID110" s="65">
        <f ca="1">IC110-TODAY()</f>
        <v>1170</v>
      </c>
      <c r="IE110" s="15" t="str">
        <f t="shared" ca="1" si="317"/>
        <v>VIGENTE</v>
      </c>
      <c r="IF110" s="13">
        <v>44760</v>
      </c>
      <c r="IG110" s="14">
        <v>45470</v>
      </c>
      <c r="IH110" s="14">
        <f>DATE(YEAR(IG110)+5,MONTH(IG110),DAY(IG110))</f>
        <v>47296</v>
      </c>
      <c r="II110" s="65">
        <f ca="1">IH110-TODAY()</f>
        <v>1165</v>
      </c>
      <c r="IJ110" s="15" t="str">
        <f t="shared" ca="1" si="318"/>
        <v>VIGENTE</v>
      </c>
      <c r="IK110" s="14">
        <v>44753</v>
      </c>
      <c r="IL110" s="14">
        <v>45452</v>
      </c>
      <c r="IM110" s="14">
        <f>DATE(YEAR(IL110)+5,MONTH(IL110),DAY(IL110))</f>
        <v>47278</v>
      </c>
      <c r="IN110" s="65">
        <f ca="1">IM110-TODAY()</f>
        <v>1147</v>
      </c>
      <c r="IO110" s="15" t="str">
        <f t="shared" ca="1" si="319"/>
        <v>VIGENTE</v>
      </c>
      <c r="IP110" s="13">
        <v>44761</v>
      </c>
      <c r="IQ110" s="14">
        <v>45460</v>
      </c>
      <c r="IR110" s="14">
        <f>DATE(YEAR(IQ110)+5,MONTH(IQ110),DAY(IQ110))</f>
        <v>47286</v>
      </c>
      <c r="IS110" s="65">
        <f ca="1">IR110-TODAY()</f>
        <v>1155</v>
      </c>
      <c r="IT110" s="15" t="str">
        <f t="shared" ca="1" si="320"/>
        <v>VIGENTE</v>
      </c>
      <c r="IU110" s="13">
        <v>44760</v>
      </c>
      <c r="IV110" s="14">
        <v>45471</v>
      </c>
      <c r="IW110" s="14">
        <f>DATE(YEAR(IV110)+5,MONTH(IV110),DAY(IV110))</f>
        <v>47297</v>
      </c>
      <c r="IX110" s="65">
        <f ca="1">IW110-TODAY()</f>
        <v>1166</v>
      </c>
      <c r="IY110" s="15" t="str">
        <f t="shared" ca="1" si="321"/>
        <v>VIGENTE</v>
      </c>
      <c r="IZ110" s="13">
        <v>44753</v>
      </c>
      <c r="JA110" s="14">
        <v>45461</v>
      </c>
      <c r="JB110" s="14">
        <f>DATE(YEAR(JA110)+5,MONTH(JA110),DAY(JA110))</f>
        <v>47287</v>
      </c>
      <c r="JC110" s="65">
        <f ca="1">JB110-TODAY()</f>
        <v>1156</v>
      </c>
      <c r="JD110" s="15" t="str">
        <f t="shared" ca="1" si="322"/>
        <v>VIGENTE</v>
      </c>
      <c r="JE110" s="13"/>
      <c r="JF110" s="13"/>
      <c r="JG110" s="14"/>
      <c r="JH110" s="65"/>
      <c r="JI110" s="15" t="str">
        <f t="shared" si="323"/>
        <v>NO APLICA</v>
      </c>
      <c r="JJ110" s="16"/>
      <c r="JK110" s="16"/>
      <c r="JL110" s="16"/>
      <c r="JM110" s="15" t="str">
        <f t="shared" si="324"/>
        <v>NO APLICA</v>
      </c>
      <c r="JN110" s="16"/>
      <c r="JO110" s="16"/>
      <c r="JP110" s="16"/>
      <c r="JQ110" s="15" t="str">
        <f t="shared" si="325"/>
        <v>NO APLICA</v>
      </c>
      <c r="JR110" s="16"/>
      <c r="JS110" s="16"/>
      <c r="JT110" s="16"/>
      <c r="JU110" s="16"/>
      <c r="JV110" s="15" t="str">
        <f t="shared" si="326"/>
        <v>NO APLICA</v>
      </c>
      <c r="JW110" s="15"/>
      <c r="JX110" s="13">
        <v>45948</v>
      </c>
      <c r="JY110" s="14">
        <f>DATE(YEAR(JX110)+2,MONTH(JX110),DAY(JX110))</f>
        <v>46678</v>
      </c>
      <c r="JZ110" s="65">
        <f ca="1">JY110-TODAY()</f>
        <v>547</v>
      </c>
      <c r="KA110" s="15" t="str">
        <f t="shared" ca="1" si="327"/>
        <v>VIGENTE</v>
      </c>
      <c r="KB110" s="15"/>
      <c r="KC110" s="14"/>
      <c r="KD110" s="65"/>
      <c r="KE110" s="15" t="str">
        <f t="shared" si="328"/>
        <v>NO APLICA</v>
      </c>
      <c r="KF110" s="15"/>
      <c r="KG110" s="14"/>
      <c r="KH110" s="65"/>
      <c r="KI110" s="15" t="str">
        <f t="shared" si="345"/>
        <v>NO APLICA</v>
      </c>
      <c r="KJ110" s="15"/>
      <c r="KK110" s="14"/>
      <c r="KL110" s="65"/>
      <c r="KM110" s="15" t="str">
        <f t="shared" si="329"/>
        <v>NO APLICA</v>
      </c>
      <c r="KN110" s="13">
        <v>45346</v>
      </c>
      <c r="KO110" s="14">
        <f>DATE(YEAR(KN110)+5,MONTH(KN110),DAY(KN110))</f>
        <v>47173</v>
      </c>
      <c r="KP110" s="65">
        <f ca="1">KO110-TODAY()</f>
        <v>1042</v>
      </c>
      <c r="KQ110" s="15" t="str">
        <f t="shared" ca="1" si="346"/>
        <v>VIGENTE</v>
      </c>
      <c r="KR110" s="14">
        <v>44655</v>
      </c>
      <c r="KS110" s="14">
        <v>44656</v>
      </c>
      <c r="KT110" s="14">
        <f>DATE(YEAR(KS110)+5,MONTH(KS110),DAY(KS110))</f>
        <v>46482</v>
      </c>
      <c r="KU110" s="65">
        <f ca="1">KT110-TODAY()</f>
        <v>351</v>
      </c>
      <c r="KV110" s="15" t="str">
        <f t="shared" ca="1" si="355"/>
        <v>VIGENTE</v>
      </c>
      <c r="KW110" s="16"/>
      <c r="KX110" s="14"/>
      <c r="KY110" s="65"/>
      <c r="KZ110" s="15" t="str">
        <f t="shared" si="347"/>
        <v>NO APLICA</v>
      </c>
      <c r="LA110" s="14">
        <v>44489</v>
      </c>
      <c r="LB110" s="14"/>
      <c r="LC110" s="14"/>
      <c r="LD110" s="65"/>
      <c r="LE110" s="15" t="str">
        <f t="shared" si="330"/>
        <v>NO APLICA</v>
      </c>
      <c r="LF110" s="15"/>
      <c r="LG110" s="15"/>
      <c r="LH110" s="14"/>
      <c r="LI110" s="65"/>
      <c r="LJ110" s="15" t="str">
        <f t="shared" si="356"/>
        <v>NO APLICA</v>
      </c>
      <c r="LK110" s="15"/>
      <c r="LL110" s="16"/>
      <c r="LM110" s="14"/>
      <c r="LN110" s="65"/>
      <c r="LO110" s="15" t="str">
        <f t="shared" si="348"/>
        <v>NO APLICA</v>
      </c>
      <c r="LP110" s="16"/>
      <c r="LQ110" s="16"/>
      <c r="LR110" s="14"/>
      <c r="LS110" s="65"/>
      <c r="LT110" s="15" t="str">
        <f t="shared" si="349"/>
        <v>NO APLICA</v>
      </c>
      <c r="LU110" s="16"/>
      <c r="LV110" s="16"/>
      <c r="LW110" s="14"/>
      <c r="LX110" s="65"/>
      <c r="LY110" s="15" t="str">
        <f t="shared" si="350"/>
        <v>NO APLICA</v>
      </c>
      <c r="LZ110" s="15"/>
      <c r="MA110" s="15"/>
      <c r="MB110" s="14"/>
      <c r="MC110" s="65"/>
      <c r="MD110" s="15" t="str">
        <f t="shared" si="331"/>
        <v>NO APLICA</v>
      </c>
      <c r="ME110" s="15"/>
      <c r="MF110" s="15"/>
      <c r="MG110" s="14"/>
      <c r="MH110" s="65"/>
      <c r="MI110" s="15" t="str">
        <f t="shared" si="332"/>
        <v>NO APLICA</v>
      </c>
      <c r="MJ110" s="13">
        <v>45154</v>
      </c>
      <c r="MK110" s="14">
        <f>DATE(YEAR(MJ110)+5,MONTH(MJ110),DAY(MJ110))</f>
        <v>46981</v>
      </c>
      <c r="ML110" s="65">
        <f ca="1">MK110-TODAY()</f>
        <v>850</v>
      </c>
      <c r="MM110" s="15" t="str">
        <f t="shared" ca="1" si="333"/>
        <v>VIGENTE</v>
      </c>
      <c r="MN110" s="13">
        <v>45155</v>
      </c>
      <c r="MO110" s="14">
        <f>DATE(YEAR(MN110)+5,MONTH(MN110),DAY(MN110))</f>
        <v>46982</v>
      </c>
      <c r="MP110" s="65">
        <f ca="1">MO110-TODAY()</f>
        <v>851</v>
      </c>
      <c r="MQ110" s="15" t="str">
        <f t="shared" ca="1" si="334"/>
        <v>VIGENTE</v>
      </c>
      <c r="MR110" s="15"/>
      <c r="MS110" s="16"/>
      <c r="MT110" s="14"/>
      <c r="MU110" s="65"/>
      <c r="MV110" s="15" t="str">
        <f t="shared" si="335"/>
        <v>NO APLICA</v>
      </c>
      <c r="MW110" s="15"/>
      <c r="MX110" s="16"/>
      <c r="MY110" s="14"/>
      <c r="MZ110" s="65"/>
      <c r="NA110" s="15" t="str">
        <f t="shared" si="336"/>
        <v>NO APLICA</v>
      </c>
      <c r="NB110" s="15"/>
      <c r="NC110" s="16"/>
      <c r="ND110" s="14"/>
      <c r="NE110" s="65"/>
      <c r="NF110" s="15" t="str">
        <f t="shared" si="337"/>
        <v>NO APLICA</v>
      </c>
      <c r="NG110" s="15"/>
      <c r="NH110" s="15"/>
      <c r="NI110" s="14"/>
      <c r="NJ110" s="65"/>
      <c r="NK110" s="15" t="str">
        <f t="shared" si="338"/>
        <v>NO APLICA</v>
      </c>
      <c r="NL110" s="15"/>
      <c r="NM110" s="15"/>
      <c r="NN110" s="15"/>
      <c r="NO110" s="15"/>
      <c r="NP110" s="15" t="str">
        <f t="shared" si="339"/>
        <v>NO APLICA</v>
      </c>
      <c r="NQ110" s="16"/>
      <c r="NR110" s="16"/>
      <c r="NS110" s="14"/>
      <c r="NT110" s="65"/>
      <c r="NU110" s="15" t="str">
        <f t="shared" si="340"/>
        <v>NO APLICA</v>
      </c>
      <c r="NV110" s="16"/>
      <c r="NW110" s="16"/>
      <c r="NX110" s="16"/>
      <c r="NY110" s="16"/>
      <c r="NZ110" s="15" t="str">
        <f t="shared" si="341"/>
        <v>NO APLICA</v>
      </c>
    </row>
    <row r="111" spans="1:390" ht="15.6" thickTop="1" thickBot="1" x14ac:dyDescent="0.35">
      <c r="A111" s="9">
        <v>1594</v>
      </c>
      <c r="B111" s="10" t="s">
        <v>431</v>
      </c>
      <c r="C111" s="21" t="s">
        <v>98</v>
      </c>
      <c r="D111" s="64" t="s">
        <v>432</v>
      </c>
      <c r="E111" s="15"/>
      <c r="F111" s="16"/>
      <c r="G111" s="14"/>
      <c r="H111" s="65"/>
      <c r="I111" s="15" t="str">
        <f t="shared" si="235"/>
        <v>NO APLICA</v>
      </c>
      <c r="J111" s="12"/>
      <c r="K111" s="16"/>
      <c r="L111" s="16"/>
      <c r="M111" s="65"/>
      <c r="N111" s="15" t="str">
        <f t="shared" si="236"/>
        <v>NO APLICA</v>
      </c>
      <c r="O111" s="14">
        <v>45596</v>
      </c>
      <c r="P111" s="14">
        <v>45597</v>
      </c>
      <c r="Q111" s="14">
        <f>DATE(YEAR(P111)+2,MONTH(P111),DAY(P111)-1)</f>
        <v>46326</v>
      </c>
      <c r="R111" s="65">
        <f ca="1">Q111-TODAY()</f>
        <v>195</v>
      </c>
      <c r="S111" s="15" t="str">
        <f t="shared" ca="1" si="342"/>
        <v>VIGENTE</v>
      </c>
      <c r="T111" s="12" t="s">
        <v>433</v>
      </c>
      <c r="U111" s="13">
        <v>44589</v>
      </c>
      <c r="V111" s="14">
        <v>44590</v>
      </c>
      <c r="W111" s="14">
        <f t="shared" si="401"/>
        <v>46416</v>
      </c>
      <c r="X111" s="65">
        <f t="shared" ca="1" si="402"/>
        <v>285</v>
      </c>
      <c r="Y111" s="15" t="str">
        <f t="shared" ca="1" si="403"/>
        <v>VIGENTE</v>
      </c>
      <c r="Z111" s="12" t="s">
        <v>434</v>
      </c>
      <c r="AA111" s="13">
        <v>45189</v>
      </c>
      <c r="AB111" s="14">
        <v>45190</v>
      </c>
      <c r="AC111" s="14">
        <f t="shared" si="404"/>
        <v>47017</v>
      </c>
      <c r="AD111" s="65">
        <f t="shared" ca="1" si="405"/>
        <v>886</v>
      </c>
      <c r="AE111" s="15" t="str">
        <f t="shared" ca="1" si="406"/>
        <v>VIGENTE</v>
      </c>
      <c r="AF111" s="12"/>
      <c r="AG111" s="14">
        <v>45936</v>
      </c>
      <c r="AH111" s="14">
        <f>DATE(YEAR(AG111)+2,MONTH(AG111),DAY(AG111))</f>
        <v>46666</v>
      </c>
      <c r="AI111" s="65">
        <f t="shared" ca="1" si="241"/>
        <v>535</v>
      </c>
      <c r="AJ111" s="15" t="str">
        <f t="shared" ca="1" si="399"/>
        <v>VIGENTE</v>
      </c>
      <c r="AK111" s="12"/>
      <c r="AL111" s="14">
        <v>45937</v>
      </c>
      <c r="AM111" s="14">
        <f t="shared" si="407"/>
        <v>46667</v>
      </c>
      <c r="AN111" s="65">
        <f t="shared" ca="1" si="242"/>
        <v>536</v>
      </c>
      <c r="AO111" s="15" t="str">
        <f t="shared" ca="1" si="243"/>
        <v>VIGENTE</v>
      </c>
      <c r="AP111" s="13">
        <v>45298</v>
      </c>
      <c r="AQ111" s="14">
        <v>45967</v>
      </c>
      <c r="AR111" s="14">
        <f>DATE(YEAR(AQ111)+2,MONTH(AQ111),DAY(AQ111))</f>
        <v>46697</v>
      </c>
      <c r="AS111" s="65">
        <f t="shared" ca="1" si="244"/>
        <v>566</v>
      </c>
      <c r="AT111" s="15" t="str">
        <f t="shared" ca="1" si="245"/>
        <v>VIGENTE</v>
      </c>
      <c r="AU111" s="12"/>
      <c r="AV111" s="14">
        <v>45927</v>
      </c>
      <c r="AW111" s="14">
        <f>DATE(YEAR(AV111)+2,MONTH(AV111),DAY(AV111))</f>
        <v>46657</v>
      </c>
      <c r="AX111" s="65">
        <f t="shared" ca="1" si="246"/>
        <v>526</v>
      </c>
      <c r="AY111" s="15" t="str">
        <f t="shared" ca="1" si="247"/>
        <v>VIGENTE</v>
      </c>
      <c r="AZ111" s="13">
        <v>45387</v>
      </c>
      <c r="BA111" s="14">
        <v>46041</v>
      </c>
      <c r="BB111" s="14">
        <f>DATE(YEAR(BA111)+2,MONTH(BA111),DAY(BA111))</f>
        <v>46771</v>
      </c>
      <c r="BC111" s="65">
        <f t="shared" ca="1" si="248"/>
        <v>640</v>
      </c>
      <c r="BD111" s="15" t="str">
        <f t="shared" ca="1" si="249"/>
        <v>VIGENTE</v>
      </c>
      <c r="BE111" s="13">
        <v>45310</v>
      </c>
      <c r="BF111" s="14">
        <v>45968</v>
      </c>
      <c r="BG111" s="14">
        <f>DATE(YEAR(BF111)+2,MONTH(BF111),DAY(BF111))</f>
        <v>46698</v>
      </c>
      <c r="BH111" s="65">
        <f t="shared" ca="1" si="250"/>
        <v>567</v>
      </c>
      <c r="BI111" s="15" t="str">
        <f t="shared" ca="1" si="251"/>
        <v>VIGENTE</v>
      </c>
      <c r="BJ111" s="13">
        <v>45348</v>
      </c>
      <c r="BK111" s="14">
        <v>46017</v>
      </c>
      <c r="BL111" s="14">
        <f>DATE(YEAR(BK111)+2,MONTH(BK111),DAY(BK111))</f>
        <v>46747</v>
      </c>
      <c r="BM111" s="65">
        <f t="shared" ca="1" si="252"/>
        <v>616</v>
      </c>
      <c r="BN111" s="15" t="str">
        <f t="shared" ca="1" si="253"/>
        <v>VIGENTE</v>
      </c>
      <c r="BO111" s="14">
        <v>45308</v>
      </c>
      <c r="BP111" s="14">
        <v>45981</v>
      </c>
      <c r="BQ111" s="14">
        <f>DATE(YEAR(BP111)+2,MONTH(BP111),DAY(BP111))</f>
        <v>46711</v>
      </c>
      <c r="BR111" s="65">
        <f t="shared" ca="1" si="254"/>
        <v>580</v>
      </c>
      <c r="BS111" s="15" t="str">
        <f t="shared" ca="1" si="255"/>
        <v>VIGENTE</v>
      </c>
      <c r="BT111" s="13">
        <v>45362</v>
      </c>
      <c r="BU111" s="14">
        <v>46031</v>
      </c>
      <c r="BV111" s="14">
        <f>DATE(YEAR(BU111)+2,MONTH(BU111),DAY(BU111))</f>
        <v>46761</v>
      </c>
      <c r="BW111" s="65">
        <f t="shared" ca="1" si="256"/>
        <v>630</v>
      </c>
      <c r="BX111" s="15" t="str">
        <f t="shared" ca="1" si="257"/>
        <v>VIGENTE</v>
      </c>
      <c r="BY111" s="12"/>
      <c r="BZ111" s="14">
        <v>45986</v>
      </c>
      <c r="CA111" s="14">
        <f t="shared" si="415"/>
        <v>46716</v>
      </c>
      <c r="CB111" s="65">
        <f t="shared" ca="1" si="258"/>
        <v>585</v>
      </c>
      <c r="CC111" s="15" t="str">
        <f t="shared" ca="1" si="259"/>
        <v>VIGENTE</v>
      </c>
      <c r="CD111" s="16" t="s">
        <v>183</v>
      </c>
      <c r="CE111" s="14">
        <v>44586</v>
      </c>
      <c r="CF111" s="14">
        <v>44587</v>
      </c>
      <c r="CG111" s="14">
        <f t="shared" si="408"/>
        <v>46048</v>
      </c>
      <c r="CH111" s="65">
        <f t="shared" ca="1" si="409"/>
        <v>-83</v>
      </c>
      <c r="CI111" s="15" t="str">
        <f t="shared" ca="1" si="410"/>
        <v>VENCIDA</v>
      </c>
      <c r="CJ111" s="14">
        <v>45353</v>
      </c>
      <c r="CK111" s="14">
        <v>46018</v>
      </c>
      <c r="CL111" s="14">
        <f>DATE(YEAR(CK111)+2,MONTH(CK111),DAY(CK111))</f>
        <v>46748</v>
      </c>
      <c r="CM111" s="65">
        <f t="shared" ca="1" si="263"/>
        <v>617</v>
      </c>
      <c r="CN111" s="15" t="str">
        <f t="shared" ca="1" si="264"/>
        <v>VIGENTE</v>
      </c>
      <c r="CO111" s="14">
        <v>45305</v>
      </c>
      <c r="CP111" s="14">
        <v>45979</v>
      </c>
      <c r="CQ111" s="14">
        <f>DATE(YEAR(CP111)+2,MONTH(CP111),DAY(CP111))</f>
        <v>46709</v>
      </c>
      <c r="CR111" s="65">
        <f t="shared" ca="1" si="265"/>
        <v>578</v>
      </c>
      <c r="CS111" s="15" t="str">
        <f t="shared" ca="1" si="266"/>
        <v>VIGENTE</v>
      </c>
      <c r="CT111" s="12"/>
      <c r="CU111" s="14">
        <v>45905</v>
      </c>
      <c r="CV111" s="14">
        <f>DATE(YEAR(CU111)+2,MONTH(CU111),DAY(CU111))</f>
        <v>46635</v>
      </c>
      <c r="CW111" s="65">
        <f t="shared" ca="1" si="267"/>
        <v>504</v>
      </c>
      <c r="CX111" s="15" t="str">
        <f t="shared" ca="1" si="268"/>
        <v>VIGENTE</v>
      </c>
      <c r="CY111" s="13"/>
      <c r="CZ111" s="14">
        <v>46000</v>
      </c>
      <c r="DA111" s="14">
        <f>DATE(YEAR(CZ111)+2,MONTH(CZ111),DAY(CZ111))</f>
        <v>46730</v>
      </c>
      <c r="DB111" s="65">
        <f t="shared" ca="1" si="269"/>
        <v>599</v>
      </c>
      <c r="DC111" s="15" t="str">
        <f t="shared" ca="1" si="270"/>
        <v>VIGENTE</v>
      </c>
      <c r="DD111" s="13">
        <v>45328</v>
      </c>
      <c r="DE111" s="14">
        <v>45996</v>
      </c>
      <c r="DF111" s="14">
        <f>DATE(YEAR(DE111)+2,MONTH(DE111),DAY(DE111))</f>
        <v>46726</v>
      </c>
      <c r="DG111" s="65">
        <f t="shared" ca="1" si="271"/>
        <v>595</v>
      </c>
      <c r="DH111" s="15" t="str">
        <f t="shared" ca="1" si="272"/>
        <v>VIGENTE</v>
      </c>
      <c r="DI111" s="14">
        <v>45312</v>
      </c>
      <c r="DJ111" s="14">
        <v>45975</v>
      </c>
      <c r="DK111" s="14">
        <f>DATE(YEAR(DJ111)+2,MONTH(DJ111),DAY(DJ111))</f>
        <v>46705</v>
      </c>
      <c r="DL111" s="65">
        <f t="shared" ca="1" si="273"/>
        <v>574</v>
      </c>
      <c r="DM111" s="15" t="str">
        <f t="shared" ca="1" si="274"/>
        <v>VIGENTE</v>
      </c>
      <c r="DN111" s="13">
        <v>45345</v>
      </c>
      <c r="DO111" s="14">
        <v>45982</v>
      </c>
      <c r="DP111" s="14">
        <f>DATE(YEAR(DO111)+2,MONTH(DO111),DAY(DO111))</f>
        <v>46712</v>
      </c>
      <c r="DQ111" s="65">
        <f t="shared" ca="1" si="275"/>
        <v>581</v>
      </c>
      <c r="DR111" s="15" t="str">
        <f t="shared" ca="1" si="276"/>
        <v>VIGENTE</v>
      </c>
      <c r="DS111" s="14">
        <v>45336</v>
      </c>
      <c r="DT111" s="13">
        <v>46009</v>
      </c>
      <c r="DU111" s="14">
        <f>DATE(YEAR(DT111)+2,MONTH(DT111),DAY(DT111))</f>
        <v>46739</v>
      </c>
      <c r="DV111" s="65">
        <f t="shared" ca="1" si="277"/>
        <v>608</v>
      </c>
      <c r="DW111" s="15" t="str">
        <f t="shared" ca="1" si="278"/>
        <v>VIGENTE</v>
      </c>
      <c r="DX111" s="14">
        <v>45355</v>
      </c>
      <c r="DY111" s="14">
        <v>46032</v>
      </c>
      <c r="DZ111" s="14">
        <f>DATE(YEAR(DY111)+2,MONTH(DY111),DAY(DY111))</f>
        <v>46762</v>
      </c>
      <c r="EA111" s="65">
        <f t="shared" ca="1" si="279"/>
        <v>631</v>
      </c>
      <c r="EB111" s="15" t="str">
        <f t="shared" ca="1" si="280"/>
        <v>VIGENTE</v>
      </c>
      <c r="EC111" s="14">
        <v>45341</v>
      </c>
      <c r="ED111" s="14">
        <v>45994</v>
      </c>
      <c r="EE111" s="14">
        <f>DATE(YEAR(ED111)+2,MONTH(ED111),DAY(ED111))</f>
        <v>46724</v>
      </c>
      <c r="EF111" s="65">
        <f t="shared" ca="1" si="281"/>
        <v>593</v>
      </c>
      <c r="EG111" s="15" t="str">
        <f t="shared" ca="1" si="282"/>
        <v>VIGENTE</v>
      </c>
      <c r="EH111" s="13"/>
      <c r="EI111" s="13">
        <v>46013</v>
      </c>
      <c r="EJ111" s="13">
        <v>46014</v>
      </c>
      <c r="EK111" s="13">
        <v>46015</v>
      </c>
      <c r="EL111" s="14">
        <f t="shared" si="344"/>
        <v>46380</v>
      </c>
      <c r="EM111" s="65">
        <f t="shared" ca="1" si="283"/>
        <v>249</v>
      </c>
      <c r="EN111" s="15" t="str">
        <f t="shared" ca="1" si="284"/>
        <v>VIGENTE</v>
      </c>
      <c r="EO111" s="13">
        <v>45346</v>
      </c>
      <c r="EP111" s="14">
        <v>45983</v>
      </c>
      <c r="EQ111" s="14">
        <f>DATE(YEAR(EP111)+2,MONTH(EP111),DAY(EP111))</f>
        <v>46713</v>
      </c>
      <c r="ER111" s="65">
        <f t="shared" ca="1" si="285"/>
        <v>582</v>
      </c>
      <c r="ES111" s="15" t="str">
        <f t="shared" ca="1" si="286"/>
        <v>VIGENTE</v>
      </c>
      <c r="ET111" s="12"/>
      <c r="EU111" s="14">
        <v>45999</v>
      </c>
      <c r="EV111" s="14">
        <f>DATE(YEAR(EU111)+2,MONTH(EU111),DAY(EU111))</f>
        <v>46729</v>
      </c>
      <c r="EW111" s="65">
        <f t="shared" ca="1" si="287"/>
        <v>598</v>
      </c>
      <c r="EX111" s="15" t="str">
        <f t="shared" ca="1" si="288"/>
        <v>VIGENTE</v>
      </c>
      <c r="EY111" s="13">
        <v>45360</v>
      </c>
      <c r="EZ111" s="14">
        <v>46037</v>
      </c>
      <c r="FA111" s="14">
        <f t="shared" si="416"/>
        <v>46767</v>
      </c>
      <c r="FB111" s="65">
        <f t="shared" ca="1" si="289"/>
        <v>636</v>
      </c>
      <c r="FC111" s="15" t="str">
        <f t="shared" ca="1" si="290"/>
        <v>VIGENTE</v>
      </c>
      <c r="FD111" s="12"/>
      <c r="FE111" s="14">
        <v>45988</v>
      </c>
      <c r="FF111" s="14">
        <f>DATE(YEAR(FE111)+2,MONTH(FE111),DAY(FE111))</f>
        <v>46718</v>
      </c>
      <c r="FG111" s="65">
        <f t="shared" ca="1" si="291"/>
        <v>587</v>
      </c>
      <c r="FH111" s="15" t="str">
        <f t="shared" ca="1" si="292"/>
        <v>VIGENTE</v>
      </c>
      <c r="FI111" s="13">
        <v>45342</v>
      </c>
      <c r="FJ111" s="14">
        <v>45962</v>
      </c>
      <c r="FK111" s="14">
        <f t="shared" si="417"/>
        <v>46692</v>
      </c>
      <c r="FL111" s="65">
        <f t="shared" ca="1" si="293"/>
        <v>561</v>
      </c>
      <c r="FM111" s="15" t="str">
        <f t="shared" ca="1" si="294"/>
        <v>VIGENTE</v>
      </c>
      <c r="FN111" s="14">
        <v>45359</v>
      </c>
      <c r="FO111" s="14">
        <v>46039</v>
      </c>
      <c r="FP111" s="14">
        <f>DATE(YEAR(FO111)+2,MONTH(FO111),DAY(FO111))</f>
        <v>46769</v>
      </c>
      <c r="FQ111" s="65">
        <f t="shared" ca="1" si="295"/>
        <v>638</v>
      </c>
      <c r="FR111" s="15" t="str">
        <f t="shared" ca="1" si="296"/>
        <v>VIGENTE</v>
      </c>
      <c r="FS111" s="14">
        <v>45358</v>
      </c>
      <c r="FT111" s="14">
        <v>46034</v>
      </c>
      <c r="FU111" s="14">
        <f>DATE(YEAR(FT111)+2,MONTH(FT111),DAY(FT111))</f>
        <v>46764</v>
      </c>
      <c r="FV111" s="65">
        <f t="shared" ca="1" si="297"/>
        <v>633</v>
      </c>
      <c r="FW111" s="15" t="str">
        <f t="shared" ca="1" si="298"/>
        <v>VIGENTE</v>
      </c>
      <c r="FX111" s="14">
        <v>45324</v>
      </c>
      <c r="FY111" s="14">
        <v>46004</v>
      </c>
      <c r="FZ111" s="14">
        <f>DATE(YEAR(FY111)+2,MONTH(FY111),DAY(FY111))</f>
        <v>46734</v>
      </c>
      <c r="GA111" s="65">
        <f t="shared" ca="1" si="299"/>
        <v>603</v>
      </c>
      <c r="GB111" s="15" t="str">
        <f t="shared" ca="1" si="300"/>
        <v>VIGENTE</v>
      </c>
      <c r="GC111" s="13"/>
      <c r="GD111" s="14">
        <v>45925</v>
      </c>
      <c r="GE111" s="14">
        <f>DATE(YEAR(GD111)+2,MONTH(GD111),DAY(GD111))</f>
        <v>46655</v>
      </c>
      <c r="GF111" s="65">
        <f t="shared" ca="1" si="301"/>
        <v>524</v>
      </c>
      <c r="GG111" s="15" t="str">
        <f t="shared" ca="1" si="302"/>
        <v>VIGENTE</v>
      </c>
      <c r="GH111" s="13">
        <v>45332</v>
      </c>
      <c r="GI111" s="14">
        <v>45960</v>
      </c>
      <c r="GJ111" s="14">
        <f>DATE(YEAR(GI111)+2,MONTH(GI111),DAY(GI111))</f>
        <v>46690</v>
      </c>
      <c r="GK111" s="65">
        <f t="shared" ca="1" si="303"/>
        <v>559</v>
      </c>
      <c r="GL111" s="15" t="str">
        <f t="shared" ca="1" si="304"/>
        <v>VIGENTE</v>
      </c>
      <c r="GM111" s="13">
        <v>45368</v>
      </c>
      <c r="GN111" s="14">
        <v>46044</v>
      </c>
      <c r="GO111" s="14">
        <f>DATE(YEAR(GN111)+2,MONTH(GN111),DAY(GN111))</f>
        <v>46774</v>
      </c>
      <c r="GP111" s="65">
        <f t="shared" ca="1" si="305"/>
        <v>643</v>
      </c>
      <c r="GQ111" s="15" t="str">
        <f t="shared" ca="1" si="306"/>
        <v>VIGENTE</v>
      </c>
      <c r="GR111" s="14"/>
      <c r="GS111" s="14">
        <v>45299</v>
      </c>
      <c r="GT111" s="14">
        <f t="shared" si="307"/>
        <v>47126</v>
      </c>
      <c r="GU111" s="65">
        <f t="shared" ca="1" si="398"/>
        <v>995</v>
      </c>
      <c r="GV111" s="15" t="str">
        <f t="shared" ca="1" si="411"/>
        <v>VIGENTE</v>
      </c>
      <c r="GW111" s="13"/>
      <c r="GX111" s="14">
        <v>45329</v>
      </c>
      <c r="GY111" s="14">
        <f t="shared" si="309"/>
        <v>47156</v>
      </c>
      <c r="GZ111" s="65">
        <f t="shared" ca="1" si="310"/>
        <v>1025</v>
      </c>
      <c r="HA111" s="15" t="str">
        <f t="shared" ca="1" si="412"/>
        <v>VIGENTE</v>
      </c>
      <c r="HB111" s="12"/>
      <c r="HC111" s="14">
        <v>45343</v>
      </c>
      <c r="HD111" s="14">
        <f t="shared" si="312"/>
        <v>47170</v>
      </c>
      <c r="HE111" s="65">
        <f t="shared" ca="1" si="313"/>
        <v>1039</v>
      </c>
      <c r="HF111" s="15" t="str">
        <f t="shared" ca="1" si="413"/>
        <v>VIGENTE</v>
      </c>
      <c r="HG111" s="16"/>
      <c r="HH111" s="14">
        <v>45317</v>
      </c>
      <c r="HI111" s="14">
        <f t="shared" si="396"/>
        <v>47144</v>
      </c>
      <c r="HJ111" s="65">
        <f t="shared" ca="1" si="397"/>
        <v>1013</v>
      </c>
      <c r="HK111" s="15" t="str">
        <f t="shared" ca="1" si="414"/>
        <v>VIGENTE</v>
      </c>
      <c r="HL111" s="12"/>
      <c r="HM111" s="16"/>
      <c r="HN111" s="14"/>
      <c r="HO111" s="65"/>
      <c r="HP111" s="15" t="str">
        <f t="shared" si="400"/>
        <v>NO APLICA</v>
      </c>
      <c r="HQ111" s="12"/>
      <c r="HR111" s="12"/>
      <c r="HS111" s="14"/>
      <c r="HT111" s="12"/>
      <c r="HU111" s="15" t="str">
        <f t="shared" si="315"/>
        <v>NO APLICA</v>
      </c>
      <c r="HV111" s="12"/>
      <c r="HW111" s="16"/>
      <c r="HX111" s="14"/>
      <c r="HY111" s="65"/>
      <c r="HZ111" s="15" t="str">
        <f t="shared" si="316"/>
        <v>NO APLICA</v>
      </c>
      <c r="IA111" s="12"/>
      <c r="IB111" s="16"/>
      <c r="IC111" s="14"/>
      <c r="ID111" s="65"/>
      <c r="IE111" s="15" t="str">
        <f t="shared" si="317"/>
        <v>NO APLICA</v>
      </c>
      <c r="IF111" s="12"/>
      <c r="IG111" s="16"/>
      <c r="IH111" s="14"/>
      <c r="II111" s="65"/>
      <c r="IJ111" s="15" t="str">
        <f t="shared" si="318"/>
        <v>NO APLICA</v>
      </c>
      <c r="IK111" s="16"/>
      <c r="IL111" s="16"/>
      <c r="IM111" s="14"/>
      <c r="IN111" s="65"/>
      <c r="IO111" s="15" t="str">
        <f t="shared" si="319"/>
        <v>NO APLICA</v>
      </c>
      <c r="IP111" s="12"/>
      <c r="IQ111" s="16"/>
      <c r="IR111" s="14"/>
      <c r="IS111" s="65"/>
      <c r="IT111" s="15" t="str">
        <f t="shared" si="320"/>
        <v>NO APLICA</v>
      </c>
      <c r="IU111" s="12"/>
      <c r="IV111" s="16"/>
      <c r="IW111" s="14"/>
      <c r="IX111" s="65"/>
      <c r="IY111" s="15" t="str">
        <f t="shared" si="321"/>
        <v>NO APLICA</v>
      </c>
      <c r="IZ111" s="12"/>
      <c r="JA111" s="16"/>
      <c r="JB111" s="14"/>
      <c r="JC111" s="65"/>
      <c r="JD111" s="15" t="str">
        <f t="shared" si="322"/>
        <v>NO APLICA</v>
      </c>
      <c r="JE111" s="13"/>
      <c r="JF111" s="13"/>
      <c r="JG111" s="14"/>
      <c r="JH111" s="65"/>
      <c r="JI111" s="15" t="str">
        <f t="shared" si="323"/>
        <v>NO APLICA</v>
      </c>
      <c r="JJ111" s="16"/>
      <c r="JK111" s="16"/>
      <c r="JL111" s="16"/>
      <c r="JM111" s="15" t="str">
        <f t="shared" si="324"/>
        <v>NO APLICA</v>
      </c>
      <c r="JN111" s="16"/>
      <c r="JO111" s="16"/>
      <c r="JP111" s="16"/>
      <c r="JQ111" s="15" t="str">
        <f t="shared" si="325"/>
        <v>NO APLICA</v>
      </c>
      <c r="JR111" s="16"/>
      <c r="JS111" s="16"/>
      <c r="JT111" s="16"/>
      <c r="JU111" s="16"/>
      <c r="JV111" s="15" t="str">
        <f t="shared" si="326"/>
        <v>NO APLICA</v>
      </c>
      <c r="JW111" s="15"/>
      <c r="JX111" s="15"/>
      <c r="JY111" s="15"/>
      <c r="JZ111" s="15"/>
      <c r="KA111" s="15" t="str">
        <f t="shared" si="327"/>
        <v>NO APLICA</v>
      </c>
      <c r="KB111" s="12"/>
      <c r="KC111" s="14"/>
      <c r="KD111" s="65"/>
      <c r="KE111" s="15" t="str">
        <f t="shared" si="328"/>
        <v>NO APLICA</v>
      </c>
      <c r="KF111" s="12"/>
      <c r="KG111" s="14"/>
      <c r="KH111" s="65"/>
      <c r="KI111" s="15" t="str">
        <f t="shared" si="345"/>
        <v>NO APLICA</v>
      </c>
      <c r="KJ111" s="12"/>
      <c r="KK111" s="14"/>
      <c r="KL111" s="65"/>
      <c r="KM111" s="15" t="str">
        <f t="shared" si="329"/>
        <v>NO APLICA</v>
      </c>
      <c r="KN111" s="12"/>
      <c r="KO111" s="14"/>
      <c r="KP111" s="65"/>
      <c r="KQ111" s="15" t="str">
        <f t="shared" si="346"/>
        <v>NO APLICA</v>
      </c>
      <c r="KR111" s="12"/>
      <c r="KS111" s="16"/>
      <c r="KT111" s="14"/>
      <c r="KU111" s="65"/>
      <c r="KV111" s="15" t="str">
        <f t="shared" si="355"/>
        <v>NO APLICA</v>
      </c>
      <c r="KW111" s="16"/>
      <c r="KX111" s="14"/>
      <c r="KY111" s="65"/>
      <c r="KZ111" s="15" t="str">
        <f t="shared" si="347"/>
        <v>NO APLICA</v>
      </c>
      <c r="LA111" s="16"/>
      <c r="LB111" s="16"/>
      <c r="LC111" s="14"/>
      <c r="LD111" s="65"/>
      <c r="LE111" s="15" t="str">
        <f t="shared" si="330"/>
        <v>NO APLICA</v>
      </c>
      <c r="LF111" s="15"/>
      <c r="LG111" s="15"/>
      <c r="LH111" s="14"/>
      <c r="LI111" s="65"/>
      <c r="LJ111" s="15" t="str">
        <f t="shared" si="356"/>
        <v>NO APLICA</v>
      </c>
      <c r="LK111" s="12"/>
      <c r="LL111" s="16"/>
      <c r="LM111" s="14"/>
      <c r="LN111" s="65"/>
      <c r="LO111" s="15" t="str">
        <f t="shared" si="348"/>
        <v>NO APLICA</v>
      </c>
      <c r="LP111" s="16"/>
      <c r="LQ111" s="16"/>
      <c r="LR111" s="14"/>
      <c r="LS111" s="65"/>
      <c r="LT111" s="15" t="str">
        <f t="shared" si="349"/>
        <v>NO APLICA</v>
      </c>
      <c r="LU111" s="16"/>
      <c r="LV111" s="16"/>
      <c r="LW111" s="14"/>
      <c r="LX111" s="65"/>
      <c r="LY111" s="15" t="str">
        <f t="shared" si="350"/>
        <v>NO APLICA</v>
      </c>
      <c r="LZ111" s="12"/>
      <c r="MA111" s="12"/>
      <c r="MB111" s="14"/>
      <c r="MC111" s="65"/>
      <c r="MD111" s="15" t="str">
        <f t="shared" si="331"/>
        <v>NO APLICA</v>
      </c>
      <c r="ME111" s="12"/>
      <c r="MF111" s="12"/>
      <c r="MG111" s="14"/>
      <c r="MH111" s="65"/>
      <c r="MI111" s="15" t="str">
        <f t="shared" si="332"/>
        <v>NO APLICA</v>
      </c>
      <c r="MJ111" s="12"/>
      <c r="MK111" s="14"/>
      <c r="ML111" s="65"/>
      <c r="MM111" s="15" t="str">
        <f t="shared" si="333"/>
        <v>NO APLICA</v>
      </c>
      <c r="MN111" s="12"/>
      <c r="MO111" s="14"/>
      <c r="MP111" s="12"/>
      <c r="MQ111" s="15" t="str">
        <f t="shared" si="334"/>
        <v>NO APLICA</v>
      </c>
      <c r="MR111" s="12"/>
      <c r="MS111" s="16"/>
      <c r="MT111" s="14"/>
      <c r="MU111" s="65"/>
      <c r="MV111" s="15" t="str">
        <f t="shared" si="335"/>
        <v>NO APLICA</v>
      </c>
      <c r="MW111" s="12"/>
      <c r="MX111" s="16"/>
      <c r="MY111" s="14"/>
      <c r="MZ111" s="65"/>
      <c r="NA111" s="15" t="str">
        <f t="shared" si="336"/>
        <v>NO APLICA</v>
      </c>
      <c r="NB111" s="12"/>
      <c r="NC111" s="16"/>
      <c r="ND111" s="14"/>
      <c r="NE111" s="65"/>
      <c r="NF111" s="15" t="str">
        <f t="shared" si="337"/>
        <v>NO APLICA</v>
      </c>
      <c r="NG111" s="12"/>
      <c r="NH111" s="12"/>
      <c r="NI111" s="14"/>
      <c r="NJ111" s="65"/>
      <c r="NK111" s="15" t="str">
        <f t="shared" si="338"/>
        <v>NO APLICA</v>
      </c>
      <c r="NL111" s="12"/>
      <c r="NM111" s="12"/>
      <c r="NN111" s="14"/>
      <c r="NO111" s="12"/>
      <c r="NP111" s="15" t="str">
        <f t="shared" si="339"/>
        <v>NO APLICA</v>
      </c>
      <c r="NQ111" s="16"/>
      <c r="NR111" s="14">
        <v>45568</v>
      </c>
      <c r="NS111" s="14">
        <f>DATE(YEAR(NR111)+2,MONTH(NR111),DAY(NR111))</f>
        <v>46298</v>
      </c>
      <c r="NT111" s="65">
        <f ca="1">NS111-TODAY()</f>
        <v>167</v>
      </c>
      <c r="NU111" s="15" t="str">
        <f t="shared" ca="1" si="340"/>
        <v>VIGENTE</v>
      </c>
      <c r="NV111" s="14">
        <v>44760</v>
      </c>
      <c r="NW111" s="14">
        <v>44762</v>
      </c>
      <c r="NX111" s="14">
        <f>DATE(YEAR(NW111)+5,MONTH(NW111),DAY(NW111))</f>
        <v>46588</v>
      </c>
      <c r="NY111" s="65">
        <f ca="1">NX111-TODAY()</f>
        <v>457</v>
      </c>
      <c r="NZ111" s="15" t="str">
        <f t="shared" ca="1" si="341"/>
        <v>VIGENTE</v>
      </c>
    </row>
    <row r="112" spans="1:390" ht="15.6" thickTop="1" thickBot="1" x14ac:dyDescent="0.35">
      <c r="A112" s="9">
        <v>1485</v>
      </c>
      <c r="B112" s="10" t="s">
        <v>435</v>
      </c>
      <c r="C112" s="21" t="s">
        <v>104</v>
      </c>
      <c r="D112" s="64" t="s">
        <v>131</v>
      </c>
      <c r="E112" s="15"/>
      <c r="F112" s="16"/>
      <c r="G112" s="14"/>
      <c r="H112" s="65"/>
      <c r="I112" s="15" t="str">
        <f t="shared" si="235"/>
        <v>NO APLICA</v>
      </c>
      <c r="J112" s="15"/>
      <c r="K112" s="16"/>
      <c r="L112" s="16"/>
      <c r="M112" s="65"/>
      <c r="N112" s="15" t="str">
        <f t="shared" si="236"/>
        <v>NO APLICA</v>
      </c>
      <c r="O112" s="16"/>
      <c r="P112" s="16"/>
      <c r="Q112" s="14"/>
      <c r="R112" s="65"/>
      <c r="S112" s="15" t="str">
        <f t="shared" si="342"/>
        <v>NO APLICA</v>
      </c>
      <c r="T112" s="12" t="s">
        <v>436</v>
      </c>
      <c r="U112" s="13">
        <v>44828</v>
      </c>
      <c r="V112" s="14">
        <v>44829</v>
      </c>
      <c r="W112" s="14">
        <f t="shared" si="401"/>
        <v>46655</v>
      </c>
      <c r="X112" s="65">
        <f t="shared" ca="1" si="402"/>
        <v>524</v>
      </c>
      <c r="Y112" s="15" t="str">
        <f t="shared" ca="1" si="403"/>
        <v>VIGENTE</v>
      </c>
      <c r="Z112" s="12" t="s">
        <v>437</v>
      </c>
      <c r="AA112" s="13">
        <v>44602</v>
      </c>
      <c r="AB112" s="14">
        <v>44603</v>
      </c>
      <c r="AC112" s="14">
        <f t="shared" si="404"/>
        <v>46429</v>
      </c>
      <c r="AD112" s="65">
        <f t="shared" ca="1" si="405"/>
        <v>298</v>
      </c>
      <c r="AE112" s="15" t="str">
        <f t="shared" ca="1" si="406"/>
        <v>VIGENTE</v>
      </c>
      <c r="AF112" s="13">
        <v>44935</v>
      </c>
      <c r="AG112" s="14">
        <v>45589</v>
      </c>
      <c r="AH112" s="14">
        <f>DATE(YEAR(AG112)+2,MONTH(AG112),DAY(AG112)-1)</f>
        <v>46318</v>
      </c>
      <c r="AI112" s="65">
        <f t="shared" ca="1" si="241"/>
        <v>187</v>
      </c>
      <c r="AJ112" s="15" t="str">
        <f t="shared" ca="1" si="399"/>
        <v>VIGENTE</v>
      </c>
      <c r="AK112" s="13">
        <v>45286</v>
      </c>
      <c r="AL112" s="14">
        <v>45959</v>
      </c>
      <c r="AM112" s="14">
        <f t="shared" si="407"/>
        <v>46689</v>
      </c>
      <c r="AN112" s="65">
        <f t="shared" ca="1" si="242"/>
        <v>558</v>
      </c>
      <c r="AO112" s="15" t="str">
        <f t="shared" ca="1" si="243"/>
        <v>VIGENTE</v>
      </c>
      <c r="AP112" s="13">
        <v>45091</v>
      </c>
      <c r="AQ112" s="14">
        <v>45740</v>
      </c>
      <c r="AR112" s="14">
        <f>DATE(YEAR(AQ112)+2,MONTH(AQ112),DAY(AQ112)-1)</f>
        <v>46469</v>
      </c>
      <c r="AS112" s="65">
        <f t="shared" ca="1" si="244"/>
        <v>338</v>
      </c>
      <c r="AT112" s="15" t="str">
        <f t="shared" ca="1" si="245"/>
        <v>VIGENTE</v>
      </c>
      <c r="AU112" s="13">
        <v>45072</v>
      </c>
      <c r="AV112" s="14">
        <v>45702</v>
      </c>
      <c r="AW112" s="14">
        <f>DATE(YEAR(AV112)+2,MONTH(AV112),DAY(AV112)-1)</f>
        <v>46431</v>
      </c>
      <c r="AX112" s="65">
        <f t="shared" ca="1" si="246"/>
        <v>300</v>
      </c>
      <c r="AY112" s="15" t="str">
        <f t="shared" ca="1" si="247"/>
        <v>VIGENTE</v>
      </c>
      <c r="AZ112" s="13">
        <v>45030</v>
      </c>
      <c r="BA112" s="14">
        <v>45708</v>
      </c>
      <c r="BB112" s="14">
        <f>DATE(YEAR(BA112)+2,MONTH(BA112),DAY(BA112)-1)</f>
        <v>46437</v>
      </c>
      <c r="BC112" s="65">
        <f t="shared" ca="1" si="248"/>
        <v>306</v>
      </c>
      <c r="BD112" s="15" t="str">
        <f t="shared" ca="1" si="249"/>
        <v>VIGENTE</v>
      </c>
      <c r="BE112" s="13">
        <v>45050</v>
      </c>
      <c r="BF112" s="14">
        <v>45673</v>
      </c>
      <c r="BG112" s="14">
        <f>DATE(YEAR(BF112)+2,MONTH(BF112),DAY(BF112)-1)</f>
        <v>46402</v>
      </c>
      <c r="BH112" s="65">
        <f t="shared" ca="1" si="250"/>
        <v>271</v>
      </c>
      <c r="BI112" s="15" t="str">
        <f t="shared" ca="1" si="251"/>
        <v>VIGENTE</v>
      </c>
      <c r="BJ112" s="13">
        <v>44729</v>
      </c>
      <c r="BK112" s="14">
        <v>46051</v>
      </c>
      <c r="BL112" s="14">
        <f>DATE(YEAR(BK112)+2,MONTH(BK112),DAY(BK112))</f>
        <v>46781</v>
      </c>
      <c r="BM112" s="65">
        <f t="shared" ca="1" si="252"/>
        <v>650</v>
      </c>
      <c r="BN112" s="15" t="str">
        <f t="shared" ca="1" si="253"/>
        <v>VIGENTE</v>
      </c>
      <c r="BO112" s="13">
        <v>45073</v>
      </c>
      <c r="BP112" s="14">
        <v>45701</v>
      </c>
      <c r="BQ112" s="14">
        <f>DATE(YEAR(BP112)+2,MONTH(BP112),DAY(BP112)-1)</f>
        <v>46430</v>
      </c>
      <c r="BR112" s="65">
        <f t="shared" ca="1" si="254"/>
        <v>299</v>
      </c>
      <c r="BS112" s="15" t="str">
        <f t="shared" ca="1" si="255"/>
        <v>VIGENTE</v>
      </c>
      <c r="BT112" s="13">
        <v>45034</v>
      </c>
      <c r="BU112" s="14">
        <v>45695</v>
      </c>
      <c r="BV112" s="14">
        <f>DATE(YEAR(BU112)+2,MONTH(BU112),DAY(BU112)-1)</f>
        <v>46424</v>
      </c>
      <c r="BW112" s="65">
        <f t="shared" ca="1" si="256"/>
        <v>293</v>
      </c>
      <c r="BX112" s="15" t="str">
        <f t="shared" ca="1" si="257"/>
        <v>VIGENTE</v>
      </c>
      <c r="BY112" s="13">
        <v>44629</v>
      </c>
      <c r="BZ112" s="14">
        <v>45944</v>
      </c>
      <c r="CA112" s="14">
        <f t="shared" si="415"/>
        <v>46674</v>
      </c>
      <c r="CB112" s="65">
        <f t="shared" ca="1" si="258"/>
        <v>543</v>
      </c>
      <c r="CC112" s="15" t="str">
        <f t="shared" ca="1" si="259"/>
        <v>VIGENTE</v>
      </c>
      <c r="CD112" s="16" t="s">
        <v>108</v>
      </c>
      <c r="CE112" s="14">
        <v>45210</v>
      </c>
      <c r="CF112" s="14">
        <v>45211</v>
      </c>
      <c r="CG112" s="14">
        <f t="shared" si="408"/>
        <v>46672</v>
      </c>
      <c r="CH112" s="65">
        <f t="shared" ca="1" si="409"/>
        <v>541</v>
      </c>
      <c r="CI112" s="15" t="str">
        <f t="shared" ca="1" si="410"/>
        <v>VIGENTE</v>
      </c>
      <c r="CJ112" s="14">
        <v>45085</v>
      </c>
      <c r="CK112" s="14">
        <v>45723</v>
      </c>
      <c r="CL112" s="14">
        <f>DATE(YEAR(CK112)+2,MONTH(CK112),DAY(CK112)-1)</f>
        <v>46452</v>
      </c>
      <c r="CM112" s="65">
        <f t="shared" ca="1" si="263"/>
        <v>321</v>
      </c>
      <c r="CN112" s="15" t="str">
        <f t="shared" ca="1" si="264"/>
        <v>VIGENTE</v>
      </c>
      <c r="CO112" s="13">
        <v>45087</v>
      </c>
      <c r="CP112" s="14">
        <v>45726</v>
      </c>
      <c r="CQ112" s="14">
        <f>DATE(YEAR(CP112)+2,MONTH(CP112),DAY(CP112)-1)</f>
        <v>46455</v>
      </c>
      <c r="CR112" s="65">
        <f t="shared" ca="1" si="265"/>
        <v>324</v>
      </c>
      <c r="CS112" s="15" t="str">
        <f t="shared" ca="1" si="266"/>
        <v>VIGENTE</v>
      </c>
      <c r="CT112" s="13">
        <v>44971</v>
      </c>
      <c r="CU112" s="14">
        <v>45645</v>
      </c>
      <c r="CV112" s="14">
        <f>DATE(YEAR(CU112)+2,MONTH(CU112),DAY(CU112)-1)</f>
        <v>46374</v>
      </c>
      <c r="CW112" s="65">
        <f t="shared" ca="1" si="267"/>
        <v>243</v>
      </c>
      <c r="CX112" s="15" t="str">
        <f t="shared" ca="1" si="268"/>
        <v>VIGENTE</v>
      </c>
      <c r="CY112" s="13">
        <v>44992</v>
      </c>
      <c r="CZ112" s="14">
        <v>45661</v>
      </c>
      <c r="DA112" s="14">
        <f>DATE(YEAR(CZ112)+2,MONTH(CZ112),DAY(CZ112)-1)</f>
        <v>46390</v>
      </c>
      <c r="DB112" s="65">
        <f t="shared" ca="1" si="269"/>
        <v>259</v>
      </c>
      <c r="DC112" s="15" t="str">
        <f t="shared" ca="1" si="270"/>
        <v>VIGENTE</v>
      </c>
      <c r="DD112" s="13">
        <v>45026</v>
      </c>
      <c r="DE112" s="14">
        <v>45689</v>
      </c>
      <c r="DF112" s="14">
        <f>DATE(YEAR(DE112)+2,MONTH(DE112),DAY(DE112)-1)</f>
        <v>46418</v>
      </c>
      <c r="DG112" s="65">
        <f t="shared" ca="1" si="271"/>
        <v>287</v>
      </c>
      <c r="DH112" s="15" t="str">
        <f t="shared" ca="1" si="272"/>
        <v>VIGENTE</v>
      </c>
      <c r="DI112" s="13">
        <v>45058</v>
      </c>
      <c r="DJ112" s="14">
        <v>45696</v>
      </c>
      <c r="DK112" s="14">
        <f>DATE(YEAR(DJ112)+2,MONTH(DJ112),DAY(DJ112)-1)</f>
        <v>46425</v>
      </c>
      <c r="DL112" s="65">
        <f t="shared" ca="1" si="273"/>
        <v>294</v>
      </c>
      <c r="DM112" s="15" t="str">
        <f t="shared" ca="1" si="274"/>
        <v>VIGENTE</v>
      </c>
      <c r="DN112" s="13">
        <v>45345</v>
      </c>
      <c r="DO112" s="14">
        <v>45982</v>
      </c>
      <c r="DP112" s="14">
        <f>DATE(YEAR(DO112)+2,MONTH(DO112),DAY(DO112))</f>
        <v>46712</v>
      </c>
      <c r="DQ112" s="65">
        <f t="shared" ca="1" si="275"/>
        <v>581</v>
      </c>
      <c r="DR112" s="15" t="str">
        <f t="shared" ca="1" si="276"/>
        <v>VIGENTE</v>
      </c>
      <c r="DS112" s="13">
        <v>45097</v>
      </c>
      <c r="DT112" s="14">
        <v>45728</v>
      </c>
      <c r="DU112" s="14">
        <f>DATE(YEAR(DT112)+2,MONTH(DT112),DAY(DT112)-1)</f>
        <v>46457</v>
      </c>
      <c r="DV112" s="65">
        <f t="shared" ca="1" si="277"/>
        <v>326</v>
      </c>
      <c r="DW112" s="15" t="str">
        <f t="shared" ca="1" si="278"/>
        <v>VIGENTE</v>
      </c>
      <c r="DX112" s="14">
        <v>45064</v>
      </c>
      <c r="DY112" s="14">
        <v>45682</v>
      </c>
      <c r="DZ112" s="14">
        <f>DATE(YEAR(DY112)+2,MONTH(DY112),DAY(DY112)-1)</f>
        <v>46411</v>
      </c>
      <c r="EA112" s="65">
        <f t="shared" ca="1" si="279"/>
        <v>280</v>
      </c>
      <c r="EB112" s="15" t="str">
        <f t="shared" ca="1" si="280"/>
        <v>VIGENTE</v>
      </c>
      <c r="EC112" s="13">
        <v>45061</v>
      </c>
      <c r="ED112" s="14">
        <v>45674</v>
      </c>
      <c r="EE112" s="14">
        <f>DATE(YEAR(ED112)+2,MONTH(ED112),DAY(ED112)-1)</f>
        <v>46403</v>
      </c>
      <c r="EF112" s="65">
        <f t="shared" ca="1" si="281"/>
        <v>272</v>
      </c>
      <c r="EG112" s="15" t="str">
        <f t="shared" ca="1" si="282"/>
        <v>VIGENTE</v>
      </c>
      <c r="EH112" s="13">
        <v>45675</v>
      </c>
      <c r="EI112" s="13">
        <v>45806</v>
      </c>
      <c r="EJ112" s="13">
        <v>45807</v>
      </c>
      <c r="EK112" s="14">
        <v>45808</v>
      </c>
      <c r="EL112" s="14">
        <f t="shared" si="344"/>
        <v>46173</v>
      </c>
      <c r="EM112" s="65">
        <f t="shared" ca="1" si="283"/>
        <v>42</v>
      </c>
      <c r="EN112" s="15" t="str">
        <f t="shared" ca="1" si="284"/>
        <v>POR VENCER</v>
      </c>
      <c r="EO112" s="13">
        <v>45092</v>
      </c>
      <c r="EP112" s="14">
        <v>45737</v>
      </c>
      <c r="EQ112" s="14">
        <f>DATE(YEAR(EP112)+2,MONTH(EP112),DAY(EP112)-1)</f>
        <v>46466</v>
      </c>
      <c r="ER112" s="65">
        <f t="shared" ca="1" si="285"/>
        <v>335</v>
      </c>
      <c r="ES112" s="15" t="str">
        <f t="shared" ca="1" si="286"/>
        <v>VIGENTE</v>
      </c>
      <c r="ET112" s="13">
        <v>45012</v>
      </c>
      <c r="EU112" s="14">
        <v>45677</v>
      </c>
      <c r="EV112" s="14">
        <f>DATE(YEAR(EU112)+2,MONTH(EU112),DAY(EU112)-1)</f>
        <v>46406</v>
      </c>
      <c r="EW112" s="65">
        <f t="shared" ca="1" si="287"/>
        <v>275</v>
      </c>
      <c r="EX112" s="15" t="str">
        <f t="shared" ca="1" si="288"/>
        <v>VIGENTE</v>
      </c>
      <c r="EY112" s="13">
        <v>44630</v>
      </c>
      <c r="EZ112" s="14">
        <v>45953</v>
      </c>
      <c r="FA112" s="14">
        <f t="shared" si="416"/>
        <v>46683</v>
      </c>
      <c r="FB112" s="65">
        <f t="shared" ca="1" si="289"/>
        <v>552</v>
      </c>
      <c r="FC112" s="15" t="str">
        <f t="shared" ca="1" si="290"/>
        <v>VIGENTE</v>
      </c>
      <c r="FD112" s="13">
        <v>44629</v>
      </c>
      <c r="FE112" s="14">
        <v>45951</v>
      </c>
      <c r="FF112" s="14">
        <f>DATE(YEAR(FE112)+2,MONTH(FE112),DAY(FE112))</f>
        <v>46681</v>
      </c>
      <c r="FG112" s="65">
        <f t="shared" ca="1" si="291"/>
        <v>550</v>
      </c>
      <c r="FH112" s="15" t="str">
        <f t="shared" ca="1" si="292"/>
        <v>VIGENTE</v>
      </c>
      <c r="FI112" s="13">
        <v>45282</v>
      </c>
      <c r="FJ112" s="14">
        <v>45932</v>
      </c>
      <c r="FK112" s="14">
        <f t="shared" si="417"/>
        <v>46662</v>
      </c>
      <c r="FL112" s="65">
        <f t="shared" ca="1" si="293"/>
        <v>531</v>
      </c>
      <c r="FM112" s="15" t="str">
        <f t="shared" ca="1" si="294"/>
        <v>VIGENTE</v>
      </c>
      <c r="FN112" s="13">
        <v>45084</v>
      </c>
      <c r="FO112" s="14">
        <v>45738</v>
      </c>
      <c r="FP112" s="14">
        <f>DATE(YEAR(FO112)+2,MONTH(FO112),DAY(FO112)-1)</f>
        <v>46467</v>
      </c>
      <c r="FQ112" s="65">
        <f t="shared" ca="1" si="295"/>
        <v>336</v>
      </c>
      <c r="FR112" s="15" t="str">
        <f t="shared" ca="1" si="296"/>
        <v>VIGENTE</v>
      </c>
      <c r="FS112" s="13">
        <v>45018</v>
      </c>
      <c r="FT112" s="14">
        <v>45678</v>
      </c>
      <c r="FU112" s="14">
        <f>DATE(YEAR(FT112)+2,MONTH(FT112),DAY(FT112)-1)</f>
        <v>46407</v>
      </c>
      <c r="FV112" s="65">
        <f t="shared" ca="1" si="297"/>
        <v>276</v>
      </c>
      <c r="FW112" s="15" t="str">
        <f t="shared" ca="1" si="298"/>
        <v>VIGENTE</v>
      </c>
      <c r="FX112" s="13">
        <v>44965</v>
      </c>
      <c r="FY112" s="14">
        <v>45574</v>
      </c>
      <c r="FZ112" s="14">
        <f>DATE(YEAR(FY112)+2,MONTH(FY112),DAY(FY112)-1)</f>
        <v>46303</v>
      </c>
      <c r="GA112" s="65">
        <f t="shared" ca="1" si="299"/>
        <v>172</v>
      </c>
      <c r="GB112" s="15" t="str">
        <f t="shared" ca="1" si="300"/>
        <v>VIGENTE</v>
      </c>
      <c r="GC112" s="13">
        <v>44995</v>
      </c>
      <c r="GD112" s="14">
        <v>45667</v>
      </c>
      <c r="GE112" s="14">
        <f>DATE(YEAR(GD112)+2,MONTH(GD112),DAY(GD112)-1)</f>
        <v>46396</v>
      </c>
      <c r="GF112" s="65">
        <f t="shared" ca="1" si="301"/>
        <v>265</v>
      </c>
      <c r="GG112" s="15" t="str">
        <f t="shared" ca="1" si="302"/>
        <v>VIGENTE</v>
      </c>
      <c r="GH112" s="13">
        <v>45001</v>
      </c>
      <c r="GI112" s="14">
        <v>45672</v>
      </c>
      <c r="GJ112" s="14">
        <f>DATE(YEAR(GI112)+2,MONTH(GI112),DAY(GI112)-1)</f>
        <v>46401</v>
      </c>
      <c r="GK112" s="65">
        <f t="shared" ca="1" si="303"/>
        <v>270</v>
      </c>
      <c r="GL112" s="15" t="str">
        <f t="shared" ca="1" si="304"/>
        <v>VIGENTE</v>
      </c>
      <c r="GM112" s="13">
        <v>44568</v>
      </c>
      <c r="GN112" s="14">
        <v>45945</v>
      </c>
      <c r="GO112" s="14">
        <f>DATE(YEAR(GN112)+2,MONTH(GN112),DAY(GN112))</f>
        <v>46675</v>
      </c>
      <c r="GP112" s="65">
        <f t="shared" ca="1" si="305"/>
        <v>544</v>
      </c>
      <c r="GQ112" s="15" t="str">
        <f t="shared" ca="1" si="306"/>
        <v>VIGENTE</v>
      </c>
      <c r="GR112" s="14">
        <v>44265</v>
      </c>
      <c r="GS112" s="14">
        <v>44966</v>
      </c>
      <c r="GT112" s="14">
        <f t="shared" si="307"/>
        <v>46792</v>
      </c>
      <c r="GU112" s="65">
        <f t="shared" ca="1" si="398"/>
        <v>661</v>
      </c>
      <c r="GV112" s="15" t="str">
        <f t="shared" ca="1" si="411"/>
        <v>VIGENTE</v>
      </c>
      <c r="GW112" s="13">
        <v>44571</v>
      </c>
      <c r="GX112" s="14">
        <v>45245</v>
      </c>
      <c r="GY112" s="14">
        <f t="shared" si="309"/>
        <v>47072</v>
      </c>
      <c r="GZ112" s="65">
        <f t="shared" ca="1" si="310"/>
        <v>941</v>
      </c>
      <c r="HA112" s="15" t="str">
        <f t="shared" ca="1" si="412"/>
        <v>VIGENTE</v>
      </c>
      <c r="HB112" s="13">
        <v>44883</v>
      </c>
      <c r="HC112" s="14">
        <v>45499</v>
      </c>
      <c r="HD112" s="14">
        <f t="shared" si="312"/>
        <v>47325</v>
      </c>
      <c r="HE112" s="65">
        <f t="shared" ca="1" si="313"/>
        <v>1194</v>
      </c>
      <c r="HF112" s="15" t="str">
        <f t="shared" ca="1" si="413"/>
        <v>VIGENTE</v>
      </c>
      <c r="HG112" s="16"/>
      <c r="HH112" s="14">
        <v>44879</v>
      </c>
      <c r="HI112" s="14">
        <f t="shared" si="396"/>
        <v>46705</v>
      </c>
      <c r="HJ112" s="65">
        <f t="shared" ca="1" si="397"/>
        <v>574</v>
      </c>
      <c r="HK112" s="15" t="str">
        <f t="shared" ca="1" si="414"/>
        <v>VIGENTE</v>
      </c>
      <c r="HL112" s="13">
        <v>44630</v>
      </c>
      <c r="HM112" s="14">
        <v>45331</v>
      </c>
      <c r="HN112" s="14">
        <f>DATE(YEAR(HM112)+5,MONTH(HM112),DAY(HM112))</f>
        <v>47158</v>
      </c>
      <c r="HO112" s="65">
        <f ca="1">HN112-TODAY()</f>
        <v>1027</v>
      </c>
      <c r="HP112" s="15" t="str">
        <f t="shared" ca="1" si="400"/>
        <v>VIGENTE</v>
      </c>
      <c r="HQ112" s="13">
        <v>45374</v>
      </c>
      <c r="HR112" s="13">
        <v>45698</v>
      </c>
      <c r="HS112" s="14">
        <f>DATE(YEAR(HR112)+5,MONTH(HR112),DAY(HR112))</f>
        <v>47524</v>
      </c>
      <c r="HT112" s="65">
        <f ca="1">HS112-TODAY()</f>
        <v>1393</v>
      </c>
      <c r="HU112" s="15" t="str">
        <f t="shared" ca="1" si="315"/>
        <v>VIGENTE</v>
      </c>
      <c r="HV112" s="13">
        <v>44560</v>
      </c>
      <c r="HW112" s="14">
        <v>45274</v>
      </c>
      <c r="HX112" s="14">
        <f>DATE(YEAR(HW112)+5,MONTH(HW112),DAY(HW112))</f>
        <v>47101</v>
      </c>
      <c r="HY112" s="65">
        <f ca="1">HX112-TODAY()</f>
        <v>970</v>
      </c>
      <c r="HZ112" s="15" t="str">
        <f t="shared" ca="1" si="316"/>
        <v>VIGENTE</v>
      </c>
      <c r="IA112" s="13">
        <v>44557</v>
      </c>
      <c r="IB112" s="14">
        <v>45234</v>
      </c>
      <c r="IC112" s="14">
        <f>DATE(YEAR(IB112)+5,MONTH(IB112),DAY(IB112))</f>
        <v>47061</v>
      </c>
      <c r="ID112" s="65">
        <f ca="1">IC112-TODAY()</f>
        <v>930</v>
      </c>
      <c r="IE112" s="15" t="str">
        <f t="shared" ca="1" si="317"/>
        <v>VIGENTE</v>
      </c>
      <c r="IF112" s="13">
        <v>44558</v>
      </c>
      <c r="IG112" s="14">
        <v>45236</v>
      </c>
      <c r="IH112" s="14">
        <f>DATE(YEAR(IG112)+5,MONTH(IG112),DAY(IG112))</f>
        <v>47063</v>
      </c>
      <c r="II112" s="65">
        <f ca="1">IH112-TODAY()</f>
        <v>932</v>
      </c>
      <c r="IJ112" s="15" t="str">
        <f t="shared" ca="1" si="318"/>
        <v>VIGENTE</v>
      </c>
      <c r="IK112" s="14">
        <v>44559</v>
      </c>
      <c r="IL112" s="14">
        <v>45238</v>
      </c>
      <c r="IM112" s="14">
        <f>DATE(YEAR(IL112)+5,MONTH(IL112),DAY(IL112))</f>
        <v>47065</v>
      </c>
      <c r="IN112" s="65">
        <f ca="1">IM112-TODAY()</f>
        <v>934</v>
      </c>
      <c r="IO112" s="15" t="str">
        <f t="shared" ca="1" si="319"/>
        <v>VIGENTE</v>
      </c>
      <c r="IP112" s="13">
        <v>44559</v>
      </c>
      <c r="IQ112" s="14">
        <v>45239</v>
      </c>
      <c r="IR112" s="14">
        <f>DATE(YEAR(IQ112)+5,MONTH(IQ112),DAY(IQ112))</f>
        <v>47066</v>
      </c>
      <c r="IS112" s="65">
        <f ca="1">IR112-TODAY()</f>
        <v>935</v>
      </c>
      <c r="IT112" s="15" t="str">
        <f t="shared" ca="1" si="320"/>
        <v>VIGENTE</v>
      </c>
      <c r="IU112" s="13">
        <v>44558</v>
      </c>
      <c r="IV112" s="14">
        <v>45240</v>
      </c>
      <c r="IW112" s="14">
        <f>DATE(YEAR(IV112)+5,MONTH(IV112),DAY(IV112))</f>
        <v>47067</v>
      </c>
      <c r="IX112" s="65">
        <f ca="1">IW112-TODAY()</f>
        <v>936</v>
      </c>
      <c r="IY112" s="15" t="str">
        <f t="shared" ca="1" si="321"/>
        <v>VIGENTE</v>
      </c>
      <c r="IZ112" s="13">
        <v>44557</v>
      </c>
      <c r="JA112" s="14">
        <v>45224</v>
      </c>
      <c r="JB112" s="14">
        <f>DATE(YEAR(JA112)+5,MONTH(JA112),DAY(JA112))</f>
        <v>47051</v>
      </c>
      <c r="JC112" s="65">
        <f ca="1">JB112-TODAY()</f>
        <v>920</v>
      </c>
      <c r="JD112" s="15" t="str">
        <f t="shared" ca="1" si="322"/>
        <v>VIGENTE</v>
      </c>
      <c r="JE112" s="13"/>
      <c r="JF112" s="13"/>
      <c r="JG112" s="14"/>
      <c r="JH112" s="65"/>
      <c r="JI112" s="15" t="str">
        <f t="shared" si="323"/>
        <v>NO APLICA</v>
      </c>
      <c r="JJ112" s="16"/>
      <c r="JK112" s="16"/>
      <c r="JL112" s="16"/>
      <c r="JM112" s="15" t="str">
        <f t="shared" si="324"/>
        <v>NO APLICA</v>
      </c>
      <c r="JN112" s="16"/>
      <c r="JO112" s="16"/>
      <c r="JP112" s="16"/>
      <c r="JQ112" s="15" t="str">
        <f t="shared" si="325"/>
        <v>NO APLICA</v>
      </c>
      <c r="JR112" s="16"/>
      <c r="JS112" s="16"/>
      <c r="JT112" s="16"/>
      <c r="JU112" s="16"/>
      <c r="JV112" s="15" t="str">
        <f t="shared" si="326"/>
        <v>NO APLICA</v>
      </c>
      <c r="JW112" s="15"/>
      <c r="JX112" s="15"/>
      <c r="JY112" s="15"/>
      <c r="JZ112" s="15"/>
      <c r="KA112" s="15" t="str">
        <f t="shared" si="327"/>
        <v>NO APLICA</v>
      </c>
      <c r="KB112" s="12"/>
      <c r="KC112" s="14"/>
      <c r="KD112" s="65"/>
      <c r="KE112" s="15" t="str">
        <f t="shared" si="328"/>
        <v>NO APLICA</v>
      </c>
      <c r="KF112" s="12"/>
      <c r="KG112" s="14"/>
      <c r="KH112" s="65"/>
      <c r="KI112" s="15" t="str">
        <f t="shared" si="345"/>
        <v>NO APLICA</v>
      </c>
      <c r="KJ112" s="12"/>
      <c r="KK112" s="14"/>
      <c r="KL112" s="65"/>
      <c r="KM112" s="15" t="str">
        <f t="shared" si="329"/>
        <v>NO APLICA</v>
      </c>
      <c r="KN112" s="12"/>
      <c r="KO112" s="14"/>
      <c r="KP112" s="65"/>
      <c r="KQ112" s="15" t="str">
        <f t="shared" si="346"/>
        <v>NO APLICA</v>
      </c>
      <c r="KR112" s="13">
        <v>44655</v>
      </c>
      <c r="KS112" s="14">
        <v>44656</v>
      </c>
      <c r="KT112" s="14">
        <f>DATE(YEAR(KS112)+5,MONTH(KS112),DAY(KS112))</f>
        <v>46482</v>
      </c>
      <c r="KU112" s="65">
        <f ca="1">KT112-TODAY()</f>
        <v>351</v>
      </c>
      <c r="KV112" s="15" t="str">
        <f t="shared" ca="1" si="355"/>
        <v>VIGENTE</v>
      </c>
      <c r="KW112" s="16"/>
      <c r="KX112" s="14"/>
      <c r="KY112" s="65"/>
      <c r="KZ112" s="15" t="str">
        <f t="shared" si="347"/>
        <v>NO APLICA</v>
      </c>
      <c r="LA112" s="16"/>
      <c r="LB112" s="14">
        <v>45530</v>
      </c>
      <c r="LC112" s="14">
        <f>DATE(YEAR(LB112)+2,MONTH(LB112),DAY(LB112))</f>
        <v>46260</v>
      </c>
      <c r="LD112" s="65">
        <f ca="1">LC112-TODAY()</f>
        <v>129</v>
      </c>
      <c r="LE112" s="15" t="str">
        <f t="shared" ca="1" si="330"/>
        <v>VIGENTE</v>
      </c>
      <c r="LF112" s="15"/>
      <c r="LG112" s="15"/>
      <c r="LH112" s="14"/>
      <c r="LI112" s="65"/>
      <c r="LJ112" s="15" t="str">
        <f t="shared" si="356"/>
        <v>NO APLICA</v>
      </c>
      <c r="LK112" s="12"/>
      <c r="LL112" s="16"/>
      <c r="LM112" s="14"/>
      <c r="LN112" s="65"/>
      <c r="LO112" s="15" t="str">
        <f t="shared" si="348"/>
        <v>NO APLICA</v>
      </c>
      <c r="LP112" s="16"/>
      <c r="LQ112" s="16"/>
      <c r="LR112" s="14"/>
      <c r="LS112" s="65"/>
      <c r="LT112" s="15" t="str">
        <f t="shared" si="349"/>
        <v>NO APLICA</v>
      </c>
      <c r="LU112" s="16"/>
      <c r="LV112" s="16"/>
      <c r="LW112" s="14"/>
      <c r="LX112" s="65"/>
      <c r="LY112" s="15" t="str">
        <f t="shared" si="350"/>
        <v>NO APLICA</v>
      </c>
      <c r="LZ112" s="12"/>
      <c r="MA112" s="12"/>
      <c r="MB112" s="14"/>
      <c r="MC112" s="65"/>
      <c r="MD112" s="15" t="str">
        <f t="shared" si="331"/>
        <v>NO APLICA</v>
      </c>
      <c r="ME112" s="12"/>
      <c r="MF112" s="12"/>
      <c r="MG112" s="14"/>
      <c r="MH112" s="65"/>
      <c r="MI112" s="15" t="str">
        <f t="shared" si="332"/>
        <v>NO APLICA</v>
      </c>
      <c r="MJ112" s="12"/>
      <c r="MK112" s="14"/>
      <c r="ML112" s="65"/>
      <c r="MM112" s="15" t="str">
        <f t="shared" si="333"/>
        <v>NO APLICA</v>
      </c>
      <c r="MN112" s="12"/>
      <c r="MO112" s="14"/>
      <c r="MP112" s="12"/>
      <c r="MQ112" s="15" t="str">
        <f t="shared" si="334"/>
        <v>NO APLICA</v>
      </c>
      <c r="MR112" s="12"/>
      <c r="MS112" s="16"/>
      <c r="MT112" s="14"/>
      <c r="MU112" s="65"/>
      <c r="MV112" s="15" t="str">
        <f t="shared" si="335"/>
        <v>NO APLICA</v>
      </c>
      <c r="MW112" s="12"/>
      <c r="MX112" s="16"/>
      <c r="MY112" s="14"/>
      <c r="MZ112" s="65"/>
      <c r="NA112" s="15" t="str">
        <f t="shared" si="336"/>
        <v>NO APLICA</v>
      </c>
      <c r="NB112" s="12"/>
      <c r="NC112" s="16"/>
      <c r="ND112" s="14"/>
      <c r="NE112" s="65"/>
      <c r="NF112" s="15" t="str">
        <f t="shared" si="337"/>
        <v>NO APLICA</v>
      </c>
      <c r="NG112" s="12"/>
      <c r="NH112" s="12"/>
      <c r="NI112" s="14"/>
      <c r="NJ112" s="65"/>
      <c r="NK112" s="15" t="str">
        <f t="shared" si="338"/>
        <v>NO APLICA</v>
      </c>
      <c r="NL112" s="12"/>
      <c r="NM112" s="12"/>
      <c r="NN112" s="14"/>
      <c r="NO112" s="12"/>
      <c r="NP112" s="15" t="str">
        <f t="shared" si="339"/>
        <v>NO APLICA</v>
      </c>
      <c r="NQ112" s="16"/>
      <c r="NR112" s="16"/>
      <c r="NS112" s="14"/>
      <c r="NT112" s="65"/>
      <c r="NU112" s="15" t="str">
        <f t="shared" si="340"/>
        <v>NO APLICA</v>
      </c>
      <c r="NV112" s="16"/>
      <c r="NW112" s="16"/>
      <c r="NX112" s="16"/>
      <c r="NY112" s="16"/>
      <c r="NZ112" s="15" t="str">
        <f t="shared" si="341"/>
        <v>NO APLICA</v>
      </c>
    </row>
    <row r="113" spans="1:390" ht="15.6" thickTop="1" thickBot="1" x14ac:dyDescent="0.35">
      <c r="A113" s="9">
        <v>820</v>
      </c>
      <c r="B113" s="10" t="s">
        <v>438</v>
      </c>
      <c r="C113" s="21" t="s">
        <v>104</v>
      </c>
      <c r="D113" s="64" t="s">
        <v>236</v>
      </c>
      <c r="E113" s="15"/>
      <c r="F113" s="16"/>
      <c r="G113" s="14"/>
      <c r="H113" s="65"/>
      <c r="I113" s="15" t="str">
        <f t="shared" si="235"/>
        <v>NO APLICA</v>
      </c>
      <c r="J113" s="15"/>
      <c r="K113" s="16"/>
      <c r="L113" s="16"/>
      <c r="M113" s="65"/>
      <c r="N113" s="15" t="str">
        <f t="shared" si="236"/>
        <v>NO APLICA</v>
      </c>
      <c r="O113" s="16"/>
      <c r="P113" s="16"/>
      <c r="Q113" s="14"/>
      <c r="R113" s="65"/>
      <c r="S113" s="15" t="str">
        <f t="shared" si="342"/>
        <v>NO APLICA</v>
      </c>
      <c r="T113" s="12" t="s">
        <v>439</v>
      </c>
      <c r="U113" s="13">
        <v>44828</v>
      </c>
      <c r="V113" s="14">
        <v>44829</v>
      </c>
      <c r="W113" s="14">
        <f t="shared" si="401"/>
        <v>46655</v>
      </c>
      <c r="X113" s="65">
        <f t="shared" ca="1" si="402"/>
        <v>524</v>
      </c>
      <c r="Y113" s="15" t="str">
        <f t="shared" ca="1" si="403"/>
        <v>VIGENTE</v>
      </c>
      <c r="Z113" s="12" t="s">
        <v>440</v>
      </c>
      <c r="AA113" s="13">
        <v>44823</v>
      </c>
      <c r="AB113" s="14">
        <v>44824</v>
      </c>
      <c r="AC113" s="14">
        <f t="shared" si="404"/>
        <v>46650</v>
      </c>
      <c r="AD113" s="65">
        <f t="shared" ca="1" si="405"/>
        <v>519</v>
      </c>
      <c r="AE113" s="15" t="str">
        <f t="shared" ca="1" si="406"/>
        <v>VIGENTE</v>
      </c>
      <c r="AF113" s="13">
        <v>44931</v>
      </c>
      <c r="AG113" s="13">
        <v>45589</v>
      </c>
      <c r="AH113" s="14">
        <f>DATE(YEAR(AG113)+2,MONTH(AG113),DAY(AG113)-1)</f>
        <v>46318</v>
      </c>
      <c r="AI113" s="65">
        <f t="shared" ca="1" si="241"/>
        <v>187</v>
      </c>
      <c r="AJ113" s="15" t="str">
        <f t="shared" ca="1" si="399"/>
        <v>VIGENTE</v>
      </c>
      <c r="AK113" s="13">
        <v>45215</v>
      </c>
      <c r="AL113" s="14">
        <v>45903</v>
      </c>
      <c r="AM113" s="14">
        <f t="shared" si="407"/>
        <v>46633</v>
      </c>
      <c r="AN113" s="65">
        <f t="shared" ca="1" si="242"/>
        <v>502</v>
      </c>
      <c r="AO113" s="15" t="str">
        <f t="shared" ca="1" si="243"/>
        <v>VIGENTE</v>
      </c>
      <c r="AP113" s="13">
        <v>44627</v>
      </c>
      <c r="AQ113" s="14">
        <v>45989</v>
      </c>
      <c r="AR113" s="14">
        <f>DATE(YEAR(AQ113)+2,MONTH(AQ113),DAY(AQ113))</f>
        <v>46719</v>
      </c>
      <c r="AS113" s="65">
        <f t="shared" ca="1" si="244"/>
        <v>588</v>
      </c>
      <c r="AT113" s="15" t="str">
        <f t="shared" ca="1" si="245"/>
        <v>VIGENTE</v>
      </c>
      <c r="AU113" s="13">
        <v>44659</v>
      </c>
      <c r="AV113" s="14">
        <v>45972</v>
      </c>
      <c r="AW113" s="14">
        <f>DATE(YEAR(AV113)+2,MONTH(AV113),DAY(AV113))</f>
        <v>46702</v>
      </c>
      <c r="AX113" s="65">
        <f t="shared" ca="1" si="246"/>
        <v>571</v>
      </c>
      <c r="AY113" s="15" t="str">
        <f t="shared" ca="1" si="247"/>
        <v>VIGENTE</v>
      </c>
      <c r="AZ113" s="13">
        <v>45192</v>
      </c>
      <c r="BA113" s="14">
        <v>45868</v>
      </c>
      <c r="BB113" s="14">
        <f>DATE(YEAR(BA113)+2,MONTH(BA113),DAY(BA113))</f>
        <v>46598</v>
      </c>
      <c r="BC113" s="65">
        <f t="shared" ca="1" si="248"/>
        <v>467</v>
      </c>
      <c r="BD113" s="15" t="str">
        <f t="shared" ca="1" si="249"/>
        <v>VIGENTE</v>
      </c>
      <c r="BE113" s="13">
        <v>44688</v>
      </c>
      <c r="BF113" s="14">
        <v>45987</v>
      </c>
      <c r="BG113" s="14">
        <f>DATE(YEAR(BF113)+2,MONTH(BF113),DAY(BF113))</f>
        <v>46717</v>
      </c>
      <c r="BH113" s="65">
        <f t="shared" ca="1" si="250"/>
        <v>586</v>
      </c>
      <c r="BI113" s="15" t="str">
        <f t="shared" ca="1" si="251"/>
        <v>VIGENTE</v>
      </c>
      <c r="BJ113" s="13">
        <v>44719</v>
      </c>
      <c r="BK113" s="14">
        <v>46051</v>
      </c>
      <c r="BL113" s="14">
        <f>DATE(YEAR(BK113)+2,MONTH(BK113),DAY(BK113))</f>
        <v>46781</v>
      </c>
      <c r="BM113" s="65">
        <f t="shared" ca="1" si="252"/>
        <v>650</v>
      </c>
      <c r="BN113" s="15" t="str">
        <f t="shared" ca="1" si="253"/>
        <v>VIGENTE</v>
      </c>
      <c r="BO113" s="13">
        <v>44746</v>
      </c>
      <c r="BP113" s="14">
        <v>46069</v>
      </c>
      <c r="BQ113" s="14">
        <f>DATE(YEAR(BP113)+2,MONTH(BP113),DAY(BP113))</f>
        <v>46799</v>
      </c>
      <c r="BR113" s="65">
        <f t="shared" ca="1" si="254"/>
        <v>668</v>
      </c>
      <c r="BS113" s="15" t="str">
        <f t="shared" ca="1" si="255"/>
        <v>VIGENTE</v>
      </c>
      <c r="BT113" s="13">
        <v>44811</v>
      </c>
      <c r="BU113" s="14">
        <v>45449</v>
      </c>
      <c r="BV113" s="14">
        <f>DATE(YEAR(BU113)+2,MONTH(BU113),DAY(BU113)-1)</f>
        <v>46178</v>
      </c>
      <c r="BW113" s="65">
        <f t="shared" ca="1" si="256"/>
        <v>47</v>
      </c>
      <c r="BX113" s="15" t="str">
        <f t="shared" ca="1" si="257"/>
        <v>POR VENCER</v>
      </c>
      <c r="BY113" s="13">
        <v>44629</v>
      </c>
      <c r="BZ113" s="14">
        <v>45944</v>
      </c>
      <c r="CA113" s="14">
        <f t="shared" si="415"/>
        <v>46674</v>
      </c>
      <c r="CB113" s="65">
        <f t="shared" ca="1" si="258"/>
        <v>543</v>
      </c>
      <c r="CC113" s="15" t="str">
        <f t="shared" ca="1" si="259"/>
        <v>VIGENTE</v>
      </c>
      <c r="CD113" s="16" t="s">
        <v>108</v>
      </c>
      <c r="CE113" s="14">
        <v>45226</v>
      </c>
      <c r="CF113" s="14">
        <v>45227</v>
      </c>
      <c r="CG113" s="14">
        <f t="shared" si="408"/>
        <v>46688</v>
      </c>
      <c r="CH113" s="65">
        <f t="shared" ca="1" si="409"/>
        <v>557</v>
      </c>
      <c r="CI113" s="15" t="str">
        <f t="shared" ca="1" si="410"/>
        <v>VIGENTE</v>
      </c>
      <c r="CJ113" s="14">
        <v>45353</v>
      </c>
      <c r="CK113" s="14">
        <v>46018</v>
      </c>
      <c r="CL113" s="14">
        <f>DATE(YEAR(CK113)+2,MONTH(CK113),DAY(CK113))</f>
        <v>46748</v>
      </c>
      <c r="CM113" s="65">
        <f t="shared" ca="1" si="263"/>
        <v>617</v>
      </c>
      <c r="CN113" s="15" t="str">
        <f t="shared" ca="1" si="264"/>
        <v>VIGENTE</v>
      </c>
      <c r="CO113" s="13">
        <v>44900</v>
      </c>
      <c r="CP113" s="14">
        <v>45517</v>
      </c>
      <c r="CQ113" s="14">
        <f>DATE(YEAR(CP113)+2,MONTH(CP113),DAY(CP113)-1)</f>
        <v>46246</v>
      </c>
      <c r="CR113" s="65">
        <f t="shared" ca="1" si="265"/>
        <v>115</v>
      </c>
      <c r="CS113" s="15" t="str">
        <f t="shared" ca="1" si="266"/>
        <v>VIGENTE</v>
      </c>
      <c r="CT113" s="13">
        <v>44970</v>
      </c>
      <c r="CU113" s="14">
        <v>45631</v>
      </c>
      <c r="CV113" s="14">
        <f>DATE(YEAR(CU113)+2,MONTH(CU113),DAY(CU113)-1)</f>
        <v>46360</v>
      </c>
      <c r="CW113" s="65">
        <f t="shared" ca="1" si="267"/>
        <v>229</v>
      </c>
      <c r="CX113" s="15" t="str">
        <f t="shared" ca="1" si="268"/>
        <v>VIGENTE</v>
      </c>
      <c r="CY113" s="13">
        <v>44999</v>
      </c>
      <c r="CZ113" s="14">
        <v>45661</v>
      </c>
      <c r="DA113" s="14">
        <f>DATE(YEAR(CZ113)+2,MONTH(CZ113),DAY(CZ113)-1)</f>
        <v>46390</v>
      </c>
      <c r="DB113" s="65">
        <f t="shared" ca="1" si="269"/>
        <v>259</v>
      </c>
      <c r="DC113" s="15" t="str">
        <f t="shared" ca="1" si="270"/>
        <v>VIGENTE</v>
      </c>
      <c r="DD113" s="13">
        <v>45027</v>
      </c>
      <c r="DE113" s="14">
        <v>45689</v>
      </c>
      <c r="DF113" s="14">
        <f>DATE(YEAR(DE113)+2,MONTH(DE113),DAY(DE113)-1)</f>
        <v>46418</v>
      </c>
      <c r="DG113" s="65">
        <f t="shared" ca="1" si="271"/>
        <v>287</v>
      </c>
      <c r="DH113" s="15" t="str">
        <f t="shared" ca="1" si="272"/>
        <v>VIGENTE</v>
      </c>
      <c r="DI113" s="13">
        <v>45251</v>
      </c>
      <c r="DJ113" s="14">
        <v>45899</v>
      </c>
      <c r="DK113" s="14">
        <f>DATE(YEAR(DJ113)+2,MONTH(DJ113),DAY(DJ113))</f>
        <v>46629</v>
      </c>
      <c r="DL113" s="65">
        <f t="shared" ca="1" si="273"/>
        <v>498</v>
      </c>
      <c r="DM113" s="15" t="str">
        <f t="shared" ca="1" si="274"/>
        <v>VIGENTE</v>
      </c>
      <c r="DN113" s="13">
        <v>44613</v>
      </c>
      <c r="DO113" s="14">
        <v>46008</v>
      </c>
      <c r="DP113" s="14">
        <f>DATE(YEAR(DO113)+2,MONTH(DO113),DAY(DO113))</f>
        <v>46738</v>
      </c>
      <c r="DQ113" s="65">
        <f t="shared" ca="1" si="275"/>
        <v>607</v>
      </c>
      <c r="DR113" s="15" t="str">
        <f t="shared" ca="1" si="276"/>
        <v>VIGENTE</v>
      </c>
      <c r="DS113" s="13">
        <v>45250</v>
      </c>
      <c r="DT113" s="14">
        <v>45918</v>
      </c>
      <c r="DU113" s="14">
        <f>DATE(YEAR(DT113)+2,MONTH(DT113),DAY(DT113))</f>
        <v>46648</v>
      </c>
      <c r="DV113" s="65">
        <f t="shared" ca="1" si="277"/>
        <v>517</v>
      </c>
      <c r="DW113" s="15" t="str">
        <f t="shared" ca="1" si="278"/>
        <v>VIGENTE</v>
      </c>
      <c r="DX113" s="13">
        <v>45329</v>
      </c>
      <c r="DY113" s="14">
        <v>46020</v>
      </c>
      <c r="DZ113" s="14">
        <f>DATE(YEAR(DY113)+2,MONTH(DY113),DAY(DY113))</f>
        <v>46750</v>
      </c>
      <c r="EA113" s="65">
        <f t="shared" ca="1" si="279"/>
        <v>619</v>
      </c>
      <c r="EB113" s="15" t="str">
        <f t="shared" ca="1" si="280"/>
        <v>VIGENTE</v>
      </c>
      <c r="EC113" s="13">
        <v>44998</v>
      </c>
      <c r="ED113" s="14">
        <v>45674</v>
      </c>
      <c r="EE113" s="14">
        <f>DATE(YEAR(ED113)+2,MONTH(ED113),DAY(ED113)-1)</f>
        <v>46403</v>
      </c>
      <c r="EF113" s="65">
        <f t="shared" ca="1" si="281"/>
        <v>272</v>
      </c>
      <c r="EG113" s="15" t="str">
        <f t="shared" ca="1" si="282"/>
        <v>VIGENTE</v>
      </c>
      <c r="EH113" s="13">
        <v>45185</v>
      </c>
      <c r="EI113" s="13">
        <v>45806</v>
      </c>
      <c r="EJ113" s="13">
        <v>45807</v>
      </c>
      <c r="EK113" s="14">
        <v>45808</v>
      </c>
      <c r="EL113" s="14">
        <f t="shared" si="344"/>
        <v>46173</v>
      </c>
      <c r="EM113" s="65">
        <f t="shared" ca="1" si="283"/>
        <v>42</v>
      </c>
      <c r="EN113" s="15" t="str">
        <f t="shared" ca="1" si="284"/>
        <v>POR VENCER</v>
      </c>
      <c r="EO113" s="13">
        <v>45070</v>
      </c>
      <c r="EP113" s="14">
        <v>45671</v>
      </c>
      <c r="EQ113" s="14">
        <f>DATE(YEAR(EP113)+2,MONTH(EP113),DAY(EP113)-1)</f>
        <v>46400</v>
      </c>
      <c r="ER113" s="65">
        <f t="shared" ca="1" si="285"/>
        <v>269</v>
      </c>
      <c r="ES113" s="15" t="str">
        <f t="shared" ca="1" si="286"/>
        <v>VIGENTE</v>
      </c>
      <c r="ET113" s="13">
        <v>45010</v>
      </c>
      <c r="EU113" s="14">
        <v>45677</v>
      </c>
      <c r="EV113" s="14">
        <f>DATE(YEAR(EU113)+2,MONTH(EU113),DAY(EU113)-1)</f>
        <v>46406</v>
      </c>
      <c r="EW113" s="65">
        <f t="shared" ca="1" si="287"/>
        <v>275</v>
      </c>
      <c r="EX113" s="15" t="str">
        <f t="shared" ca="1" si="288"/>
        <v>VIGENTE</v>
      </c>
      <c r="EY113" s="13">
        <v>45299</v>
      </c>
      <c r="EZ113" s="14">
        <v>45964</v>
      </c>
      <c r="FA113" s="14">
        <f t="shared" si="416"/>
        <v>46694</v>
      </c>
      <c r="FB113" s="65">
        <f t="shared" ca="1" si="289"/>
        <v>563</v>
      </c>
      <c r="FC113" s="15" t="str">
        <f t="shared" ca="1" si="290"/>
        <v>VIGENTE</v>
      </c>
      <c r="FD113" s="13">
        <v>45343</v>
      </c>
      <c r="FE113" s="14">
        <v>45988</v>
      </c>
      <c r="FF113" s="14">
        <f>DATE(YEAR(FE113)+2,MONTH(FE113),DAY(FE113))</f>
        <v>46718</v>
      </c>
      <c r="FG113" s="65">
        <f t="shared" ca="1" si="291"/>
        <v>587</v>
      </c>
      <c r="FH113" s="15" t="str">
        <f t="shared" ca="1" si="292"/>
        <v>VIGENTE</v>
      </c>
      <c r="FI113" s="13">
        <v>45248</v>
      </c>
      <c r="FJ113" s="14">
        <v>45919</v>
      </c>
      <c r="FK113" s="14">
        <f t="shared" si="417"/>
        <v>46649</v>
      </c>
      <c r="FL113" s="65">
        <f t="shared" ca="1" si="293"/>
        <v>518</v>
      </c>
      <c r="FM113" s="15" t="str">
        <f t="shared" ca="1" si="294"/>
        <v>VIGENTE</v>
      </c>
      <c r="FN113" s="13">
        <v>45002</v>
      </c>
      <c r="FO113" s="14">
        <v>45670</v>
      </c>
      <c r="FP113" s="14">
        <f>DATE(YEAR(FO113)+2,MONTH(FO113),DAY(FO113)-1)</f>
        <v>46399</v>
      </c>
      <c r="FQ113" s="65">
        <f t="shared" ca="1" si="295"/>
        <v>268</v>
      </c>
      <c r="FR113" s="15" t="str">
        <f t="shared" ca="1" si="296"/>
        <v>VIGENTE</v>
      </c>
      <c r="FS113" s="13">
        <v>44953</v>
      </c>
      <c r="FT113" s="14">
        <v>45586</v>
      </c>
      <c r="FU113" s="14">
        <f>DATE(YEAR(FT113)+2,MONTH(FT113),DAY(FT113)-1)</f>
        <v>46315</v>
      </c>
      <c r="FV113" s="65">
        <f t="shared" ca="1" si="297"/>
        <v>184</v>
      </c>
      <c r="FW113" s="15" t="str">
        <f t="shared" ca="1" si="298"/>
        <v>VIGENTE</v>
      </c>
      <c r="FX113" s="13">
        <v>44968</v>
      </c>
      <c r="FY113" s="14">
        <v>45574</v>
      </c>
      <c r="FZ113" s="14">
        <f>DATE(YEAR(FY113)+2,MONTH(FY113),DAY(FY113)-1)</f>
        <v>46303</v>
      </c>
      <c r="GA113" s="65">
        <f t="shared" ca="1" si="299"/>
        <v>172</v>
      </c>
      <c r="GB113" s="15" t="str">
        <f t="shared" ca="1" si="300"/>
        <v>VIGENTE</v>
      </c>
      <c r="GC113" s="13">
        <v>44921</v>
      </c>
      <c r="GD113" s="14">
        <v>45560</v>
      </c>
      <c r="GE113" s="14">
        <f>DATE(YEAR(GD113)+2,MONTH(GD113),DAY(GD113)-1)</f>
        <v>46289</v>
      </c>
      <c r="GF113" s="65">
        <f t="shared" ca="1" si="301"/>
        <v>158</v>
      </c>
      <c r="GG113" s="15" t="str">
        <f t="shared" ca="1" si="302"/>
        <v>VIGENTE</v>
      </c>
      <c r="GH113" s="13">
        <v>44928</v>
      </c>
      <c r="GI113" s="14">
        <v>45564</v>
      </c>
      <c r="GJ113" s="14">
        <f>DATE(YEAR(GI113)+2,MONTH(GI113),DAY(GI113)-1)</f>
        <v>46293</v>
      </c>
      <c r="GK113" s="65">
        <f t="shared" ca="1" si="303"/>
        <v>162</v>
      </c>
      <c r="GL113" s="15" t="str">
        <f t="shared" ca="1" si="304"/>
        <v>VIGENTE</v>
      </c>
      <c r="GM113" s="13">
        <v>45247</v>
      </c>
      <c r="GN113" s="14">
        <v>45945</v>
      </c>
      <c r="GO113" s="14">
        <f>DATE(YEAR(GN113)+2,MONTH(GN113),DAY(GN113))</f>
        <v>46675</v>
      </c>
      <c r="GP113" s="65">
        <f t="shared" ca="1" si="305"/>
        <v>544</v>
      </c>
      <c r="GQ113" s="15" t="str">
        <f t="shared" ca="1" si="306"/>
        <v>VIGENTE</v>
      </c>
      <c r="GR113" s="14"/>
      <c r="GS113" s="14">
        <v>44963</v>
      </c>
      <c r="GT113" s="14">
        <f t="shared" si="307"/>
        <v>46789</v>
      </c>
      <c r="GU113" s="65">
        <f t="shared" ca="1" si="398"/>
        <v>658</v>
      </c>
      <c r="GV113" s="15" t="str">
        <f t="shared" ca="1" si="411"/>
        <v>VIGENTE</v>
      </c>
      <c r="GW113" s="13">
        <v>44620</v>
      </c>
      <c r="GX113" s="14">
        <v>45245</v>
      </c>
      <c r="GY113" s="14">
        <f t="shared" si="309"/>
        <v>47072</v>
      </c>
      <c r="GZ113" s="65">
        <f t="shared" ca="1" si="310"/>
        <v>941</v>
      </c>
      <c r="HA113" s="15" t="str">
        <f t="shared" ca="1" si="412"/>
        <v>VIGENTE</v>
      </c>
      <c r="HB113" s="13">
        <v>44781</v>
      </c>
      <c r="HC113" s="14">
        <v>45454</v>
      </c>
      <c r="HD113" s="14">
        <f t="shared" si="312"/>
        <v>47280</v>
      </c>
      <c r="HE113" s="65">
        <f t="shared" ca="1" si="313"/>
        <v>1149</v>
      </c>
      <c r="HF113" s="15" t="str">
        <f t="shared" ca="1" si="413"/>
        <v>VIGENTE</v>
      </c>
      <c r="HG113" s="16"/>
      <c r="HH113" s="14">
        <v>44879</v>
      </c>
      <c r="HI113" s="14">
        <f t="shared" si="396"/>
        <v>46705</v>
      </c>
      <c r="HJ113" s="65">
        <f t="shared" ca="1" si="397"/>
        <v>574</v>
      </c>
      <c r="HK113" s="15" t="str">
        <f t="shared" ca="1" si="414"/>
        <v>VIGENTE</v>
      </c>
      <c r="HL113" s="12"/>
      <c r="HM113" s="14">
        <v>45370</v>
      </c>
      <c r="HN113" s="14">
        <f>DATE(YEAR(HM113)+5,MONTH(HM113),DAY(HM113))</f>
        <v>47196</v>
      </c>
      <c r="HO113" s="65">
        <f ca="1">HN113-TODAY()</f>
        <v>1065</v>
      </c>
      <c r="HP113" s="15" t="str">
        <f t="shared" ca="1" si="400"/>
        <v>VIGENTE</v>
      </c>
      <c r="HQ113" s="12"/>
      <c r="HR113" s="13">
        <v>45374</v>
      </c>
      <c r="HS113" s="14">
        <f>DATE(YEAR(HR113)+5,MONTH(HR113),DAY(HR113))</f>
        <v>47200</v>
      </c>
      <c r="HT113" s="65">
        <f ca="1">HS113-TODAY()</f>
        <v>1069</v>
      </c>
      <c r="HU113" s="15" t="str">
        <f t="shared" ca="1" si="315"/>
        <v>VIGENTE</v>
      </c>
      <c r="HV113" s="13">
        <v>44782</v>
      </c>
      <c r="HW113" s="14">
        <v>45482</v>
      </c>
      <c r="HX113" s="14">
        <f>DATE(YEAR(HW113)+5,MONTH(HW113),DAY(HW113))</f>
        <v>47308</v>
      </c>
      <c r="HY113" s="65">
        <f ca="1">HX113-TODAY()</f>
        <v>1177</v>
      </c>
      <c r="HZ113" s="15" t="str">
        <f t="shared" ca="1" si="316"/>
        <v>VIGENTE</v>
      </c>
      <c r="IA113" s="13">
        <v>44557</v>
      </c>
      <c r="IB113" s="14">
        <v>45241</v>
      </c>
      <c r="IC113" s="14">
        <f>DATE(YEAR(IB113)+5,MONTH(IB113),DAY(IB113))</f>
        <v>47068</v>
      </c>
      <c r="ID113" s="65">
        <f ca="1">IC113-TODAY()</f>
        <v>937</v>
      </c>
      <c r="IE113" s="15" t="str">
        <f t="shared" ca="1" si="317"/>
        <v>VIGENTE</v>
      </c>
      <c r="IF113" s="13">
        <v>44792</v>
      </c>
      <c r="IG113" s="14">
        <v>45425</v>
      </c>
      <c r="IH113" s="14">
        <f>DATE(YEAR(IG113)+5,MONTH(IG113),DAY(IG113))</f>
        <v>47251</v>
      </c>
      <c r="II113" s="65">
        <f ca="1">IH113-TODAY()</f>
        <v>1120</v>
      </c>
      <c r="IJ113" s="15" t="str">
        <f t="shared" ca="1" si="318"/>
        <v>VIGENTE</v>
      </c>
      <c r="IK113" s="14">
        <v>44795</v>
      </c>
      <c r="IL113" s="14">
        <v>45455</v>
      </c>
      <c r="IM113" s="14">
        <f>DATE(YEAR(IL113)+5,MONTH(IL113),DAY(IL113))</f>
        <v>47281</v>
      </c>
      <c r="IN113" s="65">
        <f ca="1">IM113-TODAY()</f>
        <v>1150</v>
      </c>
      <c r="IO113" s="15" t="str">
        <f t="shared" ca="1" si="319"/>
        <v>VIGENTE</v>
      </c>
      <c r="IP113" s="13">
        <v>44795</v>
      </c>
      <c r="IQ113" s="14">
        <v>45460</v>
      </c>
      <c r="IR113" s="14">
        <f>DATE(YEAR(IQ113)+5,MONTH(IQ113),DAY(IQ113))</f>
        <v>47286</v>
      </c>
      <c r="IS113" s="65">
        <f ca="1">IR113-TODAY()</f>
        <v>1155</v>
      </c>
      <c r="IT113" s="15" t="str">
        <f t="shared" ca="1" si="320"/>
        <v>VIGENTE</v>
      </c>
      <c r="IU113" s="13">
        <v>44792</v>
      </c>
      <c r="IV113" s="14">
        <v>45487</v>
      </c>
      <c r="IW113" s="14">
        <f>DATE(YEAR(IV113)+5,MONTH(IV113),DAY(IV113))</f>
        <v>47313</v>
      </c>
      <c r="IX113" s="65">
        <f ca="1">IW113-TODAY()</f>
        <v>1182</v>
      </c>
      <c r="IY113" s="15" t="str">
        <f t="shared" ca="1" si="321"/>
        <v>VIGENTE</v>
      </c>
      <c r="IZ113" s="13">
        <v>44557</v>
      </c>
      <c r="JA113" s="14">
        <v>45251</v>
      </c>
      <c r="JB113" s="14">
        <f>DATE(YEAR(JA113)+5,MONTH(JA113),DAY(JA113))</f>
        <v>47078</v>
      </c>
      <c r="JC113" s="65">
        <f ca="1">JB113-TODAY()</f>
        <v>947</v>
      </c>
      <c r="JD113" s="15" t="str">
        <f t="shared" ca="1" si="322"/>
        <v>VIGENTE</v>
      </c>
      <c r="JE113" s="13"/>
      <c r="JF113" s="13"/>
      <c r="JG113" s="14"/>
      <c r="JH113" s="65"/>
      <c r="JI113" s="15" t="str">
        <f t="shared" si="323"/>
        <v>NO APLICA</v>
      </c>
      <c r="JJ113" s="16"/>
      <c r="JK113" s="16"/>
      <c r="JL113" s="16"/>
      <c r="JM113" s="15" t="str">
        <f t="shared" si="324"/>
        <v>NO APLICA</v>
      </c>
      <c r="JN113" s="16"/>
      <c r="JO113" s="16"/>
      <c r="JP113" s="16"/>
      <c r="JQ113" s="15" t="str">
        <f t="shared" si="325"/>
        <v>NO APLICA</v>
      </c>
      <c r="JR113" s="16"/>
      <c r="JS113" s="16"/>
      <c r="JT113" s="16"/>
      <c r="JU113" s="16"/>
      <c r="JV113" s="15" t="str">
        <f t="shared" si="326"/>
        <v>NO APLICA</v>
      </c>
      <c r="JW113" s="15"/>
      <c r="JX113" s="15"/>
      <c r="JY113" s="15"/>
      <c r="JZ113" s="15"/>
      <c r="KA113" s="15" t="str">
        <f t="shared" si="327"/>
        <v>NO APLICA</v>
      </c>
      <c r="KB113" s="12"/>
      <c r="KC113" s="14"/>
      <c r="KD113" s="65"/>
      <c r="KE113" s="15" t="str">
        <f t="shared" si="328"/>
        <v>NO APLICA</v>
      </c>
      <c r="KF113" s="13">
        <v>45328</v>
      </c>
      <c r="KG113" s="14">
        <f>DATE(YEAR(KF113)+5,MONTH(KF113),DAY(KF113)-1)</f>
        <v>47154</v>
      </c>
      <c r="KH113" s="65">
        <f ca="1">KG113-TODAY()</f>
        <v>1023</v>
      </c>
      <c r="KI113" s="15" t="str">
        <f t="shared" ca="1" si="345"/>
        <v>VIGENTE</v>
      </c>
      <c r="KJ113" s="12"/>
      <c r="KK113" s="14"/>
      <c r="KL113" s="65"/>
      <c r="KM113" s="15" t="str">
        <f t="shared" si="329"/>
        <v>NO APLICA</v>
      </c>
      <c r="KN113" s="13">
        <v>45346</v>
      </c>
      <c r="KO113" s="14">
        <f>DATE(YEAR(KN113)+5,MONTH(KN113),DAY(KN113))</f>
        <v>47173</v>
      </c>
      <c r="KP113" s="65">
        <f ca="1">KO113-TODAY()</f>
        <v>1042</v>
      </c>
      <c r="KQ113" s="15" t="str">
        <f t="shared" ca="1" si="346"/>
        <v>VIGENTE</v>
      </c>
      <c r="KR113" s="12"/>
      <c r="KS113" s="16"/>
      <c r="KT113" s="14"/>
      <c r="KU113" s="65"/>
      <c r="KV113" s="15" t="str">
        <f t="shared" si="355"/>
        <v>NO APLICA</v>
      </c>
      <c r="KW113" s="14">
        <v>44613</v>
      </c>
      <c r="KX113" s="14">
        <f>DATE(YEAR(KW113)+5,MONTH(KW113),DAY(KW113))</f>
        <v>46439</v>
      </c>
      <c r="KY113" s="65">
        <f ca="1">KX113-TODAY()</f>
        <v>308</v>
      </c>
      <c r="KZ113" s="15" t="str">
        <f t="shared" ca="1" si="347"/>
        <v>VIGENTE</v>
      </c>
      <c r="LA113" s="16"/>
      <c r="LB113" s="16"/>
      <c r="LC113" s="14"/>
      <c r="LD113" s="65"/>
      <c r="LE113" s="15" t="str">
        <f t="shared" si="330"/>
        <v>NO APLICA</v>
      </c>
      <c r="LF113" s="15"/>
      <c r="LG113" s="15"/>
      <c r="LH113" s="15"/>
      <c r="LI113" s="15"/>
      <c r="LJ113" s="15" t="str">
        <f t="shared" si="356"/>
        <v>NO APLICA</v>
      </c>
      <c r="LK113" s="12"/>
      <c r="LL113" s="16"/>
      <c r="LM113" s="14"/>
      <c r="LN113" s="65"/>
      <c r="LO113" s="15" t="str">
        <f t="shared" si="348"/>
        <v>NO APLICA</v>
      </c>
      <c r="LP113" s="14">
        <v>44984</v>
      </c>
      <c r="LQ113" s="14">
        <v>44986</v>
      </c>
      <c r="LR113" s="14">
        <f>DATE(YEAR(LQ113)+5,MONTH(LQ113),DAY(LQ113))</f>
        <v>46813</v>
      </c>
      <c r="LS113" s="65">
        <f ca="1">LR113-TODAY()</f>
        <v>682</v>
      </c>
      <c r="LT113" s="15" t="str">
        <f t="shared" ca="1" si="349"/>
        <v>VIGENTE</v>
      </c>
      <c r="LU113" s="14">
        <v>44987</v>
      </c>
      <c r="LV113" s="14">
        <v>44988</v>
      </c>
      <c r="LW113" s="14">
        <f>DATE(YEAR(LV113)+5,MONTH(LV113),DAY(LV113))</f>
        <v>46815</v>
      </c>
      <c r="LX113" s="65">
        <f ca="1">LW113-TODAY()</f>
        <v>684</v>
      </c>
      <c r="LY113" s="15" t="str">
        <f t="shared" ca="1" si="350"/>
        <v>VIGENTE</v>
      </c>
      <c r="LZ113" s="12"/>
      <c r="MA113" s="12"/>
      <c r="MB113" s="14"/>
      <c r="MC113" s="65"/>
      <c r="MD113" s="15" t="str">
        <f t="shared" si="331"/>
        <v>NO APLICA</v>
      </c>
      <c r="ME113" s="12"/>
      <c r="MF113" s="12"/>
      <c r="MG113" s="14"/>
      <c r="MH113" s="65"/>
      <c r="MI113" s="15" t="str">
        <f t="shared" si="332"/>
        <v>NO APLICA</v>
      </c>
      <c r="MJ113" s="12"/>
      <c r="MK113" s="14"/>
      <c r="ML113" s="65"/>
      <c r="MM113" s="15" t="str">
        <f t="shared" si="333"/>
        <v>NO APLICA</v>
      </c>
      <c r="MN113" s="12"/>
      <c r="MO113" s="14"/>
      <c r="MP113" s="12"/>
      <c r="MQ113" s="15" t="str">
        <f t="shared" si="334"/>
        <v>NO APLICA</v>
      </c>
      <c r="MR113" s="12"/>
      <c r="MS113" s="16"/>
      <c r="MT113" s="14"/>
      <c r="MU113" s="65"/>
      <c r="MV113" s="15" t="str">
        <f t="shared" si="335"/>
        <v>NO APLICA</v>
      </c>
      <c r="MW113" s="12"/>
      <c r="MX113" s="16"/>
      <c r="MY113" s="14"/>
      <c r="MZ113" s="65"/>
      <c r="NA113" s="15" t="str">
        <f t="shared" si="336"/>
        <v>NO APLICA</v>
      </c>
      <c r="NB113" s="12"/>
      <c r="NC113" s="16"/>
      <c r="ND113" s="14"/>
      <c r="NE113" s="65"/>
      <c r="NF113" s="15" t="str">
        <f t="shared" si="337"/>
        <v>NO APLICA</v>
      </c>
      <c r="NG113" s="12"/>
      <c r="NH113" s="12"/>
      <c r="NI113" s="14"/>
      <c r="NJ113" s="12"/>
      <c r="NK113" s="15" t="str">
        <f t="shared" si="338"/>
        <v>NO APLICA</v>
      </c>
      <c r="NL113" s="12"/>
      <c r="NM113" s="12"/>
      <c r="NN113" s="12"/>
      <c r="NO113" s="12"/>
      <c r="NP113" s="15" t="str">
        <f t="shared" si="339"/>
        <v>NO APLICA</v>
      </c>
      <c r="NQ113" s="16"/>
      <c r="NR113" s="16"/>
      <c r="NS113" s="14"/>
      <c r="NT113" s="65"/>
      <c r="NU113" s="15" t="str">
        <f t="shared" si="340"/>
        <v>NO APLICA</v>
      </c>
      <c r="NV113" s="16"/>
      <c r="NW113" s="16"/>
      <c r="NX113" s="16"/>
      <c r="NY113" s="16"/>
      <c r="NZ113" s="15" t="str">
        <f t="shared" si="341"/>
        <v>NO APLICA</v>
      </c>
    </row>
    <row r="114" spans="1:390" ht="15.6" thickTop="1" thickBot="1" x14ac:dyDescent="0.35">
      <c r="A114" s="11">
        <v>1708</v>
      </c>
      <c r="B114" s="10" t="s">
        <v>441</v>
      </c>
      <c r="C114" s="21" t="s">
        <v>98</v>
      </c>
      <c r="D114" s="64" t="s">
        <v>118</v>
      </c>
      <c r="E114" s="15"/>
      <c r="F114" s="16"/>
      <c r="G114" s="14"/>
      <c r="H114" s="65"/>
      <c r="I114" s="15" t="str">
        <f t="shared" si="235"/>
        <v>NO APLICA</v>
      </c>
      <c r="J114" s="12"/>
      <c r="K114" s="16"/>
      <c r="L114" s="16"/>
      <c r="M114" s="65"/>
      <c r="N114" s="15" t="str">
        <f t="shared" si="236"/>
        <v>NO APLICA</v>
      </c>
      <c r="O114" s="14">
        <v>45757</v>
      </c>
      <c r="P114" s="14">
        <v>45758</v>
      </c>
      <c r="Q114" s="14">
        <f>DATE(YEAR(P114)+2,MONTH(P114),DAY(P114)-1)</f>
        <v>46487</v>
      </c>
      <c r="R114" s="65">
        <f ca="1">Q114-TODAY()</f>
        <v>356</v>
      </c>
      <c r="S114" s="15" t="str">
        <f t="shared" ca="1" si="342"/>
        <v>VIGENTE</v>
      </c>
      <c r="T114" s="12" t="s">
        <v>442</v>
      </c>
      <c r="U114" s="13">
        <v>44514</v>
      </c>
      <c r="V114" s="14">
        <v>44515</v>
      </c>
      <c r="W114" s="14">
        <f t="shared" si="401"/>
        <v>46341</v>
      </c>
      <c r="X114" s="65">
        <f t="shared" ca="1" si="402"/>
        <v>210</v>
      </c>
      <c r="Y114" s="15" t="str">
        <f t="shared" ca="1" si="403"/>
        <v>VIGENTE</v>
      </c>
      <c r="Z114" s="12" t="s">
        <v>443</v>
      </c>
      <c r="AA114" s="13">
        <v>45232</v>
      </c>
      <c r="AB114" s="14">
        <v>45233</v>
      </c>
      <c r="AC114" s="14">
        <f t="shared" si="404"/>
        <v>47060</v>
      </c>
      <c r="AD114" s="65">
        <f t="shared" ca="1" si="405"/>
        <v>929</v>
      </c>
      <c r="AE114" s="15" t="str">
        <f t="shared" ca="1" si="406"/>
        <v>VIGENTE</v>
      </c>
      <c r="AF114" s="12"/>
      <c r="AG114" s="14">
        <v>45936</v>
      </c>
      <c r="AH114" s="14">
        <f>DATE(YEAR(AG114)+2,MONTH(AG114),DAY(AG114))</f>
        <v>46666</v>
      </c>
      <c r="AI114" s="65">
        <f t="shared" ca="1" si="241"/>
        <v>535</v>
      </c>
      <c r="AJ114" s="15" t="str">
        <f t="shared" ca="1" si="399"/>
        <v>VIGENTE</v>
      </c>
      <c r="AK114" s="12"/>
      <c r="AL114" s="14">
        <v>45937</v>
      </c>
      <c r="AM114" s="14">
        <f t="shared" si="407"/>
        <v>46667</v>
      </c>
      <c r="AN114" s="65">
        <f t="shared" ca="1" si="242"/>
        <v>536</v>
      </c>
      <c r="AO114" s="15" t="str">
        <f t="shared" ca="1" si="243"/>
        <v>VIGENTE</v>
      </c>
      <c r="AP114" s="12"/>
      <c r="AQ114" s="14">
        <v>45904</v>
      </c>
      <c r="AR114" s="14">
        <f>DATE(YEAR(AQ114)+2,MONTH(AQ114),DAY(AQ114))</f>
        <v>46634</v>
      </c>
      <c r="AS114" s="65">
        <f t="shared" ca="1" si="244"/>
        <v>503</v>
      </c>
      <c r="AT114" s="15" t="str">
        <f t="shared" ca="1" si="245"/>
        <v>VIGENTE</v>
      </c>
      <c r="AU114" s="12"/>
      <c r="AV114" s="14">
        <v>45927</v>
      </c>
      <c r="AW114" s="14">
        <f>DATE(YEAR(AV114)+2,MONTH(AV114),DAY(AV114))</f>
        <v>46657</v>
      </c>
      <c r="AX114" s="65">
        <f t="shared" ca="1" si="246"/>
        <v>526</v>
      </c>
      <c r="AY114" s="15" t="str">
        <f t="shared" ca="1" si="247"/>
        <v>VIGENTE</v>
      </c>
      <c r="AZ114" s="13">
        <v>45387</v>
      </c>
      <c r="BA114" s="14">
        <v>46041</v>
      </c>
      <c r="BB114" s="14">
        <f>DATE(YEAR(BA114)+2,MONTH(BA114),DAY(BA114))</f>
        <v>46771</v>
      </c>
      <c r="BC114" s="65">
        <f t="shared" ca="1" si="248"/>
        <v>640</v>
      </c>
      <c r="BD114" s="15" t="str">
        <f t="shared" ca="1" si="249"/>
        <v>VIGENTE</v>
      </c>
      <c r="BE114" s="12"/>
      <c r="BF114" s="14">
        <v>45997</v>
      </c>
      <c r="BG114" s="14">
        <f>DATE(YEAR(BF114)+2,MONTH(BF114),DAY(BF114))</f>
        <v>46727</v>
      </c>
      <c r="BH114" s="65">
        <f t="shared" ca="1" si="250"/>
        <v>596</v>
      </c>
      <c r="BI114" s="15" t="str">
        <f t="shared" ca="1" si="251"/>
        <v>VIGENTE</v>
      </c>
      <c r="BJ114" s="13">
        <v>45348</v>
      </c>
      <c r="BK114" s="14">
        <v>46006</v>
      </c>
      <c r="BL114" s="14">
        <f>DATE(YEAR(BK114)+2,MONTH(BK114),DAY(BK114))</f>
        <v>46736</v>
      </c>
      <c r="BM114" s="65">
        <f t="shared" ca="1" si="252"/>
        <v>605</v>
      </c>
      <c r="BN114" s="15" t="str">
        <f t="shared" ca="1" si="253"/>
        <v>VIGENTE</v>
      </c>
      <c r="BO114" s="14">
        <v>45308</v>
      </c>
      <c r="BP114" s="14">
        <v>45981</v>
      </c>
      <c r="BQ114" s="14">
        <f>DATE(YEAR(BP114)+2,MONTH(BP114),DAY(BP114))</f>
        <v>46711</v>
      </c>
      <c r="BR114" s="65">
        <f t="shared" ca="1" si="254"/>
        <v>580</v>
      </c>
      <c r="BS114" s="15" t="str">
        <f t="shared" ca="1" si="255"/>
        <v>VIGENTE</v>
      </c>
      <c r="BT114" s="13">
        <v>45362</v>
      </c>
      <c r="BU114" s="14">
        <v>46031</v>
      </c>
      <c r="BV114" s="14">
        <f>DATE(YEAR(BU114)+2,MONTH(BU114),DAY(BU114))</f>
        <v>46761</v>
      </c>
      <c r="BW114" s="65">
        <f t="shared" ca="1" si="256"/>
        <v>630</v>
      </c>
      <c r="BX114" s="15" t="str">
        <f t="shared" ca="1" si="257"/>
        <v>VIGENTE</v>
      </c>
      <c r="BY114" s="12"/>
      <c r="BZ114" s="14">
        <v>45986</v>
      </c>
      <c r="CA114" s="14">
        <f t="shared" si="415"/>
        <v>46716</v>
      </c>
      <c r="CB114" s="65">
        <f t="shared" ca="1" si="258"/>
        <v>585</v>
      </c>
      <c r="CC114" s="15" t="str">
        <f t="shared" ca="1" si="259"/>
        <v>VIGENTE</v>
      </c>
      <c r="CD114" s="16" t="s">
        <v>108</v>
      </c>
      <c r="CE114" s="13">
        <v>45564</v>
      </c>
      <c r="CF114" s="14">
        <v>45565</v>
      </c>
      <c r="CG114" s="14">
        <f t="shared" si="408"/>
        <v>47026</v>
      </c>
      <c r="CH114" s="65">
        <f t="shared" ca="1" si="409"/>
        <v>895</v>
      </c>
      <c r="CI114" s="15" t="str">
        <f t="shared" ca="1" si="410"/>
        <v>VIGENTE</v>
      </c>
      <c r="CJ114" s="14">
        <v>45353</v>
      </c>
      <c r="CK114" s="14">
        <v>46018</v>
      </c>
      <c r="CL114" s="14">
        <f>DATE(YEAR(CK114)+2,MONTH(CK114),DAY(CK114))</f>
        <v>46748</v>
      </c>
      <c r="CM114" s="65">
        <f t="shared" ca="1" si="263"/>
        <v>617</v>
      </c>
      <c r="CN114" s="15" t="str">
        <f t="shared" ca="1" si="264"/>
        <v>VIGENTE</v>
      </c>
      <c r="CO114" s="14">
        <v>45305</v>
      </c>
      <c r="CP114" s="14">
        <v>45979</v>
      </c>
      <c r="CQ114" s="14">
        <f>DATE(YEAR(CP114)+2,MONTH(CP114),DAY(CP114))</f>
        <v>46709</v>
      </c>
      <c r="CR114" s="65">
        <f t="shared" ca="1" si="265"/>
        <v>578</v>
      </c>
      <c r="CS114" s="15" t="str">
        <f t="shared" ca="1" si="266"/>
        <v>VIGENTE</v>
      </c>
      <c r="CT114" s="12"/>
      <c r="CU114" s="14">
        <v>45905</v>
      </c>
      <c r="CV114" s="14">
        <f>DATE(YEAR(CU114)+2,MONTH(CU114),DAY(CU114))</f>
        <v>46635</v>
      </c>
      <c r="CW114" s="65">
        <f t="shared" ca="1" si="267"/>
        <v>504</v>
      </c>
      <c r="CX114" s="15" t="str">
        <f t="shared" ca="1" si="268"/>
        <v>VIGENTE</v>
      </c>
      <c r="CY114" s="13"/>
      <c r="CZ114" s="14">
        <v>46000</v>
      </c>
      <c r="DA114" s="14">
        <f>DATE(YEAR(CZ114)+2,MONTH(CZ114),DAY(CZ114))</f>
        <v>46730</v>
      </c>
      <c r="DB114" s="65">
        <f t="shared" ca="1" si="269"/>
        <v>599</v>
      </c>
      <c r="DC114" s="15" t="str">
        <f t="shared" ca="1" si="270"/>
        <v>VIGENTE</v>
      </c>
      <c r="DD114" s="13">
        <v>45328</v>
      </c>
      <c r="DE114" s="14">
        <v>45996</v>
      </c>
      <c r="DF114" s="14">
        <f>DATE(YEAR(DE114)+2,MONTH(DE114),DAY(DE114))</f>
        <v>46726</v>
      </c>
      <c r="DG114" s="65">
        <f t="shared" ca="1" si="271"/>
        <v>595</v>
      </c>
      <c r="DH114" s="15" t="str">
        <f t="shared" ca="1" si="272"/>
        <v>VIGENTE</v>
      </c>
      <c r="DI114" s="14">
        <v>45312</v>
      </c>
      <c r="DJ114" s="14">
        <v>45975</v>
      </c>
      <c r="DK114" s="14">
        <f>DATE(YEAR(DJ114)+2,MONTH(DJ114),DAY(DJ114))</f>
        <v>46705</v>
      </c>
      <c r="DL114" s="65">
        <f t="shared" ca="1" si="273"/>
        <v>574</v>
      </c>
      <c r="DM114" s="15" t="str">
        <f t="shared" ca="1" si="274"/>
        <v>VIGENTE</v>
      </c>
      <c r="DN114" s="13"/>
      <c r="DO114" s="14">
        <v>46007</v>
      </c>
      <c r="DP114" s="14">
        <f>DATE(YEAR(DO114)+2,MONTH(DO114),DAY(DO114))</f>
        <v>46737</v>
      </c>
      <c r="DQ114" s="65">
        <f t="shared" ca="1" si="275"/>
        <v>606</v>
      </c>
      <c r="DR114" s="15" t="str">
        <f t="shared" ca="1" si="276"/>
        <v>VIGENTE</v>
      </c>
      <c r="DS114" s="13">
        <v>45336</v>
      </c>
      <c r="DT114" s="14">
        <v>46003</v>
      </c>
      <c r="DU114" s="14">
        <f>DATE(YEAR(DT114)+2,MONTH(DT114),DAY(DT114))</f>
        <v>46733</v>
      </c>
      <c r="DV114" s="65">
        <f t="shared" ca="1" si="277"/>
        <v>602</v>
      </c>
      <c r="DW114" s="15" t="str">
        <f t="shared" ca="1" si="278"/>
        <v>VIGENTE</v>
      </c>
      <c r="DX114" s="14">
        <v>45355</v>
      </c>
      <c r="DY114" s="14">
        <v>46032</v>
      </c>
      <c r="DZ114" s="14">
        <f>DATE(YEAR(DY114)+2,MONTH(DY114),DAY(DY114))</f>
        <v>46762</v>
      </c>
      <c r="EA114" s="65">
        <f t="shared" ca="1" si="279"/>
        <v>631</v>
      </c>
      <c r="EB114" s="15" t="str">
        <f t="shared" ca="1" si="280"/>
        <v>VIGENTE</v>
      </c>
      <c r="EC114" s="14">
        <v>45341</v>
      </c>
      <c r="ED114" s="14">
        <v>45994</v>
      </c>
      <c r="EE114" s="14">
        <f>DATE(YEAR(ED114)+2,MONTH(ED114),DAY(ED114))</f>
        <v>46724</v>
      </c>
      <c r="EF114" s="65">
        <f t="shared" ca="1" si="281"/>
        <v>593</v>
      </c>
      <c r="EG114" s="15" t="str">
        <f t="shared" ca="1" si="282"/>
        <v>VIGENTE</v>
      </c>
      <c r="EH114" s="13"/>
      <c r="EI114" s="13">
        <v>46013</v>
      </c>
      <c r="EJ114" s="13">
        <v>46014</v>
      </c>
      <c r="EK114" s="13">
        <v>46015</v>
      </c>
      <c r="EL114" s="14">
        <f t="shared" si="344"/>
        <v>46380</v>
      </c>
      <c r="EM114" s="65">
        <f t="shared" ca="1" si="283"/>
        <v>249</v>
      </c>
      <c r="EN114" s="15" t="str">
        <f t="shared" ca="1" si="284"/>
        <v>VIGENTE</v>
      </c>
      <c r="EO114" s="13">
        <v>45346</v>
      </c>
      <c r="EP114" s="14">
        <v>45983</v>
      </c>
      <c r="EQ114" s="14">
        <f>DATE(YEAR(EP114)+2,MONTH(EP114),DAY(EP114))</f>
        <v>46713</v>
      </c>
      <c r="ER114" s="65">
        <f t="shared" ca="1" si="285"/>
        <v>582</v>
      </c>
      <c r="ES114" s="15" t="str">
        <f t="shared" ca="1" si="286"/>
        <v>VIGENTE</v>
      </c>
      <c r="ET114" s="12"/>
      <c r="EU114" s="14">
        <v>45999</v>
      </c>
      <c r="EV114" s="14">
        <f>DATE(YEAR(EU114)+2,MONTH(EU114),DAY(EU114))</f>
        <v>46729</v>
      </c>
      <c r="EW114" s="65">
        <f t="shared" ca="1" si="287"/>
        <v>598</v>
      </c>
      <c r="EX114" s="15" t="str">
        <f t="shared" ca="1" si="288"/>
        <v>VIGENTE</v>
      </c>
      <c r="EY114" s="13">
        <v>45360</v>
      </c>
      <c r="EZ114" s="14">
        <v>46037</v>
      </c>
      <c r="FA114" s="14">
        <f t="shared" si="416"/>
        <v>46767</v>
      </c>
      <c r="FB114" s="65">
        <f t="shared" ca="1" si="289"/>
        <v>636</v>
      </c>
      <c r="FC114" s="15" t="str">
        <f t="shared" ca="1" si="290"/>
        <v>VIGENTE</v>
      </c>
      <c r="FD114" s="12"/>
      <c r="FE114" s="14">
        <v>45988</v>
      </c>
      <c r="FF114" s="14">
        <f>DATE(YEAR(FE114)+2,MONTH(FE114),DAY(FE114))</f>
        <v>46718</v>
      </c>
      <c r="FG114" s="65">
        <f t="shared" ca="1" si="291"/>
        <v>587</v>
      </c>
      <c r="FH114" s="15" t="str">
        <f t="shared" ca="1" si="292"/>
        <v>VIGENTE</v>
      </c>
      <c r="FI114" s="13">
        <v>45342</v>
      </c>
      <c r="FJ114" s="14">
        <v>45962</v>
      </c>
      <c r="FK114" s="14">
        <f t="shared" si="417"/>
        <v>46692</v>
      </c>
      <c r="FL114" s="65">
        <f t="shared" ca="1" si="293"/>
        <v>561</v>
      </c>
      <c r="FM114" s="15" t="str">
        <f t="shared" ca="1" si="294"/>
        <v>VIGENTE</v>
      </c>
      <c r="FN114" s="14">
        <v>45359</v>
      </c>
      <c r="FO114" s="14">
        <v>46039</v>
      </c>
      <c r="FP114" s="14">
        <f>DATE(YEAR(FO114)+2,MONTH(FO114),DAY(FO114))</f>
        <v>46769</v>
      </c>
      <c r="FQ114" s="65">
        <f t="shared" ca="1" si="295"/>
        <v>638</v>
      </c>
      <c r="FR114" s="15" t="str">
        <f t="shared" ca="1" si="296"/>
        <v>VIGENTE</v>
      </c>
      <c r="FS114" s="14">
        <v>45358</v>
      </c>
      <c r="FT114" s="14">
        <v>46034</v>
      </c>
      <c r="FU114" s="14">
        <f>DATE(YEAR(FT114)+2,MONTH(FT114),DAY(FT114))</f>
        <v>46764</v>
      </c>
      <c r="FV114" s="65">
        <f t="shared" ca="1" si="297"/>
        <v>633</v>
      </c>
      <c r="FW114" s="15" t="str">
        <f t="shared" ca="1" si="298"/>
        <v>VIGENTE</v>
      </c>
      <c r="FX114" s="13">
        <v>45324</v>
      </c>
      <c r="FY114" s="14">
        <v>45993</v>
      </c>
      <c r="FZ114" s="14">
        <f>DATE(YEAR(FY114)+2,MONTH(FY114),DAY(FY114))</f>
        <v>46723</v>
      </c>
      <c r="GA114" s="65">
        <f t="shared" ca="1" si="299"/>
        <v>592</v>
      </c>
      <c r="GB114" s="15" t="str">
        <f t="shared" ca="1" si="300"/>
        <v>VIGENTE</v>
      </c>
      <c r="GC114" s="13"/>
      <c r="GD114" s="14">
        <v>45925</v>
      </c>
      <c r="GE114" s="14">
        <f>DATE(YEAR(GD114)+2,MONTH(GD114),DAY(GD114))</f>
        <v>46655</v>
      </c>
      <c r="GF114" s="65">
        <f t="shared" ca="1" si="301"/>
        <v>524</v>
      </c>
      <c r="GG114" s="15" t="str">
        <f t="shared" ca="1" si="302"/>
        <v>VIGENTE</v>
      </c>
      <c r="GH114" s="13">
        <v>45332</v>
      </c>
      <c r="GI114" s="14">
        <v>45960</v>
      </c>
      <c r="GJ114" s="14">
        <f>DATE(YEAR(GI114)+2,MONTH(GI114),DAY(GI114))</f>
        <v>46690</v>
      </c>
      <c r="GK114" s="65">
        <f t="shared" ca="1" si="303"/>
        <v>559</v>
      </c>
      <c r="GL114" s="15" t="str">
        <f t="shared" ca="1" si="304"/>
        <v>VIGENTE</v>
      </c>
      <c r="GM114" s="13"/>
      <c r="GN114" s="14">
        <v>45499</v>
      </c>
      <c r="GO114" s="14">
        <f>DATE(YEAR(GN114)+2,MONTH(GN114),DAY(GN114)-1)</f>
        <v>46228</v>
      </c>
      <c r="GP114" s="65">
        <f t="shared" ca="1" si="305"/>
        <v>97</v>
      </c>
      <c r="GQ114" s="15" t="str">
        <f t="shared" ca="1" si="306"/>
        <v>VIGENTE</v>
      </c>
      <c r="GR114" s="14"/>
      <c r="GS114" s="14">
        <v>45299</v>
      </c>
      <c r="GT114" s="14">
        <f t="shared" si="307"/>
        <v>47126</v>
      </c>
      <c r="GU114" s="65">
        <f t="shared" ca="1" si="398"/>
        <v>995</v>
      </c>
      <c r="GV114" s="15" t="str">
        <f t="shared" ca="1" si="411"/>
        <v>VIGENTE</v>
      </c>
      <c r="GW114" s="13"/>
      <c r="GX114" s="14">
        <v>45329</v>
      </c>
      <c r="GY114" s="14">
        <f t="shared" si="309"/>
        <v>47156</v>
      </c>
      <c r="GZ114" s="65">
        <f t="shared" ca="1" si="310"/>
        <v>1025</v>
      </c>
      <c r="HA114" s="15" t="str">
        <f t="shared" ca="1" si="412"/>
        <v>VIGENTE</v>
      </c>
      <c r="HB114" s="12"/>
      <c r="HC114" s="14">
        <v>45343</v>
      </c>
      <c r="HD114" s="14">
        <f t="shared" si="312"/>
        <v>47170</v>
      </c>
      <c r="HE114" s="65">
        <f t="shared" ca="1" si="313"/>
        <v>1039</v>
      </c>
      <c r="HF114" s="15" t="str">
        <f t="shared" ca="1" si="413"/>
        <v>VIGENTE</v>
      </c>
      <c r="HG114" s="16"/>
      <c r="HH114" s="14">
        <v>45317</v>
      </c>
      <c r="HI114" s="14">
        <f t="shared" si="396"/>
        <v>47144</v>
      </c>
      <c r="HJ114" s="65">
        <f t="shared" ca="1" si="397"/>
        <v>1013</v>
      </c>
      <c r="HK114" s="15" t="str">
        <f t="shared" ca="1" si="414"/>
        <v>VIGENTE</v>
      </c>
      <c r="HL114" s="12"/>
      <c r="HM114" s="16"/>
      <c r="HN114" s="14"/>
      <c r="HO114" s="65"/>
      <c r="HP114" s="15" t="str">
        <f t="shared" si="400"/>
        <v>NO APLICA</v>
      </c>
      <c r="HQ114" s="12"/>
      <c r="HR114" s="12"/>
      <c r="HS114" s="14"/>
      <c r="HT114" s="12"/>
      <c r="HU114" s="15" t="str">
        <f t="shared" si="315"/>
        <v>NO APLICA</v>
      </c>
      <c r="HV114" s="12"/>
      <c r="HW114" s="16"/>
      <c r="HX114" s="14"/>
      <c r="HY114" s="65"/>
      <c r="HZ114" s="15" t="str">
        <f t="shared" si="316"/>
        <v>NO APLICA</v>
      </c>
      <c r="IA114" s="12"/>
      <c r="IB114" s="16"/>
      <c r="IC114" s="14"/>
      <c r="ID114" s="65"/>
      <c r="IE114" s="15" t="str">
        <f t="shared" si="317"/>
        <v>NO APLICA</v>
      </c>
      <c r="IF114" s="12"/>
      <c r="IG114" s="16"/>
      <c r="IH114" s="14"/>
      <c r="II114" s="65"/>
      <c r="IJ114" s="15" t="str">
        <f t="shared" si="318"/>
        <v>NO APLICA</v>
      </c>
      <c r="IK114" s="16"/>
      <c r="IL114" s="16"/>
      <c r="IM114" s="14"/>
      <c r="IN114" s="65"/>
      <c r="IO114" s="15" t="str">
        <f t="shared" si="319"/>
        <v>NO APLICA</v>
      </c>
      <c r="IP114" s="12"/>
      <c r="IQ114" s="16"/>
      <c r="IR114" s="14"/>
      <c r="IS114" s="65"/>
      <c r="IT114" s="15" t="str">
        <f t="shared" si="320"/>
        <v>NO APLICA</v>
      </c>
      <c r="IU114" s="12"/>
      <c r="IV114" s="16"/>
      <c r="IW114" s="14"/>
      <c r="IX114" s="65"/>
      <c r="IY114" s="15" t="str">
        <f t="shared" si="321"/>
        <v>NO APLICA</v>
      </c>
      <c r="IZ114" s="12"/>
      <c r="JA114" s="16"/>
      <c r="JB114" s="14"/>
      <c r="JC114" s="65"/>
      <c r="JD114" s="15" t="str">
        <f t="shared" si="322"/>
        <v>NO APLICA</v>
      </c>
      <c r="JE114" s="13"/>
      <c r="JF114" s="13"/>
      <c r="JG114" s="14"/>
      <c r="JH114" s="65"/>
      <c r="JI114" s="15" t="str">
        <f t="shared" si="323"/>
        <v>NO APLICA</v>
      </c>
      <c r="JJ114" s="16"/>
      <c r="JK114" s="16"/>
      <c r="JL114" s="16"/>
      <c r="JM114" s="15" t="str">
        <f t="shared" si="324"/>
        <v>NO APLICA</v>
      </c>
      <c r="JN114" s="16"/>
      <c r="JO114" s="16"/>
      <c r="JP114" s="16"/>
      <c r="JQ114" s="15" t="str">
        <f t="shared" si="325"/>
        <v>NO APLICA</v>
      </c>
      <c r="JR114" s="16"/>
      <c r="JS114" s="16"/>
      <c r="JT114" s="16"/>
      <c r="JU114" s="16"/>
      <c r="JV114" s="15" t="str">
        <f t="shared" si="326"/>
        <v>NO APLICA</v>
      </c>
      <c r="JW114" s="15"/>
      <c r="JX114" s="15"/>
      <c r="JY114" s="15"/>
      <c r="JZ114" s="15"/>
      <c r="KA114" s="15" t="str">
        <f t="shared" si="327"/>
        <v>NO APLICA</v>
      </c>
      <c r="KB114" s="12"/>
      <c r="KC114" s="14"/>
      <c r="KD114" s="65"/>
      <c r="KE114" s="15" t="str">
        <f t="shared" si="328"/>
        <v>NO APLICA</v>
      </c>
      <c r="KF114" s="12"/>
      <c r="KG114" s="14"/>
      <c r="KH114" s="65"/>
      <c r="KI114" s="15" t="str">
        <f t="shared" si="345"/>
        <v>NO APLICA</v>
      </c>
      <c r="KJ114" s="12"/>
      <c r="KK114" s="14"/>
      <c r="KL114" s="65"/>
      <c r="KM114" s="15" t="str">
        <f t="shared" si="329"/>
        <v>NO APLICA</v>
      </c>
      <c r="KN114" s="12"/>
      <c r="KO114" s="14"/>
      <c r="KP114" s="65"/>
      <c r="KQ114" s="15" t="str">
        <f t="shared" si="346"/>
        <v>NO APLICA</v>
      </c>
      <c r="KR114" s="12"/>
      <c r="KS114" s="16"/>
      <c r="KT114" s="14"/>
      <c r="KU114" s="65"/>
      <c r="KV114" s="15" t="str">
        <f t="shared" si="355"/>
        <v>NO APLICA</v>
      </c>
      <c r="KW114" s="16"/>
      <c r="KX114" s="14"/>
      <c r="KY114" s="65"/>
      <c r="KZ114" s="15" t="str">
        <f t="shared" si="347"/>
        <v>NO APLICA</v>
      </c>
      <c r="LA114" s="16"/>
      <c r="LB114" s="16"/>
      <c r="LC114" s="14"/>
      <c r="LD114" s="65"/>
      <c r="LE114" s="15" t="str">
        <f t="shared" si="330"/>
        <v>NO APLICA</v>
      </c>
      <c r="LF114" s="15"/>
      <c r="LG114" s="15"/>
      <c r="LH114" s="14"/>
      <c r="LI114" s="65"/>
      <c r="LJ114" s="15" t="str">
        <f t="shared" si="356"/>
        <v>NO APLICA</v>
      </c>
      <c r="LK114" s="12"/>
      <c r="LL114" s="16"/>
      <c r="LM114" s="14"/>
      <c r="LN114" s="65"/>
      <c r="LO114" s="15" t="str">
        <f t="shared" si="348"/>
        <v>NO APLICA</v>
      </c>
      <c r="LP114" s="16"/>
      <c r="LQ114" s="16"/>
      <c r="LR114" s="14"/>
      <c r="LS114" s="65"/>
      <c r="LT114" s="15" t="str">
        <f t="shared" si="349"/>
        <v>NO APLICA</v>
      </c>
      <c r="LU114" s="16"/>
      <c r="LV114" s="16"/>
      <c r="LW114" s="14"/>
      <c r="LX114" s="65"/>
      <c r="LY114" s="15" t="str">
        <f t="shared" si="350"/>
        <v>NO APLICA</v>
      </c>
      <c r="LZ114" s="12"/>
      <c r="MA114" s="12"/>
      <c r="MB114" s="14"/>
      <c r="MC114" s="65"/>
      <c r="MD114" s="15" t="str">
        <f t="shared" si="331"/>
        <v>NO APLICA</v>
      </c>
      <c r="ME114" s="12"/>
      <c r="MF114" s="12"/>
      <c r="MG114" s="14"/>
      <c r="MH114" s="65"/>
      <c r="MI114" s="15" t="str">
        <f t="shared" si="332"/>
        <v>NO APLICA</v>
      </c>
      <c r="MJ114" s="12"/>
      <c r="MK114" s="14"/>
      <c r="ML114" s="65"/>
      <c r="MM114" s="15" t="str">
        <f t="shared" si="333"/>
        <v>NO APLICA</v>
      </c>
      <c r="MN114" s="12"/>
      <c r="MO114" s="12"/>
      <c r="MP114" s="12"/>
      <c r="MQ114" s="15" t="str">
        <f t="shared" si="334"/>
        <v>NO APLICA</v>
      </c>
      <c r="MR114" s="12"/>
      <c r="MS114" s="16"/>
      <c r="MT114" s="14"/>
      <c r="MU114" s="65"/>
      <c r="MV114" s="15" t="str">
        <f t="shared" si="335"/>
        <v>NO APLICA</v>
      </c>
      <c r="MW114" s="12"/>
      <c r="MX114" s="16"/>
      <c r="MY114" s="14"/>
      <c r="MZ114" s="65"/>
      <c r="NA114" s="15" t="str">
        <f t="shared" si="336"/>
        <v>NO APLICA</v>
      </c>
      <c r="NB114" s="12"/>
      <c r="NC114" s="16"/>
      <c r="ND114" s="14"/>
      <c r="NE114" s="65"/>
      <c r="NF114" s="15" t="str">
        <f t="shared" si="337"/>
        <v>NO APLICA</v>
      </c>
      <c r="NG114" s="12"/>
      <c r="NH114" s="12"/>
      <c r="NI114" s="14"/>
      <c r="NJ114" s="65"/>
      <c r="NK114" s="15" t="str">
        <f t="shared" si="338"/>
        <v>NO APLICA</v>
      </c>
      <c r="NL114" s="12"/>
      <c r="NM114" s="12"/>
      <c r="NN114" s="14"/>
      <c r="NO114" s="12"/>
      <c r="NP114" s="15" t="str">
        <f t="shared" si="339"/>
        <v>NO APLICA</v>
      </c>
      <c r="NQ114" s="16"/>
      <c r="NR114" s="16"/>
      <c r="NS114" s="14"/>
      <c r="NT114" s="65"/>
      <c r="NU114" s="15" t="str">
        <f t="shared" si="340"/>
        <v>NO APLICA</v>
      </c>
      <c r="NV114" s="16"/>
      <c r="NW114" s="16"/>
      <c r="NX114" s="16"/>
      <c r="NY114" s="16"/>
      <c r="NZ114" s="15" t="str">
        <f t="shared" si="341"/>
        <v>NO APLICA</v>
      </c>
    </row>
    <row r="115" spans="1:390" ht="15.6" thickTop="1" thickBot="1" x14ac:dyDescent="0.35">
      <c r="A115" s="11">
        <v>1727</v>
      </c>
      <c r="B115" s="10" t="s">
        <v>444</v>
      </c>
      <c r="C115" s="21" t="s">
        <v>104</v>
      </c>
      <c r="D115" s="64" t="s">
        <v>110</v>
      </c>
      <c r="E115" s="16"/>
      <c r="F115" s="16"/>
      <c r="G115" s="16"/>
      <c r="H115" s="16"/>
      <c r="I115" s="15" t="str">
        <f t="shared" si="235"/>
        <v>NO APLICA</v>
      </c>
      <c r="J115" s="16"/>
      <c r="K115" s="16"/>
      <c r="L115" s="16"/>
      <c r="M115" s="16"/>
      <c r="N115" s="15" t="str">
        <f t="shared" si="236"/>
        <v>NO APLICA</v>
      </c>
      <c r="O115" s="16"/>
      <c r="P115" s="16"/>
      <c r="Q115" s="16"/>
      <c r="R115" s="16"/>
      <c r="S115" s="15" t="str">
        <f t="shared" si="342"/>
        <v>NO APLICA</v>
      </c>
      <c r="T115" s="16" t="s">
        <v>445</v>
      </c>
      <c r="U115" s="14">
        <v>45336</v>
      </c>
      <c r="V115" s="14">
        <v>45337</v>
      </c>
      <c r="W115" s="14">
        <f t="shared" si="401"/>
        <v>47164</v>
      </c>
      <c r="X115" s="65">
        <f t="shared" ca="1" si="402"/>
        <v>1033</v>
      </c>
      <c r="Y115" s="15" t="str">
        <f t="shared" ca="1" si="403"/>
        <v>VIGENTE</v>
      </c>
      <c r="Z115" s="16" t="s">
        <v>446</v>
      </c>
      <c r="AA115" s="14">
        <v>45576</v>
      </c>
      <c r="AB115" s="14">
        <v>45577</v>
      </c>
      <c r="AC115" s="14">
        <f t="shared" si="404"/>
        <v>47403</v>
      </c>
      <c r="AD115" s="65">
        <f t="shared" ca="1" si="405"/>
        <v>1272</v>
      </c>
      <c r="AE115" s="15" t="str">
        <f t="shared" ca="1" si="406"/>
        <v>VIGENTE</v>
      </c>
      <c r="AF115" s="14">
        <v>45314</v>
      </c>
      <c r="AG115" s="14">
        <v>46006</v>
      </c>
      <c r="AH115" s="14">
        <f>DATE(YEAR(AG115)+2,MONTH(AG115),DAY(AG115))</f>
        <v>46736</v>
      </c>
      <c r="AI115" s="65">
        <f t="shared" ca="1" si="241"/>
        <v>605</v>
      </c>
      <c r="AJ115" s="15" t="str">
        <f t="shared" ca="1" si="399"/>
        <v>VIGENTE</v>
      </c>
      <c r="AK115" s="16"/>
      <c r="AL115" s="14">
        <v>45937</v>
      </c>
      <c r="AM115" s="14">
        <f t="shared" si="407"/>
        <v>46667</v>
      </c>
      <c r="AN115" s="65">
        <f t="shared" ca="1" si="242"/>
        <v>536</v>
      </c>
      <c r="AO115" s="15" t="str">
        <f t="shared" ca="1" si="243"/>
        <v>VIGENTE</v>
      </c>
      <c r="AP115" s="14">
        <v>45398</v>
      </c>
      <c r="AQ115" s="14">
        <v>46083</v>
      </c>
      <c r="AR115" s="14">
        <f>DATE(YEAR(AQ115)+2,MONTH(AQ115),DAY(AQ115))</f>
        <v>46814</v>
      </c>
      <c r="AS115" s="65">
        <f t="shared" ca="1" si="244"/>
        <v>683</v>
      </c>
      <c r="AT115" s="15" t="str">
        <f t="shared" ca="1" si="245"/>
        <v>VIGENTE</v>
      </c>
      <c r="AU115" s="14">
        <v>45323</v>
      </c>
      <c r="AV115" s="14">
        <v>45990</v>
      </c>
      <c r="AW115" s="14">
        <f>DATE(YEAR(AV115)+2,MONTH(AV115),DAY(AV115))</f>
        <v>46720</v>
      </c>
      <c r="AX115" s="65">
        <f t="shared" ca="1" si="246"/>
        <v>589</v>
      </c>
      <c r="AY115" s="15" t="str">
        <f t="shared" ca="1" si="247"/>
        <v>VIGENTE</v>
      </c>
      <c r="AZ115" s="14">
        <v>45387</v>
      </c>
      <c r="BA115" s="14">
        <v>46071</v>
      </c>
      <c r="BB115" s="14">
        <f>DATE(YEAR(BA115)+2,MONTH(BA115),DAY(BA115))</f>
        <v>46801</v>
      </c>
      <c r="BC115" s="65">
        <f t="shared" ca="1" si="248"/>
        <v>670</v>
      </c>
      <c r="BD115" s="15" t="str">
        <f t="shared" ca="1" si="249"/>
        <v>VIGENTE</v>
      </c>
      <c r="BE115" s="16"/>
      <c r="BF115" s="14">
        <v>45987</v>
      </c>
      <c r="BG115" s="14">
        <f>DATE(YEAR(BF115)+2,MONTH(BF115),DAY(BF115))</f>
        <v>46717</v>
      </c>
      <c r="BH115" s="65">
        <f t="shared" ca="1" si="250"/>
        <v>586</v>
      </c>
      <c r="BI115" s="15" t="str">
        <f t="shared" ca="1" si="251"/>
        <v>VIGENTE</v>
      </c>
      <c r="BJ115" s="14">
        <v>45372</v>
      </c>
      <c r="BK115" s="14">
        <v>46007</v>
      </c>
      <c r="BL115" s="14">
        <f>DATE(YEAR(BK115)+2,MONTH(BK115),DAY(BK115))</f>
        <v>46737</v>
      </c>
      <c r="BM115" s="65">
        <f t="shared" ca="1" si="252"/>
        <v>606</v>
      </c>
      <c r="BN115" s="15" t="str">
        <f t="shared" ca="1" si="253"/>
        <v>VIGENTE</v>
      </c>
      <c r="BO115" s="14"/>
      <c r="BP115" s="14">
        <v>45988</v>
      </c>
      <c r="BQ115" s="14">
        <f>DATE(YEAR(BP115)+2,MONTH(BP115),DAY(BP115))</f>
        <v>46718</v>
      </c>
      <c r="BR115" s="65">
        <f t="shared" ca="1" si="254"/>
        <v>587</v>
      </c>
      <c r="BS115" s="15" t="str">
        <f t="shared" ca="1" si="255"/>
        <v>VIGENTE</v>
      </c>
      <c r="BT115" s="13">
        <v>45362</v>
      </c>
      <c r="BU115" s="14">
        <v>46031</v>
      </c>
      <c r="BV115" s="14">
        <f>DATE(YEAR(BU115)+2,MONTH(BU115),DAY(BU115))</f>
        <v>46761</v>
      </c>
      <c r="BW115" s="65">
        <f t="shared" ca="1" si="256"/>
        <v>630</v>
      </c>
      <c r="BX115" s="15" t="str">
        <f t="shared" ca="1" si="257"/>
        <v>VIGENTE</v>
      </c>
      <c r="BY115" s="14">
        <v>45435</v>
      </c>
      <c r="BZ115" s="14">
        <v>46095</v>
      </c>
      <c r="CA115" s="14">
        <f t="shared" si="415"/>
        <v>46826</v>
      </c>
      <c r="CB115" s="65">
        <f t="shared" ca="1" si="258"/>
        <v>695</v>
      </c>
      <c r="CC115" s="15" t="str">
        <f t="shared" ca="1" si="259"/>
        <v>VIGENTE</v>
      </c>
      <c r="CD115" s="16" t="s">
        <v>108</v>
      </c>
      <c r="CE115" s="14">
        <v>45392</v>
      </c>
      <c r="CF115" s="14">
        <v>45393</v>
      </c>
      <c r="CG115" s="14">
        <f t="shared" si="408"/>
        <v>46854</v>
      </c>
      <c r="CH115" s="65">
        <f t="shared" ca="1" si="409"/>
        <v>723</v>
      </c>
      <c r="CI115" s="15" t="str">
        <f t="shared" ca="1" si="410"/>
        <v>VIGENTE</v>
      </c>
      <c r="CJ115" s="14">
        <v>45363</v>
      </c>
      <c r="CK115" s="14">
        <v>46018</v>
      </c>
      <c r="CL115" s="14">
        <f>DATE(YEAR(CK115)+2,MONTH(CK115),DAY(CK115))</f>
        <v>46748</v>
      </c>
      <c r="CM115" s="65">
        <f t="shared" ca="1" si="263"/>
        <v>617</v>
      </c>
      <c r="CN115" s="15" t="str">
        <f t="shared" ca="1" si="264"/>
        <v>VIGENTE</v>
      </c>
      <c r="CO115" s="14">
        <v>45428</v>
      </c>
      <c r="CP115" s="14">
        <v>46101</v>
      </c>
      <c r="CQ115" s="14">
        <f>DATE(YEAR(CP115)+2,MONTH(CP115),DAY(CP115))</f>
        <v>46832</v>
      </c>
      <c r="CR115" s="65">
        <f t="shared" ca="1" si="265"/>
        <v>701</v>
      </c>
      <c r="CS115" s="15" t="str">
        <f t="shared" ca="1" si="266"/>
        <v>VIGENTE</v>
      </c>
      <c r="CT115" s="14">
        <v>45361</v>
      </c>
      <c r="CU115" s="14">
        <v>46069</v>
      </c>
      <c r="CV115" s="14">
        <f>DATE(YEAR(CU115)+2,MONTH(CU115),DAY(CU115))</f>
        <v>46799</v>
      </c>
      <c r="CW115" s="65">
        <f t="shared" ca="1" si="267"/>
        <v>668</v>
      </c>
      <c r="CX115" s="15" t="str">
        <f t="shared" ca="1" si="268"/>
        <v>VIGENTE</v>
      </c>
      <c r="CY115" s="14"/>
      <c r="CZ115" s="14">
        <v>46000</v>
      </c>
      <c r="DA115" s="14">
        <f>DATE(YEAR(CZ115)+2,MONTH(CZ115),DAY(CZ115))</f>
        <v>46730</v>
      </c>
      <c r="DB115" s="65">
        <f t="shared" ca="1" si="269"/>
        <v>599</v>
      </c>
      <c r="DC115" s="15" t="str">
        <f t="shared" ca="1" si="270"/>
        <v>VIGENTE</v>
      </c>
      <c r="DD115" s="14">
        <v>45365</v>
      </c>
      <c r="DE115" s="14">
        <v>45996</v>
      </c>
      <c r="DF115" s="14">
        <f>DATE(YEAR(DE115)+2,MONTH(DE115),DAY(DE115))</f>
        <v>46726</v>
      </c>
      <c r="DG115" s="65">
        <f t="shared" ca="1" si="271"/>
        <v>595</v>
      </c>
      <c r="DH115" s="15" t="str">
        <f t="shared" ca="1" si="272"/>
        <v>VIGENTE</v>
      </c>
      <c r="DI115" s="16"/>
      <c r="DJ115" s="14">
        <v>46073</v>
      </c>
      <c r="DK115" s="14">
        <f>DATE(YEAR(DJ115)+2,MONTH(DJ115),DAY(DJ115))</f>
        <v>46803</v>
      </c>
      <c r="DL115" s="65">
        <f t="shared" ca="1" si="273"/>
        <v>672</v>
      </c>
      <c r="DM115" s="15" t="str">
        <f t="shared" ca="1" si="274"/>
        <v>VIGENTE</v>
      </c>
      <c r="DN115" s="14"/>
      <c r="DO115" s="14">
        <v>46046</v>
      </c>
      <c r="DP115" s="14">
        <f>DATE(YEAR(DO115)+2,MONTH(DO115),DAY(DO115))</f>
        <v>46776</v>
      </c>
      <c r="DQ115" s="65">
        <f t="shared" ca="1" si="275"/>
        <v>645</v>
      </c>
      <c r="DR115" s="15" t="str">
        <f t="shared" ca="1" si="276"/>
        <v>VIGENTE</v>
      </c>
      <c r="DS115" s="16"/>
      <c r="DT115" s="14">
        <v>46053</v>
      </c>
      <c r="DU115" s="14">
        <f>DATE(YEAR(DT115)+2,MONTH(DT115),DAY(DT115))</f>
        <v>46783</v>
      </c>
      <c r="DV115" s="65">
        <f t="shared" ca="1" si="277"/>
        <v>652</v>
      </c>
      <c r="DW115" s="15" t="str">
        <f t="shared" ca="1" si="278"/>
        <v>VIGENTE</v>
      </c>
      <c r="DX115" s="14">
        <v>45432</v>
      </c>
      <c r="DY115" s="14">
        <v>46099</v>
      </c>
      <c r="DZ115" s="14">
        <f>DATE(YEAR(DY115)+2,MONTH(DY115),DAY(DY115))</f>
        <v>46830</v>
      </c>
      <c r="EA115" s="65">
        <f t="shared" ca="1" si="279"/>
        <v>699</v>
      </c>
      <c r="EB115" s="15" t="str">
        <f t="shared" ca="1" si="280"/>
        <v>VIGENTE</v>
      </c>
      <c r="EC115" s="14"/>
      <c r="ED115" s="14">
        <v>45494</v>
      </c>
      <c r="EE115" s="14">
        <f>DATE(YEAR(ED115)+2,MONTH(ED115),DAY(ED115)-1)</f>
        <v>46223</v>
      </c>
      <c r="EF115" s="65">
        <f t="shared" ca="1" si="281"/>
        <v>92</v>
      </c>
      <c r="EG115" s="15" t="str">
        <f t="shared" ca="1" si="282"/>
        <v>VIGENTE</v>
      </c>
      <c r="EH115" s="14">
        <v>45434</v>
      </c>
      <c r="EI115" s="14">
        <v>45806</v>
      </c>
      <c r="EJ115" s="14">
        <v>45807</v>
      </c>
      <c r="EK115" s="14">
        <v>45808</v>
      </c>
      <c r="EL115" s="14">
        <f t="shared" si="344"/>
        <v>46173</v>
      </c>
      <c r="EM115" s="65">
        <f t="shared" ca="1" si="283"/>
        <v>42</v>
      </c>
      <c r="EN115" s="15" t="str">
        <f t="shared" ca="1" si="284"/>
        <v>POR VENCER</v>
      </c>
      <c r="EO115" s="14"/>
      <c r="EP115" s="14">
        <v>45465</v>
      </c>
      <c r="EQ115" s="14">
        <f>DATE(YEAR(EP115)+2,MONTH(EP115),DAY(EP115)-1)</f>
        <v>46194</v>
      </c>
      <c r="ER115" s="65">
        <f t="shared" ca="1" si="285"/>
        <v>63</v>
      </c>
      <c r="ES115" s="15" t="str">
        <f t="shared" ca="1" si="286"/>
        <v>POR VENCER</v>
      </c>
      <c r="ET115" s="16"/>
      <c r="EU115" s="14">
        <v>45999</v>
      </c>
      <c r="EV115" s="14">
        <f>DATE(YEAR(EU115)+2,MONTH(EU115),DAY(EU115))</f>
        <v>46729</v>
      </c>
      <c r="EW115" s="65">
        <f t="shared" ca="1" si="287"/>
        <v>598</v>
      </c>
      <c r="EX115" s="15" t="str">
        <f t="shared" ca="1" si="288"/>
        <v>VIGENTE</v>
      </c>
      <c r="EY115" s="14">
        <v>45373</v>
      </c>
      <c r="EZ115" s="14">
        <v>46063</v>
      </c>
      <c r="FA115" s="14">
        <f t="shared" si="416"/>
        <v>46793</v>
      </c>
      <c r="FB115" s="65">
        <f t="shared" ca="1" si="289"/>
        <v>662</v>
      </c>
      <c r="FC115" s="15" t="str">
        <f t="shared" ca="1" si="290"/>
        <v>VIGENTE</v>
      </c>
      <c r="FD115" s="16"/>
      <c r="FE115" s="14">
        <v>45638</v>
      </c>
      <c r="FF115" s="14">
        <f>DATE(YEAR(FE115)+2,MONTH(FE115),DAY(FE115)-1)</f>
        <v>46367</v>
      </c>
      <c r="FG115" s="65">
        <f t="shared" ca="1" si="291"/>
        <v>236</v>
      </c>
      <c r="FH115" s="15" t="str">
        <f t="shared" ca="1" si="292"/>
        <v>VIGENTE</v>
      </c>
      <c r="FI115" s="16"/>
      <c r="FJ115" s="14">
        <v>46066</v>
      </c>
      <c r="FK115" s="14">
        <f t="shared" si="417"/>
        <v>46796</v>
      </c>
      <c r="FL115" s="65">
        <f t="shared" ca="1" si="293"/>
        <v>665</v>
      </c>
      <c r="FM115" s="15" t="str">
        <f t="shared" ca="1" si="294"/>
        <v>VIGENTE</v>
      </c>
      <c r="FN115" s="14"/>
      <c r="FO115" s="14">
        <v>46102</v>
      </c>
      <c r="FP115" s="14">
        <f>DATE(YEAR(FO115)+2,MONTH(FO115),DAY(FO115))</f>
        <v>46833</v>
      </c>
      <c r="FQ115" s="65">
        <f t="shared" ca="1" si="295"/>
        <v>702</v>
      </c>
      <c r="FR115" s="15" t="str">
        <f t="shared" ca="1" si="296"/>
        <v>VIGENTE</v>
      </c>
      <c r="FS115" s="14">
        <v>45376</v>
      </c>
      <c r="FT115" s="14">
        <v>46034</v>
      </c>
      <c r="FU115" s="14">
        <f>DATE(YEAR(FT115)+2,MONTH(FT115),DAY(FT115))</f>
        <v>46764</v>
      </c>
      <c r="FV115" s="65">
        <f t="shared" ca="1" si="297"/>
        <v>633</v>
      </c>
      <c r="FW115" s="15" t="str">
        <f t="shared" ca="1" si="298"/>
        <v>VIGENTE</v>
      </c>
      <c r="FX115" s="14"/>
      <c r="FY115" s="14">
        <v>45491</v>
      </c>
      <c r="FZ115" s="14">
        <f>DATE(YEAR(FY115)+2,MONTH(FY115),DAY(FY115)-1)</f>
        <v>46220</v>
      </c>
      <c r="GA115" s="65">
        <f t="shared" ca="1" si="299"/>
        <v>89</v>
      </c>
      <c r="GB115" s="15" t="str">
        <f t="shared" ca="1" si="300"/>
        <v>POR VENCER</v>
      </c>
      <c r="GC115" s="13">
        <v>45371</v>
      </c>
      <c r="GD115" s="14">
        <v>46030</v>
      </c>
      <c r="GE115" s="14">
        <f>DATE(YEAR(GD115)+2,MONTH(GD115),DAY(GD115))</f>
        <v>46760</v>
      </c>
      <c r="GF115" s="65">
        <f t="shared" ca="1" si="301"/>
        <v>629</v>
      </c>
      <c r="GG115" s="15" t="str">
        <f t="shared" ca="1" si="302"/>
        <v>VIGENTE</v>
      </c>
      <c r="GH115" s="14"/>
      <c r="GI115" s="14">
        <v>46079</v>
      </c>
      <c r="GJ115" s="14">
        <f>DATE(YEAR(GI115)+2,MONTH(GI115),DAY(GI115))</f>
        <v>46809</v>
      </c>
      <c r="GK115" s="65">
        <f t="shared" ca="1" si="303"/>
        <v>678</v>
      </c>
      <c r="GL115" s="15" t="str">
        <f t="shared" ca="1" si="304"/>
        <v>VIGENTE</v>
      </c>
      <c r="GM115" s="13">
        <v>45368</v>
      </c>
      <c r="GN115" s="14">
        <v>46044</v>
      </c>
      <c r="GO115" s="14">
        <f>DATE(YEAR(GN115)+2,MONTH(GN115),DAY(GN115))</f>
        <v>46774</v>
      </c>
      <c r="GP115" s="65">
        <f t="shared" ca="1" si="305"/>
        <v>643</v>
      </c>
      <c r="GQ115" s="15" t="str">
        <f t="shared" ca="1" si="306"/>
        <v>VIGENTE</v>
      </c>
      <c r="GR115" s="14"/>
      <c r="GS115" s="14">
        <v>45367</v>
      </c>
      <c r="GT115" s="14">
        <f t="shared" si="307"/>
        <v>47193</v>
      </c>
      <c r="GU115" s="65">
        <f t="shared" ca="1" si="398"/>
        <v>1062</v>
      </c>
      <c r="GV115" s="15" t="str">
        <f t="shared" ca="1" si="411"/>
        <v>VIGENTE</v>
      </c>
      <c r="GW115" s="14"/>
      <c r="GX115" s="16"/>
      <c r="GY115" s="14">
        <f t="shared" si="309"/>
        <v>1827</v>
      </c>
      <c r="GZ115" s="65">
        <f t="shared" ca="1" si="310"/>
        <v>-44304</v>
      </c>
      <c r="HA115" s="15" t="str">
        <f ca="1">IF(GZ115&gt;=61,"VIGENTE",IF(GZ115&gt;=1,"POR VENCER",IF(GZ115&lt;=-1,"PROGRAMAR",IF(GX115=0,"NO APLICA"))))</f>
        <v>PROGRAMAR</v>
      </c>
      <c r="HB115" s="16"/>
      <c r="HC115" s="14">
        <v>45479</v>
      </c>
      <c r="HD115" s="14">
        <f t="shared" si="312"/>
        <v>47305</v>
      </c>
      <c r="HE115" s="65">
        <f t="shared" ca="1" si="313"/>
        <v>1174</v>
      </c>
      <c r="HF115" s="15" t="str">
        <f t="shared" ca="1" si="413"/>
        <v>VIGENTE</v>
      </c>
      <c r="HG115" s="16"/>
      <c r="HH115" s="16"/>
      <c r="HI115" s="14">
        <f t="shared" si="396"/>
        <v>1827</v>
      </c>
      <c r="HJ115" s="65">
        <f t="shared" ca="1" si="397"/>
        <v>-44304</v>
      </c>
      <c r="HK115" s="15" t="str">
        <f ca="1">IF(HJ115&gt;=61,"VIGENTE",IF(HJ115&gt;=1,"POR VENCER",IF(HJ115&lt;=-1,"PROGRAMAR",IF(HH115=0,"NO APLICA"))))</f>
        <v>PROGRAMAR</v>
      </c>
      <c r="HL115" s="16"/>
      <c r="HM115" s="16"/>
      <c r="HN115" s="14"/>
      <c r="HO115" s="65"/>
      <c r="HP115" s="15" t="str">
        <f t="shared" si="400"/>
        <v>NO APLICA</v>
      </c>
      <c r="HQ115" s="12"/>
      <c r="HR115" s="12"/>
      <c r="HS115" s="14"/>
      <c r="HT115" s="12"/>
      <c r="HU115" s="15" t="str">
        <f t="shared" si="315"/>
        <v>NO APLICA</v>
      </c>
      <c r="HV115" s="16"/>
      <c r="HW115" s="16"/>
      <c r="HX115" s="14"/>
      <c r="HY115" s="65"/>
      <c r="HZ115" s="15" t="str">
        <f t="shared" si="316"/>
        <v>NO APLICA</v>
      </c>
      <c r="IA115" s="16"/>
      <c r="IB115" s="16"/>
      <c r="IC115" s="14"/>
      <c r="ID115" s="65"/>
      <c r="IE115" s="15" t="str">
        <f t="shared" si="317"/>
        <v>NO APLICA</v>
      </c>
      <c r="IF115" s="16"/>
      <c r="IG115" s="16"/>
      <c r="IH115" s="14"/>
      <c r="II115" s="65"/>
      <c r="IJ115" s="15" t="str">
        <f t="shared" si="318"/>
        <v>NO APLICA</v>
      </c>
      <c r="IK115" s="16"/>
      <c r="IL115" s="16"/>
      <c r="IM115" s="14"/>
      <c r="IN115" s="16"/>
      <c r="IO115" s="15" t="str">
        <f t="shared" si="319"/>
        <v>NO APLICA</v>
      </c>
      <c r="IP115" s="16"/>
      <c r="IQ115" s="16"/>
      <c r="IR115" s="14"/>
      <c r="IS115" s="65"/>
      <c r="IT115" s="15" t="str">
        <f t="shared" si="320"/>
        <v>NO APLICA</v>
      </c>
      <c r="IU115" s="16"/>
      <c r="IV115" s="16"/>
      <c r="IW115" s="14"/>
      <c r="IX115" s="65"/>
      <c r="IY115" s="15" t="str">
        <f t="shared" si="321"/>
        <v>NO APLICA</v>
      </c>
      <c r="IZ115" s="16"/>
      <c r="JA115" s="16"/>
      <c r="JB115" s="14"/>
      <c r="JC115" s="65"/>
      <c r="JD115" s="15" t="str">
        <f t="shared" si="322"/>
        <v>NO APLICA</v>
      </c>
      <c r="JE115" s="13"/>
      <c r="JF115" s="13"/>
      <c r="JG115" s="14"/>
      <c r="JH115" s="65"/>
      <c r="JI115" s="15" t="str">
        <f t="shared" si="323"/>
        <v>NO APLICA</v>
      </c>
      <c r="JJ115" s="16"/>
      <c r="JK115" s="16"/>
      <c r="JL115" s="16"/>
      <c r="JM115" s="15" t="str">
        <f t="shared" si="324"/>
        <v>NO APLICA</v>
      </c>
      <c r="JN115" s="16"/>
      <c r="JO115" s="16"/>
      <c r="JP115" s="16"/>
      <c r="JQ115" s="15" t="str">
        <f t="shared" si="325"/>
        <v>NO APLICA</v>
      </c>
      <c r="JR115" s="16"/>
      <c r="JS115" s="16"/>
      <c r="JT115" s="16"/>
      <c r="JU115" s="16"/>
      <c r="JV115" s="15" t="str">
        <f t="shared" si="326"/>
        <v>NO APLICA</v>
      </c>
      <c r="JW115" s="15"/>
      <c r="JX115" s="15"/>
      <c r="JY115" s="15"/>
      <c r="JZ115" s="15"/>
      <c r="KA115" s="15" t="str">
        <f t="shared" si="327"/>
        <v>NO APLICA</v>
      </c>
      <c r="KB115" s="12"/>
      <c r="KC115" s="14"/>
      <c r="KD115" s="65"/>
      <c r="KE115" s="15" t="str">
        <f t="shared" si="328"/>
        <v>NO APLICA</v>
      </c>
      <c r="KF115" s="14">
        <v>45328</v>
      </c>
      <c r="KG115" s="14">
        <f>DATE(YEAR(KF115)+5,MONTH(KF115),DAY(KF115)-1)</f>
        <v>47154</v>
      </c>
      <c r="KH115" s="65">
        <f ca="1">KG115-TODAY()</f>
        <v>1023</v>
      </c>
      <c r="KI115" s="15" t="str">
        <f t="shared" ca="1" si="345"/>
        <v>VIGENTE</v>
      </c>
      <c r="KJ115" s="12"/>
      <c r="KK115" s="14"/>
      <c r="KL115" s="65"/>
      <c r="KM115" s="15" t="str">
        <f t="shared" si="329"/>
        <v>NO APLICA</v>
      </c>
      <c r="KN115" s="13">
        <v>45346</v>
      </c>
      <c r="KO115" s="14">
        <f>DATE(YEAR(KN115)+5,MONTH(KN115),DAY(KN115))</f>
        <v>47173</v>
      </c>
      <c r="KP115" s="65">
        <f ca="1">KO115-TODAY()</f>
        <v>1042</v>
      </c>
      <c r="KQ115" s="15" t="str">
        <f t="shared" ca="1" si="346"/>
        <v>VIGENTE</v>
      </c>
      <c r="KR115" s="16"/>
      <c r="KS115" s="16"/>
      <c r="KT115" s="14"/>
      <c r="KU115" s="16"/>
      <c r="KV115" s="15" t="str">
        <f t="shared" si="355"/>
        <v>NO APLICA</v>
      </c>
      <c r="KW115" s="16"/>
      <c r="KX115" s="14"/>
      <c r="KY115" s="16"/>
      <c r="KZ115" s="15" t="str">
        <f t="shared" si="347"/>
        <v>NO APLICA</v>
      </c>
      <c r="LA115" s="16"/>
      <c r="LB115" s="14">
        <v>45530</v>
      </c>
      <c r="LC115" s="14">
        <f>DATE(YEAR(LB115)+2,MONTH(LB115),DAY(LB115))</f>
        <v>46260</v>
      </c>
      <c r="LD115" s="65">
        <f ca="1">LC115-TODAY()</f>
        <v>129</v>
      </c>
      <c r="LE115" s="15" t="str">
        <f t="shared" ca="1" si="330"/>
        <v>VIGENTE</v>
      </c>
      <c r="LF115" s="15"/>
      <c r="LG115" s="15"/>
      <c r="LH115" s="15"/>
      <c r="LI115" s="15"/>
      <c r="LJ115" s="15" t="str">
        <f t="shared" si="356"/>
        <v>NO APLICA</v>
      </c>
      <c r="LK115" s="16"/>
      <c r="LL115" s="16"/>
      <c r="LM115" s="14"/>
      <c r="LN115" s="65"/>
      <c r="LO115" s="15" t="str">
        <f t="shared" si="348"/>
        <v>NO APLICA</v>
      </c>
      <c r="LP115" s="16"/>
      <c r="LQ115" s="16"/>
      <c r="LR115" s="14"/>
      <c r="LS115" s="16"/>
      <c r="LT115" s="15" t="str">
        <f t="shared" si="349"/>
        <v>NO APLICA</v>
      </c>
      <c r="LU115" s="16"/>
      <c r="LV115" s="16"/>
      <c r="LW115" s="14"/>
      <c r="LX115" s="16"/>
      <c r="LY115" s="15" t="str">
        <f t="shared" si="350"/>
        <v>NO APLICA</v>
      </c>
      <c r="LZ115" s="16"/>
      <c r="MA115" s="16"/>
      <c r="MB115" s="14"/>
      <c r="MC115" s="16"/>
      <c r="MD115" s="15" t="str">
        <f t="shared" si="331"/>
        <v>NO APLICA</v>
      </c>
      <c r="ME115" s="16"/>
      <c r="MF115" s="16"/>
      <c r="MG115" s="14"/>
      <c r="MH115" s="16"/>
      <c r="MI115" s="15" t="str">
        <f t="shared" si="332"/>
        <v>NO APLICA</v>
      </c>
      <c r="MJ115" s="16"/>
      <c r="MK115" s="14"/>
      <c r="ML115" s="16"/>
      <c r="MM115" s="15" t="str">
        <f t="shared" si="333"/>
        <v>NO APLICA</v>
      </c>
      <c r="MN115" s="16"/>
      <c r="MO115" s="16"/>
      <c r="MP115" s="16"/>
      <c r="MQ115" s="15" t="str">
        <f t="shared" si="334"/>
        <v>NO APLICA</v>
      </c>
      <c r="MR115" s="16"/>
      <c r="MS115" s="16"/>
      <c r="MT115" s="14"/>
      <c r="MU115" s="16"/>
      <c r="MV115" s="15" t="str">
        <f t="shared" si="335"/>
        <v>NO APLICA</v>
      </c>
      <c r="MW115" s="16"/>
      <c r="MX115" s="16"/>
      <c r="MY115" s="14"/>
      <c r="MZ115" s="16"/>
      <c r="NA115" s="15" t="str">
        <f t="shared" si="336"/>
        <v>NO APLICA</v>
      </c>
      <c r="NB115" s="16"/>
      <c r="NC115" s="16"/>
      <c r="ND115" s="14"/>
      <c r="NE115" s="16"/>
      <c r="NF115" s="15" t="str">
        <f t="shared" si="337"/>
        <v>NO APLICA</v>
      </c>
      <c r="NG115" s="16"/>
      <c r="NH115" s="16"/>
      <c r="NI115" s="14"/>
      <c r="NJ115" s="16"/>
      <c r="NK115" s="15" t="str">
        <f t="shared" si="338"/>
        <v>NO APLICA</v>
      </c>
      <c r="NL115" s="16"/>
      <c r="NM115" s="16"/>
      <c r="NN115" s="14"/>
      <c r="NO115" s="16"/>
      <c r="NP115" s="15" t="str">
        <f t="shared" si="339"/>
        <v>NO APLICA</v>
      </c>
      <c r="NQ115" s="16"/>
      <c r="NR115" s="16"/>
      <c r="NS115" s="14"/>
      <c r="NT115" s="65"/>
      <c r="NU115" s="15" t="str">
        <f t="shared" si="340"/>
        <v>NO APLICA</v>
      </c>
      <c r="NV115" s="16"/>
      <c r="NW115" s="16"/>
      <c r="NX115" s="16"/>
      <c r="NY115" s="16"/>
      <c r="NZ115" s="15" t="str">
        <f t="shared" si="341"/>
        <v>NO APLICA</v>
      </c>
    </row>
    <row r="116" spans="1:390" ht="15.6" thickTop="1" thickBot="1" x14ac:dyDescent="0.35">
      <c r="A116" s="9">
        <v>1599</v>
      </c>
      <c r="B116" s="10" t="s">
        <v>447</v>
      </c>
      <c r="C116" s="21" t="s">
        <v>104</v>
      </c>
      <c r="D116" s="64" t="s">
        <v>110</v>
      </c>
      <c r="E116" s="15"/>
      <c r="F116" s="16"/>
      <c r="G116" s="14"/>
      <c r="H116" s="65"/>
      <c r="I116" s="15" t="str">
        <f t="shared" si="235"/>
        <v>NO APLICA</v>
      </c>
      <c r="J116" s="15"/>
      <c r="K116" s="16"/>
      <c r="L116" s="16"/>
      <c r="M116" s="65"/>
      <c r="N116" s="15" t="str">
        <f t="shared" si="236"/>
        <v>NO APLICA</v>
      </c>
      <c r="O116" s="14">
        <v>45209</v>
      </c>
      <c r="P116" s="14"/>
      <c r="Q116" s="14"/>
      <c r="R116" s="65"/>
      <c r="S116" s="15" t="str">
        <f t="shared" si="342"/>
        <v>NO APLICA</v>
      </c>
      <c r="T116" s="12" t="s">
        <v>448</v>
      </c>
      <c r="U116" s="13">
        <v>44589</v>
      </c>
      <c r="V116" s="14">
        <v>44590</v>
      </c>
      <c r="W116" s="14">
        <f t="shared" si="401"/>
        <v>46416</v>
      </c>
      <c r="X116" s="65">
        <f t="shared" ca="1" si="402"/>
        <v>285</v>
      </c>
      <c r="Y116" s="15" t="str">
        <f t="shared" ca="1" si="403"/>
        <v>VIGENTE</v>
      </c>
      <c r="Z116" s="12" t="s">
        <v>449</v>
      </c>
      <c r="AA116" s="13">
        <v>45189</v>
      </c>
      <c r="AB116" s="14">
        <v>45190</v>
      </c>
      <c r="AC116" s="14">
        <f t="shared" si="404"/>
        <v>47017</v>
      </c>
      <c r="AD116" s="65">
        <f t="shared" ca="1" si="405"/>
        <v>886</v>
      </c>
      <c r="AE116" s="15" t="str">
        <f t="shared" ca="1" si="406"/>
        <v>VIGENTE</v>
      </c>
      <c r="AF116" s="13">
        <v>45243</v>
      </c>
      <c r="AG116" s="14">
        <v>45902</v>
      </c>
      <c r="AH116" s="14">
        <f>DATE(YEAR(AG116)+2,MONTH(AG116),DAY(AG116))</f>
        <v>46632</v>
      </c>
      <c r="AI116" s="65">
        <f t="shared" ca="1" si="241"/>
        <v>501</v>
      </c>
      <c r="AJ116" s="15" t="str">
        <f t="shared" ca="1" si="399"/>
        <v>VIGENTE</v>
      </c>
      <c r="AK116" s="13">
        <v>45044</v>
      </c>
      <c r="AL116" s="14">
        <v>45710</v>
      </c>
      <c r="AM116" s="14">
        <f>DATE(YEAR(AL116)+2,MONTH(AL116),DAY(AL116)-1)</f>
        <v>46439</v>
      </c>
      <c r="AN116" s="65">
        <f t="shared" ca="1" si="242"/>
        <v>308</v>
      </c>
      <c r="AO116" s="15" t="str">
        <f t="shared" ca="1" si="243"/>
        <v>VIGENTE</v>
      </c>
      <c r="AP116" s="13">
        <v>45047</v>
      </c>
      <c r="AQ116" s="14">
        <v>45703</v>
      </c>
      <c r="AR116" s="14">
        <f>DATE(YEAR(AQ116)+2,MONTH(AQ116),DAY(AQ116)-1)</f>
        <v>46432</v>
      </c>
      <c r="AS116" s="65">
        <f t="shared" ca="1" si="244"/>
        <v>301</v>
      </c>
      <c r="AT116" s="15" t="str">
        <f t="shared" ca="1" si="245"/>
        <v>VIGENTE</v>
      </c>
      <c r="AU116" s="13">
        <v>45021</v>
      </c>
      <c r="AV116" s="14">
        <v>45702</v>
      </c>
      <c r="AW116" s="14">
        <f>DATE(YEAR(AV116)+2,MONTH(AV116),DAY(AV116)-1)</f>
        <v>46431</v>
      </c>
      <c r="AX116" s="65">
        <f t="shared" ca="1" si="246"/>
        <v>300</v>
      </c>
      <c r="AY116" s="15" t="str">
        <f t="shared" ca="1" si="247"/>
        <v>VIGENTE</v>
      </c>
      <c r="AZ116" s="13">
        <v>44930</v>
      </c>
      <c r="BA116" s="14">
        <v>45603</v>
      </c>
      <c r="BB116" s="14">
        <f>DATE(YEAR(BA116)+2,MONTH(BA116),DAY(BA116)-1)</f>
        <v>46332</v>
      </c>
      <c r="BC116" s="65">
        <f t="shared" ca="1" si="248"/>
        <v>201</v>
      </c>
      <c r="BD116" s="15" t="str">
        <f t="shared" ca="1" si="249"/>
        <v>VIGENTE</v>
      </c>
      <c r="BE116" s="13">
        <v>45052</v>
      </c>
      <c r="BF116" s="14">
        <v>45698</v>
      </c>
      <c r="BG116" s="14">
        <f>DATE(YEAR(BF116)+2,MONTH(BF116),DAY(BF116)-1)</f>
        <v>46427</v>
      </c>
      <c r="BH116" s="65">
        <f t="shared" ca="1" si="250"/>
        <v>296</v>
      </c>
      <c r="BI116" s="15" t="str">
        <f t="shared" ca="1" si="251"/>
        <v>VIGENTE</v>
      </c>
      <c r="BJ116" s="13">
        <v>44937</v>
      </c>
      <c r="BK116" s="14">
        <v>45600</v>
      </c>
      <c r="BL116" s="14">
        <f>DATE(YEAR(BK116)+2,MONTH(BK116),DAY(BK116)-1)</f>
        <v>46329</v>
      </c>
      <c r="BM116" s="65">
        <f t="shared" ca="1" si="252"/>
        <v>198</v>
      </c>
      <c r="BN116" s="15" t="str">
        <f t="shared" ca="1" si="253"/>
        <v>VIGENTE</v>
      </c>
      <c r="BO116" s="13">
        <v>45031</v>
      </c>
      <c r="BP116" s="14">
        <v>45701</v>
      </c>
      <c r="BQ116" s="14">
        <f>DATE(YEAR(BP116)+2,MONTH(BP116),DAY(BP116)-1)</f>
        <v>46430</v>
      </c>
      <c r="BR116" s="65">
        <f t="shared" ca="1" si="254"/>
        <v>299</v>
      </c>
      <c r="BS116" s="15" t="str">
        <f t="shared" ca="1" si="255"/>
        <v>VIGENTE</v>
      </c>
      <c r="BT116" s="13">
        <v>44953</v>
      </c>
      <c r="BU116" s="14">
        <v>45611</v>
      </c>
      <c r="BV116" s="14">
        <f>DATE(YEAR(BU116)+2,MONTH(BU116),DAY(BU116)-1)</f>
        <v>46340</v>
      </c>
      <c r="BW116" s="65">
        <f t="shared" ca="1" si="256"/>
        <v>209</v>
      </c>
      <c r="BX116" s="15" t="str">
        <f t="shared" ca="1" si="257"/>
        <v>VIGENTE</v>
      </c>
      <c r="BY116" s="13">
        <v>44634</v>
      </c>
      <c r="BZ116" s="14">
        <v>45944</v>
      </c>
      <c r="CA116" s="14">
        <f t="shared" si="415"/>
        <v>46674</v>
      </c>
      <c r="CB116" s="65">
        <f t="shared" ca="1" si="258"/>
        <v>543</v>
      </c>
      <c r="CC116" s="15" t="str">
        <f t="shared" ca="1" si="259"/>
        <v>VIGENTE</v>
      </c>
      <c r="CD116" s="16" t="s">
        <v>108</v>
      </c>
      <c r="CE116" s="14">
        <v>45463</v>
      </c>
      <c r="CF116" s="14">
        <v>45464</v>
      </c>
      <c r="CG116" s="14">
        <f t="shared" si="408"/>
        <v>46925</v>
      </c>
      <c r="CH116" s="65">
        <f t="shared" ca="1" si="409"/>
        <v>794</v>
      </c>
      <c r="CI116" s="15" t="str">
        <f t="shared" ca="1" si="410"/>
        <v>VIGENTE</v>
      </c>
      <c r="CJ116" s="14">
        <v>44964</v>
      </c>
      <c r="CK116" s="14">
        <v>45601</v>
      </c>
      <c r="CL116" s="14">
        <f>DATE(YEAR(CK116)+2,MONTH(CK116),DAY(CK116)-1)</f>
        <v>46330</v>
      </c>
      <c r="CM116" s="65">
        <f t="shared" ca="1" si="263"/>
        <v>199</v>
      </c>
      <c r="CN116" s="15" t="str">
        <f t="shared" ca="1" si="264"/>
        <v>VIGENTE</v>
      </c>
      <c r="CO116" s="13">
        <v>45050</v>
      </c>
      <c r="CP116" s="14">
        <v>45684</v>
      </c>
      <c r="CQ116" s="14">
        <f>DATE(YEAR(CP116)+2,MONTH(CP116),DAY(CP116)-1)</f>
        <v>46413</v>
      </c>
      <c r="CR116" s="65">
        <f t="shared" ca="1" si="265"/>
        <v>282</v>
      </c>
      <c r="CS116" s="15" t="str">
        <f t="shared" ca="1" si="266"/>
        <v>VIGENTE</v>
      </c>
      <c r="CT116" s="13">
        <v>45086</v>
      </c>
      <c r="CU116" s="14">
        <v>45727</v>
      </c>
      <c r="CV116" s="14">
        <f>DATE(YEAR(CU116)+2,MONTH(CU116),DAY(CU116)-1)</f>
        <v>46456</v>
      </c>
      <c r="CW116" s="65">
        <f t="shared" ca="1" si="267"/>
        <v>325</v>
      </c>
      <c r="CX116" s="15" t="str">
        <f t="shared" ca="1" si="268"/>
        <v>VIGENTE</v>
      </c>
      <c r="CY116" s="13">
        <v>45057</v>
      </c>
      <c r="CZ116" s="14">
        <v>45681</v>
      </c>
      <c r="DA116" s="14">
        <f>DATE(YEAR(CZ116)+2,MONTH(CZ116),DAY(CZ116)-1)</f>
        <v>46410</v>
      </c>
      <c r="DB116" s="65">
        <f t="shared" ca="1" si="269"/>
        <v>279</v>
      </c>
      <c r="DC116" s="15" t="str">
        <f t="shared" ca="1" si="270"/>
        <v>VIGENTE</v>
      </c>
      <c r="DD116" s="13">
        <v>44968</v>
      </c>
      <c r="DE116" s="14">
        <v>45607</v>
      </c>
      <c r="DF116" s="14">
        <f>DATE(YEAR(DE116)+2,MONTH(DE116),DAY(DE116)-1)</f>
        <v>46336</v>
      </c>
      <c r="DG116" s="65">
        <f t="shared" ca="1" si="271"/>
        <v>205</v>
      </c>
      <c r="DH116" s="15" t="str">
        <f t="shared" ca="1" si="272"/>
        <v>VIGENTE</v>
      </c>
      <c r="DI116" s="13">
        <v>45038</v>
      </c>
      <c r="DJ116" s="14">
        <v>45696</v>
      </c>
      <c r="DK116" s="14">
        <f>DATE(YEAR(DJ116)+2,MONTH(DJ116),DAY(DJ116)-1)</f>
        <v>46425</v>
      </c>
      <c r="DL116" s="65">
        <f t="shared" ca="1" si="273"/>
        <v>294</v>
      </c>
      <c r="DM116" s="15" t="str">
        <f t="shared" ca="1" si="274"/>
        <v>VIGENTE</v>
      </c>
      <c r="DN116" s="13">
        <v>44954</v>
      </c>
      <c r="DO116" s="14">
        <v>45577</v>
      </c>
      <c r="DP116" s="14">
        <f>DATE(YEAR(DO116)+2,MONTH(DO116),DAY(DO116)-1)</f>
        <v>46306</v>
      </c>
      <c r="DQ116" s="65">
        <f t="shared" ca="1" si="275"/>
        <v>175</v>
      </c>
      <c r="DR116" s="15" t="str">
        <f t="shared" ca="1" si="276"/>
        <v>VIGENTE</v>
      </c>
      <c r="DS116" s="13">
        <v>44935</v>
      </c>
      <c r="DT116" s="14">
        <v>45619</v>
      </c>
      <c r="DU116" s="14">
        <f>DATE(YEAR(DT116)+2,MONTH(DT116),DAY(DT116)-1)</f>
        <v>46348</v>
      </c>
      <c r="DV116" s="65">
        <f t="shared" ca="1" si="277"/>
        <v>217</v>
      </c>
      <c r="DW116" s="15" t="str">
        <f t="shared" ca="1" si="278"/>
        <v>VIGENTE</v>
      </c>
      <c r="DX116" s="13">
        <v>44931</v>
      </c>
      <c r="DY116" s="14">
        <v>45612</v>
      </c>
      <c r="DZ116" s="14">
        <f>DATE(YEAR(DY116)+2,MONTH(DY116),DAY(DY116)-1)</f>
        <v>46341</v>
      </c>
      <c r="EA116" s="65">
        <f t="shared" ca="1" si="279"/>
        <v>210</v>
      </c>
      <c r="EB116" s="15" t="str">
        <f t="shared" ca="1" si="280"/>
        <v>VIGENTE</v>
      </c>
      <c r="EC116" s="13">
        <v>44982</v>
      </c>
      <c r="ED116" s="14">
        <v>45642</v>
      </c>
      <c r="EE116" s="14">
        <f>DATE(YEAR(ED116)+2,MONTH(ED116),DAY(ED116)-1)</f>
        <v>46371</v>
      </c>
      <c r="EF116" s="65">
        <f t="shared" ca="1" si="281"/>
        <v>240</v>
      </c>
      <c r="EG116" s="15" t="str">
        <f t="shared" ca="1" si="282"/>
        <v>VIGENTE</v>
      </c>
      <c r="EH116" s="13">
        <v>45576</v>
      </c>
      <c r="EI116" s="13">
        <v>45810</v>
      </c>
      <c r="EJ116" s="13">
        <v>45811</v>
      </c>
      <c r="EK116" s="14">
        <v>45812</v>
      </c>
      <c r="EL116" s="14">
        <f t="shared" si="344"/>
        <v>46177</v>
      </c>
      <c r="EM116" s="65">
        <f t="shared" ca="1" si="283"/>
        <v>46</v>
      </c>
      <c r="EN116" s="15" t="str">
        <f t="shared" ca="1" si="284"/>
        <v>POR VENCER</v>
      </c>
      <c r="EO116" s="13">
        <v>44942</v>
      </c>
      <c r="EP116" s="14">
        <v>45584</v>
      </c>
      <c r="EQ116" s="14">
        <f>DATE(YEAR(EP116)+2,MONTH(EP116),DAY(EP116)-1)</f>
        <v>46313</v>
      </c>
      <c r="ER116" s="65">
        <f t="shared" ca="1" si="285"/>
        <v>182</v>
      </c>
      <c r="ES116" s="15" t="str">
        <f t="shared" ca="1" si="286"/>
        <v>VIGENTE</v>
      </c>
      <c r="ET116" s="13">
        <v>44929</v>
      </c>
      <c r="EU116" s="14">
        <v>45575</v>
      </c>
      <c r="EV116" s="14">
        <f>DATE(YEAR(EU116)+2,MONTH(EU116),DAY(EU116)-1)</f>
        <v>46304</v>
      </c>
      <c r="EW116" s="65">
        <f t="shared" ca="1" si="287"/>
        <v>173</v>
      </c>
      <c r="EX116" s="15" t="str">
        <f t="shared" ca="1" si="288"/>
        <v>VIGENTE</v>
      </c>
      <c r="EY116" s="13">
        <v>44636</v>
      </c>
      <c r="EZ116" s="14">
        <v>45953</v>
      </c>
      <c r="FA116" s="14">
        <f t="shared" si="416"/>
        <v>46683</v>
      </c>
      <c r="FB116" s="65">
        <f t="shared" ca="1" si="289"/>
        <v>552</v>
      </c>
      <c r="FC116" s="15" t="str">
        <f t="shared" ca="1" si="290"/>
        <v>VIGENTE</v>
      </c>
      <c r="FD116" s="13">
        <v>44636</v>
      </c>
      <c r="FE116" s="14">
        <v>45951</v>
      </c>
      <c r="FF116" s="14">
        <f>DATE(YEAR(FE116)+2,MONTH(FE116),DAY(FE116))</f>
        <v>46681</v>
      </c>
      <c r="FG116" s="65">
        <f t="shared" ca="1" si="291"/>
        <v>550</v>
      </c>
      <c r="FH116" s="15" t="str">
        <f t="shared" ca="1" si="292"/>
        <v>VIGENTE</v>
      </c>
      <c r="FI116" s="13">
        <v>45317</v>
      </c>
      <c r="FJ116" s="14">
        <v>45962</v>
      </c>
      <c r="FK116" s="14">
        <f t="shared" si="417"/>
        <v>46692</v>
      </c>
      <c r="FL116" s="65">
        <f t="shared" ca="1" si="293"/>
        <v>561</v>
      </c>
      <c r="FM116" s="15" t="str">
        <f t="shared" ca="1" si="294"/>
        <v>VIGENTE</v>
      </c>
      <c r="FN116" s="13">
        <v>44947</v>
      </c>
      <c r="FO116" s="14">
        <v>45588</v>
      </c>
      <c r="FP116" s="14">
        <f>DATE(YEAR(FO116)+2,MONTH(FO116),DAY(FO116)-1)</f>
        <v>46317</v>
      </c>
      <c r="FQ116" s="65">
        <f t="shared" ca="1" si="295"/>
        <v>186</v>
      </c>
      <c r="FR116" s="15" t="str">
        <f t="shared" ca="1" si="296"/>
        <v>VIGENTE</v>
      </c>
      <c r="FS116" s="13">
        <v>44998</v>
      </c>
      <c r="FT116" s="14">
        <v>45664</v>
      </c>
      <c r="FU116" s="14">
        <f>DATE(YEAR(FT116)+2,MONTH(FT116),DAY(FT116)-1)</f>
        <v>46393</v>
      </c>
      <c r="FV116" s="65">
        <f t="shared" ca="1" si="297"/>
        <v>262</v>
      </c>
      <c r="FW116" s="15" t="str">
        <f t="shared" ca="1" si="298"/>
        <v>VIGENTE</v>
      </c>
      <c r="FX116" s="13">
        <v>44637</v>
      </c>
      <c r="FY116" s="14">
        <v>46014</v>
      </c>
      <c r="FZ116" s="14">
        <f>DATE(YEAR(FY116)+2,MONTH(FY116),DAY(FY116))</f>
        <v>46744</v>
      </c>
      <c r="GA116" s="65">
        <f t="shared" ca="1" si="299"/>
        <v>613</v>
      </c>
      <c r="GB116" s="15" t="str">
        <f t="shared" ca="1" si="300"/>
        <v>VIGENTE</v>
      </c>
      <c r="GC116" s="13">
        <v>44995</v>
      </c>
      <c r="GD116" s="14">
        <v>45667</v>
      </c>
      <c r="GE116" s="14">
        <f>DATE(YEAR(GD116)+2,MONTH(GD116),DAY(GD116)-1)</f>
        <v>46396</v>
      </c>
      <c r="GF116" s="65">
        <f t="shared" ca="1" si="301"/>
        <v>265</v>
      </c>
      <c r="GG116" s="15" t="str">
        <f t="shared" ca="1" si="302"/>
        <v>VIGENTE</v>
      </c>
      <c r="GH116" s="13">
        <v>44996</v>
      </c>
      <c r="GI116" s="14">
        <v>45672</v>
      </c>
      <c r="GJ116" s="14">
        <f>DATE(YEAR(GI116)+2,MONTH(GI116),DAY(GI116)-1)</f>
        <v>46401</v>
      </c>
      <c r="GK116" s="65">
        <f t="shared" ca="1" si="303"/>
        <v>270</v>
      </c>
      <c r="GL116" s="15" t="str">
        <f t="shared" ca="1" si="304"/>
        <v>VIGENTE</v>
      </c>
      <c r="GM116" s="13">
        <v>44945</v>
      </c>
      <c r="GN116" s="14">
        <v>45608</v>
      </c>
      <c r="GO116" s="14">
        <f>DATE(YEAR(GN116)+2,MONTH(GN116),DAY(GN116)-1)</f>
        <v>46337</v>
      </c>
      <c r="GP116" s="65">
        <f t="shared" ca="1" si="305"/>
        <v>206</v>
      </c>
      <c r="GQ116" s="15" t="str">
        <f t="shared" ca="1" si="306"/>
        <v>VIGENTE</v>
      </c>
      <c r="GR116" s="14"/>
      <c r="GS116" s="14">
        <v>44966</v>
      </c>
      <c r="GT116" s="14">
        <f t="shared" si="307"/>
        <v>46792</v>
      </c>
      <c r="GU116" s="65">
        <f t="shared" ca="1" si="398"/>
        <v>661</v>
      </c>
      <c r="GV116" s="15" t="str">
        <f t="shared" ca="1" si="411"/>
        <v>VIGENTE</v>
      </c>
      <c r="GW116" s="13"/>
      <c r="GX116" s="14">
        <v>44952</v>
      </c>
      <c r="GY116" s="14">
        <f t="shared" si="309"/>
        <v>46778</v>
      </c>
      <c r="GZ116" s="65">
        <f t="shared" ca="1" si="310"/>
        <v>647</v>
      </c>
      <c r="HA116" s="15" t="str">
        <f t="shared" ref="HA116:HA174" ca="1" si="418">IF(GZ116&gt;=91,"VIGENTE",IF(GZ116&gt;=1,"POR VENCER",IF(GZ116&lt;=-1,"VENCIDA",IF(GX116=0,"NO APLICA"))))</f>
        <v>VIGENTE</v>
      </c>
      <c r="HB116" s="12"/>
      <c r="HC116" s="14">
        <v>44980</v>
      </c>
      <c r="HD116" s="14">
        <f t="shared" si="312"/>
        <v>46806</v>
      </c>
      <c r="HE116" s="65">
        <f t="shared" ca="1" si="313"/>
        <v>675</v>
      </c>
      <c r="HF116" s="15" t="str">
        <f t="shared" ca="1" si="413"/>
        <v>VIGENTE</v>
      </c>
      <c r="HG116" s="16"/>
      <c r="HH116" s="14">
        <v>44956</v>
      </c>
      <c r="HI116" s="14">
        <f t="shared" si="396"/>
        <v>46782</v>
      </c>
      <c r="HJ116" s="65">
        <f t="shared" ca="1" si="397"/>
        <v>651</v>
      </c>
      <c r="HK116" s="15" t="str">
        <f t="shared" ref="HK116:HK174" ca="1" si="419">IF(HJ116&gt;=61,"VIGENTE",IF(HJ116&gt;=1,"POR VENCER",IF(HJ116&lt;=-1,"VENCIDA",IF(HH116=0,"NO APLICA"))))</f>
        <v>VIGENTE</v>
      </c>
      <c r="HL116" s="12"/>
      <c r="HM116" s="16"/>
      <c r="HN116" s="14"/>
      <c r="HO116" s="65"/>
      <c r="HP116" s="15" t="str">
        <f t="shared" si="400"/>
        <v>NO APLICA</v>
      </c>
      <c r="HQ116" s="12"/>
      <c r="HR116" s="12"/>
      <c r="HS116" s="14"/>
      <c r="HT116" s="12"/>
      <c r="HU116" s="15" t="str">
        <f t="shared" si="315"/>
        <v>NO APLICA</v>
      </c>
      <c r="HV116" s="12"/>
      <c r="HW116" s="14">
        <v>44939</v>
      </c>
      <c r="HX116" s="14">
        <f>DATE(YEAR(HW116)+5,MONTH(HW116),DAY(HW116))</f>
        <v>46765</v>
      </c>
      <c r="HY116" s="65">
        <f ca="1">HX116-TODAY()</f>
        <v>634</v>
      </c>
      <c r="HZ116" s="15" t="str">
        <f t="shared" ca="1" si="316"/>
        <v>VIGENTE</v>
      </c>
      <c r="IA116" s="12"/>
      <c r="IB116" s="14">
        <v>44932</v>
      </c>
      <c r="IC116" s="14">
        <f>DATE(YEAR(IB116)+5,MONTH(IB116),DAY(IB116))</f>
        <v>46758</v>
      </c>
      <c r="ID116" s="65">
        <f ca="1">IC116-TODAY()</f>
        <v>627</v>
      </c>
      <c r="IE116" s="15" t="str">
        <f t="shared" ca="1" si="317"/>
        <v>VIGENTE</v>
      </c>
      <c r="IF116" s="12"/>
      <c r="IG116" s="14">
        <v>44971</v>
      </c>
      <c r="IH116" s="14">
        <f>DATE(YEAR(IG116)+5,MONTH(IG116),DAY(IG116))</f>
        <v>46797</v>
      </c>
      <c r="II116" s="65">
        <f ca="1">IH116-TODAY()</f>
        <v>666</v>
      </c>
      <c r="IJ116" s="15" t="str">
        <f t="shared" ca="1" si="318"/>
        <v>VIGENTE</v>
      </c>
      <c r="IK116" s="16"/>
      <c r="IL116" s="14">
        <v>44965</v>
      </c>
      <c r="IM116" s="14">
        <f>DATE(YEAR(IL116)+5,MONTH(IL116),DAY(IL116))</f>
        <v>46791</v>
      </c>
      <c r="IN116" s="65">
        <f ca="1">IM116-TODAY()</f>
        <v>660</v>
      </c>
      <c r="IO116" s="15" t="str">
        <f t="shared" ca="1" si="319"/>
        <v>VIGENTE</v>
      </c>
      <c r="IP116" s="12"/>
      <c r="IQ116" s="14">
        <v>44977</v>
      </c>
      <c r="IR116" s="14">
        <f>DATE(YEAR(IQ116)+5,MONTH(IQ116),DAY(IQ116))</f>
        <v>46803</v>
      </c>
      <c r="IS116" s="65">
        <f ca="1">IR116-TODAY()</f>
        <v>672</v>
      </c>
      <c r="IT116" s="15" t="str">
        <f t="shared" ca="1" si="320"/>
        <v>VIGENTE</v>
      </c>
      <c r="IU116" s="12"/>
      <c r="IV116" s="14">
        <v>44970</v>
      </c>
      <c r="IW116" s="14">
        <f>DATE(YEAR(IV116)+5,MONTH(IV116),DAY(IV116))</f>
        <v>46796</v>
      </c>
      <c r="IX116" s="65">
        <f ca="1">IW116-TODAY()</f>
        <v>665</v>
      </c>
      <c r="IY116" s="15" t="str">
        <f t="shared" ca="1" si="321"/>
        <v>VIGENTE</v>
      </c>
      <c r="IZ116" s="12"/>
      <c r="JA116" s="14">
        <v>44933</v>
      </c>
      <c r="JB116" s="14">
        <f>DATE(YEAR(JA116)+5,MONTH(JA116),DAY(JA116))</f>
        <v>46759</v>
      </c>
      <c r="JC116" s="65">
        <f ca="1">JB116-TODAY()</f>
        <v>628</v>
      </c>
      <c r="JD116" s="15" t="str">
        <f t="shared" ca="1" si="322"/>
        <v>VIGENTE</v>
      </c>
      <c r="JE116" s="13"/>
      <c r="JF116" s="13"/>
      <c r="JG116" s="14"/>
      <c r="JH116" s="65"/>
      <c r="JI116" s="15" t="str">
        <f t="shared" si="323"/>
        <v>NO APLICA</v>
      </c>
      <c r="JJ116" s="16"/>
      <c r="JK116" s="16"/>
      <c r="JL116" s="16"/>
      <c r="JM116" s="15" t="str">
        <f t="shared" si="324"/>
        <v>NO APLICA</v>
      </c>
      <c r="JN116" s="16"/>
      <c r="JO116" s="16"/>
      <c r="JP116" s="16"/>
      <c r="JQ116" s="15" t="str">
        <f t="shared" si="325"/>
        <v>NO APLICA</v>
      </c>
      <c r="JR116" s="16"/>
      <c r="JS116" s="16"/>
      <c r="JT116" s="16"/>
      <c r="JU116" s="16"/>
      <c r="JV116" s="15" t="str">
        <f t="shared" si="326"/>
        <v>NO APLICA</v>
      </c>
      <c r="JW116" s="15"/>
      <c r="JX116" s="15"/>
      <c r="JY116" s="15"/>
      <c r="JZ116" s="15"/>
      <c r="KA116" s="15" t="str">
        <f t="shared" si="327"/>
        <v>NO APLICA</v>
      </c>
      <c r="KB116" s="12"/>
      <c r="KC116" s="14"/>
      <c r="KD116" s="65"/>
      <c r="KE116" s="15" t="str">
        <f t="shared" si="328"/>
        <v>NO APLICA</v>
      </c>
      <c r="KF116" s="13">
        <v>45328</v>
      </c>
      <c r="KG116" s="14">
        <f>DATE(YEAR(KF116)+5,MONTH(KF116),DAY(KF116)-1)</f>
        <v>47154</v>
      </c>
      <c r="KH116" s="65">
        <f ca="1">KG116-TODAY()</f>
        <v>1023</v>
      </c>
      <c r="KI116" s="15" t="str">
        <f t="shared" ca="1" si="345"/>
        <v>VIGENTE</v>
      </c>
      <c r="KJ116" s="12"/>
      <c r="KK116" s="14"/>
      <c r="KL116" s="65"/>
      <c r="KM116" s="15" t="str">
        <f t="shared" si="329"/>
        <v>NO APLICA</v>
      </c>
      <c r="KN116" s="12"/>
      <c r="KO116" s="14"/>
      <c r="KP116" s="65"/>
      <c r="KQ116" s="15" t="str">
        <f t="shared" si="346"/>
        <v>NO APLICA</v>
      </c>
      <c r="KR116" s="12"/>
      <c r="KS116" s="16"/>
      <c r="KT116" s="14"/>
      <c r="KU116" s="65"/>
      <c r="KV116" s="15" t="str">
        <f t="shared" si="355"/>
        <v>NO APLICA</v>
      </c>
      <c r="KW116" s="14">
        <v>44608</v>
      </c>
      <c r="KX116" s="14">
        <f>DATE(YEAR(KW116)+5,MONTH(KW116),DAY(KW116))</f>
        <v>46434</v>
      </c>
      <c r="KY116" s="65">
        <f ca="1">KX116-TODAY()</f>
        <v>303</v>
      </c>
      <c r="KZ116" s="15" t="str">
        <f t="shared" ca="1" si="347"/>
        <v>VIGENTE</v>
      </c>
      <c r="LA116" s="16"/>
      <c r="LB116" s="16"/>
      <c r="LC116" s="14"/>
      <c r="LD116" s="65"/>
      <c r="LE116" s="15" t="str">
        <f t="shared" si="330"/>
        <v>NO APLICA</v>
      </c>
      <c r="LF116" s="15"/>
      <c r="LG116" s="15"/>
      <c r="LH116" s="14"/>
      <c r="LI116" s="65"/>
      <c r="LJ116" s="15" t="str">
        <f t="shared" si="356"/>
        <v>NO APLICA</v>
      </c>
      <c r="LK116" s="12"/>
      <c r="LL116" s="16"/>
      <c r="LM116" s="14"/>
      <c r="LN116" s="65"/>
      <c r="LO116" s="15" t="str">
        <f t="shared" si="348"/>
        <v>NO APLICA</v>
      </c>
      <c r="LP116" s="16"/>
      <c r="LQ116" s="16"/>
      <c r="LR116" s="14"/>
      <c r="LS116" s="65"/>
      <c r="LT116" s="15" t="str">
        <f t="shared" si="349"/>
        <v>NO APLICA</v>
      </c>
      <c r="LU116" s="16"/>
      <c r="LV116" s="16"/>
      <c r="LW116" s="14"/>
      <c r="LX116" s="65"/>
      <c r="LY116" s="15" t="str">
        <f t="shared" si="350"/>
        <v>NO APLICA</v>
      </c>
      <c r="LZ116" s="12"/>
      <c r="MA116" s="12"/>
      <c r="MB116" s="14"/>
      <c r="MC116" s="65"/>
      <c r="MD116" s="15" t="str">
        <f t="shared" si="331"/>
        <v>NO APLICA</v>
      </c>
      <c r="ME116" s="12"/>
      <c r="MF116" s="12"/>
      <c r="MG116" s="14"/>
      <c r="MH116" s="65"/>
      <c r="MI116" s="15" t="str">
        <f t="shared" si="332"/>
        <v>NO APLICA</v>
      </c>
      <c r="MJ116" s="12"/>
      <c r="MK116" s="14"/>
      <c r="ML116" s="65"/>
      <c r="MM116" s="15" t="str">
        <f t="shared" si="333"/>
        <v>NO APLICA</v>
      </c>
      <c r="MN116" s="12"/>
      <c r="MO116" s="14"/>
      <c r="MP116" s="12"/>
      <c r="MQ116" s="15" t="str">
        <f t="shared" si="334"/>
        <v>NO APLICA</v>
      </c>
      <c r="MR116" s="12"/>
      <c r="MS116" s="16"/>
      <c r="MT116" s="14"/>
      <c r="MU116" s="65"/>
      <c r="MV116" s="15" t="str">
        <f t="shared" si="335"/>
        <v>NO APLICA</v>
      </c>
      <c r="MW116" s="12"/>
      <c r="MX116" s="16"/>
      <c r="MY116" s="14"/>
      <c r="MZ116" s="65"/>
      <c r="NA116" s="15" t="str">
        <f t="shared" si="336"/>
        <v>NO APLICA</v>
      </c>
      <c r="NB116" s="12"/>
      <c r="NC116" s="16"/>
      <c r="ND116" s="14"/>
      <c r="NE116" s="65"/>
      <c r="NF116" s="15" t="str">
        <f t="shared" si="337"/>
        <v>NO APLICA</v>
      </c>
      <c r="NG116" s="12"/>
      <c r="NH116" s="12"/>
      <c r="NI116" s="14"/>
      <c r="NJ116" s="65"/>
      <c r="NK116" s="15" t="str">
        <f t="shared" si="338"/>
        <v>NO APLICA</v>
      </c>
      <c r="NL116" s="12"/>
      <c r="NM116" s="12"/>
      <c r="NN116" s="14"/>
      <c r="NO116" s="12"/>
      <c r="NP116" s="15" t="str">
        <f t="shared" si="339"/>
        <v>NO APLICA</v>
      </c>
      <c r="NQ116" s="16"/>
      <c r="NR116" s="16"/>
      <c r="NS116" s="14"/>
      <c r="NT116" s="65"/>
      <c r="NU116" s="15" t="str">
        <f t="shared" si="340"/>
        <v>NO APLICA</v>
      </c>
      <c r="NV116" s="16"/>
      <c r="NW116" s="16"/>
      <c r="NX116" s="16"/>
      <c r="NY116" s="16"/>
      <c r="NZ116" s="15" t="str">
        <f t="shared" si="341"/>
        <v>NO APLICA</v>
      </c>
    </row>
    <row r="117" spans="1:390" ht="15.6" thickTop="1" thickBot="1" x14ac:dyDescent="0.35">
      <c r="A117" s="9">
        <v>1256</v>
      </c>
      <c r="B117" s="10" t="s">
        <v>450</v>
      </c>
      <c r="C117" s="21" t="s">
        <v>104</v>
      </c>
      <c r="D117" s="64" t="s">
        <v>160</v>
      </c>
      <c r="E117" s="15"/>
      <c r="F117" s="16"/>
      <c r="G117" s="14"/>
      <c r="H117" s="65"/>
      <c r="I117" s="15" t="str">
        <f t="shared" si="235"/>
        <v>NO APLICA</v>
      </c>
      <c r="J117" s="15"/>
      <c r="K117" s="16"/>
      <c r="L117" s="16"/>
      <c r="M117" s="65"/>
      <c r="N117" s="15" t="str">
        <f t="shared" si="236"/>
        <v>NO APLICA</v>
      </c>
      <c r="O117" s="16"/>
      <c r="P117" s="16"/>
      <c r="Q117" s="14"/>
      <c r="R117" s="65"/>
      <c r="S117" s="15" t="str">
        <f t="shared" si="342"/>
        <v>NO APLICA</v>
      </c>
      <c r="T117" s="16" t="s">
        <v>451</v>
      </c>
      <c r="U117" s="14">
        <v>45281</v>
      </c>
      <c r="V117" s="14">
        <v>45282</v>
      </c>
      <c r="W117" s="14">
        <f t="shared" si="401"/>
        <v>47109</v>
      </c>
      <c r="X117" s="65">
        <f t="shared" ca="1" si="402"/>
        <v>978</v>
      </c>
      <c r="Y117" s="15" t="str">
        <f t="shared" ca="1" si="403"/>
        <v>VIGENTE</v>
      </c>
      <c r="Z117" s="12" t="s">
        <v>452</v>
      </c>
      <c r="AA117" s="14">
        <v>44602</v>
      </c>
      <c r="AB117" s="14">
        <v>44603</v>
      </c>
      <c r="AC117" s="14">
        <f t="shared" si="404"/>
        <v>46429</v>
      </c>
      <c r="AD117" s="65">
        <f t="shared" ca="1" si="405"/>
        <v>298</v>
      </c>
      <c r="AE117" s="15" t="str">
        <f t="shared" ca="1" si="406"/>
        <v>VIGENTE</v>
      </c>
      <c r="AF117" s="13">
        <v>44929</v>
      </c>
      <c r="AG117" s="13">
        <v>45594</v>
      </c>
      <c r="AH117" s="14">
        <f>DATE(YEAR(AG117)+2,MONTH(AG117),DAY(AG117)-1)</f>
        <v>46323</v>
      </c>
      <c r="AI117" s="65">
        <f t="shared" ca="1" si="241"/>
        <v>192</v>
      </c>
      <c r="AJ117" s="15" t="str">
        <f t="shared" ca="1" si="399"/>
        <v>VIGENTE</v>
      </c>
      <c r="AK117" s="13">
        <v>44643</v>
      </c>
      <c r="AL117" s="14">
        <v>45937</v>
      </c>
      <c r="AM117" s="14">
        <f>DATE(YEAR(AL117)+2,MONTH(AL117),DAY(AL117))</f>
        <v>46667</v>
      </c>
      <c r="AN117" s="65">
        <f t="shared" ca="1" si="242"/>
        <v>536</v>
      </c>
      <c r="AO117" s="15" t="str">
        <f t="shared" ca="1" si="243"/>
        <v>VIGENTE</v>
      </c>
      <c r="AP117" s="13">
        <v>45258</v>
      </c>
      <c r="AQ117" s="14">
        <v>45904</v>
      </c>
      <c r="AR117" s="14">
        <f>DATE(YEAR(AQ117)+2,MONTH(AQ117),DAY(AQ117))</f>
        <v>46634</v>
      </c>
      <c r="AS117" s="65">
        <f t="shared" ca="1" si="244"/>
        <v>503</v>
      </c>
      <c r="AT117" s="15" t="str">
        <f t="shared" ca="1" si="245"/>
        <v>VIGENTE</v>
      </c>
      <c r="AU117" s="13">
        <v>45323</v>
      </c>
      <c r="AV117" s="14">
        <v>45972</v>
      </c>
      <c r="AW117" s="14">
        <f>DATE(YEAR(AV117)+2,MONTH(AV117),DAY(AV117))</f>
        <v>46702</v>
      </c>
      <c r="AX117" s="65">
        <f t="shared" ca="1" si="246"/>
        <v>571</v>
      </c>
      <c r="AY117" s="15" t="str">
        <f t="shared" ca="1" si="247"/>
        <v>VIGENTE</v>
      </c>
      <c r="AZ117" s="13">
        <v>45237</v>
      </c>
      <c r="BA117" s="14">
        <v>45901</v>
      </c>
      <c r="BB117" s="14">
        <f>DATE(YEAR(BA117)+2,MONTH(BA117),DAY(BA117))</f>
        <v>46631</v>
      </c>
      <c r="BC117" s="65">
        <f t="shared" ca="1" si="248"/>
        <v>500</v>
      </c>
      <c r="BD117" s="15" t="str">
        <f t="shared" ca="1" si="249"/>
        <v>VIGENTE</v>
      </c>
      <c r="BE117" s="13">
        <v>45302</v>
      </c>
      <c r="BF117" s="14">
        <v>45968</v>
      </c>
      <c r="BG117" s="14">
        <f>DATE(YEAR(BF117)+2,MONTH(BF117),DAY(BF117))</f>
        <v>46698</v>
      </c>
      <c r="BH117" s="65">
        <f t="shared" ca="1" si="250"/>
        <v>567</v>
      </c>
      <c r="BI117" s="15" t="str">
        <f t="shared" ca="1" si="251"/>
        <v>VIGENTE</v>
      </c>
      <c r="BJ117" s="13">
        <v>44720</v>
      </c>
      <c r="BK117" s="14">
        <v>46056</v>
      </c>
      <c r="BL117" s="14">
        <f>DATE(YEAR(BK117)+2,MONTH(BK117),DAY(BK117))</f>
        <v>46786</v>
      </c>
      <c r="BM117" s="65">
        <f t="shared" ca="1" si="252"/>
        <v>655</v>
      </c>
      <c r="BN117" s="15" t="str">
        <f t="shared" ca="1" si="253"/>
        <v>VIGENTE</v>
      </c>
      <c r="BO117" s="13">
        <v>44747</v>
      </c>
      <c r="BP117" s="14">
        <v>46069</v>
      </c>
      <c r="BQ117" s="14">
        <f>DATE(YEAR(BP117)+2,MONTH(BP117),DAY(BP117))</f>
        <v>46799</v>
      </c>
      <c r="BR117" s="65">
        <f t="shared" ca="1" si="254"/>
        <v>668</v>
      </c>
      <c r="BS117" s="15" t="str">
        <f t="shared" ca="1" si="255"/>
        <v>VIGENTE</v>
      </c>
      <c r="BT117" s="13">
        <v>45203</v>
      </c>
      <c r="BU117" s="14">
        <v>45881</v>
      </c>
      <c r="BV117" s="14">
        <f>DATE(YEAR(BU117)+2,MONTH(BU117),DAY(BU117))</f>
        <v>46611</v>
      </c>
      <c r="BW117" s="65">
        <f t="shared" ca="1" si="256"/>
        <v>480</v>
      </c>
      <c r="BX117" s="15" t="str">
        <f t="shared" ca="1" si="257"/>
        <v>VIGENTE</v>
      </c>
      <c r="BY117" s="13">
        <v>44643</v>
      </c>
      <c r="BZ117" s="14">
        <v>45986</v>
      </c>
      <c r="CA117" s="14">
        <f t="shared" si="415"/>
        <v>46716</v>
      </c>
      <c r="CB117" s="65">
        <f t="shared" ca="1" si="258"/>
        <v>585</v>
      </c>
      <c r="CC117" s="15" t="str">
        <f t="shared" ca="1" si="259"/>
        <v>VIGENTE</v>
      </c>
      <c r="CD117" s="16" t="s">
        <v>108</v>
      </c>
      <c r="CE117" s="14">
        <v>45300</v>
      </c>
      <c r="CF117" s="14">
        <v>45301</v>
      </c>
      <c r="CG117" s="14">
        <f t="shared" si="408"/>
        <v>46762</v>
      </c>
      <c r="CH117" s="65">
        <f t="shared" ca="1" si="409"/>
        <v>631</v>
      </c>
      <c r="CI117" s="15" t="str">
        <f t="shared" ca="1" si="410"/>
        <v>VIGENTE</v>
      </c>
      <c r="CJ117" s="14">
        <v>45238</v>
      </c>
      <c r="CK117" s="14">
        <v>45929</v>
      </c>
      <c r="CL117" s="14">
        <f>DATE(YEAR(CK117)+2,MONTH(CK117),DAY(CK117))</f>
        <v>46659</v>
      </c>
      <c r="CM117" s="65">
        <f t="shared" ca="1" si="263"/>
        <v>528</v>
      </c>
      <c r="CN117" s="15" t="str">
        <f t="shared" ca="1" si="264"/>
        <v>VIGENTE</v>
      </c>
      <c r="CO117" s="13">
        <v>45246</v>
      </c>
      <c r="CP117" s="14">
        <v>45898</v>
      </c>
      <c r="CQ117" s="14">
        <f>DATE(YEAR(CP117)+2,MONTH(CP117),DAY(CP117))</f>
        <v>46628</v>
      </c>
      <c r="CR117" s="65">
        <f t="shared" ca="1" si="265"/>
        <v>497</v>
      </c>
      <c r="CS117" s="15" t="str">
        <f t="shared" ca="1" si="266"/>
        <v>VIGENTE</v>
      </c>
      <c r="CT117" s="13">
        <v>44977</v>
      </c>
      <c r="CU117" s="14">
        <v>45639</v>
      </c>
      <c r="CV117" s="14">
        <f>DATE(YEAR(CU117)+2,MONTH(CU117),DAY(CU117)-1)</f>
        <v>46368</v>
      </c>
      <c r="CW117" s="65">
        <f t="shared" ca="1" si="267"/>
        <v>237</v>
      </c>
      <c r="CX117" s="15" t="str">
        <f t="shared" ca="1" si="268"/>
        <v>VIGENTE</v>
      </c>
      <c r="CY117" s="13">
        <v>44995</v>
      </c>
      <c r="CZ117" s="14">
        <v>45665</v>
      </c>
      <c r="DA117" s="14">
        <f>DATE(YEAR(CZ117)+2,MONTH(CZ117),DAY(CZ117)-1)</f>
        <v>46394</v>
      </c>
      <c r="DB117" s="65">
        <f t="shared" ca="1" si="269"/>
        <v>263</v>
      </c>
      <c r="DC117" s="15" t="str">
        <f t="shared" ca="1" si="270"/>
        <v>VIGENTE</v>
      </c>
      <c r="DD117" s="13">
        <v>45020</v>
      </c>
      <c r="DE117" s="14">
        <v>45689</v>
      </c>
      <c r="DF117" s="14">
        <f>DATE(YEAR(DE117)+2,MONTH(DE117),DAY(DE117)-1)</f>
        <v>46418</v>
      </c>
      <c r="DG117" s="65">
        <f t="shared" ca="1" si="271"/>
        <v>287</v>
      </c>
      <c r="DH117" s="15" t="str">
        <f t="shared" ca="1" si="272"/>
        <v>VIGENTE</v>
      </c>
      <c r="DI117" s="13">
        <v>45296</v>
      </c>
      <c r="DJ117" s="14">
        <v>45955</v>
      </c>
      <c r="DK117" s="14">
        <f>DATE(YEAR(DJ117)+2,MONTH(DJ117),DAY(DJ117))</f>
        <v>46685</v>
      </c>
      <c r="DL117" s="65">
        <f t="shared" ca="1" si="273"/>
        <v>554</v>
      </c>
      <c r="DM117" s="15" t="str">
        <f t="shared" ca="1" si="274"/>
        <v>VIGENTE</v>
      </c>
      <c r="DN117" s="13">
        <v>44895</v>
      </c>
      <c r="DO117" s="14">
        <v>45533</v>
      </c>
      <c r="DP117" s="14">
        <f>DATE(YEAR(DO117)+2,MONTH(DO117),DAY(DO117)-1)</f>
        <v>46262</v>
      </c>
      <c r="DQ117" s="65">
        <f t="shared" ca="1" si="275"/>
        <v>131</v>
      </c>
      <c r="DR117" s="15" t="str">
        <f t="shared" ca="1" si="276"/>
        <v>VIGENTE</v>
      </c>
      <c r="DS117" s="13">
        <v>45200</v>
      </c>
      <c r="DT117" s="14">
        <v>45852</v>
      </c>
      <c r="DU117" s="14">
        <f>DATE(YEAR(DT117)+2,MONTH(DT117),DAY(DT117))</f>
        <v>46582</v>
      </c>
      <c r="DV117" s="65">
        <f t="shared" ca="1" si="277"/>
        <v>451</v>
      </c>
      <c r="DW117" s="15" t="str">
        <f t="shared" ca="1" si="278"/>
        <v>VIGENTE</v>
      </c>
      <c r="DX117" s="13">
        <v>45267</v>
      </c>
      <c r="DY117" s="14">
        <v>45934</v>
      </c>
      <c r="DZ117" s="14">
        <f>DATE(YEAR(DY117)+2,MONTH(DY117),DAY(DY117))</f>
        <v>46664</v>
      </c>
      <c r="EA117" s="65">
        <f t="shared" ca="1" si="279"/>
        <v>533</v>
      </c>
      <c r="EB117" s="15" t="str">
        <f t="shared" ca="1" si="280"/>
        <v>VIGENTE</v>
      </c>
      <c r="EC117" s="13">
        <v>44740</v>
      </c>
      <c r="ED117" s="14">
        <v>45462</v>
      </c>
      <c r="EE117" s="14">
        <f>DATE(YEAR(ED117)+2,MONTH(ED117),DAY(ED117)-1)</f>
        <v>46191</v>
      </c>
      <c r="EF117" s="65">
        <f t="shared" ca="1" si="281"/>
        <v>60</v>
      </c>
      <c r="EG117" s="15" t="str">
        <f t="shared" ca="1" si="282"/>
        <v>POR VENCER</v>
      </c>
      <c r="EH117" s="13">
        <v>44572</v>
      </c>
      <c r="EI117" s="13">
        <v>45946</v>
      </c>
      <c r="EJ117" s="13">
        <v>45947</v>
      </c>
      <c r="EK117" s="14">
        <v>45948</v>
      </c>
      <c r="EL117" s="14">
        <f t="shared" si="344"/>
        <v>46313</v>
      </c>
      <c r="EM117" s="65">
        <f t="shared" ca="1" si="283"/>
        <v>182</v>
      </c>
      <c r="EN117" s="15" t="str">
        <f t="shared" ca="1" si="284"/>
        <v>VIGENTE</v>
      </c>
      <c r="EO117" s="13">
        <v>44740</v>
      </c>
      <c r="EP117" s="14">
        <v>45460</v>
      </c>
      <c r="EQ117" s="14">
        <f>DATE(YEAR(EP117)+2,MONTH(EP117),DAY(EP117)-1)</f>
        <v>46189</v>
      </c>
      <c r="ER117" s="65">
        <f t="shared" ca="1" si="285"/>
        <v>58</v>
      </c>
      <c r="ES117" s="15" t="str">
        <f t="shared" ca="1" si="286"/>
        <v>POR VENCER</v>
      </c>
      <c r="ET117" s="13">
        <v>44604</v>
      </c>
      <c r="EU117" s="14">
        <v>45999</v>
      </c>
      <c r="EV117" s="14">
        <f>DATE(YEAR(EU117)+2,MONTH(EU117),DAY(EU117))</f>
        <v>46729</v>
      </c>
      <c r="EW117" s="65">
        <f t="shared" ca="1" si="287"/>
        <v>598</v>
      </c>
      <c r="EX117" s="15" t="str">
        <f t="shared" ca="1" si="288"/>
        <v>VIGENTE</v>
      </c>
      <c r="EY117" s="13">
        <v>44644</v>
      </c>
      <c r="EZ117" s="14">
        <v>46037</v>
      </c>
      <c r="FA117" s="14">
        <f t="shared" si="416"/>
        <v>46767</v>
      </c>
      <c r="FB117" s="65">
        <f t="shared" ca="1" si="289"/>
        <v>636</v>
      </c>
      <c r="FC117" s="15" t="str">
        <f t="shared" ca="1" si="290"/>
        <v>VIGENTE</v>
      </c>
      <c r="FD117" s="13">
        <v>44644</v>
      </c>
      <c r="FE117" s="14">
        <v>45951</v>
      </c>
      <c r="FF117" s="14">
        <f>DATE(YEAR(FE117)+2,MONTH(FE117),DAY(FE117))</f>
        <v>46681</v>
      </c>
      <c r="FG117" s="65">
        <f t="shared" ca="1" si="291"/>
        <v>550</v>
      </c>
      <c r="FH117" s="15" t="str">
        <f t="shared" ca="1" si="292"/>
        <v>VIGENTE</v>
      </c>
      <c r="FI117" s="13">
        <v>45248</v>
      </c>
      <c r="FJ117" s="14">
        <v>45919</v>
      </c>
      <c r="FK117" s="14">
        <f t="shared" si="417"/>
        <v>46649</v>
      </c>
      <c r="FL117" s="65">
        <f t="shared" ca="1" si="293"/>
        <v>518</v>
      </c>
      <c r="FM117" s="15" t="str">
        <f t="shared" ca="1" si="294"/>
        <v>VIGENTE</v>
      </c>
      <c r="FN117" s="13">
        <v>45276</v>
      </c>
      <c r="FO117" s="14">
        <v>45964</v>
      </c>
      <c r="FP117" s="14">
        <f>DATE(YEAR(FO117)+2,MONTH(FO117),DAY(FO117))</f>
        <v>46694</v>
      </c>
      <c r="FQ117" s="65">
        <f t="shared" ca="1" si="295"/>
        <v>563</v>
      </c>
      <c r="FR117" s="15" t="str">
        <f t="shared" ca="1" si="296"/>
        <v>VIGENTE</v>
      </c>
      <c r="FS117" s="13">
        <v>45279</v>
      </c>
      <c r="FT117" s="14">
        <v>45957</v>
      </c>
      <c r="FU117" s="14">
        <f>DATE(YEAR(FT117)+2,MONTH(FT117),DAY(FT117))</f>
        <v>46687</v>
      </c>
      <c r="FV117" s="65">
        <f t="shared" ca="1" si="297"/>
        <v>556</v>
      </c>
      <c r="FW117" s="15" t="str">
        <f t="shared" ca="1" si="298"/>
        <v>VIGENTE</v>
      </c>
      <c r="FX117" s="13">
        <v>44645</v>
      </c>
      <c r="FY117" s="14">
        <v>46014</v>
      </c>
      <c r="FZ117" s="14">
        <f>DATE(YEAR(FY117)+2,MONTH(FY117),DAY(FY117))</f>
        <v>46744</v>
      </c>
      <c r="GA117" s="65">
        <f t="shared" ca="1" si="299"/>
        <v>613</v>
      </c>
      <c r="GB117" s="15" t="str">
        <f t="shared" ca="1" si="300"/>
        <v>VIGENTE</v>
      </c>
      <c r="GC117" s="13">
        <v>44599</v>
      </c>
      <c r="GD117" s="14">
        <v>46003</v>
      </c>
      <c r="GE117" s="14">
        <f>DATE(YEAR(GD117)+2,MONTH(GD117),DAY(GD117))</f>
        <v>46733</v>
      </c>
      <c r="GF117" s="65">
        <f t="shared" ca="1" si="301"/>
        <v>602</v>
      </c>
      <c r="GG117" s="15" t="str">
        <f t="shared" ca="1" si="302"/>
        <v>VIGENTE</v>
      </c>
      <c r="GH117" s="13">
        <v>45254</v>
      </c>
      <c r="GI117" s="14">
        <v>45912</v>
      </c>
      <c r="GJ117" s="14">
        <f>DATE(YEAR(GI117)+2,MONTH(GI117),DAY(GI117))</f>
        <v>46642</v>
      </c>
      <c r="GK117" s="65">
        <f t="shared" ca="1" si="303"/>
        <v>511</v>
      </c>
      <c r="GL117" s="15" t="str">
        <f t="shared" ca="1" si="304"/>
        <v>VIGENTE</v>
      </c>
      <c r="GM117" s="13">
        <v>44610</v>
      </c>
      <c r="GN117" s="14">
        <v>45945</v>
      </c>
      <c r="GO117" s="14">
        <f>DATE(YEAR(GN117)+2,MONTH(GN117),DAY(GN117))</f>
        <v>46675</v>
      </c>
      <c r="GP117" s="65">
        <f t="shared" ca="1" si="305"/>
        <v>544</v>
      </c>
      <c r="GQ117" s="15" t="str">
        <f t="shared" ca="1" si="306"/>
        <v>VIGENTE</v>
      </c>
      <c r="GR117" s="14">
        <v>44781</v>
      </c>
      <c r="GS117" s="14">
        <v>45459</v>
      </c>
      <c r="GT117" s="14">
        <f t="shared" si="307"/>
        <v>47285</v>
      </c>
      <c r="GU117" s="65">
        <f t="shared" ca="1" si="398"/>
        <v>1154</v>
      </c>
      <c r="GV117" s="15" t="str">
        <f t="shared" ca="1" si="411"/>
        <v>VIGENTE</v>
      </c>
      <c r="GW117" s="13">
        <v>44782</v>
      </c>
      <c r="GX117" s="14">
        <v>45464</v>
      </c>
      <c r="GY117" s="14">
        <f t="shared" si="309"/>
        <v>47290</v>
      </c>
      <c r="GZ117" s="65">
        <f t="shared" ca="1" si="310"/>
        <v>1159</v>
      </c>
      <c r="HA117" s="15" t="str">
        <f t="shared" ca="1" si="418"/>
        <v>VIGENTE</v>
      </c>
      <c r="HB117" s="13">
        <v>44781</v>
      </c>
      <c r="HC117" s="14">
        <v>45466</v>
      </c>
      <c r="HD117" s="14">
        <f t="shared" si="312"/>
        <v>47292</v>
      </c>
      <c r="HE117" s="65">
        <f t="shared" ca="1" si="313"/>
        <v>1161</v>
      </c>
      <c r="HF117" s="15" t="str">
        <f t="shared" ca="1" si="413"/>
        <v>VIGENTE</v>
      </c>
      <c r="HG117" s="16"/>
      <c r="HH117" s="14">
        <v>44865</v>
      </c>
      <c r="HI117" s="14">
        <f t="shared" si="396"/>
        <v>46691</v>
      </c>
      <c r="HJ117" s="65">
        <f t="shared" ca="1" si="397"/>
        <v>560</v>
      </c>
      <c r="HK117" s="15" t="str">
        <f t="shared" ca="1" si="419"/>
        <v>VIGENTE</v>
      </c>
      <c r="HL117" s="13">
        <v>44628</v>
      </c>
      <c r="HM117" s="14">
        <v>45368</v>
      </c>
      <c r="HN117" s="14">
        <f>DATE(YEAR(HM117)+5,MONTH(HM117),DAY(HM117))</f>
        <v>47194</v>
      </c>
      <c r="HO117" s="65">
        <f ca="1">HN117-TODAY()</f>
        <v>1063</v>
      </c>
      <c r="HP117" s="15" t="str">
        <f t="shared" ca="1" si="400"/>
        <v>VIGENTE</v>
      </c>
      <c r="HQ117" s="12"/>
      <c r="HR117" s="12"/>
      <c r="HS117" s="14"/>
      <c r="HT117" s="12"/>
      <c r="HU117" s="15" t="str">
        <f t="shared" si="315"/>
        <v>NO APLICA</v>
      </c>
      <c r="HV117" s="13">
        <v>44782</v>
      </c>
      <c r="HW117" s="14">
        <v>45469</v>
      </c>
      <c r="HX117" s="14">
        <f>DATE(YEAR(HW117)+5,MONTH(HW117),DAY(HW117))</f>
        <v>47295</v>
      </c>
      <c r="HY117" s="65">
        <f ca="1">HX117-TODAY()</f>
        <v>1164</v>
      </c>
      <c r="HZ117" s="15" t="str">
        <f t="shared" ca="1" si="316"/>
        <v>VIGENTE</v>
      </c>
      <c r="IA117" s="13">
        <v>44566</v>
      </c>
      <c r="IB117" s="14">
        <v>45234</v>
      </c>
      <c r="IC117" s="14">
        <f>DATE(YEAR(IB117)+5,MONTH(IB117),DAY(IB117))</f>
        <v>47061</v>
      </c>
      <c r="ID117" s="65">
        <f ca="1">IC117-TODAY()</f>
        <v>930</v>
      </c>
      <c r="IE117" s="15" t="str">
        <f t="shared" ca="1" si="317"/>
        <v>VIGENTE</v>
      </c>
      <c r="IF117" s="13">
        <v>44558</v>
      </c>
      <c r="IG117" s="14">
        <v>45236</v>
      </c>
      <c r="IH117" s="14">
        <f>DATE(YEAR(IG117)+5,MONTH(IG117),DAY(IG117))</f>
        <v>47063</v>
      </c>
      <c r="II117" s="65">
        <f ca="1">IH117-TODAY()</f>
        <v>932</v>
      </c>
      <c r="IJ117" s="15" t="str">
        <f t="shared" ca="1" si="318"/>
        <v>VIGENTE</v>
      </c>
      <c r="IK117" s="14">
        <v>44568</v>
      </c>
      <c r="IL117" s="14">
        <v>45262</v>
      </c>
      <c r="IM117" s="14">
        <f>DATE(YEAR(IL117)+5,MONTH(IL117),DAY(IL117))</f>
        <v>47089</v>
      </c>
      <c r="IN117" s="65">
        <f ca="1">IM117-TODAY()</f>
        <v>958</v>
      </c>
      <c r="IO117" s="15" t="str">
        <f t="shared" ca="1" si="319"/>
        <v>VIGENTE</v>
      </c>
      <c r="IP117" s="13">
        <v>44568</v>
      </c>
      <c r="IQ117" s="14">
        <v>45239</v>
      </c>
      <c r="IR117" s="14">
        <f>DATE(YEAR(IQ117)+5,MONTH(IQ117),DAY(IQ117))</f>
        <v>47066</v>
      </c>
      <c r="IS117" s="65">
        <f ca="1">IR117-TODAY()</f>
        <v>935</v>
      </c>
      <c r="IT117" s="15" t="str">
        <f t="shared" ca="1" si="320"/>
        <v>VIGENTE</v>
      </c>
      <c r="IU117" s="13">
        <v>44558</v>
      </c>
      <c r="IV117" s="14">
        <v>45240</v>
      </c>
      <c r="IW117" s="14">
        <f>DATE(YEAR(IV117)+5,MONTH(IV117),DAY(IV117))</f>
        <v>47067</v>
      </c>
      <c r="IX117" s="65">
        <f ca="1">IW117-TODAY()</f>
        <v>936</v>
      </c>
      <c r="IY117" s="15" t="str">
        <f t="shared" ca="1" si="321"/>
        <v>VIGENTE</v>
      </c>
      <c r="IZ117" s="13">
        <v>44566</v>
      </c>
      <c r="JA117" s="14">
        <v>45289</v>
      </c>
      <c r="JB117" s="14">
        <f>DATE(YEAR(JA117)+5,MONTH(JA117),DAY(JA117))</f>
        <v>47116</v>
      </c>
      <c r="JC117" s="65">
        <f ca="1">JB117-TODAY()</f>
        <v>985</v>
      </c>
      <c r="JD117" s="15" t="str">
        <f t="shared" ca="1" si="322"/>
        <v>VIGENTE</v>
      </c>
      <c r="JE117" s="13"/>
      <c r="JF117" s="13"/>
      <c r="JG117" s="14"/>
      <c r="JH117" s="65"/>
      <c r="JI117" s="15" t="str">
        <f t="shared" si="323"/>
        <v>NO APLICA</v>
      </c>
      <c r="JJ117" s="16"/>
      <c r="JK117" s="16"/>
      <c r="JL117" s="16"/>
      <c r="JM117" s="15" t="str">
        <f t="shared" si="324"/>
        <v>NO APLICA</v>
      </c>
      <c r="JN117" s="16"/>
      <c r="JO117" s="16"/>
      <c r="JP117" s="16"/>
      <c r="JQ117" s="15" t="str">
        <f t="shared" si="325"/>
        <v>NO APLICA</v>
      </c>
      <c r="JR117" s="16"/>
      <c r="JS117" s="16"/>
      <c r="JT117" s="16"/>
      <c r="JU117" s="16"/>
      <c r="JV117" s="15" t="str">
        <f t="shared" si="326"/>
        <v>NO APLICA</v>
      </c>
      <c r="JW117" s="15"/>
      <c r="JX117" s="15"/>
      <c r="JY117" s="15"/>
      <c r="JZ117" s="15"/>
      <c r="KA117" s="15" t="str">
        <f t="shared" si="327"/>
        <v>NO APLICA</v>
      </c>
      <c r="KB117" s="12"/>
      <c r="KC117" s="14"/>
      <c r="KD117" s="65"/>
      <c r="KE117" s="15" t="str">
        <f t="shared" si="328"/>
        <v>NO APLICA</v>
      </c>
      <c r="KF117" s="12"/>
      <c r="KG117" s="14"/>
      <c r="KH117" s="65"/>
      <c r="KI117" s="15" t="str">
        <f t="shared" si="345"/>
        <v>NO APLICA</v>
      </c>
      <c r="KJ117" s="12"/>
      <c r="KK117" s="14"/>
      <c r="KL117" s="65"/>
      <c r="KM117" s="15" t="str">
        <f t="shared" si="329"/>
        <v>NO APLICA</v>
      </c>
      <c r="KN117" s="12"/>
      <c r="KO117" s="14"/>
      <c r="KP117" s="65"/>
      <c r="KQ117" s="15" t="str">
        <f t="shared" si="346"/>
        <v>NO APLICA</v>
      </c>
      <c r="KR117" s="12"/>
      <c r="KS117" s="16"/>
      <c r="KT117" s="14"/>
      <c r="KU117" s="65"/>
      <c r="KV117" s="15" t="str">
        <f t="shared" si="355"/>
        <v>NO APLICA</v>
      </c>
      <c r="KW117" s="16"/>
      <c r="KX117" s="14"/>
      <c r="KY117" s="65"/>
      <c r="KZ117" s="15" t="str">
        <f t="shared" si="347"/>
        <v>NO APLICA</v>
      </c>
      <c r="LA117" s="16"/>
      <c r="LB117" s="14">
        <v>45527</v>
      </c>
      <c r="LC117" s="14">
        <f>DATE(YEAR(LB117)+2,MONTH(LB117),DAY(LB117))</f>
        <v>46257</v>
      </c>
      <c r="LD117" s="65">
        <f ca="1">LC117-TODAY()</f>
        <v>126</v>
      </c>
      <c r="LE117" s="15" t="str">
        <f t="shared" ca="1" si="330"/>
        <v>VIGENTE</v>
      </c>
      <c r="LF117" s="15"/>
      <c r="LG117" s="15"/>
      <c r="LH117" s="14"/>
      <c r="LI117" s="65"/>
      <c r="LJ117" s="15" t="str">
        <f t="shared" si="356"/>
        <v>NO APLICA</v>
      </c>
      <c r="LK117" s="12"/>
      <c r="LL117" s="16"/>
      <c r="LM117" s="14"/>
      <c r="LN117" s="65"/>
      <c r="LO117" s="15" t="str">
        <f t="shared" si="348"/>
        <v>NO APLICA</v>
      </c>
      <c r="LP117" s="16"/>
      <c r="LQ117" s="16"/>
      <c r="LR117" s="14"/>
      <c r="LS117" s="65"/>
      <c r="LT117" s="15" t="str">
        <f t="shared" si="349"/>
        <v>NO APLICA</v>
      </c>
      <c r="LU117" s="16"/>
      <c r="LV117" s="16"/>
      <c r="LW117" s="14"/>
      <c r="LX117" s="65"/>
      <c r="LY117" s="15" t="str">
        <f t="shared" si="350"/>
        <v>NO APLICA</v>
      </c>
      <c r="LZ117" s="12"/>
      <c r="MA117" s="12"/>
      <c r="MB117" s="14"/>
      <c r="MC117" s="65"/>
      <c r="MD117" s="15" t="str">
        <f t="shared" si="331"/>
        <v>NO APLICA</v>
      </c>
      <c r="ME117" s="12"/>
      <c r="MF117" s="12"/>
      <c r="MG117" s="14"/>
      <c r="MH117" s="65"/>
      <c r="MI117" s="15" t="str">
        <f t="shared" si="332"/>
        <v>NO APLICA</v>
      </c>
      <c r="MJ117" s="12"/>
      <c r="MK117" s="14"/>
      <c r="ML117" s="65"/>
      <c r="MM117" s="15" t="str">
        <f t="shared" si="333"/>
        <v>NO APLICA</v>
      </c>
      <c r="MN117" s="12"/>
      <c r="MO117" s="14"/>
      <c r="MP117" s="12"/>
      <c r="MQ117" s="15" t="str">
        <f t="shared" si="334"/>
        <v>NO APLICA</v>
      </c>
      <c r="MR117" s="12"/>
      <c r="MS117" s="16"/>
      <c r="MT117" s="14"/>
      <c r="MU117" s="65"/>
      <c r="MV117" s="15" t="str">
        <f t="shared" si="335"/>
        <v>NO APLICA</v>
      </c>
      <c r="MW117" s="12"/>
      <c r="MX117" s="16"/>
      <c r="MY117" s="14"/>
      <c r="MZ117" s="65"/>
      <c r="NA117" s="15" t="str">
        <f t="shared" si="336"/>
        <v>NO APLICA</v>
      </c>
      <c r="NB117" s="12"/>
      <c r="NC117" s="16"/>
      <c r="ND117" s="14"/>
      <c r="NE117" s="65"/>
      <c r="NF117" s="15" t="str">
        <f t="shared" si="337"/>
        <v>NO APLICA</v>
      </c>
      <c r="NG117" s="12"/>
      <c r="NH117" s="12"/>
      <c r="NI117" s="14"/>
      <c r="NJ117" s="12"/>
      <c r="NK117" s="15" t="str">
        <f t="shared" si="338"/>
        <v>NO APLICA</v>
      </c>
      <c r="NL117" s="12"/>
      <c r="NM117" s="12"/>
      <c r="NN117" s="14"/>
      <c r="NO117" s="12"/>
      <c r="NP117" s="15" t="str">
        <f t="shared" si="339"/>
        <v>NO APLICA</v>
      </c>
      <c r="NQ117" s="16"/>
      <c r="NR117" s="16"/>
      <c r="NS117" s="14"/>
      <c r="NT117" s="65"/>
      <c r="NU117" s="15" t="str">
        <f t="shared" si="340"/>
        <v>NO APLICA</v>
      </c>
      <c r="NV117" s="16"/>
      <c r="NW117" s="16"/>
      <c r="NX117" s="16"/>
      <c r="NY117" s="16"/>
      <c r="NZ117" s="15" t="str">
        <f t="shared" si="341"/>
        <v>NO APLICA</v>
      </c>
    </row>
    <row r="118" spans="1:390" ht="15.6" thickTop="1" thickBot="1" x14ac:dyDescent="0.35">
      <c r="A118" s="9">
        <v>1046</v>
      </c>
      <c r="B118" s="10" t="s">
        <v>453</v>
      </c>
      <c r="C118" s="21" t="s">
        <v>151</v>
      </c>
      <c r="D118" s="64" t="s">
        <v>165</v>
      </c>
      <c r="E118" s="13">
        <v>46118</v>
      </c>
      <c r="F118" s="14">
        <v>46119</v>
      </c>
      <c r="G118" s="14">
        <f>DATE(YEAR(F118)+2,MONTH(F118),DAY(F118))</f>
        <v>46850</v>
      </c>
      <c r="H118" s="65">
        <f ca="1">G118-TODAY()</f>
        <v>719</v>
      </c>
      <c r="I118" s="15" t="str">
        <f t="shared" ca="1" si="235"/>
        <v>VIGENTE</v>
      </c>
      <c r="J118" s="12"/>
      <c r="K118" s="16"/>
      <c r="L118" s="16"/>
      <c r="M118" s="65"/>
      <c r="N118" s="15" t="str">
        <f t="shared" si="236"/>
        <v>NO APLICA</v>
      </c>
      <c r="O118" s="16"/>
      <c r="P118" s="16"/>
      <c r="Q118" s="14"/>
      <c r="R118" s="65"/>
      <c r="S118" s="15" t="str">
        <f t="shared" si="342"/>
        <v>NO APLICA</v>
      </c>
      <c r="T118" s="12" t="s">
        <v>454</v>
      </c>
      <c r="U118" s="13">
        <v>44785</v>
      </c>
      <c r="V118" s="14">
        <v>44786</v>
      </c>
      <c r="W118" s="14">
        <f t="shared" si="401"/>
        <v>46612</v>
      </c>
      <c r="X118" s="65">
        <f t="shared" ca="1" si="402"/>
        <v>481</v>
      </c>
      <c r="Y118" s="15" t="str">
        <f t="shared" ca="1" si="403"/>
        <v>VIGENTE</v>
      </c>
      <c r="Z118" s="12"/>
      <c r="AA118" s="12"/>
      <c r="AB118" s="16"/>
      <c r="AC118" s="14"/>
      <c r="AD118" s="65"/>
      <c r="AE118" s="15" t="str">
        <f t="shared" si="406"/>
        <v>NO APLICA</v>
      </c>
      <c r="AF118" s="13">
        <v>44607</v>
      </c>
      <c r="AG118" s="14">
        <v>45892</v>
      </c>
      <c r="AH118" s="14">
        <f>DATE(YEAR(AG118)+2,MONTH(AG118),DAY(AG118))</f>
        <v>46622</v>
      </c>
      <c r="AI118" s="65">
        <f t="shared" ca="1" si="241"/>
        <v>491</v>
      </c>
      <c r="AJ118" s="15" t="str">
        <f t="shared" ca="1" si="399"/>
        <v>VIGENTE</v>
      </c>
      <c r="AK118" s="13">
        <v>45286</v>
      </c>
      <c r="AL118" s="14">
        <v>46062</v>
      </c>
      <c r="AM118" s="14">
        <f>DATE(YEAR(AL118)+2,MONTH(AL118),DAY(AL118))</f>
        <v>46792</v>
      </c>
      <c r="AN118" s="65">
        <f t="shared" ca="1" si="242"/>
        <v>661</v>
      </c>
      <c r="AO118" s="15" t="str">
        <f t="shared" ca="1" si="243"/>
        <v>VIGENTE</v>
      </c>
      <c r="AP118" s="13">
        <v>44652</v>
      </c>
      <c r="AQ118" s="14">
        <v>46048</v>
      </c>
      <c r="AR118" s="14">
        <f>DATE(YEAR(AQ118)+2,MONTH(AQ118),DAY(AQ118))</f>
        <v>46778</v>
      </c>
      <c r="AS118" s="65">
        <f t="shared" ca="1" si="244"/>
        <v>647</v>
      </c>
      <c r="AT118" s="15" t="str">
        <f t="shared" ca="1" si="245"/>
        <v>VIGENTE</v>
      </c>
      <c r="AU118" s="13">
        <v>44652</v>
      </c>
      <c r="AV118" s="14">
        <v>45927</v>
      </c>
      <c r="AW118" s="14">
        <f>DATE(YEAR(AV118)+2,MONTH(AV118),DAY(AV118))</f>
        <v>46657</v>
      </c>
      <c r="AX118" s="65">
        <f t="shared" ca="1" si="246"/>
        <v>526</v>
      </c>
      <c r="AY118" s="15" t="str">
        <f t="shared" ca="1" si="247"/>
        <v>VIGENTE</v>
      </c>
      <c r="AZ118" s="13">
        <v>45093</v>
      </c>
      <c r="BA118" s="14">
        <v>45742</v>
      </c>
      <c r="BB118" s="14">
        <f>DATE(YEAR(BA118)+2,MONTH(BA118),DAY(BA118)-1)</f>
        <v>46471</v>
      </c>
      <c r="BC118" s="65">
        <f t="shared" ca="1" si="248"/>
        <v>340</v>
      </c>
      <c r="BD118" s="15" t="str">
        <f t="shared" ca="1" si="249"/>
        <v>VIGENTE</v>
      </c>
      <c r="BE118" s="13">
        <v>44989</v>
      </c>
      <c r="BF118" s="14">
        <v>45698</v>
      </c>
      <c r="BG118" s="14">
        <f>DATE(YEAR(BF118)+2,MONTH(BF118),DAY(BF118)-1)</f>
        <v>46427</v>
      </c>
      <c r="BH118" s="65">
        <f t="shared" ca="1" si="250"/>
        <v>296</v>
      </c>
      <c r="BI118" s="15" t="str">
        <f t="shared" ca="1" si="251"/>
        <v>VIGENTE</v>
      </c>
      <c r="BJ118" s="13">
        <v>45444</v>
      </c>
      <c r="BK118" s="14">
        <v>46090</v>
      </c>
      <c r="BL118" s="14">
        <f>DATE(YEAR(BK118)+2,MONTH(BK118),DAY(BK118))</f>
        <v>46821</v>
      </c>
      <c r="BM118" s="65">
        <f t="shared" ca="1" si="252"/>
        <v>690</v>
      </c>
      <c r="BN118" s="15" t="str">
        <f t="shared" ca="1" si="253"/>
        <v>VIGENTE</v>
      </c>
      <c r="BO118" s="13">
        <v>44791</v>
      </c>
      <c r="BP118" s="14">
        <v>46050</v>
      </c>
      <c r="BQ118" s="14">
        <f>DATE(YEAR(BP118)+2,MONTH(BP118),DAY(BP118))</f>
        <v>46780</v>
      </c>
      <c r="BR118" s="65">
        <f t="shared" ca="1" si="254"/>
        <v>649</v>
      </c>
      <c r="BS118" s="15" t="str">
        <f t="shared" ca="1" si="255"/>
        <v>VIGENTE</v>
      </c>
      <c r="BT118" s="12">
        <v>45086</v>
      </c>
      <c r="BU118" s="14">
        <v>45736</v>
      </c>
      <c r="BV118" s="14">
        <f>DATE(YEAR(BU118)+2,MONTH(BU118),DAY(BU118)-1)</f>
        <v>46465</v>
      </c>
      <c r="BW118" s="65">
        <f t="shared" ca="1" si="256"/>
        <v>334</v>
      </c>
      <c r="BX118" s="15" t="str">
        <f t="shared" ca="1" si="257"/>
        <v>VIGENTE</v>
      </c>
      <c r="BY118" s="13">
        <v>44606</v>
      </c>
      <c r="BZ118" s="14">
        <v>46065</v>
      </c>
      <c r="CA118" s="14">
        <f t="shared" si="415"/>
        <v>46795</v>
      </c>
      <c r="CB118" s="65">
        <f t="shared" ca="1" si="258"/>
        <v>664</v>
      </c>
      <c r="CC118" s="15" t="str">
        <f t="shared" ca="1" si="259"/>
        <v>VIGENTE</v>
      </c>
      <c r="CD118" s="16" t="s">
        <v>108</v>
      </c>
      <c r="CE118" s="14">
        <v>45615</v>
      </c>
      <c r="CF118" s="14">
        <v>45616</v>
      </c>
      <c r="CG118" s="14">
        <f t="shared" si="408"/>
        <v>47077</v>
      </c>
      <c r="CH118" s="65">
        <f t="shared" ca="1" si="409"/>
        <v>946</v>
      </c>
      <c r="CI118" s="15" t="str">
        <f t="shared" ca="1" si="410"/>
        <v>VIGENTE</v>
      </c>
      <c r="CJ118" s="14">
        <v>45006</v>
      </c>
      <c r="CK118" s="14">
        <v>45688</v>
      </c>
      <c r="CL118" s="14">
        <f>DATE(YEAR(CK118)+2,MONTH(CK118),DAY(CK118)-1)</f>
        <v>46417</v>
      </c>
      <c r="CM118" s="65">
        <f t="shared" ca="1" si="263"/>
        <v>286</v>
      </c>
      <c r="CN118" s="15" t="str">
        <f t="shared" ca="1" si="264"/>
        <v>VIGENTE</v>
      </c>
      <c r="CO118" s="13">
        <v>45087</v>
      </c>
      <c r="CP118" s="14">
        <v>45769</v>
      </c>
      <c r="CQ118" s="14">
        <f>DATE(YEAR(CP118)+2,MONTH(CP118),DAY(CP118))</f>
        <v>46499</v>
      </c>
      <c r="CR118" s="65">
        <f t="shared" ca="1" si="265"/>
        <v>368</v>
      </c>
      <c r="CS118" s="15" t="str">
        <f t="shared" ca="1" si="266"/>
        <v>VIGENTE</v>
      </c>
      <c r="CT118" s="13">
        <v>44651</v>
      </c>
      <c r="CU118" s="14">
        <v>46043</v>
      </c>
      <c r="CV118" s="14">
        <f>DATE(YEAR(CU118)+2,MONTH(CU118),DAY(CU118))</f>
        <v>46773</v>
      </c>
      <c r="CW118" s="65">
        <f t="shared" ca="1" si="267"/>
        <v>642</v>
      </c>
      <c r="CX118" s="15" t="str">
        <f t="shared" ca="1" si="268"/>
        <v>VIGENTE</v>
      </c>
      <c r="CY118" s="13">
        <v>45331</v>
      </c>
      <c r="CZ118" s="14">
        <v>46028</v>
      </c>
      <c r="DA118" s="14">
        <f>DATE(YEAR(CZ118)+2,MONTH(CZ118),DAY(CZ118))</f>
        <v>46758</v>
      </c>
      <c r="DB118" s="65">
        <f t="shared" ca="1" si="269"/>
        <v>627</v>
      </c>
      <c r="DC118" s="15" t="str">
        <f t="shared" ca="1" si="270"/>
        <v>VIGENTE</v>
      </c>
      <c r="DD118" s="13">
        <v>45417</v>
      </c>
      <c r="DE118" s="14">
        <v>46066</v>
      </c>
      <c r="DF118" s="14">
        <f>DATE(YEAR(DE118)+2,MONTH(DE118),DAY(DE118))</f>
        <v>46796</v>
      </c>
      <c r="DG118" s="65">
        <f t="shared" ca="1" si="271"/>
        <v>665</v>
      </c>
      <c r="DH118" s="15" t="str">
        <f t="shared" ca="1" si="272"/>
        <v>VIGENTE</v>
      </c>
      <c r="DI118" s="13">
        <v>45312</v>
      </c>
      <c r="DJ118" s="14">
        <v>46029</v>
      </c>
      <c r="DK118" s="14">
        <f>DATE(YEAR(DJ118)+2,MONTH(DJ118),DAY(DJ118))</f>
        <v>46759</v>
      </c>
      <c r="DL118" s="65">
        <f t="shared" ca="1" si="273"/>
        <v>628</v>
      </c>
      <c r="DM118" s="15" t="str">
        <f t="shared" ca="1" si="274"/>
        <v>VIGENTE</v>
      </c>
      <c r="DN118" s="13">
        <v>44650</v>
      </c>
      <c r="DO118" s="14">
        <v>46046</v>
      </c>
      <c r="DP118" s="14">
        <f>DATE(YEAR(DO118)+2,MONTH(DO118),DAY(DO118))</f>
        <v>46776</v>
      </c>
      <c r="DQ118" s="65">
        <f t="shared" ca="1" si="275"/>
        <v>645</v>
      </c>
      <c r="DR118" s="15" t="str">
        <f t="shared" ca="1" si="276"/>
        <v>VIGENTE</v>
      </c>
      <c r="DS118" s="13">
        <v>45019</v>
      </c>
      <c r="DT118" s="14">
        <v>45685</v>
      </c>
      <c r="DU118" s="14">
        <f>DATE(YEAR(DT118)+2,MONTH(DT118),DAY(DT118)-1)</f>
        <v>46414</v>
      </c>
      <c r="DV118" s="65">
        <f t="shared" ca="1" si="277"/>
        <v>283</v>
      </c>
      <c r="DW118" s="15" t="str">
        <f t="shared" ca="1" si="278"/>
        <v>VIGENTE</v>
      </c>
      <c r="DX118" s="13">
        <v>44993</v>
      </c>
      <c r="DY118" s="14">
        <v>45663</v>
      </c>
      <c r="DZ118" s="14">
        <f>DATE(YEAR(DY118)+2,MONTH(DY118),DAY(DY118)-1)</f>
        <v>46392</v>
      </c>
      <c r="EA118" s="65">
        <f t="shared" ca="1" si="279"/>
        <v>261</v>
      </c>
      <c r="EB118" s="15" t="str">
        <f t="shared" ca="1" si="280"/>
        <v>VIGENTE</v>
      </c>
      <c r="EC118" s="13">
        <v>44994</v>
      </c>
      <c r="ED118" s="14">
        <v>45674</v>
      </c>
      <c r="EE118" s="14">
        <f>DATE(YEAR(ED118)+2,MONTH(ED118),DAY(ED118)-1)</f>
        <v>46403</v>
      </c>
      <c r="EF118" s="65">
        <f t="shared" ca="1" si="281"/>
        <v>272</v>
      </c>
      <c r="EG118" s="15" t="str">
        <f t="shared" ca="1" si="282"/>
        <v>VIGENTE</v>
      </c>
      <c r="EH118" s="13">
        <v>45022</v>
      </c>
      <c r="EI118" s="13">
        <v>46083</v>
      </c>
      <c r="EJ118" s="13">
        <v>46084</v>
      </c>
      <c r="EK118" s="13">
        <v>46085</v>
      </c>
      <c r="EL118" s="14">
        <f t="shared" si="344"/>
        <v>46450</v>
      </c>
      <c r="EM118" s="65">
        <f t="shared" ca="1" si="283"/>
        <v>319</v>
      </c>
      <c r="EN118" s="15" t="str">
        <f t="shared" ca="1" si="284"/>
        <v>VIGENTE</v>
      </c>
      <c r="EO118" s="13">
        <v>44788</v>
      </c>
      <c r="EP118" s="14">
        <v>45465</v>
      </c>
      <c r="EQ118" s="14">
        <f>DATE(YEAR(EP118)+2,MONTH(EP118),DAY(EP118)-1)</f>
        <v>46194</v>
      </c>
      <c r="ER118" s="65">
        <f t="shared" ca="1" si="285"/>
        <v>63</v>
      </c>
      <c r="ES118" s="15" t="str">
        <f t="shared" ca="1" si="286"/>
        <v>POR VENCER</v>
      </c>
      <c r="ET118" s="12">
        <v>45096</v>
      </c>
      <c r="EU118" s="14">
        <v>45735</v>
      </c>
      <c r="EV118" s="14">
        <f>DATE(YEAR(EU118)+2,MONTH(EU118),DAY(EU118)-1)</f>
        <v>46464</v>
      </c>
      <c r="EW118" s="65">
        <f t="shared" ca="1" si="287"/>
        <v>333</v>
      </c>
      <c r="EX118" s="15" t="str">
        <f t="shared" ca="1" si="288"/>
        <v>VIGENTE</v>
      </c>
      <c r="EY118" s="13">
        <v>44608</v>
      </c>
      <c r="EZ118" s="14">
        <v>45917</v>
      </c>
      <c r="FA118" s="14">
        <f t="shared" si="416"/>
        <v>46647</v>
      </c>
      <c r="FB118" s="65">
        <f t="shared" ca="1" si="289"/>
        <v>516</v>
      </c>
      <c r="FC118" s="15" t="str">
        <f t="shared" ca="1" si="290"/>
        <v>VIGENTE</v>
      </c>
      <c r="FD118" s="13">
        <v>45321</v>
      </c>
      <c r="FE118" s="14">
        <v>46091</v>
      </c>
      <c r="FF118" s="14">
        <f>DATE(YEAR(FE118)+2,MONTH(FE118),DAY(FE118))</f>
        <v>46822</v>
      </c>
      <c r="FG118" s="65">
        <f t="shared" ca="1" si="291"/>
        <v>691</v>
      </c>
      <c r="FH118" s="15" t="str">
        <f t="shared" ca="1" si="292"/>
        <v>VIGENTE</v>
      </c>
      <c r="FI118" s="13">
        <v>44609</v>
      </c>
      <c r="FJ118" s="14">
        <v>46074</v>
      </c>
      <c r="FK118" s="14">
        <f t="shared" si="417"/>
        <v>46804</v>
      </c>
      <c r="FL118" s="65">
        <f t="shared" ca="1" si="293"/>
        <v>673</v>
      </c>
      <c r="FM118" s="15" t="str">
        <f t="shared" ca="1" si="294"/>
        <v>VIGENTE</v>
      </c>
      <c r="FN118" s="13">
        <v>45023</v>
      </c>
      <c r="FO118" s="14">
        <v>45670</v>
      </c>
      <c r="FP118" s="14">
        <f>DATE(YEAR(FO118)+2,MONTH(FO118),DAY(FO118)-1)</f>
        <v>46399</v>
      </c>
      <c r="FQ118" s="65">
        <f t="shared" ca="1" si="295"/>
        <v>268</v>
      </c>
      <c r="FR118" s="15" t="str">
        <f t="shared" ca="1" si="296"/>
        <v>VIGENTE</v>
      </c>
      <c r="FS118" s="13">
        <v>44790</v>
      </c>
      <c r="FT118" s="14">
        <v>45466</v>
      </c>
      <c r="FU118" s="14">
        <f>DATE(YEAR(FT118)+2,MONTH(FT118),DAY(FT118)-1)</f>
        <v>46195</v>
      </c>
      <c r="FV118" s="65">
        <f t="shared" ca="1" si="297"/>
        <v>64</v>
      </c>
      <c r="FW118" s="15" t="str">
        <f t="shared" ca="1" si="298"/>
        <v>POR VENCER</v>
      </c>
      <c r="FX118" s="13">
        <v>44609</v>
      </c>
      <c r="FY118" s="14">
        <v>46087</v>
      </c>
      <c r="FZ118" s="14">
        <f>DATE(YEAR(FY118)+2,MONTH(FY118),DAY(FY118))</f>
        <v>46818</v>
      </c>
      <c r="GA118" s="65">
        <f t="shared" ca="1" si="299"/>
        <v>687</v>
      </c>
      <c r="GB118" s="15" t="str">
        <f t="shared" ca="1" si="300"/>
        <v>VIGENTE</v>
      </c>
      <c r="GC118" s="13">
        <v>45015</v>
      </c>
      <c r="GD118" s="14">
        <v>45667</v>
      </c>
      <c r="GE118" s="14">
        <f>DATE(YEAR(GD118)+2,MONTH(GD118),DAY(GD118)-1)</f>
        <v>46396</v>
      </c>
      <c r="GF118" s="65">
        <f t="shared" ca="1" si="301"/>
        <v>265</v>
      </c>
      <c r="GG118" s="15" t="str">
        <f t="shared" ca="1" si="302"/>
        <v>VIGENTE</v>
      </c>
      <c r="GH118" s="13">
        <v>44790</v>
      </c>
      <c r="GI118" s="14">
        <v>46092</v>
      </c>
      <c r="GJ118" s="14">
        <f>DATE(YEAR(GI118)+2,MONTH(GI118),DAY(GI118))</f>
        <v>46823</v>
      </c>
      <c r="GK118" s="65">
        <f t="shared" ca="1" si="303"/>
        <v>692</v>
      </c>
      <c r="GL118" s="15" t="str">
        <f t="shared" ca="1" si="304"/>
        <v>VIGENTE</v>
      </c>
      <c r="GM118" s="13">
        <v>44945</v>
      </c>
      <c r="GN118" s="14">
        <v>45608</v>
      </c>
      <c r="GO118" s="14">
        <f>DATE(YEAR(GN118)+2,MONTH(GN118),DAY(GN118)-1)</f>
        <v>46337</v>
      </c>
      <c r="GP118" s="65">
        <f t="shared" ca="1" si="305"/>
        <v>206</v>
      </c>
      <c r="GQ118" s="15" t="str">
        <f t="shared" ca="1" si="306"/>
        <v>VIGENTE</v>
      </c>
      <c r="GR118" s="14"/>
      <c r="GS118" s="14">
        <v>45017</v>
      </c>
      <c r="GT118" s="14">
        <f t="shared" si="307"/>
        <v>46844</v>
      </c>
      <c r="GU118" s="65">
        <f t="shared" ca="1" si="398"/>
        <v>713</v>
      </c>
      <c r="GV118" s="15" t="str">
        <f t="shared" ca="1" si="411"/>
        <v>VIGENTE</v>
      </c>
      <c r="GW118" s="13"/>
      <c r="GX118" s="14">
        <v>44961</v>
      </c>
      <c r="GY118" s="14">
        <f t="shared" si="309"/>
        <v>46787</v>
      </c>
      <c r="GZ118" s="65">
        <f t="shared" ca="1" si="310"/>
        <v>656</v>
      </c>
      <c r="HA118" s="15" t="str">
        <f t="shared" ca="1" si="418"/>
        <v>VIGENTE</v>
      </c>
      <c r="HB118" s="12"/>
      <c r="HC118" s="14">
        <v>45073</v>
      </c>
      <c r="HD118" s="14">
        <f t="shared" si="312"/>
        <v>46900</v>
      </c>
      <c r="HE118" s="65">
        <f t="shared" ca="1" si="313"/>
        <v>769</v>
      </c>
      <c r="HF118" s="15" t="str">
        <f t="shared" ca="1" si="413"/>
        <v>VIGENTE</v>
      </c>
      <c r="HG118" s="16"/>
      <c r="HH118" s="16"/>
      <c r="HI118" s="14"/>
      <c r="HJ118" s="65"/>
      <c r="HK118" s="15" t="str">
        <f t="shared" si="419"/>
        <v>NO APLICA</v>
      </c>
      <c r="HL118" s="12"/>
      <c r="HM118" s="16"/>
      <c r="HN118" s="14"/>
      <c r="HO118" s="65"/>
      <c r="HP118" s="15" t="str">
        <f t="shared" si="400"/>
        <v>NO APLICA</v>
      </c>
      <c r="HQ118" s="12"/>
      <c r="HR118" s="12"/>
      <c r="HS118" s="14"/>
      <c r="HT118" s="12"/>
      <c r="HU118" s="15" t="str">
        <f t="shared" si="315"/>
        <v>NO APLICA</v>
      </c>
      <c r="HV118" s="12"/>
      <c r="HW118" s="16"/>
      <c r="HX118" s="14"/>
      <c r="HY118" s="65"/>
      <c r="HZ118" s="15" t="str">
        <f t="shared" si="316"/>
        <v>NO APLICA</v>
      </c>
      <c r="IA118" s="12"/>
      <c r="IB118" s="16"/>
      <c r="IC118" s="14"/>
      <c r="ID118" s="65"/>
      <c r="IE118" s="15" t="str">
        <f t="shared" si="317"/>
        <v>NO APLICA</v>
      </c>
      <c r="IF118" s="12"/>
      <c r="IG118" s="16"/>
      <c r="IH118" s="14"/>
      <c r="II118" s="65"/>
      <c r="IJ118" s="15" t="str">
        <f t="shared" si="318"/>
        <v>NO APLICA</v>
      </c>
      <c r="IK118" s="16"/>
      <c r="IL118" s="16"/>
      <c r="IM118" s="14"/>
      <c r="IN118" s="65"/>
      <c r="IO118" s="15" t="str">
        <f t="shared" si="319"/>
        <v>NO APLICA</v>
      </c>
      <c r="IP118" s="12"/>
      <c r="IQ118" s="16"/>
      <c r="IR118" s="14"/>
      <c r="IS118" s="65"/>
      <c r="IT118" s="15" t="str">
        <f t="shared" si="320"/>
        <v>NO APLICA</v>
      </c>
      <c r="IU118" s="12"/>
      <c r="IV118" s="16"/>
      <c r="IW118" s="14"/>
      <c r="IX118" s="65"/>
      <c r="IY118" s="15" t="str">
        <f t="shared" si="321"/>
        <v>NO APLICA</v>
      </c>
      <c r="IZ118" s="12"/>
      <c r="JA118" s="16"/>
      <c r="JB118" s="14"/>
      <c r="JC118" s="65"/>
      <c r="JD118" s="15" t="str">
        <f t="shared" si="322"/>
        <v>NO APLICA</v>
      </c>
      <c r="JE118" s="13"/>
      <c r="JF118" s="13"/>
      <c r="JG118" s="14"/>
      <c r="JH118" s="65"/>
      <c r="JI118" s="15" t="str">
        <f t="shared" si="323"/>
        <v>NO APLICA</v>
      </c>
      <c r="JJ118" s="16"/>
      <c r="JK118" s="16"/>
      <c r="JL118" s="16"/>
      <c r="JM118" s="15" t="str">
        <f t="shared" si="324"/>
        <v>NO APLICA</v>
      </c>
      <c r="JN118" s="16"/>
      <c r="JO118" s="16"/>
      <c r="JP118" s="16"/>
      <c r="JQ118" s="15" t="str">
        <f t="shared" si="325"/>
        <v>NO APLICA</v>
      </c>
      <c r="JR118" s="16"/>
      <c r="JS118" s="16"/>
      <c r="JT118" s="16"/>
      <c r="JU118" s="16"/>
      <c r="JV118" s="15" t="str">
        <f t="shared" si="326"/>
        <v>NO APLICA</v>
      </c>
      <c r="JW118" s="15"/>
      <c r="JX118" s="15"/>
      <c r="JY118" s="15"/>
      <c r="JZ118" s="15"/>
      <c r="KA118" s="15" t="str">
        <f t="shared" si="327"/>
        <v>NO APLICA</v>
      </c>
      <c r="KB118" s="12"/>
      <c r="KC118" s="14"/>
      <c r="KD118" s="65"/>
      <c r="KE118" s="15" t="str">
        <f t="shared" si="328"/>
        <v>NO APLICA</v>
      </c>
      <c r="KF118" s="12"/>
      <c r="KG118" s="14"/>
      <c r="KH118" s="65"/>
      <c r="KI118" s="15" t="str">
        <f t="shared" si="345"/>
        <v>NO APLICA</v>
      </c>
      <c r="KJ118" s="12"/>
      <c r="KK118" s="14"/>
      <c r="KL118" s="65"/>
      <c r="KM118" s="15" t="str">
        <f t="shared" si="329"/>
        <v>NO APLICA</v>
      </c>
      <c r="KN118" s="12"/>
      <c r="KO118" s="14"/>
      <c r="KP118" s="65"/>
      <c r="KQ118" s="15" t="str">
        <f t="shared" si="346"/>
        <v>NO APLICA</v>
      </c>
      <c r="KR118" s="12"/>
      <c r="KS118" s="16"/>
      <c r="KT118" s="14"/>
      <c r="KU118" s="65"/>
      <c r="KV118" s="15" t="str">
        <f t="shared" si="355"/>
        <v>NO APLICA</v>
      </c>
      <c r="KW118" s="16"/>
      <c r="KX118" s="14"/>
      <c r="KY118" s="65"/>
      <c r="KZ118" s="15" t="str">
        <f t="shared" si="347"/>
        <v>NO APLICA</v>
      </c>
      <c r="LA118" s="16"/>
      <c r="LB118" s="16"/>
      <c r="LC118" s="14"/>
      <c r="LD118" s="65"/>
      <c r="LE118" s="15" t="str">
        <f t="shared" si="330"/>
        <v>NO APLICA</v>
      </c>
      <c r="LF118" s="15"/>
      <c r="LG118" s="15"/>
      <c r="LH118" s="14"/>
      <c r="LI118" s="65"/>
      <c r="LJ118" s="15" t="str">
        <f t="shared" si="356"/>
        <v>NO APLICA</v>
      </c>
      <c r="LK118" s="12"/>
      <c r="LL118" s="16"/>
      <c r="LM118" s="14"/>
      <c r="LN118" s="65"/>
      <c r="LO118" s="15" t="str">
        <f t="shared" si="348"/>
        <v>NO APLICA</v>
      </c>
      <c r="LP118" s="16"/>
      <c r="LQ118" s="16"/>
      <c r="LR118" s="14"/>
      <c r="LS118" s="65"/>
      <c r="LT118" s="15" t="str">
        <f t="shared" si="349"/>
        <v>NO APLICA</v>
      </c>
      <c r="LU118" s="16"/>
      <c r="LV118" s="16"/>
      <c r="LW118" s="14"/>
      <c r="LX118" s="65"/>
      <c r="LY118" s="15" t="str">
        <f t="shared" si="350"/>
        <v>NO APLICA</v>
      </c>
      <c r="LZ118" s="12"/>
      <c r="MA118" s="12"/>
      <c r="MB118" s="14"/>
      <c r="MC118" s="65"/>
      <c r="MD118" s="15" t="str">
        <f t="shared" si="331"/>
        <v>NO APLICA</v>
      </c>
      <c r="ME118" s="12"/>
      <c r="MF118" s="12"/>
      <c r="MG118" s="14"/>
      <c r="MH118" s="65"/>
      <c r="MI118" s="15" t="str">
        <f t="shared" si="332"/>
        <v>NO APLICA</v>
      </c>
      <c r="MJ118" s="12"/>
      <c r="MK118" s="14"/>
      <c r="ML118" s="65"/>
      <c r="MM118" s="15" t="str">
        <f t="shared" si="333"/>
        <v>NO APLICA</v>
      </c>
      <c r="MN118" s="12"/>
      <c r="MO118" s="14"/>
      <c r="MP118" s="12"/>
      <c r="MQ118" s="15" t="str">
        <f t="shared" si="334"/>
        <v>NO APLICA</v>
      </c>
      <c r="MR118" s="12"/>
      <c r="MS118" s="16"/>
      <c r="MT118" s="14"/>
      <c r="MU118" s="65"/>
      <c r="MV118" s="15" t="str">
        <f t="shared" si="335"/>
        <v>NO APLICA</v>
      </c>
      <c r="MW118" s="12"/>
      <c r="MX118" s="16"/>
      <c r="MY118" s="14"/>
      <c r="MZ118" s="65"/>
      <c r="NA118" s="15" t="str">
        <f t="shared" si="336"/>
        <v>NO APLICA</v>
      </c>
      <c r="NB118" s="12"/>
      <c r="NC118" s="16"/>
      <c r="ND118" s="14"/>
      <c r="NE118" s="65"/>
      <c r="NF118" s="15" t="str">
        <f t="shared" si="337"/>
        <v>NO APLICA</v>
      </c>
      <c r="NG118" s="12"/>
      <c r="NH118" s="12"/>
      <c r="NI118" s="14"/>
      <c r="NJ118" s="65"/>
      <c r="NK118" s="15" t="str">
        <f t="shared" si="338"/>
        <v>NO APLICA</v>
      </c>
      <c r="NL118" s="12"/>
      <c r="NM118" s="12"/>
      <c r="NN118" s="12"/>
      <c r="NO118" s="12"/>
      <c r="NP118" s="15" t="str">
        <f t="shared" si="339"/>
        <v>NO APLICA</v>
      </c>
      <c r="NQ118" s="16"/>
      <c r="NR118" s="16"/>
      <c r="NS118" s="14"/>
      <c r="NT118" s="65"/>
      <c r="NU118" s="15" t="str">
        <f t="shared" si="340"/>
        <v>NO APLICA</v>
      </c>
      <c r="NV118" s="16"/>
      <c r="NW118" s="16"/>
      <c r="NX118" s="16"/>
      <c r="NY118" s="16"/>
      <c r="NZ118" s="15" t="str">
        <f t="shared" si="341"/>
        <v>NO APLICA</v>
      </c>
    </row>
    <row r="119" spans="1:390" ht="15.6" thickTop="1" thickBot="1" x14ac:dyDescent="0.35">
      <c r="A119" s="11">
        <v>1717</v>
      </c>
      <c r="B119" s="10" t="s">
        <v>455</v>
      </c>
      <c r="C119" s="21" t="s">
        <v>98</v>
      </c>
      <c r="D119" s="64" t="s">
        <v>118</v>
      </c>
      <c r="E119" s="16"/>
      <c r="F119" s="16"/>
      <c r="G119" s="16"/>
      <c r="H119" s="16"/>
      <c r="I119" s="15" t="str">
        <f t="shared" si="235"/>
        <v>NO APLICA</v>
      </c>
      <c r="J119" s="16"/>
      <c r="K119" s="16"/>
      <c r="L119" s="16"/>
      <c r="M119" s="16"/>
      <c r="N119" s="15" t="str">
        <f t="shared" si="236"/>
        <v>NO APLICA</v>
      </c>
      <c r="O119" s="14">
        <v>45589</v>
      </c>
      <c r="P119" s="14">
        <v>45590</v>
      </c>
      <c r="Q119" s="14">
        <f>DATE(YEAR(P119)+2,MONTH(P119),DAY(P119)-1)</f>
        <v>46319</v>
      </c>
      <c r="R119" s="65">
        <f ca="1">Q119-TODAY()</f>
        <v>188</v>
      </c>
      <c r="S119" s="15" t="str">
        <f t="shared" ca="1" si="342"/>
        <v>VIGENTE</v>
      </c>
      <c r="T119" s="16" t="s">
        <v>456</v>
      </c>
      <c r="U119" s="14">
        <v>45308</v>
      </c>
      <c r="V119" s="14">
        <v>45309</v>
      </c>
      <c r="W119" s="14">
        <f t="shared" si="401"/>
        <v>47136</v>
      </c>
      <c r="X119" s="65">
        <f t="shared" ca="1" si="402"/>
        <v>1005</v>
      </c>
      <c r="Y119" s="15" t="str">
        <f t="shared" ca="1" si="403"/>
        <v>VIGENTE</v>
      </c>
      <c r="Z119" s="16"/>
      <c r="AA119" s="16"/>
      <c r="AB119" s="16"/>
      <c r="AC119" s="14"/>
      <c r="AD119" s="65"/>
      <c r="AE119" s="68" t="str">
        <f>IF(AD119&gt;=91,"VIGENTE",IF(AD119&gt;=1,"POR VENCER",IF(AD119&lt;=-1,"VENCIDA",IF(AB119=0,"PENDIENTE"))))</f>
        <v>PENDIENTE</v>
      </c>
      <c r="AF119" s="16"/>
      <c r="AG119" s="14">
        <v>45936</v>
      </c>
      <c r="AH119" s="14">
        <f>DATE(YEAR(AG119)+2,MONTH(AG119),DAY(AG119))</f>
        <v>46666</v>
      </c>
      <c r="AI119" s="65">
        <f t="shared" ca="1" si="241"/>
        <v>535</v>
      </c>
      <c r="AJ119" s="15" t="str">
        <f t="shared" ca="1" si="399"/>
        <v>VIGENTE</v>
      </c>
      <c r="AK119" s="16"/>
      <c r="AL119" s="14">
        <v>45937</v>
      </c>
      <c r="AM119" s="14">
        <f>DATE(YEAR(AL119)+2,MONTH(AL119),DAY(AL119))</f>
        <v>46667</v>
      </c>
      <c r="AN119" s="65">
        <f t="shared" ca="1" si="242"/>
        <v>536</v>
      </c>
      <c r="AO119" s="15" t="str">
        <f t="shared" ca="1" si="243"/>
        <v>VIGENTE</v>
      </c>
      <c r="AP119" s="14">
        <v>45349</v>
      </c>
      <c r="AQ119" s="14">
        <v>45989</v>
      </c>
      <c r="AR119" s="14">
        <f>DATE(YEAR(AQ119)+2,MONTH(AQ119),DAY(AQ119))</f>
        <v>46719</v>
      </c>
      <c r="AS119" s="65">
        <f t="shared" ca="1" si="244"/>
        <v>588</v>
      </c>
      <c r="AT119" s="15" t="str">
        <f t="shared" ca="1" si="245"/>
        <v>VIGENTE</v>
      </c>
      <c r="AU119" s="14">
        <v>45323</v>
      </c>
      <c r="AV119" s="14">
        <v>45972</v>
      </c>
      <c r="AW119" s="14">
        <f>DATE(YEAR(AV119)+2,MONTH(AV119),DAY(AV119))</f>
        <v>46702</v>
      </c>
      <c r="AX119" s="65">
        <f t="shared" ca="1" si="246"/>
        <v>571</v>
      </c>
      <c r="AY119" s="15" t="str">
        <f t="shared" ca="1" si="247"/>
        <v>VIGENTE</v>
      </c>
      <c r="AZ119" s="13">
        <v>45387</v>
      </c>
      <c r="BA119" s="14">
        <v>46041</v>
      </c>
      <c r="BB119" s="14">
        <f>DATE(YEAR(BA119)+2,MONTH(BA119),DAY(BA119))</f>
        <v>46771</v>
      </c>
      <c r="BC119" s="65">
        <f t="shared" ca="1" si="248"/>
        <v>640</v>
      </c>
      <c r="BD119" s="15" t="str">
        <f t="shared" ca="1" si="249"/>
        <v>VIGENTE</v>
      </c>
      <c r="BE119" s="16"/>
      <c r="BF119" s="14">
        <v>45997</v>
      </c>
      <c r="BG119" s="14">
        <f>DATE(YEAR(BF119)+2,MONTH(BF119),DAY(BF119))</f>
        <v>46727</v>
      </c>
      <c r="BH119" s="65">
        <f t="shared" ca="1" si="250"/>
        <v>596</v>
      </c>
      <c r="BI119" s="15" t="str">
        <f t="shared" ca="1" si="251"/>
        <v>VIGENTE</v>
      </c>
      <c r="BJ119" s="14">
        <v>45348</v>
      </c>
      <c r="BK119" s="14">
        <v>46017</v>
      </c>
      <c r="BL119" s="14">
        <f>DATE(YEAR(BK119)+2,MONTH(BK119),DAY(BK119))</f>
        <v>46747</v>
      </c>
      <c r="BM119" s="65">
        <f t="shared" ca="1" si="252"/>
        <v>616</v>
      </c>
      <c r="BN119" s="15" t="str">
        <f t="shared" ca="1" si="253"/>
        <v>VIGENTE</v>
      </c>
      <c r="BO119" s="14"/>
      <c r="BP119" s="14">
        <v>46050</v>
      </c>
      <c r="BQ119" s="14">
        <f>DATE(YEAR(BP119)+2,MONTH(BP119),DAY(BP119))</f>
        <v>46780</v>
      </c>
      <c r="BR119" s="65">
        <f t="shared" ca="1" si="254"/>
        <v>649</v>
      </c>
      <c r="BS119" s="15" t="str">
        <f t="shared" ca="1" si="255"/>
        <v>VIGENTE</v>
      </c>
      <c r="BT119" s="13">
        <v>45362</v>
      </c>
      <c r="BU119" s="14">
        <v>46031</v>
      </c>
      <c r="BV119" s="14">
        <f>DATE(YEAR(BU119)+2,MONTH(BU119),DAY(BU119))</f>
        <v>46761</v>
      </c>
      <c r="BW119" s="65">
        <f t="shared" ca="1" si="256"/>
        <v>630</v>
      </c>
      <c r="BX119" s="15" t="str">
        <f t="shared" ca="1" si="257"/>
        <v>VIGENTE</v>
      </c>
      <c r="BY119" s="16"/>
      <c r="BZ119" s="14">
        <v>45986</v>
      </c>
      <c r="CA119" s="14">
        <f t="shared" si="415"/>
        <v>46716</v>
      </c>
      <c r="CB119" s="65">
        <f t="shared" ca="1" si="258"/>
        <v>585</v>
      </c>
      <c r="CC119" s="15" t="str">
        <f t="shared" ca="1" si="259"/>
        <v>VIGENTE</v>
      </c>
      <c r="CD119" s="16" t="s">
        <v>102</v>
      </c>
      <c r="CE119" s="14">
        <v>45722</v>
      </c>
      <c r="CF119" s="14">
        <v>45723</v>
      </c>
      <c r="CG119" s="14">
        <f t="shared" si="408"/>
        <v>47184</v>
      </c>
      <c r="CH119" s="65">
        <f t="shared" ca="1" si="409"/>
        <v>1053</v>
      </c>
      <c r="CI119" s="15" t="str">
        <f t="shared" ca="1" si="410"/>
        <v>VIGENTE</v>
      </c>
      <c r="CJ119" s="14">
        <v>45353</v>
      </c>
      <c r="CK119" s="14">
        <v>46018</v>
      </c>
      <c r="CL119" s="14">
        <f>DATE(YEAR(CK119)+2,MONTH(CK119),DAY(CK119))</f>
        <v>46748</v>
      </c>
      <c r="CM119" s="65">
        <f t="shared" ca="1" si="263"/>
        <v>617</v>
      </c>
      <c r="CN119" s="15" t="str">
        <f t="shared" ca="1" si="264"/>
        <v>VIGENTE</v>
      </c>
      <c r="CO119" s="14">
        <v>45305</v>
      </c>
      <c r="CP119" s="14">
        <v>45979</v>
      </c>
      <c r="CQ119" s="14">
        <f>DATE(YEAR(CP119)+2,MONTH(CP119),DAY(CP119))</f>
        <v>46709</v>
      </c>
      <c r="CR119" s="65">
        <f t="shared" ca="1" si="265"/>
        <v>578</v>
      </c>
      <c r="CS119" s="15" t="str">
        <f t="shared" ca="1" si="266"/>
        <v>VIGENTE</v>
      </c>
      <c r="CT119" s="14">
        <v>45408</v>
      </c>
      <c r="CU119" s="14">
        <v>46043</v>
      </c>
      <c r="CV119" s="14">
        <f>DATE(YEAR(CU119)+2,MONTH(CU119),DAY(CU119))</f>
        <v>46773</v>
      </c>
      <c r="CW119" s="65">
        <f t="shared" ca="1" si="267"/>
        <v>642</v>
      </c>
      <c r="CX119" s="15" t="str">
        <f t="shared" ca="1" si="268"/>
        <v>VIGENTE</v>
      </c>
      <c r="CY119" s="14"/>
      <c r="CZ119" s="14">
        <v>46000</v>
      </c>
      <c r="DA119" s="14">
        <f>DATE(YEAR(CZ119)+2,MONTH(CZ119),DAY(CZ119))</f>
        <v>46730</v>
      </c>
      <c r="DB119" s="65">
        <f t="shared" ca="1" si="269"/>
        <v>599</v>
      </c>
      <c r="DC119" s="15" t="str">
        <f t="shared" ca="1" si="270"/>
        <v>VIGENTE</v>
      </c>
      <c r="DD119" s="13">
        <v>45328</v>
      </c>
      <c r="DE119" s="14">
        <v>45996</v>
      </c>
      <c r="DF119" s="14">
        <f>DATE(YEAR(DE119)+2,MONTH(DE119),DAY(DE119))</f>
        <v>46726</v>
      </c>
      <c r="DG119" s="65">
        <f t="shared" ca="1" si="271"/>
        <v>595</v>
      </c>
      <c r="DH119" s="15" t="str">
        <f t="shared" ca="1" si="272"/>
        <v>VIGENTE</v>
      </c>
      <c r="DI119" s="14">
        <v>45312</v>
      </c>
      <c r="DJ119" s="14">
        <v>45975</v>
      </c>
      <c r="DK119" s="14">
        <f>DATE(YEAR(DJ119)+2,MONTH(DJ119),DAY(DJ119))</f>
        <v>46705</v>
      </c>
      <c r="DL119" s="65">
        <f t="shared" ca="1" si="273"/>
        <v>574</v>
      </c>
      <c r="DM119" s="15" t="str">
        <f t="shared" ca="1" si="274"/>
        <v>VIGENTE</v>
      </c>
      <c r="DN119" s="14"/>
      <c r="DO119" s="14">
        <v>46007</v>
      </c>
      <c r="DP119" s="14">
        <f>DATE(YEAR(DO119)+2,MONTH(DO119),DAY(DO119))</f>
        <v>46737</v>
      </c>
      <c r="DQ119" s="65">
        <f t="shared" ca="1" si="275"/>
        <v>606</v>
      </c>
      <c r="DR119" s="15" t="str">
        <f t="shared" ca="1" si="276"/>
        <v>VIGENTE</v>
      </c>
      <c r="DS119" s="14">
        <v>45336</v>
      </c>
      <c r="DT119" s="13">
        <v>46009</v>
      </c>
      <c r="DU119" s="14">
        <f>DATE(YEAR(DT119)+2,MONTH(DT119),DAY(DT119))</f>
        <v>46739</v>
      </c>
      <c r="DV119" s="65">
        <f t="shared" ca="1" si="277"/>
        <v>608</v>
      </c>
      <c r="DW119" s="15" t="str">
        <f t="shared" ca="1" si="278"/>
        <v>VIGENTE</v>
      </c>
      <c r="DX119" s="14">
        <v>45355</v>
      </c>
      <c r="DY119" s="14">
        <v>46032</v>
      </c>
      <c r="DZ119" s="14">
        <f>DATE(YEAR(DY119)+2,MONTH(DY119),DAY(DY119))</f>
        <v>46762</v>
      </c>
      <c r="EA119" s="65">
        <f t="shared" ca="1" si="279"/>
        <v>631</v>
      </c>
      <c r="EB119" s="15" t="str">
        <f t="shared" ca="1" si="280"/>
        <v>VIGENTE</v>
      </c>
      <c r="EC119" s="14">
        <v>45341</v>
      </c>
      <c r="ED119" s="14">
        <v>45994</v>
      </c>
      <c r="EE119" s="14">
        <f>DATE(YEAR(ED119)+2,MONTH(ED119),DAY(ED119))</f>
        <v>46724</v>
      </c>
      <c r="EF119" s="65">
        <f t="shared" ca="1" si="281"/>
        <v>593</v>
      </c>
      <c r="EG119" s="15" t="str">
        <f t="shared" ca="1" si="282"/>
        <v>VIGENTE</v>
      </c>
      <c r="EH119" s="14"/>
      <c r="EI119" s="13">
        <v>46013</v>
      </c>
      <c r="EJ119" s="13">
        <v>46014</v>
      </c>
      <c r="EK119" s="13">
        <v>46015</v>
      </c>
      <c r="EL119" s="14">
        <f t="shared" si="344"/>
        <v>46380</v>
      </c>
      <c r="EM119" s="65">
        <f t="shared" ca="1" si="283"/>
        <v>249</v>
      </c>
      <c r="EN119" s="15" t="str">
        <f t="shared" ca="1" si="284"/>
        <v>VIGENTE</v>
      </c>
      <c r="EO119" s="13">
        <v>45346</v>
      </c>
      <c r="EP119" s="14">
        <v>45983</v>
      </c>
      <c r="EQ119" s="14">
        <f>DATE(YEAR(EP119)+2,MONTH(EP119),DAY(EP119))</f>
        <v>46713</v>
      </c>
      <c r="ER119" s="65">
        <f t="shared" ca="1" si="285"/>
        <v>582</v>
      </c>
      <c r="ES119" s="15" t="str">
        <f t="shared" ca="1" si="286"/>
        <v>VIGENTE</v>
      </c>
      <c r="ET119" s="16"/>
      <c r="EU119" s="14">
        <v>45999</v>
      </c>
      <c r="EV119" s="14">
        <f>DATE(YEAR(EU119)+2,MONTH(EU119),DAY(EU119))</f>
        <v>46729</v>
      </c>
      <c r="EW119" s="65">
        <f t="shared" ca="1" si="287"/>
        <v>598</v>
      </c>
      <c r="EX119" s="15" t="str">
        <f t="shared" ca="1" si="288"/>
        <v>VIGENTE</v>
      </c>
      <c r="EY119" s="14">
        <v>45339</v>
      </c>
      <c r="EZ119" s="14">
        <v>45964</v>
      </c>
      <c r="FA119" s="14">
        <f t="shared" si="416"/>
        <v>46694</v>
      </c>
      <c r="FB119" s="65">
        <f t="shared" ca="1" si="289"/>
        <v>563</v>
      </c>
      <c r="FC119" s="15" t="str">
        <f t="shared" ca="1" si="290"/>
        <v>VIGENTE</v>
      </c>
      <c r="FD119" s="16"/>
      <c r="FE119" s="14">
        <v>45988</v>
      </c>
      <c r="FF119" s="14">
        <f>DATE(YEAR(FE119)+2,MONTH(FE119),DAY(FE119))</f>
        <v>46718</v>
      </c>
      <c r="FG119" s="65">
        <f t="shared" ca="1" si="291"/>
        <v>587</v>
      </c>
      <c r="FH119" s="15" t="str">
        <f t="shared" ca="1" si="292"/>
        <v>VIGENTE</v>
      </c>
      <c r="FI119" s="14">
        <v>45342</v>
      </c>
      <c r="FJ119" s="14">
        <v>45962</v>
      </c>
      <c r="FK119" s="14">
        <f t="shared" si="417"/>
        <v>46692</v>
      </c>
      <c r="FL119" s="65">
        <f t="shared" ca="1" si="293"/>
        <v>561</v>
      </c>
      <c r="FM119" s="15" t="str">
        <f t="shared" ca="1" si="294"/>
        <v>VIGENTE</v>
      </c>
      <c r="FN119" s="14">
        <v>45359</v>
      </c>
      <c r="FO119" s="14">
        <v>46039</v>
      </c>
      <c r="FP119" s="14">
        <f>DATE(YEAR(FO119)+2,MONTH(FO119),DAY(FO119))</f>
        <v>46769</v>
      </c>
      <c r="FQ119" s="65">
        <f t="shared" ca="1" si="295"/>
        <v>638</v>
      </c>
      <c r="FR119" s="15" t="str">
        <f t="shared" ca="1" si="296"/>
        <v>VIGENTE</v>
      </c>
      <c r="FS119" s="14">
        <v>45358</v>
      </c>
      <c r="FT119" s="14">
        <v>46034</v>
      </c>
      <c r="FU119" s="14">
        <f>DATE(YEAR(FT119)+2,MONTH(FT119),DAY(FT119))</f>
        <v>46764</v>
      </c>
      <c r="FV119" s="65">
        <f t="shared" ca="1" si="297"/>
        <v>633</v>
      </c>
      <c r="FW119" s="15" t="str">
        <f t="shared" ca="1" si="298"/>
        <v>VIGENTE</v>
      </c>
      <c r="FX119" s="14">
        <v>45324</v>
      </c>
      <c r="FY119" s="14">
        <v>46004</v>
      </c>
      <c r="FZ119" s="14">
        <f>DATE(YEAR(FY119)+2,MONTH(FY119),DAY(FY119))</f>
        <v>46734</v>
      </c>
      <c r="GA119" s="65">
        <f t="shared" ca="1" si="299"/>
        <v>603</v>
      </c>
      <c r="GB119" s="15" t="str">
        <f t="shared" ca="1" si="300"/>
        <v>VIGENTE</v>
      </c>
      <c r="GC119" s="14"/>
      <c r="GD119" s="14">
        <v>45925</v>
      </c>
      <c r="GE119" s="14">
        <f>DATE(YEAR(GD119)+2,MONTH(GD119),DAY(GD119))</f>
        <v>46655</v>
      </c>
      <c r="GF119" s="65">
        <f t="shared" ca="1" si="301"/>
        <v>524</v>
      </c>
      <c r="GG119" s="15" t="str">
        <f t="shared" ca="1" si="302"/>
        <v>VIGENTE</v>
      </c>
      <c r="GH119" s="14">
        <v>45332</v>
      </c>
      <c r="GI119" s="14">
        <v>45960</v>
      </c>
      <c r="GJ119" s="14">
        <f>DATE(YEAR(GI119)+2,MONTH(GI119),DAY(GI119))</f>
        <v>46690</v>
      </c>
      <c r="GK119" s="65">
        <f t="shared" ca="1" si="303"/>
        <v>559</v>
      </c>
      <c r="GL119" s="15" t="str">
        <f t="shared" ca="1" si="304"/>
        <v>VIGENTE</v>
      </c>
      <c r="GM119" s="14"/>
      <c r="GN119" s="14">
        <v>45499</v>
      </c>
      <c r="GO119" s="14">
        <f>DATE(YEAR(GN119)+2,MONTH(GN119),DAY(GN119)-1)</f>
        <v>46228</v>
      </c>
      <c r="GP119" s="65">
        <f t="shared" ca="1" si="305"/>
        <v>97</v>
      </c>
      <c r="GQ119" s="15" t="str">
        <f t="shared" ca="1" si="306"/>
        <v>VIGENTE</v>
      </c>
      <c r="GR119" s="14"/>
      <c r="GS119" s="14">
        <v>45299</v>
      </c>
      <c r="GT119" s="14">
        <f t="shared" si="307"/>
        <v>47126</v>
      </c>
      <c r="GU119" s="65">
        <f t="shared" ca="1" si="398"/>
        <v>995</v>
      </c>
      <c r="GV119" s="15" t="str">
        <f t="shared" ca="1" si="411"/>
        <v>VIGENTE</v>
      </c>
      <c r="GW119" s="14"/>
      <c r="GX119" s="14">
        <v>45329</v>
      </c>
      <c r="GY119" s="14">
        <f t="shared" si="309"/>
        <v>47156</v>
      </c>
      <c r="GZ119" s="65">
        <f t="shared" ca="1" si="310"/>
        <v>1025</v>
      </c>
      <c r="HA119" s="15" t="str">
        <f t="shared" ca="1" si="418"/>
        <v>VIGENTE</v>
      </c>
      <c r="HB119" s="16"/>
      <c r="HC119" s="14">
        <v>45343</v>
      </c>
      <c r="HD119" s="14">
        <f t="shared" si="312"/>
        <v>47170</v>
      </c>
      <c r="HE119" s="65">
        <f t="shared" ca="1" si="313"/>
        <v>1039</v>
      </c>
      <c r="HF119" s="15" t="str">
        <f t="shared" ca="1" si="413"/>
        <v>VIGENTE</v>
      </c>
      <c r="HG119" s="16"/>
      <c r="HH119" s="14">
        <v>45317</v>
      </c>
      <c r="HI119" s="14">
        <f t="shared" ref="HI119:HI129" si="420">DATE(YEAR(HH119)+5,MONTH(HH119),DAY(HH119))</f>
        <v>47144</v>
      </c>
      <c r="HJ119" s="65">
        <f t="shared" ref="HJ119:HJ129" ca="1" si="421">HI119-TODAY()</f>
        <v>1013</v>
      </c>
      <c r="HK119" s="15" t="str">
        <f t="shared" ca="1" si="419"/>
        <v>VIGENTE</v>
      </c>
      <c r="HL119" s="16"/>
      <c r="HM119" s="16"/>
      <c r="HN119" s="14"/>
      <c r="HO119" s="65"/>
      <c r="HP119" s="15" t="str">
        <f t="shared" si="400"/>
        <v>NO APLICA</v>
      </c>
      <c r="HQ119" s="12"/>
      <c r="HR119" s="12"/>
      <c r="HS119" s="14"/>
      <c r="HT119" s="12"/>
      <c r="HU119" s="15" t="str">
        <f t="shared" si="315"/>
        <v>NO APLICA</v>
      </c>
      <c r="HV119" s="16"/>
      <c r="HW119" s="16"/>
      <c r="HX119" s="14"/>
      <c r="HY119" s="65"/>
      <c r="HZ119" s="15" t="str">
        <f t="shared" si="316"/>
        <v>NO APLICA</v>
      </c>
      <c r="IA119" s="16"/>
      <c r="IB119" s="16"/>
      <c r="IC119" s="14"/>
      <c r="ID119" s="65"/>
      <c r="IE119" s="15" t="str">
        <f t="shared" si="317"/>
        <v>NO APLICA</v>
      </c>
      <c r="IF119" s="16"/>
      <c r="IG119" s="16"/>
      <c r="IH119" s="14"/>
      <c r="II119" s="65"/>
      <c r="IJ119" s="15" t="str">
        <f t="shared" si="318"/>
        <v>NO APLICA</v>
      </c>
      <c r="IK119" s="16"/>
      <c r="IL119" s="16"/>
      <c r="IM119" s="14"/>
      <c r="IN119" s="16"/>
      <c r="IO119" s="15" t="str">
        <f t="shared" si="319"/>
        <v>NO APLICA</v>
      </c>
      <c r="IP119" s="16"/>
      <c r="IQ119" s="16"/>
      <c r="IR119" s="14"/>
      <c r="IS119" s="65"/>
      <c r="IT119" s="15" t="str">
        <f t="shared" si="320"/>
        <v>NO APLICA</v>
      </c>
      <c r="IU119" s="16"/>
      <c r="IV119" s="16"/>
      <c r="IW119" s="14"/>
      <c r="IX119" s="65"/>
      <c r="IY119" s="15" t="str">
        <f t="shared" si="321"/>
        <v>NO APLICA</v>
      </c>
      <c r="IZ119" s="16"/>
      <c r="JA119" s="16"/>
      <c r="JB119" s="14"/>
      <c r="JC119" s="65"/>
      <c r="JD119" s="15" t="str">
        <f t="shared" si="322"/>
        <v>NO APLICA</v>
      </c>
      <c r="JE119" s="13"/>
      <c r="JF119" s="13"/>
      <c r="JG119" s="14"/>
      <c r="JH119" s="65"/>
      <c r="JI119" s="15" t="str">
        <f t="shared" si="323"/>
        <v>NO APLICA</v>
      </c>
      <c r="JJ119" s="16"/>
      <c r="JK119" s="16"/>
      <c r="JL119" s="16"/>
      <c r="JM119" s="15" t="str">
        <f t="shared" si="324"/>
        <v>NO APLICA</v>
      </c>
      <c r="JN119" s="16"/>
      <c r="JO119" s="16"/>
      <c r="JP119" s="16"/>
      <c r="JQ119" s="15" t="str">
        <f t="shared" si="325"/>
        <v>NO APLICA</v>
      </c>
      <c r="JR119" s="16"/>
      <c r="JS119" s="16"/>
      <c r="JT119" s="16"/>
      <c r="JU119" s="16"/>
      <c r="JV119" s="15" t="str">
        <f t="shared" si="326"/>
        <v>NO APLICA</v>
      </c>
      <c r="JW119" s="15"/>
      <c r="JX119" s="15"/>
      <c r="JY119" s="15"/>
      <c r="JZ119" s="15"/>
      <c r="KA119" s="15" t="str">
        <f t="shared" si="327"/>
        <v>NO APLICA</v>
      </c>
      <c r="KB119" s="12"/>
      <c r="KC119" s="14"/>
      <c r="KD119" s="65"/>
      <c r="KE119" s="15" t="str">
        <f t="shared" si="328"/>
        <v>NO APLICA</v>
      </c>
      <c r="KF119" s="12"/>
      <c r="KG119" s="14"/>
      <c r="KH119" s="65"/>
      <c r="KI119" s="15" t="str">
        <f t="shared" si="345"/>
        <v>NO APLICA</v>
      </c>
      <c r="KJ119" s="12"/>
      <c r="KK119" s="14"/>
      <c r="KL119" s="65"/>
      <c r="KM119" s="15" t="str">
        <f t="shared" si="329"/>
        <v>NO APLICA</v>
      </c>
      <c r="KN119" s="12"/>
      <c r="KO119" s="14"/>
      <c r="KP119" s="65"/>
      <c r="KQ119" s="15" t="str">
        <f t="shared" si="346"/>
        <v>NO APLICA</v>
      </c>
      <c r="KR119" s="16"/>
      <c r="KS119" s="16"/>
      <c r="KT119" s="14"/>
      <c r="KU119" s="16"/>
      <c r="KV119" s="15" t="str">
        <f t="shared" si="355"/>
        <v>NO APLICA</v>
      </c>
      <c r="KW119" s="16"/>
      <c r="KX119" s="14"/>
      <c r="KY119" s="16"/>
      <c r="KZ119" s="15" t="str">
        <f t="shared" si="347"/>
        <v>NO APLICA</v>
      </c>
      <c r="LA119" s="16"/>
      <c r="LB119" s="16"/>
      <c r="LC119" s="16"/>
      <c r="LD119" s="16"/>
      <c r="LE119" s="15" t="str">
        <f t="shared" si="330"/>
        <v>NO APLICA</v>
      </c>
      <c r="LF119" s="15"/>
      <c r="LG119" s="15"/>
      <c r="LH119" s="15"/>
      <c r="LI119" s="15"/>
      <c r="LJ119" s="15" t="str">
        <f t="shared" si="356"/>
        <v>NO APLICA</v>
      </c>
      <c r="LK119" s="16"/>
      <c r="LL119" s="16"/>
      <c r="LM119" s="14"/>
      <c r="LN119" s="65"/>
      <c r="LO119" s="15" t="str">
        <f t="shared" si="348"/>
        <v>NO APLICA</v>
      </c>
      <c r="LP119" s="16"/>
      <c r="LQ119" s="16"/>
      <c r="LR119" s="14"/>
      <c r="LS119" s="16"/>
      <c r="LT119" s="15" t="str">
        <f t="shared" si="349"/>
        <v>NO APLICA</v>
      </c>
      <c r="LU119" s="16"/>
      <c r="LV119" s="16"/>
      <c r="LW119" s="14"/>
      <c r="LX119" s="16"/>
      <c r="LY119" s="15" t="str">
        <f t="shared" si="350"/>
        <v>NO APLICA</v>
      </c>
      <c r="LZ119" s="16"/>
      <c r="MA119" s="16"/>
      <c r="MB119" s="14"/>
      <c r="MC119" s="16"/>
      <c r="MD119" s="15" t="str">
        <f t="shared" si="331"/>
        <v>NO APLICA</v>
      </c>
      <c r="ME119" s="16"/>
      <c r="MF119" s="16"/>
      <c r="MG119" s="14"/>
      <c r="MH119" s="16"/>
      <c r="MI119" s="15" t="str">
        <f t="shared" si="332"/>
        <v>NO APLICA</v>
      </c>
      <c r="MJ119" s="16"/>
      <c r="MK119" s="14"/>
      <c r="ML119" s="16"/>
      <c r="MM119" s="15" t="str">
        <f t="shared" si="333"/>
        <v>NO APLICA</v>
      </c>
      <c r="MN119" s="16"/>
      <c r="MO119" s="16"/>
      <c r="MP119" s="16"/>
      <c r="MQ119" s="15" t="str">
        <f t="shared" si="334"/>
        <v>NO APLICA</v>
      </c>
      <c r="MR119" s="16"/>
      <c r="MS119" s="16"/>
      <c r="MT119" s="14"/>
      <c r="MU119" s="16"/>
      <c r="MV119" s="15" t="str">
        <f t="shared" si="335"/>
        <v>NO APLICA</v>
      </c>
      <c r="MW119" s="16"/>
      <c r="MX119" s="16"/>
      <c r="MY119" s="14"/>
      <c r="MZ119" s="16"/>
      <c r="NA119" s="15" t="str">
        <f t="shared" si="336"/>
        <v>NO APLICA</v>
      </c>
      <c r="NB119" s="16"/>
      <c r="NC119" s="16"/>
      <c r="ND119" s="14"/>
      <c r="NE119" s="16"/>
      <c r="NF119" s="15" t="str">
        <f t="shared" si="337"/>
        <v>NO APLICA</v>
      </c>
      <c r="NG119" s="16"/>
      <c r="NH119" s="16"/>
      <c r="NI119" s="14"/>
      <c r="NJ119" s="16"/>
      <c r="NK119" s="15" t="str">
        <f t="shared" si="338"/>
        <v>NO APLICA</v>
      </c>
      <c r="NL119" s="16"/>
      <c r="NM119" s="16"/>
      <c r="NN119" s="14"/>
      <c r="NO119" s="16"/>
      <c r="NP119" s="15" t="str">
        <f t="shared" si="339"/>
        <v>NO APLICA</v>
      </c>
      <c r="NQ119" s="16"/>
      <c r="NR119" s="16"/>
      <c r="NS119" s="14"/>
      <c r="NT119" s="65"/>
      <c r="NU119" s="15" t="str">
        <f t="shared" si="340"/>
        <v>NO APLICA</v>
      </c>
      <c r="NV119" s="16"/>
      <c r="NW119" s="16"/>
      <c r="NX119" s="16"/>
      <c r="NY119" s="16"/>
      <c r="NZ119" s="15" t="str">
        <f t="shared" si="341"/>
        <v>NO APLICA</v>
      </c>
    </row>
    <row r="120" spans="1:390" ht="15.6" thickTop="1" thickBot="1" x14ac:dyDescent="0.35">
      <c r="A120" s="11">
        <v>6</v>
      </c>
      <c r="B120" s="10" t="s">
        <v>457</v>
      </c>
      <c r="C120" s="21" t="s">
        <v>98</v>
      </c>
      <c r="D120" s="64" t="s">
        <v>458</v>
      </c>
      <c r="E120" s="15"/>
      <c r="F120" s="16"/>
      <c r="G120" s="14"/>
      <c r="H120" s="65"/>
      <c r="I120" s="15" t="str">
        <f t="shared" si="235"/>
        <v>NO APLICA</v>
      </c>
      <c r="J120" s="15"/>
      <c r="K120" s="16"/>
      <c r="L120" s="16"/>
      <c r="M120" s="65"/>
      <c r="N120" s="15" t="str">
        <f t="shared" si="236"/>
        <v>NO APLICA</v>
      </c>
      <c r="O120" s="16"/>
      <c r="P120" s="16"/>
      <c r="Q120" s="14"/>
      <c r="R120" s="65"/>
      <c r="S120" s="15" t="str">
        <f t="shared" si="342"/>
        <v>NO APLICA</v>
      </c>
      <c r="T120" s="12" t="s">
        <v>459</v>
      </c>
      <c r="U120" s="13">
        <v>45501</v>
      </c>
      <c r="V120" s="14">
        <v>45502</v>
      </c>
      <c r="W120" s="14">
        <f t="shared" si="401"/>
        <v>47328</v>
      </c>
      <c r="X120" s="65">
        <f t="shared" ca="1" si="402"/>
        <v>1197</v>
      </c>
      <c r="Y120" s="15" t="str">
        <f t="shared" ca="1" si="403"/>
        <v>VIGENTE</v>
      </c>
      <c r="Z120" s="12" t="s">
        <v>460</v>
      </c>
      <c r="AA120" s="13">
        <v>45498</v>
      </c>
      <c r="AB120" s="14">
        <v>45499</v>
      </c>
      <c r="AC120" s="14">
        <f t="shared" ref="AC120:AC129" si="422">DATE(YEAR(AB120)+5,MONTH(AB120),DAY(AB120))</f>
        <v>47325</v>
      </c>
      <c r="AD120" s="65">
        <f t="shared" ref="AD120:AD129" ca="1" si="423">AC120-TODAY()</f>
        <v>1194</v>
      </c>
      <c r="AE120" s="15" t="str">
        <f t="shared" ref="AE120:AE131" ca="1" si="424">IF(AD120&gt;=91,"VIGENTE",IF(AD120&gt;=1,"POR VENCER",IF(AD120&lt;=-1,"VENCIDA",IF(AB120=0,"NO APLICA"))))</f>
        <v>VIGENTE</v>
      </c>
      <c r="AF120" s="13">
        <v>44929</v>
      </c>
      <c r="AG120" s="14">
        <v>45512</v>
      </c>
      <c r="AH120" s="14">
        <f t="shared" ref="AH120:AH126" si="425">DATE(YEAR(AG120)+2,MONTH(AG120),DAY(AG120)-1)</f>
        <v>46241</v>
      </c>
      <c r="AI120" s="65">
        <f t="shared" ca="1" si="241"/>
        <v>110</v>
      </c>
      <c r="AJ120" s="15" t="str">
        <f t="shared" ca="1" si="399"/>
        <v>VIGENTE</v>
      </c>
      <c r="AK120" s="13">
        <v>44890</v>
      </c>
      <c r="AL120" s="14">
        <v>45518</v>
      </c>
      <c r="AM120" s="14">
        <f>DATE(YEAR(AL120)+2,MONTH(AL120),DAY(AL120)-1)</f>
        <v>46247</v>
      </c>
      <c r="AN120" s="65">
        <f t="shared" ca="1" si="242"/>
        <v>116</v>
      </c>
      <c r="AO120" s="15" t="str">
        <f t="shared" ca="1" si="243"/>
        <v>VIGENTE</v>
      </c>
      <c r="AP120" s="13">
        <v>44891</v>
      </c>
      <c r="AQ120" s="14">
        <v>45505</v>
      </c>
      <c r="AR120" s="14">
        <f>DATE(YEAR(AQ120)+2,MONTH(AQ120),DAY(AQ120)-1)</f>
        <v>46234</v>
      </c>
      <c r="AS120" s="65">
        <f t="shared" ca="1" si="244"/>
        <v>103</v>
      </c>
      <c r="AT120" s="15" t="str">
        <f t="shared" ca="1" si="245"/>
        <v>VIGENTE</v>
      </c>
      <c r="AU120" s="13">
        <v>44893</v>
      </c>
      <c r="AV120" s="14">
        <v>45514</v>
      </c>
      <c r="AW120" s="14">
        <f>DATE(YEAR(AV120)+2,MONTH(AV120),DAY(AV120)-1)</f>
        <v>46243</v>
      </c>
      <c r="AX120" s="65">
        <f t="shared" ca="1" si="246"/>
        <v>112</v>
      </c>
      <c r="AY120" s="15" t="str">
        <f t="shared" ca="1" si="247"/>
        <v>VIGENTE</v>
      </c>
      <c r="AZ120" s="13">
        <v>44894</v>
      </c>
      <c r="BA120" s="14">
        <v>45515</v>
      </c>
      <c r="BB120" s="14">
        <f>DATE(YEAR(BA120)+2,MONTH(BA120),DAY(BA120)-1)</f>
        <v>46244</v>
      </c>
      <c r="BC120" s="65">
        <f t="shared" ca="1" si="248"/>
        <v>113</v>
      </c>
      <c r="BD120" s="15" t="str">
        <f t="shared" ca="1" si="249"/>
        <v>VIGENTE</v>
      </c>
      <c r="BE120" s="13">
        <v>44904</v>
      </c>
      <c r="BF120" s="14">
        <v>45531</v>
      </c>
      <c r="BG120" s="14">
        <f>DATE(YEAR(BF120)+2,MONTH(BF120),DAY(BF120)-1)</f>
        <v>46260</v>
      </c>
      <c r="BH120" s="65">
        <f t="shared" ca="1" si="250"/>
        <v>129</v>
      </c>
      <c r="BI120" s="15" t="str">
        <f t="shared" ca="1" si="251"/>
        <v>VIGENTE</v>
      </c>
      <c r="BJ120" s="13">
        <v>45030</v>
      </c>
      <c r="BK120" s="14">
        <v>45699</v>
      </c>
      <c r="BL120" s="14">
        <f>DATE(YEAR(BK120)+2,MONTH(BK120),DAY(BK120)-1)</f>
        <v>46428</v>
      </c>
      <c r="BM120" s="65">
        <f t="shared" ca="1" si="252"/>
        <v>297</v>
      </c>
      <c r="BN120" s="15" t="str">
        <f t="shared" ca="1" si="253"/>
        <v>VIGENTE</v>
      </c>
      <c r="BO120" s="13">
        <v>44898</v>
      </c>
      <c r="BP120" s="14">
        <v>45532</v>
      </c>
      <c r="BQ120" s="14">
        <f>DATE(YEAR(BP120)+2,MONTH(BP120),DAY(BP120)-1)</f>
        <v>46261</v>
      </c>
      <c r="BR120" s="65">
        <f t="shared" ca="1" si="254"/>
        <v>130</v>
      </c>
      <c r="BS120" s="15" t="str">
        <f t="shared" ca="1" si="255"/>
        <v>VIGENTE</v>
      </c>
      <c r="BT120" s="13">
        <v>44902</v>
      </c>
      <c r="BU120" s="14">
        <v>45527</v>
      </c>
      <c r="BV120" s="14">
        <f>DATE(YEAR(BU120)+2,MONTH(BU120),DAY(BU120)-1)</f>
        <v>46256</v>
      </c>
      <c r="BW120" s="65">
        <f t="shared" ca="1" si="256"/>
        <v>125</v>
      </c>
      <c r="BX120" s="15" t="str">
        <f t="shared" ca="1" si="257"/>
        <v>VIGENTE</v>
      </c>
      <c r="BY120" s="13">
        <v>45063</v>
      </c>
      <c r="BZ120" s="14">
        <v>45730</v>
      </c>
      <c r="CA120" s="14">
        <f>DATE(YEAR(BZ120)+2,MONTH(BZ120),DAY(BZ120)-1)</f>
        <v>46459</v>
      </c>
      <c r="CB120" s="65">
        <f t="shared" ca="1" si="258"/>
        <v>328</v>
      </c>
      <c r="CC120" s="15" t="str">
        <f t="shared" ca="1" si="259"/>
        <v>VIGENTE</v>
      </c>
      <c r="CD120" s="16" t="s">
        <v>108</v>
      </c>
      <c r="CE120" s="14">
        <v>45463</v>
      </c>
      <c r="CF120" s="14">
        <v>45464</v>
      </c>
      <c r="CG120" s="14">
        <f t="shared" si="408"/>
        <v>46925</v>
      </c>
      <c r="CH120" s="65">
        <f t="shared" ca="1" si="409"/>
        <v>794</v>
      </c>
      <c r="CI120" s="15" t="str">
        <f t="shared" ca="1" si="410"/>
        <v>VIGENTE</v>
      </c>
      <c r="CJ120" s="14">
        <v>44872</v>
      </c>
      <c r="CK120" s="14">
        <v>45511</v>
      </c>
      <c r="CL120" s="14">
        <f t="shared" ref="CL120:CL126" si="426">DATE(YEAR(CK120)+2,MONTH(CK120),DAY(CK120)-1)</f>
        <v>46240</v>
      </c>
      <c r="CM120" s="65">
        <f t="shared" ca="1" si="263"/>
        <v>109</v>
      </c>
      <c r="CN120" s="15" t="str">
        <f t="shared" ca="1" si="264"/>
        <v>VIGENTE</v>
      </c>
      <c r="CO120" s="13">
        <v>45050</v>
      </c>
      <c r="CP120" s="14">
        <v>45684</v>
      </c>
      <c r="CQ120" s="14">
        <f t="shared" ref="CQ120:CQ126" si="427">DATE(YEAR(CP120)+2,MONTH(CP120),DAY(CP120)-1)</f>
        <v>46413</v>
      </c>
      <c r="CR120" s="65">
        <f t="shared" ca="1" si="265"/>
        <v>282</v>
      </c>
      <c r="CS120" s="15" t="str">
        <f t="shared" ca="1" si="266"/>
        <v>VIGENTE</v>
      </c>
      <c r="CT120" s="13">
        <v>44961</v>
      </c>
      <c r="CU120" s="14">
        <v>45624</v>
      </c>
      <c r="CV120" s="14">
        <f t="shared" ref="CV120:CV126" si="428">DATE(YEAR(CU120)+2,MONTH(CU120),DAY(CU120)-1)</f>
        <v>46353</v>
      </c>
      <c r="CW120" s="65">
        <f t="shared" ca="1" si="267"/>
        <v>222</v>
      </c>
      <c r="CX120" s="15" t="str">
        <f t="shared" ca="1" si="268"/>
        <v>VIGENTE</v>
      </c>
      <c r="CY120" s="13">
        <v>44998</v>
      </c>
      <c r="CZ120" s="14">
        <v>45661</v>
      </c>
      <c r="DA120" s="14">
        <f>DATE(YEAR(CZ120)+2,MONTH(CZ120),DAY(CZ120)-1)</f>
        <v>46390</v>
      </c>
      <c r="DB120" s="65">
        <f t="shared" ca="1" si="269"/>
        <v>259</v>
      </c>
      <c r="DC120" s="15" t="str">
        <f t="shared" ca="1" si="270"/>
        <v>VIGENTE</v>
      </c>
      <c r="DD120" s="13">
        <v>44910</v>
      </c>
      <c r="DE120" s="14">
        <v>45535</v>
      </c>
      <c r="DF120" s="14">
        <f t="shared" ref="DF120:DF126" si="429">DATE(YEAR(DE120)+2,MONTH(DE120),DAY(DE120)-1)</f>
        <v>46264</v>
      </c>
      <c r="DG120" s="65">
        <f t="shared" ca="1" si="271"/>
        <v>133</v>
      </c>
      <c r="DH120" s="15" t="str">
        <f t="shared" ca="1" si="272"/>
        <v>VIGENTE</v>
      </c>
      <c r="DI120" s="13">
        <v>44914</v>
      </c>
      <c r="DJ120" s="14">
        <v>45509</v>
      </c>
      <c r="DK120" s="14">
        <f>DATE(YEAR(DJ120)+2,MONTH(DJ120),DAY(DJ120)-1)</f>
        <v>46238</v>
      </c>
      <c r="DL120" s="65">
        <f t="shared" ca="1" si="273"/>
        <v>107</v>
      </c>
      <c r="DM120" s="15" t="str">
        <f t="shared" ca="1" si="274"/>
        <v>VIGENTE</v>
      </c>
      <c r="DN120" s="13">
        <v>44918</v>
      </c>
      <c r="DO120" s="14">
        <v>45533</v>
      </c>
      <c r="DP120" s="14">
        <f>DATE(YEAR(DO120)+2,MONTH(DO120),DAY(DO120)-1)</f>
        <v>46262</v>
      </c>
      <c r="DQ120" s="65">
        <f t="shared" ca="1" si="275"/>
        <v>131</v>
      </c>
      <c r="DR120" s="15" t="str">
        <f t="shared" ca="1" si="276"/>
        <v>VIGENTE</v>
      </c>
      <c r="DS120" s="13">
        <v>44935</v>
      </c>
      <c r="DT120" s="14">
        <v>45540</v>
      </c>
      <c r="DU120" s="14">
        <f>DATE(YEAR(DT120)+2,MONTH(DT120),DAY(DT120)-1)</f>
        <v>46269</v>
      </c>
      <c r="DV120" s="65">
        <f t="shared" ca="1" si="277"/>
        <v>138</v>
      </c>
      <c r="DW120" s="15" t="str">
        <f t="shared" ca="1" si="278"/>
        <v>VIGENTE</v>
      </c>
      <c r="DX120" s="13">
        <v>44992</v>
      </c>
      <c r="DY120" s="14">
        <v>45663</v>
      </c>
      <c r="DZ120" s="14">
        <f t="shared" ref="DZ120:DZ126" si="430">DATE(YEAR(DY120)+2,MONTH(DY120),DAY(DY120)-1)</f>
        <v>46392</v>
      </c>
      <c r="EA120" s="65">
        <f t="shared" ca="1" si="279"/>
        <v>261</v>
      </c>
      <c r="EB120" s="15" t="str">
        <f t="shared" ca="1" si="280"/>
        <v>VIGENTE</v>
      </c>
      <c r="EC120" s="13">
        <v>45040</v>
      </c>
      <c r="ED120" s="14">
        <v>45674</v>
      </c>
      <c r="EE120" s="14">
        <f t="shared" ref="EE120:EE126" si="431">DATE(YEAR(ED120)+2,MONTH(ED120),DAY(ED120)-1)</f>
        <v>46403</v>
      </c>
      <c r="EF120" s="65">
        <f t="shared" ca="1" si="281"/>
        <v>272</v>
      </c>
      <c r="EG120" s="15" t="str">
        <f t="shared" ca="1" si="282"/>
        <v>VIGENTE</v>
      </c>
      <c r="EH120" s="13">
        <v>44950</v>
      </c>
      <c r="EI120" s="13">
        <v>46083</v>
      </c>
      <c r="EJ120" s="13">
        <v>46084</v>
      </c>
      <c r="EK120" s="13">
        <v>46085</v>
      </c>
      <c r="EL120" s="14">
        <f t="shared" si="344"/>
        <v>46450</v>
      </c>
      <c r="EM120" s="65">
        <f t="shared" ca="1" si="283"/>
        <v>319</v>
      </c>
      <c r="EN120" s="15" t="str">
        <f t="shared" ca="1" si="284"/>
        <v>VIGENTE</v>
      </c>
      <c r="EO120" s="13">
        <v>44981</v>
      </c>
      <c r="EP120" s="14">
        <v>45612</v>
      </c>
      <c r="EQ120" s="14">
        <f t="shared" ref="EQ120:EQ126" si="432">DATE(YEAR(EP120)+2,MONTH(EP120),DAY(EP120)-1)</f>
        <v>46341</v>
      </c>
      <c r="ER120" s="65">
        <f t="shared" ca="1" si="285"/>
        <v>210</v>
      </c>
      <c r="ES120" s="15" t="str">
        <f t="shared" ca="1" si="286"/>
        <v>VIGENTE</v>
      </c>
      <c r="ET120" s="13">
        <v>44897</v>
      </c>
      <c r="EU120" s="14">
        <v>45539</v>
      </c>
      <c r="EV120" s="14">
        <f>DATE(YEAR(EU120)+2,MONTH(EU120),DAY(EU120)-1)</f>
        <v>46268</v>
      </c>
      <c r="EW120" s="65">
        <f t="shared" ca="1" si="287"/>
        <v>137</v>
      </c>
      <c r="EX120" s="15" t="str">
        <f t="shared" ca="1" si="288"/>
        <v>VIGENTE</v>
      </c>
      <c r="EY120" s="13">
        <v>44957</v>
      </c>
      <c r="EZ120" s="14">
        <v>45610</v>
      </c>
      <c r="FA120" s="14">
        <f>DATE(YEAR(EZ120)+2,MONTH(EZ120),DAY(EZ120)-1)</f>
        <v>46339</v>
      </c>
      <c r="FB120" s="65">
        <f t="shared" ca="1" si="289"/>
        <v>208</v>
      </c>
      <c r="FC120" s="15" t="str">
        <f t="shared" ca="1" si="290"/>
        <v>VIGENTE</v>
      </c>
      <c r="FD120" s="13">
        <v>45009</v>
      </c>
      <c r="FE120" s="14">
        <v>45666</v>
      </c>
      <c r="FF120" s="14">
        <f>DATE(YEAR(FE120)+2,MONTH(FE120),DAY(FE120)-1)</f>
        <v>46395</v>
      </c>
      <c r="FG120" s="65">
        <f t="shared" ca="1" si="291"/>
        <v>264</v>
      </c>
      <c r="FH120" s="15" t="str">
        <f t="shared" ca="1" si="292"/>
        <v>VIGENTE</v>
      </c>
      <c r="FI120" s="13">
        <v>45006</v>
      </c>
      <c r="FJ120" s="14">
        <v>45668</v>
      </c>
      <c r="FK120" s="14">
        <f>DATE(YEAR(FJ120)+2,MONTH(FJ120),DAY(FJ120)-1)</f>
        <v>46397</v>
      </c>
      <c r="FL120" s="65">
        <f t="shared" ca="1" si="293"/>
        <v>266</v>
      </c>
      <c r="FM120" s="15" t="str">
        <f t="shared" ca="1" si="294"/>
        <v>VIGENTE</v>
      </c>
      <c r="FN120" s="13">
        <v>45002</v>
      </c>
      <c r="FO120" s="14">
        <v>45670</v>
      </c>
      <c r="FP120" s="14">
        <f t="shared" ref="FP120:FP126" si="433">DATE(YEAR(FO120)+2,MONTH(FO120),DAY(FO120)-1)</f>
        <v>46399</v>
      </c>
      <c r="FQ120" s="65">
        <f t="shared" ca="1" si="295"/>
        <v>268</v>
      </c>
      <c r="FR120" s="15" t="str">
        <f t="shared" ca="1" si="296"/>
        <v>VIGENTE</v>
      </c>
      <c r="FS120" s="13">
        <v>44949</v>
      </c>
      <c r="FT120" s="14">
        <v>45586</v>
      </c>
      <c r="FU120" s="14">
        <f t="shared" ref="FU120:FU126" si="434">DATE(YEAR(FT120)+2,MONTH(FT120),DAY(FT120)-1)</f>
        <v>46315</v>
      </c>
      <c r="FV120" s="65">
        <f t="shared" ca="1" si="297"/>
        <v>184</v>
      </c>
      <c r="FW120" s="15" t="str">
        <f t="shared" ca="1" si="298"/>
        <v>VIGENTE</v>
      </c>
      <c r="FX120" s="14">
        <v>44968</v>
      </c>
      <c r="FY120" s="14">
        <v>45587</v>
      </c>
      <c r="FZ120" s="14">
        <f>DATE(YEAR(FY120)+2,MONTH(FY120),DAY(FY120)-1)</f>
        <v>46316</v>
      </c>
      <c r="GA120" s="65">
        <f t="shared" ca="1" si="299"/>
        <v>185</v>
      </c>
      <c r="GB120" s="15" t="str">
        <f t="shared" ca="1" si="300"/>
        <v>VIGENTE</v>
      </c>
      <c r="GC120" s="13">
        <v>45049</v>
      </c>
      <c r="GD120" s="14">
        <v>45667</v>
      </c>
      <c r="GE120" s="14">
        <f>DATE(YEAR(GD120)+2,MONTH(GD120),DAY(GD120)-1)</f>
        <v>46396</v>
      </c>
      <c r="GF120" s="65">
        <f t="shared" ca="1" si="301"/>
        <v>265</v>
      </c>
      <c r="GG120" s="15" t="str">
        <f t="shared" ca="1" si="302"/>
        <v>VIGENTE</v>
      </c>
      <c r="GH120" s="13">
        <v>44937</v>
      </c>
      <c r="GI120" s="14">
        <v>45579</v>
      </c>
      <c r="GJ120" s="14">
        <f t="shared" ref="GJ120:GJ126" si="435">DATE(YEAR(GI120)+2,MONTH(GI120),DAY(GI120)-1)</f>
        <v>46308</v>
      </c>
      <c r="GK120" s="65">
        <f t="shared" ca="1" si="303"/>
        <v>177</v>
      </c>
      <c r="GL120" s="15" t="str">
        <f t="shared" ca="1" si="304"/>
        <v>VIGENTE</v>
      </c>
      <c r="GM120" s="13">
        <v>44915</v>
      </c>
      <c r="GN120" s="14">
        <v>45557</v>
      </c>
      <c r="GO120" s="14">
        <f>DATE(YEAR(GN120)+2,MONTH(GN120),DAY(GN120)-1)</f>
        <v>46286</v>
      </c>
      <c r="GP120" s="65">
        <f t="shared" ca="1" si="305"/>
        <v>155</v>
      </c>
      <c r="GQ120" s="15" t="str">
        <f t="shared" ca="1" si="306"/>
        <v>VIGENTE</v>
      </c>
      <c r="GR120" s="14"/>
      <c r="GS120" s="14">
        <v>44952</v>
      </c>
      <c r="GT120" s="14">
        <f t="shared" si="307"/>
        <v>46778</v>
      </c>
      <c r="GU120" s="65">
        <f t="shared" ca="1" si="398"/>
        <v>647</v>
      </c>
      <c r="GV120" s="15" t="str">
        <f t="shared" ca="1" si="411"/>
        <v>VIGENTE</v>
      </c>
      <c r="GW120" s="13"/>
      <c r="GX120" s="14">
        <v>45010</v>
      </c>
      <c r="GY120" s="14">
        <f t="shared" si="309"/>
        <v>46837</v>
      </c>
      <c r="GZ120" s="65">
        <f t="shared" ca="1" si="310"/>
        <v>706</v>
      </c>
      <c r="HA120" s="15" t="str">
        <f t="shared" ca="1" si="418"/>
        <v>VIGENTE</v>
      </c>
      <c r="HB120" s="12"/>
      <c r="HC120" s="14">
        <v>44883</v>
      </c>
      <c r="HD120" s="14">
        <f t="shared" si="312"/>
        <v>46709</v>
      </c>
      <c r="HE120" s="65">
        <f t="shared" ca="1" si="313"/>
        <v>578</v>
      </c>
      <c r="HF120" s="15" t="str">
        <f t="shared" ca="1" si="413"/>
        <v>VIGENTE</v>
      </c>
      <c r="HG120" s="16"/>
      <c r="HH120" s="14">
        <v>44862</v>
      </c>
      <c r="HI120" s="14">
        <f t="shared" si="420"/>
        <v>46688</v>
      </c>
      <c r="HJ120" s="65">
        <f t="shared" ca="1" si="421"/>
        <v>557</v>
      </c>
      <c r="HK120" s="15" t="str">
        <f t="shared" ca="1" si="419"/>
        <v>VIGENTE</v>
      </c>
      <c r="HL120" s="12"/>
      <c r="HM120" s="16"/>
      <c r="HN120" s="14"/>
      <c r="HO120" s="65"/>
      <c r="HP120" s="15" t="str">
        <f t="shared" si="400"/>
        <v>NO APLICA</v>
      </c>
      <c r="HQ120" s="12"/>
      <c r="HR120" s="15"/>
      <c r="HS120" s="15"/>
      <c r="HT120" s="15"/>
      <c r="HU120" s="15" t="str">
        <f t="shared" si="315"/>
        <v>NO APLICA</v>
      </c>
      <c r="HV120" s="13">
        <v>44782</v>
      </c>
      <c r="HW120" s="14">
        <v>45420</v>
      </c>
      <c r="HX120" s="14">
        <f>DATE(YEAR(HW120)+5,MONTH(HW120),DAY(HW120))</f>
        <v>47246</v>
      </c>
      <c r="HY120" s="65">
        <f ca="1">HX120-TODAY()</f>
        <v>1115</v>
      </c>
      <c r="HZ120" s="15" t="str">
        <f t="shared" ca="1" si="316"/>
        <v>VIGENTE</v>
      </c>
      <c r="IA120" s="13">
        <v>44781</v>
      </c>
      <c r="IB120" s="14">
        <v>45447</v>
      </c>
      <c r="IC120" s="14">
        <f>DATE(YEAR(IB120)+5,MONTH(IB120),DAY(IB120))</f>
        <v>47273</v>
      </c>
      <c r="ID120" s="65">
        <f ca="1">IC120-TODAY()</f>
        <v>1142</v>
      </c>
      <c r="IE120" s="15" t="str">
        <f t="shared" ca="1" si="317"/>
        <v>VIGENTE</v>
      </c>
      <c r="IF120" s="13">
        <v>44792</v>
      </c>
      <c r="IG120" s="14">
        <v>45444</v>
      </c>
      <c r="IH120" s="14">
        <f>DATE(YEAR(IG120)+5,MONTH(IG120),DAY(IG120))</f>
        <v>47270</v>
      </c>
      <c r="II120" s="65">
        <f ca="1">IH120-TODAY()</f>
        <v>1139</v>
      </c>
      <c r="IJ120" s="15" t="str">
        <f t="shared" ca="1" si="318"/>
        <v>VIGENTE</v>
      </c>
      <c r="IK120" s="14">
        <v>44795</v>
      </c>
      <c r="IL120" s="14">
        <v>45449</v>
      </c>
      <c r="IM120" s="14">
        <f>DATE(YEAR(IL120)+5,MONTH(IL120),DAY(IL120))</f>
        <v>47275</v>
      </c>
      <c r="IN120" s="65">
        <f ca="1">IM120-TODAY()</f>
        <v>1144</v>
      </c>
      <c r="IO120" s="15" t="str">
        <f t="shared" ca="1" si="319"/>
        <v>VIGENTE</v>
      </c>
      <c r="IP120" s="13">
        <v>44785</v>
      </c>
      <c r="IQ120" s="14">
        <v>45460</v>
      </c>
      <c r="IR120" s="14">
        <f>DATE(YEAR(IQ120)+5,MONTH(IQ120),DAY(IQ120))</f>
        <v>47286</v>
      </c>
      <c r="IS120" s="65">
        <f ca="1">IR120-TODAY()</f>
        <v>1155</v>
      </c>
      <c r="IT120" s="15" t="str">
        <f t="shared" ca="1" si="320"/>
        <v>VIGENTE</v>
      </c>
      <c r="IU120" s="13">
        <v>44792</v>
      </c>
      <c r="IV120" s="14">
        <v>45435</v>
      </c>
      <c r="IW120" s="14">
        <f>DATE(YEAR(IV120)+5,MONTH(IV120),DAY(IV120))</f>
        <v>47261</v>
      </c>
      <c r="IX120" s="65">
        <f ca="1">IW120-TODAY()</f>
        <v>1130</v>
      </c>
      <c r="IY120" s="15" t="str">
        <f t="shared" ca="1" si="321"/>
        <v>VIGENTE</v>
      </c>
      <c r="IZ120" s="14">
        <v>44781</v>
      </c>
      <c r="JA120" s="14">
        <v>45446</v>
      </c>
      <c r="JB120" s="14">
        <f>DATE(YEAR(JA120)+5,MONTH(JA120),DAY(JA120))</f>
        <v>47272</v>
      </c>
      <c r="JC120" s="65">
        <f ca="1">JB120-TODAY()</f>
        <v>1141</v>
      </c>
      <c r="JD120" s="15" t="str">
        <f t="shared" ca="1" si="322"/>
        <v>VIGENTE</v>
      </c>
      <c r="JE120" s="13"/>
      <c r="JF120" s="13"/>
      <c r="JG120" s="14"/>
      <c r="JH120" s="65"/>
      <c r="JI120" s="15" t="str">
        <f t="shared" si="323"/>
        <v>NO APLICA</v>
      </c>
      <c r="JJ120" s="16"/>
      <c r="JK120" s="16"/>
      <c r="JL120" s="16"/>
      <c r="JM120" s="15" t="str">
        <f t="shared" si="324"/>
        <v>NO APLICA</v>
      </c>
      <c r="JN120" s="16"/>
      <c r="JO120" s="16"/>
      <c r="JP120" s="16"/>
      <c r="JQ120" s="15" t="str">
        <f t="shared" si="325"/>
        <v>NO APLICA</v>
      </c>
      <c r="JR120" s="16"/>
      <c r="JS120" s="16"/>
      <c r="JT120" s="16"/>
      <c r="JU120" s="16"/>
      <c r="JV120" s="15" t="str">
        <f t="shared" si="326"/>
        <v>NO APLICA</v>
      </c>
      <c r="JW120" s="15"/>
      <c r="JX120" s="15"/>
      <c r="JY120" s="15"/>
      <c r="JZ120" s="15"/>
      <c r="KA120" s="15" t="str">
        <f t="shared" si="327"/>
        <v>NO APLICA</v>
      </c>
      <c r="KB120" s="15"/>
      <c r="KC120" s="14"/>
      <c r="KD120" s="65"/>
      <c r="KE120" s="15" t="str">
        <f t="shared" si="328"/>
        <v>NO APLICA</v>
      </c>
      <c r="KF120" s="15"/>
      <c r="KG120" s="14"/>
      <c r="KH120" s="65"/>
      <c r="KI120" s="15" t="str">
        <f t="shared" si="345"/>
        <v>NO APLICA</v>
      </c>
      <c r="KJ120" s="15"/>
      <c r="KK120" s="14"/>
      <c r="KL120" s="65"/>
      <c r="KM120" s="15" t="str">
        <f t="shared" si="329"/>
        <v>NO APLICA</v>
      </c>
      <c r="KN120" s="12"/>
      <c r="KO120" s="14"/>
      <c r="KP120" s="65"/>
      <c r="KQ120" s="15" t="str">
        <f t="shared" si="346"/>
        <v>NO APLICA</v>
      </c>
      <c r="KR120" s="12"/>
      <c r="KS120" s="16"/>
      <c r="KT120" s="14"/>
      <c r="KU120" s="65"/>
      <c r="KV120" s="15" t="str">
        <f t="shared" si="355"/>
        <v>NO APLICA</v>
      </c>
      <c r="KW120" s="14">
        <v>44545</v>
      </c>
      <c r="KX120" s="14">
        <f>DATE(YEAR(KW120)+5,MONTH(KW120),DAY(KW120))</f>
        <v>46371</v>
      </c>
      <c r="KY120" s="65">
        <f ca="1">KX120-TODAY()</f>
        <v>240</v>
      </c>
      <c r="KZ120" s="15" t="str">
        <f t="shared" ca="1" si="347"/>
        <v>VIGENTE</v>
      </c>
      <c r="LA120" s="16"/>
      <c r="LB120" s="16"/>
      <c r="LC120" s="14"/>
      <c r="LD120" s="65"/>
      <c r="LE120" s="15" t="str">
        <f t="shared" si="330"/>
        <v>NO APLICA</v>
      </c>
      <c r="LF120" s="15"/>
      <c r="LG120" s="15"/>
      <c r="LH120" s="14"/>
      <c r="LI120" s="65"/>
      <c r="LJ120" s="15" t="str">
        <f t="shared" si="356"/>
        <v>NO APLICA</v>
      </c>
      <c r="LK120" s="13">
        <v>44375</v>
      </c>
      <c r="LL120" s="14">
        <v>44407</v>
      </c>
      <c r="LM120" s="14">
        <f>DATE(YEAR(LL120)+5,MONTH(LL120),DAY(LL120))</f>
        <v>46233</v>
      </c>
      <c r="LN120" s="65">
        <f ca="1">LM120-TODAY()</f>
        <v>102</v>
      </c>
      <c r="LO120" s="15" t="str">
        <f t="shared" ca="1" si="348"/>
        <v>VIGENTE</v>
      </c>
      <c r="LP120" s="14">
        <v>44984</v>
      </c>
      <c r="LQ120" s="14">
        <v>44986</v>
      </c>
      <c r="LR120" s="14">
        <f>DATE(YEAR(LQ120)+5,MONTH(LQ120),DAY(LQ120))</f>
        <v>46813</v>
      </c>
      <c r="LS120" s="65">
        <f ca="1">LR120-TODAY()</f>
        <v>682</v>
      </c>
      <c r="LT120" s="15" t="str">
        <f t="shared" ca="1" si="349"/>
        <v>VIGENTE</v>
      </c>
      <c r="LU120" s="14">
        <v>44987</v>
      </c>
      <c r="LV120" s="14">
        <v>44988</v>
      </c>
      <c r="LW120" s="14">
        <f>DATE(YEAR(LV120)+5,MONTH(LV120),DAY(LV120))</f>
        <v>46815</v>
      </c>
      <c r="LX120" s="65">
        <f ca="1">LW120-TODAY()</f>
        <v>684</v>
      </c>
      <c r="LY120" s="15" t="str">
        <f t="shared" ca="1" si="350"/>
        <v>VIGENTE</v>
      </c>
      <c r="LZ120" s="15"/>
      <c r="MA120" s="15"/>
      <c r="MB120" s="14"/>
      <c r="MC120" s="65"/>
      <c r="MD120" s="15" t="str">
        <f t="shared" si="331"/>
        <v>NO APLICA</v>
      </c>
      <c r="ME120" s="15"/>
      <c r="MF120" s="15"/>
      <c r="MG120" s="14"/>
      <c r="MH120" s="65"/>
      <c r="MI120" s="15" t="str">
        <f t="shared" si="332"/>
        <v>NO APLICA</v>
      </c>
      <c r="MJ120" s="13">
        <v>45154</v>
      </c>
      <c r="MK120" s="14">
        <f>DATE(YEAR(MJ120)+5,MONTH(MJ120),DAY(MJ120))</f>
        <v>46981</v>
      </c>
      <c r="ML120" s="65">
        <f ca="1">MK120-TODAY()</f>
        <v>850</v>
      </c>
      <c r="MM120" s="15" t="str">
        <f t="shared" ca="1" si="333"/>
        <v>VIGENTE</v>
      </c>
      <c r="MN120" s="13">
        <v>45155</v>
      </c>
      <c r="MO120" s="14">
        <f>DATE(YEAR(MN120)+5,MONTH(MN120),DAY(MN120))</f>
        <v>46982</v>
      </c>
      <c r="MP120" s="65">
        <f ca="1">MO120-TODAY()</f>
        <v>851</v>
      </c>
      <c r="MQ120" s="15" t="str">
        <f t="shared" ca="1" si="334"/>
        <v>VIGENTE</v>
      </c>
      <c r="MR120" s="15"/>
      <c r="MS120" s="16"/>
      <c r="MT120" s="14"/>
      <c r="MU120" s="65"/>
      <c r="MV120" s="15" t="str">
        <f t="shared" si="335"/>
        <v>NO APLICA</v>
      </c>
      <c r="MW120" s="15"/>
      <c r="MX120" s="16"/>
      <c r="MY120" s="14"/>
      <c r="MZ120" s="65"/>
      <c r="NA120" s="15" t="str">
        <f t="shared" si="336"/>
        <v>NO APLICA</v>
      </c>
      <c r="NB120" s="15"/>
      <c r="NC120" s="14">
        <v>44751</v>
      </c>
      <c r="ND120" s="14">
        <f>DATE(YEAR(NC120)+5,MONTH(NC120),DAY(NC120))</f>
        <v>46577</v>
      </c>
      <c r="NE120" s="65">
        <f ca="1">ND120-TODAY()</f>
        <v>446</v>
      </c>
      <c r="NF120" s="15" t="str">
        <f t="shared" ca="1" si="337"/>
        <v>VIGENTE</v>
      </c>
      <c r="NG120" s="15"/>
      <c r="NH120" s="15"/>
      <c r="NI120" s="14"/>
      <c r="NJ120" s="65"/>
      <c r="NK120" s="15" t="str">
        <f t="shared" si="338"/>
        <v>NO APLICA</v>
      </c>
      <c r="NL120" s="15"/>
      <c r="NM120" s="15"/>
      <c r="NN120" s="15"/>
      <c r="NO120" s="15"/>
      <c r="NP120" s="15" t="str">
        <f t="shared" si="339"/>
        <v>NO APLICA</v>
      </c>
      <c r="NQ120" s="16"/>
      <c r="NR120" s="16"/>
      <c r="NS120" s="14"/>
      <c r="NT120" s="65"/>
      <c r="NU120" s="15" t="str">
        <f t="shared" si="340"/>
        <v>NO APLICA</v>
      </c>
      <c r="NV120" s="16"/>
      <c r="NW120" s="16"/>
      <c r="NX120" s="16"/>
      <c r="NY120" s="16"/>
      <c r="NZ120" s="15" t="str">
        <f t="shared" si="341"/>
        <v>NO APLICA</v>
      </c>
    </row>
    <row r="121" spans="1:390" ht="15.6" thickTop="1" thickBot="1" x14ac:dyDescent="0.35">
      <c r="A121" s="9">
        <v>1331</v>
      </c>
      <c r="B121" s="10" t="s">
        <v>461</v>
      </c>
      <c r="C121" s="21" t="s">
        <v>104</v>
      </c>
      <c r="D121" s="64" t="s">
        <v>193</v>
      </c>
      <c r="E121" s="15"/>
      <c r="F121" s="16"/>
      <c r="G121" s="14"/>
      <c r="H121" s="65"/>
      <c r="I121" s="15" t="str">
        <f t="shared" si="235"/>
        <v>NO APLICA</v>
      </c>
      <c r="J121" s="15"/>
      <c r="K121" s="16"/>
      <c r="L121" s="16"/>
      <c r="M121" s="65"/>
      <c r="N121" s="15" t="str">
        <f t="shared" si="236"/>
        <v>NO APLICA</v>
      </c>
      <c r="O121" s="16"/>
      <c r="P121" s="16"/>
      <c r="Q121" s="14"/>
      <c r="R121" s="65"/>
      <c r="S121" s="15" t="str">
        <f t="shared" si="342"/>
        <v>NO APLICA</v>
      </c>
      <c r="T121" s="12" t="s">
        <v>462</v>
      </c>
      <c r="U121" s="14">
        <v>44828</v>
      </c>
      <c r="V121" s="14">
        <v>44829</v>
      </c>
      <c r="W121" s="14">
        <f t="shared" si="401"/>
        <v>46655</v>
      </c>
      <c r="X121" s="65">
        <f t="shared" ca="1" si="402"/>
        <v>524</v>
      </c>
      <c r="Y121" s="15" t="str">
        <f t="shared" ca="1" si="403"/>
        <v>VIGENTE</v>
      </c>
      <c r="Z121" s="12" t="s">
        <v>463</v>
      </c>
      <c r="AA121" s="14">
        <v>45498</v>
      </c>
      <c r="AB121" s="14">
        <v>45499</v>
      </c>
      <c r="AC121" s="14">
        <f t="shared" si="422"/>
        <v>47325</v>
      </c>
      <c r="AD121" s="65">
        <f t="shared" ca="1" si="423"/>
        <v>1194</v>
      </c>
      <c r="AE121" s="15" t="str">
        <f t="shared" ca="1" si="424"/>
        <v>VIGENTE</v>
      </c>
      <c r="AF121" s="13">
        <v>44937</v>
      </c>
      <c r="AG121" s="13">
        <v>45609</v>
      </c>
      <c r="AH121" s="14">
        <f t="shared" si="425"/>
        <v>46338</v>
      </c>
      <c r="AI121" s="65">
        <f t="shared" ca="1" si="241"/>
        <v>207</v>
      </c>
      <c r="AJ121" s="15" t="str">
        <f t="shared" ca="1" si="399"/>
        <v>VIGENTE</v>
      </c>
      <c r="AK121" s="13">
        <v>45269</v>
      </c>
      <c r="AL121" s="14">
        <v>45926</v>
      </c>
      <c r="AM121" s="14">
        <f>DATE(YEAR(AL121)+2,MONTH(AL121),DAY(AL121))</f>
        <v>46656</v>
      </c>
      <c r="AN121" s="65">
        <f t="shared" ca="1" si="242"/>
        <v>525</v>
      </c>
      <c r="AO121" s="15" t="str">
        <f t="shared" ca="1" si="243"/>
        <v>VIGENTE</v>
      </c>
      <c r="AP121" s="13">
        <v>45326</v>
      </c>
      <c r="AQ121" s="14">
        <v>45989</v>
      </c>
      <c r="AR121" s="14">
        <f>DATE(YEAR(AQ121)+2,MONTH(AQ121),DAY(AQ121))</f>
        <v>46719</v>
      </c>
      <c r="AS121" s="65">
        <f t="shared" ca="1" si="244"/>
        <v>588</v>
      </c>
      <c r="AT121" s="15" t="str">
        <f t="shared" ca="1" si="245"/>
        <v>VIGENTE</v>
      </c>
      <c r="AU121" s="13">
        <v>44663</v>
      </c>
      <c r="AV121" s="14">
        <v>45990</v>
      </c>
      <c r="AW121" s="14">
        <f>DATE(YEAR(AV121)+2,MONTH(AV121),DAY(AV121))</f>
        <v>46720</v>
      </c>
      <c r="AX121" s="65">
        <f t="shared" ca="1" si="246"/>
        <v>589</v>
      </c>
      <c r="AY121" s="15" t="str">
        <f t="shared" ca="1" si="247"/>
        <v>VIGENTE</v>
      </c>
      <c r="AZ121" s="13">
        <v>44732</v>
      </c>
      <c r="BA121" s="14">
        <v>46071</v>
      </c>
      <c r="BB121" s="14">
        <f>DATE(YEAR(BA121)+2,MONTH(BA121),DAY(BA121))</f>
        <v>46801</v>
      </c>
      <c r="BC121" s="65">
        <f t="shared" ca="1" si="248"/>
        <v>670</v>
      </c>
      <c r="BD121" s="15" t="str">
        <f t="shared" ca="1" si="249"/>
        <v>VIGENTE</v>
      </c>
      <c r="BE121" s="13">
        <v>44688</v>
      </c>
      <c r="BF121" s="14">
        <v>45987</v>
      </c>
      <c r="BG121" s="14">
        <f t="shared" ref="BG121:BG127" si="436">DATE(YEAR(BF121)+2,MONTH(BF121),DAY(BF121))</f>
        <v>46717</v>
      </c>
      <c r="BH121" s="65">
        <f t="shared" ca="1" si="250"/>
        <v>586</v>
      </c>
      <c r="BI121" s="15" t="str">
        <f t="shared" ca="1" si="251"/>
        <v>VIGENTE</v>
      </c>
      <c r="BJ121" s="13">
        <v>44722</v>
      </c>
      <c r="BK121" s="14">
        <v>46051</v>
      </c>
      <c r="BL121" s="14">
        <f>DATE(YEAR(BK121)+2,MONTH(BK121),DAY(BK121))</f>
        <v>46781</v>
      </c>
      <c r="BM121" s="65">
        <f t="shared" ca="1" si="252"/>
        <v>650</v>
      </c>
      <c r="BN121" s="15" t="str">
        <f t="shared" ca="1" si="253"/>
        <v>VIGENTE</v>
      </c>
      <c r="BO121" s="13">
        <v>44749</v>
      </c>
      <c r="BP121" s="14">
        <v>46069</v>
      </c>
      <c r="BQ121" s="14">
        <f>DATE(YEAR(BP121)+2,MONTH(BP121),DAY(BP121))</f>
        <v>46799</v>
      </c>
      <c r="BR121" s="65">
        <f t="shared" ca="1" si="254"/>
        <v>668</v>
      </c>
      <c r="BS121" s="15" t="str">
        <f t="shared" ca="1" si="255"/>
        <v>VIGENTE</v>
      </c>
      <c r="BT121" s="13">
        <v>44733</v>
      </c>
      <c r="BU121" s="14">
        <v>45455</v>
      </c>
      <c r="BV121" s="14">
        <f>DATE(YEAR(BU121)+2,MONTH(BU121),DAY(BU121)-1)</f>
        <v>46184</v>
      </c>
      <c r="BW121" s="65">
        <f t="shared" ca="1" si="256"/>
        <v>53</v>
      </c>
      <c r="BX121" s="15" t="str">
        <f t="shared" ca="1" si="257"/>
        <v>POR VENCER</v>
      </c>
      <c r="BY121" s="13">
        <v>45063</v>
      </c>
      <c r="BZ121" s="14">
        <v>45730</v>
      </c>
      <c r="CA121" s="14">
        <f>DATE(YEAR(BZ121)+2,MONTH(BZ121),DAY(BZ121)-1)</f>
        <v>46459</v>
      </c>
      <c r="CB121" s="65">
        <f t="shared" ca="1" si="258"/>
        <v>328</v>
      </c>
      <c r="CC121" s="15" t="str">
        <f t="shared" ca="1" si="259"/>
        <v>VIGENTE</v>
      </c>
      <c r="CD121" s="16" t="s">
        <v>108</v>
      </c>
      <c r="CE121" s="14">
        <v>45261</v>
      </c>
      <c r="CF121" s="14">
        <v>45262</v>
      </c>
      <c r="CG121" s="14">
        <f t="shared" si="408"/>
        <v>46723</v>
      </c>
      <c r="CH121" s="65">
        <f t="shared" ca="1" si="409"/>
        <v>592</v>
      </c>
      <c r="CI121" s="15" t="str">
        <f t="shared" ca="1" si="410"/>
        <v>VIGENTE</v>
      </c>
      <c r="CJ121" s="14">
        <v>44875</v>
      </c>
      <c r="CK121" s="14">
        <v>45500</v>
      </c>
      <c r="CL121" s="14">
        <f t="shared" si="426"/>
        <v>46229</v>
      </c>
      <c r="CM121" s="65">
        <f t="shared" ca="1" si="263"/>
        <v>98</v>
      </c>
      <c r="CN121" s="15" t="str">
        <f t="shared" ca="1" si="264"/>
        <v>VIGENTE</v>
      </c>
      <c r="CO121" s="14">
        <v>45087</v>
      </c>
      <c r="CP121" s="14">
        <v>45726</v>
      </c>
      <c r="CQ121" s="14">
        <f t="shared" si="427"/>
        <v>46455</v>
      </c>
      <c r="CR121" s="65">
        <f t="shared" ca="1" si="265"/>
        <v>324</v>
      </c>
      <c r="CS121" s="15" t="str">
        <f t="shared" ca="1" si="266"/>
        <v>VIGENTE</v>
      </c>
      <c r="CT121" s="13">
        <v>44970</v>
      </c>
      <c r="CU121" s="14">
        <v>45631</v>
      </c>
      <c r="CV121" s="14">
        <f t="shared" si="428"/>
        <v>46360</v>
      </c>
      <c r="CW121" s="65">
        <f t="shared" ca="1" si="267"/>
        <v>229</v>
      </c>
      <c r="CX121" s="15" t="str">
        <f t="shared" ca="1" si="268"/>
        <v>VIGENTE</v>
      </c>
      <c r="CY121" s="13">
        <v>45422</v>
      </c>
      <c r="CZ121" s="14">
        <v>46098</v>
      </c>
      <c r="DA121" s="14">
        <f>DATE(YEAR(CZ121)+2,MONTH(CZ121),DAY(CZ121))</f>
        <v>46829</v>
      </c>
      <c r="DB121" s="65">
        <f t="shared" ca="1" si="269"/>
        <v>698</v>
      </c>
      <c r="DC121" s="15" t="str">
        <f t="shared" ca="1" si="270"/>
        <v>VIGENTE</v>
      </c>
      <c r="DD121" s="13">
        <v>45036</v>
      </c>
      <c r="DE121" s="14">
        <v>45723</v>
      </c>
      <c r="DF121" s="14">
        <f t="shared" si="429"/>
        <v>46452</v>
      </c>
      <c r="DG121" s="65">
        <f t="shared" ca="1" si="271"/>
        <v>321</v>
      </c>
      <c r="DH121" s="15" t="str">
        <f t="shared" ca="1" si="272"/>
        <v>VIGENTE</v>
      </c>
      <c r="DI121" s="13">
        <v>45044</v>
      </c>
      <c r="DJ121" s="14">
        <v>45696</v>
      </c>
      <c r="DK121" s="14">
        <f>DATE(YEAR(DJ121)+2,MONTH(DJ121),DAY(DJ121)-1)</f>
        <v>46425</v>
      </c>
      <c r="DL121" s="65">
        <f t="shared" ca="1" si="273"/>
        <v>294</v>
      </c>
      <c r="DM121" s="15" t="str">
        <f t="shared" ca="1" si="274"/>
        <v>VIGENTE</v>
      </c>
      <c r="DN121" s="13">
        <v>44697</v>
      </c>
      <c r="DO121" s="14">
        <v>46007</v>
      </c>
      <c r="DP121" s="14">
        <f>DATE(YEAR(DO121)+2,MONTH(DO121),DAY(DO121))</f>
        <v>46737</v>
      </c>
      <c r="DQ121" s="65">
        <f t="shared" ca="1" si="275"/>
        <v>606</v>
      </c>
      <c r="DR121" s="15" t="str">
        <f t="shared" ca="1" si="276"/>
        <v>VIGENTE</v>
      </c>
      <c r="DS121" s="13">
        <v>44734</v>
      </c>
      <c r="DT121" s="14">
        <v>46053</v>
      </c>
      <c r="DU121" s="14">
        <f>DATE(YEAR(DT121)+2,MONTH(DT121),DAY(DT121))</f>
        <v>46783</v>
      </c>
      <c r="DV121" s="65">
        <f t="shared" ca="1" si="277"/>
        <v>652</v>
      </c>
      <c r="DW121" s="15" t="str">
        <f t="shared" ca="1" si="278"/>
        <v>VIGENTE</v>
      </c>
      <c r="DX121" s="13">
        <v>45064</v>
      </c>
      <c r="DY121" s="14">
        <v>45682</v>
      </c>
      <c r="DZ121" s="14">
        <f t="shared" si="430"/>
        <v>46411</v>
      </c>
      <c r="EA121" s="65">
        <f t="shared" ca="1" si="279"/>
        <v>280</v>
      </c>
      <c r="EB121" s="15" t="str">
        <f t="shared" ca="1" si="280"/>
        <v>VIGENTE</v>
      </c>
      <c r="EC121" s="13">
        <v>44982</v>
      </c>
      <c r="ED121" s="14">
        <v>45642</v>
      </c>
      <c r="EE121" s="14">
        <f t="shared" si="431"/>
        <v>46371</v>
      </c>
      <c r="EF121" s="65">
        <f t="shared" ca="1" si="281"/>
        <v>240</v>
      </c>
      <c r="EG121" s="15" t="str">
        <f t="shared" ca="1" si="282"/>
        <v>VIGENTE</v>
      </c>
      <c r="EH121" s="13">
        <v>45750</v>
      </c>
      <c r="EI121" s="13">
        <v>46083</v>
      </c>
      <c r="EJ121" s="13">
        <v>46084</v>
      </c>
      <c r="EK121" s="13">
        <v>46085</v>
      </c>
      <c r="EL121" s="14">
        <f t="shared" si="344"/>
        <v>46450</v>
      </c>
      <c r="EM121" s="65">
        <f t="shared" ca="1" si="283"/>
        <v>319</v>
      </c>
      <c r="EN121" s="15" t="str">
        <f t="shared" ca="1" si="284"/>
        <v>VIGENTE</v>
      </c>
      <c r="EO121" s="13">
        <v>44985</v>
      </c>
      <c r="EP121" s="14">
        <v>45636</v>
      </c>
      <c r="EQ121" s="14">
        <f t="shared" si="432"/>
        <v>46365</v>
      </c>
      <c r="ER121" s="65">
        <f t="shared" ca="1" si="285"/>
        <v>234</v>
      </c>
      <c r="ES121" s="15" t="str">
        <f t="shared" ca="1" si="286"/>
        <v>VIGENTE</v>
      </c>
      <c r="ET121" s="13">
        <v>44732</v>
      </c>
      <c r="EU121" s="14">
        <v>46094</v>
      </c>
      <c r="EV121" s="14">
        <f>DATE(YEAR(EU121)+2,MONTH(EU121),DAY(EU121))</f>
        <v>46825</v>
      </c>
      <c r="EW121" s="65">
        <f t="shared" ca="1" si="287"/>
        <v>694</v>
      </c>
      <c r="EX121" s="15" t="str">
        <f t="shared" ca="1" si="288"/>
        <v>VIGENTE</v>
      </c>
      <c r="EY121" s="13">
        <v>45010</v>
      </c>
      <c r="EZ121" s="14">
        <v>45694</v>
      </c>
      <c r="FA121" s="14">
        <f>DATE(YEAR(EZ121)+2,MONTH(EZ121),DAY(EZ121)-1)</f>
        <v>46423</v>
      </c>
      <c r="FB121" s="65">
        <f t="shared" ca="1" si="289"/>
        <v>292</v>
      </c>
      <c r="FC121" s="15" t="str">
        <f t="shared" ca="1" si="290"/>
        <v>VIGENTE</v>
      </c>
      <c r="FD121" s="13">
        <v>44983</v>
      </c>
      <c r="FE121" s="14">
        <v>45611</v>
      </c>
      <c r="FF121" s="14">
        <f>DATE(YEAR(FE121)+2,MONTH(FE121),DAY(FE121)-1)</f>
        <v>46340</v>
      </c>
      <c r="FG121" s="65">
        <f t="shared" ca="1" si="291"/>
        <v>209</v>
      </c>
      <c r="FH121" s="15" t="str">
        <f t="shared" ca="1" si="292"/>
        <v>VIGENTE</v>
      </c>
      <c r="FI121" s="13">
        <v>45045</v>
      </c>
      <c r="FJ121" s="14">
        <v>45668</v>
      </c>
      <c r="FK121" s="14">
        <f>DATE(YEAR(FJ121)+2,MONTH(FJ121),DAY(FJ121)-1)</f>
        <v>46397</v>
      </c>
      <c r="FL121" s="65">
        <f t="shared" ca="1" si="293"/>
        <v>266</v>
      </c>
      <c r="FM121" s="15" t="str">
        <f t="shared" ca="1" si="294"/>
        <v>VIGENTE</v>
      </c>
      <c r="FN121" s="13">
        <v>45062</v>
      </c>
      <c r="FO121" s="14">
        <v>45686</v>
      </c>
      <c r="FP121" s="14">
        <f t="shared" si="433"/>
        <v>46415</v>
      </c>
      <c r="FQ121" s="65">
        <f t="shared" ca="1" si="295"/>
        <v>284</v>
      </c>
      <c r="FR121" s="15" t="str">
        <f t="shared" ca="1" si="296"/>
        <v>VIGENTE</v>
      </c>
      <c r="FS121" s="13">
        <v>45052</v>
      </c>
      <c r="FT121" s="14">
        <v>45664</v>
      </c>
      <c r="FU121" s="14">
        <f t="shared" si="434"/>
        <v>46393</v>
      </c>
      <c r="FV121" s="65">
        <f t="shared" ca="1" si="297"/>
        <v>262</v>
      </c>
      <c r="FW121" s="15" t="str">
        <f t="shared" ca="1" si="298"/>
        <v>VIGENTE</v>
      </c>
      <c r="FX121" s="13">
        <v>44968</v>
      </c>
      <c r="FY121" s="14">
        <v>45587</v>
      </c>
      <c r="FZ121" s="14">
        <f>DATE(YEAR(FY121)+2,MONTH(FY121),DAY(FY121)-1)</f>
        <v>46316</v>
      </c>
      <c r="GA121" s="65">
        <f t="shared" ca="1" si="299"/>
        <v>185</v>
      </c>
      <c r="GB121" s="15" t="str">
        <f t="shared" ca="1" si="300"/>
        <v>VIGENTE</v>
      </c>
      <c r="GC121" s="13">
        <v>44735</v>
      </c>
      <c r="GD121" s="14">
        <v>46073</v>
      </c>
      <c r="GE121" s="14">
        <f>DATE(YEAR(GD121)+2,MONTH(GD121),DAY(GD121))</f>
        <v>46803</v>
      </c>
      <c r="GF121" s="65">
        <f t="shared" ca="1" si="301"/>
        <v>672</v>
      </c>
      <c r="GG121" s="15" t="str">
        <f t="shared" ca="1" si="302"/>
        <v>VIGENTE</v>
      </c>
      <c r="GH121" s="13">
        <v>44996</v>
      </c>
      <c r="GI121" s="14">
        <v>45672</v>
      </c>
      <c r="GJ121" s="14">
        <f t="shared" si="435"/>
        <v>46401</v>
      </c>
      <c r="GK121" s="65">
        <f t="shared" ca="1" si="303"/>
        <v>270</v>
      </c>
      <c r="GL121" s="15" t="str">
        <f t="shared" ca="1" si="304"/>
        <v>VIGENTE</v>
      </c>
      <c r="GM121" s="13">
        <v>44568</v>
      </c>
      <c r="GN121" s="14">
        <v>45945</v>
      </c>
      <c r="GO121" s="14">
        <f>DATE(YEAR(GN121)+2,MONTH(GN121),DAY(GN121))</f>
        <v>46675</v>
      </c>
      <c r="GP121" s="65">
        <f t="shared" ca="1" si="305"/>
        <v>544</v>
      </c>
      <c r="GQ121" s="15" t="str">
        <f t="shared" ca="1" si="306"/>
        <v>VIGENTE</v>
      </c>
      <c r="GR121" s="14">
        <v>44571</v>
      </c>
      <c r="GS121" s="14">
        <v>45283</v>
      </c>
      <c r="GT121" s="14">
        <f t="shared" si="307"/>
        <v>47110</v>
      </c>
      <c r="GU121" s="65">
        <f t="shared" ca="1" si="398"/>
        <v>979</v>
      </c>
      <c r="GV121" s="15" t="str">
        <f t="shared" ca="1" si="411"/>
        <v>VIGENTE</v>
      </c>
      <c r="GW121" s="13">
        <v>44571</v>
      </c>
      <c r="GX121" s="14">
        <v>45245</v>
      </c>
      <c r="GY121" s="14">
        <f t="shared" si="309"/>
        <v>47072</v>
      </c>
      <c r="GZ121" s="65">
        <f t="shared" ca="1" si="310"/>
        <v>941</v>
      </c>
      <c r="HA121" s="15" t="str">
        <f t="shared" ca="1" si="418"/>
        <v>VIGENTE</v>
      </c>
      <c r="HB121" s="13">
        <v>44565</v>
      </c>
      <c r="HC121" s="14">
        <v>45251</v>
      </c>
      <c r="HD121" s="14">
        <f t="shared" si="312"/>
        <v>47078</v>
      </c>
      <c r="HE121" s="65">
        <f t="shared" ca="1" si="313"/>
        <v>947</v>
      </c>
      <c r="HF121" s="15" t="str">
        <f t="shared" ca="1" si="413"/>
        <v>VIGENTE</v>
      </c>
      <c r="HG121" s="16"/>
      <c r="HH121" s="14">
        <v>44879</v>
      </c>
      <c r="HI121" s="14">
        <f t="shared" si="420"/>
        <v>46705</v>
      </c>
      <c r="HJ121" s="65">
        <f t="shared" ca="1" si="421"/>
        <v>574</v>
      </c>
      <c r="HK121" s="15" t="str">
        <f t="shared" ca="1" si="419"/>
        <v>VIGENTE</v>
      </c>
      <c r="HL121" s="13">
        <v>44634</v>
      </c>
      <c r="HM121" s="14">
        <v>45368</v>
      </c>
      <c r="HN121" s="14">
        <f>DATE(YEAR(HM121)+5,MONTH(HM121),DAY(HM121))</f>
        <v>47194</v>
      </c>
      <c r="HO121" s="65">
        <f ca="1">HN121-TODAY()</f>
        <v>1063</v>
      </c>
      <c r="HP121" s="15" t="str">
        <f t="shared" ca="1" si="400"/>
        <v>VIGENTE</v>
      </c>
      <c r="HQ121" s="12"/>
      <c r="HR121" s="13">
        <v>45374</v>
      </c>
      <c r="HS121" s="14">
        <f>DATE(YEAR(HR121)+5,MONTH(HR121),DAY(HR121))</f>
        <v>47200</v>
      </c>
      <c r="HT121" s="65">
        <f ca="1">HS121-TODAY()</f>
        <v>1069</v>
      </c>
      <c r="HU121" s="15" t="str">
        <f t="shared" ca="1" si="315"/>
        <v>VIGENTE</v>
      </c>
      <c r="HV121" s="13">
        <v>44782</v>
      </c>
      <c r="HW121" s="14">
        <v>45469</v>
      </c>
      <c r="HX121" s="14">
        <f>DATE(YEAR(HW121)+5,MONTH(HW121),DAY(HW121))</f>
        <v>47295</v>
      </c>
      <c r="HY121" s="65">
        <f ca="1">HX121-TODAY()</f>
        <v>1164</v>
      </c>
      <c r="HZ121" s="15" t="str">
        <f t="shared" ca="1" si="316"/>
        <v>VIGENTE</v>
      </c>
      <c r="IA121" s="13">
        <v>44557</v>
      </c>
      <c r="IB121" s="14">
        <v>45223</v>
      </c>
      <c r="IC121" s="14">
        <f>DATE(YEAR(IB121)+5,MONTH(IB121),DAY(IB121))</f>
        <v>47050</v>
      </c>
      <c r="ID121" s="65">
        <f ca="1">IC121-TODAY()</f>
        <v>919</v>
      </c>
      <c r="IE121" s="15" t="str">
        <f t="shared" ca="1" si="317"/>
        <v>VIGENTE</v>
      </c>
      <c r="IF121" s="13">
        <v>44558</v>
      </c>
      <c r="IG121" s="14">
        <v>45264</v>
      </c>
      <c r="IH121" s="14">
        <f>DATE(YEAR(IG121)+5,MONTH(IG121),DAY(IG121))</f>
        <v>47091</v>
      </c>
      <c r="II121" s="65">
        <f ca="1">IH121-TODAY()</f>
        <v>960</v>
      </c>
      <c r="IJ121" s="15" t="str">
        <f t="shared" ca="1" si="318"/>
        <v>VIGENTE</v>
      </c>
      <c r="IK121" s="14">
        <v>44559</v>
      </c>
      <c r="IL121" s="14">
        <v>45238</v>
      </c>
      <c r="IM121" s="14">
        <f>DATE(YEAR(IL121)+5,MONTH(IL121),DAY(IL121))</f>
        <v>47065</v>
      </c>
      <c r="IN121" s="65">
        <f ca="1">IM121-TODAY()</f>
        <v>934</v>
      </c>
      <c r="IO121" s="15" t="str">
        <f t="shared" ca="1" si="319"/>
        <v>VIGENTE</v>
      </c>
      <c r="IP121" s="13">
        <v>44559</v>
      </c>
      <c r="IQ121" s="14">
        <v>45304</v>
      </c>
      <c r="IR121" s="14">
        <f>DATE(YEAR(IQ121)+5,MONTH(IQ121),DAY(IQ121))</f>
        <v>47131</v>
      </c>
      <c r="IS121" s="65">
        <f ca="1">IR121-TODAY()</f>
        <v>1000</v>
      </c>
      <c r="IT121" s="15" t="str">
        <f t="shared" ca="1" si="320"/>
        <v>VIGENTE</v>
      </c>
      <c r="IU121" s="13">
        <v>44558</v>
      </c>
      <c r="IV121" s="14">
        <v>45191</v>
      </c>
      <c r="IW121" s="14">
        <f>DATE(YEAR(IV121)+5,MONTH(IV121),DAY(IV121))</f>
        <v>47018</v>
      </c>
      <c r="IX121" s="65">
        <f ca="1">IW121-TODAY()</f>
        <v>887</v>
      </c>
      <c r="IY121" s="15" t="str">
        <f t="shared" ca="1" si="321"/>
        <v>VIGENTE</v>
      </c>
      <c r="IZ121" s="13">
        <v>44557</v>
      </c>
      <c r="JA121" s="14">
        <v>45251</v>
      </c>
      <c r="JB121" s="14">
        <f>DATE(YEAR(JA121)+5,MONTH(JA121),DAY(JA121))</f>
        <v>47078</v>
      </c>
      <c r="JC121" s="65">
        <f ca="1">JB121-TODAY()</f>
        <v>947</v>
      </c>
      <c r="JD121" s="15" t="str">
        <f t="shared" ca="1" si="322"/>
        <v>VIGENTE</v>
      </c>
      <c r="JE121" s="13"/>
      <c r="JF121" s="13"/>
      <c r="JG121" s="14"/>
      <c r="JH121" s="65"/>
      <c r="JI121" s="15" t="str">
        <f t="shared" si="323"/>
        <v>NO APLICA</v>
      </c>
      <c r="JJ121" s="16"/>
      <c r="JK121" s="16"/>
      <c r="JL121" s="16"/>
      <c r="JM121" s="15" t="str">
        <f t="shared" si="324"/>
        <v>NO APLICA</v>
      </c>
      <c r="JN121" s="16"/>
      <c r="JO121" s="16"/>
      <c r="JP121" s="16"/>
      <c r="JQ121" s="15" t="str">
        <f t="shared" si="325"/>
        <v>NO APLICA</v>
      </c>
      <c r="JR121" s="16"/>
      <c r="JS121" s="16"/>
      <c r="JT121" s="16"/>
      <c r="JU121" s="16"/>
      <c r="JV121" s="15" t="str">
        <f t="shared" si="326"/>
        <v>NO APLICA</v>
      </c>
      <c r="JW121" s="15"/>
      <c r="JX121" s="15"/>
      <c r="JY121" s="15"/>
      <c r="JZ121" s="15"/>
      <c r="KA121" s="15" t="str">
        <f t="shared" si="327"/>
        <v>NO APLICA</v>
      </c>
      <c r="KB121" s="12"/>
      <c r="KC121" s="14"/>
      <c r="KD121" s="65"/>
      <c r="KE121" s="15" t="str">
        <f t="shared" si="328"/>
        <v>NO APLICA</v>
      </c>
      <c r="KF121" s="12"/>
      <c r="KG121" s="14"/>
      <c r="KH121" s="65"/>
      <c r="KI121" s="15" t="str">
        <f t="shared" si="345"/>
        <v>NO APLICA</v>
      </c>
      <c r="KJ121" s="12"/>
      <c r="KK121" s="14"/>
      <c r="KL121" s="65"/>
      <c r="KM121" s="15" t="str">
        <f t="shared" si="329"/>
        <v>NO APLICA</v>
      </c>
      <c r="KN121" s="13">
        <v>45346</v>
      </c>
      <c r="KO121" s="14">
        <f>DATE(YEAR(KN121)+5,MONTH(KN121),DAY(KN121))</f>
        <v>47173</v>
      </c>
      <c r="KP121" s="65">
        <f ca="1">KO121-TODAY()</f>
        <v>1042</v>
      </c>
      <c r="KQ121" s="15" t="str">
        <f t="shared" ca="1" si="346"/>
        <v>VIGENTE</v>
      </c>
      <c r="KR121" s="14">
        <v>44648</v>
      </c>
      <c r="KS121" s="14">
        <v>44649</v>
      </c>
      <c r="KT121" s="14">
        <f>DATE(YEAR(KS121)+5,MONTH(KS121),DAY(KS121))</f>
        <v>46475</v>
      </c>
      <c r="KU121" s="65">
        <f ca="1">KT121-TODAY()</f>
        <v>344</v>
      </c>
      <c r="KV121" s="15" t="str">
        <f t="shared" ca="1" si="355"/>
        <v>VIGENTE</v>
      </c>
      <c r="KW121" s="16"/>
      <c r="KX121" s="14"/>
      <c r="KY121" s="65"/>
      <c r="KZ121" s="15" t="str">
        <f t="shared" si="347"/>
        <v>NO APLICA</v>
      </c>
      <c r="LA121" s="14">
        <v>44488</v>
      </c>
      <c r="LB121" s="14">
        <v>45516</v>
      </c>
      <c r="LC121" s="14">
        <f>DATE(YEAR(LB121)+2,MONTH(LB121),DAY(LB121))</f>
        <v>46246</v>
      </c>
      <c r="LD121" s="65">
        <f ca="1">LC121-TODAY()</f>
        <v>115</v>
      </c>
      <c r="LE121" s="15" t="str">
        <f t="shared" ca="1" si="330"/>
        <v>VIGENTE</v>
      </c>
      <c r="LF121" s="15"/>
      <c r="LG121" s="15"/>
      <c r="LH121" s="14"/>
      <c r="LI121" s="65"/>
      <c r="LJ121" s="15" t="str">
        <f t="shared" si="356"/>
        <v>NO APLICA</v>
      </c>
      <c r="LK121" s="12"/>
      <c r="LL121" s="16"/>
      <c r="LM121" s="14"/>
      <c r="LN121" s="65"/>
      <c r="LO121" s="15" t="str">
        <f t="shared" si="348"/>
        <v>NO APLICA</v>
      </c>
      <c r="LP121" s="14">
        <v>44984</v>
      </c>
      <c r="LQ121" s="14">
        <v>44986</v>
      </c>
      <c r="LR121" s="14">
        <f>DATE(YEAR(LQ121)+5,MONTH(LQ121),DAY(LQ121))</f>
        <v>46813</v>
      </c>
      <c r="LS121" s="65">
        <f ca="1">LR121-TODAY()</f>
        <v>682</v>
      </c>
      <c r="LT121" s="15" t="str">
        <f t="shared" ca="1" si="349"/>
        <v>VIGENTE</v>
      </c>
      <c r="LU121" s="14">
        <v>44987</v>
      </c>
      <c r="LV121" s="14">
        <v>44988</v>
      </c>
      <c r="LW121" s="14">
        <f>DATE(YEAR(LV121)+5,MONTH(LV121),DAY(LV121))</f>
        <v>46815</v>
      </c>
      <c r="LX121" s="65">
        <f ca="1">LW121-TODAY()</f>
        <v>684</v>
      </c>
      <c r="LY121" s="15" t="str">
        <f t="shared" ca="1" si="350"/>
        <v>VIGENTE</v>
      </c>
      <c r="LZ121" s="12"/>
      <c r="MA121" s="12"/>
      <c r="MB121" s="14"/>
      <c r="MC121" s="65"/>
      <c r="MD121" s="15" t="str">
        <f t="shared" si="331"/>
        <v>NO APLICA</v>
      </c>
      <c r="ME121" s="12"/>
      <c r="MF121" s="12"/>
      <c r="MG121" s="14"/>
      <c r="MH121" s="65"/>
      <c r="MI121" s="15" t="str">
        <f t="shared" si="332"/>
        <v>NO APLICA</v>
      </c>
      <c r="MJ121" s="13">
        <v>45154</v>
      </c>
      <c r="MK121" s="14">
        <f>DATE(YEAR(MJ121)+5,MONTH(MJ121),DAY(MJ121))</f>
        <v>46981</v>
      </c>
      <c r="ML121" s="65">
        <f ca="1">MK121-TODAY()</f>
        <v>850</v>
      </c>
      <c r="MM121" s="15" t="str">
        <f t="shared" ca="1" si="333"/>
        <v>VIGENTE</v>
      </c>
      <c r="MN121" s="13">
        <v>45155</v>
      </c>
      <c r="MO121" s="14">
        <f>DATE(YEAR(MN121)+5,MONTH(MN121),DAY(MN121))</f>
        <v>46982</v>
      </c>
      <c r="MP121" s="65">
        <f ca="1">MO121-TODAY()</f>
        <v>851</v>
      </c>
      <c r="MQ121" s="15" t="str">
        <f t="shared" ca="1" si="334"/>
        <v>VIGENTE</v>
      </c>
      <c r="MR121" s="12"/>
      <c r="MS121" s="14">
        <v>44834</v>
      </c>
      <c r="MT121" s="14">
        <f>DATE(YEAR(MS121)+5,MONTH(MS121),DAY(MS121))</f>
        <v>46660</v>
      </c>
      <c r="MU121" s="65">
        <f ca="1">MT121-TODAY()</f>
        <v>529</v>
      </c>
      <c r="MV121" s="15" t="str">
        <f t="shared" ca="1" si="335"/>
        <v>VIGENTE</v>
      </c>
      <c r="MW121" s="12"/>
      <c r="MX121" s="14">
        <v>44835</v>
      </c>
      <c r="MY121" s="14">
        <f>DATE(YEAR(MX121)+5,MONTH(MX121),DAY(MX121))</f>
        <v>46661</v>
      </c>
      <c r="MZ121" s="65">
        <f ca="1">MY121-TODAY()</f>
        <v>530</v>
      </c>
      <c r="NA121" s="15" t="str">
        <f t="shared" ca="1" si="336"/>
        <v>VIGENTE</v>
      </c>
      <c r="NB121" s="12"/>
      <c r="NC121" s="14"/>
      <c r="ND121" s="14"/>
      <c r="NE121" s="65"/>
      <c r="NF121" s="15" t="str">
        <f t="shared" si="337"/>
        <v>NO APLICA</v>
      </c>
      <c r="NG121" s="12"/>
      <c r="NH121" s="12"/>
      <c r="NI121" s="14"/>
      <c r="NJ121" s="65"/>
      <c r="NK121" s="15" t="str">
        <f t="shared" si="338"/>
        <v>NO APLICA</v>
      </c>
      <c r="NL121" s="12"/>
      <c r="NM121" s="12"/>
      <c r="NN121" s="14"/>
      <c r="NO121" s="12"/>
      <c r="NP121" s="15" t="str">
        <f t="shared" si="339"/>
        <v>NO APLICA</v>
      </c>
      <c r="NQ121" s="16"/>
      <c r="NR121" s="16"/>
      <c r="NS121" s="14"/>
      <c r="NT121" s="65"/>
      <c r="NU121" s="15" t="str">
        <f t="shared" si="340"/>
        <v>NO APLICA</v>
      </c>
      <c r="NV121" s="16"/>
      <c r="NW121" s="16"/>
      <c r="NX121" s="16"/>
      <c r="NY121" s="16"/>
      <c r="NZ121" s="15" t="str">
        <f t="shared" si="341"/>
        <v>NO APLICA</v>
      </c>
    </row>
    <row r="122" spans="1:390" ht="15.6" thickTop="1" thickBot="1" x14ac:dyDescent="0.35">
      <c r="A122" s="9">
        <v>1421</v>
      </c>
      <c r="B122" s="10" t="s">
        <v>464</v>
      </c>
      <c r="C122" s="21" t="s">
        <v>104</v>
      </c>
      <c r="D122" s="64" t="s">
        <v>193</v>
      </c>
      <c r="E122" s="15"/>
      <c r="F122" s="16"/>
      <c r="G122" s="14"/>
      <c r="H122" s="65"/>
      <c r="I122" s="15" t="str">
        <f t="shared" si="235"/>
        <v>NO APLICA</v>
      </c>
      <c r="J122" s="15"/>
      <c r="K122" s="16"/>
      <c r="L122" s="16"/>
      <c r="M122" s="65"/>
      <c r="N122" s="15" t="str">
        <f t="shared" si="236"/>
        <v>NO APLICA</v>
      </c>
      <c r="O122" s="16"/>
      <c r="P122" s="16"/>
      <c r="Q122" s="14"/>
      <c r="R122" s="65"/>
      <c r="S122" s="15" t="str">
        <f t="shared" si="342"/>
        <v>NO APLICA</v>
      </c>
      <c r="T122" s="12" t="s">
        <v>465</v>
      </c>
      <c r="U122" s="14">
        <v>45499</v>
      </c>
      <c r="V122" s="14">
        <v>45500</v>
      </c>
      <c r="W122" s="14">
        <f t="shared" si="401"/>
        <v>47326</v>
      </c>
      <c r="X122" s="65">
        <f t="shared" ca="1" si="402"/>
        <v>1195</v>
      </c>
      <c r="Y122" s="15" t="str">
        <f t="shared" ca="1" si="403"/>
        <v>VIGENTE</v>
      </c>
      <c r="Z122" s="12" t="s">
        <v>466</v>
      </c>
      <c r="AA122" s="14">
        <v>44825</v>
      </c>
      <c r="AB122" s="14">
        <v>44826</v>
      </c>
      <c r="AC122" s="14">
        <f t="shared" si="422"/>
        <v>46652</v>
      </c>
      <c r="AD122" s="65">
        <f t="shared" ca="1" si="423"/>
        <v>521</v>
      </c>
      <c r="AE122" s="15" t="str">
        <f t="shared" ca="1" si="424"/>
        <v>VIGENTE</v>
      </c>
      <c r="AF122" s="13">
        <v>44932</v>
      </c>
      <c r="AG122" s="14">
        <v>45589</v>
      </c>
      <c r="AH122" s="14">
        <f t="shared" si="425"/>
        <v>46318</v>
      </c>
      <c r="AI122" s="65">
        <f t="shared" ca="1" si="241"/>
        <v>187</v>
      </c>
      <c r="AJ122" s="15" t="str">
        <f t="shared" ca="1" si="399"/>
        <v>VIGENTE</v>
      </c>
      <c r="AK122" s="13">
        <v>45269</v>
      </c>
      <c r="AL122" s="14">
        <v>45926</v>
      </c>
      <c r="AM122" s="14">
        <f>DATE(YEAR(AL122)+2,MONTH(AL122),DAY(AL122))</f>
        <v>46656</v>
      </c>
      <c r="AN122" s="65">
        <f t="shared" ca="1" si="242"/>
        <v>525</v>
      </c>
      <c r="AO122" s="15" t="str">
        <f t="shared" ca="1" si="243"/>
        <v>VIGENTE</v>
      </c>
      <c r="AP122" s="13">
        <v>45326</v>
      </c>
      <c r="AQ122" s="14">
        <v>45971</v>
      </c>
      <c r="AR122" s="14">
        <f>DATE(YEAR(AQ122)+2,MONTH(AQ122),DAY(AQ122))</f>
        <v>46701</v>
      </c>
      <c r="AS122" s="65">
        <f t="shared" ca="1" si="244"/>
        <v>570</v>
      </c>
      <c r="AT122" s="15" t="str">
        <f t="shared" ca="1" si="245"/>
        <v>VIGENTE</v>
      </c>
      <c r="AU122" s="13">
        <v>45323</v>
      </c>
      <c r="AV122" s="14">
        <v>45972</v>
      </c>
      <c r="AW122" s="14">
        <f>DATE(YEAR(AV122)+2,MONTH(AV122),DAY(AV122))</f>
        <v>46702</v>
      </c>
      <c r="AX122" s="65">
        <f t="shared" ca="1" si="246"/>
        <v>571</v>
      </c>
      <c r="AY122" s="15" t="str">
        <f t="shared" ca="1" si="247"/>
        <v>VIGENTE</v>
      </c>
      <c r="AZ122" s="13">
        <v>45387</v>
      </c>
      <c r="BA122" s="14">
        <v>46041</v>
      </c>
      <c r="BB122" s="14">
        <f>DATE(YEAR(BA122)+2,MONTH(BA122),DAY(BA122))</f>
        <v>46771</v>
      </c>
      <c r="BC122" s="65">
        <f t="shared" ca="1" si="248"/>
        <v>640</v>
      </c>
      <c r="BD122" s="15" t="str">
        <f t="shared" ca="1" si="249"/>
        <v>VIGENTE</v>
      </c>
      <c r="BE122" s="13">
        <v>44734</v>
      </c>
      <c r="BF122" s="14">
        <v>46067</v>
      </c>
      <c r="BG122" s="14">
        <f t="shared" si="436"/>
        <v>46797</v>
      </c>
      <c r="BH122" s="65">
        <f t="shared" ca="1" si="250"/>
        <v>666</v>
      </c>
      <c r="BI122" s="15" t="str">
        <f t="shared" ca="1" si="251"/>
        <v>VIGENTE</v>
      </c>
      <c r="BJ122" s="13">
        <v>44721</v>
      </c>
      <c r="BK122" s="14">
        <v>46056</v>
      </c>
      <c r="BL122" s="14">
        <f>DATE(YEAR(BK122)+2,MONTH(BK122),DAY(BK122))</f>
        <v>46786</v>
      </c>
      <c r="BM122" s="65">
        <f t="shared" ca="1" si="252"/>
        <v>655</v>
      </c>
      <c r="BN122" s="15" t="str">
        <f t="shared" ca="1" si="253"/>
        <v>VIGENTE</v>
      </c>
      <c r="BO122" s="13">
        <v>44749</v>
      </c>
      <c r="BP122" s="14">
        <v>45478</v>
      </c>
      <c r="BQ122" s="14">
        <f>DATE(YEAR(BP122)+2,MONTH(BP122),DAY(BP122)-1)</f>
        <v>46207</v>
      </c>
      <c r="BR122" s="65">
        <f t="shared" ca="1" si="254"/>
        <v>76</v>
      </c>
      <c r="BS122" s="15" t="str">
        <f t="shared" ca="1" si="255"/>
        <v>POR VENCER</v>
      </c>
      <c r="BT122" s="13">
        <v>44735</v>
      </c>
      <c r="BU122" s="14">
        <v>46063</v>
      </c>
      <c r="BV122" s="14">
        <f>DATE(YEAR(BU122)+2,MONTH(BU122),DAY(BU122))</f>
        <v>46793</v>
      </c>
      <c r="BW122" s="65">
        <f t="shared" ca="1" si="256"/>
        <v>662</v>
      </c>
      <c r="BX122" s="15" t="str">
        <f t="shared" ca="1" si="257"/>
        <v>VIGENTE</v>
      </c>
      <c r="BY122" s="13">
        <v>45300</v>
      </c>
      <c r="BZ122" s="14">
        <v>45954</v>
      </c>
      <c r="CA122" s="14">
        <f>DATE(YEAR(BZ122)+2,MONTH(BZ122),DAY(BZ122))</f>
        <v>46684</v>
      </c>
      <c r="CB122" s="65">
        <f t="shared" ca="1" si="258"/>
        <v>553</v>
      </c>
      <c r="CC122" s="15" t="str">
        <f t="shared" ca="1" si="259"/>
        <v>VIGENTE</v>
      </c>
      <c r="CD122" s="16" t="s">
        <v>108</v>
      </c>
      <c r="CE122" s="14">
        <v>45226</v>
      </c>
      <c r="CF122" s="14">
        <v>45227</v>
      </c>
      <c r="CG122" s="14">
        <f t="shared" si="408"/>
        <v>46688</v>
      </c>
      <c r="CH122" s="65">
        <f t="shared" ca="1" si="409"/>
        <v>557</v>
      </c>
      <c r="CI122" s="15" t="str">
        <f t="shared" ca="1" si="410"/>
        <v>VIGENTE</v>
      </c>
      <c r="CJ122" s="14">
        <v>45085</v>
      </c>
      <c r="CK122" s="14">
        <v>45723</v>
      </c>
      <c r="CL122" s="14">
        <f t="shared" si="426"/>
        <v>46452</v>
      </c>
      <c r="CM122" s="65">
        <f t="shared" ca="1" si="263"/>
        <v>321</v>
      </c>
      <c r="CN122" s="15" t="str">
        <f t="shared" ca="1" si="264"/>
        <v>VIGENTE</v>
      </c>
      <c r="CO122" s="13">
        <v>45050</v>
      </c>
      <c r="CP122" s="14">
        <v>45684</v>
      </c>
      <c r="CQ122" s="14">
        <f t="shared" si="427"/>
        <v>46413</v>
      </c>
      <c r="CR122" s="65">
        <f t="shared" ca="1" si="265"/>
        <v>282</v>
      </c>
      <c r="CS122" s="15" t="str">
        <f t="shared" ca="1" si="266"/>
        <v>VIGENTE</v>
      </c>
      <c r="CT122" s="13">
        <v>44971</v>
      </c>
      <c r="CU122" s="14">
        <v>45631</v>
      </c>
      <c r="CV122" s="14">
        <f t="shared" si="428"/>
        <v>46360</v>
      </c>
      <c r="CW122" s="65">
        <f t="shared" ca="1" si="267"/>
        <v>229</v>
      </c>
      <c r="CX122" s="15" t="str">
        <f t="shared" ca="1" si="268"/>
        <v>VIGENTE</v>
      </c>
      <c r="CY122" s="13">
        <v>44995</v>
      </c>
      <c r="CZ122" s="14">
        <v>45665</v>
      </c>
      <c r="DA122" s="14">
        <f>DATE(YEAR(CZ122)+2,MONTH(CZ122),DAY(CZ122)-1)</f>
        <v>46394</v>
      </c>
      <c r="DB122" s="65">
        <f t="shared" ca="1" si="269"/>
        <v>263</v>
      </c>
      <c r="DC122" s="15" t="str">
        <f t="shared" ca="1" si="270"/>
        <v>VIGENTE</v>
      </c>
      <c r="DD122" s="13">
        <v>45020</v>
      </c>
      <c r="DE122" s="14">
        <v>45689</v>
      </c>
      <c r="DF122" s="14">
        <f t="shared" si="429"/>
        <v>46418</v>
      </c>
      <c r="DG122" s="65">
        <f t="shared" ca="1" si="271"/>
        <v>287</v>
      </c>
      <c r="DH122" s="15" t="str">
        <f t="shared" ca="1" si="272"/>
        <v>VIGENTE</v>
      </c>
      <c r="DI122" s="13">
        <v>45296</v>
      </c>
      <c r="DJ122" s="14">
        <v>45955</v>
      </c>
      <c r="DK122" s="14">
        <f>DATE(YEAR(DJ122)+2,MONTH(DJ122),DAY(DJ122))</f>
        <v>46685</v>
      </c>
      <c r="DL122" s="65">
        <f t="shared" ca="1" si="273"/>
        <v>554</v>
      </c>
      <c r="DM122" s="15" t="str">
        <f t="shared" ca="1" si="274"/>
        <v>VIGENTE</v>
      </c>
      <c r="DN122" s="13">
        <v>44691</v>
      </c>
      <c r="DO122" s="14">
        <v>46007</v>
      </c>
      <c r="DP122" s="14">
        <f>DATE(YEAR(DO122)+2,MONTH(DO122),DAY(DO122))</f>
        <v>46737</v>
      </c>
      <c r="DQ122" s="65">
        <f t="shared" ca="1" si="275"/>
        <v>606</v>
      </c>
      <c r="DR122" s="15" t="str">
        <f t="shared" ca="1" si="276"/>
        <v>VIGENTE</v>
      </c>
      <c r="DS122" s="13">
        <v>44734</v>
      </c>
      <c r="DT122" s="14">
        <v>46053</v>
      </c>
      <c r="DU122" s="14">
        <f>DATE(YEAR(DT122)+2,MONTH(DT122),DAY(DT122))</f>
        <v>46783</v>
      </c>
      <c r="DV122" s="65">
        <f t="shared" ca="1" si="277"/>
        <v>652</v>
      </c>
      <c r="DW122" s="15" t="str">
        <f t="shared" ca="1" si="278"/>
        <v>VIGENTE</v>
      </c>
      <c r="DX122" s="13">
        <v>45064</v>
      </c>
      <c r="DY122" s="14">
        <v>45682</v>
      </c>
      <c r="DZ122" s="14">
        <f t="shared" si="430"/>
        <v>46411</v>
      </c>
      <c r="EA122" s="65">
        <f t="shared" ca="1" si="279"/>
        <v>280</v>
      </c>
      <c r="EB122" s="15" t="str">
        <f t="shared" ca="1" si="280"/>
        <v>VIGENTE</v>
      </c>
      <c r="EC122" s="13">
        <v>45040</v>
      </c>
      <c r="ED122" s="14">
        <v>45674</v>
      </c>
      <c r="EE122" s="14">
        <f t="shared" si="431"/>
        <v>46403</v>
      </c>
      <c r="EF122" s="65">
        <f t="shared" ca="1" si="281"/>
        <v>272</v>
      </c>
      <c r="EG122" s="15" t="str">
        <f t="shared" ca="1" si="282"/>
        <v>VIGENTE</v>
      </c>
      <c r="EH122" s="14">
        <v>45057</v>
      </c>
      <c r="EI122" s="13">
        <v>45946</v>
      </c>
      <c r="EJ122" s="13">
        <v>45947</v>
      </c>
      <c r="EK122" s="14">
        <v>45948</v>
      </c>
      <c r="EL122" s="14">
        <f t="shared" si="344"/>
        <v>46313</v>
      </c>
      <c r="EM122" s="65">
        <f t="shared" ca="1" si="283"/>
        <v>182</v>
      </c>
      <c r="EN122" s="15" t="str">
        <f t="shared" ca="1" si="284"/>
        <v>VIGENTE</v>
      </c>
      <c r="EO122" s="13">
        <v>45092</v>
      </c>
      <c r="EP122" s="14">
        <v>45737</v>
      </c>
      <c r="EQ122" s="14">
        <f t="shared" si="432"/>
        <v>46466</v>
      </c>
      <c r="ER122" s="65">
        <f t="shared" ca="1" si="285"/>
        <v>335</v>
      </c>
      <c r="ES122" s="15" t="str">
        <f t="shared" ca="1" si="286"/>
        <v>VIGENTE</v>
      </c>
      <c r="ET122" s="13">
        <v>44732</v>
      </c>
      <c r="EU122" s="14">
        <v>46094</v>
      </c>
      <c r="EV122" s="14">
        <f>DATE(YEAR(EU122)+2,MONTH(EU122),DAY(EU122))</f>
        <v>46825</v>
      </c>
      <c r="EW122" s="65">
        <f t="shared" ca="1" si="287"/>
        <v>694</v>
      </c>
      <c r="EX122" s="15" t="str">
        <f t="shared" ca="1" si="288"/>
        <v>VIGENTE</v>
      </c>
      <c r="EY122" s="13">
        <v>44636</v>
      </c>
      <c r="EZ122" s="14">
        <v>45953</v>
      </c>
      <c r="FA122" s="14">
        <f>DATE(YEAR(EZ122)+2,MONTH(EZ122),DAY(EZ122))</f>
        <v>46683</v>
      </c>
      <c r="FB122" s="65">
        <f t="shared" ca="1" si="289"/>
        <v>552</v>
      </c>
      <c r="FC122" s="15" t="str">
        <f t="shared" ca="1" si="290"/>
        <v>VIGENTE</v>
      </c>
      <c r="FD122" s="13">
        <v>44636</v>
      </c>
      <c r="FE122" s="14">
        <v>45951</v>
      </c>
      <c r="FF122" s="14">
        <f>DATE(YEAR(FE122)+2,MONTH(FE122),DAY(FE122))</f>
        <v>46681</v>
      </c>
      <c r="FG122" s="65">
        <f t="shared" ca="1" si="291"/>
        <v>550</v>
      </c>
      <c r="FH122" s="15" t="str">
        <f t="shared" ca="1" si="292"/>
        <v>VIGENTE</v>
      </c>
      <c r="FI122" s="13">
        <v>44637</v>
      </c>
      <c r="FJ122" s="14">
        <v>45992</v>
      </c>
      <c r="FK122" s="14">
        <f>DATE(YEAR(FJ122)+2,MONTH(FJ122),DAY(FJ122))</f>
        <v>46722</v>
      </c>
      <c r="FL122" s="65">
        <f t="shared" ca="1" si="293"/>
        <v>591</v>
      </c>
      <c r="FM122" s="15" t="str">
        <f t="shared" ca="1" si="294"/>
        <v>VIGENTE</v>
      </c>
      <c r="FN122" s="13">
        <v>45084</v>
      </c>
      <c r="FO122" s="14">
        <v>45738</v>
      </c>
      <c r="FP122" s="14">
        <f t="shared" si="433"/>
        <v>46467</v>
      </c>
      <c r="FQ122" s="65">
        <f t="shared" ca="1" si="295"/>
        <v>336</v>
      </c>
      <c r="FR122" s="15" t="str">
        <f t="shared" ca="1" si="296"/>
        <v>VIGENTE</v>
      </c>
      <c r="FS122" s="13">
        <v>45078</v>
      </c>
      <c r="FT122" s="14">
        <v>45724</v>
      </c>
      <c r="FU122" s="14">
        <f t="shared" si="434"/>
        <v>46453</v>
      </c>
      <c r="FV122" s="65">
        <f t="shared" ca="1" si="297"/>
        <v>322</v>
      </c>
      <c r="FW122" s="15" t="str">
        <f t="shared" ca="1" si="298"/>
        <v>VIGENTE</v>
      </c>
      <c r="FX122" s="13">
        <v>44637</v>
      </c>
      <c r="FY122" s="14">
        <v>46014</v>
      </c>
      <c r="FZ122" s="14">
        <f>DATE(YEAR(FY122)+2,MONTH(FY122),DAY(FY122))</f>
        <v>46744</v>
      </c>
      <c r="GA122" s="65">
        <f t="shared" ca="1" si="299"/>
        <v>613</v>
      </c>
      <c r="GB122" s="15" t="str">
        <f t="shared" ca="1" si="300"/>
        <v>VIGENTE</v>
      </c>
      <c r="GC122" s="13">
        <v>45396</v>
      </c>
      <c r="GD122" s="14">
        <v>46030</v>
      </c>
      <c r="GE122" s="14">
        <f>DATE(YEAR(GD122)+2,MONTH(GD122),DAY(GD122))</f>
        <v>46760</v>
      </c>
      <c r="GF122" s="65">
        <f t="shared" ca="1" si="301"/>
        <v>629</v>
      </c>
      <c r="GG122" s="15" t="str">
        <f t="shared" ca="1" si="302"/>
        <v>VIGENTE</v>
      </c>
      <c r="GH122" s="13">
        <v>44939</v>
      </c>
      <c r="GI122" s="14">
        <v>45579</v>
      </c>
      <c r="GJ122" s="14">
        <f t="shared" si="435"/>
        <v>46308</v>
      </c>
      <c r="GK122" s="65">
        <f t="shared" ca="1" si="303"/>
        <v>177</v>
      </c>
      <c r="GL122" s="15" t="str">
        <f t="shared" ca="1" si="304"/>
        <v>VIGENTE</v>
      </c>
      <c r="GM122" s="13">
        <v>45259</v>
      </c>
      <c r="GN122" s="14">
        <v>45923</v>
      </c>
      <c r="GO122" s="14">
        <f>DATE(YEAR(GN122)+2,MONTH(GN122),DAY(GN122))</f>
        <v>46653</v>
      </c>
      <c r="GP122" s="65">
        <f t="shared" ca="1" si="305"/>
        <v>522</v>
      </c>
      <c r="GQ122" s="15" t="str">
        <f t="shared" ca="1" si="306"/>
        <v>VIGENTE</v>
      </c>
      <c r="GR122" s="14">
        <v>44572</v>
      </c>
      <c r="GS122" s="14">
        <v>45224</v>
      </c>
      <c r="GT122" s="14">
        <f t="shared" si="307"/>
        <v>47051</v>
      </c>
      <c r="GU122" s="65">
        <f t="shared" ca="1" si="398"/>
        <v>920</v>
      </c>
      <c r="GV122" s="15" t="str">
        <f t="shared" ca="1" si="411"/>
        <v>VIGENTE</v>
      </c>
      <c r="GW122" s="13">
        <v>44574</v>
      </c>
      <c r="GX122" s="14">
        <v>45195</v>
      </c>
      <c r="GY122" s="14">
        <f t="shared" si="309"/>
        <v>47022</v>
      </c>
      <c r="GZ122" s="65">
        <f t="shared" ca="1" si="310"/>
        <v>891</v>
      </c>
      <c r="HA122" s="15" t="str">
        <f t="shared" ca="1" si="418"/>
        <v>VIGENTE</v>
      </c>
      <c r="HB122" s="13">
        <v>44566</v>
      </c>
      <c r="HC122" s="14">
        <v>45268</v>
      </c>
      <c r="HD122" s="14">
        <f t="shared" si="312"/>
        <v>47095</v>
      </c>
      <c r="HE122" s="65">
        <f t="shared" ca="1" si="313"/>
        <v>964</v>
      </c>
      <c r="HF122" s="15" t="str">
        <f t="shared" ca="1" si="413"/>
        <v>VIGENTE</v>
      </c>
      <c r="HG122" s="16"/>
      <c r="HH122" s="14">
        <v>44862</v>
      </c>
      <c r="HI122" s="14">
        <f t="shared" si="420"/>
        <v>46688</v>
      </c>
      <c r="HJ122" s="65">
        <f t="shared" ca="1" si="421"/>
        <v>557</v>
      </c>
      <c r="HK122" s="15" t="str">
        <f t="shared" ca="1" si="419"/>
        <v>VIGENTE</v>
      </c>
      <c r="HL122" s="13">
        <v>44630</v>
      </c>
      <c r="HM122" s="14">
        <v>45414</v>
      </c>
      <c r="HN122" s="14">
        <f>DATE(YEAR(HM122)+5,MONTH(HM122),DAY(HM122))</f>
        <v>47240</v>
      </c>
      <c r="HO122" s="65">
        <f ca="1">HN122-TODAY()</f>
        <v>1109</v>
      </c>
      <c r="HP122" s="15" t="str">
        <f t="shared" ca="1" si="400"/>
        <v>VIGENTE</v>
      </c>
      <c r="HQ122" s="12"/>
      <c r="HR122" s="12"/>
      <c r="HS122" s="14"/>
      <c r="HT122" s="12"/>
      <c r="HU122" s="15" t="str">
        <f t="shared" si="315"/>
        <v>NO APLICA</v>
      </c>
      <c r="HV122" s="13">
        <v>44560</v>
      </c>
      <c r="HW122" s="14">
        <v>45260</v>
      </c>
      <c r="HX122" s="14">
        <f>DATE(YEAR(HW122)+5,MONTH(HW122),DAY(HW122))</f>
        <v>47087</v>
      </c>
      <c r="HY122" s="65">
        <f ca="1">HX122-TODAY()</f>
        <v>956</v>
      </c>
      <c r="HZ122" s="15" t="str">
        <f t="shared" ca="1" si="316"/>
        <v>VIGENTE</v>
      </c>
      <c r="IA122" s="13">
        <v>44557</v>
      </c>
      <c r="IB122" s="14">
        <v>45234</v>
      </c>
      <c r="IC122" s="14">
        <f>DATE(YEAR(IB122)+5,MONTH(IB122),DAY(IB122))</f>
        <v>47061</v>
      </c>
      <c r="ID122" s="65">
        <f ca="1">IC122-TODAY()</f>
        <v>930</v>
      </c>
      <c r="IE122" s="15" t="str">
        <f t="shared" ca="1" si="317"/>
        <v>VIGENTE</v>
      </c>
      <c r="IF122" s="13">
        <v>44558</v>
      </c>
      <c r="IG122" s="14">
        <v>45248</v>
      </c>
      <c r="IH122" s="14">
        <f>DATE(YEAR(IG122)+5,MONTH(IG122),DAY(IG122))</f>
        <v>47075</v>
      </c>
      <c r="II122" s="65">
        <f ca="1">IH122-TODAY()</f>
        <v>944</v>
      </c>
      <c r="IJ122" s="15" t="str">
        <f t="shared" ca="1" si="318"/>
        <v>VIGENTE</v>
      </c>
      <c r="IK122" s="14">
        <v>44559</v>
      </c>
      <c r="IL122" s="14">
        <v>45238</v>
      </c>
      <c r="IM122" s="14">
        <f>DATE(YEAR(IL122)+5,MONTH(IL122),DAY(IL122))</f>
        <v>47065</v>
      </c>
      <c r="IN122" s="65">
        <f ca="1">IM122-TODAY()</f>
        <v>934</v>
      </c>
      <c r="IO122" s="15" t="str">
        <f t="shared" ca="1" si="319"/>
        <v>VIGENTE</v>
      </c>
      <c r="IP122" s="13">
        <v>44559</v>
      </c>
      <c r="IQ122" s="14">
        <v>45239</v>
      </c>
      <c r="IR122" s="14">
        <f>DATE(YEAR(IQ122)+5,MONTH(IQ122),DAY(IQ122))</f>
        <v>47066</v>
      </c>
      <c r="IS122" s="65">
        <f ca="1">IR122-TODAY()</f>
        <v>935</v>
      </c>
      <c r="IT122" s="15" t="str">
        <f t="shared" ca="1" si="320"/>
        <v>VIGENTE</v>
      </c>
      <c r="IU122" s="13">
        <v>44558</v>
      </c>
      <c r="IV122" s="14">
        <v>45240</v>
      </c>
      <c r="IW122" s="14">
        <f>DATE(YEAR(IV122)+5,MONTH(IV122),DAY(IV122))</f>
        <v>47067</v>
      </c>
      <c r="IX122" s="65">
        <f ca="1">IW122-TODAY()</f>
        <v>936</v>
      </c>
      <c r="IY122" s="15" t="str">
        <f t="shared" ca="1" si="321"/>
        <v>VIGENTE</v>
      </c>
      <c r="IZ122" s="13">
        <v>44557</v>
      </c>
      <c r="JA122" s="14">
        <v>45289</v>
      </c>
      <c r="JB122" s="14">
        <f>DATE(YEAR(JA122)+5,MONTH(JA122),DAY(JA122))</f>
        <v>47116</v>
      </c>
      <c r="JC122" s="65">
        <f ca="1">JB122-TODAY()</f>
        <v>985</v>
      </c>
      <c r="JD122" s="15" t="str">
        <f t="shared" ca="1" si="322"/>
        <v>VIGENTE</v>
      </c>
      <c r="JE122" s="13"/>
      <c r="JF122" s="13"/>
      <c r="JG122" s="14"/>
      <c r="JH122" s="65"/>
      <c r="JI122" s="15" t="str">
        <f t="shared" si="323"/>
        <v>NO APLICA</v>
      </c>
      <c r="JJ122" s="16"/>
      <c r="JK122" s="16"/>
      <c r="JL122" s="16"/>
      <c r="JM122" s="15" t="str">
        <f t="shared" si="324"/>
        <v>NO APLICA</v>
      </c>
      <c r="JN122" s="16"/>
      <c r="JO122" s="16"/>
      <c r="JP122" s="16"/>
      <c r="JQ122" s="15" t="str">
        <f t="shared" si="325"/>
        <v>NO APLICA</v>
      </c>
      <c r="JR122" s="16"/>
      <c r="JS122" s="16"/>
      <c r="JT122" s="16"/>
      <c r="JU122" s="16"/>
      <c r="JV122" s="15" t="str">
        <f t="shared" si="326"/>
        <v>NO APLICA</v>
      </c>
      <c r="JW122" s="15"/>
      <c r="JX122" s="15"/>
      <c r="JY122" s="15"/>
      <c r="JZ122" s="15"/>
      <c r="KA122" s="15" t="str">
        <f t="shared" si="327"/>
        <v>NO APLICA</v>
      </c>
      <c r="KB122" s="13">
        <v>45362</v>
      </c>
      <c r="KC122" s="14">
        <f>DATE(YEAR(KB122)+5,MONTH(KB122),DAY(KB122))</f>
        <v>47188</v>
      </c>
      <c r="KD122" s="65">
        <f ca="1">KC122-TODAY()</f>
        <v>1057</v>
      </c>
      <c r="KE122" s="15" t="str">
        <f t="shared" ca="1" si="328"/>
        <v>VIGENTE</v>
      </c>
      <c r="KF122" s="13">
        <v>45328</v>
      </c>
      <c r="KG122" s="14">
        <f>DATE(YEAR(KF122)+5,MONTH(KF122),DAY(KF122)-1)</f>
        <v>47154</v>
      </c>
      <c r="KH122" s="65">
        <f ca="1">KG122-TODAY()</f>
        <v>1023</v>
      </c>
      <c r="KI122" s="15" t="str">
        <f t="shared" ca="1" si="345"/>
        <v>VIGENTE</v>
      </c>
      <c r="KJ122" s="13"/>
      <c r="KK122" s="14"/>
      <c r="KL122" s="65"/>
      <c r="KM122" s="15" t="str">
        <f t="shared" si="329"/>
        <v>NO APLICA</v>
      </c>
      <c r="KN122" s="12"/>
      <c r="KO122" s="14"/>
      <c r="KP122" s="65"/>
      <c r="KQ122" s="15" t="str">
        <f t="shared" si="346"/>
        <v>NO APLICA</v>
      </c>
      <c r="KR122" s="14">
        <v>44657</v>
      </c>
      <c r="KS122" s="14">
        <v>44658</v>
      </c>
      <c r="KT122" s="14">
        <f>DATE(YEAR(KS122)+5,MONTH(KS122),DAY(KS122))</f>
        <v>46484</v>
      </c>
      <c r="KU122" s="65">
        <f ca="1">KT122-TODAY()</f>
        <v>353</v>
      </c>
      <c r="KV122" s="15" t="str">
        <f t="shared" ca="1" si="355"/>
        <v>VIGENTE</v>
      </c>
      <c r="KW122" s="14">
        <v>44614</v>
      </c>
      <c r="KX122" s="14">
        <f>DATE(YEAR(KW122)+5,MONTH(KW122),DAY(KW122))</f>
        <v>46440</v>
      </c>
      <c r="KY122" s="65">
        <f ca="1">KX122-TODAY()</f>
        <v>309</v>
      </c>
      <c r="KZ122" s="15" t="str">
        <f t="shared" ca="1" si="347"/>
        <v>VIGENTE</v>
      </c>
      <c r="LA122" s="16"/>
      <c r="LB122" s="14">
        <v>45530</v>
      </c>
      <c r="LC122" s="14">
        <f>DATE(YEAR(LB122)+2,MONTH(LB122),DAY(LB122))</f>
        <v>46260</v>
      </c>
      <c r="LD122" s="65">
        <f ca="1">LC122-TODAY()</f>
        <v>129</v>
      </c>
      <c r="LE122" s="15" t="str">
        <f t="shared" ca="1" si="330"/>
        <v>VIGENTE</v>
      </c>
      <c r="LF122" s="15"/>
      <c r="LG122" s="15"/>
      <c r="LH122" s="14"/>
      <c r="LI122" s="65"/>
      <c r="LJ122" s="15" t="str">
        <f t="shared" si="356"/>
        <v>NO APLICA</v>
      </c>
      <c r="LK122" s="12"/>
      <c r="LL122" s="16"/>
      <c r="LM122" s="14"/>
      <c r="LN122" s="65"/>
      <c r="LO122" s="15" t="str">
        <f t="shared" si="348"/>
        <v>NO APLICA</v>
      </c>
      <c r="LP122" s="14">
        <v>44984</v>
      </c>
      <c r="LQ122" s="14">
        <v>44986</v>
      </c>
      <c r="LR122" s="14">
        <f>DATE(YEAR(LQ122)+5,MONTH(LQ122),DAY(LQ122))</f>
        <v>46813</v>
      </c>
      <c r="LS122" s="65">
        <f ca="1">LR122-TODAY()</f>
        <v>682</v>
      </c>
      <c r="LT122" s="15" t="str">
        <f t="shared" ca="1" si="349"/>
        <v>VIGENTE</v>
      </c>
      <c r="LU122" s="14">
        <v>44987</v>
      </c>
      <c r="LV122" s="14">
        <v>44988</v>
      </c>
      <c r="LW122" s="14">
        <f>DATE(YEAR(LV122)+5,MONTH(LV122),DAY(LV122))</f>
        <v>46815</v>
      </c>
      <c r="LX122" s="65">
        <f ca="1">LW122-TODAY()</f>
        <v>684</v>
      </c>
      <c r="LY122" s="15" t="str">
        <f t="shared" ca="1" si="350"/>
        <v>VIGENTE</v>
      </c>
      <c r="LZ122" s="12"/>
      <c r="MA122" s="12"/>
      <c r="MB122" s="14"/>
      <c r="MC122" s="65"/>
      <c r="MD122" s="15" t="str">
        <f t="shared" si="331"/>
        <v>NO APLICA</v>
      </c>
      <c r="ME122" s="12"/>
      <c r="MF122" s="12"/>
      <c r="MG122" s="14"/>
      <c r="MH122" s="65"/>
      <c r="MI122" s="15" t="str">
        <f t="shared" si="332"/>
        <v>NO APLICA</v>
      </c>
      <c r="MJ122" s="12"/>
      <c r="MK122" s="14"/>
      <c r="ML122" s="65"/>
      <c r="MM122" s="15" t="str">
        <f t="shared" si="333"/>
        <v>NO APLICA</v>
      </c>
      <c r="MN122" s="12"/>
      <c r="MO122" s="14"/>
      <c r="MP122" s="12"/>
      <c r="MQ122" s="15" t="str">
        <f t="shared" si="334"/>
        <v>NO APLICA</v>
      </c>
      <c r="MR122" s="12"/>
      <c r="MS122" s="14">
        <v>44834</v>
      </c>
      <c r="MT122" s="14">
        <f>DATE(YEAR(MS122)+5,MONTH(MS122),DAY(MS122))</f>
        <v>46660</v>
      </c>
      <c r="MU122" s="65">
        <f ca="1">MT122-TODAY()</f>
        <v>529</v>
      </c>
      <c r="MV122" s="15" t="str">
        <f t="shared" ca="1" si="335"/>
        <v>VIGENTE</v>
      </c>
      <c r="MW122" s="12"/>
      <c r="MX122" s="14">
        <v>44835</v>
      </c>
      <c r="MY122" s="14">
        <f>DATE(YEAR(MX122)+5,MONTH(MX122),DAY(MX122))</f>
        <v>46661</v>
      </c>
      <c r="MZ122" s="65">
        <f ca="1">MY122-TODAY()</f>
        <v>530</v>
      </c>
      <c r="NA122" s="15" t="str">
        <f t="shared" ca="1" si="336"/>
        <v>VIGENTE</v>
      </c>
      <c r="NB122" s="12"/>
      <c r="NC122" s="16"/>
      <c r="ND122" s="14"/>
      <c r="NE122" s="65"/>
      <c r="NF122" s="15" t="str">
        <f t="shared" si="337"/>
        <v>NO APLICA</v>
      </c>
      <c r="NG122" s="13">
        <v>45001</v>
      </c>
      <c r="NH122" s="14">
        <v>45001</v>
      </c>
      <c r="NI122" s="14">
        <f>DATE(YEAR(NH122)+5,MONTH(NH122),DAY(NH122))</f>
        <v>46828</v>
      </c>
      <c r="NJ122" s="65">
        <f ca="1">NI122-TODAY()</f>
        <v>697</v>
      </c>
      <c r="NK122" s="15" t="str">
        <f t="shared" ca="1" si="338"/>
        <v>VIGENTE</v>
      </c>
      <c r="NL122" s="12"/>
      <c r="NM122" s="12"/>
      <c r="NN122" s="14"/>
      <c r="NO122" s="12"/>
      <c r="NP122" s="15" t="str">
        <f t="shared" si="339"/>
        <v>NO APLICA</v>
      </c>
      <c r="NQ122" s="16"/>
      <c r="NR122" s="16"/>
      <c r="NS122" s="14"/>
      <c r="NT122" s="65"/>
      <c r="NU122" s="15" t="str">
        <f t="shared" si="340"/>
        <v>NO APLICA</v>
      </c>
      <c r="NV122" s="16"/>
      <c r="NW122" s="16"/>
      <c r="NX122" s="16"/>
      <c r="NY122" s="16"/>
      <c r="NZ122" s="15" t="str">
        <f t="shared" si="341"/>
        <v>NO APLICA</v>
      </c>
    </row>
    <row r="123" spans="1:390" ht="15.6" thickTop="1" thickBot="1" x14ac:dyDescent="0.35">
      <c r="A123" s="9">
        <v>1617</v>
      </c>
      <c r="B123" s="10" t="s">
        <v>467</v>
      </c>
      <c r="C123" s="21" t="s">
        <v>197</v>
      </c>
      <c r="D123" s="64" t="s">
        <v>198</v>
      </c>
      <c r="E123" s="15"/>
      <c r="F123" s="16"/>
      <c r="G123" s="14"/>
      <c r="H123" s="65"/>
      <c r="I123" s="15" t="str">
        <f t="shared" si="235"/>
        <v>NO APLICA</v>
      </c>
      <c r="J123" s="15"/>
      <c r="K123" s="16"/>
      <c r="L123" s="16"/>
      <c r="M123" s="65"/>
      <c r="N123" s="15" t="str">
        <f t="shared" si="236"/>
        <v>NO APLICA</v>
      </c>
      <c r="O123" s="16"/>
      <c r="P123" s="16"/>
      <c r="Q123" s="14"/>
      <c r="R123" s="65"/>
      <c r="S123" s="15" t="str">
        <f t="shared" si="342"/>
        <v>NO APLICA</v>
      </c>
      <c r="T123" s="12" t="s">
        <v>468</v>
      </c>
      <c r="U123" s="13">
        <v>44771</v>
      </c>
      <c r="V123" s="14">
        <v>44772</v>
      </c>
      <c r="W123" s="14">
        <f t="shared" si="401"/>
        <v>46598</v>
      </c>
      <c r="X123" s="65">
        <f t="shared" ca="1" si="402"/>
        <v>467</v>
      </c>
      <c r="Y123" s="15" t="str">
        <f t="shared" ca="1" si="403"/>
        <v>VIGENTE</v>
      </c>
      <c r="Z123" s="12" t="s">
        <v>469</v>
      </c>
      <c r="AA123" s="13">
        <v>45232</v>
      </c>
      <c r="AB123" s="14">
        <v>45233</v>
      </c>
      <c r="AC123" s="14">
        <f t="shared" si="422"/>
        <v>47060</v>
      </c>
      <c r="AD123" s="65">
        <f t="shared" ca="1" si="423"/>
        <v>929</v>
      </c>
      <c r="AE123" s="15" t="str">
        <f t="shared" ca="1" si="424"/>
        <v>VIGENTE</v>
      </c>
      <c r="AF123" s="13">
        <v>45037</v>
      </c>
      <c r="AG123" s="14">
        <v>45680</v>
      </c>
      <c r="AH123" s="14">
        <f t="shared" si="425"/>
        <v>46409</v>
      </c>
      <c r="AI123" s="65">
        <f t="shared" ca="1" si="241"/>
        <v>278</v>
      </c>
      <c r="AJ123" s="15" t="str">
        <f t="shared" ca="1" si="399"/>
        <v>VIGENTE</v>
      </c>
      <c r="AK123" s="13">
        <v>45044</v>
      </c>
      <c r="AL123" s="14">
        <v>45710</v>
      </c>
      <c r="AM123" s="14">
        <f>DATE(YEAR(AL123)+2,MONTH(AL123),DAY(AL123)-1)</f>
        <v>46439</v>
      </c>
      <c r="AN123" s="65">
        <f t="shared" ca="1" si="242"/>
        <v>308</v>
      </c>
      <c r="AO123" s="15" t="str">
        <f t="shared" ca="1" si="243"/>
        <v>VIGENTE</v>
      </c>
      <c r="AP123" s="12">
        <v>45074</v>
      </c>
      <c r="AQ123" s="14">
        <v>45740</v>
      </c>
      <c r="AR123" s="14">
        <f>DATE(YEAR(AQ123)+2,MONTH(AQ123),DAY(AQ123)-1)</f>
        <v>46469</v>
      </c>
      <c r="AS123" s="65">
        <f t="shared" ca="1" si="244"/>
        <v>338</v>
      </c>
      <c r="AT123" s="15" t="str">
        <f t="shared" ca="1" si="245"/>
        <v>VIGENTE</v>
      </c>
      <c r="AU123" s="13">
        <v>45072</v>
      </c>
      <c r="AV123" s="14">
        <v>45702</v>
      </c>
      <c r="AW123" s="14">
        <f>DATE(YEAR(AV123)+2,MONTH(AV123),DAY(AV123)-1)</f>
        <v>46431</v>
      </c>
      <c r="AX123" s="65">
        <f t="shared" ca="1" si="246"/>
        <v>300</v>
      </c>
      <c r="AY123" s="15" t="str">
        <f t="shared" ca="1" si="247"/>
        <v>VIGENTE</v>
      </c>
      <c r="AZ123" s="13">
        <v>45387</v>
      </c>
      <c r="BA123" s="14">
        <v>46041</v>
      </c>
      <c r="BB123" s="14">
        <f>DATE(YEAR(BA123)+2,MONTH(BA123),DAY(BA123))</f>
        <v>46771</v>
      </c>
      <c r="BC123" s="65">
        <f t="shared" ca="1" si="248"/>
        <v>640</v>
      </c>
      <c r="BD123" s="15" t="str">
        <f t="shared" ca="1" si="249"/>
        <v>VIGENTE</v>
      </c>
      <c r="BE123" s="13">
        <v>45399</v>
      </c>
      <c r="BF123" s="14">
        <v>46027</v>
      </c>
      <c r="BG123" s="14">
        <f t="shared" si="436"/>
        <v>46757</v>
      </c>
      <c r="BH123" s="65">
        <f t="shared" ca="1" si="250"/>
        <v>626</v>
      </c>
      <c r="BI123" s="15" t="str">
        <f t="shared" ca="1" si="251"/>
        <v>VIGENTE</v>
      </c>
      <c r="BJ123" s="13">
        <v>44956</v>
      </c>
      <c r="BK123" s="14">
        <v>45570</v>
      </c>
      <c r="BL123" s="14">
        <f>DATE(YEAR(BK123)+2,MONTH(BK123),DAY(BK123)-1)</f>
        <v>46299</v>
      </c>
      <c r="BM123" s="65">
        <f t="shared" ca="1" si="252"/>
        <v>168</v>
      </c>
      <c r="BN123" s="15" t="str">
        <f t="shared" ca="1" si="253"/>
        <v>VIGENTE</v>
      </c>
      <c r="BO123" s="13">
        <v>45073</v>
      </c>
      <c r="BP123" s="14">
        <v>45701</v>
      </c>
      <c r="BQ123" s="14">
        <f>DATE(YEAR(BP123)+2,MONTH(BP123),DAY(BP123)-1)</f>
        <v>46430</v>
      </c>
      <c r="BR123" s="65">
        <f t="shared" ca="1" si="254"/>
        <v>299</v>
      </c>
      <c r="BS123" s="15" t="str">
        <f t="shared" ca="1" si="255"/>
        <v>VIGENTE</v>
      </c>
      <c r="BT123" s="13">
        <v>44733</v>
      </c>
      <c r="BU123" s="14">
        <v>45455</v>
      </c>
      <c r="BV123" s="14">
        <f>DATE(YEAR(BU123)+2,MONTH(BU123),DAY(BU123)-1)</f>
        <v>46184</v>
      </c>
      <c r="BW123" s="65">
        <f t="shared" ca="1" si="256"/>
        <v>53</v>
      </c>
      <c r="BX123" s="15" t="str">
        <f t="shared" ca="1" si="257"/>
        <v>POR VENCER</v>
      </c>
      <c r="BY123" s="13">
        <v>45063</v>
      </c>
      <c r="BZ123" s="14">
        <v>45730</v>
      </c>
      <c r="CA123" s="14">
        <f>DATE(YEAR(BZ123)+2,MONTH(BZ123),DAY(BZ123)-1)</f>
        <v>46459</v>
      </c>
      <c r="CB123" s="65">
        <f t="shared" ca="1" si="258"/>
        <v>328</v>
      </c>
      <c r="CC123" s="15" t="str">
        <f t="shared" ca="1" si="259"/>
        <v>VIGENTE</v>
      </c>
      <c r="CD123" s="16" t="s">
        <v>102</v>
      </c>
      <c r="CE123" s="14">
        <v>45831</v>
      </c>
      <c r="CF123" s="14">
        <v>45832</v>
      </c>
      <c r="CG123" s="14">
        <f t="shared" si="408"/>
        <v>47293</v>
      </c>
      <c r="CH123" s="65">
        <f t="shared" ca="1" si="409"/>
        <v>1162</v>
      </c>
      <c r="CI123" s="15" t="str">
        <f t="shared" ca="1" si="410"/>
        <v>VIGENTE</v>
      </c>
      <c r="CJ123" s="14">
        <v>44908</v>
      </c>
      <c r="CK123" s="14">
        <v>45511</v>
      </c>
      <c r="CL123" s="14">
        <f t="shared" si="426"/>
        <v>46240</v>
      </c>
      <c r="CM123" s="65">
        <f t="shared" ca="1" si="263"/>
        <v>109</v>
      </c>
      <c r="CN123" s="15" t="str">
        <f t="shared" ca="1" si="264"/>
        <v>VIGENTE</v>
      </c>
      <c r="CO123" s="13">
        <v>44909</v>
      </c>
      <c r="CP123" s="14">
        <v>45517</v>
      </c>
      <c r="CQ123" s="14">
        <f t="shared" si="427"/>
        <v>46246</v>
      </c>
      <c r="CR123" s="65">
        <f t="shared" ca="1" si="265"/>
        <v>115</v>
      </c>
      <c r="CS123" s="15" t="str">
        <f t="shared" ca="1" si="266"/>
        <v>VIGENTE</v>
      </c>
      <c r="CT123" s="13">
        <v>44961</v>
      </c>
      <c r="CU123" s="14">
        <v>45624</v>
      </c>
      <c r="CV123" s="14">
        <f t="shared" si="428"/>
        <v>46353</v>
      </c>
      <c r="CW123" s="65">
        <f t="shared" ca="1" si="267"/>
        <v>222</v>
      </c>
      <c r="CX123" s="15" t="str">
        <f t="shared" ca="1" si="268"/>
        <v>VIGENTE</v>
      </c>
      <c r="CY123" s="13">
        <v>44995</v>
      </c>
      <c r="CZ123" s="14">
        <v>45665</v>
      </c>
      <c r="DA123" s="14">
        <f>DATE(YEAR(CZ123)+2,MONTH(CZ123),DAY(CZ123)-1)</f>
        <v>46394</v>
      </c>
      <c r="DB123" s="65">
        <f t="shared" ca="1" si="269"/>
        <v>263</v>
      </c>
      <c r="DC123" s="15" t="str">
        <f t="shared" ca="1" si="270"/>
        <v>VIGENTE</v>
      </c>
      <c r="DD123" s="13">
        <v>44910</v>
      </c>
      <c r="DE123" s="14">
        <v>45549</v>
      </c>
      <c r="DF123" s="14">
        <f t="shared" si="429"/>
        <v>46278</v>
      </c>
      <c r="DG123" s="65">
        <f t="shared" ca="1" si="271"/>
        <v>147</v>
      </c>
      <c r="DH123" s="15" t="str">
        <f t="shared" ca="1" si="272"/>
        <v>VIGENTE</v>
      </c>
      <c r="DI123" s="13">
        <v>44914</v>
      </c>
      <c r="DJ123" s="14">
        <v>45580</v>
      </c>
      <c r="DK123" s="14">
        <f>DATE(YEAR(DJ123)+2,MONTH(DJ123),DAY(DJ123)-1)</f>
        <v>46309</v>
      </c>
      <c r="DL123" s="65">
        <f t="shared" ca="1" si="273"/>
        <v>178</v>
      </c>
      <c r="DM123" s="15" t="str">
        <f t="shared" ca="1" si="274"/>
        <v>VIGENTE</v>
      </c>
      <c r="DN123" s="13">
        <v>44918</v>
      </c>
      <c r="DO123" s="14">
        <v>45590</v>
      </c>
      <c r="DP123" s="14">
        <f>DATE(YEAR(DO123)+2,MONTH(DO123),DAY(DO123)-1)</f>
        <v>46319</v>
      </c>
      <c r="DQ123" s="65">
        <f t="shared" ca="1" si="275"/>
        <v>188</v>
      </c>
      <c r="DR123" s="15" t="str">
        <f t="shared" ca="1" si="276"/>
        <v>VIGENTE</v>
      </c>
      <c r="DS123" s="13">
        <v>44734</v>
      </c>
      <c r="DT123" s="14">
        <v>46053</v>
      </c>
      <c r="DU123" s="14">
        <f>DATE(YEAR(DT123)+2,MONTH(DT123),DAY(DT123))</f>
        <v>46783</v>
      </c>
      <c r="DV123" s="65">
        <f t="shared" ca="1" si="277"/>
        <v>652</v>
      </c>
      <c r="DW123" s="15" t="str">
        <f t="shared" ca="1" si="278"/>
        <v>VIGENTE</v>
      </c>
      <c r="DX123" s="13">
        <v>45064</v>
      </c>
      <c r="DY123" s="14">
        <v>45663</v>
      </c>
      <c r="DZ123" s="14">
        <f t="shared" si="430"/>
        <v>46392</v>
      </c>
      <c r="EA123" s="65">
        <f t="shared" ca="1" si="279"/>
        <v>261</v>
      </c>
      <c r="EB123" s="15" t="str">
        <f t="shared" ca="1" si="280"/>
        <v>VIGENTE</v>
      </c>
      <c r="EC123" s="13">
        <v>45040</v>
      </c>
      <c r="ED123" s="14">
        <v>45674</v>
      </c>
      <c r="EE123" s="14">
        <f t="shared" si="431"/>
        <v>46403</v>
      </c>
      <c r="EF123" s="65">
        <f t="shared" ca="1" si="281"/>
        <v>272</v>
      </c>
      <c r="EG123" s="15" t="str">
        <f t="shared" ca="1" si="282"/>
        <v>VIGENTE</v>
      </c>
      <c r="EH123" s="13">
        <v>45059</v>
      </c>
      <c r="EI123" s="13">
        <v>46105</v>
      </c>
      <c r="EJ123" s="13">
        <v>46106</v>
      </c>
      <c r="EK123" s="13">
        <v>46107</v>
      </c>
      <c r="EL123" s="14">
        <f t="shared" si="344"/>
        <v>46472</v>
      </c>
      <c r="EM123" s="65">
        <f t="shared" ca="1" si="283"/>
        <v>341</v>
      </c>
      <c r="EN123" s="15" t="str">
        <f t="shared" ca="1" si="284"/>
        <v>VIGENTE</v>
      </c>
      <c r="EO123" s="13">
        <v>45042</v>
      </c>
      <c r="EP123" s="14">
        <v>45660</v>
      </c>
      <c r="EQ123" s="14">
        <f t="shared" si="432"/>
        <v>46389</v>
      </c>
      <c r="ER123" s="65">
        <f t="shared" ca="1" si="285"/>
        <v>258</v>
      </c>
      <c r="ES123" s="15" t="str">
        <f t="shared" ca="1" si="286"/>
        <v>VIGENTE</v>
      </c>
      <c r="ET123" s="13">
        <v>44732</v>
      </c>
      <c r="EU123" s="14">
        <v>46094</v>
      </c>
      <c r="EV123" s="14">
        <f>DATE(YEAR(EU123)+2,MONTH(EU123),DAY(EU123))</f>
        <v>46825</v>
      </c>
      <c r="EW123" s="65">
        <f t="shared" ca="1" si="287"/>
        <v>694</v>
      </c>
      <c r="EX123" s="15" t="str">
        <f t="shared" ca="1" si="288"/>
        <v>VIGENTE</v>
      </c>
      <c r="EY123" s="13">
        <v>45035</v>
      </c>
      <c r="EZ123" s="14">
        <v>45694</v>
      </c>
      <c r="FA123" s="14">
        <f>DATE(YEAR(EZ123)+2,MONTH(EZ123),DAY(EZ123)-1)</f>
        <v>46423</v>
      </c>
      <c r="FB123" s="65">
        <f t="shared" ca="1" si="289"/>
        <v>292</v>
      </c>
      <c r="FC123" s="15" t="str">
        <f t="shared" ca="1" si="290"/>
        <v>VIGENTE</v>
      </c>
      <c r="FD123" s="13">
        <v>45002</v>
      </c>
      <c r="FE123" s="14">
        <v>45666</v>
      </c>
      <c r="FF123" s="14">
        <f>DATE(YEAR(FE123)+2,MONTH(FE123),DAY(FE123)-1)</f>
        <v>46395</v>
      </c>
      <c r="FG123" s="65">
        <f t="shared" ca="1" si="291"/>
        <v>264</v>
      </c>
      <c r="FH123" s="15" t="str">
        <f t="shared" ca="1" si="292"/>
        <v>VIGENTE</v>
      </c>
      <c r="FI123" s="13">
        <v>45001</v>
      </c>
      <c r="FJ123" s="14">
        <v>45668</v>
      </c>
      <c r="FK123" s="14">
        <f>DATE(YEAR(FJ123)+2,MONTH(FJ123),DAY(FJ123)-1)</f>
        <v>46397</v>
      </c>
      <c r="FL123" s="65">
        <f t="shared" ca="1" si="293"/>
        <v>266</v>
      </c>
      <c r="FM123" s="15" t="str">
        <f t="shared" ca="1" si="294"/>
        <v>VIGENTE</v>
      </c>
      <c r="FN123" s="13">
        <v>44905</v>
      </c>
      <c r="FO123" s="14">
        <v>45530</v>
      </c>
      <c r="FP123" s="14">
        <f t="shared" si="433"/>
        <v>46259</v>
      </c>
      <c r="FQ123" s="65">
        <f t="shared" ca="1" si="295"/>
        <v>128</v>
      </c>
      <c r="FR123" s="15" t="str">
        <f t="shared" ca="1" si="296"/>
        <v>VIGENTE</v>
      </c>
      <c r="FS123" s="13">
        <v>44925</v>
      </c>
      <c r="FT123" s="14">
        <v>45586</v>
      </c>
      <c r="FU123" s="14">
        <f t="shared" si="434"/>
        <v>46315</v>
      </c>
      <c r="FV123" s="65">
        <f t="shared" ca="1" si="297"/>
        <v>184</v>
      </c>
      <c r="FW123" s="15" t="str">
        <f t="shared" ca="1" si="298"/>
        <v>VIGENTE</v>
      </c>
      <c r="FX123" s="13">
        <v>44942</v>
      </c>
      <c r="FY123" s="14">
        <v>45587</v>
      </c>
      <c r="FZ123" s="14">
        <f>DATE(YEAR(FY123)+2,MONTH(FY123),DAY(FY123)-1)</f>
        <v>46316</v>
      </c>
      <c r="GA123" s="65">
        <f t="shared" ca="1" si="299"/>
        <v>185</v>
      </c>
      <c r="GB123" s="15" t="str">
        <f t="shared" ca="1" si="300"/>
        <v>VIGENTE</v>
      </c>
      <c r="GC123" s="13">
        <v>45396</v>
      </c>
      <c r="GD123" s="14">
        <v>46030</v>
      </c>
      <c r="GE123" s="14">
        <f>DATE(YEAR(GD123)+2,MONTH(GD123),DAY(GD123))</f>
        <v>46760</v>
      </c>
      <c r="GF123" s="65">
        <f t="shared" ca="1" si="301"/>
        <v>629</v>
      </c>
      <c r="GG123" s="15" t="str">
        <f t="shared" ca="1" si="302"/>
        <v>VIGENTE</v>
      </c>
      <c r="GH123" s="13">
        <v>44918</v>
      </c>
      <c r="GI123" s="14">
        <v>45579</v>
      </c>
      <c r="GJ123" s="14">
        <f t="shared" si="435"/>
        <v>46308</v>
      </c>
      <c r="GK123" s="65">
        <f t="shared" ca="1" si="303"/>
        <v>177</v>
      </c>
      <c r="GL123" s="15" t="str">
        <f t="shared" ca="1" si="304"/>
        <v>VIGENTE</v>
      </c>
      <c r="GM123" s="13">
        <v>45033</v>
      </c>
      <c r="GN123" s="14">
        <v>45687</v>
      </c>
      <c r="GO123" s="14">
        <f>DATE(YEAR(GN123)+2,MONTH(GN123),DAY(GN123)-1)</f>
        <v>46416</v>
      </c>
      <c r="GP123" s="65">
        <f t="shared" ca="1" si="305"/>
        <v>285</v>
      </c>
      <c r="GQ123" s="15" t="str">
        <f t="shared" ca="1" si="306"/>
        <v>VIGENTE</v>
      </c>
      <c r="GR123" s="14"/>
      <c r="GS123" s="14">
        <v>44912</v>
      </c>
      <c r="GT123" s="14">
        <f t="shared" si="307"/>
        <v>46738</v>
      </c>
      <c r="GU123" s="65">
        <f t="shared" ca="1" si="398"/>
        <v>607</v>
      </c>
      <c r="GV123" s="15" t="str">
        <f t="shared" ca="1" si="411"/>
        <v>VIGENTE</v>
      </c>
      <c r="GW123" s="13"/>
      <c r="GX123" s="14">
        <v>44952</v>
      </c>
      <c r="GY123" s="14">
        <f t="shared" si="309"/>
        <v>46778</v>
      </c>
      <c r="GZ123" s="65">
        <f t="shared" ca="1" si="310"/>
        <v>647</v>
      </c>
      <c r="HA123" s="15" t="str">
        <f t="shared" ca="1" si="418"/>
        <v>VIGENTE</v>
      </c>
      <c r="HB123" s="12"/>
      <c r="HC123" s="14">
        <v>44911</v>
      </c>
      <c r="HD123" s="14">
        <f t="shared" si="312"/>
        <v>46737</v>
      </c>
      <c r="HE123" s="65">
        <f t="shared" ca="1" si="313"/>
        <v>606</v>
      </c>
      <c r="HF123" s="15" t="str">
        <f t="shared" ca="1" si="413"/>
        <v>VIGENTE</v>
      </c>
      <c r="HG123" s="16"/>
      <c r="HH123" s="14">
        <v>45094</v>
      </c>
      <c r="HI123" s="14">
        <f t="shared" si="420"/>
        <v>46921</v>
      </c>
      <c r="HJ123" s="65">
        <f t="shared" ca="1" si="421"/>
        <v>790</v>
      </c>
      <c r="HK123" s="15" t="str">
        <f t="shared" ca="1" si="419"/>
        <v>VIGENTE</v>
      </c>
      <c r="HL123" s="12"/>
      <c r="HM123" s="16"/>
      <c r="HN123" s="14">
        <f>DATE(YEAR(HM123)+5,MONTH(HM123),DAY(HM123))</f>
        <v>1827</v>
      </c>
      <c r="HO123" s="65">
        <f ca="1">HN123-TODAY()</f>
        <v>-44304</v>
      </c>
      <c r="HP123" s="15" t="str">
        <f ca="1">IF(HO123&gt;=61,"VIGENTE",IF(HO123&gt;=1,"POR VENCER",IF(HO123&lt;=-1,"PROGRAMAR",IF(HM123=0,"NO APLICA"))))</f>
        <v>PROGRAMAR</v>
      </c>
      <c r="HQ123" s="12"/>
      <c r="HR123" s="12"/>
      <c r="HS123" s="14"/>
      <c r="HT123" s="12"/>
      <c r="HU123" s="15" t="str">
        <f t="shared" si="315"/>
        <v>NO APLICA</v>
      </c>
      <c r="HV123" s="12"/>
      <c r="HW123" s="16"/>
      <c r="HX123" s="14"/>
      <c r="HY123" s="65"/>
      <c r="HZ123" s="15" t="str">
        <f t="shared" si="316"/>
        <v>NO APLICA</v>
      </c>
      <c r="IA123" s="12"/>
      <c r="IB123" s="16"/>
      <c r="IC123" s="14"/>
      <c r="ID123" s="65"/>
      <c r="IE123" s="15" t="str">
        <f t="shared" si="317"/>
        <v>NO APLICA</v>
      </c>
      <c r="IF123" s="12"/>
      <c r="IG123" s="16"/>
      <c r="IH123" s="14"/>
      <c r="II123" s="65"/>
      <c r="IJ123" s="15" t="str">
        <f t="shared" si="318"/>
        <v>NO APLICA</v>
      </c>
      <c r="IK123" s="16"/>
      <c r="IL123" s="16"/>
      <c r="IM123" s="14"/>
      <c r="IN123" s="65"/>
      <c r="IO123" s="15" t="str">
        <f t="shared" si="319"/>
        <v>NO APLICA</v>
      </c>
      <c r="IP123" s="12"/>
      <c r="IQ123" s="16"/>
      <c r="IR123" s="14"/>
      <c r="IS123" s="65"/>
      <c r="IT123" s="15" t="str">
        <f t="shared" si="320"/>
        <v>NO APLICA</v>
      </c>
      <c r="IU123" s="12"/>
      <c r="IV123" s="16"/>
      <c r="IW123" s="14"/>
      <c r="IX123" s="65"/>
      <c r="IY123" s="15" t="str">
        <f t="shared" si="321"/>
        <v>NO APLICA</v>
      </c>
      <c r="IZ123" s="12"/>
      <c r="JA123" s="16"/>
      <c r="JB123" s="14"/>
      <c r="JC123" s="65"/>
      <c r="JD123" s="15" t="str">
        <f t="shared" si="322"/>
        <v>NO APLICA</v>
      </c>
      <c r="JE123" s="13"/>
      <c r="JF123" s="13"/>
      <c r="JG123" s="14"/>
      <c r="JH123" s="65"/>
      <c r="JI123" s="15" t="str">
        <f t="shared" si="323"/>
        <v>NO APLICA</v>
      </c>
      <c r="JJ123" s="16"/>
      <c r="JK123" s="16"/>
      <c r="JL123" s="16"/>
      <c r="JM123" s="15" t="str">
        <f t="shared" si="324"/>
        <v>NO APLICA</v>
      </c>
      <c r="JN123" s="16"/>
      <c r="JO123" s="16"/>
      <c r="JP123" s="16"/>
      <c r="JQ123" s="15" t="str">
        <f t="shared" si="325"/>
        <v>NO APLICA</v>
      </c>
      <c r="JR123" s="16"/>
      <c r="JS123" s="16"/>
      <c r="JT123" s="16"/>
      <c r="JU123" s="16"/>
      <c r="JV123" s="15" t="str">
        <f t="shared" si="326"/>
        <v>NO APLICA</v>
      </c>
      <c r="JW123" s="15"/>
      <c r="JX123" s="15"/>
      <c r="JY123" s="15"/>
      <c r="JZ123" s="15"/>
      <c r="KA123" s="15" t="str">
        <f t="shared" si="327"/>
        <v>NO APLICA</v>
      </c>
      <c r="KB123" s="12"/>
      <c r="KC123" s="14"/>
      <c r="KD123" s="65"/>
      <c r="KE123" s="15" t="str">
        <f t="shared" si="328"/>
        <v>NO APLICA</v>
      </c>
      <c r="KF123" s="12"/>
      <c r="KG123" s="14"/>
      <c r="KH123" s="65"/>
      <c r="KI123" s="15" t="str">
        <f t="shared" si="345"/>
        <v>NO APLICA</v>
      </c>
      <c r="KJ123" s="12"/>
      <c r="KK123" s="14"/>
      <c r="KL123" s="65"/>
      <c r="KM123" s="15" t="str">
        <f t="shared" si="329"/>
        <v>NO APLICA</v>
      </c>
      <c r="KN123" s="13">
        <v>45346</v>
      </c>
      <c r="KO123" s="14">
        <f>DATE(YEAR(KN123)+5,MONTH(KN123),DAY(KN123))</f>
        <v>47173</v>
      </c>
      <c r="KP123" s="65">
        <f ca="1">KO123-TODAY()</f>
        <v>1042</v>
      </c>
      <c r="KQ123" s="15" t="str">
        <f t="shared" ca="1" si="346"/>
        <v>VIGENTE</v>
      </c>
      <c r="KR123" s="12"/>
      <c r="KS123" s="16"/>
      <c r="KT123" s="14"/>
      <c r="KU123" s="65"/>
      <c r="KV123" s="15" t="str">
        <f t="shared" si="355"/>
        <v>NO APLICA</v>
      </c>
      <c r="KW123" s="16"/>
      <c r="KX123" s="14"/>
      <c r="KY123" s="65"/>
      <c r="KZ123" s="15" t="str">
        <f t="shared" si="347"/>
        <v>NO APLICA</v>
      </c>
      <c r="LA123" s="16"/>
      <c r="LB123" s="16"/>
      <c r="LC123" s="14"/>
      <c r="LD123" s="65"/>
      <c r="LE123" s="15" t="str">
        <f t="shared" si="330"/>
        <v>NO APLICA</v>
      </c>
      <c r="LF123" s="15"/>
      <c r="LG123" s="15"/>
      <c r="LH123" s="14"/>
      <c r="LI123" s="65"/>
      <c r="LJ123" s="15" t="str">
        <f t="shared" si="356"/>
        <v>NO APLICA</v>
      </c>
      <c r="LK123" s="12"/>
      <c r="LL123" s="16"/>
      <c r="LM123" s="14"/>
      <c r="LN123" s="65"/>
      <c r="LO123" s="15" t="str">
        <f t="shared" si="348"/>
        <v>NO APLICA</v>
      </c>
      <c r="LP123" s="16"/>
      <c r="LQ123" s="16"/>
      <c r="LR123" s="14"/>
      <c r="LS123" s="65"/>
      <c r="LT123" s="15" t="str">
        <f t="shared" si="349"/>
        <v>NO APLICA</v>
      </c>
      <c r="LU123" s="16"/>
      <c r="LV123" s="16"/>
      <c r="LW123" s="14"/>
      <c r="LX123" s="65"/>
      <c r="LY123" s="15" t="str">
        <f t="shared" si="350"/>
        <v>NO APLICA</v>
      </c>
      <c r="LZ123" s="12"/>
      <c r="MA123" s="12"/>
      <c r="MB123" s="14"/>
      <c r="MC123" s="65"/>
      <c r="MD123" s="15" t="str">
        <f t="shared" si="331"/>
        <v>NO APLICA</v>
      </c>
      <c r="ME123" s="12"/>
      <c r="MF123" s="12"/>
      <c r="MG123" s="14"/>
      <c r="MH123" s="65"/>
      <c r="MI123" s="15" t="str">
        <f t="shared" si="332"/>
        <v>NO APLICA</v>
      </c>
      <c r="MJ123" s="12"/>
      <c r="MK123" s="14"/>
      <c r="ML123" s="65"/>
      <c r="MM123" s="15" t="str">
        <f t="shared" si="333"/>
        <v>NO APLICA</v>
      </c>
      <c r="MN123" s="12"/>
      <c r="MO123" s="14"/>
      <c r="MP123" s="12"/>
      <c r="MQ123" s="15" t="str">
        <f t="shared" si="334"/>
        <v>NO APLICA</v>
      </c>
      <c r="MR123" s="12"/>
      <c r="MS123" s="14">
        <v>44834</v>
      </c>
      <c r="MT123" s="14">
        <f>DATE(YEAR(MS123)+5,MONTH(MS123),DAY(MS123))</f>
        <v>46660</v>
      </c>
      <c r="MU123" s="65">
        <f ca="1">MT123-TODAY()</f>
        <v>529</v>
      </c>
      <c r="MV123" s="15" t="str">
        <f t="shared" ca="1" si="335"/>
        <v>VIGENTE</v>
      </c>
      <c r="MW123" s="12"/>
      <c r="MX123" s="14">
        <v>44835</v>
      </c>
      <c r="MY123" s="14">
        <f>DATE(YEAR(MX123)+5,MONTH(MX123),DAY(MX123))</f>
        <v>46661</v>
      </c>
      <c r="MZ123" s="65">
        <f ca="1">MY123-TODAY()</f>
        <v>530</v>
      </c>
      <c r="NA123" s="15" t="str">
        <f t="shared" ca="1" si="336"/>
        <v>VIGENTE</v>
      </c>
      <c r="NB123" s="12"/>
      <c r="NC123" s="14">
        <v>44751</v>
      </c>
      <c r="ND123" s="14">
        <f>DATE(YEAR(NC123)+5,MONTH(NC123),DAY(NC123))</f>
        <v>46577</v>
      </c>
      <c r="NE123" s="65">
        <f ca="1">ND123-TODAY()</f>
        <v>446</v>
      </c>
      <c r="NF123" s="15" t="str">
        <f t="shared" ca="1" si="337"/>
        <v>VIGENTE</v>
      </c>
      <c r="NG123" s="12"/>
      <c r="NH123" s="12"/>
      <c r="NI123" s="14"/>
      <c r="NJ123" s="65"/>
      <c r="NK123" s="15" t="str">
        <f t="shared" si="338"/>
        <v>NO APLICA</v>
      </c>
      <c r="NL123" s="14">
        <v>45102</v>
      </c>
      <c r="NM123" s="14">
        <v>45103</v>
      </c>
      <c r="NN123" s="14">
        <f>DATE(YEAR(NM123)+5,MONTH(NM123),DAY(NM123))</f>
        <v>46930</v>
      </c>
      <c r="NO123" s="65">
        <f ca="1">NN123-TODAY()</f>
        <v>799</v>
      </c>
      <c r="NP123" s="15" t="str">
        <f t="shared" ca="1" si="339"/>
        <v>VIGENTE</v>
      </c>
      <c r="NQ123" s="16"/>
      <c r="NR123" s="16"/>
      <c r="NS123" s="14"/>
      <c r="NT123" s="65"/>
      <c r="NU123" s="15" t="str">
        <f t="shared" si="340"/>
        <v>NO APLICA</v>
      </c>
      <c r="NV123" s="16"/>
      <c r="NW123" s="16"/>
      <c r="NX123" s="16"/>
      <c r="NY123" s="16"/>
      <c r="NZ123" s="15" t="str">
        <f t="shared" si="341"/>
        <v>NO APLICA</v>
      </c>
    </row>
    <row r="124" spans="1:390" ht="15.6" thickTop="1" thickBot="1" x14ac:dyDescent="0.35">
      <c r="A124" s="9">
        <v>1112</v>
      </c>
      <c r="B124" s="10" t="s">
        <v>470</v>
      </c>
      <c r="C124" s="21" t="s">
        <v>104</v>
      </c>
      <c r="D124" s="64" t="s">
        <v>114</v>
      </c>
      <c r="E124" s="15"/>
      <c r="F124" s="16"/>
      <c r="G124" s="14"/>
      <c r="H124" s="65"/>
      <c r="I124" s="15" t="str">
        <f t="shared" si="235"/>
        <v>NO APLICA</v>
      </c>
      <c r="J124" s="15"/>
      <c r="K124" s="16"/>
      <c r="L124" s="16"/>
      <c r="M124" s="65"/>
      <c r="N124" s="15" t="str">
        <f t="shared" si="236"/>
        <v>NO APLICA</v>
      </c>
      <c r="O124" s="16"/>
      <c r="P124" s="16"/>
      <c r="Q124" s="14"/>
      <c r="R124" s="65"/>
      <c r="S124" s="15" t="str">
        <f t="shared" si="342"/>
        <v>NO APLICA</v>
      </c>
      <c r="T124" s="12" t="s">
        <v>471</v>
      </c>
      <c r="U124" s="13">
        <v>44837</v>
      </c>
      <c r="V124" s="14">
        <v>44838</v>
      </c>
      <c r="W124" s="14">
        <f t="shared" si="401"/>
        <v>46664</v>
      </c>
      <c r="X124" s="65">
        <f t="shared" ca="1" si="402"/>
        <v>533</v>
      </c>
      <c r="Y124" s="15" t="str">
        <f t="shared" ca="1" si="403"/>
        <v>VIGENTE</v>
      </c>
      <c r="Z124" s="12" t="s">
        <v>472</v>
      </c>
      <c r="AA124" s="13">
        <v>44825</v>
      </c>
      <c r="AB124" s="14">
        <v>44826</v>
      </c>
      <c r="AC124" s="14">
        <f t="shared" si="422"/>
        <v>46652</v>
      </c>
      <c r="AD124" s="65">
        <f t="shared" ca="1" si="423"/>
        <v>521</v>
      </c>
      <c r="AE124" s="15" t="str">
        <f t="shared" ca="1" si="424"/>
        <v>VIGENTE</v>
      </c>
      <c r="AF124" s="13">
        <v>44937</v>
      </c>
      <c r="AG124" s="13">
        <v>45594</v>
      </c>
      <c r="AH124" s="14">
        <f t="shared" si="425"/>
        <v>46323</v>
      </c>
      <c r="AI124" s="65">
        <f t="shared" ca="1" si="241"/>
        <v>192</v>
      </c>
      <c r="AJ124" s="15" t="str">
        <f t="shared" ca="1" si="399"/>
        <v>VIGENTE</v>
      </c>
      <c r="AK124" s="13">
        <v>45307</v>
      </c>
      <c r="AL124" s="14">
        <v>45959</v>
      </c>
      <c r="AM124" s="14">
        <f>DATE(YEAR(AL124)+2,MONTH(AL124),DAY(AL124))</f>
        <v>46689</v>
      </c>
      <c r="AN124" s="65">
        <f t="shared" ca="1" si="242"/>
        <v>558</v>
      </c>
      <c r="AO124" s="15" t="str">
        <f t="shared" ca="1" si="243"/>
        <v>VIGENTE</v>
      </c>
      <c r="AP124" s="13">
        <v>45326</v>
      </c>
      <c r="AQ124" s="14">
        <v>45971</v>
      </c>
      <c r="AR124" s="14">
        <f>DATE(YEAR(AQ124)+2,MONTH(AQ124),DAY(AQ124))</f>
        <v>46701</v>
      </c>
      <c r="AS124" s="65">
        <f t="shared" ca="1" si="244"/>
        <v>570</v>
      </c>
      <c r="AT124" s="15" t="str">
        <f t="shared" ca="1" si="245"/>
        <v>VIGENTE</v>
      </c>
      <c r="AU124" s="13">
        <v>45323</v>
      </c>
      <c r="AV124" s="14">
        <v>45972</v>
      </c>
      <c r="AW124" s="14">
        <f>DATE(YEAR(AV124)+2,MONTH(AV124),DAY(AV124))</f>
        <v>46702</v>
      </c>
      <c r="AX124" s="65">
        <f t="shared" ca="1" si="246"/>
        <v>571</v>
      </c>
      <c r="AY124" s="15" t="str">
        <f t="shared" ca="1" si="247"/>
        <v>VIGENTE</v>
      </c>
      <c r="AZ124" s="13">
        <v>45375</v>
      </c>
      <c r="BA124" s="14">
        <v>46041</v>
      </c>
      <c r="BB124" s="14">
        <f>DATE(YEAR(BA124)+2,MONTH(BA124),DAY(BA124))</f>
        <v>46771</v>
      </c>
      <c r="BC124" s="65">
        <f t="shared" ca="1" si="248"/>
        <v>640</v>
      </c>
      <c r="BD124" s="15" t="str">
        <f t="shared" ca="1" si="249"/>
        <v>VIGENTE</v>
      </c>
      <c r="BE124" s="13">
        <v>44734</v>
      </c>
      <c r="BF124" s="14">
        <v>46067</v>
      </c>
      <c r="BG124" s="14">
        <f t="shared" si="436"/>
        <v>46797</v>
      </c>
      <c r="BH124" s="65">
        <f t="shared" ca="1" si="250"/>
        <v>666</v>
      </c>
      <c r="BI124" s="15" t="str">
        <f t="shared" ca="1" si="251"/>
        <v>VIGENTE</v>
      </c>
      <c r="BJ124" s="13">
        <v>44720</v>
      </c>
      <c r="BK124" s="14">
        <v>46051</v>
      </c>
      <c r="BL124" s="14">
        <f>DATE(YEAR(BK124)+2,MONTH(BK124),DAY(BK124))</f>
        <v>46781</v>
      </c>
      <c r="BM124" s="65">
        <f t="shared" ca="1" si="252"/>
        <v>650</v>
      </c>
      <c r="BN124" s="15" t="str">
        <f t="shared" ca="1" si="253"/>
        <v>VIGENTE</v>
      </c>
      <c r="BO124" s="13">
        <v>44748</v>
      </c>
      <c r="BP124" s="14">
        <v>46069</v>
      </c>
      <c r="BQ124" s="14">
        <f>DATE(YEAR(BP124)+2,MONTH(BP124),DAY(BP124))</f>
        <v>46799</v>
      </c>
      <c r="BR124" s="65">
        <f t="shared" ca="1" si="254"/>
        <v>668</v>
      </c>
      <c r="BS124" s="15" t="str">
        <f t="shared" ca="1" si="255"/>
        <v>VIGENTE</v>
      </c>
      <c r="BT124" s="13">
        <v>44733</v>
      </c>
      <c r="BU124" s="14">
        <v>45449</v>
      </c>
      <c r="BV124" s="14">
        <f>DATE(YEAR(BU124)+2,MONTH(BU124),DAY(BU124)-1)</f>
        <v>46178</v>
      </c>
      <c r="BW124" s="65">
        <f t="shared" ca="1" si="256"/>
        <v>47</v>
      </c>
      <c r="BX124" s="15" t="str">
        <f t="shared" ca="1" si="257"/>
        <v>POR VENCER</v>
      </c>
      <c r="BY124" s="13">
        <v>45347</v>
      </c>
      <c r="BZ124" s="14">
        <v>45974</v>
      </c>
      <c r="CA124" s="14">
        <f>DATE(YEAR(BZ124)+2,MONTH(BZ124),DAY(BZ124))</f>
        <v>46704</v>
      </c>
      <c r="CB124" s="65">
        <f t="shared" ca="1" si="258"/>
        <v>573</v>
      </c>
      <c r="CC124" s="15" t="str">
        <f t="shared" ca="1" si="259"/>
        <v>VIGENTE</v>
      </c>
      <c r="CD124" s="16" t="s">
        <v>108</v>
      </c>
      <c r="CE124" s="14">
        <v>45240</v>
      </c>
      <c r="CF124" s="14">
        <v>45241</v>
      </c>
      <c r="CG124" s="14">
        <f t="shared" si="408"/>
        <v>46702</v>
      </c>
      <c r="CH124" s="65">
        <f t="shared" ca="1" si="409"/>
        <v>571</v>
      </c>
      <c r="CI124" s="15" t="str">
        <f t="shared" ca="1" si="410"/>
        <v>VIGENTE</v>
      </c>
      <c r="CJ124" s="14">
        <v>44874</v>
      </c>
      <c r="CK124" s="14">
        <v>45504</v>
      </c>
      <c r="CL124" s="14">
        <f t="shared" si="426"/>
        <v>46233</v>
      </c>
      <c r="CM124" s="65">
        <f t="shared" ca="1" si="263"/>
        <v>102</v>
      </c>
      <c r="CN124" s="15" t="str">
        <f t="shared" ca="1" si="264"/>
        <v>VIGENTE</v>
      </c>
      <c r="CO124" s="13">
        <v>44900</v>
      </c>
      <c r="CP124" s="14">
        <v>45517</v>
      </c>
      <c r="CQ124" s="14">
        <f t="shared" si="427"/>
        <v>46246</v>
      </c>
      <c r="CR124" s="65">
        <f t="shared" ca="1" si="265"/>
        <v>115</v>
      </c>
      <c r="CS124" s="15" t="str">
        <f t="shared" ca="1" si="266"/>
        <v>VIGENTE</v>
      </c>
      <c r="CT124" s="13">
        <v>44970</v>
      </c>
      <c r="CU124" s="14">
        <v>45631</v>
      </c>
      <c r="CV124" s="14">
        <f t="shared" si="428"/>
        <v>46360</v>
      </c>
      <c r="CW124" s="65">
        <f t="shared" ca="1" si="267"/>
        <v>229</v>
      </c>
      <c r="CX124" s="15" t="str">
        <f t="shared" ca="1" si="268"/>
        <v>VIGENTE</v>
      </c>
      <c r="CY124" s="13">
        <v>44996</v>
      </c>
      <c r="CZ124" s="14">
        <v>45665</v>
      </c>
      <c r="DA124" s="14">
        <f>DATE(YEAR(CZ124)+2,MONTH(CZ124),DAY(CZ124)-1)</f>
        <v>46394</v>
      </c>
      <c r="DB124" s="65">
        <f t="shared" ca="1" si="269"/>
        <v>263</v>
      </c>
      <c r="DC124" s="15" t="str">
        <f t="shared" ca="1" si="270"/>
        <v>VIGENTE</v>
      </c>
      <c r="DD124" s="13">
        <v>45029</v>
      </c>
      <c r="DE124" s="14">
        <v>45689</v>
      </c>
      <c r="DF124" s="14">
        <f t="shared" si="429"/>
        <v>46418</v>
      </c>
      <c r="DG124" s="65">
        <f t="shared" ca="1" si="271"/>
        <v>287</v>
      </c>
      <c r="DH124" s="15" t="str">
        <f t="shared" ca="1" si="272"/>
        <v>VIGENTE</v>
      </c>
      <c r="DI124" s="13">
        <v>45058</v>
      </c>
      <c r="DJ124" s="14">
        <v>45734</v>
      </c>
      <c r="DK124" s="14">
        <f>DATE(YEAR(DJ124)+2,MONTH(DJ124),DAY(DJ124)-1)</f>
        <v>46463</v>
      </c>
      <c r="DL124" s="65">
        <f t="shared" ca="1" si="273"/>
        <v>332</v>
      </c>
      <c r="DM124" s="15" t="str">
        <f t="shared" ca="1" si="274"/>
        <v>VIGENTE</v>
      </c>
      <c r="DN124" s="13">
        <v>44697</v>
      </c>
      <c r="DO124" s="14">
        <v>46007</v>
      </c>
      <c r="DP124" s="14">
        <f>DATE(YEAR(DO124)+2,MONTH(DO124),DAY(DO124))</f>
        <v>46737</v>
      </c>
      <c r="DQ124" s="65">
        <f t="shared" ca="1" si="275"/>
        <v>606</v>
      </c>
      <c r="DR124" s="15" t="str">
        <f t="shared" ca="1" si="276"/>
        <v>VIGENTE</v>
      </c>
      <c r="DS124" s="13">
        <v>44734</v>
      </c>
      <c r="DT124" s="14">
        <v>46053</v>
      </c>
      <c r="DU124" s="14">
        <f>DATE(YEAR(DT124)+2,MONTH(DT124),DAY(DT124))</f>
        <v>46783</v>
      </c>
      <c r="DV124" s="65">
        <f t="shared" ca="1" si="277"/>
        <v>652</v>
      </c>
      <c r="DW124" s="15" t="str">
        <f t="shared" ca="1" si="278"/>
        <v>VIGENTE</v>
      </c>
      <c r="DX124" s="13">
        <v>45064</v>
      </c>
      <c r="DY124" s="14">
        <v>45709</v>
      </c>
      <c r="DZ124" s="14">
        <f t="shared" si="430"/>
        <v>46438</v>
      </c>
      <c r="EA124" s="65">
        <f t="shared" ca="1" si="279"/>
        <v>307</v>
      </c>
      <c r="EB124" s="15" t="str">
        <f t="shared" ca="1" si="280"/>
        <v>VIGENTE</v>
      </c>
      <c r="EC124" s="13">
        <v>44982</v>
      </c>
      <c r="ED124" s="14">
        <v>45642</v>
      </c>
      <c r="EE124" s="14">
        <f t="shared" si="431"/>
        <v>46371</v>
      </c>
      <c r="EF124" s="65">
        <f t="shared" ca="1" si="281"/>
        <v>240</v>
      </c>
      <c r="EG124" s="15" t="str">
        <f t="shared" ca="1" si="282"/>
        <v>VIGENTE</v>
      </c>
      <c r="EH124" s="13">
        <v>45675</v>
      </c>
      <c r="EI124" s="13">
        <v>45810</v>
      </c>
      <c r="EJ124" s="13">
        <v>45811</v>
      </c>
      <c r="EK124" s="14">
        <v>45812</v>
      </c>
      <c r="EL124" s="14">
        <f t="shared" si="344"/>
        <v>46177</v>
      </c>
      <c r="EM124" s="65">
        <f t="shared" ca="1" si="283"/>
        <v>46</v>
      </c>
      <c r="EN124" s="15" t="str">
        <f t="shared" ca="1" si="284"/>
        <v>POR VENCER</v>
      </c>
      <c r="EO124" s="13">
        <v>44985</v>
      </c>
      <c r="EP124" s="14">
        <v>45636</v>
      </c>
      <c r="EQ124" s="14">
        <f t="shared" si="432"/>
        <v>46365</v>
      </c>
      <c r="ER124" s="65">
        <f t="shared" ca="1" si="285"/>
        <v>234</v>
      </c>
      <c r="ES124" s="15" t="str">
        <f t="shared" ca="1" si="286"/>
        <v>VIGENTE</v>
      </c>
      <c r="ET124" s="13">
        <v>45370</v>
      </c>
      <c r="EU124" s="14">
        <v>46042</v>
      </c>
      <c r="EV124" s="14">
        <f>DATE(YEAR(EU124)+2,MONTH(EU124),DAY(EU124))</f>
        <v>46772</v>
      </c>
      <c r="EW124" s="65">
        <f t="shared" ca="1" si="287"/>
        <v>641</v>
      </c>
      <c r="EX124" s="15" t="str">
        <f t="shared" ca="1" si="288"/>
        <v>VIGENTE</v>
      </c>
      <c r="EY124" s="13">
        <v>45311</v>
      </c>
      <c r="EZ124" s="14">
        <v>45973</v>
      </c>
      <c r="FA124" s="14">
        <f>DATE(YEAR(EZ124)+2,MONTH(EZ124),DAY(EZ124))</f>
        <v>46703</v>
      </c>
      <c r="FB124" s="65">
        <f t="shared" ca="1" si="289"/>
        <v>572</v>
      </c>
      <c r="FC124" s="15" t="str">
        <f t="shared" ca="1" si="290"/>
        <v>VIGENTE</v>
      </c>
      <c r="FD124" s="13">
        <v>44644</v>
      </c>
      <c r="FE124" s="14">
        <v>45931</v>
      </c>
      <c r="FF124" s="14">
        <f>DATE(YEAR(FE124)+2,MONTH(FE124),DAY(FE124))</f>
        <v>46661</v>
      </c>
      <c r="FG124" s="65">
        <f t="shared" ca="1" si="291"/>
        <v>530</v>
      </c>
      <c r="FH124" s="15" t="str">
        <f t="shared" ca="1" si="292"/>
        <v>VIGENTE</v>
      </c>
      <c r="FI124" s="13">
        <v>45342</v>
      </c>
      <c r="FJ124" s="14">
        <v>45969</v>
      </c>
      <c r="FK124" s="14">
        <f>DATE(YEAR(FJ124)+2,MONTH(FJ124),DAY(FJ124))</f>
        <v>46699</v>
      </c>
      <c r="FL124" s="65">
        <f t="shared" ca="1" si="293"/>
        <v>568</v>
      </c>
      <c r="FM124" s="15" t="str">
        <f t="shared" ca="1" si="294"/>
        <v>VIGENTE</v>
      </c>
      <c r="FN124" s="13">
        <v>45062</v>
      </c>
      <c r="FO124" s="14">
        <v>45686</v>
      </c>
      <c r="FP124" s="14">
        <f t="shared" si="433"/>
        <v>46415</v>
      </c>
      <c r="FQ124" s="65">
        <f t="shared" ca="1" si="295"/>
        <v>284</v>
      </c>
      <c r="FR124" s="15" t="str">
        <f t="shared" ca="1" si="296"/>
        <v>VIGENTE</v>
      </c>
      <c r="FS124" s="13">
        <v>44790</v>
      </c>
      <c r="FT124" s="14">
        <v>45466</v>
      </c>
      <c r="FU124" s="14">
        <f t="shared" si="434"/>
        <v>46195</v>
      </c>
      <c r="FV124" s="65">
        <f t="shared" ca="1" si="297"/>
        <v>64</v>
      </c>
      <c r="FW124" s="15" t="str">
        <f t="shared" ca="1" si="298"/>
        <v>POR VENCER</v>
      </c>
      <c r="FX124" s="13">
        <v>44938</v>
      </c>
      <c r="FY124" s="14">
        <v>45574</v>
      </c>
      <c r="FZ124" s="14">
        <f>DATE(YEAR(FY124)+2,MONTH(FY124),DAY(FY124)-1)</f>
        <v>46303</v>
      </c>
      <c r="GA124" s="65">
        <f t="shared" ca="1" si="299"/>
        <v>172</v>
      </c>
      <c r="GB124" s="15" t="str">
        <f t="shared" ca="1" si="300"/>
        <v>VIGENTE</v>
      </c>
      <c r="GC124" s="13">
        <v>45396</v>
      </c>
      <c r="GD124" s="14">
        <v>46030</v>
      </c>
      <c r="GE124" s="14">
        <f>DATE(YEAR(GD124)+2,MONTH(GD124),DAY(GD124))</f>
        <v>46760</v>
      </c>
      <c r="GF124" s="65">
        <f t="shared" ca="1" si="301"/>
        <v>629</v>
      </c>
      <c r="GG124" s="15" t="str">
        <f t="shared" ca="1" si="302"/>
        <v>VIGENTE</v>
      </c>
      <c r="GH124" s="13">
        <v>45034</v>
      </c>
      <c r="GI124" s="14">
        <v>45672</v>
      </c>
      <c r="GJ124" s="14">
        <f t="shared" si="435"/>
        <v>46401</v>
      </c>
      <c r="GK124" s="65">
        <f t="shared" ca="1" si="303"/>
        <v>270</v>
      </c>
      <c r="GL124" s="15" t="str">
        <f t="shared" ca="1" si="304"/>
        <v>VIGENTE</v>
      </c>
      <c r="GM124" s="13">
        <v>45275</v>
      </c>
      <c r="GN124" s="14">
        <v>45945</v>
      </c>
      <c r="GO124" s="14">
        <f>DATE(YEAR(GN124)+2,MONTH(GN124),DAY(GN124))</f>
        <v>46675</v>
      </c>
      <c r="GP124" s="65">
        <f t="shared" ca="1" si="305"/>
        <v>544</v>
      </c>
      <c r="GQ124" s="15" t="str">
        <f t="shared" ca="1" si="306"/>
        <v>VIGENTE</v>
      </c>
      <c r="GR124" s="14">
        <v>44571</v>
      </c>
      <c r="GS124" s="14">
        <v>45265</v>
      </c>
      <c r="GT124" s="14">
        <f t="shared" si="307"/>
        <v>47092</v>
      </c>
      <c r="GU124" s="65">
        <f t="shared" ca="1" si="398"/>
        <v>961</v>
      </c>
      <c r="GV124" s="15" t="str">
        <f t="shared" ca="1" si="411"/>
        <v>VIGENTE</v>
      </c>
      <c r="GW124" s="13">
        <v>44573</v>
      </c>
      <c r="GX124" s="14">
        <v>45245</v>
      </c>
      <c r="GY124" s="14">
        <f t="shared" si="309"/>
        <v>47072</v>
      </c>
      <c r="GZ124" s="65">
        <f t="shared" ca="1" si="310"/>
        <v>941</v>
      </c>
      <c r="HA124" s="15" t="str">
        <f t="shared" ca="1" si="418"/>
        <v>VIGENTE</v>
      </c>
      <c r="HB124" s="13">
        <v>44565</v>
      </c>
      <c r="HC124" s="14">
        <v>45251</v>
      </c>
      <c r="HD124" s="14">
        <f t="shared" si="312"/>
        <v>47078</v>
      </c>
      <c r="HE124" s="65">
        <f t="shared" ca="1" si="313"/>
        <v>947</v>
      </c>
      <c r="HF124" s="15" t="str">
        <f t="shared" ca="1" si="413"/>
        <v>VIGENTE</v>
      </c>
      <c r="HG124" s="16"/>
      <c r="HH124" s="14">
        <v>44865</v>
      </c>
      <c r="HI124" s="14">
        <f t="shared" si="420"/>
        <v>46691</v>
      </c>
      <c r="HJ124" s="65">
        <f t="shared" ca="1" si="421"/>
        <v>560</v>
      </c>
      <c r="HK124" s="15" t="str">
        <f t="shared" ca="1" si="419"/>
        <v>VIGENTE</v>
      </c>
      <c r="HL124" s="13">
        <v>44634</v>
      </c>
      <c r="HM124" s="14">
        <v>45341</v>
      </c>
      <c r="HN124" s="14">
        <f>DATE(YEAR(HM124)+5,MONTH(HM124),DAY(HM124))</f>
        <v>47168</v>
      </c>
      <c r="HO124" s="65">
        <f ca="1">HN124-TODAY()</f>
        <v>1037</v>
      </c>
      <c r="HP124" s="15" t="str">
        <f t="shared" ref="HP124:HP186" ca="1" si="437">IF(HO124&gt;=61,"VIGENTE",IF(HO124&gt;=1,"POR VENCER",IF(HO124&lt;=-1,"VENCIDA",IF(HM124=0,"NO APLICA"))))</f>
        <v>VIGENTE</v>
      </c>
      <c r="HQ124" s="12"/>
      <c r="HR124" s="13">
        <v>45374</v>
      </c>
      <c r="HS124" s="14">
        <f>DATE(YEAR(HR124)+5,MONTH(HR124),DAY(HR124))</f>
        <v>47200</v>
      </c>
      <c r="HT124" s="65">
        <f ca="1">HS124-TODAY()</f>
        <v>1069</v>
      </c>
      <c r="HU124" s="15" t="str">
        <f t="shared" ca="1" si="315"/>
        <v>VIGENTE</v>
      </c>
      <c r="HV124" s="13">
        <v>44560</v>
      </c>
      <c r="HW124" s="14">
        <v>45274</v>
      </c>
      <c r="HX124" s="14">
        <f>DATE(YEAR(HW124)+5,MONTH(HW124),DAY(HW124))</f>
        <v>47101</v>
      </c>
      <c r="HY124" s="65">
        <f ca="1">HX124-TODAY()</f>
        <v>970</v>
      </c>
      <c r="HZ124" s="15" t="str">
        <f t="shared" ca="1" si="316"/>
        <v>VIGENTE</v>
      </c>
      <c r="IA124" s="13">
        <v>44522</v>
      </c>
      <c r="IB124" s="14">
        <v>45223</v>
      </c>
      <c r="IC124" s="14">
        <f>DATE(YEAR(IB124)+5,MONTH(IB124),DAY(IB124))</f>
        <v>47050</v>
      </c>
      <c r="ID124" s="65">
        <f ca="1">IC124-TODAY()</f>
        <v>919</v>
      </c>
      <c r="IE124" s="15" t="str">
        <f t="shared" ca="1" si="317"/>
        <v>VIGENTE</v>
      </c>
      <c r="IF124" s="13">
        <v>44792</v>
      </c>
      <c r="IG124" s="14">
        <v>45444</v>
      </c>
      <c r="IH124" s="14">
        <f>DATE(YEAR(IG124)+5,MONTH(IG124),DAY(IG124))</f>
        <v>47270</v>
      </c>
      <c r="II124" s="65">
        <f ca="1">IH124-TODAY()</f>
        <v>1139</v>
      </c>
      <c r="IJ124" s="15" t="str">
        <f t="shared" ca="1" si="318"/>
        <v>VIGENTE</v>
      </c>
      <c r="IK124" s="14">
        <v>44559</v>
      </c>
      <c r="IL124" s="14">
        <v>45266</v>
      </c>
      <c r="IM124" s="14">
        <f>DATE(YEAR(IL124)+5,MONTH(IL124),DAY(IL124))</f>
        <v>47093</v>
      </c>
      <c r="IN124" s="65">
        <f ca="1">IM124-TODAY()</f>
        <v>962</v>
      </c>
      <c r="IO124" s="15" t="str">
        <f t="shared" ca="1" si="319"/>
        <v>VIGENTE</v>
      </c>
      <c r="IP124" s="13">
        <v>44559</v>
      </c>
      <c r="IQ124" s="14">
        <v>45273</v>
      </c>
      <c r="IR124" s="14">
        <f>DATE(YEAR(IQ124)+5,MONTH(IQ124),DAY(IQ124))</f>
        <v>47100</v>
      </c>
      <c r="IS124" s="65">
        <f ca="1">IR124-TODAY()</f>
        <v>969</v>
      </c>
      <c r="IT124" s="15" t="str">
        <f t="shared" ca="1" si="320"/>
        <v>VIGENTE</v>
      </c>
      <c r="IU124" s="13">
        <v>44792</v>
      </c>
      <c r="IV124" s="14">
        <v>45471</v>
      </c>
      <c r="IW124" s="14">
        <f>DATE(YEAR(IV124)+5,MONTH(IV124),DAY(IV124))</f>
        <v>47297</v>
      </c>
      <c r="IX124" s="65">
        <f ca="1">IW124-TODAY()</f>
        <v>1166</v>
      </c>
      <c r="IY124" s="15" t="str">
        <f t="shared" ca="1" si="321"/>
        <v>VIGENTE</v>
      </c>
      <c r="IZ124" s="13">
        <v>44522</v>
      </c>
      <c r="JA124" s="14">
        <v>45224</v>
      </c>
      <c r="JB124" s="14">
        <f>DATE(YEAR(JA124)+5,MONTH(JA124),DAY(JA124))</f>
        <v>47051</v>
      </c>
      <c r="JC124" s="65">
        <f ca="1">JB124-TODAY()</f>
        <v>920</v>
      </c>
      <c r="JD124" s="15" t="str">
        <f t="shared" ca="1" si="322"/>
        <v>VIGENTE</v>
      </c>
      <c r="JE124" s="13"/>
      <c r="JF124" s="13"/>
      <c r="JG124" s="14"/>
      <c r="JH124" s="65"/>
      <c r="JI124" s="15" t="str">
        <f t="shared" si="323"/>
        <v>NO APLICA</v>
      </c>
      <c r="JJ124" s="16"/>
      <c r="JK124" s="16"/>
      <c r="JL124" s="16"/>
      <c r="JM124" s="15" t="str">
        <f t="shared" si="324"/>
        <v>NO APLICA</v>
      </c>
      <c r="JN124" s="16"/>
      <c r="JO124" s="16"/>
      <c r="JP124" s="16"/>
      <c r="JQ124" s="15" t="str">
        <f t="shared" si="325"/>
        <v>NO APLICA</v>
      </c>
      <c r="JR124" s="16"/>
      <c r="JS124" s="16"/>
      <c r="JT124" s="16"/>
      <c r="JU124" s="16"/>
      <c r="JV124" s="15" t="str">
        <f t="shared" si="326"/>
        <v>NO APLICA</v>
      </c>
      <c r="JW124" s="15"/>
      <c r="JX124" s="15"/>
      <c r="JY124" s="15"/>
      <c r="JZ124" s="15"/>
      <c r="KA124" s="15" t="str">
        <f t="shared" si="327"/>
        <v>NO APLICA</v>
      </c>
      <c r="KB124" s="12"/>
      <c r="KC124" s="14"/>
      <c r="KD124" s="65"/>
      <c r="KE124" s="15" t="str">
        <f t="shared" si="328"/>
        <v>NO APLICA</v>
      </c>
      <c r="KF124" s="12"/>
      <c r="KG124" s="14"/>
      <c r="KH124" s="65"/>
      <c r="KI124" s="15" t="str">
        <f t="shared" si="345"/>
        <v>NO APLICA</v>
      </c>
      <c r="KJ124" s="12"/>
      <c r="KK124" s="14"/>
      <c r="KL124" s="65"/>
      <c r="KM124" s="15" t="str">
        <f t="shared" si="329"/>
        <v>NO APLICA</v>
      </c>
      <c r="KN124" s="12"/>
      <c r="KO124" s="14"/>
      <c r="KP124" s="65"/>
      <c r="KQ124" s="15" t="str">
        <f t="shared" si="346"/>
        <v>NO APLICA</v>
      </c>
      <c r="KR124" s="13">
        <v>44648</v>
      </c>
      <c r="KS124" s="14">
        <v>44649</v>
      </c>
      <c r="KT124" s="14">
        <f>DATE(YEAR(KS124)+5,MONTH(KS124),DAY(KS124))</f>
        <v>46475</v>
      </c>
      <c r="KU124" s="65">
        <f ca="1">KT124-TODAY()</f>
        <v>344</v>
      </c>
      <c r="KV124" s="15" t="str">
        <f t="shared" ca="1" si="355"/>
        <v>VIGENTE</v>
      </c>
      <c r="KW124" s="16"/>
      <c r="KX124" s="14"/>
      <c r="KY124" s="65"/>
      <c r="KZ124" s="15" t="str">
        <f t="shared" si="347"/>
        <v>NO APLICA</v>
      </c>
      <c r="LA124" s="14">
        <v>44488</v>
      </c>
      <c r="LB124" s="14"/>
      <c r="LC124" s="14"/>
      <c r="LD124" s="65"/>
      <c r="LE124" s="15" t="str">
        <f t="shared" si="330"/>
        <v>NO APLICA</v>
      </c>
      <c r="LF124" s="15"/>
      <c r="LG124" s="15"/>
      <c r="LH124" s="14"/>
      <c r="LI124" s="65"/>
      <c r="LJ124" s="15" t="str">
        <f t="shared" si="356"/>
        <v>NO APLICA</v>
      </c>
      <c r="LK124" s="12"/>
      <c r="LL124" s="16"/>
      <c r="LM124" s="14"/>
      <c r="LN124" s="65"/>
      <c r="LO124" s="15" t="str">
        <f t="shared" si="348"/>
        <v>NO APLICA</v>
      </c>
      <c r="LP124" s="16"/>
      <c r="LQ124" s="16"/>
      <c r="LR124" s="14"/>
      <c r="LS124" s="65"/>
      <c r="LT124" s="15" t="str">
        <f t="shared" si="349"/>
        <v>NO APLICA</v>
      </c>
      <c r="LU124" s="16"/>
      <c r="LV124" s="16"/>
      <c r="LW124" s="14"/>
      <c r="LX124" s="65"/>
      <c r="LY124" s="15" t="str">
        <f t="shared" si="350"/>
        <v>NO APLICA</v>
      </c>
      <c r="LZ124" s="12"/>
      <c r="MA124" s="12"/>
      <c r="MB124" s="14"/>
      <c r="MC124" s="65"/>
      <c r="MD124" s="15" t="str">
        <f t="shared" si="331"/>
        <v>NO APLICA</v>
      </c>
      <c r="ME124" s="12"/>
      <c r="MF124" s="12"/>
      <c r="MG124" s="14"/>
      <c r="MH124" s="65"/>
      <c r="MI124" s="15" t="str">
        <f t="shared" si="332"/>
        <v>NO APLICA</v>
      </c>
      <c r="MJ124" s="12"/>
      <c r="MK124" s="14"/>
      <c r="ML124" s="65"/>
      <c r="MM124" s="15" t="str">
        <f t="shared" si="333"/>
        <v>NO APLICA</v>
      </c>
      <c r="MN124" s="12"/>
      <c r="MO124" s="14"/>
      <c r="MP124" s="12"/>
      <c r="MQ124" s="15" t="str">
        <f t="shared" si="334"/>
        <v>NO APLICA</v>
      </c>
      <c r="MR124" s="12"/>
      <c r="MS124" s="16"/>
      <c r="MT124" s="14"/>
      <c r="MU124" s="65"/>
      <c r="MV124" s="15" t="str">
        <f t="shared" si="335"/>
        <v>NO APLICA</v>
      </c>
      <c r="MW124" s="12"/>
      <c r="MX124" s="16"/>
      <c r="MY124" s="14"/>
      <c r="MZ124" s="65"/>
      <c r="NA124" s="15" t="str">
        <f t="shared" si="336"/>
        <v>NO APLICA</v>
      </c>
      <c r="NB124" s="12"/>
      <c r="NC124" s="16"/>
      <c r="ND124" s="14"/>
      <c r="NE124" s="65"/>
      <c r="NF124" s="15" t="str">
        <f t="shared" si="337"/>
        <v>NO APLICA</v>
      </c>
      <c r="NG124" s="12"/>
      <c r="NH124" s="12"/>
      <c r="NI124" s="14"/>
      <c r="NJ124" s="12"/>
      <c r="NK124" s="15" t="str">
        <f t="shared" si="338"/>
        <v>NO APLICA</v>
      </c>
      <c r="NL124" s="12"/>
      <c r="NM124" s="12"/>
      <c r="NN124" s="14"/>
      <c r="NO124" s="12"/>
      <c r="NP124" s="15" t="str">
        <f t="shared" si="339"/>
        <v>NO APLICA</v>
      </c>
      <c r="NQ124" s="16"/>
      <c r="NR124" s="16"/>
      <c r="NS124" s="14"/>
      <c r="NT124" s="65"/>
      <c r="NU124" s="15" t="str">
        <f t="shared" si="340"/>
        <v>NO APLICA</v>
      </c>
      <c r="NV124" s="16"/>
      <c r="NW124" s="16"/>
      <c r="NX124" s="16"/>
      <c r="NY124" s="16"/>
      <c r="NZ124" s="15" t="str">
        <f t="shared" si="341"/>
        <v>NO APLICA</v>
      </c>
    </row>
    <row r="125" spans="1:390" ht="15.6" thickTop="1" thickBot="1" x14ac:dyDescent="0.35">
      <c r="A125" s="9">
        <v>781</v>
      </c>
      <c r="B125" s="10" t="s">
        <v>473</v>
      </c>
      <c r="C125" s="21" t="s">
        <v>104</v>
      </c>
      <c r="D125" s="64" t="s">
        <v>168</v>
      </c>
      <c r="E125" s="12"/>
      <c r="F125" s="16"/>
      <c r="G125" s="14"/>
      <c r="H125" s="65"/>
      <c r="I125" s="15" t="str">
        <f t="shared" si="235"/>
        <v>NO APLICA</v>
      </c>
      <c r="J125" s="15"/>
      <c r="K125" s="16"/>
      <c r="L125" s="16"/>
      <c r="M125" s="65"/>
      <c r="N125" s="15" t="str">
        <f t="shared" si="236"/>
        <v>NO APLICA</v>
      </c>
      <c r="O125" s="16"/>
      <c r="P125" s="16"/>
      <c r="Q125" s="14"/>
      <c r="R125" s="65"/>
      <c r="S125" s="15" t="str">
        <f t="shared" si="342"/>
        <v>NO APLICA</v>
      </c>
      <c r="T125" s="12" t="s">
        <v>474</v>
      </c>
      <c r="U125" s="13">
        <v>44789</v>
      </c>
      <c r="V125" s="14">
        <v>44790</v>
      </c>
      <c r="W125" s="14">
        <f t="shared" si="401"/>
        <v>46616</v>
      </c>
      <c r="X125" s="65">
        <f t="shared" ca="1" si="402"/>
        <v>485</v>
      </c>
      <c r="Y125" s="15" t="str">
        <f t="shared" ca="1" si="403"/>
        <v>VIGENTE</v>
      </c>
      <c r="Z125" s="12" t="s">
        <v>475</v>
      </c>
      <c r="AA125" s="13">
        <v>44825</v>
      </c>
      <c r="AB125" s="14">
        <v>44826</v>
      </c>
      <c r="AC125" s="14">
        <f t="shared" si="422"/>
        <v>46652</v>
      </c>
      <c r="AD125" s="65">
        <f t="shared" ca="1" si="423"/>
        <v>521</v>
      </c>
      <c r="AE125" s="15" t="str">
        <f t="shared" ca="1" si="424"/>
        <v>VIGENTE</v>
      </c>
      <c r="AF125" s="13">
        <v>44929</v>
      </c>
      <c r="AG125" s="13">
        <v>45594</v>
      </c>
      <c r="AH125" s="14">
        <f t="shared" si="425"/>
        <v>46323</v>
      </c>
      <c r="AI125" s="65">
        <f t="shared" ca="1" si="241"/>
        <v>192</v>
      </c>
      <c r="AJ125" s="15" t="str">
        <f t="shared" ca="1" si="399"/>
        <v>VIGENTE</v>
      </c>
      <c r="AK125" s="14">
        <v>45269</v>
      </c>
      <c r="AL125" s="14">
        <v>45926</v>
      </c>
      <c r="AM125" s="14">
        <f>DATE(YEAR(AL125)+2,MONTH(AL125),DAY(AL125))</f>
        <v>46656</v>
      </c>
      <c r="AN125" s="65">
        <f t="shared" ca="1" si="242"/>
        <v>525</v>
      </c>
      <c r="AO125" s="15" t="str">
        <f t="shared" ca="1" si="243"/>
        <v>VIGENTE</v>
      </c>
      <c r="AP125" s="13">
        <v>45298</v>
      </c>
      <c r="AQ125" s="14">
        <v>45967</v>
      </c>
      <c r="AR125" s="14">
        <f>DATE(YEAR(AQ125)+2,MONTH(AQ125),DAY(AQ125))</f>
        <v>46697</v>
      </c>
      <c r="AS125" s="65">
        <f t="shared" ca="1" si="244"/>
        <v>566</v>
      </c>
      <c r="AT125" s="15" t="str">
        <f t="shared" ca="1" si="245"/>
        <v>VIGENTE</v>
      </c>
      <c r="AU125" s="13">
        <v>44662</v>
      </c>
      <c r="AV125" s="14">
        <v>45952</v>
      </c>
      <c r="AW125" s="14">
        <f>DATE(YEAR(AV125)+2,MONTH(AV125),DAY(AV125))</f>
        <v>46682</v>
      </c>
      <c r="AX125" s="65">
        <f t="shared" ca="1" si="246"/>
        <v>551</v>
      </c>
      <c r="AY125" s="15" t="str">
        <f t="shared" ca="1" si="247"/>
        <v>VIGENTE</v>
      </c>
      <c r="AZ125" s="13">
        <v>44973</v>
      </c>
      <c r="BA125" s="14">
        <v>45603</v>
      </c>
      <c r="BB125" s="14">
        <f>DATE(YEAR(BA125)+2,MONTH(BA125),DAY(BA125)-1)</f>
        <v>46332</v>
      </c>
      <c r="BC125" s="65">
        <f t="shared" ca="1" si="248"/>
        <v>201</v>
      </c>
      <c r="BD125" s="15" t="str">
        <f t="shared" ca="1" si="249"/>
        <v>VIGENTE</v>
      </c>
      <c r="BE125" s="13">
        <v>45310</v>
      </c>
      <c r="BF125" s="14">
        <v>45968</v>
      </c>
      <c r="BG125" s="14">
        <f t="shared" si="436"/>
        <v>46698</v>
      </c>
      <c r="BH125" s="65">
        <f t="shared" ca="1" si="250"/>
        <v>567</v>
      </c>
      <c r="BI125" s="15" t="str">
        <f t="shared" ca="1" si="251"/>
        <v>VIGENTE</v>
      </c>
      <c r="BJ125" s="13">
        <v>44721</v>
      </c>
      <c r="BK125" s="14">
        <v>46056</v>
      </c>
      <c r="BL125" s="14">
        <f>DATE(YEAR(BK125)+2,MONTH(BK125),DAY(BK125))</f>
        <v>46786</v>
      </c>
      <c r="BM125" s="65">
        <f t="shared" ca="1" si="252"/>
        <v>655</v>
      </c>
      <c r="BN125" s="15" t="str">
        <f t="shared" ca="1" si="253"/>
        <v>VIGENTE</v>
      </c>
      <c r="BO125" s="13">
        <v>44748</v>
      </c>
      <c r="BP125" s="14">
        <v>45447</v>
      </c>
      <c r="BQ125" s="14">
        <f>DATE(YEAR(BP125)+2,MONTH(BP125),DAY(BP125)-1)</f>
        <v>46176</v>
      </c>
      <c r="BR125" s="65">
        <f t="shared" ca="1" si="254"/>
        <v>45</v>
      </c>
      <c r="BS125" s="15" t="str">
        <f t="shared" ca="1" si="255"/>
        <v>POR VENCER</v>
      </c>
      <c r="BT125" s="13">
        <v>44811</v>
      </c>
      <c r="BU125" s="14">
        <v>45455</v>
      </c>
      <c r="BV125" s="14">
        <f>DATE(YEAR(BU125)+2,MONTH(BU125),DAY(BU125)-1)</f>
        <v>46184</v>
      </c>
      <c r="BW125" s="65">
        <f t="shared" ca="1" si="256"/>
        <v>53</v>
      </c>
      <c r="BX125" s="15" t="str">
        <f t="shared" ca="1" si="257"/>
        <v>POR VENCER</v>
      </c>
      <c r="BY125" s="13">
        <v>44845</v>
      </c>
      <c r="BZ125" s="14">
        <v>45480</v>
      </c>
      <c r="CA125" s="14">
        <f>DATE(YEAR(BZ125)+2,MONTH(BZ125),DAY(BZ125)-1)</f>
        <v>46209</v>
      </c>
      <c r="CB125" s="65">
        <f t="shared" ca="1" si="258"/>
        <v>78</v>
      </c>
      <c r="CC125" s="15" t="str">
        <f t="shared" ca="1" si="259"/>
        <v>POR VENCER</v>
      </c>
      <c r="CD125" s="16" t="s">
        <v>108</v>
      </c>
      <c r="CE125" s="14">
        <v>45210</v>
      </c>
      <c r="CF125" s="14">
        <v>45211</v>
      </c>
      <c r="CG125" s="14">
        <f t="shared" si="408"/>
        <v>46672</v>
      </c>
      <c r="CH125" s="65">
        <f t="shared" ca="1" si="409"/>
        <v>541</v>
      </c>
      <c r="CI125" s="15" t="str">
        <f t="shared" ca="1" si="410"/>
        <v>VIGENTE</v>
      </c>
      <c r="CJ125" s="14">
        <v>44874</v>
      </c>
      <c r="CK125" s="14">
        <v>45504</v>
      </c>
      <c r="CL125" s="14">
        <f t="shared" si="426"/>
        <v>46233</v>
      </c>
      <c r="CM125" s="65">
        <f t="shared" ca="1" si="263"/>
        <v>102</v>
      </c>
      <c r="CN125" s="15" t="str">
        <f t="shared" ca="1" si="264"/>
        <v>VIGENTE</v>
      </c>
      <c r="CO125" s="13">
        <v>44900</v>
      </c>
      <c r="CP125" s="14">
        <v>45513</v>
      </c>
      <c r="CQ125" s="14">
        <f t="shared" si="427"/>
        <v>46242</v>
      </c>
      <c r="CR125" s="65">
        <f t="shared" ca="1" si="265"/>
        <v>111</v>
      </c>
      <c r="CS125" s="15" t="str">
        <f t="shared" ca="1" si="266"/>
        <v>VIGENTE</v>
      </c>
      <c r="CT125" s="13">
        <v>44978</v>
      </c>
      <c r="CU125" s="14">
        <v>45645</v>
      </c>
      <c r="CV125" s="14">
        <f t="shared" si="428"/>
        <v>46374</v>
      </c>
      <c r="CW125" s="65">
        <f t="shared" ca="1" si="267"/>
        <v>243</v>
      </c>
      <c r="CX125" s="15" t="str">
        <f t="shared" ca="1" si="268"/>
        <v>VIGENTE</v>
      </c>
      <c r="CY125" s="13">
        <v>44992</v>
      </c>
      <c r="CZ125" s="14">
        <v>45661</v>
      </c>
      <c r="DA125" s="14">
        <f>DATE(YEAR(CZ125)+2,MONTH(CZ125),DAY(CZ125)-1)</f>
        <v>46390</v>
      </c>
      <c r="DB125" s="65">
        <f t="shared" ca="1" si="269"/>
        <v>259</v>
      </c>
      <c r="DC125" s="15" t="str">
        <f t="shared" ca="1" si="270"/>
        <v>VIGENTE</v>
      </c>
      <c r="DD125" s="13">
        <v>45036</v>
      </c>
      <c r="DE125" s="14">
        <v>45689</v>
      </c>
      <c r="DF125" s="14">
        <f t="shared" si="429"/>
        <v>46418</v>
      </c>
      <c r="DG125" s="65">
        <f t="shared" ca="1" si="271"/>
        <v>287</v>
      </c>
      <c r="DH125" s="15" t="str">
        <f t="shared" ca="1" si="272"/>
        <v>VIGENTE</v>
      </c>
      <c r="DI125" s="13">
        <v>45058</v>
      </c>
      <c r="DJ125" s="14">
        <v>45696</v>
      </c>
      <c r="DK125" s="14">
        <f>DATE(YEAR(DJ125)+2,MONTH(DJ125),DAY(DJ125)-1)</f>
        <v>46425</v>
      </c>
      <c r="DL125" s="65">
        <f t="shared" ca="1" si="273"/>
        <v>294</v>
      </c>
      <c r="DM125" s="15" t="str">
        <f t="shared" ca="1" si="274"/>
        <v>VIGENTE</v>
      </c>
      <c r="DN125" s="13">
        <v>44895</v>
      </c>
      <c r="DO125" s="14">
        <v>45520</v>
      </c>
      <c r="DP125" s="14">
        <f>DATE(YEAR(DO125)+2,MONTH(DO125),DAY(DO125)-1)</f>
        <v>46249</v>
      </c>
      <c r="DQ125" s="65">
        <f t="shared" ca="1" si="275"/>
        <v>118</v>
      </c>
      <c r="DR125" s="15" t="str">
        <f t="shared" ca="1" si="276"/>
        <v>VIGENTE</v>
      </c>
      <c r="DS125" s="13">
        <v>45035</v>
      </c>
      <c r="DT125" s="14">
        <v>45685</v>
      </c>
      <c r="DU125" s="14">
        <f>DATE(YEAR(DT125)+2,MONTH(DT125),DAY(DT125)-1)</f>
        <v>46414</v>
      </c>
      <c r="DV125" s="65">
        <f t="shared" ca="1" si="277"/>
        <v>283</v>
      </c>
      <c r="DW125" s="15" t="str">
        <f t="shared" ca="1" si="278"/>
        <v>VIGENTE</v>
      </c>
      <c r="DX125" s="13">
        <v>45007</v>
      </c>
      <c r="DY125" s="14">
        <v>45663</v>
      </c>
      <c r="DZ125" s="14">
        <f t="shared" si="430"/>
        <v>46392</v>
      </c>
      <c r="EA125" s="65">
        <f t="shared" ca="1" si="279"/>
        <v>261</v>
      </c>
      <c r="EB125" s="15" t="str">
        <f t="shared" ca="1" si="280"/>
        <v>VIGENTE</v>
      </c>
      <c r="EC125" s="13">
        <v>44994</v>
      </c>
      <c r="ED125" s="14">
        <v>45674</v>
      </c>
      <c r="EE125" s="14">
        <f t="shared" si="431"/>
        <v>46403</v>
      </c>
      <c r="EF125" s="65">
        <f t="shared" ca="1" si="281"/>
        <v>272</v>
      </c>
      <c r="EG125" s="15" t="str">
        <f t="shared" ca="1" si="282"/>
        <v>VIGENTE</v>
      </c>
      <c r="EH125" s="13">
        <v>45573</v>
      </c>
      <c r="EI125" s="13">
        <v>45806</v>
      </c>
      <c r="EJ125" s="13">
        <v>45807</v>
      </c>
      <c r="EK125" s="14">
        <v>45808</v>
      </c>
      <c r="EL125" s="14">
        <f t="shared" si="344"/>
        <v>46173</v>
      </c>
      <c r="EM125" s="65">
        <f t="shared" ca="1" si="283"/>
        <v>42</v>
      </c>
      <c r="EN125" s="15" t="str">
        <f t="shared" ca="1" si="284"/>
        <v>POR VENCER</v>
      </c>
      <c r="EO125" s="13">
        <v>44993</v>
      </c>
      <c r="EP125" s="14">
        <v>45660</v>
      </c>
      <c r="EQ125" s="14">
        <f t="shared" si="432"/>
        <v>46389</v>
      </c>
      <c r="ER125" s="65">
        <f t="shared" ca="1" si="285"/>
        <v>258</v>
      </c>
      <c r="ES125" s="15" t="str">
        <f t="shared" ca="1" si="286"/>
        <v>VIGENTE</v>
      </c>
      <c r="ET125" s="12">
        <v>45126</v>
      </c>
      <c r="EU125" s="14">
        <v>45755</v>
      </c>
      <c r="EV125" s="14">
        <f>DATE(YEAR(EU125)+2,MONTH(EU125),DAY(EU125)-1)</f>
        <v>46484</v>
      </c>
      <c r="EW125" s="65">
        <f t="shared" ca="1" si="287"/>
        <v>353</v>
      </c>
      <c r="EX125" s="15" t="str">
        <f t="shared" ca="1" si="288"/>
        <v>VIGENTE</v>
      </c>
      <c r="EY125" s="13">
        <v>45068</v>
      </c>
      <c r="EZ125" s="14">
        <v>45694</v>
      </c>
      <c r="FA125" s="14">
        <f>DATE(YEAR(EZ125)+2,MONTH(EZ125),DAY(EZ125)-1)</f>
        <v>46423</v>
      </c>
      <c r="FB125" s="65">
        <f t="shared" ca="1" si="289"/>
        <v>292</v>
      </c>
      <c r="FC125" s="15" t="str">
        <f t="shared" ca="1" si="290"/>
        <v>VIGENTE</v>
      </c>
      <c r="FD125" s="13">
        <v>44936</v>
      </c>
      <c r="FE125" s="14">
        <v>45632</v>
      </c>
      <c r="FF125" s="14">
        <f>DATE(YEAR(FE125)+2,MONTH(FE125),DAY(FE125)-1)</f>
        <v>46361</v>
      </c>
      <c r="FG125" s="65">
        <f t="shared" ca="1" si="291"/>
        <v>230</v>
      </c>
      <c r="FH125" s="15" t="str">
        <f t="shared" ca="1" si="292"/>
        <v>VIGENTE</v>
      </c>
      <c r="FI125" s="13">
        <v>45006</v>
      </c>
      <c r="FJ125" s="14">
        <v>45668</v>
      </c>
      <c r="FK125" s="14">
        <f>DATE(YEAR(FJ125)+2,MONTH(FJ125),DAY(FJ125)-1)</f>
        <v>46397</v>
      </c>
      <c r="FL125" s="65">
        <f t="shared" ca="1" si="293"/>
        <v>266</v>
      </c>
      <c r="FM125" s="15" t="str">
        <f t="shared" ca="1" si="294"/>
        <v>VIGENTE</v>
      </c>
      <c r="FN125" s="13">
        <v>44972</v>
      </c>
      <c r="FO125" s="14">
        <v>45576</v>
      </c>
      <c r="FP125" s="14">
        <f t="shared" si="433"/>
        <v>46305</v>
      </c>
      <c r="FQ125" s="65">
        <f t="shared" ca="1" si="295"/>
        <v>174</v>
      </c>
      <c r="FR125" s="15" t="str">
        <f t="shared" ca="1" si="296"/>
        <v>VIGENTE</v>
      </c>
      <c r="FS125" s="13">
        <v>44998</v>
      </c>
      <c r="FT125" s="14">
        <v>45664</v>
      </c>
      <c r="FU125" s="14">
        <f t="shared" si="434"/>
        <v>46393</v>
      </c>
      <c r="FV125" s="65">
        <f t="shared" ca="1" si="297"/>
        <v>262</v>
      </c>
      <c r="FW125" s="15" t="str">
        <f t="shared" ca="1" si="298"/>
        <v>VIGENTE</v>
      </c>
      <c r="FX125" s="13">
        <v>44938</v>
      </c>
      <c r="FY125" s="14">
        <v>45616</v>
      </c>
      <c r="FZ125" s="14">
        <f>DATE(YEAR(FY125)+2,MONTH(FY125),DAY(FY125)-1)</f>
        <v>46345</v>
      </c>
      <c r="GA125" s="65">
        <f t="shared" ca="1" si="299"/>
        <v>214</v>
      </c>
      <c r="GB125" s="15" t="str">
        <f t="shared" ca="1" si="300"/>
        <v>VIGENTE</v>
      </c>
      <c r="GC125" s="13">
        <v>44995</v>
      </c>
      <c r="GD125" s="14">
        <v>45667</v>
      </c>
      <c r="GE125" s="14">
        <f>DATE(YEAR(GD125)+2,MONTH(GD125),DAY(GD125)-1)</f>
        <v>46396</v>
      </c>
      <c r="GF125" s="65">
        <f t="shared" ca="1" si="301"/>
        <v>265</v>
      </c>
      <c r="GG125" s="15" t="str">
        <f t="shared" ca="1" si="302"/>
        <v>VIGENTE</v>
      </c>
      <c r="GH125" s="13">
        <v>44996</v>
      </c>
      <c r="GI125" s="14">
        <v>45672</v>
      </c>
      <c r="GJ125" s="14">
        <f t="shared" si="435"/>
        <v>46401</v>
      </c>
      <c r="GK125" s="65">
        <f t="shared" ca="1" si="303"/>
        <v>270</v>
      </c>
      <c r="GL125" s="15" t="str">
        <f t="shared" ca="1" si="304"/>
        <v>VIGENTE</v>
      </c>
      <c r="GM125" s="14">
        <v>44567</v>
      </c>
      <c r="GN125" s="14">
        <v>45945</v>
      </c>
      <c r="GO125" s="14">
        <f>DATE(YEAR(GN125)+2,MONTH(GN125),DAY(GN125))</f>
        <v>46675</v>
      </c>
      <c r="GP125" s="65">
        <f t="shared" ca="1" si="305"/>
        <v>544</v>
      </c>
      <c r="GQ125" s="15" t="str">
        <f t="shared" ca="1" si="306"/>
        <v>VIGENTE</v>
      </c>
      <c r="GR125" s="14"/>
      <c r="GS125" s="14">
        <v>45013</v>
      </c>
      <c r="GT125" s="14">
        <f t="shared" si="307"/>
        <v>46840</v>
      </c>
      <c r="GU125" s="65">
        <f t="shared" ca="1" si="398"/>
        <v>709</v>
      </c>
      <c r="GV125" s="15" t="str">
        <f t="shared" ca="1" si="411"/>
        <v>VIGENTE</v>
      </c>
      <c r="GW125" s="13">
        <v>44756</v>
      </c>
      <c r="GX125" s="14">
        <v>45478</v>
      </c>
      <c r="GY125" s="14">
        <f t="shared" si="309"/>
        <v>47304</v>
      </c>
      <c r="GZ125" s="65">
        <f t="shared" ca="1" si="310"/>
        <v>1173</v>
      </c>
      <c r="HA125" s="15" t="str">
        <f t="shared" ca="1" si="418"/>
        <v>VIGENTE</v>
      </c>
      <c r="HB125" s="12"/>
      <c r="HC125" s="14">
        <v>45016</v>
      </c>
      <c r="HD125" s="14">
        <f t="shared" si="312"/>
        <v>46843</v>
      </c>
      <c r="HE125" s="65">
        <f t="shared" ca="1" si="313"/>
        <v>712</v>
      </c>
      <c r="HF125" s="15" t="str">
        <f t="shared" ca="1" si="413"/>
        <v>VIGENTE</v>
      </c>
      <c r="HG125" s="16"/>
      <c r="HH125" s="14">
        <v>45094</v>
      </c>
      <c r="HI125" s="14">
        <f t="shared" si="420"/>
        <v>46921</v>
      </c>
      <c r="HJ125" s="65">
        <f t="shared" ca="1" si="421"/>
        <v>790</v>
      </c>
      <c r="HK125" s="15" t="str">
        <f t="shared" ca="1" si="419"/>
        <v>VIGENTE</v>
      </c>
      <c r="HL125" s="12"/>
      <c r="HM125" s="16"/>
      <c r="HN125" s="14"/>
      <c r="HO125" s="65"/>
      <c r="HP125" s="15" t="str">
        <f t="shared" si="437"/>
        <v>NO APLICA</v>
      </c>
      <c r="HQ125" s="12"/>
      <c r="HR125" s="12"/>
      <c r="HS125" s="14"/>
      <c r="HT125" s="12"/>
      <c r="HU125" s="15" t="str">
        <f t="shared" si="315"/>
        <v>NO APLICA</v>
      </c>
      <c r="HV125" s="12"/>
      <c r="HW125" s="14">
        <v>45128</v>
      </c>
      <c r="HX125" s="14">
        <f>DATE(YEAR(HW125)+5,MONTH(HW125),DAY(HW125))</f>
        <v>46955</v>
      </c>
      <c r="HY125" s="65">
        <f ca="1">HX125-TODAY()</f>
        <v>824</v>
      </c>
      <c r="HZ125" s="15" t="str">
        <f t="shared" ca="1" si="316"/>
        <v>VIGENTE</v>
      </c>
      <c r="IA125" s="13">
        <v>44755</v>
      </c>
      <c r="IB125" s="14">
        <v>45486</v>
      </c>
      <c r="IC125" s="14">
        <f>DATE(YEAR(IB125)+5,MONTH(IB125),DAY(IB125))</f>
        <v>47312</v>
      </c>
      <c r="ID125" s="65">
        <f ca="1">IC125-TODAY()</f>
        <v>1181</v>
      </c>
      <c r="IE125" s="15" t="str">
        <f t="shared" ca="1" si="317"/>
        <v>VIGENTE</v>
      </c>
      <c r="IF125" s="13">
        <v>44754</v>
      </c>
      <c r="IG125" s="14">
        <v>45470</v>
      </c>
      <c r="IH125" s="14">
        <f>DATE(YEAR(IG125)+5,MONTH(IG125),DAY(IG125))</f>
        <v>47296</v>
      </c>
      <c r="II125" s="65">
        <f ca="1">IH125-TODAY()</f>
        <v>1165</v>
      </c>
      <c r="IJ125" s="15" t="str">
        <f t="shared" ca="1" si="318"/>
        <v>VIGENTE</v>
      </c>
      <c r="IK125" s="14">
        <v>44753</v>
      </c>
      <c r="IL125" s="14">
        <v>45485</v>
      </c>
      <c r="IM125" s="14">
        <f>DATE(YEAR(IL125)+5,MONTH(IL125),DAY(IL125))</f>
        <v>47311</v>
      </c>
      <c r="IN125" s="65">
        <f ca="1">IM125-TODAY()</f>
        <v>1180</v>
      </c>
      <c r="IO125" s="15" t="str">
        <f t="shared" ca="1" si="319"/>
        <v>VIGENTE</v>
      </c>
      <c r="IP125" s="13">
        <v>44755</v>
      </c>
      <c r="IQ125" s="14">
        <v>45490</v>
      </c>
      <c r="IR125" s="14">
        <f>DATE(YEAR(IQ125)+5,MONTH(IQ125),DAY(IQ125))</f>
        <v>47316</v>
      </c>
      <c r="IS125" s="65">
        <f ca="1">IR125-TODAY()</f>
        <v>1185</v>
      </c>
      <c r="IT125" s="15" t="str">
        <f t="shared" ca="1" si="320"/>
        <v>VIGENTE</v>
      </c>
      <c r="IU125" s="13">
        <v>44754</v>
      </c>
      <c r="IV125" s="14">
        <v>45402</v>
      </c>
      <c r="IW125" s="14">
        <f>DATE(YEAR(IV125)+5,MONTH(IV125),DAY(IV125))</f>
        <v>47228</v>
      </c>
      <c r="IX125" s="65">
        <f ca="1">IW125-TODAY()</f>
        <v>1097</v>
      </c>
      <c r="IY125" s="15" t="str">
        <f t="shared" ca="1" si="321"/>
        <v>VIGENTE</v>
      </c>
      <c r="IZ125" s="13">
        <v>44753</v>
      </c>
      <c r="JA125" s="14">
        <v>45446</v>
      </c>
      <c r="JB125" s="14">
        <f>DATE(YEAR(JA125)+5,MONTH(JA125),DAY(JA125))</f>
        <v>47272</v>
      </c>
      <c r="JC125" s="65">
        <f ca="1">JB125-TODAY()</f>
        <v>1141</v>
      </c>
      <c r="JD125" s="15" t="str">
        <f t="shared" ca="1" si="322"/>
        <v>VIGENTE</v>
      </c>
      <c r="JE125" s="13"/>
      <c r="JF125" s="13"/>
      <c r="JG125" s="14"/>
      <c r="JH125" s="65"/>
      <c r="JI125" s="15" t="str">
        <f t="shared" si="323"/>
        <v>NO APLICA</v>
      </c>
      <c r="JJ125" s="16"/>
      <c r="JK125" s="16"/>
      <c r="JL125" s="16"/>
      <c r="JM125" s="15" t="str">
        <f t="shared" si="324"/>
        <v>NO APLICA</v>
      </c>
      <c r="JN125" s="16"/>
      <c r="JO125" s="16"/>
      <c r="JP125" s="16"/>
      <c r="JQ125" s="15" t="str">
        <f t="shared" si="325"/>
        <v>NO APLICA</v>
      </c>
      <c r="JR125" s="16"/>
      <c r="JS125" s="16"/>
      <c r="JT125" s="16"/>
      <c r="JU125" s="16"/>
      <c r="JV125" s="15" t="str">
        <f t="shared" si="326"/>
        <v>NO APLICA</v>
      </c>
      <c r="JW125" s="15"/>
      <c r="JX125" s="15"/>
      <c r="JY125" s="15"/>
      <c r="JZ125" s="15"/>
      <c r="KA125" s="15" t="str">
        <f t="shared" si="327"/>
        <v>NO APLICA</v>
      </c>
      <c r="KB125" s="12"/>
      <c r="KC125" s="14"/>
      <c r="KD125" s="65"/>
      <c r="KE125" s="15" t="str">
        <f t="shared" si="328"/>
        <v>NO APLICA</v>
      </c>
      <c r="KF125" s="12"/>
      <c r="KG125" s="14"/>
      <c r="KH125" s="65"/>
      <c r="KI125" s="15" t="str">
        <f t="shared" si="345"/>
        <v>NO APLICA</v>
      </c>
      <c r="KJ125" s="12"/>
      <c r="KK125" s="14"/>
      <c r="KL125" s="65"/>
      <c r="KM125" s="15" t="str">
        <f t="shared" si="329"/>
        <v>NO APLICA</v>
      </c>
      <c r="KN125" s="12"/>
      <c r="KO125" s="14"/>
      <c r="KP125" s="65"/>
      <c r="KQ125" s="15" t="str">
        <f t="shared" si="346"/>
        <v>NO APLICA</v>
      </c>
      <c r="KR125" s="13">
        <v>44648</v>
      </c>
      <c r="KS125" s="14">
        <v>44649</v>
      </c>
      <c r="KT125" s="14">
        <f>DATE(YEAR(KS125)+5,MONTH(KS125),DAY(KS125))</f>
        <v>46475</v>
      </c>
      <c r="KU125" s="65">
        <f ca="1">KT125-TODAY()</f>
        <v>344</v>
      </c>
      <c r="KV125" s="15" t="str">
        <f t="shared" ca="1" si="355"/>
        <v>VIGENTE</v>
      </c>
      <c r="KW125" s="16"/>
      <c r="KX125" s="14"/>
      <c r="KY125" s="65"/>
      <c r="KZ125" s="15" t="str">
        <f t="shared" si="347"/>
        <v>NO APLICA</v>
      </c>
      <c r="LA125" s="14">
        <v>45611</v>
      </c>
      <c r="LB125" s="14">
        <v>45509</v>
      </c>
      <c r="LC125" s="14">
        <f>DATE(YEAR(LB125)+2,MONTH(LB125),DAY(LB125))</f>
        <v>46239</v>
      </c>
      <c r="LD125" s="65">
        <f ca="1">LC125-TODAY()</f>
        <v>108</v>
      </c>
      <c r="LE125" s="15" t="str">
        <f t="shared" ca="1" si="330"/>
        <v>VIGENTE</v>
      </c>
      <c r="LF125" s="15"/>
      <c r="LG125" s="15"/>
      <c r="LH125" s="14"/>
      <c r="LI125" s="65"/>
      <c r="LJ125" s="15" t="str">
        <f t="shared" si="356"/>
        <v>NO APLICA</v>
      </c>
      <c r="LK125" s="12"/>
      <c r="LL125" s="16"/>
      <c r="LM125" s="14"/>
      <c r="LN125" s="65"/>
      <c r="LO125" s="15" t="str">
        <f t="shared" si="348"/>
        <v>NO APLICA</v>
      </c>
      <c r="LP125" s="16"/>
      <c r="LQ125" s="16"/>
      <c r="LR125" s="14"/>
      <c r="LS125" s="65"/>
      <c r="LT125" s="15" t="str">
        <f t="shared" si="349"/>
        <v>NO APLICA</v>
      </c>
      <c r="LU125" s="16"/>
      <c r="LV125" s="16"/>
      <c r="LW125" s="14"/>
      <c r="LX125" s="65"/>
      <c r="LY125" s="15" t="str">
        <f t="shared" si="350"/>
        <v>NO APLICA</v>
      </c>
      <c r="LZ125" s="12"/>
      <c r="MA125" s="12"/>
      <c r="MB125" s="14"/>
      <c r="MC125" s="65"/>
      <c r="MD125" s="15" t="str">
        <f t="shared" si="331"/>
        <v>NO APLICA</v>
      </c>
      <c r="ME125" s="12"/>
      <c r="MF125" s="12"/>
      <c r="MG125" s="14"/>
      <c r="MH125" s="65"/>
      <c r="MI125" s="15" t="str">
        <f t="shared" si="332"/>
        <v>NO APLICA</v>
      </c>
      <c r="MJ125" s="12"/>
      <c r="MK125" s="14"/>
      <c r="ML125" s="65"/>
      <c r="MM125" s="15" t="str">
        <f t="shared" si="333"/>
        <v>NO APLICA</v>
      </c>
      <c r="MN125" s="12"/>
      <c r="MO125" s="14"/>
      <c r="MP125" s="12"/>
      <c r="MQ125" s="15" t="str">
        <f t="shared" si="334"/>
        <v>NO APLICA</v>
      </c>
      <c r="MR125" s="12"/>
      <c r="MS125" s="16"/>
      <c r="MT125" s="14"/>
      <c r="MU125" s="65"/>
      <c r="MV125" s="15" t="str">
        <f t="shared" si="335"/>
        <v>NO APLICA</v>
      </c>
      <c r="MW125" s="12"/>
      <c r="MX125" s="16"/>
      <c r="MY125" s="14"/>
      <c r="MZ125" s="65"/>
      <c r="NA125" s="15" t="str">
        <f t="shared" si="336"/>
        <v>NO APLICA</v>
      </c>
      <c r="NB125" s="12"/>
      <c r="NC125" s="16"/>
      <c r="ND125" s="14"/>
      <c r="NE125" s="65"/>
      <c r="NF125" s="15" t="str">
        <f t="shared" si="337"/>
        <v>NO APLICA</v>
      </c>
      <c r="NG125" s="12"/>
      <c r="NH125" s="12"/>
      <c r="NI125" s="14"/>
      <c r="NJ125" s="65"/>
      <c r="NK125" s="15" t="str">
        <f t="shared" si="338"/>
        <v>NO APLICA</v>
      </c>
      <c r="NL125" s="12"/>
      <c r="NM125" s="12"/>
      <c r="NN125" s="12"/>
      <c r="NO125" s="12"/>
      <c r="NP125" s="15" t="str">
        <f t="shared" si="339"/>
        <v>NO APLICA</v>
      </c>
      <c r="NQ125" s="16"/>
      <c r="NR125" s="16"/>
      <c r="NS125" s="14"/>
      <c r="NT125" s="65"/>
      <c r="NU125" s="15" t="str">
        <f t="shared" si="340"/>
        <v>NO APLICA</v>
      </c>
      <c r="NV125" s="16"/>
      <c r="NW125" s="16"/>
      <c r="NX125" s="16"/>
      <c r="NY125" s="16"/>
      <c r="NZ125" s="15" t="str">
        <f t="shared" si="341"/>
        <v>NO APLICA</v>
      </c>
    </row>
    <row r="126" spans="1:390" ht="15.6" thickTop="1" thickBot="1" x14ac:dyDescent="0.35">
      <c r="A126" s="9">
        <v>1339</v>
      </c>
      <c r="B126" s="10" t="s">
        <v>476</v>
      </c>
      <c r="C126" s="21" t="s">
        <v>98</v>
      </c>
      <c r="D126" s="64" t="s">
        <v>118</v>
      </c>
      <c r="E126" s="15"/>
      <c r="F126" s="16"/>
      <c r="G126" s="14"/>
      <c r="H126" s="65"/>
      <c r="I126" s="15" t="str">
        <f t="shared" si="235"/>
        <v>NO APLICA</v>
      </c>
      <c r="J126" s="12"/>
      <c r="K126" s="16"/>
      <c r="L126" s="16"/>
      <c r="M126" s="65"/>
      <c r="N126" s="15" t="str">
        <f t="shared" si="236"/>
        <v>NO APLICA</v>
      </c>
      <c r="O126" s="14">
        <v>45582</v>
      </c>
      <c r="P126" s="14">
        <v>45583</v>
      </c>
      <c r="Q126" s="14">
        <f>DATE(YEAR(P126)+2,MONTH(P126),DAY(P126)-1)</f>
        <v>46312</v>
      </c>
      <c r="R126" s="65">
        <f ca="1">Q126-TODAY()</f>
        <v>181</v>
      </c>
      <c r="S126" s="15" t="str">
        <f t="shared" ca="1" si="342"/>
        <v>VIGENTE</v>
      </c>
      <c r="T126" s="12" t="s">
        <v>477</v>
      </c>
      <c r="U126" s="13">
        <v>44771</v>
      </c>
      <c r="V126" s="14">
        <v>44772</v>
      </c>
      <c r="W126" s="14">
        <f t="shared" si="401"/>
        <v>46598</v>
      </c>
      <c r="X126" s="65">
        <f t="shared" ca="1" si="402"/>
        <v>467</v>
      </c>
      <c r="Y126" s="15" t="str">
        <f t="shared" ca="1" si="403"/>
        <v>VIGENTE</v>
      </c>
      <c r="Z126" s="12" t="s">
        <v>478</v>
      </c>
      <c r="AA126" s="13">
        <v>45191</v>
      </c>
      <c r="AB126" s="14">
        <v>45192</v>
      </c>
      <c r="AC126" s="14">
        <f t="shared" si="422"/>
        <v>47019</v>
      </c>
      <c r="AD126" s="65">
        <f t="shared" ca="1" si="423"/>
        <v>888</v>
      </c>
      <c r="AE126" s="15" t="str">
        <f t="shared" ca="1" si="424"/>
        <v>VIGENTE</v>
      </c>
      <c r="AF126" s="13">
        <v>44946</v>
      </c>
      <c r="AG126" s="14">
        <v>45609</v>
      </c>
      <c r="AH126" s="14">
        <f t="shared" si="425"/>
        <v>46338</v>
      </c>
      <c r="AI126" s="65">
        <f t="shared" ca="1" si="241"/>
        <v>207</v>
      </c>
      <c r="AJ126" s="15" t="str">
        <f t="shared" ca="1" si="399"/>
        <v>VIGENTE</v>
      </c>
      <c r="AK126" s="13">
        <v>44882</v>
      </c>
      <c r="AL126" s="14">
        <v>45490</v>
      </c>
      <c r="AM126" s="14">
        <f>DATE(YEAR(AL126)+2,MONTH(AL126),DAY(AL126)-1)</f>
        <v>46219</v>
      </c>
      <c r="AN126" s="65">
        <f t="shared" ca="1" si="242"/>
        <v>88</v>
      </c>
      <c r="AO126" s="15" t="str">
        <f t="shared" ca="1" si="243"/>
        <v>POR VENCER</v>
      </c>
      <c r="AP126" s="13">
        <v>44891</v>
      </c>
      <c r="AQ126" s="14">
        <v>45505</v>
      </c>
      <c r="AR126" s="14">
        <f>DATE(YEAR(AQ126)+2,MONTH(AQ126),DAY(AQ126)-1)</f>
        <v>46234</v>
      </c>
      <c r="AS126" s="65">
        <f t="shared" ca="1" si="244"/>
        <v>103</v>
      </c>
      <c r="AT126" s="15" t="str">
        <f t="shared" ca="1" si="245"/>
        <v>VIGENTE</v>
      </c>
      <c r="AU126" s="13">
        <v>45021</v>
      </c>
      <c r="AV126" s="14">
        <v>45702</v>
      </c>
      <c r="AW126" s="14">
        <f>DATE(YEAR(AV126)+2,MONTH(AV126),DAY(AV126)-1)</f>
        <v>46431</v>
      </c>
      <c r="AX126" s="65">
        <f t="shared" ca="1" si="246"/>
        <v>300</v>
      </c>
      <c r="AY126" s="15" t="str">
        <f t="shared" ca="1" si="247"/>
        <v>VIGENTE</v>
      </c>
      <c r="AZ126" s="13">
        <v>45387</v>
      </c>
      <c r="BA126" s="14">
        <v>46041</v>
      </c>
      <c r="BB126" s="14">
        <f>DATE(YEAR(BA126)+2,MONTH(BA126),DAY(BA126))</f>
        <v>46771</v>
      </c>
      <c r="BC126" s="65">
        <f t="shared" ca="1" si="248"/>
        <v>640</v>
      </c>
      <c r="BD126" s="15" t="str">
        <f t="shared" ca="1" si="249"/>
        <v>VIGENTE</v>
      </c>
      <c r="BE126" s="13">
        <v>45399</v>
      </c>
      <c r="BF126" s="14">
        <v>46027</v>
      </c>
      <c r="BG126" s="14">
        <f t="shared" si="436"/>
        <v>46757</v>
      </c>
      <c r="BH126" s="65">
        <f t="shared" ca="1" si="250"/>
        <v>626</v>
      </c>
      <c r="BI126" s="15" t="str">
        <f t="shared" ca="1" si="251"/>
        <v>VIGENTE</v>
      </c>
      <c r="BJ126" s="13">
        <v>44896</v>
      </c>
      <c r="BK126" s="14">
        <v>45519</v>
      </c>
      <c r="BL126" s="14">
        <f>DATE(YEAR(BK126)+2,MONTH(BK126),DAY(BK126)-1)</f>
        <v>46248</v>
      </c>
      <c r="BM126" s="65">
        <f t="shared" ca="1" si="252"/>
        <v>117</v>
      </c>
      <c r="BN126" s="15" t="str">
        <f t="shared" ca="1" si="253"/>
        <v>VIGENTE</v>
      </c>
      <c r="BO126" s="13">
        <v>44898</v>
      </c>
      <c r="BP126" s="14">
        <v>45604</v>
      </c>
      <c r="BQ126" s="14">
        <f>DATE(YEAR(BP126)+2,MONTH(BP126),DAY(BP126)-1)</f>
        <v>46333</v>
      </c>
      <c r="BR126" s="65">
        <f t="shared" ca="1" si="254"/>
        <v>202</v>
      </c>
      <c r="BS126" s="15" t="str">
        <f t="shared" ca="1" si="255"/>
        <v>VIGENTE</v>
      </c>
      <c r="BT126" s="13">
        <v>44733</v>
      </c>
      <c r="BU126" s="14">
        <v>45449</v>
      </c>
      <c r="BV126" s="14">
        <f>DATE(YEAR(BU126)+2,MONTH(BU126),DAY(BU126)-1)</f>
        <v>46178</v>
      </c>
      <c r="BW126" s="65">
        <f t="shared" ca="1" si="256"/>
        <v>47</v>
      </c>
      <c r="BX126" s="15" t="str">
        <f t="shared" ca="1" si="257"/>
        <v>POR VENCER</v>
      </c>
      <c r="BY126" s="13">
        <v>44975</v>
      </c>
      <c r="BZ126" s="14">
        <v>45629</v>
      </c>
      <c r="CA126" s="14">
        <f>DATE(YEAR(BZ126)+2,MONTH(BZ126),DAY(BZ126)-1)</f>
        <v>46358</v>
      </c>
      <c r="CB126" s="65">
        <f t="shared" ca="1" si="258"/>
        <v>227</v>
      </c>
      <c r="CC126" s="15" t="str">
        <f t="shared" ca="1" si="259"/>
        <v>VIGENTE</v>
      </c>
      <c r="CD126" s="16" t="s">
        <v>102</v>
      </c>
      <c r="CE126" s="14">
        <v>45827</v>
      </c>
      <c r="CF126" s="14">
        <v>45828</v>
      </c>
      <c r="CG126" s="14">
        <f t="shared" si="408"/>
        <v>47289</v>
      </c>
      <c r="CH126" s="65">
        <f t="shared" ca="1" si="409"/>
        <v>1158</v>
      </c>
      <c r="CI126" s="15" t="str">
        <f t="shared" ca="1" si="410"/>
        <v>VIGENTE</v>
      </c>
      <c r="CJ126" s="14">
        <v>44908</v>
      </c>
      <c r="CK126" s="14">
        <v>45601</v>
      </c>
      <c r="CL126" s="14">
        <f t="shared" si="426"/>
        <v>46330</v>
      </c>
      <c r="CM126" s="65">
        <f t="shared" ca="1" si="263"/>
        <v>199</v>
      </c>
      <c r="CN126" s="15" t="str">
        <f t="shared" ca="1" si="264"/>
        <v>VIGENTE</v>
      </c>
      <c r="CO126" s="13">
        <v>44909</v>
      </c>
      <c r="CP126" s="14">
        <v>45597</v>
      </c>
      <c r="CQ126" s="14">
        <f t="shared" si="427"/>
        <v>46326</v>
      </c>
      <c r="CR126" s="65">
        <f t="shared" ca="1" si="265"/>
        <v>195</v>
      </c>
      <c r="CS126" s="15" t="str">
        <f t="shared" ca="1" si="266"/>
        <v>VIGENTE</v>
      </c>
      <c r="CT126" s="13">
        <v>44961</v>
      </c>
      <c r="CU126" s="14">
        <v>45624</v>
      </c>
      <c r="CV126" s="14">
        <f t="shared" si="428"/>
        <v>46353</v>
      </c>
      <c r="CW126" s="65">
        <f t="shared" ca="1" si="267"/>
        <v>222</v>
      </c>
      <c r="CX126" s="15" t="str">
        <f t="shared" ca="1" si="268"/>
        <v>VIGENTE</v>
      </c>
      <c r="CY126" s="13">
        <v>44992</v>
      </c>
      <c r="CZ126" s="14">
        <v>45665</v>
      </c>
      <c r="DA126" s="14">
        <f>DATE(YEAR(CZ126)+2,MONTH(CZ126),DAY(CZ126)-1)</f>
        <v>46394</v>
      </c>
      <c r="DB126" s="65">
        <f t="shared" ca="1" si="269"/>
        <v>263</v>
      </c>
      <c r="DC126" s="15" t="str">
        <f t="shared" ca="1" si="270"/>
        <v>VIGENTE</v>
      </c>
      <c r="DD126" s="13">
        <v>44968</v>
      </c>
      <c r="DE126" s="14">
        <v>45596</v>
      </c>
      <c r="DF126" s="14">
        <f t="shared" si="429"/>
        <v>46325</v>
      </c>
      <c r="DG126" s="65">
        <f t="shared" ca="1" si="271"/>
        <v>194</v>
      </c>
      <c r="DH126" s="15" t="str">
        <f t="shared" ca="1" si="272"/>
        <v>VIGENTE</v>
      </c>
      <c r="DI126" s="13">
        <v>44914</v>
      </c>
      <c r="DJ126" s="14">
        <v>45580</v>
      </c>
      <c r="DK126" s="14">
        <f>DATE(YEAR(DJ126)+2,MONTH(DJ126),DAY(DJ126)-1)</f>
        <v>46309</v>
      </c>
      <c r="DL126" s="65">
        <f t="shared" ca="1" si="273"/>
        <v>178</v>
      </c>
      <c r="DM126" s="15" t="str">
        <f t="shared" ca="1" si="274"/>
        <v>VIGENTE</v>
      </c>
      <c r="DN126" s="13">
        <v>44895</v>
      </c>
      <c r="DO126" s="14">
        <v>45520</v>
      </c>
      <c r="DP126" s="14">
        <f>DATE(YEAR(DO126)+2,MONTH(DO126),DAY(DO126)-1)</f>
        <v>46249</v>
      </c>
      <c r="DQ126" s="65">
        <f t="shared" ca="1" si="275"/>
        <v>118</v>
      </c>
      <c r="DR126" s="15" t="str">
        <f t="shared" ca="1" si="276"/>
        <v>VIGENTE</v>
      </c>
      <c r="DS126" s="13">
        <v>44935</v>
      </c>
      <c r="DT126" s="14">
        <v>45608</v>
      </c>
      <c r="DU126" s="14">
        <f>DATE(YEAR(DT126)+2,MONTH(DT126),DAY(DT126)-1)</f>
        <v>46337</v>
      </c>
      <c r="DV126" s="65">
        <f t="shared" ca="1" si="277"/>
        <v>206</v>
      </c>
      <c r="DW126" s="15" t="str">
        <f t="shared" ca="1" si="278"/>
        <v>VIGENTE</v>
      </c>
      <c r="DX126" s="13">
        <v>45007</v>
      </c>
      <c r="DY126" s="14">
        <v>45663</v>
      </c>
      <c r="DZ126" s="14">
        <f t="shared" si="430"/>
        <v>46392</v>
      </c>
      <c r="EA126" s="65">
        <f t="shared" ca="1" si="279"/>
        <v>261</v>
      </c>
      <c r="EB126" s="15" t="str">
        <f t="shared" ca="1" si="280"/>
        <v>VIGENTE</v>
      </c>
      <c r="EC126" s="13">
        <v>44982</v>
      </c>
      <c r="ED126" s="14">
        <v>45602</v>
      </c>
      <c r="EE126" s="14">
        <f t="shared" si="431"/>
        <v>46331</v>
      </c>
      <c r="EF126" s="65">
        <f t="shared" ca="1" si="281"/>
        <v>200</v>
      </c>
      <c r="EG126" s="15" t="str">
        <f t="shared" ca="1" si="282"/>
        <v>VIGENTE</v>
      </c>
      <c r="EH126" s="13">
        <v>44889</v>
      </c>
      <c r="EI126" s="13">
        <v>46105</v>
      </c>
      <c r="EJ126" s="13">
        <v>46106</v>
      </c>
      <c r="EK126" s="13">
        <v>46107</v>
      </c>
      <c r="EL126" s="14">
        <f t="shared" si="344"/>
        <v>46472</v>
      </c>
      <c r="EM126" s="65">
        <f t="shared" ca="1" si="283"/>
        <v>341</v>
      </c>
      <c r="EN126" s="15" t="str">
        <f t="shared" ca="1" si="284"/>
        <v>VIGENTE</v>
      </c>
      <c r="EO126" s="13">
        <v>44999</v>
      </c>
      <c r="EP126" s="14">
        <v>45671</v>
      </c>
      <c r="EQ126" s="14">
        <f t="shared" si="432"/>
        <v>46400</v>
      </c>
      <c r="ER126" s="65">
        <f t="shared" ca="1" si="285"/>
        <v>269</v>
      </c>
      <c r="ES126" s="15" t="str">
        <f t="shared" ca="1" si="286"/>
        <v>VIGENTE</v>
      </c>
      <c r="ET126" s="13">
        <v>45003</v>
      </c>
      <c r="EU126" s="14">
        <v>45677</v>
      </c>
      <c r="EV126" s="14">
        <f>DATE(YEAR(EU126)+2,MONTH(EU126),DAY(EU126)-1)</f>
        <v>46406</v>
      </c>
      <c r="EW126" s="65">
        <f t="shared" ca="1" si="287"/>
        <v>275</v>
      </c>
      <c r="EX126" s="15" t="str">
        <f t="shared" ca="1" si="288"/>
        <v>VIGENTE</v>
      </c>
      <c r="EY126" s="13">
        <v>44917</v>
      </c>
      <c r="EZ126" s="14">
        <v>45610</v>
      </c>
      <c r="FA126" s="14">
        <f>DATE(YEAR(EZ126)+2,MONTH(EZ126),DAY(EZ126)-1)</f>
        <v>46339</v>
      </c>
      <c r="FB126" s="65">
        <f t="shared" ca="1" si="289"/>
        <v>208</v>
      </c>
      <c r="FC126" s="15" t="str">
        <f t="shared" ca="1" si="290"/>
        <v>VIGENTE</v>
      </c>
      <c r="FD126" s="13">
        <v>44936</v>
      </c>
      <c r="FE126" s="14">
        <v>45611</v>
      </c>
      <c r="FF126" s="14">
        <f>DATE(YEAR(FE126)+2,MONTH(FE126),DAY(FE126)-1)</f>
        <v>46340</v>
      </c>
      <c r="FG126" s="65">
        <f t="shared" ca="1" si="291"/>
        <v>209</v>
      </c>
      <c r="FH126" s="15" t="str">
        <f t="shared" ca="1" si="292"/>
        <v>VIGENTE</v>
      </c>
      <c r="FI126" s="13">
        <v>45006</v>
      </c>
      <c r="FJ126" s="14">
        <v>45668</v>
      </c>
      <c r="FK126" s="14">
        <f>DATE(YEAR(FJ126)+2,MONTH(FJ126),DAY(FJ126)-1)</f>
        <v>46397</v>
      </c>
      <c r="FL126" s="65">
        <f t="shared" ca="1" si="293"/>
        <v>266</v>
      </c>
      <c r="FM126" s="15" t="str">
        <f t="shared" ca="1" si="294"/>
        <v>VIGENTE</v>
      </c>
      <c r="FN126" s="13">
        <v>44905</v>
      </c>
      <c r="FO126" s="14">
        <v>45588</v>
      </c>
      <c r="FP126" s="14">
        <f t="shared" si="433"/>
        <v>46317</v>
      </c>
      <c r="FQ126" s="65">
        <f t="shared" ca="1" si="295"/>
        <v>186</v>
      </c>
      <c r="FR126" s="15" t="str">
        <f t="shared" ca="1" si="296"/>
        <v>VIGENTE</v>
      </c>
      <c r="FS126" s="13">
        <v>44925</v>
      </c>
      <c r="FT126" s="14">
        <v>45586</v>
      </c>
      <c r="FU126" s="14">
        <f t="shared" si="434"/>
        <v>46315</v>
      </c>
      <c r="FV126" s="65">
        <f t="shared" ca="1" si="297"/>
        <v>184</v>
      </c>
      <c r="FW126" s="15" t="str">
        <f t="shared" ca="1" si="298"/>
        <v>VIGENTE</v>
      </c>
      <c r="FX126" s="13">
        <v>44921</v>
      </c>
      <c r="FY126" s="14">
        <v>45587</v>
      </c>
      <c r="FZ126" s="14">
        <f>DATE(YEAR(FY126)+2,MONTH(FY126),DAY(FY126)-1)</f>
        <v>46316</v>
      </c>
      <c r="GA126" s="65">
        <f t="shared" ca="1" si="299"/>
        <v>185</v>
      </c>
      <c r="GB126" s="15" t="str">
        <f t="shared" ca="1" si="300"/>
        <v>VIGENTE</v>
      </c>
      <c r="GC126" s="13">
        <v>45396</v>
      </c>
      <c r="GD126" s="14">
        <v>46030</v>
      </c>
      <c r="GE126" s="14">
        <f>DATE(YEAR(GD126)+2,MONTH(GD126),DAY(GD126))</f>
        <v>46760</v>
      </c>
      <c r="GF126" s="65">
        <f t="shared" ca="1" si="301"/>
        <v>629</v>
      </c>
      <c r="GG126" s="15" t="str">
        <f t="shared" ca="1" si="302"/>
        <v>VIGENTE</v>
      </c>
      <c r="GH126" s="13">
        <v>44937</v>
      </c>
      <c r="GI126" s="14">
        <v>45579</v>
      </c>
      <c r="GJ126" s="14">
        <f t="shared" si="435"/>
        <v>46308</v>
      </c>
      <c r="GK126" s="65">
        <f t="shared" ca="1" si="303"/>
        <v>177</v>
      </c>
      <c r="GL126" s="15" t="str">
        <f t="shared" ca="1" si="304"/>
        <v>VIGENTE</v>
      </c>
      <c r="GM126" s="13">
        <v>44915</v>
      </c>
      <c r="GN126" s="14">
        <v>45567</v>
      </c>
      <c r="GO126" s="14">
        <f>DATE(YEAR(GN126)+2,MONTH(GN126),DAY(GN126)-1)</f>
        <v>46296</v>
      </c>
      <c r="GP126" s="65">
        <f t="shared" ca="1" si="305"/>
        <v>165</v>
      </c>
      <c r="GQ126" s="15" t="str">
        <f t="shared" ca="1" si="306"/>
        <v>VIGENTE</v>
      </c>
      <c r="GR126" s="14"/>
      <c r="GS126" s="14">
        <v>44912</v>
      </c>
      <c r="GT126" s="14">
        <f t="shared" si="307"/>
        <v>46738</v>
      </c>
      <c r="GU126" s="65">
        <f t="shared" ca="1" si="398"/>
        <v>607</v>
      </c>
      <c r="GV126" s="15" t="str">
        <f t="shared" ca="1" si="411"/>
        <v>VIGENTE</v>
      </c>
      <c r="GW126" s="13"/>
      <c r="GX126" s="14">
        <v>44910</v>
      </c>
      <c r="GY126" s="14">
        <f t="shared" si="309"/>
        <v>46736</v>
      </c>
      <c r="GZ126" s="65">
        <f t="shared" ca="1" si="310"/>
        <v>605</v>
      </c>
      <c r="HA126" s="15" t="str">
        <f t="shared" ca="1" si="418"/>
        <v>VIGENTE</v>
      </c>
      <c r="HB126" s="12"/>
      <c r="HC126" s="14">
        <v>44911</v>
      </c>
      <c r="HD126" s="14">
        <f t="shared" si="312"/>
        <v>46737</v>
      </c>
      <c r="HE126" s="65">
        <f t="shared" ca="1" si="313"/>
        <v>606</v>
      </c>
      <c r="HF126" s="15" t="str">
        <f t="shared" ca="1" si="413"/>
        <v>VIGENTE</v>
      </c>
      <c r="HG126" s="16"/>
      <c r="HH126" s="14">
        <v>44956</v>
      </c>
      <c r="HI126" s="14">
        <f t="shared" si="420"/>
        <v>46782</v>
      </c>
      <c r="HJ126" s="65">
        <f t="shared" ca="1" si="421"/>
        <v>651</v>
      </c>
      <c r="HK126" s="15" t="str">
        <f t="shared" ca="1" si="419"/>
        <v>VIGENTE</v>
      </c>
      <c r="HL126" s="12"/>
      <c r="HM126" s="16"/>
      <c r="HN126" s="14"/>
      <c r="HO126" s="65"/>
      <c r="HP126" s="15" t="str">
        <f t="shared" si="437"/>
        <v>NO APLICA</v>
      </c>
      <c r="HQ126" s="12"/>
      <c r="HR126" s="12"/>
      <c r="HS126" s="14"/>
      <c r="HT126" s="12"/>
      <c r="HU126" s="15" t="str">
        <f t="shared" si="315"/>
        <v>NO APLICA</v>
      </c>
      <c r="HV126" s="12"/>
      <c r="HW126" s="16"/>
      <c r="HX126" s="14"/>
      <c r="HY126" s="65"/>
      <c r="HZ126" s="15" t="str">
        <f t="shared" si="316"/>
        <v>NO APLICA</v>
      </c>
      <c r="IA126" s="12"/>
      <c r="IB126" s="16"/>
      <c r="IC126" s="14"/>
      <c r="ID126" s="65"/>
      <c r="IE126" s="15" t="str">
        <f t="shared" si="317"/>
        <v>NO APLICA</v>
      </c>
      <c r="IF126" s="12"/>
      <c r="IG126" s="16"/>
      <c r="IH126" s="14"/>
      <c r="II126" s="65"/>
      <c r="IJ126" s="15" t="str">
        <f t="shared" si="318"/>
        <v>NO APLICA</v>
      </c>
      <c r="IK126" s="16"/>
      <c r="IL126" s="16"/>
      <c r="IM126" s="14"/>
      <c r="IN126" s="65"/>
      <c r="IO126" s="15" t="str">
        <f t="shared" si="319"/>
        <v>NO APLICA</v>
      </c>
      <c r="IP126" s="12"/>
      <c r="IQ126" s="16"/>
      <c r="IR126" s="14"/>
      <c r="IS126" s="65"/>
      <c r="IT126" s="15" t="str">
        <f t="shared" si="320"/>
        <v>NO APLICA</v>
      </c>
      <c r="IU126" s="12"/>
      <c r="IV126" s="16"/>
      <c r="IW126" s="14"/>
      <c r="IX126" s="65"/>
      <c r="IY126" s="15" t="str">
        <f t="shared" si="321"/>
        <v>NO APLICA</v>
      </c>
      <c r="IZ126" s="12"/>
      <c r="JA126" s="16"/>
      <c r="JB126" s="14"/>
      <c r="JC126" s="65"/>
      <c r="JD126" s="15" t="str">
        <f t="shared" si="322"/>
        <v>NO APLICA</v>
      </c>
      <c r="JE126" s="13"/>
      <c r="JF126" s="13"/>
      <c r="JG126" s="14"/>
      <c r="JH126" s="65"/>
      <c r="JI126" s="15" t="str">
        <f t="shared" si="323"/>
        <v>NO APLICA</v>
      </c>
      <c r="JJ126" s="16"/>
      <c r="JK126" s="16"/>
      <c r="JL126" s="16"/>
      <c r="JM126" s="15" t="str">
        <f t="shared" si="324"/>
        <v>NO APLICA</v>
      </c>
      <c r="JN126" s="16"/>
      <c r="JO126" s="16"/>
      <c r="JP126" s="16"/>
      <c r="JQ126" s="15" t="str">
        <f t="shared" si="325"/>
        <v>NO APLICA</v>
      </c>
      <c r="JR126" s="16"/>
      <c r="JS126" s="16"/>
      <c r="JT126" s="16"/>
      <c r="JU126" s="16"/>
      <c r="JV126" s="15" t="str">
        <f t="shared" si="326"/>
        <v>NO APLICA</v>
      </c>
      <c r="JW126" s="15"/>
      <c r="JX126" s="15"/>
      <c r="JY126" s="15"/>
      <c r="JZ126" s="15"/>
      <c r="KA126" s="15" t="str">
        <f t="shared" si="327"/>
        <v>NO APLICA</v>
      </c>
      <c r="KB126" s="12"/>
      <c r="KC126" s="14"/>
      <c r="KD126" s="65"/>
      <c r="KE126" s="15" t="str">
        <f t="shared" si="328"/>
        <v>NO APLICA</v>
      </c>
      <c r="KF126" s="12"/>
      <c r="KG126" s="14"/>
      <c r="KH126" s="65"/>
      <c r="KI126" s="15" t="str">
        <f t="shared" si="345"/>
        <v>NO APLICA</v>
      </c>
      <c r="KJ126" s="12"/>
      <c r="KK126" s="14"/>
      <c r="KL126" s="65"/>
      <c r="KM126" s="15" t="str">
        <f t="shared" si="329"/>
        <v>NO APLICA</v>
      </c>
      <c r="KN126" s="12"/>
      <c r="KO126" s="14"/>
      <c r="KP126" s="65"/>
      <c r="KQ126" s="15" t="str">
        <f t="shared" si="346"/>
        <v>NO APLICA</v>
      </c>
      <c r="KR126" s="12"/>
      <c r="KS126" s="16"/>
      <c r="KT126" s="14"/>
      <c r="KU126" s="65"/>
      <c r="KV126" s="15" t="str">
        <f t="shared" si="355"/>
        <v>NO APLICA</v>
      </c>
      <c r="KW126" s="16"/>
      <c r="KX126" s="14"/>
      <c r="KY126" s="65"/>
      <c r="KZ126" s="15" t="str">
        <f t="shared" si="347"/>
        <v>NO APLICA</v>
      </c>
      <c r="LA126" s="16"/>
      <c r="LB126" s="16"/>
      <c r="LC126" s="14"/>
      <c r="LD126" s="65"/>
      <c r="LE126" s="15" t="str">
        <f t="shared" si="330"/>
        <v>NO APLICA</v>
      </c>
      <c r="LF126" s="15"/>
      <c r="LG126" s="15"/>
      <c r="LH126" s="14"/>
      <c r="LI126" s="65"/>
      <c r="LJ126" s="15" t="str">
        <f t="shared" si="356"/>
        <v>NO APLICA</v>
      </c>
      <c r="LK126" s="12"/>
      <c r="LL126" s="16"/>
      <c r="LM126" s="14"/>
      <c r="LN126" s="65"/>
      <c r="LO126" s="15" t="str">
        <f t="shared" si="348"/>
        <v>NO APLICA</v>
      </c>
      <c r="LP126" s="16"/>
      <c r="LQ126" s="16"/>
      <c r="LR126" s="14"/>
      <c r="LS126" s="65"/>
      <c r="LT126" s="15" t="str">
        <f t="shared" si="349"/>
        <v>NO APLICA</v>
      </c>
      <c r="LU126" s="16"/>
      <c r="LV126" s="16"/>
      <c r="LW126" s="14"/>
      <c r="LX126" s="65"/>
      <c r="LY126" s="15" t="str">
        <f t="shared" si="350"/>
        <v>NO APLICA</v>
      </c>
      <c r="LZ126" s="12"/>
      <c r="MA126" s="12"/>
      <c r="MB126" s="14"/>
      <c r="MC126" s="65"/>
      <c r="MD126" s="15" t="str">
        <f t="shared" si="331"/>
        <v>NO APLICA</v>
      </c>
      <c r="ME126" s="12"/>
      <c r="MF126" s="12"/>
      <c r="MG126" s="14"/>
      <c r="MH126" s="65"/>
      <c r="MI126" s="15" t="str">
        <f t="shared" si="332"/>
        <v>NO APLICA</v>
      </c>
      <c r="MJ126" s="12"/>
      <c r="MK126" s="14"/>
      <c r="ML126" s="65"/>
      <c r="MM126" s="15" t="str">
        <f t="shared" si="333"/>
        <v>NO APLICA</v>
      </c>
      <c r="MN126" s="12"/>
      <c r="MO126" s="14"/>
      <c r="MP126" s="12"/>
      <c r="MQ126" s="15" t="str">
        <f t="shared" si="334"/>
        <v>NO APLICA</v>
      </c>
      <c r="MR126" s="12"/>
      <c r="MS126" s="16"/>
      <c r="MT126" s="14"/>
      <c r="MU126" s="65"/>
      <c r="MV126" s="15" t="str">
        <f t="shared" si="335"/>
        <v>NO APLICA</v>
      </c>
      <c r="MW126" s="12"/>
      <c r="MX126" s="16"/>
      <c r="MY126" s="14"/>
      <c r="MZ126" s="65"/>
      <c r="NA126" s="15" t="str">
        <f t="shared" si="336"/>
        <v>NO APLICA</v>
      </c>
      <c r="NB126" s="12"/>
      <c r="NC126" s="16"/>
      <c r="ND126" s="14"/>
      <c r="NE126" s="65"/>
      <c r="NF126" s="15" t="str">
        <f t="shared" si="337"/>
        <v>NO APLICA</v>
      </c>
      <c r="NG126" s="12"/>
      <c r="NH126" s="12"/>
      <c r="NI126" s="14"/>
      <c r="NJ126" s="65"/>
      <c r="NK126" s="15" t="str">
        <f t="shared" si="338"/>
        <v>NO APLICA</v>
      </c>
      <c r="NL126" s="12"/>
      <c r="NM126" s="12"/>
      <c r="NN126" s="14"/>
      <c r="NO126" s="12"/>
      <c r="NP126" s="15" t="str">
        <f t="shared" si="339"/>
        <v>NO APLICA</v>
      </c>
      <c r="NQ126" s="16"/>
      <c r="NR126" s="16"/>
      <c r="NS126" s="14"/>
      <c r="NT126" s="65"/>
      <c r="NU126" s="15" t="str">
        <f t="shared" si="340"/>
        <v>NO APLICA</v>
      </c>
      <c r="NV126" s="16"/>
      <c r="NW126" s="16"/>
      <c r="NX126" s="16"/>
      <c r="NY126" s="16"/>
      <c r="NZ126" s="15" t="str">
        <f t="shared" si="341"/>
        <v>NO APLICA</v>
      </c>
    </row>
    <row r="127" spans="1:390" ht="15.6" thickTop="1" thickBot="1" x14ac:dyDescent="0.35">
      <c r="A127" s="11">
        <v>1730</v>
      </c>
      <c r="B127" s="10" t="s">
        <v>479</v>
      </c>
      <c r="C127" s="21" t="s">
        <v>104</v>
      </c>
      <c r="D127" s="64" t="s">
        <v>110</v>
      </c>
      <c r="E127" s="16"/>
      <c r="F127" s="16"/>
      <c r="G127" s="16"/>
      <c r="H127" s="16"/>
      <c r="I127" s="15" t="str">
        <f t="shared" si="235"/>
        <v>NO APLICA</v>
      </c>
      <c r="J127" s="16"/>
      <c r="K127" s="16"/>
      <c r="L127" s="16"/>
      <c r="M127" s="16"/>
      <c r="N127" s="15" t="str">
        <f t="shared" si="236"/>
        <v>NO APLICA</v>
      </c>
      <c r="O127" s="18"/>
      <c r="P127" s="18"/>
      <c r="Q127" s="18"/>
      <c r="R127" s="18"/>
      <c r="S127" s="15" t="str">
        <f t="shared" si="342"/>
        <v>NO APLICA</v>
      </c>
      <c r="T127" s="16" t="s">
        <v>480</v>
      </c>
      <c r="U127" s="14">
        <v>45853</v>
      </c>
      <c r="V127" s="14">
        <v>45854</v>
      </c>
      <c r="W127" s="14">
        <f t="shared" si="401"/>
        <v>47680</v>
      </c>
      <c r="X127" s="65">
        <f t="shared" ca="1" si="402"/>
        <v>1549</v>
      </c>
      <c r="Y127" s="15" t="str">
        <f t="shared" ca="1" si="403"/>
        <v>VIGENTE</v>
      </c>
      <c r="Z127" s="16" t="s">
        <v>481</v>
      </c>
      <c r="AA127" s="13">
        <v>45463</v>
      </c>
      <c r="AB127" s="14">
        <v>45464</v>
      </c>
      <c r="AC127" s="14">
        <f t="shared" si="422"/>
        <v>47290</v>
      </c>
      <c r="AD127" s="65">
        <f t="shared" ca="1" si="423"/>
        <v>1159</v>
      </c>
      <c r="AE127" s="15" t="str">
        <f t="shared" ca="1" si="424"/>
        <v>VIGENTE</v>
      </c>
      <c r="AF127" s="14">
        <v>45334</v>
      </c>
      <c r="AG127" s="14">
        <v>46006</v>
      </c>
      <c r="AH127" s="14">
        <f>DATE(YEAR(AG127)+2,MONTH(AG127),DAY(AG127))</f>
        <v>46736</v>
      </c>
      <c r="AI127" s="65">
        <f t="shared" ca="1" si="241"/>
        <v>605</v>
      </c>
      <c r="AJ127" s="15" t="str">
        <f t="shared" ca="1" si="399"/>
        <v>VIGENTE</v>
      </c>
      <c r="AK127" s="14">
        <v>44718</v>
      </c>
      <c r="AL127" s="14">
        <v>46062</v>
      </c>
      <c r="AM127" s="14">
        <f>DATE(YEAR(AL127)+2,MONTH(AL127),DAY(AL127))</f>
        <v>46792</v>
      </c>
      <c r="AN127" s="65">
        <f t="shared" ca="1" si="242"/>
        <v>661</v>
      </c>
      <c r="AO127" s="15" t="str">
        <f t="shared" ca="1" si="243"/>
        <v>VIGENTE</v>
      </c>
      <c r="AP127" s="14">
        <v>44698</v>
      </c>
      <c r="AQ127" s="14">
        <v>46048</v>
      </c>
      <c r="AR127" s="14">
        <f>DATE(YEAR(AQ127)+2,MONTH(AQ127),DAY(AQ127))</f>
        <v>46778</v>
      </c>
      <c r="AS127" s="65">
        <f t="shared" ca="1" si="244"/>
        <v>647</v>
      </c>
      <c r="AT127" s="15" t="str">
        <f t="shared" ca="1" si="245"/>
        <v>VIGENTE</v>
      </c>
      <c r="AU127" s="14">
        <v>44699</v>
      </c>
      <c r="AV127" s="14">
        <v>46070</v>
      </c>
      <c r="AW127" s="14">
        <f>DATE(YEAR(AV127)+2,MONTH(AV127),DAY(AV127))</f>
        <v>46800</v>
      </c>
      <c r="AX127" s="65">
        <f t="shared" ca="1" si="246"/>
        <v>669</v>
      </c>
      <c r="AY127" s="15" t="str">
        <f t="shared" ca="1" si="247"/>
        <v>VIGENTE</v>
      </c>
      <c r="AZ127" s="14">
        <v>45387</v>
      </c>
      <c r="BA127" s="14">
        <v>46041</v>
      </c>
      <c r="BB127" s="14">
        <f>DATE(YEAR(BA127)+2,MONTH(BA127),DAY(BA127))</f>
        <v>46771</v>
      </c>
      <c r="BC127" s="65">
        <f t="shared" ca="1" si="248"/>
        <v>640</v>
      </c>
      <c r="BD127" s="15" t="str">
        <f t="shared" ca="1" si="249"/>
        <v>VIGENTE</v>
      </c>
      <c r="BE127" s="14">
        <v>44719</v>
      </c>
      <c r="BF127" s="14">
        <v>45987</v>
      </c>
      <c r="BG127" s="14">
        <f t="shared" si="436"/>
        <v>46717</v>
      </c>
      <c r="BH127" s="65">
        <f t="shared" ca="1" si="250"/>
        <v>586</v>
      </c>
      <c r="BI127" s="15" t="str">
        <f t="shared" ca="1" si="251"/>
        <v>VIGENTE</v>
      </c>
      <c r="BJ127" s="14">
        <v>45372</v>
      </c>
      <c r="BK127" s="14">
        <v>46035</v>
      </c>
      <c r="BL127" s="14">
        <f>DATE(YEAR(BK127)+2,MONTH(BK127),DAY(BK127))</f>
        <v>46765</v>
      </c>
      <c r="BM127" s="65">
        <f t="shared" ca="1" si="252"/>
        <v>634</v>
      </c>
      <c r="BN127" s="15" t="str">
        <f t="shared" ca="1" si="253"/>
        <v>VIGENTE</v>
      </c>
      <c r="BO127" s="14">
        <v>44720</v>
      </c>
      <c r="BP127" s="14">
        <v>45988</v>
      </c>
      <c r="BQ127" s="14">
        <f>DATE(YEAR(BP127)+2,MONTH(BP127),DAY(BP127))</f>
        <v>46718</v>
      </c>
      <c r="BR127" s="65">
        <f t="shared" ca="1" si="254"/>
        <v>587</v>
      </c>
      <c r="BS127" s="15" t="str">
        <f t="shared" ca="1" si="255"/>
        <v>VIGENTE</v>
      </c>
      <c r="BT127" s="14">
        <v>44702</v>
      </c>
      <c r="BU127" s="14">
        <v>46063</v>
      </c>
      <c r="BV127" s="14">
        <f>DATE(YEAR(BU127)+2,MONTH(BU127),DAY(BU127))</f>
        <v>46793</v>
      </c>
      <c r="BW127" s="65">
        <f t="shared" ca="1" si="256"/>
        <v>662</v>
      </c>
      <c r="BX127" s="15" t="str">
        <f t="shared" ca="1" si="257"/>
        <v>VIGENTE</v>
      </c>
      <c r="BY127" s="14">
        <v>44705</v>
      </c>
      <c r="BZ127" s="14">
        <v>45986</v>
      </c>
      <c r="CA127" s="14">
        <f>DATE(YEAR(BZ127)+2,MONTH(BZ127),DAY(BZ127))</f>
        <v>46716</v>
      </c>
      <c r="CB127" s="65">
        <f t="shared" ca="1" si="258"/>
        <v>585</v>
      </c>
      <c r="CC127" s="15" t="str">
        <f t="shared" ca="1" si="259"/>
        <v>VIGENTE</v>
      </c>
      <c r="CD127" s="16" t="s">
        <v>108</v>
      </c>
      <c r="CE127" s="14">
        <v>45345</v>
      </c>
      <c r="CF127" s="14">
        <v>45346</v>
      </c>
      <c r="CG127" s="14">
        <f t="shared" si="408"/>
        <v>46807</v>
      </c>
      <c r="CH127" s="65">
        <f t="shared" ca="1" si="409"/>
        <v>676</v>
      </c>
      <c r="CI127" s="15" t="str">
        <f t="shared" ca="1" si="410"/>
        <v>VIGENTE</v>
      </c>
      <c r="CJ127" s="14">
        <v>45363</v>
      </c>
      <c r="CK127" s="14">
        <v>46018</v>
      </c>
      <c r="CL127" s="14">
        <f>DATE(YEAR(CK127)+2,MONTH(CK127),DAY(CK127))</f>
        <v>46748</v>
      </c>
      <c r="CM127" s="65">
        <f t="shared" ca="1" si="263"/>
        <v>617</v>
      </c>
      <c r="CN127" s="15" t="str">
        <f t="shared" ca="1" si="264"/>
        <v>VIGENTE</v>
      </c>
      <c r="CO127" s="14">
        <v>45379</v>
      </c>
      <c r="CP127" s="14">
        <v>46038</v>
      </c>
      <c r="CQ127" s="14">
        <f>DATE(YEAR(CP127)+2,MONTH(CP127),DAY(CP127))</f>
        <v>46768</v>
      </c>
      <c r="CR127" s="65">
        <f t="shared" ca="1" si="265"/>
        <v>637</v>
      </c>
      <c r="CS127" s="15" t="str">
        <f t="shared" ca="1" si="266"/>
        <v>VIGENTE</v>
      </c>
      <c r="CT127" s="14">
        <v>45377</v>
      </c>
      <c r="CU127" s="14">
        <v>46043</v>
      </c>
      <c r="CV127" s="14">
        <f>DATE(YEAR(CU127)+2,MONTH(CU127),DAY(CU127))</f>
        <v>46773</v>
      </c>
      <c r="CW127" s="65">
        <f t="shared" ca="1" si="267"/>
        <v>642</v>
      </c>
      <c r="CX127" s="15" t="str">
        <f t="shared" ca="1" si="268"/>
        <v>VIGENTE</v>
      </c>
      <c r="CY127" s="14">
        <v>44711</v>
      </c>
      <c r="CZ127" s="14">
        <v>46000</v>
      </c>
      <c r="DA127" s="14">
        <f>DATE(YEAR(CZ127)+2,MONTH(CZ127),DAY(CZ127))</f>
        <v>46730</v>
      </c>
      <c r="DB127" s="65">
        <f t="shared" ca="1" si="269"/>
        <v>599</v>
      </c>
      <c r="DC127" s="15" t="str">
        <f t="shared" ca="1" si="270"/>
        <v>VIGENTE</v>
      </c>
      <c r="DD127" s="14">
        <v>44712</v>
      </c>
      <c r="DE127" s="14">
        <v>46045</v>
      </c>
      <c r="DF127" s="14">
        <f>DATE(YEAR(DE127)+2,MONTH(DE127),DAY(DE127))</f>
        <v>46775</v>
      </c>
      <c r="DG127" s="65">
        <f t="shared" ca="1" si="271"/>
        <v>644</v>
      </c>
      <c r="DH127" s="15" t="str">
        <f t="shared" ca="1" si="272"/>
        <v>VIGENTE</v>
      </c>
      <c r="DI127" s="14">
        <v>45386</v>
      </c>
      <c r="DJ127" s="14">
        <v>46029</v>
      </c>
      <c r="DK127" s="14">
        <f>DATE(YEAR(DJ127)+2,MONTH(DJ127),DAY(DJ127))</f>
        <v>46759</v>
      </c>
      <c r="DL127" s="65">
        <f t="shared" ca="1" si="273"/>
        <v>628</v>
      </c>
      <c r="DM127" s="15" t="str">
        <f t="shared" ca="1" si="274"/>
        <v>VIGENTE</v>
      </c>
      <c r="DN127" s="14">
        <v>44686</v>
      </c>
      <c r="DO127" s="14">
        <v>46046</v>
      </c>
      <c r="DP127" s="14">
        <f>DATE(YEAR(DO127)+2,MONTH(DO127),DAY(DO127))</f>
        <v>46776</v>
      </c>
      <c r="DQ127" s="65">
        <f t="shared" ca="1" si="275"/>
        <v>645</v>
      </c>
      <c r="DR127" s="15" t="str">
        <f t="shared" ca="1" si="276"/>
        <v>VIGENTE</v>
      </c>
      <c r="DS127" s="14">
        <v>44713</v>
      </c>
      <c r="DT127" s="14">
        <v>46053</v>
      </c>
      <c r="DU127" s="14">
        <f>DATE(YEAR(DT127)+2,MONTH(DT127),DAY(DT127))</f>
        <v>46783</v>
      </c>
      <c r="DV127" s="65">
        <f t="shared" ca="1" si="277"/>
        <v>652</v>
      </c>
      <c r="DW127" s="15" t="str">
        <f t="shared" ca="1" si="278"/>
        <v>VIGENTE</v>
      </c>
      <c r="DX127" s="14">
        <v>45355</v>
      </c>
      <c r="DY127" s="14">
        <v>46032</v>
      </c>
      <c r="DZ127" s="14">
        <f>DATE(YEAR(DY127)+2,MONTH(DY127),DAY(DY127))</f>
        <v>46762</v>
      </c>
      <c r="EA127" s="65">
        <f t="shared" ca="1" si="279"/>
        <v>631</v>
      </c>
      <c r="EB127" s="15" t="str">
        <f t="shared" ca="1" si="280"/>
        <v>VIGENTE</v>
      </c>
      <c r="EC127" s="14">
        <v>45450</v>
      </c>
      <c r="ED127" s="14">
        <v>46104</v>
      </c>
      <c r="EE127" s="14">
        <f>DATE(YEAR(ED127)+2,MONTH(ED127),DAY(ED127))</f>
        <v>46835</v>
      </c>
      <c r="EF127" s="65">
        <f t="shared" ca="1" si="281"/>
        <v>704</v>
      </c>
      <c r="EG127" s="15" t="str">
        <f t="shared" ca="1" si="282"/>
        <v>VIGENTE</v>
      </c>
      <c r="EH127" s="14">
        <v>45380</v>
      </c>
      <c r="EI127" s="14">
        <v>45806</v>
      </c>
      <c r="EJ127" s="14">
        <v>45807</v>
      </c>
      <c r="EK127" s="14">
        <v>45808</v>
      </c>
      <c r="EL127" s="14">
        <f t="shared" si="344"/>
        <v>46173</v>
      </c>
      <c r="EM127" s="65">
        <f t="shared" ca="1" si="283"/>
        <v>42</v>
      </c>
      <c r="EN127" s="15" t="str">
        <f t="shared" ca="1" si="284"/>
        <v>POR VENCER</v>
      </c>
      <c r="EO127" s="14">
        <v>45337</v>
      </c>
      <c r="EP127" s="14">
        <v>45983</v>
      </c>
      <c r="EQ127" s="14">
        <f>DATE(YEAR(EP127)+2,MONTH(EP127),DAY(EP127))</f>
        <v>46713</v>
      </c>
      <c r="ER127" s="65">
        <f t="shared" ca="1" si="285"/>
        <v>582</v>
      </c>
      <c r="ES127" s="15" t="str">
        <f t="shared" ca="1" si="286"/>
        <v>VIGENTE</v>
      </c>
      <c r="ET127" s="14">
        <v>44697</v>
      </c>
      <c r="EU127" s="14">
        <v>45999</v>
      </c>
      <c r="EV127" s="14">
        <f>DATE(YEAR(EU127)+2,MONTH(EU127),DAY(EU127))</f>
        <v>46729</v>
      </c>
      <c r="EW127" s="65">
        <f t="shared" ca="1" si="287"/>
        <v>598</v>
      </c>
      <c r="EX127" s="15" t="str">
        <f t="shared" ca="1" si="288"/>
        <v>VIGENTE</v>
      </c>
      <c r="EY127" s="14">
        <v>44723</v>
      </c>
      <c r="EZ127" s="14">
        <v>46037</v>
      </c>
      <c r="FA127" s="14">
        <f>DATE(YEAR(EZ127)+2,MONTH(EZ127),DAY(EZ127))</f>
        <v>46767</v>
      </c>
      <c r="FB127" s="65">
        <f t="shared" ca="1" si="289"/>
        <v>636</v>
      </c>
      <c r="FC127" s="15" t="str">
        <f t="shared" ca="1" si="290"/>
        <v>VIGENTE</v>
      </c>
      <c r="FD127" s="14">
        <v>44688</v>
      </c>
      <c r="FE127" s="14">
        <v>46091</v>
      </c>
      <c r="FF127" s="14">
        <f>DATE(YEAR(FE127)+2,MONTH(FE127),DAY(FE127))</f>
        <v>46822</v>
      </c>
      <c r="FG127" s="65">
        <f t="shared" ca="1" si="291"/>
        <v>691</v>
      </c>
      <c r="FH127" s="15" t="str">
        <f t="shared" ca="1" si="292"/>
        <v>VIGENTE</v>
      </c>
      <c r="FI127" s="14">
        <v>44691</v>
      </c>
      <c r="FJ127" s="14">
        <v>45992</v>
      </c>
      <c r="FK127" s="14">
        <f>DATE(YEAR(FJ127)+2,MONTH(FJ127),DAY(FJ127))</f>
        <v>46722</v>
      </c>
      <c r="FL127" s="65">
        <f t="shared" ca="1" si="293"/>
        <v>591</v>
      </c>
      <c r="FM127" s="15" t="str">
        <f t="shared" ca="1" si="294"/>
        <v>VIGENTE</v>
      </c>
      <c r="FN127" s="14">
        <v>45395</v>
      </c>
      <c r="FO127" s="14">
        <v>46039</v>
      </c>
      <c r="FP127" s="14">
        <f>DATE(YEAR(FO127)+2,MONTH(FO127),DAY(FO127))</f>
        <v>46769</v>
      </c>
      <c r="FQ127" s="65">
        <f t="shared" ca="1" si="295"/>
        <v>638</v>
      </c>
      <c r="FR127" s="15" t="str">
        <f t="shared" ca="1" si="296"/>
        <v>VIGENTE</v>
      </c>
      <c r="FS127" s="14">
        <v>45376</v>
      </c>
      <c r="FT127" s="14">
        <v>46034</v>
      </c>
      <c r="FU127" s="14">
        <f>DATE(YEAR(FT127)+2,MONTH(FT127),DAY(FT127))</f>
        <v>46764</v>
      </c>
      <c r="FV127" s="65">
        <f t="shared" ca="1" si="297"/>
        <v>633</v>
      </c>
      <c r="FW127" s="15" t="str">
        <f t="shared" ca="1" si="298"/>
        <v>VIGENTE</v>
      </c>
      <c r="FX127" s="14">
        <v>44726</v>
      </c>
      <c r="FY127" s="14">
        <v>46014</v>
      </c>
      <c r="FZ127" s="14">
        <f>DATE(YEAR(FY127)+2,MONTH(FY127),DAY(FY127))</f>
        <v>46744</v>
      </c>
      <c r="GA127" s="65">
        <f t="shared" ca="1" si="299"/>
        <v>613</v>
      </c>
      <c r="GB127" s="15" t="str">
        <f t="shared" ca="1" si="300"/>
        <v>VIGENTE</v>
      </c>
      <c r="GC127" s="14">
        <v>44692</v>
      </c>
      <c r="GD127" s="14">
        <v>46003</v>
      </c>
      <c r="GE127" s="14">
        <f>DATE(YEAR(GD127)+2,MONTH(GD127),DAY(GD127))</f>
        <v>46733</v>
      </c>
      <c r="GF127" s="65">
        <f t="shared" ca="1" si="301"/>
        <v>602</v>
      </c>
      <c r="GG127" s="15" t="str">
        <f t="shared" ca="1" si="302"/>
        <v>VIGENTE</v>
      </c>
      <c r="GH127" s="14">
        <v>45400</v>
      </c>
      <c r="GI127" s="14">
        <v>46036</v>
      </c>
      <c r="GJ127" s="14">
        <f>DATE(YEAR(GI127)+2,MONTH(GI127),DAY(GI127))</f>
        <v>46766</v>
      </c>
      <c r="GK127" s="65">
        <f t="shared" ca="1" si="303"/>
        <v>635</v>
      </c>
      <c r="GL127" s="15" t="str">
        <f t="shared" ca="1" si="304"/>
        <v>VIGENTE</v>
      </c>
      <c r="GM127" s="14">
        <v>45368</v>
      </c>
      <c r="GN127" s="14">
        <v>46044</v>
      </c>
      <c r="GO127" s="14">
        <f>DATE(YEAR(GN127)+2,MONTH(GN127),DAY(GN127))</f>
        <v>46774</v>
      </c>
      <c r="GP127" s="65">
        <f t="shared" ca="1" si="305"/>
        <v>643</v>
      </c>
      <c r="GQ127" s="15" t="str">
        <f t="shared" ca="1" si="306"/>
        <v>VIGENTE</v>
      </c>
      <c r="GR127" s="14"/>
      <c r="GS127" s="14">
        <v>45367</v>
      </c>
      <c r="GT127" s="14">
        <f t="shared" si="307"/>
        <v>47193</v>
      </c>
      <c r="GU127" s="65">
        <f t="shared" ca="1" si="398"/>
        <v>1062</v>
      </c>
      <c r="GV127" s="15" t="str">
        <f t="shared" ca="1" si="411"/>
        <v>VIGENTE</v>
      </c>
      <c r="GW127" s="14"/>
      <c r="GX127" s="14">
        <v>45342</v>
      </c>
      <c r="GY127" s="14">
        <f t="shared" si="309"/>
        <v>47169</v>
      </c>
      <c r="GZ127" s="65">
        <f t="shared" ca="1" si="310"/>
        <v>1038</v>
      </c>
      <c r="HA127" s="15" t="str">
        <f t="shared" ca="1" si="418"/>
        <v>VIGENTE</v>
      </c>
      <c r="HB127" s="16"/>
      <c r="HC127" s="14">
        <v>45348</v>
      </c>
      <c r="HD127" s="14">
        <f t="shared" si="312"/>
        <v>47175</v>
      </c>
      <c r="HE127" s="65">
        <f t="shared" ca="1" si="313"/>
        <v>1044</v>
      </c>
      <c r="HF127" s="15" t="str">
        <f t="shared" ca="1" si="413"/>
        <v>VIGENTE</v>
      </c>
      <c r="HG127" s="16"/>
      <c r="HH127" s="14">
        <v>45401</v>
      </c>
      <c r="HI127" s="14">
        <f t="shared" si="420"/>
        <v>47227</v>
      </c>
      <c r="HJ127" s="65">
        <f t="shared" ca="1" si="421"/>
        <v>1096</v>
      </c>
      <c r="HK127" s="15" t="str">
        <f t="shared" ca="1" si="419"/>
        <v>VIGENTE</v>
      </c>
      <c r="HL127" s="16"/>
      <c r="HM127" s="16"/>
      <c r="HN127" s="14"/>
      <c r="HO127" s="65"/>
      <c r="HP127" s="15" t="str">
        <f t="shared" si="437"/>
        <v>NO APLICA</v>
      </c>
      <c r="HQ127" s="12"/>
      <c r="HR127" s="12"/>
      <c r="HS127" s="14"/>
      <c r="HT127" s="12"/>
      <c r="HU127" s="15" t="str">
        <f t="shared" si="315"/>
        <v>NO APLICA</v>
      </c>
      <c r="HV127" s="16"/>
      <c r="HW127" s="16"/>
      <c r="HX127" s="14"/>
      <c r="HY127" s="65"/>
      <c r="HZ127" s="15" t="str">
        <f t="shared" si="316"/>
        <v>NO APLICA</v>
      </c>
      <c r="IA127" s="16"/>
      <c r="IB127" s="16"/>
      <c r="IC127" s="14"/>
      <c r="ID127" s="65"/>
      <c r="IE127" s="15" t="str">
        <f t="shared" si="317"/>
        <v>NO APLICA</v>
      </c>
      <c r="IF127" s="16"/>
      <c r="IG127" s="16"/>
      <c r="IH127" s="14"/>
      <c r="II127" s="65"/>
      <c r="IJ127" s="15" t="str">
        <f t="shared" si="318"/>
        <v>NO APLICA</v>
      </c>
      <c r="IK127" s="16"/>
      <c r="IL127" s="16"/>
      <c r="IM127" s="14"/>
      <c r="IN127" s="16"/>
      <c r="IO127" s="15" t="str">
        <f t="shared" si="319"/>
        <v>NO APLICA</v>
      </c>
      <c r="IP127" s="16"/>
      <c r="IQ127" s="16"/>
      <c r="IR127" s="14"/>
      <c r="IS127" s="65"/>
      <c r="IT127" s="15" t="str">
        <f t="shared" si="320"/>
        <v>NO APLICA</v>
      </c>
      <c r="IU127" s="16"/>
      <c r="IV127" s="14">
        <v>45402</v>
      </c>
      <c r="IW127" s="14">
        <f>DATE(YEAR(IV127)+5,MONTH(IV127),DAY(IV127))</f>
        <v>47228</v>
      </c>
      <c r="IX127" s="65">
        <f ca="1">IW127-TODAY()</f>
        <v>1097</v>
      </c>
      <c r="IY127" s="15" t="str">
        <f t="shared" ca="1" si="321"/>
        <v>VIGENTE</v>
      </c>
      <c r="IZ127" s="16"/>
      <c r="JA127" s="16"/>
      <c r="JB127" s="14"/>
      <c r="JC127" s="65"/>
      <c r="JD127" s="15" t="str">
        <f t="shared" si="322"/>
        <v>NO APLICA</v>
      </c>
      <c r="JE127" s="13"/>
      <c r="JF127" s="13"/>
      <c r="JG127" s="14"/>
      <c r="JH127" s="65"/>
      <c r="JI127" s="15" t="str">
        <f t="shared" si="323"/>
        <v>NO APLICA</v>
      </c>
      <c r="JJ127" s="16"/>
      <c r="JK127" s="16"/>
      <c r="JL127" s="16"/>
      <c r="JM127" s="15" t="str">
        <f t="shared" si="324"/>
        <v>NO APLICA</v>
      </c>
      <c r="JN127" s="16"/>
      <c r="JO127" s="16"/>
      <c r="JP127" s="16"/>
      <c r="JQ127" s="15" t="str">
        <f t="shared" si="325"/>
        <v>NO APLICA</v>
      </c>
      <c r="JR127" s="16"/>
      <c r="JS127" s="16"/>
      <c r="JT127" s="16"/>
      <c r="JU127" s="16"/>
      <c r="JV127" s="15" t="str">
        <f t="shared" si="326"/>
        <v>NO APLICA</v>
      </c>
      <c r="JW127" s="15"/>
      <c r="JX127" s="15"/>
      <c r="JY127" s="15"/>
      <c r="JZ127" s="15"/>
      <c r="KA127" s="15" t="str">
        <f t="shared" si="327"/>
        <v>NO APLICA</v>
      </c>
      <c r="KB127" s="13">
        <v>45362</v>
      </c>
      <c r="KC127" s="14">
        <f>DATE(YEAR(KB127)+5,MONTH(KB127),DAY(KB127))</f>
        <v>47188</v>
      </c>
      <c r="KD127" s="65">
        <f ca="1">KC127-TODAY()</f>
        <v>1057</v>
      </c>
      <c r="KE127" s="15" t="str">
        <f t="shared" ca="1" si="328"/>
        <v>VIGENTE</v>
      </c>
      <c r="KF127" s="12"/>
      <c r="KG127" s="14"/>
      <c r="KH127" s="65"/>
      <c r="KI127" s="15" t="str">
        <f t="shared" si="345"/>
        <v>NO APLICA</v>
      </c>
      <c r="KJ127" s="13"/>
      <c r="KK127" s="14"/>
      <c r="KL127" s="65"/>
      <c r="KM127" s="15" t="str">
        <f t="shared" si="329"/>
        <v>NO APLICA</v>
      </c>
      <c r="KN127" s="13">
        <v>45346</v>
      </c>
      <c r="KO127" s="14">
        <f>DATE(YEAR(KN127)+5,MONTH(KN127),DAY(KN127))</f>
        <v>47173</v>
      </c>
      <c r="KP127" s="65">
        <f ca="1">KO127-TODAY()</f>
        <v>1042</v>
      </c>
      <c r="KQ127" s="15" t="str">
        <f t="shared" ca="1" si="346"/>
        <v>VIGENTE</v>
      </c>
      <c r="KR127" s="16"/>
      <c r="KS127" s="16"/>
      <c r="KT127" s="14"/>
      <c r="KU127" s="16"/>
      <c r="KV127" s="15" t="str">
        <f t="shared" si="355"/>
        <v>NO APLICA</v>
      </c>
      <c r="KW127" s="16"/>
      <c r="KX127" s="14"/>
      <c r="KY127" s="16"/>
      <c r="KZ127" s="15" t="str">
        <f t="shared" si="347"/>
        <v>NO APLICA</v>
      </c>
      <c r="LA127" s="16"/>
      <c r="LB127" s="16"/>
      <c r="LC127" s="16"/>
      <c r="LD127" s="16"/>
      <c r="LE127" s="15" t="str">
        <f t="shared" si="330"/>
        <v>NO APLICA</v>
      </c>
      <c r="LF127" s="15"/>
      <c r="LG127" s="15"/>
      <c r="LH127" s="14"/>
      <c r="LI127" s="65"/>
      <c r="LJ127" s="15" t="str">
        <f t="shared" si="356"/>
        <v>NO APLICA</v>
      </c>
      <c r="LK127" s="16"/>
      <c r="LL127" s="16"/>
      <c r="LM127" s="14"/>
      <c r="LN127" s="65"/>
      <c r="LO127" s="15" t="str">
        <f t="shared" si="348"/>
        <v>NO APLICA</v>
      </c>
      <c r="LP127" s="16"/>
      <c r="LQ127" s="16"/>
      <c r="LR127" s="14"/>
      <c r="LS127" s="16"/>
      <c r="LT127" s="15" t="str">
        <f t="shared" si="349"/>
        <v>NO APLICA</v>
      </c>
      <c r="LU127" s="16"/>
      <c r="LV127" s="16"/>
      <c r="LW127" s="14"/>
      <c r="LX127" s="16"/>
      <c r="LY127" s="15" t="str">
        <f t="shared" si="350"/>
        <v>NO APLICA</v>
      </c>
      <c r="LZ127" s="16"/>
      <c r="MA127" s="16"/>
      <c r="MB127" s="14"/>
      <c r="MC127" s="16"/>
      <c r="MD127" s="15" t="str">
        <f t="shared" si="331"/>
        <v>NO APLICA</v>
      </c>
      <c r="ME127" s="16"/>
      <c r="MF127" s="16"/>
      <c r="MG127" s="14"/>
      <c r="MH127" s="16"/>
      <c r="MI127" s="15" t="str">
        <f t="shared" si="332"/>
        <v>NO APLICA</v>
      </c>
      <c r="MJ127" s="16"/>
      <c r="MK127" s="14"/>
      <c r="ML127" s="16"/>
      <c r="MM127" s="15" t="str">
        <f t="shared" si="333"/>
        <v>NO APLICA</v>
      </c>
      <c r="MN127" s="16"/>
      <c r="MO127" s="16"/>
      <c r="MP127" s="16"/>
      <c r="MQ127" s="15" t="str">
        <f t="shared" si="334"/>
        <v>NO APLICA</v>
      </c>
      <c r="MR127" s="16"/>
      <c r="MS127" s="16"/>
      <c r="MT127" s="14"/>
      <c r="MU127" s="16"/>
      <c r="MV127" s="15" t="str">
        <f t="shared" si="335"/>
        <v>NO APLICA</v>
      </c>
      <c r="MW127" s="16"/>
      <c r="MX127" s="16"/>
      <c r="MY127" s="14"/>
      <c r="MZ127" s="16"/>
      <c r="NA127" s="15" t="str">
        <f t="shared" si="336"/>
        <v>NO APLICA</v>
      </c>
      <c r="NB127" s="16"/>
      <c r="NC127" s="16"/>
      <c r="ND127" s="14"/>
      <c r="NE127" s="16"/>
      <c r="NF127" s="15" t="str">
        <f t="shared" si="337"/>
        <v>NO APLICA</v>
      </c>
      <c r="NG127" s="16"/>
      <c r="NH127" s="16"/>
      <c r="NI127" s="14"/>
      <c r="NJ127" s="16"/>
      <c r="NK127" s="15" t="str">
        <f t="shared" si="338"/>
        <v>NO APLICA</v>
      </c>
      <c r="NL127" s="16"/>
      <c r="NM127" s="16"/>
      <c r="NN127" s="14"/>
      <c r="NO127" s="16"/>
      <c r="NP127" s="15" t="str">
        <f t="shared" si="339"/>
        <v>NO APLICA</v>
      </c>
      <c r="NQ127" s="16"/>
      <c r="NR127" s="16"/>
      <c r="NS127" s="14"/>
      <c r="NT127" s="65"/>
      <c r="NU127" s="15" t="str">
        <f t="shared" si="340"/>
        <v>NO APLICA</v>
      </c>
      <c r="NV127" s="16"/>
      <c r="NW127" s="16"/>
      <c r="NX127" s="16"/>
      <c r="NY127" s="16"/>
      <c r="NZ127" s="15" t="str">
        <f t="shared" si="341"/>
        <v>NO APLICA</v>
      </c>
    </row>
    <row r="128" spans="1:390" ht="15.6" thickTop="1" thickBot="1" x14ac:dyDescent="0.35">
      <c r="A128" s="11">
        <v>1639</v>
      </c>
      <c r="B128" s="10" t="s">
        <v>482</v>
      </c>
      <c r="C128" s="21" t="s">
        <v>104</v>
      </c>
      <c r="D128" s="64" t="s">
        <v>110</v>
      </c>
      <c r="E128" s="15"/>
      <c r="F128" s="16"/>
      <c r="G128" s="14"/>
      <c r="H128" s="65"/>
      <c r="I128" s="15" t="str">
        <f t="shared" si="235"/>
        <v>NO APLICA</v>
      </c>
      <c r="J128" s="15"/>
      <c r="K128" s="16"/>
      <c r="L128" s="16"/>
      <c r="M128" s="65"/>
      <c r="N128" s="15" t="str">
        <f t="shared" si="236"/>
        <v>NO APLICA</v>
      </c>
      <c r="O128" s="16"/>
      <c r="P128" s="16"/>
      <c r="Q128" s="14"/>
      <c r="R128" s="65"/>
      <c r="S128" s="15" t="str">
        <f t="shared" si="342"/>
        <v>NO APLICA</v>
      </c>
      <c r="T128" s="12" t="s">
        <v>483</v>
      </c>
      <c r="U128" s="13">
        <v>44917</v>
      </c>
      <c r="V128" s="14">
        <v>44918</v>
      </c>
      <c r="W128" s="14">
        <f t="shared" si="401"/>
        <v>46744</v>
      </c>
      <c r="X128" s="65">
        <f t="shared" ca="1" si="402"/>
        <v>613</v>
      </c>
      <c r="Y128" s="15" t="str">
        <f t="shared" ca="1" si="403"/>
        <v>VIGENTE</v>
      </c>
      <c r="Z128" s="12" t="s">
        <v>484</v>
      </c>
      <c r="AA128" s="13">
        <v>44987</v>
      </c>
      <c r="AB128" s="14">
        <v>44988</v>
      </c>
      <c r="AC128" s="14">
        <f t="shared" si="422"/>
        <v>46815</v>
      </c>
      <c r="AD128" s="65">
        <f t="shared" ca="1" si="423"/>
        <v>684</v>
      </c>
      <c r="AE128" s="15" t="str">
        <f t="shared" ca="1" si="424"/>
        <v>VIGENTE</v>
      </c>
      <c r="AF128" s="13">
        <v>44929</v>
      </c>
      <c r="AG128" s="14">
        <v>45609</v>
      </c>
      <c r="AH128" s="14">
        <f>DATE(YEAR(AG128)+2,MONTH(AG128),DAY(AG128)-1)</f>
        <v>46338</v>
      </c>
      <c r="AI128" s="65">
        <f t="shared" ca="1" si="241"/>
        <v>207</v>
      </c>
      <c r="AJ128" s="15" t="str">
        <f t="shared" ca="1" si="399"/>
        <v>VIGENTE</v>
      </c>
      <c r="AK128" s="13">
        <v>44890</v>
      </c>
      <c r="AL128" s="14">
        <v>45516</v>
      </c>
      <c r="AM128" s="14">
        <f>DATE(YEAR(AL128)+2,MONTH(AL128),DAY(AL128)-1)</f>
        <v>46245</v>
      </c>
      <c r="AN128" s="65">
        <f t="shared" ca="1" si="242"/>
        <v>114</v>
      </c>
      <c r="AO128" s="15" t="str">
        <f t="shared" ca="1" si="243"/>
        <v>VIGENTE</v>
      </c>
      <c r="AP128" s="13">
        <v>44891</v>
      </c>
      <c r="AQ128" s="14">
        <v>45505</v>
      </c>
      <c r="AR128" s="14">
        <f>DATE(YEAR(AQ128)+2,MONTH(AQ128),DAY(AQ128)-1)</f>
        <v>46234</v>
      </c>
      <c r="AS128" s="65">
        <f t="shared" ca="1" si="244"/>
        <v>103</v>
      </c>
      <c r="AT128" s="15" t="str">
        <f t="shared" ca="1" si="245"/>
        <v>VIGENTE</v>
      </c>
      <c r="AU128" s="13">
        <v>44893</v>
      </c>
      <c r="AV128" s="14">
        <v>45514</v>
      </c>
      <c r="AW128" s="14">
        <f>DATE(YEAR(AV128)+2,MONTH(AV128),DAY(AV128)-1)</f>
        <v>46243</v>
      </c>
      <c r="AX128" s="65">
        <f t="shared" ca="1" si="246"/>
        <v>112</v>
      </c>
      <c r="AY128" s="15" t="str">
        <f t="shared" ca="1" si="247"/>
        <v>VIGENTE</v>
      </c>
      <c r="AZ128" s="13">
        <v>44894</v>
      </c>
      <c r="BA128" s="14">
        <v>45515</v>
      </c>
      <c r="BB128" s="14">
        <f>DATE(YEAR(BA128)+2,MONTH(BA128),DAY(BA128)-1)</f>
        <v>46244</v>
      </c>
      <c r="BC128" s="65">
        <f t="shared" ca="1" si="248"/>
        <v>113</v>
      </c>
      <c r="BD128" s="15" t="str">
        <f t="shared" ca="1" si="249"/>
        <v>VIGENTE</v>
      </c>
      <c r="BE128" s="13">
        <v>44904</v>
      </c>
      <c r="BF128" s="14">
        <v>45531</v>
      </c>
      <c r="BG128" s="14">
        <f>DATE(YEAR(BF128)+2,MONTH(BF128),DAY(BF128)-1)</f>
        <v>46260</v>
      </c>
      <c r="BH128" s="65">
        <f t="shared" ca="1" si="250"/>
        <v>129</v>
      </c>
      <c r="BI128" s="15" t="str">
        <f t="shared" ca="1" si="251"/>
        <v>VIGENTE</v>
      </c>
      <c r="BJ128" s="13">
        <v>44896</v>
      </c>
      <c r="BK128" s="14">
        <v>45519</v>
      </c>
      <c r="BL128" s="14">
        <f>DATE(YEAR(BK128)+2,MONTH(BK128),DAY(BK128)-1)</f>
        <v>46248</v>
      </c>
      <c r="BM128" s="65">
        <f t="shared" ca="1" si="252"/>
        <v>117</v>
      </c>
      <c r="BN128" s="15" t="str">
        <f t="shared" ca="1" si="253"/>
        <v>VIGENTE</v>
      </c>
      <c r="BO128" s="13">
        <v>44898</v>
      </c>
      <c r="BP128" s="14">
        <v>45532</v>
      </c>
      <c r="BQ128" s="14">
        <f>DATE(YEAR(BP128)+2,MONTH(BP128),DAY(BP128)-1)</f>
        <v>46261</v>
      </c>
      <c r="BR128" s="65">
        <f t="shared" ca="1" si="254"/>
        <v>130</v>
      </c>
      <c r="BS128" s="15" t="str">
        <f t="shared" ca="1" si="255"/>
        <v>VIGENTE</v>
      </c>
      <c r="BT128" s="13">
        <v>44973</v>
      </c>
      <c r="BU128" s="14">
        <v>45611</v>
      </c>
      <c r="BV128" s="14">
        <f>DATE(YEAR(BU128)+2,MONTH(BU128),DAY(BU128)-1)</f>
        <v>46340</v>
      </c>
      <c r="BW128" s="65">
        <f t="shared" ca="1" si="256"/>
        <v>209</v>
      </c>
      <c r="BX128" s="15" t="str">
        <f t="shared" ca="1" si="257"/>
        <v>VIGENTE</v>
      </c>
      <c r="BY128" s="13">
        <v>44907</v>
      </c>
      <c r="BZ128" s="14">
        <v>45546</v>
      </c>
      <c r="CA128" s="14">
        <f>DATE(YEAR(BZ128)+2,MONTH(BZ128),DAY(BZ128)-1)</f>
        <v>46275</v>
      </c>
      <c r="CB128" s="65">
        <f t="shared" ca="1" si="258"/>
        <v>144</v>
      </c>
      <c r="CC128" s="15" t="str">
        <f t="shared" ca="1" si="259"/>
        <v>VIGENTE</v>
      </c>
      <c r="CD128" s="16" t="s">
        <v>108</v>
      </c>
      <c r="CE128" s="14">
        <v>45281</v>
      </c>
      <c r="CF128" s="14">
        <v>45282</v>
      </c>
      <c r="CG128" s="14">
        <f t="shared" si="408"/>
        <v>46743</v>
      </c>
      <c r="CH128" s="65">
        <f t="shared" ca="1" si="409"/>
        <v>612</v>
      </c>
      <c r="CI128" s="15" t="str">
        <f t="shared" ca="1" si="410"/>
        <v>VIGENTE</v>
      </c>
      <c r="CJ128" s="14">
        <v>44872</v>
      </c>
      <c r="CK128" s="14">
        <v>45504</v>
      </c>
      <c r="CL128" s="14">
        <f>DATE(YEAR(CK128)+2,MONTH(CK128),DAY(CK128)-1)</f>
        <v>46233</v>
      </c>
      <c r="CM128" s="65">
        <f t="shared" ca="1" si="263"/>
        <v>102</v>
      </c>
      <c r="CN128" s="15" t="str">
        <f t="shared" ca="1" si="264"/>
        <v>VIGENTE</v>
      </c>
      <c r="CO128" s="13">
        <v>44909</v>
      </c>
      <c r="CP128" s="14">
        <v>45544</v>
      </c>
      <c r="CQ128" s="14">
        <f>DATE(YEAR(CP128)+2,MONTH(CP128),DAY(CP128)-1)</f>
        <v>46273</v>
      </c>
      <c r="CR128" s="65">
        <f t="shared" ca="1" si="265"/>
        <v>142</v>
      </c>
      <c r="CS128" s="15" t="str">
        <f t="shared" ca="1" si="266"/>
        <v>VIGENTE</v>
      </c>
      <c r="CT128" s="13">
        <v>44971</v>
      </c>
      <c r="CU128" s="14">
        <v>45645</v>
      </c>
      <c r="CV128" s="14">
        <f>DATE(YEAR(CU128)+2,MONTH(CU128),DAY(CU128)-1)</f>
        <v>46374</v>
      </c>
      <c r="CW128" s="65">
        <f t="shared" ca="1" si="267"/>
        <v>243</v>
      </c>
      <c r="CX128" s="15" t="str">
        <f t="shared" ca="1" si="268"/>
        <v>VIGENTE</v>
      </c>
      <c r="CY128" s="13">
        <v>44992</v>
      </c>
      <c r="CZ128" s="14">
        <v>45661</v>
      </c>
      <c r="DA128" s="14">
        <f>DATE(YEAR(CZ128)+2,MONTH(CZ128),DAY(CZ128)-1)</f>
        <v>46390</v>
      </c>
      <c r="DB128" s="65">
        <f t="shared" ca="1" si="269"/>
        <v>259</v>
      </c>
      <c r="DC128" s="15" t="str">
        <f t="shared" ca="1" si="270"/>
        <v>VIGENTE</v>
      </c>
      <c r="DD128" s="13">
        <v>45020</v>
      </c>
      <c r="DE128" s="14">
        <v>45689</v>
      </c>
      <c r="DF128" s="14">
        <f>DATE(YEAR(DE128)+2,MONTH(DE128),DAY(DE128)-1)</f>
        <v>46418</v>
      </c>
      <c r="DG128" s="65">
        <f t="shared" ca="1" si="271"/>
        <v>287</v>
      </c>
      <c r="DH128" s="15" t="str">
        <f t="shared" ca="1" si="272"/>
        <v>VIGENTE</v>
      </c>
      <c r="DI128" s="13">
        <v>44914</v>
      </c>
      <c r="DJ128" s="14">
        <v>45562</v>
      </c>
      <c r="DK128" s="14">
        <f>DATE(YEAR(DJ128)+2,MONTH(DJ128),DAY(DJ128)-1)</f>
        <v>46291</v>
      </c>
      <c r="DL128" s="65">
        <f t="shared" ca="1" si="273"/>
        <v>160</v>
      </c>
      <c r="DM128" s="15" t="str">
        <f t="shared" ca="1" si="274"/>
        <v>VIGENTE</v>
      </c>
      <c r="DN128" s="13">
        <v>44895</v>
      </c>
      <c r="DO128" s="14">
        <v>45533</v>
      </c>
      <c r="DP128" s="14">
        <f>DATE(YEAR(DO128)+2,MONTH(DO128),DAY(DO128)-1)</f>
        <v>46262</v>
      </c>
      <c r="DQ128" s="65">
        <f t="shared" ca="1" si="275"/>
        <v>131</v>
      </c>
      <c r="DR128" s="15" t="str">
        <f t="shared" ca="1" si="276"/>
        <v>VIGENTE</v>
      </c>
      <c r="DS128" s="13">
        <v>44950</v>
      </c>
      <c r="DT128" s="14">
        <v>45619</v>
      </c>
      <c r="DU128" s="14">
        <f>DATE(YEAR(DT128)+2,MONTH(DT128),DAY(DT128)-1)</f>
        <v>46348</v>
      </c>
      <c r="DV128" s="65">
        <f t="shared" ca="1" si="277"/>
        <v>217</v>
      </c>
      <c r="DW128" s="15" t="str">
        <f t="shared" ca="1" si="278"/>
        <v>VIGENTE</v>
      </c>
      <c r="DX128" s="13">
        <v>45063</v>
      </c>
      <c r="DY128" s="14">
        <v>45709</v>
      </c>
      <c r="DZ128" s="14">
        <f>DATE(YEAR(DY128)+2,MONTH(DY128),DAY(DY128)-1)</f>
        <v>46438</v>
      </c>
      <c r="EA128" s="65">
        <f t="shared" ca="1" si="279"/>
        <v>307</v>
      </c>
      <c r="EB128" s="15" t="str">
        <f t="shared" ca="1" si="280"/>
        <v>VIGENTE</v>
      </c>
      <c r="EC128" s="13">
        <v>44994</v>
      </c>
      <c r="ED128" s="14">
        <v>45674</v>
      </c>
      <c r="EE128" s="14">
        <f>DATE(YEAR(ED128)+2,MONTH(ED128),DAY(ED128)-1)</f>
        <v>46403</v>
      </c>
      <c r="EF128" s="65">
        <f t="shared" ca="1" si="281"/>
        <v>272</v>
      </c>
      <c r="EG128" s="15" t="str">
        <f t="shared" ca="1" si="282"/>
        <v>VIGENTE</v>
      </c>
      <c r="EH128" s="14">
        <v>45521</v>
      </c>
      <c r="EI128" s="13">
        <v>46000</v>
      </c>
      <c r="EJ128" s="13">
        <v>46001</v>
      </c>
      <c r="EK128" s="13">
        <v>46002</v>
      </c>
      <c r="EL128" s="14">
        <f t="shared" si="344"/>
        <v>46367</v>
      </c>
      <c r="EM128" s="65">
        <f t="shared" ca="1" si="283"/>
        <v>236</v>
      </c>
      <c r="EN128" s="15" t="str">
        <f t="shared" ca="1" si="284"/>
        <v>VIGENTE</v>
      </c>
      <c r="EO128" s="13">
        <v>44993</v>
      </c>
      <c r="EP128" s="14">
        <v>45660</v>
      </c>
      <c r="EQ128" s="14">
        <f>DATE(YEAR(EP128)+2,MONTH(EP128),DAY(EP128)-1)</f>
        <v>46389</v>
      </c>
      <c r="ER128" s="65">
        <f t="shared" ca="1" si="285"/>
        <v>258</v>
      </c>
      <c r="ES128" s="15" t="str">
        <f t="shared" ca="1" si="286"/>
        <v>VIGENTE</v>
      </c>
      <c r="ET128" s="13">
        <v>45003</v>
      </c>
      <c r="EU128" s="14">
        <v>45677</v>
      </c>
      <c r="EV128" s="14">
        <f>DATE(YEAR(EU128)+2,MONTH(EU128),DAY(EU128)-1)</f>
        <v>46406</v>
      </c>
      <c r="EW128" s="65">
        <f t="shared" ca="1" si="287"/>
        <v>275</v>
      </c>
      <c r="EX128" s="15" t="str">
        <f t="shared" ca="1" si="288"/>
        <v>VIGENTE</v>
      </c>
      <c r="EY128" s="13">
        <v>44957</v>
      </c>
      <c r="EZ128" s="14">
        <v>45610</v>
      </c>
      <c r="FA128" s="14">
        <f>DATE(YEAR(EZ128)+2,MONTH(EZ128),DAY(EZ128)-1)</f>
        <v>46339</v>
      </c>
      <c r="FB128" s="65">
        <f t="shared" ca="1" si="289"/>
        <v>208</v>
      </c>
      <c r="FC128" s="15" t="str">
        <f t="shared" ca="1" si="290"/>
        <v>VIGENTE</v>
      </c>
      <c r="FD128" s="13">
        <v>45009</v>
      </c>
      <c r="FE128" s="14">
        <v>45666</v>
      </c>
      <c r="FF128" s="14">
        <f>DATE(YEAR(FE128)+2,MONTH(FE128),DAY(FE128)-1)</f>
        <v>46395</v>
      </c>
      <c r="FG128" s="65">
        <f t="shared" ca="1" si="291"/>
        <v>264</v>
      </c>
      <c r="FH128" s="15" t="str">
        <f t="shared" ca="1" si="292"/>
        <v>VIGENTE</v>
      </c>
      <c r="FI128" s="13">
        <v>45006</v>
      </c>
      <c r="FJ128" s="14">
        <v>45668</v>
      </c>
      <c r="FK128" s="14">
        <f>DATE(YEAR(FJ128)+2,MONTH(FJ128),DAY(FJ128)-1)</f>
        <v>46397</v>
      </c>
      <c r="FL128" s="65">
        <f t="shared" ca="1" si="293"/>
        <v>266</v>
      </c>
      <c r="FM128" s="15" t="str">
        <f t="shared" ca="1" si="294"/>
        <v>VIGENTE</v>
      </c>
      <c r="FN128" s="13">
        <v>44905</v>
      </c>
      <c r="FO128" s="14">
        <v>45545</v>
      </c>
      <c r="FP128" s="14">
        <f>DATE(YEAR(FO128)+2,MONTH(FO128),DAY(FO128)-1)</f>
        <v>46274</v>
      </c>
      <c r="FQ128" s="65">
        <f t="shared" ca="1" si="295"/>
        <v>143</v>
      </c>
      <c r="FR128" s="15" t="str">
        <f t="shared" ca="1" si="296"/>
        <v>VIGENTE</v>
      </c>
      <c r="FS128" s="13">
        <v>44925</v>
      </c>
      <c r="FT128" s="14">
        <v>45543</v>
      </c>
      <c r="FU128" s="14">
        <f>DATE(YEAR(FT128)+2,MONTH(FT128),DAY(FT128)-1)</f>
        <v>46272</v>
      </c>
      <c r="FV128" s="65">
        <f t="shared" ca="1" si="297"/>
        <v>141</v>
      </c>
      <c r="FW128" s="15" t="str">
        <f t="shared" ca="1" si="298"/>
        <v>VIGENTE</v>
      </c>
      <c r="FX128" s="14">
        <v>44916</v>
      </c>
      <c r="FY128" s="14">
        <v>45547</v>
      </c>
      <c r="FZ128" s="14">
        <f>DATE(YEAR(FY128)+2,MONTH(FY128),DAY(FY128)-1)</f>
        <v>46276</v>
      </c>
      <c r="GA128" s="65">
        <f t="shared" ca="1" si="299"/>
        <v>145</v>
      </c>
      <c r="GB128" s="15" t="str">
        <f t="shared" ca="1" si="300"/>
        <v>VIGENTE</v>
      </c>
      <c r="GC128" s="13">
        <v>44922</v>
      </c>
      <c r="GD128" s="14">
        <v>45560</v>
      </c>
      <c r="GE128" s="14">
        <f>DATE(YEAR(GD128)+2,MONTH(GD128),DAY(GD128)-1)</f>
        <v>46289</v>
      </c>
      <c r="GF128" s="65">
        <f t="shared" ca="1" si="301"/>
        <v>158</v>
      </c>
      <c r="GG128" s="15" t="str">
        <f t="shared" ca="1" si="302"/>
        <v>VIGENTE</v>
      </c>
      <c r="GH128" s="13">
        <v>44937</v>
      </c>
      <c r="GI128" s="14">
        <v>45570</v>
      </c>
      <c r="GJ128" s="14">
        <f>DATE(YEAR(GI128)+2,MONTH(GI128),DAY(GI128)-1)</f>
        <v>46299</v>
      </c>
      <c r="GK128" s="65">
        <f t="shared" ca="1" si="303"/>
        <v>168</v>
      </c>
      <c r="GL128" s="15" t="str">
        <f t="shared" ca="1" si="304"/>
        <v>VIGENTE</v>
      </c>
      <c r="GM128" s="13">
        <v>44915</v>
      </c>
      <c r="GN128" s="14">
        <v>45557</v>
      </c>
      <c r="GO128" s="14">
        <f>DATE(YEAR(GN128)+2,MONTH(GN128),DAY(GN128)-1)</f>
        <v>46286</v>
      </c>
      <c r="GP128" s="65">
        <f t="shared" ca="1" si="305"/>
        <v>155</v>
      </c>
      <c r="GQ128" s="15" t="str">
        <f t="shared" ca="1" si="306"/>
        <v>VIGENTE</v>
      </c>
      <c r="GR128" s="14"/>
      <c r="GS128" s="14">
        <v>44912</v>
      </c>
      <c r="GT128" s="14">
        <f t="shared" si="307"/>
        <v>46738</v>
      </c>
      <c r="GU128" s="65">
        <f t="shared" ca="1" si="398"/>
        <v>607</v>
      </c>
      <c r="GV128" s="15" t="str">
        <f t="shared" ca="1" si="411"/>
        <v>VIGENTE</v>
      </c>
      <c r="GW128" s="13"/>
      <c r="GX128" s="14">
        <v>45099</v>
      </c>
      <c r="GY128" s="14">
        <f t="shared" si="309"/>
        <v>46926</v>
      </c>
      <c r="GZ128" s="65">
        <f t="shared" ca="1" si="310"/>
        <v>795</v>
      </c>
      <c r="HA128" s="15" t="str">
        <f t="shared" ca="1" si="418"/>
        <v>VIGENTE</v>
      </c>
      <c r="HB128" s="12"/>
      <c r="HC128" s="14">
        <v>44911</v>
      </c>
      <c r="HD128" s="14">
        <f t="shared" si="312"/>
        <v>46737</v>
      </c>
      <c r="HE128" s="65">
        <f t="shared" ca="1" si="313"/>
        <v>606</v>
      </c>
      <c r="HF128" s="15" t="str">
        <f t="shared" ca="1" si="413"/>
        <v>VIGENTE</v>
      </c>
      <c r="HG128" s="16"/>
      <c r="HH128" s="14">
        <v>45094</v>
      </c>
      <c r="HI128" s="14">
        <f t="shared" si="420"/>
        <v>46921</v>
      </c>
      <c r="HJ128" s="65">
        <f t="shared" ca="1" si="421"/>
        <v>790</v>
      </c>
      <c r="HK128" s="15" t="str">
        <f t="shared" ca="1" si="419"/>
        <v>VIGENTE</v>
      </c>
      <c r="HL128" s="12"/>
      <c r="HM128" s="16"/>
      <c r="HN128" s="14"/>
      <c r="HO128" s="65"/>
      <c r="HP128" s="15" t="str">
        <f t="shared" si="437"/>
        <v>NO APLICA</v>
      </c>
      <c r="HQ128" s="12"/>
      <c r="HR128" s="12"/>
      <c r="HS128" s="14"/>
      <c r="HT128" s="12"/>
      <c r="HU128" s="15" t="str">
        <f t="shared" si="315"/>
        <v>NO APLICA</v>
      </c>
      <c r="HV128" s="12"/>
      <c r="HW128" s="14">
        <v>45089</v>
      </c>
      <c r="HX128" s="14">
        <f>DATE(YEAR(HW128)+5,MONTH(HW128),DAY(HW128))</f>
        <v>46916</v>
      </c>
      <c r="HY128" s="65">
        <f ca="1">HX128-TODAY()</f>
        <v>785</v>
      </c>
      <c r="HZ128" s="15" t="str">
        <f t="shared" ca="1" si="316"/>
        <v>VIGENTE</v>
      </c>
      <c r="IA128" s="12"/>
      <c r="IB128" s="14">
        <v>45092</v>
      </c>
      <c r="IC128" s="14">
        <f>DATE(YEAR(IB128)+5,MONTH(IB128),DAY(IB128))</f>
        <v>46919</v>
      </c>
      <c r="ID128" s="65">
        <f ca="1">IC128-TODAY()</f>
        <v>788</v>
      </c>
      <c r="IE128" s="15" t="str">
        <f t="shared" ca="1" si="317"/>
        <v>VIGENTE</v>
      </c>
      <c r="IF128" s="12"/>
      <c r="IG128" s="14">
        <v>45100</v>
      </c>
      <c r="IH128" s="14">
        <f>DATE(YEAR(IG128)+5,MONTH(IG128),DAY(IG128))</f>
        <v>46927</v>
      </c>
      <c r="II128" s="65">
        <f ca="1">IH128-TODAY()</f>
        <v>796</v>
      </c>
      <c r="IJ128" s="15" t="str">
        <f t="shared" ca="1" si="318"/>
        <v>VIGENTE</v>
      </c>
      <c r="IK128" s="16"/>
      <c r="IL128" s="14">
        <v>45105</v>
      </c>
      <c r="IM128" s="14">
        <f>DATE(YEAR(IL128)+5,MONTH(IL128),DAY(IL128))</f>
        <v>46932</v>
      </c>
      <c r="IN128" s="65">
        <f ca="1">IM128-TODAY()</f>
        <v>801</v>
      </c>
      <c r="IO128" s="15" t="str">
        <f t="shared" ca="1" si="319"/>
        <v>VIGENTE</v>
      </c>
      <c r="IP128" s="12"/>
      <c r="IQ128" s="14">
        <v>45064</v>
      </c>
      <c r="IR128" s="14">
        <f>DATE(YEAR(IQ128)+5,MONTH(IQ128),DAY(IQ128))</f>
        <v>46891</v>
      </c>
      <c r="IS128" s="65">
        <f ca="1">IR128-TODAY()</f>
        <v>760</v>
      </c>
      <c r="IT128" s="15" t="str">
        <f t="shared" ca="1" si="320"/>
        <v>VIGENTE</v>
      </c>
      <c r="IU128" s="12"/>
      <c r="IV128" s="14">
        <v>45104</v>
      </c>
      <c r="IW128" s="14">
        <f>DATE(YEAR(IV128)+5,MONTH(IV128),DAY(IV128))</f>
        <v>46931</v>
      </c>
      <c r="IX128" s="65">
        <f ca="1">IW128-TODAY()</f>
        <v>800</v>
      </c>
      <c r="IY128" s="15" t="str">
        <f t="shared" ca="1" si="321"/>
        <v>VIGENTE</v>
      </c>
      <c r="IZ128" s="12"/>
      <c r="JA128" s="14">
        <v>45107</v>
      </c>
      <c r="JB128" s="14">
        <f>DATE(YEAR(JA128)+5,MONTH(JA128),DAY(JA128))</f>
        <v>46934</v>
      </c>
      <c r="JC128" s="65">
        <f ca="1">JB128-TODAY()</f>
        <v>803</v>
      </c>
      <c r="JD128" s="15" t="str">
        <f t="shared" ca="1" si="322"/>
        <v>VIGENTE</v>
      </c>
      <c r="JE128" s="13"/>
      <c r="JF128" s="13"/>
      <c r="JG128" s="14"/>
      <c r="JH128" s="65"/>
      <c r="JI128" s="15" t="str">
        <f t="shared" si="323"/>
        <v>NO APLICA</v>
      </c>
      <c r="JJ128" s="16"/>
      <c r="JK128" s="16"/>
      <c r="JL128" s="16"/>
      <c r="JM128" s="15" t="str">
        <f t="shared" si="324"/>
        <v>NO APLICA</v>
      </c>
      <c r="JN128" s="16"/>
      <c r="JO128" s="16"/>
      <c r="JP128" s="16"/>
      <c r="JQ128" s="15" t="str">
        <f t="shared" si="325"/>
        <v>NO APLICA</v>
      </c>
      <c r="JR128" s="16"/>
      <c r="JS128" s="16"/>
      <c r="JT128" s="16"/>
      <c r="JU128" s="16"/>
      <c r="JV128" s="15" t="str">
        <f t="shared" si="326"/>
        <v>NO APLICA</v>
      </c>
      <c r="JW128" s="15"/>
      <c r="JX128" s="15"/>
      <c r="JY128" s="15"/>
      <c r="JZ128" s="15"/>
      <c r="KA128" s="15" t="str">
        <f t="shared" si="327"/>
        <v>NO APLICA</v>
      </c>
      <c r="KB128" s="12"/>
      <c r="KC128" s="14"/>
      <c r="KD128" s="65"/>
      <c r="KE128" s="15" t="str">
        <f t="shared" si="328"/>
        <v>NO APLICA</v>
      </c>
      <c r="KF128" s="12"/>
      <c r="KG128" s="14"/>
      <c r="KH128" s="65"/>
      <c r="KI128" s="15" t="str">
        <f t="shared" si="345"/>
        <v>NO APLICA</v>
      </c>
      <c r="KJ128" s="12"/>
      <c r="KK128" s="14"/>
      <c r="KL128" s="65"/>
      <c r="KM128" s="15" t="str">
        <f t="shared" si="329"/>
        <v>NO APLICA</v>
      </c>
      <c r="KN128" s="12"/>
      <c r="KO128" s="14"/>
      <c r="KP128" s="65"/>
      <c r="KQ128" s="15" t="str">
        <f t="shared" si="346"/>
        <v>NO APLICA</v>
      </c>
      <c r="KR128" s="12"/>
      <c r="KS128" s="16"/>
      <c r="KT128" s="14"/>
      <c r="KU128" s="65"/>
      <c r="KV128" s="15" t="str">
        <f t="shared" si="355"/>
        <v>NO APLICA</v>
      </c>
      <c r="KW128" s="16"/>
      <c r="KX128" s="14"/>
      <c r="KY128" s="65"/>
      <c r="KZ128" s="15" t="str">
        <f t="shared" si="347"/>
        <v>NO APLICA</v>
      </c>
      <c r="LA128" s="16"/>
      <c r="LB128" s="16"/>
      <c r="LC128" s="14"/>
      <c r="LD128" s="65"/>
      <c r="LE128" s="15" t="str">
        <f t="shared" si="330"/>
        <v>NO APLICA</v>
      </c>
      <c r="LF128" s="15"/>
      <c r="LG128" s="15"/>
      <c r="LH128" s="14"/>
      <c r="LI128" s="65"/>
      <c r="LJ128" s="15" t="str">
        <f t="shared" si="356"/>
        <v>NO APLICA</v>
      </c>
      <c r="LK128" s="12"/>
      <c r="LL128" s="16"/>
      <c r="LM128" s="14"/>
      <c r="LN128" s="65"/>
      <c r="LO128" s="15" t="str">
        <f t="shared" si="348"/>
        <v>NO APLICA</v>
      </c>
      <c r="LP128" s="16"/>
      <c r="LQ128" s="16"/>
      <c r="LR128" s="14"/>
      <c r="LS128" s="65"/>
      <c r="LT128" s="15" t="str">
        <f t="shared" si="349"/>
        <v>NO APLICA</v>
      </c>
      <c r="LU128" s="16"/>
      <c r="LV128" s="16"/>
      <c r="LW128" s="14"/>
      <c r="LX128" s="65"/>
      <c r="LY128" s="15" t="str">
        <f t="shared" si="350"/>
        <v>NO APLICA</v>
      </c>
      <c r="LZ128" s="12"/>
      <c r="MA128" s="12"/>
      <c r="MB128" s="14"/>
      <c r="MC128" s="65"/>
      <c r="MD128" s="15" t="str">
        <f t="shared" si="331"/>
        <v>NO APLICA</v>
      </c>
      <c r="ME128" s="12"/>
      <c r="MF128" s="12"/>
      <c r="MG128" s="14"/>
      <c r="MH128" s="65"/>
      <c r="MI128" s="15" t="str">
        <f t="shared" si="332"/>
        <v>NO APLICA</v>
      </c>
      <c r="MJ128" s="12"/>
      <c r="MK128" s="14"/>
      <c r="ML128" s="65"/>
      <c r="MM128" s="15" t="str">
        <f t="shared" si="333"/>
        <v>NO APLICA</v>
      </c>
      <c r="MN128" s="12"/>
      <c r="MO128" s="14"/>
      <c r="MP128" s="12"/>
      <c r="MQ128" s="15" t="str">
        <f t="shared" si="334"/>
        <v>NO APLICA</v>
      </c>
      <c r="MR128" s="12"/>
      <c r="MS128" s="16"/>
      <c r="MT128" s="14"/>
      <c r="MU128" s="65"/>
      <c r="MV128" s="15" t="str">
        <f t="shared" si="335"/>
        <v>NO APLICA</v>
      </c>
      <c r="MW128" s="12"/>
      <c r="MX128" s="16"/>
      <c r="MY128" s="14"/>
      <c r="MZ128" s="65"/>
      <c r="NA128" s="15" t="str">
        <f t="shared" si="336"/>
        <v>NO APLICA</v>
      </c>
      <c r="NB128" s="12"/>
      <c r="NC128" s="16"/>
      <c r="ND128" s="14"/>
      <c r="NE128" s="65"/>
      <c r="NF128" s="15" t="str">
        <f t="shared" si="337"/>
        <v>NO APLICA</v>
      </c>
      <c r="NG128" s="12"/>
      <c r="NH128" s="12"/>
      <c r="NI128" s="14"/>
      <c r="NJ128" s="65"/>
      <c r="NK128" s="15" t="str">
        <f t="shared" si="338"/>
        <v>NO APLICA</v>
      </c>
      <c r="NL128" s="12"/>
      <c r="NM128" s="12"/>
      <c r="NN128" s="14"/>
      <c r="NO128" s="12"/>
      <c r="NP128" s="15" t="str">
        <f t="shared" si="339"/>
        <v>NO APLICA</v>
      </c>
      <c r="NQ128" s="16"/>
      <c r="NR128" s="16"/>
      <c r="NS128" s="14"/>
      <c r="NT128" s="65"/>
      <c r="NU128" s="15" t="str">
        <f t="shared" si="340"/>
        <v>NO APLICA</v>
      </c>
      <c r="NV128" s="16"/>
      <c r="NW128" s="16"/>
      <c r="NX128" s="16"/>
      <c r="NY128" s="16"/>
      <c r="NZ128" s="15" t="str">
        <f t="shared" si="341"/>
        <v>NO APLICA</v>
      </c>
    </row>
    <row r="129" spans="1:390" ht="15.6" thickTop="1" thickBot="1" x14ac:dyDescent="0.35">
      <c r="A129" s="11">
        <v>1218</v>
      </c>
      <c r="B129" s="10" t="s">
        <v>485</v>
      </c>
      <c r="C129" s="21" t="s">
        <v>104</v>
      </c>
      <c r="D129" s="64" t="s">
        <v>110</v>
      </c>
      <c r="E129" s="15"/>
      <c r="F129" s="16"/>
      <c r="G129" s="14"/>
      <c r="H129" s="65"/>
      <c r="I129" s="15" t="str">
        <f t="shared" si="235"/>
        <v>NO APLICA</v>
      </c>
      <c r="J129" s="15"/>
      <c r="K129" s="16"/>
      <c r="L129" s="16"/>
      <c r="M129" s="65"/>
      <c r="N129" s="15" t="str">
        <f t="shared" si="236"/>
        <v>NO APLICA</v>
      </c>
      <c r="O129" s="16"/>
      <c r="P129" s="16"/>
      <c r="Q129" s="14"/>
      <c r="R129" s="65"/>
      <c r="S129" s="15" t="str">
        <f t="shared" si="342"/>
        <v>NO APLICA</v>
      </c>
      <c r="T129" s="12" t="s">
        <v>486</v>
      </c>
      <c r="U129" s="13">
        <v>45040</v>
      </c>
      <c r="V129" s="14">
        <v>45041</v>
      </c>
      <c r="W129" s="14">
        <f t="shared" si="401"/>
        <v>46868</v>
      </c>
      <c r="X129" s="65">
        <f t="shared" ca="1" si="402"/>
        <v>737</v>
      </c>
      <c r="Y129" s="15" t="str">
        <f t="shared" ca="1" si="403"/>
        <v>VIGENTE</v>
      </c>
      <c r="Z129" s="12" t="s">
        <v>487</v>
      </c>
      <c r="AA129" s="13">
        <v>45151</v>
      </c>
      <c r="AB129" s="14">
        <v>45152</v>
      </c>
      <c r="AC129" s="14">
        <f t="shared" si="422"/>
        <v>46979</v>
      </c>
      <c r="AD129" s="65">
        <f t="shared" ca="1" si="423"/>
        <v>848</v>
      </c>
      <c r="AE129" s="15" t="str">
        <f t="shared" ca="1" si="424"/>
        <v>VIGENTE</v>
      </c>
      <c r="AF129" s="13">
        <v>45037</v>
      </c>
      <c r="AG129" s="14">
        <v>45680</v>
      </c>
      <c r="AH129" s="14">
        <f>DATE(YEAR(AG129)+2,MONTH(AG129),DAY(AG129)-1)</f>
        <v>46409</v>
      </c>
      <c r="AI129" s="65">
        <f t="shared" ca="1" si="241"/>
        <v>278</v>
      </c>
      <c r="AJ129" s="15" t="str">
        <f t="shared" ca="1" si="399"/>
        <v>VIGENTE</v>
      </c>
      <c r="AK129" s="13">
        <v>45044</v>
      </c>
      <c r="AL129" s="14">
        <v>45710</v>
      </c>
      <c r="AM129" s="14">
        <f>DATE(YEAR(AL129)+2,MONTH(AL129),DAY(AL129)-1)</f>
        <v>46439</v>
      </c>
      <c r="AN129" s="65">
        <f t="shared" ca="1" si="242"/>
        <v>308</v>
      </c>
      <c r="AO129" s="15" t="str">
        <f t="shared" ca="1" si="243"/>
        <v>VIGENTE</v>
      </c>
      <c r="AP129" s="13">
        <v>45074</v>
      </c>
      <c r="AQ129" s="14">
        <v>45703</v>
      </c>
      <c r="AR129" s="14">
        <f>DATE(YEAR(AQ129)+2,MONTH(AQ129),DAY(AQ129)-1)</f>
        <v>46432</v>
      </c>
      <c r="AS129" s="65">
        <f t="shared" ca="1" si="244"/>
        <v>301</v>
      </c>
      <c r="AT129" s="15" t="str">
        <f t="shared" ca="1" si="245"/>
        <v>VIGENTE</v>
      </c>
      <c r="AU129" s="13">
        <v>45093</v>
      </c>
      <c r="AV129" s="14">
        <v>45765</v>
      </c>
      <c r="AW129" s="14">
        <f t="shared" ref="AW129:AW136" si="438">DATE(YEAR(AV129)+2,MONTH(AV129),DAY(AV129))</f>
        <v>46495</v>
      </c>
      <c r="AX129" s="65">
        <f t="shared" ca="1" si="246"/>
        <v>364</v>
      </c>
      <c r="AY129" s="15" t="str">
        <f t="shared" ca="1" si="247"/>
        <v>VIGENTE</v>
      </c>
      <c r="AZ129" s="13">
        <v>45038</v>
      </c>
      <c r="BA129" s="14">
        <v>45708</v>
      </c>
      <c r="BB129" s="14">
        <f>DATE(YEAR(BA129)+2,MONTH(BA129),DAY(BA129)-1)</f>
        <v>46437</v>
      </c>
      <c r="BC129" s="65">
        <f t="shared" ca="1" si="248"/>
        <v>306</v>
      </c>
      <c r="BD129" s="15" t="str">
        <f t="shared" ca="1" si="249"/>
        <v>VIGENTE</v>
      </c>
      <c r="BE129" s="13">
        <v>45123</v>
      </c>
      <c r="BF129" s="14">
        <v>45762</v>
      </c>
      <c r="BG129" s="14">
        <f t="shared" ref="BG129:BG134" si="439">DATE(YEAR(BF129)+2,MONTH(BF129),DAY(BF129))</f>
        <v>46492</v>
      </c>
      <c r="BH129" s="65">
        <f t="shared" ca="1" si="250"/>
        <v>361</v>
      </c>
      <c r="BI129" s="15" t="str">
        <f t="shared" ca="1" si="251"/>
        <v>VIGENTE</v>
      </c>
      <c r="BJ129" s="13">
        <v>45030</v>
      </c>
      <c r="BK129" s="14">
        <v>45699</v>
      </c>
      <c r="BL129" s="14">
        <f>DATE(YEAR(BK129)+2,MONTH(BK129),DAY(BK129)-1)</f>
        <v>46428</v>
      </c>
      <c r="BM129" s="65">
        <f t="shared" ca="1" si="252"/>
        <v>297</v>
      </c>
      <c r="BN129" s="15" t="str">
        <f t="shared" ca="1" si="253"/>
        <v>VIGENTE</v>
      </c>
      <c r="BO129" s="13">
        <v>45031</v>
      </c>
      <c r="BP129" s="14">
        <v>45701</v>
      </c>
      <c r="BQ129" s="14">
        <f>DATE(YEAR(BP129)+2,MONTH(BP129),DAY(BP129)-1)</f>
        <v>46430</v>
      </c>
      <c r="BR129" s="65">
        <f t="shared" ca="1" si="254"/>
        <v>299</v>
      </c>
      <c r="BS129" s="15" t="str">
        <f t="shared" ca="1" si="255"/>
        <v>VIGENTE</v>
      </c>
      <c r="BT129" s="13">
        <v>45034</v>
      </c>
      <c r="BU129" s="14">
        <v>45695</v>
      </c>
      <c r="BV129" s="14">
        <f>DATE(YEAR(BU129)+2,MONTH(BU129),DAY(BU129)-1)</f>
        <v>46424</v>
      </c>
      <c r="BW129" s="65">
        <f t="shared" ca="1" si="256"/>
        <v>293</v>
      </c>
      <c r="BX129" s="15" t="str">
        <f t="shared" ca="1" si="257"/>
        <v>VIGENTE</v>
      </c>
      <c r="BY129" s="12">
        <v>45124</v>
      </c>
      <c r="BZ129" s="14">
        <v>45770</v>
      </c>
      <c r="CA129" s="14">
        <f t="shared" ref="CA129:CA136" si="440">DATE(YEAR(BZ129)+2,MONTH(BZ129),DAY(BZ129))</f>
        <v>46500</v>
      </c>
      <c r="CB129" s="65">
        <f t="shared" ca="1" si="258"/>
        <v>369</v>
      </c>
      <c r="CC129" s="15" t="str">
        <f t="shared" ca="1" si="259"/>
        <v>VIGENTE</v>
      </c>
      <c r="CD129" s="16" t="s">
        <v>108</v>
      </c>
      <c r="CE129" s="14">
        <v>45246</v>
      </c>
      <c r="CF129" s="14">
        <v>45247</v>
      </c>
      <c r="CG129" s="14">
        <f t="shared" si="408"/>
        <v>46708</v>
      </c>
      <c r="CH129" s="65">
        <f t="shared" ca="1" si="409"/>
        <v>577</v>
      </c>
      <c r="CI129" s="15" t="str">
        <f t="shared" ca="1" si="410"/>
        <v>VIGENTE</v>
      </c>
      <c r="CJ129" s="16">
        <v>45103</v>
      </c>
      <c r="CK129" s="14">
        <v>45763</v>
      </c>
      <c r="CL129" s="14">
        <f>DATE(YEAR(CK129)+2,MONTH(CK129),DAY(CK129))</f>
        <v>46493</v>
      </c>
      <c r="CM129" s="65">
        <f t="shared" ca="1" si="263"/>
        <v>362</v>
      </c>
      <c r="CN129" s="15" t="str">
        <f t="shared" ca="1" si="264"/>
        <v>VIGENTE</v>
      </c>
      <c r="CO129" s="13">
        <v>45050</v>
      </c>
      <c r="CP129" s="14">
        <v>45684</v>
      </c>
      <c r="CQ129" s="14">
        <f>DATE(YEAR(CP129)+2,MONTH(CP129),DAY(CP129)-1)</f>
        <v>46413</v>
      </c>
      <c r="CR129" s="65">
        <f t="shared" ca="1" si="265"/>
        <v>282</v>
      </c>
      <c r="CS129" s="15" t="str">
        <f t="shared" ca="1" si="266"/>
        <v>VIGENTE</v>
      </c>
      <c r="CT129" s="13">
        <v>45142</v>
      </c>
      <c r="CU129" s="14">
        <v>45805</v>
      </c>
      <c r="CV129" s="14">
        <f>DATE(YEAR(CU129)+2,MONTH(CU129),DAY(CU129))</f>
        <v>46535</v>
      </c>
      <c r="CW129" s="65">
        <f t="shared" ca="1" si="267"/>
        <v>404</v>
      </c>
      <c r="CX129" s="15" t="str">
        <f t="shared" ca="1" si="268"/>
        <v>VIGENTE</v>
      </c>
      <c r="CY129" s="13">
        <v>45057</v>
      </c>
      <c r="CZ129" s="14">
        <v>45681</v>
      </c>
      <c r="DA129" s="14">
        <f>DATE(YEAR(CZ129)+2,MONTH(CZ129),DAY(CZ129)-1)</f>
        <v>46410</v>
      </c>
      <c r="DB129" s="65">
        <f t="shared" ca="1" si="269"/>
        <v>279</v>
      </c>
      <c r="DC129" s="15" t="str">
        <f t="shared" ca="1" si="270"/>
        <v>VIGENTE</v>
      </c>
      <c r="DD129" s="13">
        <v>45079</v>
      </c>
      <c r="DE129" s="14">
        <v>45761</v>
      </c>
      <c r="DF129" s="14">
        <f>DATE(YEAR(DE129)+2,MONTH(DE129),DAY(DE129))</f>
        <v>46491</v>
      </c>
      <c r="DG129" s="65">
        <f t="shared" ca="1" si="271"/>
        <v>360</v>
      </c>
      <c r="DH129" s="15" t="str">
        <f t="shared" ca="1" si="272"/>
        <v>VIGENTE</v>
      </c>
      <c r="DI129" s="13">
        <v>45027</v>
      </c>
      <c r="DJ129" s="14">
        <v>45696</v>
      </c>
      <c r="DK129" s="14">
        <f>DATE(YEAR(DJ129)+2,MONTH(DJ129),DAY(DJ129)-1)</f>
        <v>46425</v>
      </c>
      <c r="DL129" s="65">
        <f t="shared" ca="1" si="273"/>
        <v>294</v>
      </c>
      <c r="DM129" s="15" t="str">
        <f t="shared" ca="1" si="274"/>
        <v>VIGENTE</v>
      </c>
      <c r="DN129" s="13">
        <v>45054</v>
      </c>
      <c r="DO129" s="14">
        <v>45731</v>
      </c>
      <c r="DP129" s="14">
        <f>DATE(YEAR(DO129)+2,MONTH(DO129),DAY(DO129)-1)</f>
        <v>46460</v>
      </c>
      <c r="DQ129" s="65">
        <f t="shared" ca="1" si="275"/>
        <v>329</v>
      </c>
      <c r="DR129" s="15" t="str">
        <f t="shared" ca="1" si="276"/>
        <v>VIGENTE</v>
      </c>
      <c r="DS129" s="13">
        <v>45066</v>
      </c>
      <c r="DT129" s="14">
        <v>45685</v>
      </c>
      <c r="DU129" s="14">
        <f>DATE(YEAR(DT129)+2,MONTH(DT129),DAY(DT129)-1)</f>
        <v>46414</v>
      </c>
      <c r="DV129" s="65">
        <f t="shared" ca="1" si="277"/>
        <v>283</v>
      </c>
      <c r="DW129" s="15" t="str">
        <f t="shared" ca="1" si="278"/>
        <v>VIGENTE</v>
      </c>
      <c r="DX129" s="13">
        <v>45149</v>
      </c>
      <c r="DY129" s="14">
        <v>45804</v>
      </c>
      <c r="DZ129" s="14">
        <f>DATE(YEAR(DY129)+2,MONTH(DY129),DAY(DY129))</f>
        <v>46534</v>
      </c>
      <c r="EA129" s="65">
        <f t="shared" ca="1" si="279"/>
        <v>403</v>
      </c>
      <c r="EB129" s="15" t="str">
        <f t="shared" ca="1" si="280"/>
        <v>VIGENTE</v>
      </c>
      <c r="EC129" s="13">
        <v>45051</v>
      </c>
      <c r="ED129" s="14">
        <v>45674</v>
      </c>
      <c r="EE129" s="14">
        <f>DATE(YEAR(ED129)+2,MONTH(ED129),DAY(ED129)-1)</f>
        <v>46403</v>
      </c>
      <c r="EF129" s="65">
        <f t="shared" ca="1" si="281"/>
        <v>272</v>
      </c>
      <c r="EG129" s="15" t="str">
        <f t="shared" ca="1" si="282"/>
        <v>VIGENTE</v>
      </c>
      <c r="EH129" s="13">
        <v>45106</v>
      </c>
      <c r="EI129" s="13">
        <v>45806</v>
      </c>
      <c r="EJ129" s="13">
        <v>45807</v>
      </c>
      <c r="EK129" s="14">
        <v>45808</v>
      </c>
      <c r="EL129" s="14">
        <f t="shared" si="344"/>
        <v>46173</v>
      </c>
      <c r="EM129" s="65">
        <f t="shared" ca="1" si="283"/>
        <v>42</v>
      </c>
      <c r="EN129" s="15" t="str">
        <f t="shared" ca="1" si="284"/>
        <v>POR VENCER</v>
      </c>
      <c r="EO129" s="13">
        <v>45042</v>
      </c>
      <c r="EP129" s="14">
        <v>45660</v>
      </c>
      <c r="EQ129" s="14">
        <f>DATE(YEAR(EP129)+2,MONTH(EP129),DAY(EP129)-1)</f>
        <v>46389</v>
      </c>
      <c r="ER129" s="65">
        <f t="shared" ca="1" si="285"/>
        <v>258</v>
      </c>
      <c r="ES129" s="15" t="str">
        <f t="shared" ca="1" si="286"/>
        <v>VIGENTE</v>
      </c>
      <c r="ET129" s="13">
        <v>45043</v>
      </c>
      <c r="EU129" s="14">
        <v>45677</v>
      </c>
      <c r="EV129" s="14">
        <f>DATE(YEAR(EU129)+2,MONTH(EU129),DAY(EU129)-1)</f>
        <v>46406</v>
      </c>
      <c r="EW129" s="65">
        <f t="shared" ca="1" si="287"/>
        <v>275</v>
      </c>
      <c r="EX129" s="15" t="str">
        <f t="shared" ca="1" si="288"/>
        <v>VIGENTE</v>
      </c>
      <c r="EY129" s="13">
        <v>45035</v>
      </c>
      <c r="EZ129" s="14">
        <v>45719</v>
      </c>
      <c r="FA129" s="14">
        <f>DATE(YEAR(EZ129)+2,MONTH(EZ129),DAY(EZ129)-1)</f>
        <v>46448</v>
      </c>
      <c r="FB129" s="65">
        <f t="shared" ca="1" si="289"/>
        <v>317</v>
      </c>
      <c r="FC129" s="15" t="str">
        <f t="shared" ca="1" si="290"/>
        <v>VIGENTE</v>
      </c>
      <c r="FD129" s="13">
        <v>45056</v>
      </c>
      <c r="FE129" s="14">
        <v>45729</v>
      </c>
      <c r="FF129" s="14">
        <f>DATE(YEAR(FE129)+2,MONTH(FE129),DAY(FE129)-1)</f>
        <v>46458</v>
      </c>
      <c r="FG129" s="65">
        <f t="shared" ca="1" si="291"/>
        <v>327</v>
      </c>
      <c r="FH129" s="15" t="str">
        <f t="shared" ca="1" si="292"/>
        <v>VIGENTE</v>
      </c>
      <c r="FI129" s="13">
        <v>45045</v>
      </c>
      <c r="FJ129" s="14">
        <v>45668</v>
      </c>
      <c r="FK129" s="14">
        <f>DATE(YEAR(FJ129)+2,MONTH(FJ129),DAY(FJ129)-1)</f>
        <v>46397</v>
      </c>
      <c r="FL129" s="65">
        <f t="shared" ca="1" si="293"/>
        <v>266</v>
      </c>
      <c r="FM129" s="15" t="str">
        <f t="shared" ca="1" si="294"/>
        <v>VIGENTE</v>
      </c>
      <c r="FN129" s="13">
        <v>45055</v>
      </c>
      <c r="FO129" s="14">
        <v>45686</v>
      </c>
      <c r="FP129" s="14">
        <f>DATE(YEAR(FO129)+2,MONTH(FO129),DAY(FO129)-1)</f>
        <v>46415</v>
      </c>
      <c r="FQ129" s="65">
        <f t="shared" ca="1" si="295"/>
        <v>284</v>
      </c>
      <c r="FR129" s="15" t="str">
        <f t="shared" ca="1" si="296"/>
        <v>VIGENTE</v>
      </c>
      <c r="FS129" s="13">
        <v>45052</v>
      </c>
      <c r="FT129" s="14">
        <v>45678</v>
      </c>
      <c r="FU129" s="14">
        <f>DATE(YEAR(FT129)+2,MONTH(FT129),DAY(FT129)-1)</f>
        <v>46407</v>
      </c>
      <c r="FV129" s="65">
        <f t="shared" ca="1" si="297"/>
        <v>276</v>
      </c>
      <c r="FW129" s="15" t="str">
        <f t="shared" ca="1" si="298"/>
        <v>VIGENTE</v>
      </c>
      <c r="FX129" s="13">
        <v>45028</v>
      </c>
      <c r="FY129" s="14">
        <v>45700</v>
      </c>
      <c r="FZ129" s="14">
        <f>DATE(YEAR(FY129)+2,MONTH(FY129),DAY(FY129)-1)</f>
        <v>46429</v>
      </c>
      <c r="GA129" s="65">
        <f t="shared" ca="1" si="299"/>
        <v>298</v>
      </c>
      <c r="GB129" s="15" t="str">
        <f t="shared" ca="1" si="300"/>
        <v>VIGENTE</v>
      </c>
      <c r="GC129" s="13">
        <v>45049</v>
      </c>
      <c r="GD129" s="14">
        <v>45667</v>
      </c>
      <c r="GE129" s="14">
        <f>DATE(YEAR(GD129)+2,MONTH(GD129),DAY(GD129)-1)</f>
        <v>46396</v>
      </c>
      <c r="GF129" s="65">
        <f t="shared" ca="1" si="301"/>
        <v>265</v>
      </c>
      <c r="GG129" s="15" t="str">
        <f t="shared" ca="1" si="302"/>
        <v>VIGENTE</v>
      </c>
      <c r="GH129" s="13">
        <v>45094</v>
      </c>
      <c r="GI129" s="14">
        <v>45752</v>
      </c>
      <c r="GJ129" s="14">
        <f>DATE(YEAR(GI129)+2,MONTH(GI129),DAY(GI129)-1)</f>
        <v>46481</v>
      </c>
      <c r="GK129" s="65">
        <f t="shared" ca="1" si="303"/>
        <v>350</v>
      </c>
      <c r="GL129" s="15" t="str">
        <f t="shared" ca="1" si="304"/>
        <v>VIGENTE</v>
      </c>
      <c r="GM129" s="13">
        <v>45033</v>
      </c>
      <c r="GN129" s="14">
        <v>45687</v>
      </c>
      <c r="GO129" s="14">
        <f>DATE(YEAR(GN129)+2,MONTH(GN129),DAY(GN129)-1)</f>
        <v>46416</v>
      </c>
      <c r="GP129" s="65">
        <f t="shared" ca="1" si="305"/>
        <v>285</v>
      </c>
      <c r="GQ129" s="15" t="str">
        <f t="shared" ca="1" si="306"/>
        <v>VIGENTE</v>
      </c>
      <c r="GR129" s="14"/>
      <c r="GS129" s="14">
        <v>45048</v>
      </c>
      <c r="GT129" s="14">
        <f t="shared" si="307"/>
        <v>46875</v>
      </c>
      <c r="GU129" s="65">
        <f t="shared" ca="1" si="398"/>
        <v>744</v>
      </c>
      <c r="GV129" s="15" t="str">
        <f t="shared" ca="1" si="411"/>
        <v>VIGENTE</v>
      </c>
      <c r="GW129" s="13"/>
      <c r="GX129" s="14">
        <v>45029</v>
      </c>
      <c r="GY129" s="14">
        <f t="shared" si="309"/>
        <v>46856</v>
      </c>
      <c r="GZ129" s="65">
        <f t="shared" ca="1" si="310"/>
        <v>725</v>
      </c>
      <c r="HA129" s="15" t="str">
        <f t="shared" ca="1" si="418"/>
        <v>VIGENTE</v>
      </c>
      <c r="HB129" s="12"/>
      <c r="HC129" s="14">
        <v>45127</v>
      </c>
      <c r="HD129" s="14">
        <f t="shared" si="312"/>
        <v>46954</v>
      </c>
      <c r="HE129" s="65">
        <f t="shared" ca="1" si="313"/>
        <v>823</v>
      </c>
      <c r="HF129" s="15" t="str">
        <f t="shared" ca="1" si="413"/>
        <v>VIGENTE</v>
      </c>
      <c r="HG129" s="16"/>
      <c r="HH129" s="14">
        <v>45150</v>
      </c>
      <c r="HI129" s="14">
        <f t="shared" si="420"/>
        <v>46977</v>
      </c>
      <c r="HJ129" s="65">
        <f t="shared" ca="1" si="421"/>
        <v>846</v>
      </c>
      <c r="HK129" s="15" t="str">
        <f t="shared" ca="1" si="419"/>
        <v>VIGENTE</v>
      </c>
      <c r="HL129" s="12"/>
      <c r="HM129" s="16"/>
      <c r="HN129" s="14"/>
      <c r="HO129" s="65"/>
      <c r="HP129" s="15" t="str">
        <f t="shared" si="437"/>
        <v>NO APLICA</v>
      </c>
      <c r="HQ129" s="12"/>
      <c r="HR129" s="12"/>
      <c r="HS129" s="14"/>
      <c r="HT129" s="12"/>
      <c r="HU129" s="15" t="str">
        <f t="shared" si="315"/>
        <v>NO APLICA</v>
      </c>
      <c r="HV129" s="12"/>
      <c r="HW129" s="14">
        <v>45180</v>
      </c>
      <c r="HX129" s="14">
        <f>DATE(YEAR(HW129)+5,MONTH(HW129),DAY(HW129))</f>
        <v>47007</v>
      </c>
      <c r="HY129" s="65">
        <f ca="1">HX129-TODAY()</f>
        <v>876</v>
      </c>
      <c r="HZ129" s="15" t="str">
        <f t="shared" ca="1" si="316"/>
        <v>VIGENTE</v>
      </c>
      <c r="IA129" s="12"/>
      <c r="IB129" s="14">
        <v>45194</v>
      </c>
      <c r="IC129" s="14">
        <f>DATE(YEAR(IB129)+5,MONTH(IB129),DAY(IB129))</f>
        <v>47021</v>
      </c>
      <c r="ID129" s="65">
        <f ca="1">IC129-TODAY()</f>
        <v>890</v>
      </c>
      <c r="IE129" s="15" t="str">
        <f t="shared" ca="1" si="317"/>
        <v>VIGENTE</v>
      </c>
      <c r="IF129" s="12"/>
      <c r="IG129" s="14">
        <v>45192</v>
      </c>
      <c r="IH129" s="14">
        <f>DATE(YEAR(IG129)+5,MONTH(IG129),DAY(IG129))</f>
        <v>47019</v>
      </c>
      <c r="II129" s="65">
        <f ca="1">IH129-TODAY()</f>
        <v>888</v>
      </c>
      <c r="IJ129" s="15" t="str">
        <f t="shared" ca="1" si="318"/>
        <v>VIGENTE</v>
      </c>
      <c r="IK129" s="16"/>
      <c r="IL129" s="14">
        <v>45156</v>
      </c>
      <c r="IM129" s="14">
        <f>DATE(YEAR(IL129)+5,MONTH(IL129),DAY(IL129))</f>
        <v>46983</v>
      </c>
      <c r="IN129" s="65">
        <f ca="1">IM129-TODAY()</f>
        <v>852</v>
      </c>
      <c r="IO129" s="15" t="str">
        <f t="shared" ca="1" si="319"/>
        <v>VIGENTE</v>
      </c>
      <c r="IP129" s="12"/>
      <c r="IQ129" s="14">
        <v>45157</v>
      </c>
      <c r="IR129" s="14">
        <f>DATE(YEAR(IQ129)+5,MONTH(IQ129),DAY(IQ129))</f>
        <v>46984</v>
      </c>
      <c r="IS129" s="65">
        <f ca="1">IR129-TODAY()</f>
        <v>853</v>
      </c>
      <c r="IT129" s="15" t="str">
        <f t="shared" ca="1" si="320"/>
        <v>VIGENTE</v>
      </c>
      <c r="IU129" s="12"/>
      <c r="IV129" s="14">
        <v>45191</v>
      </c>
      <c r="IW129" s="14">
        <f>DATE(YEAR(IV129)+5,MONTH(IV129),DAY(IV129))</f>
        <v>47018</v>
      </c>
      <c r="IX129" s="65">
        <f ca="1">IW129-TODAY()</f>
        <v>887</v>
      </c>
      <c r="IY129" s="15" t="str">
        <f t="shared" ca="1" si="321"/>
        <v>VIGENTE</v>
      </c>
      <c r="IZ129" s="12"/>
      <c r="JA129" s="14">
        <v>45216</v>
      </c>
      <c r="JB129" s="14">
        <f>DATE(YEAR(JA129)+5,MONTH(JA129),DAY(JA129))</f>
        <v>47043</v>
      </c>
      <c r="JC129" s="65">
        <f ca="1">JB129-TODAY()</f>
        <v>912</v>
      </c>
      <c r="JD129" s="15" t="str">
        <f t="shared" ca="1" si="322"/>
        <v>VIGENTE</v>
      </c>
      <c r="JE129" s="13"/>
      <c r="JF129" s="13"/>
      <c r="JG129" s="14"/>
      <c r="JH129" s="65"/>
      <c r="JI129" s="15" t="str">
        <f t="shared" si="323"/>
        <v>NO APLICA</v>
      </c>
      <c r="JJ129" s="16"/>
      <c r="JK129" s="16"/>
      <c r="JL129" s="16"/>
      <c r="JM129" s="15" t="str">
        <f t="shared" si="324"/>
        <v>NO APLICA</v>
      </c>
      <c r="JN129" s="16"/>
      <c r="JO129" s="16"/>
      <c r="JP129" s="16"/>
      <c r="JQ129" s="15" t="str">
        <f t="shared" si="325"/>
        <v>NO APLICA</v>
      </c>
      <c r="JR129" s="16"/>
      <c r="JS129" s="16"/>
      <c r="JT129" s="16"/>
      <c r="JU129" s="16"/>
      <c r="JV129" s="15" t="str">
        <f t="shared" si="326"/>
        <v>NO APLICA</v>
      </c>
      <c r="JW129" s="15"/>
      <c r="JX129" s="15"/>
      <c r="JY129" s="15"/>
      <c r="JZ129" s="15"/>
      <c r="KA129" s="15" t="str">
        <f t="shared" si="327"/>
        <v>NO APLICA</v>
      </c>
      <c r="KB129" s="12"/>
      <c r="KC129" s="14"/>
      <c r="KD129" s="65"/>
      <c r="KE129" s="15" t="str">
        <f t="shared" si="328"/>
        <v>NO APLICA</v>
      </c>
      <c r="KF129" s="12"/>
      <c r="KG129" s="14"/>
      <c r="KH129" s="65"/>
      <c r="KI129" s="15" t="str">
        <f t="shared" si="345"/>
        <v>NO APLICA</v>
      </c>
      <c r="KJ129" s="12"/>
      <c r="KK129" s="14"/>
      <c r="KL129" s="65"/>
      <c r="KM129" s="15" t="str">
        <f t="shared" si="329"/>
        <v>NO APLICA</v>
      </c>
      <c r="KN129" s="13">
        <v>45346</v>
      </c>
      <c r="KO129" s="14">
        <f>DATE(YEAR(KN129)+5,MONTH(KN129),DAY(KN129))</f>
        <v>47173</v>
      </c>
      <c r="KP129" s="65">
        <f ca="1">KO129-TODAY()</f>
        <v>1042</v>
      </c>
      <c r="KQ129" s="15" t="str">
        <f t="shared" ca="1" si="346"/>
        <v>VIGENTE</v>
      </c>
      <c r="KR129" s="12"/>
      <c r="KS129" s="16"/>
      <c r="KT129" s="14"/>
      <c r="KU129" s="65"/>
      <c r="KV129" s="15" t="str">
        <f t="shared" si="355"/>
        <v>NO APLICA</v>
      </c>
      <c r="KW129" s="16"/>
      <c r="KX129" s="14"/>
      <c r="KY129" s="65"/>
      <c r="KZ129" s="15" t="str">
        <f t="shared" si="347"/>
        <v>NO APLICA</v>
      </c>
      <c r="LA129" s="16"/>
      <c r="LB129" s="14">
        <v>45611</v>
      </c>
      <c r="LC129" s="14">
        <f>DATE(YEAR(LB129)+2,MONTH(LB129),DAY(LB129))</f>
        <v>46341</v>
      </c>
      <c r="LD129" s="65">
        <f ca="1">LC129-TODAY()</f>
        <v>210</v>
      </c>
      <c r="LE129" s="15" t="str">
        <f t="shared" ca="1" si="330"/>
        <v>VIGENTE</v>
      </c>
      <c r="LF129" s="15"/>
      <c r="LG129" s="15"/>
      <c r="LH129" s="15"/>
      <c r="LI129" s="15"/>
      <c r="LJ129" s="15" t="str">
        <f t="shared" si="356"/>
        <v>NO APLICA</v>
      </c>
      <c r="LK129" s="12"/>
      <c r="LL129" s="16"/>
      <c r="LM129" s="14"/>
      <c r="LN129" s="65"/>
      <c r="LO129" s="15" t="str">
        <f t="shared" si="348"/>
        <v>NO APLICA</v>
      </c>
      <c r="LP129" s="16"/>
      <c r="LQ129" s="16"/>
      <c r="LR129" s="14"/>
      <c r="LS129" s="65"/>
      <c r="LT129" s="15" t="str">
        <f t="shared" si="349"/>
        <v>NO APLICA</v>
      </c>
      <c r="LU129" s="16"/>
      <c r="LV129" s="16"/>
      <c r="LW129" s="14"/>
      <c r="LX129" s="65"/>
      <c r="LY129" s="15" t="str">
        <f t="shared" si="350"/>
        <v>NO APLICA</v>
      </c>
      <c r="LZ129" s="12"/>
      <c r="MA129" s="12"/>
      <c r="MB129" s="14"/>
      <c r="MC129" s="65"/>
      <c r="MD129" s="15" t="str">
        <f t="shared" si="331"/>
        <v>NO APLICA</v>
      </c>
      <c r="ME129" s="12"/>
      <c r="MF129" s="12"/>
      <c r="MG129" s="14"/>
      <c r="MH129" s="65"/>
      <c r="MI129" s="15" t="str">
        <f t="shared" si="332"/>
        <v>NO APLICA</v>
      </c>
      <c r="MJ129" s="12"/>
      <c r="MK129" s="14"/>
      <c r="ML129" s="65"/>
      <c r="MM129" s="15" t="str">
        <f t="shared" si="333"/>
        <v>NO APLICA</v>
      </c>
      <c r="MN129" s="12"/>
      <c r="MO129" s="14"/>
      <c r="MP129" s="12"/>
      <c r="MQ129" s="15" t="str">
        <f t="shared" si="334"/>
        <v>NO APLICA</v>
      </c>
      <c r="MR129" s="12"/>
      <c r="MS129" s="16"/>
      <c r="MT129" s="14"/>
      <c r="MU129" s="65"/>
      <c r="MV129" s="15" t="str">
        <f t="shared" si="335"/>
        <v>NO APLICA</v>
      </c>
      <c r="MW129" s="12"/>
      <c r="MX129" s="16"/>
      <c r="MY129" s="14"/>
      <c r="MZ129" s="65"/>
      <c r="NA129" s="15" t="str">
        <f t="shared" si="336"/>
        <v>NO APLICA</v>
      </c>
      <c r="NB129" s="12"/>
      <c r="NC129" s="16"/>
      <c r="ND129" s="14"/>
      <c r="NE129" s="65"/>
      <c r="NF129" s="15" t="str">
        <f t="shared" si="337"/>
        <v>NO APLICA</v>
      </c>
      <c r="NG129" s="12"/>
      <c r="NH129" s="12"/>
      <c r="NI129" s="14"/>
      <c r="NJ129" s="12"/>
      <c r="NK129" s="15" t="str">
        <f t="shared" si="338"/>
        <v>NO APLICA</v>
      </c>
      <c r="NL129" s="12"/>
      <c r="NM129" s="12"/>
      <c r="NN129" s="14"/>
      <c r="NO129" s="12"/>
      <c r="NP129" s="15" t="str">
        <f t="shared" si="339"/>
        <v>NO APLICA</v>
      </c>
      <c r="NQ129" s="16"/>
      <c r="NR129" s="16"/>
      <c r="NS129" s="14"/>
      <c r="NT129" s="65"/>
      <c r="NU129" s="15" t="str">
        <f t="shared" si="340"/>
        <v>NO APLICA</v>
      </c>
      <c r="NV129" s="16"/>
      <c r="NW129" s="16"/>
      <c r="NX129" s="16"/>
      <c r="NY129" s="16"/>
      <c r="NZ129" s="15" t="str">
        <f t="shared" si="341"/>
        <v>NO APLICA</v>
      </c>
    </row>
    <row r="130" spans="1:390" ht="15.6" thickTop="1" thickBot="1" x14ac:dyDescent="0.35">
      <c r="A130" s="11">
        <v>1640</v>
      </c>
      <c r="B130" s="10" t="s">
        <v>488</v>
      </c>
      <c r="C130" s="21" t="s">
        <v>151</v>
      </c>
      <c r="D130" s="64" t="s">
        <v>216</v>
      </c>
      <c r="E130" s="12"/>
      <c r="F130" s="16"/>
      <c r="G130" s="14"/>
      <c r="H130" s="65"/>
      <c r="I130" s="15" t="str">
        <f t="shared" si="235"/>
        <v>NO APLICA</v>
      </c>
      <c r="J130" s="12"/>
      <c r="K130" s="16"/>
      <c r="L130" s="16"/>
      <c r="M130" s="65"/>
      <c r="N130" s="15" t="str">
        <f t="shared" si="236"/>
        <v>NO APLICA</v>
      </c>
      <c r="O130" s="16"/>
      <c r="P130" s="16"/>
      <c r="Q130" s="14"/>
      <c r="R130" s="65"/>
      <c r="S130" s="15" t="str">
        <f t="shared" si="342"/>
        <v>NO APLICA</v>
      </c>
      <c r="T130" s="12" t="s">
        <v>489</v>
      </c>
      <c r="U130" s="13">
        <v>44943</v>
      </c>
      <c r="V130" s="14">
        <v>44944</v>
      </c>
      <c r="W130" s="14">
        <f t="shared" si="401"/>
        <v>46770</v>
      </c>
      <c r="X130" s="65">
        <f t="shared" ca="1" si="402"/>
        <v>639</v>
      </c>
      <c r="Y130" s="15" t="str">
        <f t="shared" ca="1" si="403"/>
        <v>VIGENTE</v>
      </c>
      <c r="Z130" s="12"/>
      <c r="AA130" s="12"/>
      <c r="AB130" s="16"/>
      <c r="AC130" s="14"/>
      <c r="AD130" s="65"/>
      <c r="AE130" s="15" t="str">
        <f t="shared" si="424"/>
        <v>NO APLICA</v>
      </c>
      <c r="AF130" s="13">
        <v>45243</v>
      </c>
      <c r="AG130" s="14">
        <v>45902</v>
      </c>
      <c r="AH130" s="14">
        <f t="shared" ref="AH130:AH136" si="441">DATE(YEAR(AG130)+2,MONTH(AG130),DAY(AG130))</f>
        <v>46632</v>
      </c>
      <c r="AI130" s="65">
        <f t="shared" ca="1" si="241"/>
        <v>501</v>
      </c>
      <c r="AJ130" s="15" t="str">
        <f t="shared" ca="1" si="399"/>
        <v>VIGENTE</v>
      </c>
      <c r="AK130" s="12"/>
      <c r="AL130" s="14">
        <v>45937</v>
      </c>
      <c r="AM130" s="14">
        <f t="shared" ref="AM130:AM136" si="442">DATE(YEAR(AL130)+2,MONTH(AL130),DAY(AL130))</f>
        <v>46667</v>
      </c>
      <c r="AN130" s="65">
        <f t="shared" ca="1" si="242"/>
        <v>536</v>
      </c>
      <c r="AO130" s="15" t="str">
        <f t="shared" ca="1" si="243"/>
        <v>VIGENTE</v>
      </c>
      <c r="AP130" s="12"/>
      <c r="AQ130" s="14">
        <v>45904</v>
      </c>
      <c r="AR130" s="14">
        <f t="shared" ref="AR130:AR136" si="443">DATE(YEAR(AQ130)+2,MONTH(AQ130),DAY(AQ130))</f>
        <v>46634</v>
      </c>
      <c r="AS130" s="65">
        <f t="shared" ca="1" si="244"/>
        <v>503</v>
      </c>
      <c r="AT130" s="15" t="str">
        <f t="shared" ca="1" si="245"/>
        <v>VIGENTE</v>
      </c>
      <c r="AU130" s="12"/>
      <c r="AV130" s="14">
        <v>45927</v>
      </c>
      <c r="AW130" s="14">
        <f t="shared" si="438"/>
        <v>46657</v>
      </c>
      <c r="AX130" s="65">
        <f t="shared" ca="1" si="246"/>
        <v>526</v>
      </c>
      <c r="AY130" s="15" t="str">
        <f t="shared" ca="1" si="247"/>
        <v>VIGENTE</v>
      </c>
      <c r="AZ130" s="13"/>
      <c r="BA130" s="14">
        <v>45943</v>
      </c>
      <c r="BB130" s="14">
        <f>DATE(YEAR(BA130)+2,MONTH(BA130),DAY(BA130))</f>
        <v>46673</v>
      </c>
      <c r="BC130" s="65">
        <f t="shared" ca="1" si="248"/>
        <v>542</v>
      </c>
      <c r="BD130" s="15" t="str">
        <f t="shared" ca="1" si="249"/>
        <v>VIGENTE</v>
      </c>
      <c r="BE130" s="13">
        <v>45310</v>
      </c>
      <c r="BF130" s="14">
        <v>45968</v>
      </c>
      <c r="BG130" s="14">
        <f t="shared" si="439"/>
        <v>46698</v>
      </c>
      <c r="BH130" s="65">
        <f t="shared" ca="1" si="250"/>
        <v>567</v>
      </c>
      <c r="BI130" s="15" t="str">
        <f t="shared" ca="1" si="251"/>
        <v>VIGENTE</v>
      </c>
      <c r="BJ130" s="13">
        <v>45306</v>
      </c>
      <c r="BK130" s="14">
        <v>45976</v>
      </c>
      <c r="BL130" s="14">
        <f>DATE(YEAR(BK130)+2,MONTH(BK130),DAY(BK130))</f>
        <v>46706</v>
      </c>
      <c r="BM130" s="65">
        <f t="shared" ca="1" si="252"/>
        <v>575</v>
      </c>
      <c r="BN130" s="15" t="str">
        <f t="shared" ca="1" si="253"/>
        <v>VIGENTE</v>
      </c>
      <c r="BO130" s="13">
        <v>45319</v>
      </c>
      <c r="BP130" s="14">
        <v>45981</v>
      </c>
      <c r="BQ130" s="14">
        <f>DATE(YEAR(BP130)+2,MONTH(BP130),DAY(BP130))</f>
        <v>46711</v>
      </c>
      <c r="BR130" s="65">
        <f t="shared" ca="1" si="254"/>
        <v>580</v>
      </c>
      <c r="BS130" s="15" t="str">
        <f t="shared" ca="1" si="255"/>
        <v>VIGENTE</v>
      </c>
      <c r="BT130" s="13">
        <v>45283</v>
      </c>
      <c r="BU130" s="14">
        <v>45950</v>
      </c>
      <c r="BV130" s="14">
        <f>DATE(YEAR(BU130)+2,MONTH(BU130),DAY(BU130))</f>
        <v>46680</v>
      </c>
      <c r="BW130" s="65">
        <f t="shared" ca="1" si="256"/>
        <v>549</v>
      </c>
      <c r="BX130" s="15" t="str">
        <f t="shared" ca="1" si="257"/>
        <v>VIGENTE</v>
      </c>
      <c r="BY130" s="12"/>
      <c r="BZ130" s="14">
        <v>45944</v>
      </c>
      <c r="CA130" s="14">
        <f t="shared" si="440"/>
        <v>46674</v>
      </c>
      <c r="CB130" s="65">
        <f t="shared" ca="1" si="258"/>
        <v>543</v>
      </c>
      <c r="CC130" s="15" t="str">
        <f t="shared" ca="1" si="259"/>
        <v>VIGENTE</v>
      </c>
      <c r="CD130" s="16" t="s">
        <v>102</v>
      </c>
      <c r="CE130" s="14">
        <v>45827</v>
      </c>
      <c r="CF130" s="14">
        <v>45828</v>
      </c>
      <c r="CG130" s="14">
        <f t="shared" si="408"/>
        <v>47289</v>
      </c>
      <c r="CH130" s="65">
        <f t="shared" ca="1" si="409"/>
        <v>1158</v>
      </c>
      <c r="CI130" s="15" t="str">
        <f t="shared" ca="1" si="410"/>
        <v>VIGENTE</v>
      </c>
      <c r="CJ130" s="16"/>
      <c r="CK130" s="14">
        <v>45929</v>
      </c>
      <c r="CL130" s="14">
        <f>DATE(YEAR(CK130)+2,MONTH(CK130),DAY(CK130))</f>
        <v>46659</v>
      </c>
      <c r="CM130" s="65">
        <f t="shared" ca="1" si="263"/>
        <v>528</v>
      </c>
      <c r="CN130" s="15" t="str">
        <f t="shared" ca="1" si="264"/>
        <v>VIGENTE</v>
      </c>
      <c r="CO130" s="13">
        <v>45188</v>
      </c>
      <c r="CP130" s="14">
        <v>45882</v>
      </c>
      <c r="CQ130" s="14">
        <f>DATE(YEAR(CP130)+2,MONTH(CP130),DAY(CP130))</f>
        <v>46612</v>
      </c>
      <c r="CR130" s="65">
        <f t="shared" ca="1" si="265"/>
        <v>481</v>
      </c>
      <c r="CS130" s="15" t="str">
        <f t="shared" ca="1" si="266"/>
        <v>VIGENTE</v>
      </c>
      <c r="CT130" s="12"/>
      <c r="CU130" s="14">
        <v>45905</v>
      </c>
      <c r="CV130" s="14">
        <f>DATE(YEAR(CU130)+2,MONTH(CU130),DAY(CU130))</f>
        <v>46635</v>
      </c>
      <c r="CW130" s="65">
        <f t="shared" ca="1" si="267"/>
        <v>504</v>
      </c>
      <c r="CX130" s="15" t="str">
        <f t="shared" ca="1" si="268"/>
        <v>VIGENTE</v>
      </c>
      <c r="CY130" s="13"/>
      <c r="CZ130" s="14">
        <v>45924</v>
      </c>
      <c r="DA130" s="14">
        <f>DATE(YEAR(CZ130)+2,MONTH(CZ130),DAY(CZ130))</f>
        <v>46654</v>
      </c>
      <c r="DB130" s="65">
        <f t="shared" ca="1" si="269"/>
        <v>523</v>
      </c>
      <c r="DC130" s="15" t="str">
        <f t="shared" ca="1" si="270"/>
        <v>VIGENTE</v>
      </c>
      <c r="DD130" s="13">
        <v>45328</v>
      </c>
      <c r="DE130" s="14">
        <v>45986</v>
      </c>
      <c r="DF130" s="14">
        <f>DATE(YEAR(DE130)+2,MONTH(DE130),DAY(DE130))</f>
        <v>46716</v>
      </c>
      <c r="DG130" s="65">
        <f t="shared" ca="1" si="271"/>
        <v>585</v>
      </c>
      <c r="DH130" s="15" t="str">
        <f t="shared" ca="1" si="272"/>
        <v>VIGENTE</v>
      </c>
      <c r="DI130" s="12"/>
      <c r="DJ130" s="14">
        <v>45975</v>
      </c>
      <c r="DK130" s="14">
        <f>DATE(YEAR(DJ130)+2,MONTH(DJ130),DAY(DJ130))</f>
        <v>46705</v>
      </c>
      <c r="DL130" s="65">
        <f t="shared" ca="1" si="273"/>
        <v>574</v>
      </c>
      <c r="DM130" s="15" t="str">
        <f t="shared" ca="1" si="274"/>
        <v>VIGENTE</v>
      </c>
      <c r="DN130" s="13"/>
      <c r="DO130" s="14">
        <v>45982</v>
      </c>
      <c r="DP130" s="14">
        <f>DATE(YEAR(DO130)+2,MONTH(DO130),DAY(DO130))</f>
        <v>46712</v>
      </c>
      <c r="DQ130" s="65">
        <f t="shared" ca="1" si="275"/>
        <v>581</v>
      </c>
      <c r="DR130" s="15" t="str">
        <f t="shared" ca="1" si="276"/>
        <v>VIGENTE</v>
      </c>
      <c r="DS130" s="13">
        <v>45250</v>
      </c>
      <c r="DT130" s="14">
        <v>45885</v>
      </c>
      <c r="DU130" s="14">
        <f>DATE(YEAR(DT130)+2,MONTH(DT130),DAY(DT130))</f>
        <v>46615</v>
      </c>
      <c r="DV130" s="65">
        <f t="shared" ca="1" si="277"/>
        <v>484</v>
      </c>
      <c r="DW130" s="15" t="str">
        <f t="shared" ca="1" si="278"/>
        <v>VIGENTE</v>
      </c>
      <c r="DX130" s="13">
        <v>45329</v>
      </c>
      <c r="DY130" s="14">
        <v>46020</v>
      </c>
      <c r="DZ130" s="14">
        <f>DATE(YEAR(DY130)+2,MONTH(DY130),DAY(DY130))</f>
        <v>46750</v>
      </c>
      <c r="EA130" s="65">
        <f t="shared" ca="1" si="279"/>
        <v>619</v>
      </c>
      <c r="EB130" s="15" t="str">
        <f t="shared" ca="1" si="280"/>
        <v>VIGENTE</v>
      </c>
      <c r="EC130" s="13">
        <v>45255</v>
      </c>
      <c r="ED130" s="14">
        <v>45913</v>
      </c>
      <c r="EE130" s="14">
        <f>DATE(YEAR(ED130)+2,MONTH(ED130),DAY(ED130))</f>
        <v>46643</v>
      </c>
      <c r="EF130" s="65">
        <f t="shared" ca="1" si="281"/>
        <v>512</v>
      </c>
      <c r="EG130" s="15" t="str">
        <f t="shared" ca="1" si="282"/>
        <v>VIGENTE</v>
      </c>
      <c r="EH130" s="13"/>
      <c r="EI130" s="13">
        <v>46000</v>
      </c>
      <c r="EJ130" s="13">
        <v>46001</v>
      </c>
      <c r="EK130" s="13">
        <v>46002</v>
      </c>
      <c r="EL130" s="14">
        <f t="shared" si="344"/>
        <v>46367</v>
      </c>
      <c r="EM130" s="65">
        <f t="shared" ca="1" si="283"/>
        <v>236</v>
      </c>
      <c r="EN130" s="15" t="str">
        <f t="shared" ca="1" si="284"/>
        <v>VIGENTE</v>
      </c>
      <c r="EO130" s="13"/>
      <c r="EP130" s="14">
        <v>45940</v>
      </c>
      <c r="EQ130" s="14">
        <f>DATE(YEAR(EP130)+2,MONTH(EP130),DAY(EP130))</f>
        <v>46670</v>
      </c>
      <c r="ER130" s="65">
        <f t="shared" ca="1" si="285"/>
        <v>539</v>
      </c>
      <c r="ES130" s="15" t="str">
        <f t="shared" ca="1" si="286"/>
        <v>VIGENTE</v>
      </c>
      <c r="ET130" s="12"/>
      <c r="EU130" s="14">
        <v>45922</v>
      </c>
      <c r="EV130" s="14">
        <f>DATE(YEAR(EU130)+2,MONTH(EU130),DAY(EU130))</f>
        <v>46652</v>
      </c>
      <c r="EW130" s="65">
        <f t="shared" ca="1" si="287"/>
        <v>521</v>
      </c>
      <c r="EX130" s="15" t="str">
        <f t="shared" ca="1" si="288"/>
        <v>VIGENTE</v>
      </c>
      <c r="EY130" s="12"/>
      <c r="EZ130" s="14">
        <v>45917</v>
      </c>
      <c r="FA130" s="14">
        <f t="shared" ref="FA130:FA136" si="444">DATE(YEAR(EZ130)+2,MONTH(EZ130),DAY(EZ130))</f>
        <v>46647</v>
      </c>
      <c r="FB130" s="65">
        <f t="shared" ca="1" si="289"/>
        <v>516</v>
      </c>
      <c r="FC130" s="15" t="str">
        <f t="shared" ca="1" si="290"/>
        <v>VIGENTE</v>
      </c>
      <c r="FD130" s="12"/>
      <c r="FE130" s="14">
        <v>45931</v>
      </c>
      <c r="FF130" s="14">
        <f t="shared" ref="FF130:FF136" si="445">DATE(YEAR(FE130)+2,MONTH(FE130),DAY(FE130))</f>
        <v>46661</v>
      </c>
      <c r="FG130" s="65">
        <f t="shared" ca="1" si="291"/>
        <v>530</v>
      </c>
      <c r="FH130" s="15" t="str">
        <f t="shared" ca="1" si="292"/>
        <v>VIGENTE</v>
      </c>
      <c r="FI130" s="12"/>
      <c r="FJ130" s="14">
        <v>45932</v>
      </c>
      <c r="FK130" s="14">
        <f t="shared" ref="FK130:FK136" si="446">DATE(YEAR(FJ130)+2,MONTH(FJ130),DAY(FJ130))</f>
        <v>46662</v>
      </c>
      <c r="FL130" s="65">
        <f t="shared" ca="1" si="293"/>
        <v>531</v>
      </c>
      <c r="FM130" s="15" t="str">
        <f t="shared" ca="1" si="294"/>
        <v>VIGENTE</v>
      </c>
      <c r="FN130" s="13"/>
      <c r="FO130" s="14">
        <v>45933</v>
      </c>
      <c r="FP130" s="14">
        <f>DATE(YEAR(FO130)+2,MONTH(FO130),DAY(FO130))</f>
        <v>46663</v>
      </c>
      <c r="FQ130" s="65">
        <f t="shared" ca="1" si="295"/>
        <v>532</v>
      </c>
      <c r="FR130" s="15" t="str">
        <f t="shared" ca="1" si="296"/>
        <v>VIGENTE</v>
      </c>
      <c r="FS130" s="13">
        <v>45322</v>
      </c>
      <c r="FT130" s="14">
        <v>45957</v>
      </c>
      <c r="FU130" s="14">
        <f>DATE(YEAR(FT130)+2,MONTH(FT130),DAY(FT130))</f>
        <v>46687</v>
      </c>
      <c r="FV130" s="65">
        <f t="shared" ca="1" si="297"/>
        <v>556</v>
      </c>
      <c r="FW130" s="15" t="str">
        <f t="shared" ca="1" si="298"/>
        <v>VIGENTE</v>
      </c>
      <c r="FX130" s="13"/>
      <c r="FY130" s="14">
        <v>45993</v>
      </c>
      <c r="FZ130" s="14">
        <f t="shared" ref="FZ130:FZ136" si="447">DATE(YEAR(FY130)+2,MONTH(FY130),DAY(FY130))</f>
        <v>46723</v>
      </c>
      <c r="GA130" s="65">
        <f t="shared" ca="1" si="299"/>
        <v>592</v>
      </c>
      <c r="GB130" s="15" t="str">
        <f t="shared" ca="1" si="300"/>
        <v>VIGENTE</v>
      </c>
      <c r="GC130" s="13">
        <v>45173</v>
      </c>
      <c r="GD130" s="14">
        <v>45833</v>
      </c>
      <c r="GE130" s="14">
        <f>DATE(YEAR(GD130)+2,MONTH(GD130),DAY(GD130))</f>
        <v>46563</v>
      </c>
      <c r="GF130" s="65">
        <f t="shared" ca="1" si="301"/>
        <v>432</v>
      </c>
      <c r="GG130" s="15" t="str">
        <f t="shared" ca="1" si="302"/>
        <v>VIGENTE</v>
      </c>
      <c r="GH130" s="13"/>
      <c r="GI130" s="14">
        <v>45912</v>
      </c>
      <c r="GJ130" s="14">
        <f>DATE(YEAR(GI130)+2,MONTH(GI130),DAY(GI130))</f>
        <v>46642</v>
      </c>
      <c r="GK130" s="65">
        <f t="shared" ca="1" si="303"/>
        <v>511</v>
      </c>
      <c r="GL130" s="15" t="str">
        <f t="shared" ca="1" si="304"/>
        <v>VIGENTE</v>
      </c>
      <c r="GM130" s="13"/>
      <c r="GN130" s="14">
        <v>45945</v>
      </c>
      <c r="GO130" s="14">
        <f>DATE(YEAR(GN130)+2,MONTH(GN130),DAY(GN130))</f>
        <v>46675</v>
      </c>
      <c r="GP130" s="65">
        <f t="shared" ca="1" si="305"/>
        <v>544</v>
      </c>
      <c r="GQ130" s="15" t="str">
        <f t="shared" ca="1" si="306"/>
        <v>VIGENTE</v>
      </c>
      <c r="GR130" s="14"/>
      <c r="GS130" s="14">
        <v>45219</v>
      </c>
      <c r="GT130" s="14">
        <f t="shared" si="307"/>
        <v>47046</v>
      </c>
      <c r="GU130" s="65">
        <f t="shared" ca="1" si="398"/>
        <v>915</v>
      </c>
      <c r="GV130" s="15" t="str">
        <f t="shared" ca="1" si="411"/>
        <v>VIGENTE</v>
      </c>
      <c r="GW130" s="13"/>
      <c r="GX130" s="14">
        <v>45267</v>
      </c>
      <c r="GY130" s="14">
        <f t="shared" si="309"/>
        <v>47094</v>
      </c>
      <c r="GZ130" s="65">
        <f t="shared" ca="1" si="310"/>
        <v>963</v>
      </c>
      <c r="HA130" s="15" t="str">
        <f t="shared" ca="1" si="418"/>
        <v>VIGENTE</v>
      </c>
      <c r="HB130" s="12"/>
      <c r="HC130" s="14">
        <v>45268</v>
      </c>
      <c r="HD130" s="14">
        <f t="shared" si="312"/>
        <v>47095</v>
      </c>
      <c r="HE130" s="65">
        <f t="shared" ca="1" si="313"/>
        <v>964</v>
      </c>
      <c r="HF130" s="15" t="str">
        <f t="shared" ca="1" si="413"/>
        <v>VIGENTE</v>
      </c>
      <c r="HG130" s="16"/>
      <c r="HH130" s="16"/>
      <c r="HI130" s="14"/>
      <c r="HJ130" s="65"/>
      <c r="HK130" s="15" t="str">
        <f t="shared" si="419"/>
        <v>NO APLICA</v>
      </c>
      <c r="HL130" s="12"/>
      <c r="HM130" s="16"/>
      <c r="HN130" s="14"/>
      <c r="HO130" s="65"/>
      <c r="HP130" s="15" t="str">
        <f t="shared" si="437"/>
        <v>NO APLICA</v>
      </c>
      <c r="HQ130" s="12"/>
      <c r="HR130" s="12"/>
      <c r="HS130" s="14"/>
      <c r="HT130" s="12"/>
      <c r="HU130" s="15" t="str">
        <f t="shared" si="315"/>
        <v>NO APLICA</v>
      </c>
      <c r="HV130" s="12"/>
      <c r="HW130" s="16"/>
      <c r="HX130" s="14"/>
      <c r="HY130" s="65"/>
      <c r="HZ130" s="15" t="str">
        <f t="shared" si="316"/>
        <v>NO APLICA</v>
      </c>
      <c r="IA130" s="12"/>
      <c r="IB130" s="16"/>
      <c r="IC130" s="14"/>
      <c r="ID130" s="65"/>
      <c r="IE130" s="15" t="str">
        <f t="shared" si="317"/>
        <v>NO APLICA</v>
      </c>
      <c r="IF130" s="12"/>
      <c r="IG130" s="16"/>
      <c r="IH130" s="14"/>
      <c r="II130" s="65"/>
      <c r="IJ130" s="15" t="str">
        <f t="shared" si="318"/>
        <v>NO APLICA</v>
      </c>
      <c r="IK130" s="16"/>
      <c r="IL130" s="16"/>
      <c r="IM130" s="14"/>
      <c r="IN130" s="65"/>
      <c r="IO130" s="15" t="str">
        <f t="shared" si="319"/>
        <v>NO APLICA</v>
      </c>
      <c r="IP130" s="12"/>
      <c r="IQ130" s="16"/>
      <c r="IR130" s="14"/>
      <c r="IS130" s="65"/>
      <c r="IT130" s="15" t="str">
        <f t="shared" si="320"/>
        <v>NO APLICA</v>
      </c>
      <c r="IU130" s="12"/>
      <c r="IV130" s="16"/>
      <c r="IW130" s="14"/>
      <c r="IX130" s="65"/>
      <c r="IY130" s="15" t="str">
        <f t="shared" si="321"/>
        <v>NO APLICA</v>
      </c>
      <c r="IZ130" s="12"/>
      <c r="JA130" s="16"/>
      <c r="JB130" s="14"/>
      <c r="JC130" s="65"/>
      <c r="JD130" s="15" t="str">
        <f t="shared" si="322"/>
        <v>NO APLICA</v>
      </c>
      <c r="JE130" s="13"/>
      <c r="JF130" s="13"/>
      <c r="JG130" s="14"/>
      <c r="JH130" s="65"/>
      <c r="JI130" s="15" t="str">
        <f t="shared" si="323"/>
        <v>NO APLICA</v>
      </c>
      <c r="JJ130" s="16"/>
      <c r="JK130" s="16"/>
      <c r="JL130" s="16"/>
      <c r="JM130" s="15" t="str">
        <f t="shared" si="324"/>
        <v>NO APLICA</v>
      </c>
      <c r="JN130" s="16"/>
      <c r="JO130" s="16"/>
      <c r="JP130" s="16"/>
      <c r="JQ130" s="15" t="str">
        <f t="shared" si="325"/>
        <v>NO APLICA</v>
      </c>
      <c r="JR130" s="16"/>
      <c r="JS130" s="16"/>
      <c r="JT130" s="16"/>
      <c r="JU130" s="16"/>
      <c r="JV130" s="15" t="str">
        <f t="shared" si="326"/>
        <v>NO APLICA</v>
      </c>
      <c r="JW130" s="15"/>
      <c r="JX130" s="15"/>
      <c r="JY130" s="15"/>
      <c r="JZ130" s="15"/>
      <c r="KA130" s="15" t="str">
        <f t="shared" si="327"/>
        <v>NO APLICA</v>
      </c>
      <c r="KB130" s="12"/>
      <c r="KC130" s="14"/>
      <c r="KD130" s="65"/>
      <c r="KE130" s="15" t="str">
        <f t="shared" si="328"/>
        <v>NO APLICA</v>
      </c>
      <c r="KF130" s="12"/>
      <c r="KG130" s="14"/>
      <c r="KH130" s="65"/>
      <c r="KI130" s="15" t="str">
        <f t="shared" si="345"/>
        <v>NO APLICA</v>
      </c>
      <c r="KJ130" s="12"/>
      <c r="KK130" s="14"/>
      <c r="KL130" s="65"/>
      <c r="KM130" s="15" t="str">
        <f t="shared" si="329"/>
        <v>NO APLICA</v>
      </c>
      <c r="KN130" s="12"/>
      <c r="KO130" s="14"/>
      <c r="KP130" s="65"/>
      <c r="KQ130" s="15" t="str">
        <f t="shared" si="346"/>
        <v>NO APLICA</v>
      </c>
      <c r="KR130" s="12"/>
      <c r="KS130" s="16"/>
      <c r="KT130" s="14"/>
      <c r="KU130" s="65"/>
      <c r="KV130" s="15" t="str">
        <f t="shared" si="355"/>
        <v>NO APLICA</v>
      </c>
      <c r="KW130" s="16"/>
      <c r="KX130" s="14"/>
      <c r="KY130" s="65"/>
      <c r="KZ130" s="15" t="str">
        <f t="shared" si="347"/>
        <v>NO APLICA</v>
      </c>
      <c r="LA130" s="16"/>
      <c r="LB130" s="16"/>
      <c r="LC130" s="14"/>
      <c r="LD130" s="65"/>
      <c r="LE130" s="15" t="str">
        <f t="shared" si="330"/>
        <v>NO APLICA</v>
      </c>
      <c r="LF130" s="15"/>
      <c r="LG130" s="15"/>
      <c r="LH130" s="14"/>
      <c r="LI130" s="65"/>
      <c r="LJ130" s="15" t="str">
        <f t="shared" si="356"/>
        <v>NO APLICA</v>
      </c>
      <c r="LK130" s="12"/>
      <c r="LL130" s="16"/>
      <c r="LM130" s="14"/>
      <c r="LN130" s="65"/>
      <c r="LO130" s="15" t="str">
        <f t="shared" si="348"/>
        <v>NO APLICA</v>
      </c>
      <c r="LP130" s="16"/>
      <c r="LQ130" s="16"/>
      <c r="LR130" s="14"/>
      <c r="LS130" s="65"/>
      <c r="LT130" s="15" t="str">
        <f t="shared" si="349"/>
        <v>NO APLICA</v>
      </c>
      <c r="LU130" s="16"/>
      <c r="LV130" s="16"/>
      <c r="LW130" s="14"/>
      <c r="LX130" s="65"/>
      <c r="LY130" s="15" t="str">
        <f t="shared" si="350"/>
        <v>NO APLICA</v>
      </c>
      <c r="LZ130" s="12"/>
      <c r="MA130" s="12"/>
      <c r="MB130" s="14"/>
      <c r="MC130" s="65"/>
      <c r="MD130" s="15" t="str">
        <f t="shared" si="331"/>
        <v>NO APLICA</v>
      </c>
      <c r="ME130" s="12"/>
      <c r="MF130" s="12"/>
      <c r="MG130" s="14"/>
      <c r="MH130" s="65"/>
      <c r="MI130" s="15" t="str">
        <f t="shared" si="332"/>
        <v>NO APLICA</v>
      </c>
      <c r="MJ130" s="12"/>
      <c r="MK130" s="14"/>
      <c r="ML130" s="65"/>
      <c r="MM130" s="15" t="str">
        <f t="shared" si="333"/>
        <v>NO APLICA</v>
      </c>
      <c r="MN130" s="12"/>
      <c r="MO130" s="14"/>
      <c r="MP130" s="12"/>
      <c r="MQ130" s="15" t="str">
        <f t="shared" si="334"/>
        <v>NO APLICA</v>
      </c>
      <c r="MR130" s="12"/>
      <c r="MS130" s="16"/>
      <c r="MT130" s="14"/>
      <c r="MU130" s="65"/>
      <c r="MV130" s="15" t="str">
        <f t="shared" si="335"/>
        <v>NO APLICA</v>
      </c>
      <c r="MW130" s="12"/>
      <c r="MX130" s="16"/>
      <c r="MY130" s="14"/>
      <c r="MZ130" s="65"/>
      <c r="NA130" s="15" t="str">
        <f t="shared" si="336"/>
        <v>NO APLICA</v>
      </c>
      <c r="NB130" s="12"/>
      <c r="NC130" s="16"/>
      <c r="ND130" s="14"/>
      <c r="NE130" s="65"/>
      <c r="NF130" s="15" t="str">
        <f t="shared" si="337"/>
        <v>NO APLICA</v>
      </c>
      <c r="NG130" s="12"/>
      <c r="NH130" s="12"/>
      <c r="NI130" s="14"/>
      <c r="NJ130" s="65"/>
      <c r="NK130" s="15" t="str">
        <f t="shared" si="338"/>
        <v>NO APLICA</v>
      </c>
      <c r="NL130" s="12"/>
      <c r="NM130" s="12"/>
      <c r="NN130" s="14"/>
      <c r="NO130" s="12"/>
      <c r="NP130" s="15" t="str">
        <f t="shared" si="339"/>
        <v>NO APLICA</v>
      </c>
      <c r="NQ130" s="16"/>
      <c r="NR130" s="16"/>
      <c r="NS130" s="14"/>
      <c r="NT130" s="65"/>
      <c r="NU130" s="15" t="str">
        <f t="shared" si="340"/>
        <v>NO APLICA</v>
      </c>
      <c r="NV130" s="16"/>
      <c r="NW130" s="16"/>
      <c r="NX130" s="16"/>
      <c r="NY130" s="16"/>
      <c r="NZ130" s="15" t="str">
        <f t="shared" si="341"/>
        <v>NO APLICA</v>
      </c>
    </row>
    <row r="131" spans="1:390" ht="15.6" thickTop="1" thickBot="1" x14ac:dyDescent="0.35">
      <c r="A131" s="11">
        <v>1087</v>
      </c>
      <c r="B131" s="10" t="s">
        <v>490</v>
      </c>
      <c r="C131" s="21" t="s">
        <v>104</v>
      </c>
      <c r="D131" s="64" t="s">
        <v>110</v>
      </c>
      <c r="E131" s="16"/>
      <c r="F131" s="16"/>
      <c r="G131" s="16"/>
      <c r="H131" s="16"/>
      <c r="I131" s="15" t="str">
        <f t="shared" ref="I131:I188" si="448">IF(H131&gt;=61,"VIGENTE",IF(H131&gt;=1,"POR VENCER",IF(H131&lt;=-1,"VENCIDA",IF(F131=0,"NO APLICA"))))</f>
        <v>NO APLICA</v>
      </c>
      <c r="J131" s="16"/>
      <c r="K131" s="16"/>
      <c r="L131" s="16"/>
      <c r="M131" s="16"/>
      <c r="N131" s="15" t="str">
        <f t="shared" ref="N131:N194" si="449">IF(M131&gt;=61,"VIGENTE",IF(M131&gt;=1,"POR VENCER",IF(M131&lt;=-1,"VENCIDA",IF(K131=0,"NO APLICA"))))</f>
        <v>NO APLICA</v>
      </c>
      <c r="O131" s="16"/>
      <c r="P131" s="16"/>
      <c r="Q131" s="16"/>
      <c r="R131" s="16"/>
      <c r="S131" s="15" t="str">
        <f t="shared" si="342"/>
        <v>NO APLICA</v>
      </c>
      <c r="T131" s="16" t="s">
        <v>491</v>
      </c>
      <c r="U131" s="14">
        <v>45106</v>
      </c>
      <c r="V131" s="14">
        <v>45107</v>
      </c>
      <c r="W131" s="14">
        <f t="shared" si="401"/>
        <v>46934</v>
      </c>
      <c r="X131" s="65">
        <f t="shared" ca="1" si="402"/>
        <v>803</v>
      </c>
      <c r="Y131" s="15" t="str">
        <f t="shared" ca="1" si="403"/>
        <v>VIGENTE</v>
      </c>
      <c r="Z131" s="16" t="s">
        <v>492</v>
      </c>
      <c r="AA131" s="14">
        <v>45148</v>
      </c>
      <c r="AB131" s="14">
        <v>45149</v>
      </c>
      <c r="AC131" s="14">
        <f>DATE(YEAR(AB131)+5,MONTH(AB131),DAY(AB131))</f>
        <v>46976</v>
      </c>
      <c r="AD131" s="65">
        <f ca="1">AC131-TODAY()</f>
        <v>845</v>
      </c>
      <c r="AE131" s="15" t="str">
        <f t="shared" ca="1" si="424"/>
        <v>VIGENTE</v>
      </c>
      <c r="AF131" s="14">
        <v>45228</v>
      </c>
      <c r="AG131" s="14">
        <v>45902</v>
      </c>
      <c r="AH131" s="14">
        <f t="shared" si="441"/>
        <v>46632</v>
      </c>
      <c r="AI131" s="65">
        <f t="shared" ref="AI131:AI190" ca="1" si="450">AH131-TODAY()</f>
        <v>501</v>
      </c>
      <c r="AJ131" s="15" t="str">
        <f t="shared" ca="1" si="399"/>
        <v>VIGENTE</v>
      </c>
      <c r="AK131" s="16"/>
      <c r="AL131" s="14">
        <v>45937</v>
      </c>
      <c r="AM131" s="14">
        <f t="shared" si="442"/>
        <v>46667</v>
      </c>
      <c r="AN131" s="65">
        <f t="shared" ref="AN131:AN190" ca="1" si="451">AM131-TODAY()</f>
        <v>536</v>
      </c>
      <c r="AO131" s="15" t="str">
        <f t="shared" ref="AO131:AO194" ca="1" si="452">IF(AN131&gt;=91,"VIGENTE",IF(AN131&gt;=1,"POR VENCER",IF(AN131&lt;=-1,"VENCIDA",IF(AL131=0,"NO APLICA"))))</f>
        <v>VIGENTE</v>
      </c>
      <c r="AP131" s="14">
        <v>45298</v>
      </c>
      <c r="AQ131" s="14">
        <v>45967</v>
      </c>
      <c r="AR131" s="14">
        <f t="shared" si="443"/>
        <v>46697</v>
      </c>
      <c r="AS131" s="65">
        <f t="shared" ref="AS131:AS190" ca="1" si="453">AR131-TODAY()</f>
        <v>566</v>
      </c>
      <c r="AT131" s="15" t="str">
        <f t="shared" ref="AT131:AT194" ca="1" si="454">IF(AS131&gt;=91,"VIGENTE",IF(AS131&gt;=1,"POR VENCER",IF(AS131&lt;=-1,"VENCIDA",IF(AQ131=0,"NO APLICA"))))</f>
        <v>VIGENTE</v>
      </c>
      <c r="AU131" s="14">
        <v>45128</v>
      </c>
      <c r="AV131" s="14">
        <v>45765</v>
      </c>
      <c r="AW131" s="14">
        <f t="shared" si="438"/>
        <v>46495</v>
      </c>
      <c r="AX131" s="65">
        <f t="shared" ref="AX131:AX190" ca="1" si="455">AW131-TODAY()</f>
        <v>364</v>
      </c>
      <c r="AY131" s="15" t="str">
        <f t="shared" ref="AY131:AY194" ca="1" si="456">IF(AX131&gt;=91,"VIGENTE",IF(AX131&gt;=1,"POR VENCER",IF(AX131&lt;=-1,"VENCIDA",IF(AV131=0,"NO APLICA"))))</f>
        <v>VIGENTE</v>
      </c>
      <c r="AZ131" s="14">
        <v>45179</v>
      </c>
      <c r="BA131" s="14">
        <v>45855</v>
      </c>
      <c r="BB131" s="14">
        <f>DATE(YEAR(BA131)+2,MONTH(BA131),DAY(BA131))</f>
        <v>46585</v>
      </c>
      <c r="BC131" s="65">
        <f t="shared" ref="BC131:BC190" ca="1" si="457">BB131-TODAY()</f>
        <v>454</v>
      </c>
      <c r="BD131" s="15" t="str">
        <f t="shared" ref="BD131:BD194" ca="1" si="458">IF(BC131&gt;=91,"VIGENTE",IF(BC131&gt;=1,"POR VENCER",IF(BC131&lt;=-1,"VENCIDA",IF(BA131=0,"NO APLICA"))))</f>
        <v>VIGENTE</v>
      </c>
      <c r="BE131" s="14">
        <v>45177</v>
      </c>
      <c r="BF131" s="14">
        <v>45842</v>
      </c>
      <c r="BG131" s="14">
        <f t="shared" si="439"/>
        <v>46572</v>
      </c>
      <c r="BH131" s="65">
        <f t="shared" ref="BH131:BH190" ca="1" si="459">BG131-TODAY()</f>
        <v>441</v>
      </c>
      <c r="BI131" s="15" t="str">
        <f t="shared" ref="BI131:BI194" ca="1" si="460">IF(BH131&gt;=91,"VIGENTE",IF(BH131&gt;=1,"POR VENCER",IF(BH131&lt;=-1,"VENCIDA",IF(BF131=0,"NO APLICA"))))</f>
        <v>VIGENTE</v>
      </c>
      <c r="BJ131" s="13">
        <v>45306</v>
      </c>
      <c r="BK131" s="14">
        <v>45976</v>
      </c>
      <c r="BL131" s="14">
        <f>DATE(YEAR(BK131)+2,MONTH(BK131),DAY(BK131))</f>
        <v>46706</v>
      </c>
      <c r="BM131" s="65">
        <f t="shared" ref="BM131:BM190" ca="1" si="461">BL131-TODAY()</f>
        <v>575</v>
      </c>
      <c r="BN131" s="15" t="str">
        <f t="shared" ref="BN131:BN194" ca="1" si="462">IF(BM131&gt;=91,"VIGENTE",IF(BM131&gt;=1,"POR VENCER",IF(BM131&lt;=-1,"VENCIDA",IF(BK131=0,"NO APLICA"))))</f>
        <v>VIGENTE</v>
      </c>
      <c r="BO131" s="14">
        <v>45126</v>
      </c>
      <c r="BP131" s="14">
        <v>45750</v>
      </c>
      <c r="BQ131" s="14">
        <f>DATE(YEAR(BP131)+2,MONTH(BP131),DAY(BP131)-1)</f>
        <v>46479</v>
      </c>
      <c r="BR131" s="65">
        <f t="shared" ref="BR131:BR190" ca="1" si="463">BQ131-TODAY()</f>
        <v>348</v>
      </c>
      <c r="BS131" s="15" t="str">
        <f t="shared" ref="BS131:BS194" ca="1" si="464">IF(BR131&gt;=91,"VIGENTE",IF(BR131&gt;=1,"POR VENCER",IF(BR131&lt;=-1,"VENCIDA",IF(BP131=0,"NO APLICA"))))</f>
        <v>VIGENTE</v>
      </c>
      <c r="BT131" s="16"/>
      <c r="BU131" s="14">
        <v>45950</v>
      </c>
      <c r="BV131" s="14">
        <f>DATE(YEAR(BU131)+2,MONTH(BU131),DAY(BU131))</f>
        <v>46680</v>
      </c>
      <c r="BW131" s="65">
        <f t="shared" ref="BW131:BW190" ca="1" si="465">BV131-TODAY()</f>
        <v>549</v>
      </c>
      <c r="BX131" s="15" t="str">
        <f t="shared" ref="BX131:BX194" ca="1" si="466">IF(BW131&gt;=91,"VIGENTE",IF(BW131&gt;=1,"POR VENCER",IF(BW131&lt;=-1,"VENCIDA",IF(BU131=0,"NO APLICA"))))</f>
        <v>VIGENTE</v>
      </c>
      <c r="BY131" s="16"/>
      <c r="BZ131" s="14">
        <v>45944</v>
      </c>
      <c r="CA131" s="14">
        <f t="shared" si="440"/>
        <v>46674</v>
      </c>
      <c r="CB131" s="65">
        <f t="shared" ref="CB131:CB190" ca="1" si="467">CA131-TODAY()</f>
        <v>543</v>
      </c>
      <c r="CC131" s="15" t="str">
        <f t="shared" ref="CC131:CC194" ca="1" si="468">IF(CB131&gt;=91,"VIGENTE",IF(CB131&gt;=1,"POR VENCER",IF(CB131&lt;=-1,"VENCIDA",IF(BZ131=0,"NO APLICA"))))</f>
        <v>VIGENTE</v>
      </c>
      <c r="CD131" s="16" t="s">
        <v>108</v>
      </c>
      <c r="CE131" s="14">
        <v>45300</v>
      </c>
      <c r="CF131" s="14">
        <v>45301</v>
      </c>
      <c r="CG131" s="14">
        <f t="shared" si="408"/>
        <v>46762</v>
      </c>
      <c r="CH131" s="65">
        <f t="shared" ca="1" si="409"/>
        <v>631</v>
      </c>
      <c r="CI131" s="15" t="str">
        <f t="shared" ca="1" si="410"/>
        <v>VIGENTE</v>
      </c>
      <c r="CJ131" s="14">
        <v>45156</v>
      </c>
      <c r="CK131" s="14">
        <v>45801</v>
      </c>
      <c r="CL131" s="14">
        <f>DATE(YEAR(CK131)+2,MONTH(CK131),DAY(CK131)-1)</f>
        <v>46530</v>
      </c>
      <c r="CM131" s="65">
        <f t="shared" ref="CM131:CM190" ca="1" si="469">CL131-TODAY()</f>
        <v>399</v>
      </c>
      <c r="CN131" s="15" t="str">
        <f t="shared" ref="CN131:CN194" ca="1" si="470">IF(CM131&gt;=91,"VIGENTE",IF(CM131&gt;=1,"POR VENCER",IF(CM131&lt;=-1,"VENCIDA",IF(CK131=0,"NO APLICA"))))</f>
        <v>VIGENTE</v>
      </c>
      <c r="CO131" s="16">
        <v>45132</v>
      </c>
      <c r="CP131" s="14">
        <v>45769</v>
      </c>
      <c r="CQ131" s="14">
        <f>DATE(YEAR(CP131)+2,MONTH(CP131),DAY(CP131))</f>
        <v>46499</v>
      </c>
      <c r="CR131" s="65">
        <f t="shared" ref="CR131:CR190" ca="1" si="471">CQ131-TODAY()</f>
        <v>368</v>
      </c>
      <c r="CS131" s="15" t="str">
        <f t="shared" ref="CS131:CS194" ca="1" si="472">IF(CR131&gt;=91,"VIGENTE",IF(CR131&gt;=1,"POR VENCER",IF(CR131&lt;=-1,"VENCIDA",IF(CP131=0,"NO APLICA"))))</f>
        <v>VIGENTE</v>
      </c>
      <c r="CT131" s="16"/>
      <c r="CU131" s="14">
        <v>45939</v>
      </c>
      <c r="CV131" s="14">
        <f>DATE(YEAR(CU131)+2,MONTH(CU131),DAY(CU131))</f>
        <v>46669</v>
      </c>
      <c r="CW131" s="65">
        <f t="shared" ref="CW131:CW190" ca="1" si="473">CV131-TODAY()</f>
        <v>538</v>
      </c>
      <c r="CX131" s="15" t="str">
        <f t="shared" ref="CX131:CX194" ca="1" si="474">IF(CW131&gt;=91,"VIGENTE",IF(CW131&gt;=1,"POR VENCER",IF(CW131&lt;=-1,"VENCIDA",IF(CU131=0,"NO APLICA"))))</f>
        <v>VIGENTE</v>
      </c>
      <c r="CY131" s="14">
        <v>45194</v>
      </c>
      <c r="CZ131" s="14">
        <v>45843</v>
      </c>
      <c r="DA131" s="14">
        <f>DATE(YEAR(CZ131)+2,MONTH(CZ131),DAY(CZ131))</f>
        <v>46573</v>
      </c>
      <c r="DB131" s="65">
        <f t="shared" ref="DB131:DB190" ca="1" si="475">DA131-TODAY()</f>
        <v>442</v>
      </c>
      <c r="DC131" s="15" t="str">
        <f t="shared" ref="DC131:DC194" ca="1" si="476">IF(DB131&gt;=91,"VIGENTE",IF(DB131&gt;=1,"POR VENCER",IF(DB131&lt;=-1,"VENCIDA",IF(CZ131=0,"NO APLICA"))))</f>
        <v>VIGENTE</v>
      </c>
      <c r="DD131" s="14">
        <v>45181</v>
      </c>
      <c r="DE131" s="14">
        <v>45854</v>
      </c>
      <c r="DF131" s="14">
        <f>DATE(YEAR(DE131)+2,MONTH(DE131),DAY(DE131))</f>
        <v>46584</v>
      </c>
      <c r="DG131" s="65">
        <f t="shared" ref="DG131:DG190" ca="1" si="477">DF131-TODAY()</f>
        <v>453</v>
      </c>
      <c r="DH131" s="15" t="str">
        <f t="shared" ref="DH131:DH194" ca="1" si="478">IF(DG131&gt;=91,"VIGENTE",IF(DG131&gt;=1,"POR VENCER",IF(DG131&lt;=-1,"VENCIDA",IF(DE131=0,"NO APLICA"))))</f>
        <v>VIGENTE</v>
      </c>
      <c r="DI131" s="14">
        <v>45152</v>
      </c>
      <c r="DJ131" s="14">
        <v>45779</v>
      </c>
      <c r="DK131" s="14">
        <f>DATE(YEAR(DJ131)+2,MONTH(DJ131),DAY(DJ131))</f>
        <v>46509</v>
      </c>
      <c r="DL131" s="65">
        <f t="shared" ref="DL131:DL190" ca="1" si="479">DK131-TODAY()</f>
        <v>378</v>
      </c>
      <c r="DM131" s="15" t="str">
        <f t="shared" ref="DM131:DM194" ca="1" si="480">IF(DL131&gt;=91,"VIGENTE",IF(DL131&gt;=1,"POR VENCER",IF(DL131&lt;=-1,"VENCIDA",IF(DJ131=0,"NO APLICA"))))</f>
        <v>VIGENTE</v>
      </c>
      <c r="DN131" s="14">
        <v>45196</v>
      </c>
      <c r="DO131" s="14">
        <v>45857</v>
      </c>
      <c r="DP131" s="14">
        <f>DATE(YEAR(DO131)+2,MONTH(DO131),DAY(DO131))</f>
        <v>46587</v>
      </c>
      <c r="DQ131" s="65">
        <f t="shared" ref="DQ131:DQ190" ca="1" si="481">DP131-TODAY()</f>
        <v>456</v>
      </c>
      <c r="DR131" s="15" t="str">
        <f t="shared" ref="DR131:DR194" ca="1" si="482">IF(DQ131&gt;=91,"VIGENTE",IF(DQ131&gt;=1,"POR VENCER",IF(DQ131&lt;=-1,"VENCIDA",IF(DO131=0,"NO APLICA"))))</f>
        <v>VIGENTE</v>
      </c>
      <c r="DS131" s="14">
        <v>45180</v>
      </c>
      <c r="DT131" s="14">
        <v>45852</v>
      </c>
      <c r="DU131" s="14">
        <f>DATE(YEAR(DT131)+2,MONTH(DT131),DAY(DT131))</f>
        <v>46582</v>
      </c>
      <c r="DV131" s="65">
        <f t="shared" ref="DV131:DV190" ca="1" si="483">DU131-TODAY()</f>
        <v>451</v>
      </c>
      <c r="DW131" s="15" t="str">
        <f t="shared" ref="DW131:DW194" ca="1" si="484">IF(DV131&gt;=91,"VIGENTE",IF(DV131&gt;=1,"POR VENCER",IF(DV131&lt;=-1,"VENCIDA",IF(DT131=0,"NO APLICA"))))</f>
        <v>VIGENTE</v>
      </c>
      <c r="DX131" s="14">
        <v>45254</v>
      </c>
      <c r="DY131" s="14">
        <v>45915</v>
      </c>
      <c r="DZ131" s="14">
        <f>DATE(YEAR(DY131)+2,MONTH(DY131),DAY(DY131))</f>
        <v>46645</v>
      </c>
      <c r="EA131" s="65">
        <f t="shared" ref="EA131:EA190" ca="1" si="485">DZ131-TODAY()</f>
        <v>514</v>
      </c>
      <c r="EB131" s="15" t="str">
        <f t="shared" ref="EB131:EB194" ca="1" si="486">IF(EA131&gt;=91,"VIGENTE",IF(EA131&gt;=1,"POR VENCER",IF(EA131&lt;=-1,"VENCIDA",IF(DY131=0,"NO APLICA"))))</f>
        <v>VIGENTE</v>
      </c>
      <c r="EC131" s="14">
        <v>45255</v>
      </c>
      <c r="ED131" s="14">
        <v>45913</v>
      </c>
      <c r="EE131" s="14">
        <f>DATE(YEAR(ED131)+2,MONTH(ED131),DAY(ED131))</f>
        <v>46643</v>
      </c>
      <c r="EF131" s="65">
        <f t="shared" ref="EF131:EF190" ca="1" si="487">EE131-TODAY()</f>
        <v>512</v>
      </c>
      <c r="EG131" s="15" t="str">
        <f t="shared" ref="EG131:EG194" ca="1" si="488">IF(EF131&gt;=91,"VIGENTE",IF(EF131&gt;=1,"POR VENCER",IF(EF131&lt;=-1,"VENCIDA",IF(ED131=0,"NO APLICA"))))</f>
        <v>VIGENTE</v>
      </c>
      <c r="EH131" s="14">
        <v>45229</v>
      </c>
      <c r="EI131" s="13">
        <v>45946</v>
      </c>
      <c r="EJ131" s="13">
        <v>45947</v>
      </c>
      <c r="EK131" s="14">
        <v>45948</v>
      </c>
      <c r="EL131" s="14">
        <f t="shared" si="344"/>
        <v>46313</v>
      </c>
      <c r="EM131" s="65">
        <f t="shared" ref="EM131:EM190" ca="1" si="489">EL131-TODAY()</f>
        <v>182</v>
      </c>
      <c r="EN131" s="15" t="str">
        <f t="shared" ref="EN131:EN194" ca="1" si="490">IF(EM131&gt;=91,"VIGENTE",IF(EM131&gt;=1,"POR VENCER",IF(EM131&lt;=-1,"VENCIDA",IF(EK131=0,"NO APLICA"))))</f>
        <v>VIGENTE</v>
      </c>
      <c r="EO131" s="14"/>
      <c r="EP131" s="14">
        <v>45940</v>
      </c>
      <c r="EQ131" s="14">
        <f>DATE(YEAR(EP131)+2,MONTH(EP131),DAY(EP131))</f>
        <v>46670</v>
      </c>
      <c r="ER131" s="65">
        <f t="shared" ref="ER131:ER190" ca="1" si="491">EQ131-TODAY()</f>
        <v>539</v>
      </c>
      <c r="ES131" s="15" t="str">
        <f t="shared" ref="ES131:ES194" ca="1" si="492">IF(ER131&gt;=91,"VIGENTE",IF(ER131&gt;=1,"POR VENCER",IF(ER131&lt;=-1,"VENCIDA",IF(EP131=0,"NO APLICA"))))</f>
        <v>VIGENTE</v>
      </c>
      <c r="ET131" s="14">
        <v>45178</v>
      </c>
      <c r="EU131" s="14">
        <v>45824</v>
      </c>
      <c r="EV131" s="14">
        <f>DATE(YEAR(EU131)+2,MONTH(EU131),DAY(EU131))</f>
        <v>46554</v>
      </c>
      <c r="EW131" s="65">
        <f t="shared" ref="EW131:EW190" ca="1" si="493">EV131-TODAY()</f>
        <v>423</v>
      </c>
      <c r="EX131" s="15" t="str">
        <f t="shared" ref="EX131:EX194" ca="1" si="494">IF(EW131&gt;=91,"VIGENTE",IF(EW131&gt;=1,"POR VENCER",IF(EW131&lt;=-1,"VENCIDA",IF(EU131=0,"NO APLICA"))))</f>
        <v>VIGENTE</v>
      </c>
      <c r="EY131" s="14">
        <v>45299</v>
      </c>
      <c r="EZ131" s="14">
        <v>45964</v>
      </c>
      <c r="FA131" s="14">
        <f t="shared" si="444"/>
        <v>46694</v>
      </c>
      <c r="FB131" s="65">
        <f t="shared" ref="FB131:FB190" ca="1" si="495">FA131-TODAY()</f>
        <v>563</v>
      </c>
      <c r="FC131" s="15" t="str">
        <f t="shared" ref="FC131:FC194" ca="1" si="496">IF(FB131&gt;=91,"VIGENTE",IF(FB131&gt;=1,"POR VENCER",IF(FB131&lt;=-1,"VENCIDA",IF(EZ131=0,"NO APLICA"))))</f>
        <v>VIGENTE</v>
      </c>
      <c r="FD131" s="14">
        <v>45136</v>
      </c>
      <c r="FE131" s="14">
        <v>45783</v>
      </c>
      <c r="FF131" s="14">
        <f t="shared" si="445"/>
        <v>46513</v>
      </c>
      <c r="FG131" s="65">
        <f t="shared" ref="FG131:FG190" ca="1" si="497">FF131-TODAY()</f>
        <v>382</v>
      </c>
      <c r="FH131" s="15" t="str">
        <f t="shared" ref="FH131:FH194" ca="1" si="498">IF(FG131&gt;=91,"VIGENTE",IF(FG131&gt;=1,"POR VENCER",IF(FG131&lt;=-1,"VENCIDA",IF(FE131=0,"NO APLICA"))))</f>
        <v>VIGENTE</v>
      </c>
      <c r="FI131" s="14">
        <v>45145</v>
      </c>
      <c r="FJ131" s="14">
        <v>45790</v>
      </c>
      <c r="FK131" s="14">
        <f t="shared" si="446"/>
        <v>46520</v>
      </c>
      <c r="FL131" s="65">
        <f t="shared" ref="FL131:FL190" ca="1" si="499">FK131-TODAY()</f>
        <v>389</v>
      </c>
      <c r="FM131" s="15" t="str">
        <f t="shared" ref="FM131:FM194" ca="1" si="500">IF(FL131&gt;=91,"VIGENTE",IF(FL131&gt;=1,"POR VENCER",IF(FL131&lt;=-1,"VENCIDA",IF(FJ131=0,"NO APLICA"))))</f>
        <v>VIGENTE</v>
      </c>
      <c r="FN131" s="14">
        <v>45134</v>
      </c>
      <c r="FO131" s="14">
        <v>45784</v>
      </c>
      <c r="FP131" s="14">
        <f>DATE(YEAR(FO131)+2,MONTH(FO131),DAY(FO131))</f>
        <v>46514</v>
      </c>
      <c r="FQ131" s="65">
        <f t="shared" ref="FQ131:FQ190" ca="1" si="501">FP131-TODAY()</f>
        <v>383</v>
      </c>
      <c r="FR131" s="15" t="str">
        <f t="shared" ref="FR131:FR194" ca="1" si="502">IF(FQ131&gt;=91,"VIGENTE",IF(FQ131&gt;=1,"POR VENCER",IF(FQ131&lt;=-1,"VENCIDA",IF(FO131=0,"NO APLICA"))))</f>
        <v>VIGENTE</v>
      </c>
      <c r="FS131" s="14">
        <v>45304</v>
      </c>
      <c r="FT131" s="14">
        <v>45957</v>
      </c>
      <c r="FU131" s="14">
        <f>DATE(YEAR(FT131)+2,MONTH(FT131),DAY(FT131))</f>
        <v>46687</v>
      </c>
      <c r="FV131" s="65">
        <f t="shared" ref="FV131:FV190" ca="1" si="503">FU131-TODAY()</f>
        <v>556</v>
      </c>
      <c r="FW131" s="15" t="str">
        <f t="shared" ref="FW131:FW194" ca="1" si="504">IF(FV131&gt;=91,"VIGENTE",IF(FV131&gt;=1,"POR VENCER",IF(FV131&lt;=-1,"VENCIDA",IF(FT131=0,"NO APLICA"))))</f>
        <v>VIGENTE</v>
      </c>
      <c r="FX131" s="14">
        <v>45146</v>
      </c>
      <c r="FY131" s="14">
        <v>45822</v>
      </c>
      <c r="FZ131" s="14">
        <f t="shared" si="447"/>
        <v>46552</v>
      </c>
      <c r="GA131" s="65">
        <f t="shared" ref="GA131:GA190" ca="1" si="505">FZ131-TODAY()</f>
        <v>421</v>
      </c>
      <c r="GB131" s="15" t="str">
        <f t="shared" ref="GB131:GB194" ca="1" si="506">IF(GA131&gt;=91,"VIGENTE",IF(GA131&gt;=1,"POR VENCER",IF(GA131&lt;=-1,"VENCIDA",IF(FY131=0,"NO APLICA"))))</f>
        <v>VIGENTE</v>
      </c>
      <c r="GC131" s="14">
        <v>45268</v>
      </c>
      <c r="GD131" s="14">
        <v>45925</v>
      </c>
      <c r="GE131" s="14">
        <f>DATE(YEAR(GD131)+2,MONTH(GD131),DAY(GD131))</f>
        <v>46655</v>
      </c>
      <c r="GF131" s="65">
        <f t="shared" ref="GF131:GF190" ca="1" si="507">GE131-TODAY()</f>
        <v>524</v>
      </c>
      <c r="GG131" s="15" t="str">
        <f t="shared" ref="GG131:GG194" ca="1" si="508">IF(GF131&gt;=91,"VIGENTE",IF(GF131&gt;=1,"POR VENCER",IF(GF131&lt;=-1,"VENCIDA",IF(GD131=0,"NO APLICA"))))</f>
        <v>VIGENTE</v>
      </c>
      <c r="GH131" s="14">
        <v>45195</v>
      </c>
      <c r="GI131" s="14">
        <v>45849</v>
      </c>
      <c r="GJ131" s="14">
        <f>DATE(YEAR(GI131)+2,MONTH(GI131),DAY(GI131))</f>
        <v>46579</v>
      </c>
      <c r="GK131" s="65">
        <f t="shared" ref="GK131:GK190" ca="1" si="509">GJ131-TODAY()</f>
        <v>448</v>
      </c>
      <c r="GL131" s="15" t="str">
        <f t="shared" ref="GL131:GL194" ca="1" si="510">IF(GK131&gt;=91,"VIGENTE",IF(GK131&gt;=1,"POR VENCER",IF(GK131&lt;=-1,"VENCIDA",IF(GI131=0,"NO APLICA"))))</f>
        <v>VIGENTE</v>
      </c>
      <c r="GM131" s="14"/>
      <c r="GN131" s="14">
        <v>45945</v>
      </c>
      <c r="GO131" s="14">
        <f>DATE(YEAR(GN131)+2,MONTH(GN131),DAY(GN131))</f>
        <v>46675</v>
      </c>
      <c r="GP131" s="65">
        <f t="shared" ref="GP131:GP190" ca="1" si="511">GO131-TODAY()</f>
        <v>544</v>
      </c>
      <c r="GQ131" s="15" t="str">
        <f t="shared" ref="GQ131:GQ194" ca="1" si="512">IF(GP131&gt;=61,"VIGENTE",IF(GP131&gt;=1,"POR VENCER",IF(GP131&lt;=-1,"VENCIDA",IF(GN131=0,"NO APLICA"))))</f>
        <v>VIGENTE</v>
      </c>
      <c r="GR131" s="14"/>
      <c r="GS131" s="14">
        <v>45164</v>
      </c>
      <c r="GT131" s="14">
        <f t="shared" ref="GT131:GT190" si="513">DATE(YEAR(GS131)+5,MONTH(GS131),DAY(GS131))</f>
        <v>46991</v>
      </c>
      <c r="GU131" s="65">
        <f t="shared" ca="1" si="398"/>
        <v>860</v>
      </c>
      <c r="GV131" s="15" t="str">
        <f t="shared" ca="1" si="411"/>
        <v>VIGENTE</v>
      </c>
      <c r="GW131" s="14"/>
      <c r="GX131" s="14">
        <v>45200</v>
      </c>
      <c r="GY131" s="14">
        <f t="shared" ref="GY131:GY190" si="514">DATE(YEAR(GX131)+5,MONTH(GX131),DAY(GX131))</f>
        <v>47027</v>
      </c>
      <c r="GZ131" s="65">
        <f t="shared" ref="GZ131:GZ190" ca="1" si="515">GY131-TODAY()</f>
        <v>896</v>
      </c>
      <c r="HA131" s="15" t="str">
        <f t="shared" ca="1" si="418"/>
        <v>VIGENTE</v>
      </c>
      <c r="HB131" s="16"/>
      <c r="HC131" s="14">
        <v>45163</v>
      </c>
      <c r="HD131" s="14">
        <f t="shared" ref="HD131:HD190" si="516">DATE(YEAR(HC131)+5,MONTH(HC131),DAY(HC131))</f>
        <v>46990</v>
      </c>
      <c r="HE131" s="65">
        <f t="shared" ref="HE131:HE190" ca="1" si="517">HD131-TODAY()</f>
        <v>859</v>
      </c>
      <c r="HF131" s="15" t="str">
        <f t="shared" ca="1" si="413"/>
        <v>VIGENTE</v>
      </c>
      <c r="HG131" s="16"/>
      <c r="HH131" s="14">
        <v>45150</v>
      </c>
      <c r="HI131" s="14">
        <f>DATE(YEAR(HH131)+5,MONTH(HH131),DAY(HH131))</f>
        <v>46977</v>
      </c>
      <c r="HJ131" s="65">
        <f ca="1">HI131-TODAY()</f>
        <v>846</v>
      </c>
      <c r="HK131" s="15" t="str">
        <f t="shared" ca="1" si="419"/>
        <v>VIGENTE</v>
      </c>
      <c r="HL131" s="16"/>
      <c r="HM131" s="16"/>
      <c r="HN131" s="14"/>
      <c r="HO131" s="65"/>
      <c r="HP131" s="15" t="str">
        <f t="shared" si="437"/>
        <v>NO APLICA</v>
      </c>
      <c r="HQ131" s="12"/>
      <c r="HR131" s="12"/>
      <c r="HS131" s="14"/>
      <c r="HT131" s="12"/>
      <c r="HU131" s="15" t="str">
        <f t="shared" ref="HU131:HU194" si="518">IF(HT131&gt;=61,"VIGENTE",IF(HT131&gt;=1,"POR VENCER",IF(HT131&lt;=-1,"VENCIDA",IF(HR131=0,"NO APLICA"))))</f>
        <v>NO APLICA</v>
      </c>
      <c r="HV131" s="16"/>
      <c r="HW131" s="16"/>
      <c r="HX131" s="14"/>
      <c r="HY131" s="65"/>
      <c r="HZ131" s="15" t="str">
        <f t="shared" ref="HZ131:HZ194" si="519">IF(HY131&gt;=61,"VIGENTE",IF(HY131&gt;=1,"POR VENCER",IF(HY131&lt;=-1,"VENCIDA",IF(HW131=0,"NO APLICA"))))</f>
        <v>NO APLICA</v>
      </c>
      <c r="IA131" s="16"/>
      <c r="IB131" s="16"/>
      <c r="IC131" s="14"/>
      <c r="ID131" s="65"/>
      <c r="IE131" s="15" t="str">
        <f t="shared" ref="IE131:IE194" si="520">IF(ID131&gt;=61,"VIGENTE",IF(ID131&gt;=1,"POR VENCER",IF(ID131&lt;=-1,"VENCIDA",IF(IB131=0,"NO APLICA"))))</f>
        <v>NO APLICA</v>
      </c>
      <c r="IF131" s="16"/>
      <c r="IG131" s="16"/>
      <c r="IH131" s="14"/>
      <c r="II131" s="65"/>
      <c r="IJ131" s="15" t="str">
        <f t="shared" ref="IJ131:IJ194" si="521">IF(II131&gt;=61,"VIGENTE",IF(II131&gt;=1,"POR VENCER",IF(II131&lt;=-1,"VENCIDA",IF(IG131=0,"NO APLICA"))))</f>
        <v>NO APLICA</v>
      </c>
      <c r="IK131" s="16"/>
      <c r="IL131" s="16"/>
      <c r="IM131" s="14"/>
      <c r="IN131" s="16"/>
      <c r="IO131" s="15" t="str">
        <f t="shared" ref="IO131:IO194" si="522">IF(IN131&gt;=61,"VIGENTE",IF(IN131&gt;=1,"POR VENCER",IF(IN131&lt;=-1,"VENCIDA",IF(IL131=0,"NO APLICA"))))</f>
        <v>NO APLICA</v>
      </c>
      <c r="IP131" s="16"/>
      <c r="IQ131" s="14">
        <v>45354</v>
      </c>
      <c r="IR131" s="14">
        <f>DATE(YEAR(IQ131)+5,MONTH(IQ131),DAY(IQ131))</f>
        <v>47180</v>
      </c>
      <c r="IS131" s="65">
        <f ca="1">IR131-TODAY()</f>
        <v>1049</v>
      </c>
      <c r="IT131" s="15" t="str">
        <f t="shared" ref="IT131:IT194" ca="1" si="523">IF(IS131&gt;=61,"VIGENTE",IF(IS131&gt;=1,"POR VENCER",IF(IS131&lt;=-1,"VENCIDA",IF(IQ131=0,"NO APLICA"))))</f>
        <v>VIGENTE</v>
      </c>
      <c r="IU131" s="16"/>
      <c r="IV131" s="16"/>
      <c r="IW131" s="14"/>
      <c r="IX131" s="65"/>
      <c r="IY131" s="15" t="str">
        <f t="shared" ref="IY131:IY194" si="524">IF(IX131&gt;=61,"VIGENTE",IF(IX131&gt;=1,"POR VENCER",IF(IX131&lt;=-1,"VENCIDA",IF(IV131=0,"NO APLICA"))))</f>
        <v>NO APLICA</v>
      </c>
      <c r="IZ131" s="16"/>
      <c r="JA131" s="16"/>
      <c r="JB131" s="14"/>
      <c r="JC131" s="65"/>
      <c r="JD131" s="15" t="str">
        <f t="shared" ref="JD131:JD194" si="525">IF(JC131&gt;=61,"VIGENTE",IF(JC131&gt;=1,"POR VENCER",IF(JC131&lt;=-1,"VENCIDA",IF(JA131=0,"NO APLICA"))))</f>
        <v>NO APLICA</v>
      </c>
      <c r="JE131" s="13"/>
      <c r="JF131" s="13"/>
      <c r="JG131" s="14"/>
      <c r="JH131" s="65"/>
      <c r="JI131" s="15" t="str">
        <f t="shared" ref="JI131:JI194" si="526">IF(JH131&gt;=61,"VIGENTE",IF(JH131&gt;=1,"POR VENCER",IF(JH131&lt;=-1,"VENCIDA",IF(JF131=0,"NO APLICA"))))</f>
        <v>NO APLICA</v>
      </c>
      <c r="JJ131" s="16"/>
      <c r="JK131" s="16"/>
      <c r="JL131" s="16"/>
      <c r="JM131" s="15" t="str">
        <f t="shared" ref="JM131:JM194" si="527">IF(JL131&gt;=61,"VIGENTE",IF(JL131&gt;=1,"POR VENCER",IF(JL131&lt;=-1,"VENCIDA",IF(JJ131=0,"NO APLICA"))))</f>
        <v>NO APLICA</v>
      </c>
      <c r="JN131" s="16"/>
      <c r="JO131" s="16"/>
      <c r="JP131" s="16"/>
      <c r="JQ131" s="15" t="str">
        <f t="shared" ref="JQ131:JQ194" si="528">IF(JP131&gt;=61,"VIGENTE",IF(JP131&gt;=1,"POR VENCER",IF(JP131&lt;=-1,"VENCIDA",IF(JN131=0,"NO APLICA"))))</f>
        <v>NO APLICA</v>
      </c>
      <c r="JR131" s="16"/>
      <c r="JS131" s="16"/>
      <c r="JT131" s="16"/>
      <c r="JU131" s="16"/>
      <c r="JV131" s="15" t="str">
        <f t="shared" ref="JV131:JV194" si="529">IF(JU131&gt;=61,"VIGENTE",IF(JU131&gt;=1,"POR VENCER",IF(JU131&lt;=-1,"VENCIDA",IF(JS131=0,"NO APLICA"))))</f>
        <v>NO APLICA</v>
      </c>
      <c r="JW131" s="15"/>
      <c r="JX131" s="15"/>
      <c r="JY131" s="15"/>
      <c r="JZ131" s="15"/>
      <c r="KA131" s="15" t="str">
        <f t="shared" ref="KA131:KA194" si="530">IF(JZ131&gt;=61,"VIGENTE",IF(JZ131&gt;=1,"POR VENCER",IF(JZ131&lt;=-1,"VENCIDA",IF(JX131=0,"NO APLICA"))))</f>
        <v>NO APLICA</v>
      </c>
      <c r="KB131" s="12"/>
      <c r="KC131" s="14"/>
      <c r="KD131" s="65"/>
      <c r="KE131" s="15" t="str">
        <f t="shared" ref="KE131:KE194" si="531">IF(KD131&gt;=61,"VIGENTE",IF(KD131&gt;=1,"POR VENCER",IF(KD131&lt;=-1,"VENCIDA",IF(KB131=0,"NO APLICA"))))</f>
        <v>NO APLICA</v>
      </c>
      <c r="KF131" s="12"/>
      <c r="KG131" s="14"/>
      <c r="KH131" s="65"/>
      <c r="KI131" s="15" t="str">
        <f t="shared" si="345"/>
        <v>NO APLICA</v>
      </c>
      <c r="KJ131" s="12"/>
      <c r="KK131" s="14"/>
      <c r="KL131" s="65"/>
      <c r="KM131" s="15" t="str">
        <f t="shared" ref="KM131:KM194" si="532">IF(KL131&gt;=61,"VIGENTE",IF(KL131&gt;=1,"POR VENCER",IF(KL131&lt;=-1,"VENCIDA",IF(KJ131=0,"NO APLICA"))))</f>
        <v>NO APLICA</v>
      </c>
      <c r="KN131" s="12"/>
      <c r="KO131" s="14"/>
      <c r="KP131" s="65"/>
      <c r="KQ131" s="15" t="str">
        <f t="shared" si="346"/>
        <v>NO APLICA</v>
      </c>
      <c r="KR131" s="16"/>
      <c r="KS131" s="16"/>
      <c r="KT131" s="14"/>
      <c r="KU131" s="16"/>
      <c r="KV131" s="15" t="str">
        <f t="shared" si="355"/>
        <v>NO APLICA</v>
      </c>
      <c r="KW131" s="16"/>
      <c r="KX131" s="14"/>
      <c r="KY131" s="16"/>
      <c r="KZ131" s="15" t="str">
        <f t="shared" si="347"/>
        <v>NO APLICA</v>
      </c>
      <c r="LA131" s="16"/>
      <c r="LB131" s="16"/>
      <c r="LC131" s="16"/>
      <c r="LD131" s="16"/>
      <c r="LE131" s="15" t="str">
        <f t="shared" ref="LE131:LE158" si="533">IF(LD131&gt;=61,"VIGENTE",IF(LD131&gt;=1,"POR VENCER",IF(LD131&lt;=-1,"VENCIDA",IF(LB131=0,"NO APLICA"))))</f>
        <v>NO APLICA</v>
      </c>
      <c r="LF131" s="15"/>
      <c r="LG131" s="15"/>
      <c r="LH131" s="14"/>
      <c r="LI131" s="65"/>
      <c r="LJ131" s="15" t="str">
        <f t="shared" si="356"/>
        <v>NO APLICA</v>
      </c>
      <c r="LK131" s="16"/>
      <c r="LL131" s="16"/>
      <c r="LM131" s="14"/>
      <c r="LN131" s="65"/>
      <c r="LO131" s="15" t="str">
        <f t="shared" si="348"/>
        <v>NO APLICA</v>
      </c>
      <c r="LP131" s="16"/>
      <c r="LQ131" s="16"/>
      <c r="LR131" s="14"/>
      <c r="LS131" s="16"/>
      <c r="LT131" s="15" t="str">
        <f t="shared" si="349"/>
        <v>NO APLICA</v>
      </c>
      <c r="LU131" s="16"/>
      <c r="LV131" s="16"/>
      <c r="LW131" s="14"/>
      <c r="LX131" s="16"/>
      <c r="LY131" s="15" t="str">
        <f t="shared" si="350"/>
        <v>NO APLICA</v>
      </c>
      <c r="LZ131" s="16"/>
      <c r="MA131" s="16"/>
      <c r="MB131" s="14"/>
      <c r="MC131" s="16"/>
      <c r="MD131" s="15" t="str">
        <f t="shared" ref="MD131:MD194" si="534">IF(MC131&gt;=61,"VIGENTE",IF(MC131&gt;=1,"POR VENCER",IF(MC131&lt;=-1,"VENCIDA",IF(MA131=0,"NO APLICA"))))</f>
        <v>NO APLICA</v>
      </c>
      <c r="ME131" s="16"/>
      <c r="MF131" s="16"/>
      <c r="MG131" s="14"/>
      <c r="MH131" s="16"/>
      <c r="MI131" s="15" t="str">
        <f t="shared" ref="MI131:MI194" si="535">IF(MH131&gt;=61,"VIGENTE",IF(MH131&gt;=1,"POR VENCER",IF(MH131&lt;=-1,"VENCIDA",IF(MF131=0,"NO APLICA"))))</f>
        <v>NO APLICA</v>
      </c>
      <c r="MJ131" s="16"/>
      <c r="MK131" s="14"/>
      <c r="ML131" s="16"/>
      <c r="MM131" s="15" t="str">
        <f t="shared" ref="MM131:MM194" si="536">IF(ML131&gt;=61,"VIGENTE",IF(ML131&gt;=1,"POR VENCER",IF(ML131&lt;=-1,"VENCIDA",IF(MJ131=0,"NO APLICA"))))</f>
        <v>NO APLICA</v>
      </c>
      <c r="MN131" s="16"/>
      <c r="MO131" s="16"/>
      <c r="MP131" s="16"/>
      <c r="MQ131" s="15" t="str">
        <f t="shared" ref="MQ131:MQ194" si="537">IF(MP131&gt;=61,"VIGENTE",IF(MP131&gt;=1,"POR VENCER",IF(MP131&lt;=-1,"VENCIDA",IF(MN131=0,"NO APLICA"))))</f>
        <v>NO APLICA</v>
      </c>
      <c r="MR131" s="16"/>
      <c r="MS131" s="16"/>
      <c r="MT131" s="14"/>
      <c r="MU131" s="16"/>
      <c r="MV131" s="15" t="str">
        <f t="shared" ref="MV131:MV194" si="538">IF(MU131&gt;=61,"VIGENTE",IF(MU131&gt;=1,"POR VENCER",IF(MU131&lt;=-1,"VENCIDA",IF(MS131=0,"NO APLICA"))))</f>
        <v>NO APLICA</v>
      </c>
      <c r="MW131" s="16"/>
      <c r="MX131" s="16"/>
      <c r="MY131" s="14"/>
      <c r="MZ131" s="16"/>
      <c r="NA131" s="15" t="str">
        <f t="shared" ref="NA131:NA194" si="539">IF(MZ131&gt;=61,"VIGENTE",IF(MZ131&gt;=1,"POR VENCER",IF(MZ131&lt;=-1,"VENCIDA",IF(MX131=0,"NO APLICA"))))</f>
        <v>NO APLICA</v>
      </c>
      <c r="NB131" s="16"/>
      <c r="NC131" s="16"/>
      <c r="ND131" s="14"/>
      <c r="NE131" s="16"/>
      <c r="NF131" s="15" t="str">
        <f t="shared" ref="NF131:NF194" si="540">IF(NE131&gt;=61,"VIGENTE",IF(NE131&gt;=1,"POR VENCER",IF(NE131&lt;=-1,"VENCIDA",IF(NC131=0,"NO APLICA"))))</f>
        <v>NO APLICA</v>
      </c>
      <c r="NG131" s="16"/>
      <c r="NH131" s="16"/>
      <c r="NI131" s="14"/>
      <c r="NJ131" s="16"/>
      <c r="NK131" s="15" t="str">
        <f t="shared" ref="NK131:NK194" si="541">IF(NJ131&gt;=61,"VIGENTE",IF(NJ131&gt;=1,"POR VENCER",IF(NJ131&lt;=-1,"VENCIDA",IF(NH131=0,"NO APLICA"))))</f>
        <v>NO APLICA</v>
      </c>
      <c r="NL131" s="16"/>
      <c r="NM131" s="16"/>
      <c r="NN131" s="14"/>
      <c r="NO131" s="16"/>
      <c r="NP131" s="15" t="str">
        <f t="shared" ref="NP131:NP194" si="542">IF(NO131&gt;=61,"VIGENTE",IF(NO131&gt;=1,"POR VENCER",IF(NO131&lt;=-1,"VENCIDA",IF(NM131=0,"NO APLICA"))))</f>
        <v>NO APLICA</v>
      </c>
      <c r="NQ131" s="16"/>
      <c r="NR131" s="16"/>
      <c r="NS131" s="14"/>
      <c r="NT131" s="65"/>
      <c r="NU131" s="15" t="str">
        <f t="shared" ref="NU131:NU194" si="543">IF(NT131&gt;=61,"VIGENTE",IF(NT131&gt;=1,"POR VENCER",IF(NT131&lt;=-1,"VENCIDA",IF(NR131=0,"NO APLICA"))))</f>
        <v>NO APLICA</v>
      </c>
      <c r="NV131" s="16"/>
      <c r="NW131" s="16"/>
      <c r="NX131" s="16"/>
      <c r="NY131" s="16"/>
      <c r="NZ131" s="15" t="str">
        <f t="shared" ref="NZ131:NZ194" si="544">IF(NY131&gt;=61,"VIGENTE",IF(NY131&gt;=1,"POR VENCER",IF(NY131&lt;=-1,"VENCIDA",IF(NW131=0,"NO APLICA"))))</f>
        <v>NO APLICA</v>
      </c>
    </row>
    <row r="132" spans="1:390" ht="15.6" thickTop="1" thickBot="1" x14ac:dyDescent="0.35">
      <c r="A132" s="11">
        <v>1715</v>
      </c>
      <c r="B132" s="10" t="s">
        <v>493</v>
      </c>
      <c r="C132" s="21" t="s">
        <v>98</v>
      </c>
      <c r="D132" s="64" t="s">
        <v>118</v>
      </c>
      <c r="E132" s="16"/>
      <c r="F132" s="16"/>
      <c r="G132" s="16"/>
      <c r="H132" s="16"/>
      <c r="I132" s="15" t="str">
        <f t="shared" si="448"/>
        <v>NO APLICA</v>
      </c>
      <c r="J132" s="16"/>
      <c r="K132" s="16"/>
      <c r="L132" s="16"/>
      <c r="M132" s="16"/>
      <c r="N132" s="15" t="str">
        <f t="shared" si="449"/>
        <v>NO APLICA</v>
      </c>
      <c r="O132" s="14">
        <v>45582</v>
      </c>
      <c r="P132" s="14">
        <v>45583</v>
      </c>
      <c r="Q132" s="14">
        <f>DATE(YEAR(P132)+2,MONTH(P132),DAY(P132)-1)</f>
        <v>46312</v>
      </c>
      <c r="R132" s="65">
        <f ca="1">Q132-TODAY()</f>
        <v>181</v>
      </c>
      <c r="S132" s="15" t="str">
        <f t="shared" ref="S132:S189" ca="1" si="545">IF(R132&gt;=61,"VIGENTE",IF(R132&gt;=1,"POR VENCER",IF(R132&lt;=-1,"VENCIDA",IF(R132=0,"NO APLICA"))))</f>
        <v>VIGENTE</v>
      </c>
      <c r="T132" s="16" t="s">
        <v>494</v>
      </c>
      <c r="U132" s="14">
        <v>45308</v>
      </c>
      <c r="V132" s="14">
        <v>45309</v>
      </c>
      <c r="W132" s="14">
        <f t="shared" si="401"/>
        <v>47136</v>
      </c>
      <c r="X132" s="65">
        <f t="shared" ca="1" si="402"/>
        <v>1005</v>
      </c>
      <c r="Y132" s="15" t="str">
        <f t="shared" ca="1" si="403"/>
        <v>VIGENTE</v>
      </c>
      <c r="Z132" s="16"/>
      <c r="AA132" s="16"/>
      <c r="AB132" s="16"/>
      <c r="AC132" s="14"/>
      <c r="AD132" s="65"/>
      <c r="AE132" s="68" t="str">
        <f>IF(AD132&gt;=91,"VIGENTE",IF(AD132&gt;=1,"POR VENCER",IF(AD132&lt;=-1,"VENCIDA",IF(AB132=0,"PENDIENTE"))))</f>
        <v>PENDIENTE</v>
      </c>
      <c r="AF132" s="16"/>
      <c r="AG132" s="14">
        <v>45936</v>
      </c>
      <c r="AH132" s="14">
        <f t="shared" si="441"/>
        <v>46666</v>
      </c>
      <c r="AI132" s="65">
        <f t="shared" ca="1" si="450"/>
        <v>535</v>
      </c>
      <c r="AJ132" s="15" t="str">
        <f t="shared" ca="1" si="399"/>
        <v>VIGENTE</v>
      </c>
      <c r="AK132" s="14">
        <v>45307</v>
      </c>
      <c r="AL132" s="14">
        <v>45959</v>
      </c>
      <c r="AM132" s="14">
        <f t="shared" si="442"/>
        <v>46689</v>
      </c>
      <c r="AN132" s="65">
        <f t="shared" ca="1" si="451"/>
        <v>558</v>
      </c>
      <c r="AO132" s="15" t="str">
        <f t="shared" ca="1" si="452"/>
        <v>VIGENTE</v>
      </c>
      <c r="AP132" s="14">
        <v>45349</v>
      </c>
      <c r="AQ132" s="14">
        <v>45989</v>
      </c>
      <c r="AR132" s="14">
        <f t="shared" si="443"/>
        <v>46719</v>
      </c>
      <c r="AS132" s="65">
        <f t="shared" ca="1" si="453"/>
        <v>588</v>
      </c>
      <c r="AT132" s="15" t="str">
        <f t="shared" ca="1" si="454"/>
        <v>VIGENTE</v>
      </c>
      <c r="AU132" s="14">
        <v>45323</v>
      </c>
      <c r="AV132" s="14">
        <v>45972</v>
      </c>
      <c r="AW132" s="14">
        <f t="shared" si="438"/>
        <v>46702</v>
      </c>
      <c r="AX132" s="65">
        <f t="shared" ca="1" si="455"/>
        <v>571</v>
      </c>
      <c r="AY132" s="15" t="str">
        <f t="shared" ca="1" si="456"/>
        <v>VIGENTE</v>
      </c>
      <c r="AZ132" s="13">
        <v>45387</v>
      </c>
      <c r="BA132" s="14">
        <v>46041</v>
      </c>
      <c r="BB132" s="14">
        <f>DATE(YEAR(BA132)+2,MONTH(BA132),DAY(BA132))</f>
        <v>46771</v>
      </c>
      <c r="BC132" s="65">
        <f t="shared" ca="1" si="457"/>
        <v>640</v>
      </c>
      <c r="BD132" s="15" t="str">
        <f t="shared" ca="1" si="458"/>
        <v>VIGENTE</v>
      </c>
      <c r="BE132" s="16"/>
      <c r="BF132" s="14">
        <v>45997</v>
      </c>
      <c r="BG132" s="14">
        <f t="shared" si="439"/>
        <v>46727</v>
      </c>
      <c r="BH132" s="65">
        <f t="shared" ca="1" si="459"/>
        <v>596</v>
      </c>
      <c r="BI132" s="15" t="str">
        <f t="shared" ca="1" si="460"/>
        <v>VIGENTE</v>
      </c>
      <c r="BJ132" s="14">
        <v>45348</v>
      </c>
      <c r="BK132" s="14">
        <v>46017</v>
      </c>
      <c r="BL132" s="14">
        <f>DATE(YEAR(BK132)+2,MONTH(BK132),DAY(BK132))</f>
        <v>46747</v>
      </c>
      <c r="BM132" s="65">
        <f t="shared" ca="1" si="461"/>
        <v>616</v>
      </c>
      <c r="BN132" s="15" t="str">
        <f t="shared" ca="1" si="462"/>
        <v>VIGENTE</v>
      </c>
      <c r="BO132" s="14"/>
      <c r="BP132" s="14">
        <v>46050</v>
      </c>
      <c r="BQ132" s="14">
        <f>DATE(YEAR(BP132)+2,MONTH(BP132),DAY(BP132))</f>
        <v>46780</v>
      </c>
      <c r="BR132" s="65">
        <f t="shared" ca="1" si="463"/>
        <v>649</v>
      </c>
      <c r="BS132" s="15" t="str">
        <f t="shared" ca="1" si="464"/>
        <v>VIGENTE</v>
      </c>
      <c r="BT132" s="13">
        <v>45362</v>
      </c>
      <c r="BU132" s="14">
        <v>46031</v>
      </c>
      <c r="BV132" s="14">
        <f>DATE(YEAR(BU132)+2,MONTH(BU132),DAY(BU132))</f>
        <v>46761</v>
      </c>
      <c r="BW132" s="65">
        <f t="shared" ca="1" si="465"/>
        <v>630</v>
      </c>
      <c r="BX132" s="15" t="str">
        <f t="shared" ca="1" si="466"/>
        <v>VIGENTE</v>
      </c>
      <c r="BY132" s="16"/>
      <c r="BZ132" s="14">
        <v>45986</v>
      </c>
      <c r="CA132" s="14">
        <f t="shared" si="440"/>
        <v>46716</v>
      </c>
      <c r="CB132" s="65">
        <f t="shared" ca="1" si="467"/>
        <v>585</v>
      </c>
      <c r="CC132" s="15" t="str">
        <f t="shared" ca="1" si="468"/>
        <v>VIGENTE</v>
      </c>
      <c r="CD132" s="16" t="s">
        <v>102</v>
      </c>
      <c r="CE132" s="14">
        <v>45722</v>
      </c>
      <c r="CF132" s="14">
        <v>45723</v>
      </c>
      <c r="CG132" s="14">
        <f t="shared" si="408"/>
        <v>47184</v>
      </c>
      <c r="CH132" s="65">
        <f t="shared" ca="1" si="409"/>
        <v>1053</v>
      </c>
      <c r="CI132" s="15" t="str">
        <f t="shared" ca="1" si="410"/>
        <v>VIGENTE</v>
      </c>
      <c r="CJ132" s="14">
        <v>45353</v>
      </c>
      <c r="CK132" s="14">
        <v>46018</v>
      </c>
      <c r="CL132" s="14">
        <f>DATE(YEAR(CK132)+2,MONTH(CK132),DAY(CK132))</f>
        <v>46748</v>
      </c>
      <c r="CM132" s="65">
        <f t="shared" ca="1" si="469"/>
        <v>617</v>
      </c>
      <c r="CN132" s="15" t="str">
        <f t="shared" ca="1" si="470"/>
        <v>VIGENTE</v>
      </c>
      <c r="CO132" s="14">
        <v>45305</v>
      </c>
      <c r="CP132" s="14">
        <v>45979</v>
      </c>
      <c r="CQ132" s="14">
        <f>DATE(YEAR(CP132)+2,MONTH(CP132),DAY(CP132))</f>
        <v>46709</v>
      </c>
      <c r="CR132" s="65">
        <f t="shared" ca="1" si="471"/>
        <v>578</v>
      </c>
      <c r="CS132" s="15" t="str">
        <f t="shared" ca="1" si="472"/>
        <v>VIGENTE</v>
      </c>
      <c r="CT132" s="14">
        <v>45408</v>
      </c>
      <c r="CU132" s="14">
        <v>46043</v>
      </c>
      <c r="CV132" s="14">
        <f>DATE(YEAR(CU132)+2,MONTH(CU132),DAY(CU132))</f>
        <v>46773</v>
      </c>
      <c r="CW132" s="65">
        <f t="shared" ca="1" si="473"/>
        <v>642</v>
      </c>
      <c r="CX132" s="15" t="str">
        <f t="shared" ca="1" si="474"/>
        <v>VIGENTE</v>
      </c>
      <c r="CY132" s="14"/>
      <c r="CZ132" s="14">
        <v>46000</v>
      </c>
      <c r="DA132" s="14">
        <f>DATE(YEAR(CZ132)+2,MONTH(CZ132),DAY(CZ132))</f>
        <v>46730</v>
      </c>
      <c r="DB132" s="65">
        <f t="shared" ca="1" si="475"/>
        <v>599</v>
      </c>
      <c r="DC132" s="15" t="str">
        <f t="shared" ca="1" si="476"/>
        <v>VIGENTE</v>
      </c>
      <c r="DD132" s="13">
        <v>45328</v>
      </c>
      <c r="DE132" s="14">
        <v>45996</v>
      </c>
      <c r="DF132" s="14">
        <f>DATE(YEAR(DE132)+2,MONTH(DE132),DAY(DE132))</f>
        <v>46726</v>
      </c>
      <c r="DG132" s="65">
        <f t="shared" ca="1" si="477"/>
        <v>595</v>
      </c>
      <c r="DH132" s="15" t="str">
        <f t="shared" ca="1" si="478"/>
        <v>VIGENTE</v>
      </c>
      <c r="DI132" s="14">
        <v>45312</v>
      </c>
      <c r="DJ132" s="14">
        <v>45975</v>
      </c>
      <c r="DK132" s="14">
        <f>DATE(YEAR(DJ132)+2,MONTH(DJ132),DAY(DJ132))</f>
        <v>46705</v>
      </c>
      <c r="DL132" s="65">
        <f t="shared" ca="1" si="479"/>
        <v>574</v>
      </c>
      <c r="DM132" s="15" t="str">
        <f t="shared" ca="1" si="480"/>
        <v>VIGENTE</v>
      </c>
      <c r="DN132" s="14"/>
      <c r="DO132" s="14">
        <v>46007</v>
      </c>
      <c r="DP132" s="14">
        <f>DATE(YEAR(DO132)+2,MONTH(DO132),DAY(DO132))</f>
        <v>46737</v>
      </c>
      <c r="DQ132" s="65">
        <f t="shared" ca="1" si="481"/>
        <v>606</v>
      </c>
      <c r="DR132" s="15" t="str">
        <f t="shared" ca="1" si="482"/>
        <v>VIGENTE</v>
      </c>
      <c r="DS132" s="14">
        <v>45336</v>
      </c>
      <c r="DT132" s="13">
        <v>46009</v>
      </c>
      <c r="DU132" s="14">
        <f>DATE(YEAR(DT132)+2,MONTH(DT132),DAY(DT132))</f>
        <v>46739</v>
      </c>
      <c r="DV132" s="65">
        <f t="shared" ca="1" si="483"/>
        <v>608</v>
      </c>
      <c r="DW132" s="15" t="str">
        <f t="shared" ca="1" si="484"/>
        <v>VIGENTE</v>
      </c>
      <c r="DX132" s="14">
        <v>45355</v>
      </c>
      <c r="DY132" s="14">
        <v>46032</v>
      </c>
      <c r="DZ132" s="14">
        <f>DATE(YEAR(DY132)+2,MONTH(DY132),DAY(DY132))</f>
        <v>46762</v>
      </c>
      <c r="EA132" s="65">
        <f t="shared" ca="1" si="485"/>
        <v>631</v>
      </c>
      <c r="EB132" s="15" t="str">
        <f t="shared" ca="1" si="486"/>
        <v>VIGENTE</v>
      </c>
      <c r="EC132" s="14">
        <v>45341</v>
      </c>
      <c r="ED132" s="14">
        <v>45994</v>
      </c>
      <c r="EE132" s="14">
        <f>DATE(YEAR(ED132)+2,MONTH(ED132),DAY(ED132))</f>
        <v>46724</v>
      </c>
      <c r="EF132" s="65">
        <f t="shared" ca="1" si="487"/>
        <v>593</v>
      </c>
      <c r="EG132" s="15" t="str">
        <f t="shared" ca="1" si="488"/>
        <v>VIGENTE</v>
      </c>
      <c r="EH132" s="14"/>
      <c r="EI132" s="13">
        <v>46013</v>
      </c>
      <c r="EJ132" s="13">
        <v>46014</v>
      </c>
      <c r="EK132" s="13">
        <v>46015</v>
      </c>
      <c r="EL132" s="14">
        <f t="shared" ref="EL132:EL190" si="546">DATE(YEAR(EK132)+1,MONTH(EK132),DAY(EK132))</f>
        <v>46380</v>
      </c>
      <c r="EM132" s="65">
        <f t="shared" ca="1" si="489"/>
        <v>249</v>
      </c>
      <c r="EN132" s="15" t="str">
        <f t="shared" ca="1" si="490"/>
        <v>VIGENTE</v>
      </c>
      <c r="EO132" s="13">
        <v>45346</v>
      </c>
      <c r="EP132" s="14">
        <v>45983</v>
      </c>
      <c r="EQ132" s="14">
        <f>DATE(YEAR(EP132)+2,MONTH(EP132),DAY(EP132))</f>
        <v>46713</v>
      </c>
      <c r="ER132" s="65">
        <f t="shared" ca="1" si="491"/>
        <v>582</v>
      </c>
      <c r="ES132" s="15" t="str">
        <f t="shared" ca="1" si="492"/>
        <v>VIGENTE</v>
      </c>
      <c r="ET132" s="16"/>
      <c r="EU132" s="14">
        <v>45999</v>
      </c>
      <c r="EV132" s="14">
        <f>DATE(YEAR(EU132)+2,MONTH(EU132),DAY(EU132))</f>
        <v>46729</v>
      </c>
      <c r="EW132" s="65">
        <f t="shared" ca="1" si="493"/>
        <v>598</v>
      </c>
      <c r="EX132" s="15" t="str">
        <f t="shared" ca="1" si="494"/>
        <v>VIGENTE</v>
      </c>
      <c r="EY132" s="14">
        <v>45339</v>
      </c>
      <c r="EZ132" s="14">
        <v>45964</v>
      </c>
      <c r="FA132" s="14">
        <f t="shared" si="444"/>
        <v>46694</v>
      </c>
      <c r="FB132" s="65">
        <f t="shared" ca="1" si="495"/>
        <v>563</v>
      </c>
      <c r="FC132" s="15" t="str">
        <f t="shared" ca="1" si="496"/>
        <v>VIGENTE</v>
      </c>
      <c r="FD132" s="16"/>
      <c r="FE132" s="14">
        <v>45988</v>
      </c>
      <c r="FF132" s="14">
        <f t="shared" si="445"/>
        <v>46718</v>
      </c>
      <c r="FG132" s="65">
        <f t="shared" ca="1" si="497"/>
        <v>587</v>
      </c>
      <c r="FH132" s="15" t="str">
        <f t="shared" ca="1" si="498"/>
        <v>VIGENTE</v>
      </c>
      <c r="FI132" s="14">
        <v>45342</v>
      </c>
      <c r="FJ132" s="14">
        <v>45962</v>
      </c>
      <c r="FK132" s="14">
        <f t="shared" si="446"/>
        <v>46692</v>
      </c>
      <c r="FL132" s="65">
        <f t="shared" ca="1" si="499"/>
        <v>561</v>
      </c>
      <c r="FM132" s="15" t="str">
        <f t="shared" ca="1" si="500"/>
        <v>VIGENTE</v>
      </c>
      <c r="FN132" s="14">
        <v>45359</v>
      </c>
      <c r="FO132" s="14">
        <v>46039</v>
      </c>
      <c r="FP132" s="14">
        <f>DATE(YEAR(FO132)+2,MONTH(FO132),DAY(FO132))</f>
        <v>46769</v>
      </c>
      <c r="FQ132" s="65">
        <f t="shared" ca="1" si="501"/>
        <v>638</v>
      </c>
      <c r="FR132" s="15" t="str">
        <f t="shared" ca="1" si="502"/>
        <v>VIGENTE</v>
      </c>
      <c r="FS132" s="14">
        <v>45358</v>
      </c>
      <c r="FT132" s="14">
        <v>46034</v>
      </c>
      <c r="FU132" s="14">
        <f>DATE(YEAR(FT132)+2,MONTH(FT132),DAY(FT132))</f>
        <v>46764</v>
      </c>
      <c r="FV132" s="65">
        <f t="shared" ca="1" si="503"/>
        <v>633</v>
      </c>
      <c r="FW132" s="15" t="str">
        <f t="shared" ca="1" si="504"/>
        <v>VIGENTE</v>
      </c>
      <c r="FX132" s="14">
        <v>45324</v>
      </c>
      <c r="FY132" s="14">
        <v>46004</v>
      </c>
      <c r="FZ132" s="14">
        <f t="shared" si="447"/>
        <v>46734</v>
      </c>
      <c r="GA132" s="65">
        <f t="shared" ca="1" si="505"/>
        <v>603</v>
      </c>
      <c r="GB132" s="15" t="str">
        <f t="shared" ca="1" si="506"/>
        <v>VIGENTE</v>
      </c>
      <c r="GC132" s="14"/>
      <c r="GD132" s="14">
        <v>45925</v>
      </c>
      <c r="GE132" s="14">
        <f>DATE(YEAR(GD132)+2,MONTH(GD132),DAY(GD132))</f>
        <v>46655</v>
      </c>
      <c r="GF132" s="65">
        <f t="shared" ca="1" si="507"/>
        <v>524</v>
      </c>
      <c r="GG132" s="15" t="str">
        <f t="shared" ca="1" si="508"/>
        <v>VIGENTE</v>
      </c>
      <c r="GH132" s="14">
        <v>45332</v>
      </c>
      <c r="GI132" s="14">
        <v>45960</v>
      </c>
      <c r="GJ132" s="14">
        <f>DATE(YEAR(GI132)+2,MONTH(GI132),DAY(GI132))</f>
        <v>46690</v>
      </c>
      <c r="GK132" s="65">
        <f t="shared" ca="1" si="509"/>
        <v>559</v>
      </c>
      <c r="GL132" s="15" t="str">
        <f t="shared" ca="1" si="510"/>
        <v>VIGENTE</v>
      </c>
      <c r="GM132" s="14"/>
      <c r="GN132" s="14">
        <v>45499</v>
      </c>
      <c r="GO132" s="14">
        <f>DATE(YEAR(GN132)+2,MONTH(GN132),DAY(GN132)-1)</f>
        <v>46228</v>
      </c>
      <c r="GP132" s="65">
        <f t="shared" ca="1" si="511"/>
        <v>97</v>
      </c>
      <c r="GQ132" s="15" t="str">
        <f t="shared" ca="1" si="512"/>
        <v>VIGENTE</v>
      </c>
      <c r="GR132" s="14"/>
      <c r="GS132" s="14">
        <v>45299</v>
      </c>
      <c r="GT132" s="14">
        <f t="shared" si="513"/>
        <v>47126</v>
      </c>
      <c r="GU132" s="65">
        <f t="shared" ca="1" si="398"/>
        <v>995</v>
      </c>
      <c r="GV132" s="15" t="str">
        <f t="shared" ca="1" si="411"/>
        <v>VIGENTE</v>
      </c>
      <c r="GW132" s="14"/>
      <c r="GX132" s="14">
        <v>45329</v>
      </c>
      <c r="GY132" s="14">
        <f t="shared" si="514"/>
        <v>47156</v>
      </c>
      <c r="GZ132" s="65">
        <f t="shared" ca="1" si="515"/>
        <v>1025</v>
      </c>
      <c r="HA132" s="15" t="str">
        <f t="shared" ca="1" si="418"/>
        <v>VIGENTE</v>
      </c>
      <c r="HB132" s="16"/>
      <c r="HC132" s="14">
        <v>45343</v>
      </c>
      <c r="HD132" s="14">
        <f t="shared" si="516"/>
        <v>47170</v>
      </c>
      <c r="HE132" s="65">
        <f t="shared" ca="1" si="517"/>
        <v>1039</v>
      </c>
      <c r="HF132" s="15" t="str">
        <f t="shared" ca="1" si="413"/>
        <v>VIGENTE</v>
      </c>
      <c r="HG132" s="16"/>
      <c r="HH132" s="14">
        <v>45317</v>
      </c>
      <c r="HI132" s="14">
        <f>DATE(YEAR(HH132)+5,MONTH(HH132),DAY(HH132))</f>
        <v>47144</v>
      </c>
      <c r="HJ132" s="65">
        <f ca="1">HI132-TODAY()</f>
        <v>1013</v>
      </c>
      <c r="HK132" s="15" t="str">
        <f t="shared" ca="1" si="419"/>
        <v>VIGENTE</v>
      </c>
      <c r="HL132" s="16"/>
      <c r="HM132" s="16"/>
      <c r="HN132" s="14"/>
      <c r="HO132" s="65"/>
      <c r="HP132" s="15" t="str">
        <f t="shared" si="437"/>
        <v>NO APLICA</v>
      </c>
      <c r="HQ132" s="12"/>
      <c r="HR132" s="12"/>
      <c r="HS132" s="14"/>
      <c r="HT132" s="12"/>
      <c r="HU132" s="15" t="str">
        <f t="shared" si="518"/>
        <v>NO APLICA</v>
      </c>
      <c r="HV132" s="16"/>
      <c r="HW132" s="16"/>
      <c r="HX132" s="14"/>
      <c r="HY132" s="65"/>
      <c r="HZ132" s="15" t="str">
        <f t="shared" si="519"/>
        <v>NO APLICA</v>
      </c>
      <c r="IA132" s="16"/>
      <c r="IB132" s="16"/>
      <c r="IC132" s="14"/>
      <c r="ID132" s="65"/>
      <c r="IE132" s="15" t="str">
        <f t="shared" si="520"/>
        <v>NO APLICA</v>
      </c>
      <c r="IF132" s="16"/>
      <c r="IG132" s="16"/>
      <c r="IH132" s="14"/>
      <c r="II132" s="65"/>
      <c r="IJ132" s="15" t="str">
        <f t="shared" si="521"/>
        <v>NO APLICA</v>
      </c>
      <c r="IK132" s="16"/>
      <c r="IL132" s="16"/>
      <c r="IM132" s="14"/>
      <c r="IN132" s="16"/>
      <c r="IO132" s="15" t="str">
        <f t="shared" si="522"/>
        <v>NO APLICA</v>
      </c>
      <c r="IP132" s="16"/>
      <c r="IQ132" s="16"/>
      <c r="IR132" s="14"/>
      <c r="IS132" s="65"/>
      <c r="IT132" s="15" t="str">
        <f t="shared" si="523"/>
        <v>NO APLICA</v>
      </c>
      <c r="IU132" s="16"/>
      <c r="IV132" s="16"/>
      <c r="IW132" s="14"/>
      <c r="IX132" s="65"/>
      <c r="IY132" s="15" t="str">
        <f t="shared" si="524"/>
        <v>NO APLICA</v>
      </c>
      <c r="IZ132" s="16"/>
      <c r="JA132" s="16"/>
      <c r="JB132" s="14"/>
      <c r="JC132" s="65"/>
      <c r="JD132" s="15" t="str">
        <f t="shared" si="525"/>
        <v>NO APLICA</v>
      </c>
      <c r="JE132" s="13"/>
      <c r="JF132" s="13"/>
      <c r="JG132" s="14"/>
      <c r="JH132" s="65"/>
      <c r="JI132" s="15" t="str">
        <f t="shared" si="526"/>
        <v>NO APLICA</v>
      </c>
      <c r="JJ132" s="16"/>
      <c r="JK132" s="16"/>
      <c r="JL132" s="16"/>
      <c r="JM132" s="15" t="str">
        <f t="shared" si="527"/>
        <v>NO APLICA</v>
      </c>
      <c r="JN132" s="16"/>
      <c r="JO132" s="16"/>
      <c r="JP132" s="16"/>
      <c r="JQ132" s="15" t="str">
        <f t="shared" si="528"/>
        <v>NO APLICA</v>
      </c>
      <c r="JR132" s="16"/>
      <c r="JS132" s="16"/>
      <c r="JT132" s="16"/>
      <c r="JU132" s="16"/>
      <c r="JV132" s="15" t="str">
        <f t="shared" si="529"/>
        <v>NO APLICA</v>
      </c>
      <c r="JW132" s="15"/>
      <c r="JX132" s="15"/>
      <c r="JY132" s="15"/>
      <c r="JZ132" s="15"/>
      <c r="KA132" s="15" t="str">
        <f t="shared" si="530"/>
        <v>NO APLICA</v>
      </c>
      <c r="KB132" s="12"/>
      <c r="KC132" s="14"/>
      <c r="KD132" s="65"/>
      <c r="KE132" s="15" t="str">
        <f t="shared" si="531"/>
        <v>NO APLICA</v>
      </c>
      <c r="KF132" s="12"/>
      <c r="KG132" s="14"/>
      <c r="KH132" s="65"/>
      <c r="KI132" s="15" t="str">
        <f t="shared" ref="KI132:KI195" si="547">IF(KH132&gt;=61,"VIGENTE",IF(KH132&gt;=1,"POR VENCER",IF(KH132&lt;=-1,"VENCIDA",IF(KF132=0,"NO APLICA"))))</f>
        <v>NO APLICA</v>
      </c>
      <c r="KJ132" s="12"/>
      <c r="KK132" s="14"/>
      <c r="KL132" s="65"/>
      <c r="KM132" s="15" t="str">
        <f t="shared" si="532"/>
        <v>NO APLICA</v>
      </c>
      <c r="KN132" s="13">
        <v>45346</v>
      </c>
      <c r="KO132" s="14">
        <f>DATE(YEAR(KN132)+5,MONTH(KN132),DAY(KN132))</f>
        <v>47173</v>
      </c>
      <c r="KP132" s="65">
        <f ca="1">KO132-TODAY()</f>
        <v>1042</v>
      </c>
      <c r="KQ132" s="15" t="str">
        <f t="shared" ref="KQ132:KQ195" ca="1" si="548">IF(KP132&gt;=61,"VIGENTE",IF(KP132&gt;=1,"POR VENCER",IF(KP132&lt;=-1,"VENCIDA",IF(KN132=0,"NO APLICA"))))</f>
        <v>VIGENTE</v>
      </c>
      <c r="KR132" s="16"/>
      <c r="KS132" s="16"/>
      <c r="KT132" s="14"/>
      <c r="KU132" s="16"/>
      <c r="KV132" s="15" t="str">
        <f t="shared" si="355"/>
        <v>NO APLICA</v>
      </c>
      <c r="KW132" s="16"/>
      <c r="KX132" s="14"/>
      <c r="KY132" s="16"/>
      <c r="KZ132" s="15" t="str">
        <f t="shared" ref="KZ132:KZ195" si="549">IF(KY132&gt;=61,"VIGENTE",IF(KY132&gt;=1,"POR VENCER",IF(KY132&lt;=-1,"VENCIDA",IF(KW132=0,"NO APLICA"))))</f>
        <v>NO APLICA</v>
      </c>
      <c r="LA132" s="16"/>
      <c r="LB132" s="16"/>
      <c r="LC132" s="16"/>
      <c r="LD132" s="16"/>
      <c r="LE132" s="15" t="str">
        <f t="shared" si="533"/>
        <v>NO APLICA</v>
      </c>
      <c r="LF132" s="15"/>
      <c r="LG132" s="15"/>
      <c r="LH132" s="14"/>
      <c r="LI132" s="65"/>
      <c r="LJ132" s="15" t="str">
        <f t="shared" si="356"/>
        <v>NO APLICA</v>
      </c>
      <c r="LK132" s="16"/>
      <c r="LL132" s="16"/>
      <c r="LM132" s="14"/>
      <c r="LN132" s="65"/>
      <c r="LO132" s="15" t="str">
        <f t="shared" ref="LO132:LO195" si="550">IF(LN132&gt;=61,"VIGENTE",IF(LN132&gt;=1,"POR VENCER",IF(LN132&lt;=-1,"VENCIDA",IF(LL132=0,"NO APLICA"))))</f>
        <v>NO APLICA</v>
      </c>
      <c r="LP132" s="16"/>
      <c r="LQ132" s="16"/>
      <c r="LR132" s="14"/>
      <c r="LS132" s="16"/>
      <c r="LT132" s="15" t="str">
        <f t="shared" ref="LT132:LT195" si="551">IF(LS132&gt;=61,"VIGENTE",IF(LS132&gt;=1,"POR VENCER",IF(LS132&lt;=-1,"VENCIDA",IF(LQ132=0,"NO APLICA"))))</f>
        <v>NO APLICA</v>
      </c>
      <c r="LU132" s="16"/>
      <c r="LV132" s="16"/>
      <c r="LW132" s="14"/>
      <c r="LX132" s="16"/>
      <c r="LY132" s="15" t="str">
        <f t="shared" ref="LY132:LY195" si="552">IF(LX132&gt;=61,"VIGENTE",IF(LX132&gt;=1,"POR VENCER",IF(LX132&lt;=-1,"VENCIDA",IF(LV132=0,"NO APLICA"))))</f>
        <v>NO APLICA</v>
      </c>
      <c r="LZ132" s="16"/>
      <c r="MA132" s="16"/>
      <c r="MB132" s="14"/>
      <c r="MC132" s="16"/>
      <c r="MD132" s="15" t="str">
        <f t="shared" si="534"/>
        <v>NO APLICA</v>
      </c>
      <c r="ME132" s="16"/>
      <c r="MF132" s="16"/>
      <c r="MG132" s="14"/>
      <c r="MH132" s="16"/>
      <c r="MI132" s="15" t="str">
        <f t="shared" si="535"/>
        <v>NO APLICA</v>
      </c>
      <c r="MJ132" s="16"/>
      <c r="MK132" s="14"/>
      <c r="ML132" s="16"/>
      <c r="MM132" s="15" t="str">
        <f t="shared" si="536"/>
        <v>NO APLICA</v>
      </c>
      <c r="MN132" s="16"/>
      <c r="MO132" s="16"/>
      <c r="MP132" s="16"/>
      <c r="MQ132" s="15" t="str">
        <f t="shared" si="537"/>
        <v>NO APLICA</v>
      </c>
      <c r="MR132" s="16"/>
      <c r="MS132" s="16"/>
      <c r="MT132" s="14"/>
      <c r="MU132" s="16"/>
      <c r="MV132" s="15" t="str">
        <f t="shared" si="538"/>
        <v>NO APLICA</v>
      </c>
      <c r="MW132" s="16"/>
      <c r="MX132" s="16"/>
      <c r="MY132" s="14"/>
      <c r="MZ132" s="16"/>
      <c r="NA132" s="15" t="str">
        <f t="shared" si="539"/>
        <v>NO APLICA</v>
      </c>
      <c r="NB132" s="16"/>
      <c r="NC132" s="16"/>
      <c r="ND132" s="14"/>
      <c r="NE132" s="16"/>
      <c r="NF132" s="15" t="str">
        <f t="shared" si="540"/>
        <v>NO APLICA</v>
      </c>
      <c r="NG132" s="16"/>
      <c r="NH132" s="16"/>
      <c r="NI132" s="14"/>
      <c r="NJ132" s="16"/>
      <c r="NK132" s="15" t="str">
        <f t="shared" si="541"/>
        <v>NO APLICA</v>
      </c>
      <c r="NL132" s="16"/>
      <c r="NM132" s="16"/>
      <c r="NN132" s="14"/>
      <c r="NO132" s="16"/>
      <c r="NP132" s="15" t="str">
        <f t="shared" si="542"/>
        <v>NO APLICA</v>
      </c>
      <c r="NQ132" s="16"/>
      <c r="NR132" s="16"/>
      <c r="NS132" s="14"/>
      <c r="NT132" s="65"/>
      <c r="NU132" s="15" t="str">
        <f t="shared" si="543"/>
        <v>NO APLICA</v>
      </c>
      <c r="NV132" s="16"/>
      <c r="NW132" s="16"/>
      <c r="NX132" s="16"/>
      <c r="NY132" s="16"/>
      <c r="NZ132" s="15" t="str">
        <f t="shared" si="544"/>
        <v>NO APLICA</v>
      </c>
    </row>
    <row r="133" spans="1:390" ht="15.6" thickTop="1" thickBot="1" x14ac:dyDescent="0.35">
      <c r="A133" s="9">
        <v>858</v>
      </c>
      <c r="B133" s="10" t="s">
        <v>495</v>
      </c>
      <c r="C133" s="21" t="s">
        <v>104</v>
      </c>
      <c r="D133" s="64" t="s">
        <v>114</v>
      </c>
      <c r="E133" s="15"/>
      <c r="F133" s="16"/>
      <c r="G133" s="14"/>
      <c r="H133" s="65"/>
      <c r="I133" s="15" t="str">
        <f t="shared" si="448"/>
        <v>NO APLICA</v>
      </c>
      <c r="J133" s="15"/>
      <c r="K133" s="16"/>
      <c r="L133" s="16"/>
      <c r="M133" s="65"/>
      <c r="N133" s="15" t="str">
        <f t="shared" si="449"/>
        <v>NO APLICA</v>
      </c>
      <c r="O133" s="16"/>
      <c r="P133" s="16"/>
      <c r="Q133" s="14"/>
      <c r="R133" s="65"/>
      <c r="S133" s="15" t="str">
        <f t="shared" si="545"/>
        <v>NO APLICA</v>
      </c>
      <c r="T133" s="12" t="s">
        <v>496</v>
      </c>
      <c r="U133" s="13">
        <v>44785</v>
      </c>
      <c r="V133" s="14">
        <v>44786</v>
      </c>
      <c r="W133" s="14">
        <f t="shared" si="401"/>
        <v>46612</v>
      </c>
      <c r="X133" s="65">
        <f t="shared" ca="1" si="402"/>
        <v>481</v>
      </c>
      <c r="Y133" s="15" t="str">
        <f t="shared" ca="1" si="403"/>
        <v>VIGENTE</v>
      </c>
      <c r="Z133" s="12" t="s">
        <v>497</v>
      </c>
      <c r="AA133" s="13">
        <v>44823</v>
      </c>
      <c r="AB133" s="14">
        <v>44824</v>
      </c>
      <c r="AC133" s="14">
        <f>DATE(YEAR(AB133)+5,MONTH(AB133),DAY(AB133))</f>
        <v>46650</v>
      </c>
      <c r="AD133" s="65">
        <f ca="1">AC133-TODAY()</f>
        <v>519</v>
      </c>
      <c r="AE133" s="15" t="str">
        <f t="shared" ref="AE133:AE153" ca="1" si="553">IF(AD133&gt;=91,"VIGENTE",IF(AD133&gt;=1,"POR VENCER",IF(AD133&lt;=-1,"VENCIDA",IF(AB133=0,"NO APLICA"))))</f>
        <v>VIGENTE</v>
      </c>
      <c r="AF133" s="13">
        <v>45334</v>
      </c>
      <c r="AG133" s="14">
        <v>46006</v>
      </c>
      <c r="AH133" s="14">
        <f t="shared" si="441"/>
        <v>46736</v>
      </c>
      <c r="AI133" s="65">
        <f t="shared" ca="1" si="450"/>
        <v>605</v>
      </c>
      <c r="AJ133" s="15" t="str">
        <f t="shared" ca="1" si="399"/>
        <v>VIGENTE</v>
      </c>
      <c r="AK133" s="13">
        <v>45269</v>
      </c>
      <c r="AL133" s="14">
        <v>45926</v>
      </c>
      <c r="AM133" s="14">
        <f t="shared" si="442"/>
        <v>46656</v>
      </c>
      <c r="AN133" s="65">
        <f t="shared" ca="1" si="451"/>
        <v>525</v>
      </c>
      <c r="AO133" s="15" t="str">
        <f t="shared" ca="1" si="452"/>
        <v>VIGENTE</v>
      </c>
      <c r="AP133" s="13">
        <v>45326</v>
      </c>
      <c r="AQ133" s="14">
        <v>45971</v>
      </c>
      <c r="AR133" s="14">
        <f t="shared" si="443"/>
        <v>46701</v>
      </c>
      <c r="AS133" s="65">
        <f t="shared" ca="1" si="453"/>
        <v>570</v>
      </c>
      <c r="AT133" s="15" t="str">
        <f t="shared" ca="1" si="454"/>
        <v>VIGENTE</v>
      </c>
      <c r="AU133" s="13">
        <v>45323</v>
      </c>
      <c r="AV133" s="14">
        <v>45972</v>
      </c>
      <c r="AW133" s="14">
        <f t="shared" si="438"/>
        <v>46702</v>
      </c>
      <c r="AX133" s="65">
        <f t="shared" ca="1" si="455"/>
        <v>571</v>
      </c>
      <c r="AY133" s="15" t="str">
        <f t="shared" ca="1" si="456"/>
        <v>VIGENTE</v>
      </c>
      <c r="AZ133" s="13">
        <v>45387</v>
      </c>
      <c r="BA133" s="14">
        <v>46041</v>
      </c>
      <c r="BB133" s="14">
        <f>DATE(YEAR(BA133)+2,MONTH(BA133),DAY(BA133))</f>
        <v>46771</v>
      </c>
      <c r="BC133" s="65">
        <f t="shared" ca="1" si="457"/>
        <v>640</v>
      </c>
      <c r="BD133" s="15" t="str">
        <f t="shared" ca="1" si="458"/>
        <v>VIGENTE</v>
      </c>
      <c r="BE133" s="13">
        <v>45382</v>
      </c>
      <c r="BF133" s="14">
        <v>46027</v>
      </c>
      <c r="BG133" s="14">
        <f t="shared" si="439"/>
        <v>46757</v>
      </c>
      <c r="BH133" s="65">
        <f t="shared" ca="1" si="459"/>
        <v>626</v>
      </c>
      <c r="BI133" s="15" t="str">
        <f t="shared" ca="1" si="460"/>
        <v>VIGENTE</v>
      </c>
      <c r="BJ133" s="13">
        <v>45372</v>
      </c>
      <c r="BK133" s="14">
        <v>46035</v>
      </c>
      <c r="BL133" s="14">
        <f>DATE(YEAR(BK133)+2,MONTH(BK133),DAY(BK133))</f>
        <v>46765</v>
      </c>
      <c r="BM133" s="65">
        <f t="shared" ca="1" si="461"/>
        <v>634</v>
      </c>
      <c r="BN133" s="15" t="str">
        <f t="shared" ca="1" si="462"/>
        <v>VIGENTE</v>
      </c>
      <c r="BO133" s="13">
        <v>44743</v>
      </c>
      <c r="BP133" s="14">
        <v>46069</v>
      </c>
      <c r="BQ133" s="14">
        <f>DATE(YEAR(BP133)+2,MONTH(BP133),DAY(BP133))</f>
        <v>46799</v>
      </c>
      <c r="BR133" s="65">
        <f t="shared" ca="1" si="463"/>
        <v>668</v>
      </c>
      <c r="BS133" s="15" t="str">
        <f t="shared" ca="1" si="464"/>
        <v>VIGENTE</v>
      </c>
      <c r="BT133" s="13">
        <v>44736</v>
      </c>
      <c r="BU133" s="14">
        <v>45449</v>
      </c>
      <c r="BV133" s="14">
        <f>DATE(YEAR(BU133)+2,MONTH(BU133),DAY(BU133)-1)</f>
        <v>46178</v>
      </c>
      <c r="BW133" s="65">
        <f t="shared" ca="1" si="465"/>
        <v>47</v>
      </c>
      <c r="BX133" s="15" t="str">
        <f t="shared" ca="1" si="466"/>
        <v>POR VENCER</v>
      </c>
      <c r="BY133" s="13">
        <v>44643</v>
      </c>
      <c r="BZ133" s="14">
        <v>45944</v>
      </c>
      <c r="CA133" s="14">
        <f t="shared" si="440"/>
        <v>46674</v>
      </c>
      <c r="CB133" s="65">
        <f t="shared" ca="1" si="467"/>
        <v>543</v>
      </c>
      <c r="CC133" s="15" t="str">
        <f t="shared" ca="1" si="468"/>
        <v>VIGENTE</v>
      </c>
      <c r="CD133" s="16" t="s">
        <v>108</v>
      </c>
      <c r="CE133" s="14">
        <v>45210</v>
      </c>
      <c r="CF133" s="14">
        <v>45211</v>
      </c>
      <c r="CG133" s="14">
        <f t="shared" si="408"/>
        <v>46672</v>
      </c>
      <c r="CH133" s="65">
        <f t="shared" ca="1" si="409"/>
        <v>541</v>
      </c>
      <c r="CI133" s="15" t="str">
        <f t="shared" ca="1" si="410"/>
        <v>VIGENTE</v>
      </c>
      <c r="CJ133" s="14">
        <v>45099</v>
      </c>
      <c r="CK133" s="14">
        <v>45723</v>
      </c>
      <c r="CL133" s="14">
        <f>DATE(YEAR(CK133)+2,MONTH(CK133),DAY(CK133)-1)</f>
        <v>46452</v>
      </c>
      <c r="CM133" s="65">
        <f t="shared" ca="1" si="469"/>
        <v>321</v>
      </c>
      <c r="CN133" s="15" t="str">
        <f t="shared" ca="1" si="470"/>
        <v>VIGENTE</v>
      </c>
      <c r="CO133" s="13">
        <v>45050</v>
      </c>
      <c r="CP133" s="14">
        <v>45684</v>
      </c>
      <c r="CQ133" s="14">
        <f>DATE(YEAR(CP133)+2,MONTH(CP133),DAY(CP133)-1)</f>
        <v>46413</v>
      </c>
      <c r="CR133" s="65">
        <f t="shared" ca="1" si="471"/>
        <v>282</v>
      </c>
      <c r="CS133" s="15" t="str">
        <f t="shared" ca="1" si="472"/>
        <v>VIGENTE</v>
      </c>
      <c r="CT133" s="13">
        <v>44970</v>
      </c>
      <c r="CU133" s="14">
        <v>45631</v>
      </c>
      <c r="CV133" s="14">
        <f>DATE(YEAR(CU133)+2,MONTH(CU133),DAY(CU133)-1)</f>
        <v>46360</v>
      </c>
      <c r="CW133" s="65">
        <f t="shared" ca="1" si="473"/>
        <v>229</v>
      </c>
      <c r="CX133" s="15" t="str">
        <f t="shared" ca="1" si="474"/>
        <v>VIGENTE</v>
      </c>
      <c r="CY133" s="13">
        <v>44991</v>
      </c>
      <c r="CZ133" s="14">
        <v>45665</v>
      </c>
      <c r="DA133" s="14">
        <f>DATE(YEAR(CZ133)+2,MONTH(CZ133),DAY(CZ133)-1)</f>
        <v>46394</v>
      </c>
      <c r="DB133" s="65">
        <f t="shared" ca="1" si="475"/>
        <v>263</v>
      </c>
      <c r="DC133" s="15" t="str">
        <f t="shared" ca="1" si="476"/>
        <v>VIGENTE</v>
      </c>
      <c r="DD133" s="13">
        <v>45020</v>
      </c>
      <c r="DE133" s="14">
        <v>45689</v>
      </c>
      <c r="DF133" s="14">
        <f>DATE(YEAR(DE133)+2,MONTH(DE133),DAY(DE133)-1)</f>
        <v>46418</v>
      </c>
      <c r="DG133" s="65">
        <f t="shared" ca="1" si="477"/>
        <v>287</v>
      </c>
      <c r="DH133" s="15" t="str">
        <f t="shared" ca="1" si="478"/>
        <v>VIGENTE</v>
      </c>
      <c r="DI133" s="13">
        <v>45098</v>
      </c>
      <c r="DJ133" s="14">
        <v>45734</v>
      </c>
      <c r="DK133" s="14">
        <f>DATE(YEAR(DJ133)+2,MONTH(DJ133),DAY(DJ133)-1)</f>
        <v>46463</v>
      </c>
      <c r="DL133" s="65">
        <f t="shared" ca="1" si="479"/>
        <v>332</v>
      </c>
      <c r="DM133" s="15" t="str">
        <f t="shared" ca="1" si="480"/>
        <v>VIGENTE</v>
      </c>
      <c r="DN133" s="13">
        <v>45316</v>
      </c>
      <c r="DO133" s="14">
        <v>45982</v>
      </c>
      <c r="DP133" s="14">
        <f>DATE(YEAR(DO133)+2,MONTH(DO133),DAY(DO133))</f>
        <v>46712</v>
      </c>
      <c r="DQ133" s="65">
        <f t="shared" ca="1" si="481"/>
        <v>581</v>
      </c>
      <c r="DR133" s="15" t="str">
        <f t="shared" ca="1" si="482"/>
        <v>VIGENTE</v>
      </c>
      <c r="DS133" s="13">
        <v>44734</v>
      </c>
      <c r="DT133" s="14">
        <v>46053</v>
      </c>
      <c r="DU133" s="14">
        <f>DATE(YEAR(DT133)+2,MONTH(DT133),DAY(DT133))</f>
        <v>46783</v>
      </c>
      <c r="DV133" s="65">
        <f t="shared" ca="1" si="483"/>
        <v>652</v>
      </c>
      <c r="DW133" s="15" t="str">
        <f t="shared" ca="1" si="484"/>
        <v>VIGENTE</v>
      </c>
      <c r="DX133" s="13">
        <v>45064</v>
      </c>
      <c r="DY133" s="14">
        <v>45682</v>
      </c>
      <c r="DZ133" s="14">
        <f>DATE(YEAR(DY133)+2,MONTH(DY133),DAY(DY133)-1)</f>
        <v>46411</v>
      </c>
      <c r="EA133" s="65">
        <f t="shared" ca="1" si="485"/>
        <v>280</v>
      </c>
      <c r="EB133" s="15" t="str">
        <f t="shared" ca="1" si="486"/>
        <v>VIGENTE</v>
      </c>
      <c r="EC133" s="13">
        <v>45061</v>
      </c>
      <c r="ED133" s="14">
        <v>45768</v>
      </c>
      <c r="EE133" s="14">
        <f>DATE(YEAR(ED133)+2,MONTH(ED133),DAY(ED133))</f>
        <v>46498</v>
      </c>
      <c r="EF133" s="65">
        <f t="shared" ca="1" si="487"/>
        <v>367</v>
      </c>
      <c r="EG133" s="15" t="str">
        <f t="shared" ca="1" si="488"/>
        <v>VIGENTE</v>
      </c>
      <c r="EH133" s="13">
        <v>45750</v>
      </c>
      <c r="EI133" s="13">
        <v>46083</v>
      </c>
      <c r="EJ133" s="13">
        <v>46084</v>
      </c>
      <c r="EK133" s="13">
        <v>46085</v>
      </c>
      <c r="EL133" s="14">
        <f t="shared" si="546"/>
        <v>46450</v>
      </c>
      <c r="EM133" s="65">
        <f t="shared" ca="1" si="489"/>
        <v>319</v>
      </c>
      <c r="EN133" s="15" t="str">
        <f t="shared" ca="1" si="490"/>
        <v>VIGENTE</v>
      </c>
      <c r="EO133" s="13">
        <v>45092</v>
      </c>
      <c r="EP133" s="14">
        <v>45737</v>
      </c>
      <c r="EQ133" s="14">
        <f>DATE(YEAR(EP133)+2,MONTH(EP133),DAY(EP133)-1)</f>
        <v>46466</v>
      </c>
      <c r="ER133" s="65">
        <f t="shared" ca="1" si="491"/>
        <v>335</v>
      </c>
      <c r="ES133" s="15" t="str">
        <f t="shared" ca="1" si="492"/>
        <v>VIGENTE</v>
      </c>
      <c r="ET133" s="13">
        <v>44732</v>
      </c>
      <c r="EU133" s="14">
        <v>45999</v>
      </c>
      <c r="EV133" s="14">
        <f>DATE(YEAR(EU133)+2,MONTH(EU133),DAY(EU133))</f>
        <v>46729</v>
      </c>
      <c r="EW133" s="65">
        <f t="shared" ca="1" si="493"/>
        <v>598</v>
      </c>
      <c r="EX133" s="15" t="str">
        <f t="shared" ca="1" si="494"/>
        <v>VIGENTE</v>
      </c>
      <c r="EY133" s="13">
        <v>44644</v>
      </c>
      <c r="EZ133" s="14">
        <v>45953</v>
      </c>
      <c r="FA133" s="14">
        <f t="shared" si="444"/>
        <v>46683</v>
      </c>
      <c r="FB133" s="65">
        <f t="shared" ca="1" si="495"/>
        <v>552</v>
      </c>
      <c r="FC133" s="15" t="str">
        <f t="shared" ca="1" si="496"/>
        <v>VIGENTE</v>
      </c>
      <c r="FD133" s="13">
        <v>44644</v>
      </c>
      <c r="FE133" s="14">
        <v>45988</v>
      </c>
      <c r="FF133" s="14">
        <f t="shared" si="445"/>
        <v>46718</v>
      </c>
      <c r="FG133" s="65">
        <f t="shared" ca="1" si="497"/>
        <v>587</v>
      </c>
      <c r="FH133" s="15" t="str">
        <f t="shared" ca="1" si="498"/>
        <v>VIGENTE</v>
      </c>
      <c r="FI133" s="13">
        <v>44645</v>
      </c>
      <c r="FJ133" s="14">
        <v>45992</v>
      </c>
      <c r="FK133" s="14">
        <f t="shared" si="446"/>
        <v>46722</v>
      </c>
      <c r="FL133" s="65">
        <f t="shared" ca="1" si="499"/>
        <v>591</v>
      </c>
      <c r="FM133" s="15" t="str">
        <f t="shared" ca="1" si="500"/>
        <v>VIGENTE</v>
      </c>
      <c r="FN133" s="13">
        <v>45091</v>
      </c>
      <c r="FO133" s="14">
        <v>45738</v>
      </c>
      <c r="FP133" s="14">
        <f>DATE(YEAR(FO133)+2,MONTH(FO133),DAY(FO133)-1)</f>
        <v>46467</v>
      </c>
      <c r="FQ133" s="65">
        <f t="shared" ca="1" si="501"/>
        <v>336</v>
      </c>
      <c r="FR133" s="15" t="str">
        <f t="shared" ca="1" si="502"/>
        <v>VIGENTE</v>
      </c>
      <c r="FS133" s="13">
        <v>45069</v>
      </c>
      <c r="FT133" s="14">
        <v>45678</v>
      </c>
      <c r="FU133" s="14">
        <f>DATE(YEAR(FT133)+2,MONTH(FT133),DAY(FT133)-1)</f>
        <v>46407</v>
      </c>
      <c r="FV133" s="65">
        <f t="shared" ca="1" si="503"/>
        <v>276</v>
      </c>
      <c r="FW133" s="15" t="str">
        <f t="shared" ca="1" si="504"/>
        <v>VIGENTE</v>
      </c>
      <c r="FX133" s="13">
        <v>44645</v>
      </c>
      <c r="FY133" s="14">
        <v>46014</v>
      </c>
      <c r="FZ133" s="14">
        <f t="shared" si="447"/>
        <v>46744</v>
      </c>
      <c r="GA133" s="65">
        <f t="shared" ca="1" si="505"/>
        <v>613</v>
      </c>
      <c r="GB133" s="15" t="str">
        <f t="shared" ca="1" si="506"/>
        <v>VIGENTE</v>
      </c>
      <c r="GC133" s="13">
        <v>45396</v>
      </c>
      <c r="GD133" s="14">
        <v>46030</v>
      </c>
      <c r="GE133" s="14">
        <f>DATE(YEAR(GD133)+2,MONTH(GD133),DAY(GD133))</f>
        <v>46760</v>
      </c>
      <c r="GF133" s="65">
        <f t="shared" ca="1" si="507"/>
        <v>629</v>
      </c>
      <c r="GG133" s="15" t="str">
        <f t="shared" ca="1" si="508"/>
        <v>VIGENTE</v>
      </c>
      <c r="GH133" s="13">
        <v>45076</v>
      </c>
      <c r="GI133" s="14">
        <v>45712</v>
      </c>
      <c r="GJ133" s="14">
        <f>DATE(YEAR(GI133)+2,MONTH(GI133),DAY(GI133)-1)</f>
        <v>46441</v>
      </c>
      <c r="GK133" s="65">
        <f t="shared" ca="1" si="509"/>
        <v>310</v>
      </c>
      <c r="GL133" s="15" t="str">
        <f t="shared" ca="1" si="510"/>
        <v>VIGENTE</v>
      </c>
      <c r="GM133" s="13">
        <v>45247</v>
      </c>
      <c r="GN133" s="14">
        <v>45923</v>
      </c>
      <c r="GO133" s="14">
        <f>DATE(YEAR(GN133)+2,MONTH(GN133),DAY(GN133))</f>
        <v>46653</v>
      </c>
      <c r="GP133" s="65">
        <f t="shared" ca="1" si="511"/>
        <v>522</v>
      </c>
      <c r="GQ133" s="15" t="str">
        <f t="shared" ca="1" si="512"/>
        <v>VIGENTE</v>
      </c>
      <c r="GR133" s="14">
        <v>44571</v>
      </c>
      <c r="GS133" s="14">
        <v>45283</v>
      </c>
      <c r="GT133" s="14">
        <f t="shared" si="513"/>
        <v>47110</v>
      </c>
      <c r="GU133" s="65">
        <f t="shared" ca="1" si="398"/>
        <v>979</v>
      </c>
      <c r="GV133" s="15" t="str">
        <f t="shared" ca="1" si="411"/>
        <v>VIGENTE</v>
      </c>
      <c r="GW133" s="13">
        <v>44573</v>
      </c>
      <c r="GX133" s="14">
        <v>45245</v>
      </c>
      <c r="GY133" s="14">
        <f t="shared" si="514"/>
        <v>47072</v>
      </c>
      <c r="GZ133" s="65">
        <f t="shared" ca="1" si="515"/>
        <v>941</v>
      </c>
      <c r="HA133" s="15" t="str">
        <f t="shared" ca="1" si="418"/>
        <v>VIGENTE</v>
      </c>
      <c r="HB133" s="13">
        <v>44565</v>
      </c>
      <c r="HC133" s="14">
        <v>45182</v>
      </c>
      <c r="HD133" s="14">
        <f t="shared" si="516"/>
        <v>47009</v>
      </c>
      <c r="HE133" s="65">
        <f t="shared" ca="1" si="517"/>
        <v>878</v>
      </c>
      <c r="HF133" s="15" t="str">
        <f t="shared" ca="1" si="413"/>
        <v>VIGENTE</v>
      </c>
      <c r="HG133" s="16"/>
      <c r="HH133" s="14">
        <v>44865</v>
      </c>
      <c r="HI133" s="14">
        <f>DATE(YEAR(HH133)+5,MONTH(HH133),DAY(HH133))</f>
        <v>46691</v>
      </c>
      <c r="HJ133" s="65">
        <f ca="1">HI133-TODAY()</f>
        <v>560</v>
      </c>
      <c r="HK133" s="15" t="str">
        <f t="shared" ca="1" si="419"/>
        <v>VIGENTE</v>
      </c>
      <c r="HL133" s="13">
        <v>44632</v>
      </c>
      <c r="HM133" s="14">
        <v>45368</v>
      </c>
      <c r="HN133" s="14">
        <f>DATE(YEAR(HM133)+5,MONTH(HM133),DAY(HM133))</f>
        <v>47194</v>
      </c>
      <c r="HO133" s="65">
        <f ca="1">HN133-TODAY()</f>
        <v>1063</v>
      </c>
      <c r="HP133" s="15" t="str">
        <f t="shared" ca="1" si="437"/>
        <v>VIGENTE</v>
      </c>
      <c r="HQ133" s="12"/>
      <c r="HR133" s="13">
        <v>45377</v>
      </c>
      <c r="HS133" s="14">
        <f>DATE(YEAR(HR133)+5,MONTH(HR133),DAY(HR133))</f>
        <v>47203</v>
      </c>
      <c r="HT133" s="65">
        <f ca="1">HS133-TODAY()</f>
        <v>1072</v>
      </c>
      <c r="HU133" s="15" t="str">
        <f t="shared" ca="1" si="518"/>
        <v>VIGENTE</v>
      </c>
      <c r="HV133" s="13">
        <v>44560</v>
      </c>
      <c r="HW133" s="14">
        <v>45306</v>
      </c>
      <c r="HX133" s="14">
        <f>DATE(YEAR(HW133)+5,MONTH(HW133),DAY(HW133))</f>
        <v>47133</v>
      </c>
      <c r="HY133" s="65">
        <f ca="1">HX133-TODAY()</f>
        <v>1002</v>
      </c>
      <c r="HZ133" s="15" t="str">
        <f t="shared" ca="1" si="519"/>
        <v>VIGENTE</v>
      </c>
      <c r="IA133" s="13">
        <v>44557</v>
      </c>
      <c r="IB133" s="14">
        <v>45205</v>
      </c>
      <c r="IC133" s="14">
        <f>DATE(YEAR(IB133)+5,MONTH(IB133),DAY(IB133))</f>
        <v>47032</v>
      </c>
      <c r="ID133" s="65">
        <f ca="1">IC133-TODAY()</f>
        <v>901</v>
      </c>
      <c r="IE133" s="15" t="str">
        <f t="shared" ca="1" si="520"/>
        <v>VIGENTE</v>
      </c>
      <c r="IF133" s="13">
        <v>44558</v>
      </c>
      <c r="IG133" s="14">
        <v>45230</v>
      </c>
      <c r="IH133" s="14">
        <f>DATE(YEAR(IG133)+5,MONTH(IG133),DAY(IG133))</f>
        <v>47057</v>
      </c>
      <c r="II133" s="65">
        <f ca="1">IH133-TODAY()</f>
        <v>926</v>
      </c>
      <c r="IJ133" s="15" t="str">
        <f t="shared" ca="1" si="521"/>
        <v>VIGENTE</v>
      </c>
      <c r="IK133" s="14">
        <v>44559</v>
      </c>
      <c r="IL133" s="14">
        <v>45238</v>
      </c>
      <c r="IM133" s="14">
        <f>DATE(YEAR(IL133)+5,MONTH(IL133),DAY(IL133))</f>
        <v>47065</v>
      </c>
      <c r="IN133" s="65">
        <f ca="1">IM133-TODAY()</f>
        <v>934</v>
      </c>
      <c r="IO133" s="15" t="str">
        <f t="shared" ca="1" si="522"/>
        <v>VIGENTE</v>
      </c>
      <c r="IP133" s="13">
        <v>44559</v>
      </c>
      <c r="IQ133" s="14">
        <v>45304</v>
      </c>
      <c r="IR133" s="14">
        <f>DATE(YEAR(IQ133)+5,MONTH(IQ133),DAY(IQ133))</f>
        <v>47131</v>
      </c>
      <c r="IS133" s="65">
        <f ca="1">IR133-TODAY()</f>
        <v>1000</v>
      </c>
      <c r="IT133" s="15" t="str">
        <f t="shared" ca="1" si="523"/>
        <v>VIGENTE</v>
      </c>
      <c r="IU133" s="13">
        <v>44558</v>
      </c>
      <c r="IV133" s="14">
        <v>45233</v>
      </c>
      <c r="IW133" s="14">
        <f>DATE(YEAR(IV133)+5,MONTH(IV133),DAY(IV133))</f>
        <v>47060</v>
      </c>
      <c r="IX133" s="65">
        <f ca="1">IW133-TODAY()</f>
        <v>929</v>
      </c>
      <c r="IY133" s="15" t="str">
        <f t="shared" ca="1" si="524"/>
        <v>VIGENTE</v>
      </c>
      <c r="IZ133" s="13">
        <v>44557</v>
      </c>
      <c r="JA133" s="14">
        <v>45189</v>
      </c>
      <c r="JB133" s="14">
        <f>DATE(YEAR(JA133)+5,MONTH(JA133),DAY(JA133))</f>
        <v>47016</v>
      </c>
      <c r="JC133" s="65">
        <f ca="1">JB133-TODAY()</f>
        <v>885</v>
      </c>
      <c r="JD133" s="15" t="str">
        <f t="shared" ca="1" si="525"/>
        <v>VIGENTE</v>
      </c>
      <c r="JE133" s="13"/>
      <c r="JF133" s="13"/>
      <c r="JG133" s="14"/>
      <c r="JH133" s="65"/>
      <c r="JI133" s="15" t="str">
        <f t="shared" si="526"/>
        <v>NO APLICA</v>
      </c>
      <c r="JJ133" s="16"/>
      <c r="JK133" s="16"/>
      <c r="JL133" s="16"/>
      <c r="JM133" s="15" t="str">
        <f t="shared" si="527"/>
        <v>NO APLICA</v>
      </c>
      <c r="JN133" s="16"/>
      <c r="JO133" s="16"/>
      <c r="JP133" s="16"/>
      <c r="JQ133" s="15" t="str">
        <f t="shared" si="528"/>
        <v>NO APLICA</v>
      </c>
      <c r="JR133" s="16"/>
      <c r="JS133" s="16"/>
      <c r="JT133" s="16"/>
      <c r="JU133" s="16"/>
      <c r="JV133" s="15" t="str">
        <f t="shared" si="529"/>
        <v>NO APLICA</v>
      </c>
      <c r="JW133" s="15"/>
      <c r="JX133" s="15"/>
      <c r="JY133" s="15"/>
      <c r="JZ133" s="15"/>
      <c r="KA133" s="15" t="str">
        <f t="shared" si="530"/>
        <v>NO APLICA</v>
      </c>
      <c r="KB133" s="12"/>
      <c r="KC133" s="14"/>
      <c r="KD133" s="65"/>
      <c r="KE133" s="15" t="str">
        <f t="shared" si="531"/>
        <v>NO APLICA</v>
      </c>
      <c r="KF133" s="13">
        <v>45328</v>
      </c>
      <c r="KG133" s="14">
        <f>DATE(YEAR(KF133)+5,MONTH(KF133),DAY(KF133)-1)</f>
        <v>47154</v>
      </c>
      <c r="KH133" s="65">
        <f ca="1">KG133-TODAY()</f>
        <v>1023</v>
      </c>
      <c r="KI133" s="15" t="str">
        <f t="shared" ca="1" si="547"/>
        <v>VIGENTE</v>
      </c>
      <c r="KJ133" s="12"/>
      <c r="KK133" s="14"/>
      <c r="KL133" s="65"/>
      <c r="KM133" s="15" t="str">
        <f t="shared" si="532"/>
        <v>NO APLICA</v>
      </c>
      <c r="KN133" s="12"/>
      <c r="KO133" s="14"/>
      <c r="KP133" s="65"/>
      <c r="KQ133" s="15" t="str">
        <f t="shared" si="548"/>
        <v>NO APLICA</v>
      </c>
      <c r="KR133" s="13">
        <v>44657</v>
      </c>
      <c r="KS133" s="14">
        <v>44658</v>
      </c>
      <c r="KT133" s="14">
        <f>DATE(YEAR(KS133)+5,MONTH(KS133),DAY(KS133))</f>
        <v>46484</v>
      </c>
      <c r="KU133" s="65">
        <f ca="1">KT133-TODAY()</f>
        <v>353</v>
      </c>
      <c r="KV133" s="15" t="str">
        <f t="shared" ref="KV133:KV196" ca="1" si="554">IF(KU133&gt;=61,"VIGENTE",IF(KU133&gt;=1,"POR VENCER",IF(KU133&lt;=-1,"VENCIDA",IF(KS133=0,"NO APLICA"))))</f>
        <v>VIGENTE</v>
      </c>
      <c r="KW133" s="14">
        <v>44613</v>
      </c>
      <c r="KX133" s="14">
        <f>DATE(YEAR(KW133)+5,MONTH(KW133),DAY(KW133))</f>
        <v>46439</v>
      </c>
      <c r="KY133" s="65">
        <f ca="1">KX133-TODAY()</f>
        <v>308</v>
      </c>
      <c r="KZ133" s="15" t="str">
        <f t="shared" ca="1" si="549"/>
        <v>VIGENTE</v>
      </c>
      <c r="LA133" s="14">
        <v>44487</v>
      </c>
      <c r="LB133" s="14">
        <v>45615</v>
      </c>
      <c r="LC133" s="14">
        <f>DATE(YEAR(LB133)+2,MONTH(LB133),DAY(LB133))</f>
        <v>46345</v>
      </c>
      <c r="LD133" s="65">
        <f ca="1">LC133-TODAY()</f>
        <v>214</v>
      </c>
      <c r="LE133" s="15" t="str">
        <f ca="1">IF(LD133&gt;=61,"VIGENTE",IF(LD133&gt;=1,"POR VENCER",IF(LD133&lt;=-1,"VENCIDA",IF(LD133=0,"NO APLICA"))))</f>
        <v>VIGENTE</v>
      </c>
      <c r="LF133" s="15"/>
      <c r="LG133" s="15"/>
      <c r="LH133" s="15"/>
      <c r="LI133" s="15"/>
      <c r="LJ133" s="15" t="str">
        <f t="shared" ref="LJ133:LJ195" si="555">IF(LI133&gt;=61,"VIGENTE",IF(LI133&gt;=1,"POR VENCER",IF(LI133&lt;=-1,"VENCIDA",IF(LG133=0,"NO APLICA"))))</f>
        <v>NO APLICA</v>
      </c>
      <c r="LK133" s="12"/>
      <c r="LL133" s="16"/>
      <c r="LM133" s="14"/>
      <c r="LN133" s="65"/>
      <c r="LO133" s="15" t="str">
        <f t="shared" si="550"/>
        <v>NO APLICA</v>
      </c>
      <c r="LP133" s="16"/>
      <c r="LQ133" s="16"/>
      <c r="LR133" s="14"/>
      <c r="LS133" s="65"/>
      <c r="LT133" s="15" t="str">
        <f t="shared" si="551"/>
        <v>NO APLICA</v>
      </c>
      <c r="LU133" s="16"/>
      <c r="LV133" s="16"/>
      <c r="LW133" s="14"/>
      <c r="LX133" s="65"/>
      <c r="LY133" s="15" t="str">
        <f t="shared" si="552"/>
        <v>NO APLICA</v>
      </c>
      <c r="LZ133" s="12"/>
      <c r="MA133" s="12"/>
      <c r="MB133" s="14"/>
      <c r="MC133" s="65"/>
      <c r="MD133" s="15" t="str">
        <f t="shared" si="534"/>
        <v>NO APLICA</v>
      </c>
      <c r="ME133" s="12"/>
      <c r="MF133" s="12"/>
      <c r="MG133" s="14"/>
      <c r="MH133" s="65"/>
      <c r="MI133" s="15" t="str">
        <f t="shared" si="535"/>
        <v>NO APLICA</v>
      </c>
      <c r="MJ133" s="12"/>
      <c r="MK133" s="14"/>
      <c r="ML133" s="65"/>
      <c r="MM133" s="15" t="str">
        <f t="shared" si="536"/>
        <v>NO APLICA</v>
      </c>
      <c r="MN133" s="12"/>
      <c r="MO133" s="14"/>
      <c r="MP133" s="12"/>
      <c r="MQ133" s="15" t="str">
        <f t="shared" si="537"/>
        <v>NO APLICA</v>
      </c>
      <c r="MR133" s="12"/>
      <c r="MS133" s="16"/>
      <c r="MT133" s="14"/>
      <c r="MU133" s="65"/>
      <c r="MV133" s="15" t="str">
        <f t="shared" si="538"/>
        <v>NO APLICA</v>
      </c>
      <c r="MW133" s="12"/>
      <c r="MX133" s="16"/>
      <c r="MY133" s="14"/>
      <c r="MZ133" s="65"/>
      <c r="NA133" s="15" t="str">
        <f t="shared" si="539"/>
        <v>NO APLICA</v>
      </c>
      <c r="NB133" s="12"/>
      <c r="NC133" s="16"/>
      <c r="ND133" s="14"/>
      <c r="NE133" s="65"/>
      <c r="NF133" s="15" t="str">
        <f t="shared" si="540"/>
        <v>NO APLICA</v>
      </c>
      <c r="NG133" s="12"/>
      <c r="NH133" s="12"/>
      <c r="NI133" s="14"/>
      <c r="NJ133" s="12"/>
      <c r="NK133" s="15" t="str">
        <f t="shared" si="541"/>
        <v>NO APLICA</v>
      </c>
      <c r="NL133" s="12"/>
      <c r="NM133" s="12"/>
      <c r="NN133" s="12"/>
      <c r="NO133" s="12"/>
      <c r="NP133" s="15" t="str">
        <f t="shared" si="542"/>
        <v>NO APLICA</v>
      </c>
      <c r="NQ133" s="16"/>
      <c r="NR133" s="16"/>
      <c r="NS133" s="14"/>
      <c r="NT133" s="65"/>
      <c r="NU133" s="15" t="str">
        <f t="shared" si="543"/>
        <v>NO APLICA</v>
      </c>
      <c r="NV133" s="16"/>
      <c r="NW133" s="16"/>
      <c r="NX133" s="16"/>
      <c r="NY133" s="16"/>
      <c r="NZ133" s="15" t="str">
        <f t="shared" si="544"/>
        <v>NO APLICA</v>
      </c>
    </row>
    <row r="134" spans="1:390" ht="15.6" thickTop="1" thickBot="1" x14ac:dyDescent="0.35">
      <c r="A134" s="11">
        <v>1661</v>
      </c>
      <c r="B134" s="10" t="s">
        <v>498</v>
      </c>
      <c r="C134" s="21" t="s">
        <v>151</v>
      </c>
      <c r="D134" s="64" t="s">
        <v>216</v>
      </c>
      <c r="E134" s="15"/>
      <c r="F134" s="16"/>
      <c r="G134" s="14"/>
      <c r="H134" s="65"/>
      <c r="I134" s="15" t="str">
        <f t="shared" si="448"/>
        <v>NO APLICA</v>
      </c>
      <c r="J134" s="15"/>
      <c r="K134" s="16"/>
      <c r="L134" s="16"/>
      <c r="M134" s="65"/>
      <c r="N134" s="15" t="str">
        <f t="shared" si="449"/>
        <v>NO APLICA</v>
      </c>
      <c r="O134" s="16"/>
      <c r="P134" s="16"/>
      <c r="Q134" s="14"/>
      <c r="R134" s="65"/>
      <c r="S134" s="15" t="str">
        <f t="shared" si="545"/>
        <v>NO APLICA</v>
      </c>
      <c r="T134" s="12" t="s">
        <v>499</v>
      </c>
      <c r="U134" s="13">
        <v>44943</v>
      </c>
      <c r="V134" s="14">
        <v>44944</v>
      </c>
      <c r="W134" s="14">
        <f t="shared" si="401"/>
        <v>46770</v>
      </c>
      <c r="X134" s="65">
        <f t="shared" ca="1" si="402"/>
        <v>639</v>
      </c>
      <c r="Y134" s="15" t="str">
        <f t="shared" ca="1" si="403"/>
        <v>VIGENTE</v>
      </c>
      <c r="Z134" s="12"/>
      <c r="AA134" s="12"/>
      <c r="AB134" s="16"/>
      <c r="AC134" s="14"/>
      <c r="AD134" s="65"/>
      <c r="AE134" s="15" t="str">
        <f t="shared" si="553"/>
        <v>NO APLICA</v>
      </c>
      <c r="AF134" s="12"/>
      <c r="AG134" s="14">
        <v>45936</v>
      </c>
      <c r="AH134" s="14">
        <f t="shared" si="441"/>
        <v>46666</v>
      </c>
      <c r="AI134" s="65">
        <f t="shared" ca="1" si="450"/>
        <v>535</v>
      </c>
      <c r="AJ134" s="15" t="str">
        <f t="shared" ca="1" si="399"/>
        <v>VIGENTE</v>
      </c>
      <c r="AK134" s="12"/>
      <c r="AL134" s="14">
        <v>45926</v>
      </c>
      <c r="AM134" s="14">
        <f t="shared" si="442"/>
        <v>46656</v>
      </c>
      <c r="AN134" s="65">
        <f t="shared" ca="1" si="451"/>
        <v>525</v>
      </c>
      <c r="AO134" s="15" t="str">
        <f t="shared" ca="1" si="452"/>
        <v>VIGENTE</v>
      </c>
      <c r="AP134" s="13">
        <v>45226</v>
      </c>
      <c r="AQ134" s="14">
        <v>45904</v>
      </c>
      <c r="AR134" s="14">
        <f t="shared" si="443"/>
        <v>46634</v>
      </c>
      <c r="AS134" s="65">
        <f t="shared" ca="1" si="453"/>
        <v>503</v>
      </c>
      <c r="AT134" s="15" t="str">
        <f t="shared" ca="1" si="454"/>
        <v>VIGENTE</v>
      </c>
      <c r="AU134" s="12"/>
      <c r="AV134" s="14">
        <v>45927</v>
      </c>
      <c r="AW134" s="14">
        <f t="shared" si="438"/>
        <v>46657</v>
      </c>
      <c r="AX134" s="65">
        <f t="shared" ca="1" si="455"/>
        <v>526</v>
      </c>
      <c r="AY134" s="15" t="str">
        <f t="shared" ca="1" si="456"/>
        <v>VIGENTE</v>
      </c>
      <c r="AZ134" s="13"/>
      <c r="BA134" s="14">
        <v>45943</v>
      </c>
      <c r="BB134" s="14">
        <f>DATE(YEAR(BA134)+2,MONTH(BA134),DAY(BA134))</f>
        <v>46673</v>
      </c>
      <c r="BC134" s="65">
        <f t="shared" ca="1" si="457"/>
        <v>542</v>
      </c>
      <c r="BD134" s="15" t="str">
        <f t="shared" ca="1" si="458"/>
        <v>VIGENTE</v>
      </c>
      <c r="BE134" s="13">
        <v>45201</v>
      </c>
      <c r="BF134" s="14">
        <v>45880</v>
      </c>
      <c r="BG134" s="14">
        <f t="shared" si="439"/>
        <v>46610</v>
      </c>
      <c r="BH134" s="65">
        <f t="shared" ca="1" si="459"/>
        <v>479</v>
      </c>
      <c r="BI134" s="15" t="str">
        <f t="shared" ca="1" si="460"/>
        <v>VIGENTE</v>
      </c>
      <c r="BJ134" s="13">
        <v>45306</v>
      </c>
      <c r="BK134" s="14">
        <v>45976</v>
      </c>
      <c r="BL134" s="14">
        <f>DATE(YEAR(BK134)+2,MONTH(BK134),DAY(BK134))</f>
        <v>46706</v>
      </c>
      <c r="BM134" s="65">
        <f t="shared" ca="1" si="461"/>
        <v>575</v>
      </c>
      <c r="BN134" s="15" t="str">
        <f t="shared" ca="1" si="462"/>
        <v>VIGENTE</v>
      </c>
      <c r="BO134" s="13">
        <v>45308</v>
      </c>
      <c r="BP134" s="14">
        <v>45981</v>
      </c>
      <c r="BQ134" s="14">
        <f>DATE(YEAR(BP134)+2,MONTH(BP134),DAY(BP134))</f>
        <v>46711</v>
      </c>
      <c r="BR134" s="65">
        <f t="shared" ca="1" si="463"/>
        <v>580</v>
      </c>
      <c r="BS134" s="15" t="str">
        <f t="shared" ca="1" si="464"/>
        <v>VIGENTE</v>
      </c>
      <c r="BT134" s="13">
        <v>45203</v>
      </c>
      <c r="BU134" s="14">
        <v>45871</v>
      </c>
      <c r="BV134" s="14">
        <f>DATE(YEAR(BU134)+2,MONTH(BU134),DAY(BU134))</f>
        <v>46601</v>
      </c>
      <c r="BW134" s="65">
        <f t="shared" ca="1" si="465"/>
        <v>470</v>
      </c>
      <c r="BX134" s="15" t="str">
        <f t="shared" ca="1" si="466"/>
        <v>VIGENTE</v>
      </c>
      <c r="BY134" s="12"/>
      <c r="BZ134" s="14">
        <v>45911</v>
      </c>
      <c r="CA134" s="14">
        <f t="shared" si="440"/>
        <v>46641</v>
      </c>
      <c r="CB134" s="65">
        <f t="shared" ca="1" si="467"/>
        <v>510</v>
      </c>
      <c r="CC134" s="15" t="str">
        <f t="shared" ca="1" si="468"/>
        <v>VIGENTE</v>
      </c>
      <c r="CD134" s="16" t="s">
        <v>102</v>
      </c>
      <c r="CE134" s="14">
        <v>45831</v>
      </c>
      <c r="CF134" s="14">
        <v>45832</v>
      </c>
      <c r="CG134" s="14">
        <f t="shared" si="408"/>
        <v>47293</v>
      </c>
      <c r="CH134" s="65">
        <f t="shared" ca="1" si="409"/>
        <v>1162</v>
      </c>
      <c r="CI134" s="15" t="str">
        <f t="shared" ca="1" si="410"/>
        <v>VIGENTE</v>
      </c>
      <c r="CJ134" s="16"/>
      <c r="CK134" s="14">
        <v>45929</v>
      </c>
      <c r="CL134" s="14">
        <f>DATE(YEAR(CK134)+2,MONTH(CK134),DAY(CK134))</f>
        <v>46659</v>
      </c>
      <c r="CM134" s="65">
        <f t="shared" ca="1" si="469"/>
        <v>528</v>
      </c>
      <c r="CN134" s="15" t="str">
        <f t="shared" ca="1" si="470"/>
        <v>VIGENTE</v>
      </c>
      <c r="CO134" s="13">
        <v>45188</v>
      </c>
      <c r="CP134" s="14">
        <v>45882</v>
      </c>
      <c r="CQ134" s="14">
        <f>DATE(YEAR(CP134)+2,MONTH(CP134),DAY(CP134))</f>
        <v>46612</v>
      </c>
      <c r="CR134" s="65">
        <f t="shared" ca="1" si="471"/>
        <v>481</v>
      </c>
      <c r="CS134" s="15" t="str">
        <f t="shared" ca="1" si="472"/>
        <v>VIGENTE</v>
      </c>
      <c r="CT134" s="13">
        <v>45147</v>
      </c>
      <c r="CU134" s="14">
        <v>45813</v>
      </c>
      <c r="CV134" s="14">
        <f>DATE(YEAR(CU134)+2,MONTH(CU134),DAY(CU134))</f>
        <v>46543</v>
      </c>
      <c r="CW134" s="65">
        <f t="shared" ca="1" si="473"/>
        <v>412</v>
      </c>
      <c r="CX134" s="15" t="str">
        <f t="shared" ca="1" si="474"/>
        <v>VIGENTE</v>
      </c>
      <c r="CY134" s="13">
        <v>45331</v>
      </c>
      <c r="CZ134" s="14">
        <v>45989</v>
      </c>
      <c r="DA134" s="14">
        <f>DATE(YEAR(CZ134)+2,MONTH(CZ134),DAY(CZ134))</f>
        <v>46719</v>
      </c>
      <c r="DB134" s="65">
        <f t="shared" ca="1" si="475"/>
        <v>588</v>
      </c>
      <c r="DC134" s="15" t="str">
        <f t="shared" ca="1" si="476"/>
        <v>VIGENTE</v>
      </c>
      <c r="DD134" s="13">
        <v>45328</v>
      </c>
      <c r="DE134" s="14">
        <v>45996</v>
      </c>
      <c r="DF134" s="14">
        <f>DATE(YEAR(DE134)+2,MONTH(DE134),DAY(DE134))</f>
        <v>46726</v>
      </c>
      <c r="DG134" s="65">
        <f t="shared" ca="1" si="477"/>
        <v>595</v>
      </c>
      <c r="DH134" s="15" t="str">
        <f t="shared" ca="1" si="478"/>
        <v>VIGENTE</v>
      </c>
      <c r="DI134" s="13">
        <v>45251</v>
      </c>
      <c r="DJ134" s="14">
        <v>45899</v>
      </c>
      <c r="DK134" s="14">
        <f>DATE(YEAR(DJ134)+2,MONTH(DJ134),DAY(DJ134))</f>
        <v>46629</v>
      </c>
      <c r="DL134" s="65">
        <f t="shared" ca="1" si="479"/>
        <v>498</v>
      </c>
      <c r="DM134" s="15" t="str">
        <f t="shared" ca="1" si="480"/>
        <v>VIGENTE</v>
      </c>
      <c r="DN134" s="13">
        <v>45127</v>
      </c>
      <c r="DO134" s="14">
        <v>45731</v>
      </c>
      <c r="DP134" s="14">
        <f>DATE(YEAR(DO134)+2,MONTH(DO134),DAY(DO134)-1)</f>
        <v>46460</v>
      </c>
      <c r="DQ134" s="65">
        <f t="shared" ca="1" si="481"/>
        <v>329</v>
      </c>
      <c r="DR134" s="15" t="str">
        <f t="shared" ca="1" si="482"/>
        <v>VIGENTE</v>
      </c>
      <c r="DS134" s="14">
        <v>45336</v>
      </c>
      <c r="DT134" s="14">
        <v>46018</v>
      </c>
      <c r="DU134" s="14">
        <f>DATE(YEAR(DT134)+2,MONTH(DT134),DAY(DT134))</f>
        <v>46748</v>
      </c>
      <c r="DV134" s="65">
        <f t="shared" ca="1" si="483"/>
        <v>617</v>
      </c>
      <c r="DW134" s="15" t="str">
        <f t="shared" ca="1" si="484"/>
        <v>VIGENTE</v>
      </c>
      <c r="DX134" s="13">
        <v>45329</v>
      </c>
      <c r="DY134" s="14">
        <v>46020</v>
      </c>
      <c r="DZ134" s="14">
        <f>DATE(YEAR(DY134)+2,MONTH(DY134),DAY(DY134))</f>
        <v>46750</v>
      </c>
      <c r="EA134" s="65">
        <f t="shared" ca="1" si="485"/>
        <v>619</v>
      </c>
      <c r="EB134" s="15" t="str">
        <f t="shared" ca="1" si="486"/>
        <v>VIGENTE</v>
      </c>
      <c r="EC134" s="13"/>
      <c r="ED134" s="14">
        <v>45913</v>
      </c>
      <c r="EE134" s="14">
        <f>DATE(YEAR(ED134)+2,MONTH(ED134),DAY(ED134))</f>
        <v>46643</v>
      </c>
      <c r="EF134" s="65">
        <f t="shared" ca="1" si="487"/>
        <v>512</v>
      </c>
      <c r="EG134" s="15" t="str">
        <f t="shared" ca="1" si="488"/>
        <v>VIGENTE</v>
      </c>
      <c r="EH134" s="13"/>
      <c r="EI134" s="13">
        <v>46000</v>
      </c>
      <c r="EJ134" s="13">
        <v>46001</v>
      </c>
      <c r="EK134" s="13">
        <v>46002</v>
      </c>
      <c r="EL134" s="14">
        <f t="shared" si="546"/>
        <v>46367</v>
      </c>
      <c r="EM134" s="65">
        <f t="shared" ca="1" si="489"/>
        <v>236</v>
      </c>
      <c r="EN134" s="15" t="str">
        <f t="shared" ca="1" si="490"/>
        <v>VIGENTE</v>
      </c>
      <c r="EO134" s="13"/>
      <c r="EP134" s="14">
        <v>45940</v>
      </c>
      <c r="EQ134" s="14">
        <f>DATE(YEAR(EP134)+2,MONTH(EP134),DAY(EP134))</f>
        <v>46670</v>
      </c>
      <c r="ER134" s="65">
        <f t="shared" ca="1" si="491"/>
        <v>539</v>
      </c>
      <c r="ES134" s="15" t="str">
        <f t="shared" ca="1" si="492"/>
        <v>VIGENTE</v>
      </c>
      <c r="ET134" s="12"/>
      <c r="EU134" s="14">
        <v>45999</v>
      </c>
      <c r="EV134" s="14">
        <f>DATE(YEAR(EU134)+2,MONTH(EU134),DAY(EU134))</f>
        <v>46729</v>
      </c>
      <c r="EW134" s="65">
        <f t="shared" ca="1" si="493"/>
        <v>598</v>
      </c>
      <c r="EX134" s="15" t="str">
        <f t="shared" ca="1" si="494"/>
        <v>VIGENTE</v>
      </c>
      <c r="EY134" s="12"/>
      <c r="EZ134" s="14">
        <v>45917</v>
      </c>
      <c r="FA134" s="14">
        <f t="shared" si="444"/>
        <v>46647</v>
      </c>
      <c r="FB134" s="65">
        <f t="shared" ca="1" si="495"/>
        <v>516</v>
      </c>
      <c r="FC134" s="15" t="str">
        <f t="shared" ca="1" si="496"/>
        <v>VIGENTE</v>
      </c>
      <c r="FD134" s="12"/>
      <c r="FE134" s="14">
        <v>45931</v>
      </c>
      <c r="FF134" s="14">
        <f t="shared" si="445"/>
        <v>46661</v>
      </c>
      <c r="FG134" s="65">
        <f t="shared" ca="1" si="497"/>
        <v>530</v>
      </c>
      <c r="FH134" s="15" t="str">
        <f t="shared" ca="1" si="498"/>
        <v>VIGENTE</v>
      </c>
      <c r="FI134" s="12"/>
      <c r="FJ134" s="14">
        <v>45932</v>
      </c>
      <c r="FK134" s="14">
        <f t="shared" si="446"/>
        <v>46662</v>
      </c>
      <c r="FL134" s="65">
        <f t="shared" ca="1" si="499"/>
        <v>531</v>
      </c>
      <c r="FM134" s="15" t="str">
        <f t="shared" ca="1" si="500"/>
        <v>VIGENTE</v>
      </c>
      <c r="FN134" s="13"/>
      <c r="FO134" s="14">
        <v>45933</v>
      </c>
      <c r="FP134" s="14">
        <f>DATE(YEAR(FO134)+2,MONTH(FO134),DAY(FO134))</f>
        <v>46663</v>
      </c>
      <c r="FQ134" s="65">
        <f t="shared" ca="1" si="501"/>
        <v>532</v>
      </c>
      <c r="FR134" s="15" t="str">
        <f t="shared" ca="1" si="502"/>
        <v>VIGENTE</v>
      </c>
      <c r="FS134" s="13">
        <v>45279</v>
      </c>
      <c r="FT134" s="14">
        <v>45957</v>
      </c>
      <c r="FU134" s="14">
        <f>DATE(YEAR(FT134)+2,MONTH(FT134),DAY(FT134))</f>
        <v>46687</v>
      </c>
      <c r="FV134" s="65">
        <f t="shared" ca="1" si="503"/>
        <v>556</v>
      </c>
      <c r="FW134" s="15" t="str">
        <f t="shared" ca="1" si="504"/>
        <v>VIGENTE</v>
      </c>
      <c r="FX134" s="13"/>
      <c r="FY134" s="14">
        <v>45941</v>
      </c>
      <c r="FZ134" s="14">
        <f t="shared" si="447"/>
        <v>46671</v>
      </c>
      <c r="GA134" s="65">
        <f t="shared" ca="1" si="505"/>
        <v>540</v>
      </c>
      <c r="GB134" s="15" t="str">
        <f t="shared" ca="1" si="506"/>
        <v>VIGENTE</v>
      </c>
      <c r="GC134" s="13">
        <v>45173</v>
      </c>
      <c r="GD134" s="14">
        <v>45833</v>
      </c>
      <c r="GE134" s="14">
        <f>DATE(YEAR(GD134)+2,MONTH(GD134),DAY(GD134))</f>
        <v>46563</v>
      </c>
      <c r="GF134" s="65">
        <f t="shared" ca="1" si="507"/>
        <v>432</v>
      </c>
      <c r="GG134" s="15" t="str">
        <f t="shared" ca="1" si="508"/>
        <v>VIGENTE</v>
      </c>
      <c r="GH134" s="13">
        <v>45332</v>
      </c>
      <c r="GI134" s="14">
        <v>45960</v>
      </c>
      <c r="GJ134" s="14">
        <f>DATE(YEAR(GI134)+2,MONTH(GI134),DAY(GI134))</f>
        <v>46690</v>
      </c>
      <c r="GK134" s="65">
        <f t="shared" ca="1" si="509"/>
        <v>559</v>
      </c>
      <c r="GL134" s="15" t="str">
        <f t="shared" ca="1" si="510"/>
        <v>VIGENTE</v>
      </c>
      <c r="GM134" s="13">
        <v>45275</v>
      </c>
      <c r="GN134" s="14">
        <v>45945</v>
      </c>
      <c r="GO134" s="14">
        <f>DATE(YEAR(GN134)+2,MONTH(GN134),DAY(GN134))</f>
        <v>46675</v>
      </c>
      <c r="GP134" s="65">
        <f t="shared" ca="1" si="511"/>
        <v>544</v>
      </c>
      <c r="GQ134" s="15" t="str">
        <f t="shared" ca="1" si="512"/>
        <v>VIGENTE</v>
      </c>
      <c r="GR134" s="14"/>
      <c r="GS134" s="14">
        <v>45244</v>
      </c>
      <c r="GT134" s="14">
        <f t="shared" si="513"/>
        <v>47071</v>
      </c>
      <c r="GU134" s="65">
        <f t="shared" ca="1" si="398"/>
        <v>940</v>
      </c>
      <c r="GV134" s="15" t="str">
        <f t="shared" ca="1" si="411"/>
        <v>VIGENTE</v>
      </c>
      <c r="GW134" s="13"/>
      <c r="GX134" s="14">
        <v>45267</v>
      </c>
      <c r="GY134" s="14">
        <f t="shared" si="514"/>
        <v>47094</v>
      </c>
      <c r="GZ134" s="65">
        <f t="shared" ca="1" si="515"/>
        <v>963</v>
      </c>
      <c r="HA134" s="15" t="str">
        <f t="shared" ca="1" si="418"/>
        <v>VIGENTE</v>
      </c>
      <c r="HB134" s="12"/>
      <c r="HC134" s="14">
        <v>45268</v>
      </c>
      <c r="HD134" s="14">
        <f t="shared" si="516"/>
        <v>47095</v>
      </c>
      <c r="HE134" s="65">
        <f t="shared" ca="1" si="517"/>
        <v>964</v>
      </c>
      <c r="HF134" s="15" t="str">
        <f t="shared" ca="1" si="413"/>
        <v>VIGENTE</v>
      </c>
      <c r="HG134" s="16"/>
      <c r="HH134" s="16"/>
      <c r="HI134" s="14"/>
      <c r="HJ134" s="65"/>
      <c r="HK134" s="15" t="str">
        <f t="shared" si="419"/>
        <v>NO APLICA</v>
      </c>
      <c r="HL134" s="12"/>
      <c r="HM134" s="16"/>
      <c r="HN134" s="14"/>
      <c r="HO134" s="65"/>
      <c r="HP134" s="15" t="str">
        <f t="shared" si="437"/>
        <v>NO APLICA</v>
      </c>
      <c r="HQ134" s="12"/>
      <c r="HR134" s="12"/>
      <c r="HS134" s="14"/>
      <c r="HT134" s="12"/>
      <c r="HU134" s="15" t="str">
        <f t="shared" si="518"/>
        <v>NO APLICA</v>
      </c>
      <c r="HV134" s="12"/>
      <c r="HW134" s="16"/>
      <c r="HX134" s="14"/>
      <c r="HY134" s="65"/>
      <c r="HZ134" s="15" t="str">
        <f t="shared" si="519"/>
        <v>NO APLICA</v>
      </c>
      <c r="IA134" s="12"/>
      <c r="IB134" s="16"/>
      <c r="IC134" s="14"/>
      <c r="ID134" s="65"/>
      <c r="IE134" s="15" t="str">
        <f t="shared" si="520"/>
        <v>NO APLICA</v>
      </c>
      <c r="IF134" s="12"/>
      <c r="IG134" s="16"/>
      <c r="IH134" s="14"/>
      <c r="II134" s="65"/>
      <c r="IJ134" s="15" t="str">
        <f t="shared" si="521"/>
        <v>NO APLICA</v>
      </c>
      <c r="IK134" s="16"/>
      <c r="IL134" s="16"/>
      <c r="IM134" s="14"/>
      <c r="IN134" s="65"/>
      <c r="IO134" s="15" t="str">
        <f t="shared" si="522"/>
        <v>NO APLICA</v>
      </c>
      <c r="IP134" s="12"/>
      <c r="IQ134" s="16"/>
      <c r="IR134" s="14"/>
      <c r="IS134" s="65"/>
      <c r="IT134" s="15" t="str">
        <f t="shared" si="523"/>
        <v>NO APLICA</v>
      </c>
      <c r="IU134" s="12"/>
      <c r="IV134" s="16"/>
      <c r="IW134" s="14"/>
      <c r="IX134" s="65"/>
      <c r="IY134" s="15" t="str">
        <f t="shared" si="524"/>
        <v>NO APLICA</v>
      </c>
      <c r="IZ134" s="12"/>
      <c r="JA134" s="16"/>
      <c r="JB134" s="14"/>
      <c r="JC134" s="65"/>
      <c r="JD134" s="15" t="str">
        <f t="shared" si="525"/>
        <v>NO APLICA</v>
      </c>
      <c r="JE134" s="13"/>
      <c r="JF134" s="13"/>
      <c r="JG134" s="14"/>
      <c r="JH134" s="65"/>
      <c r="JI134" s="15" t="str">
        <f t="shared" si="526"/>
        <v>NO APLICA</v>
      </c>
      <c r="JJ134" s="16"/>
      <c r="JK134" s="16"/>
      <c r="JL134" s="16"/>
      <c r="JM134" s="15" t="str">
        <f t="shared" si="527"/>
        <v>NO APLICA</v>
      </c>
      <c r="JN134" s="16"/>
      <c r="JO134" s="16"/>
      <c r="JP134" s="16"/>
      <c r="JQ134" s="15" t="str">
        <f t="shared" si="528"/>
        <v>NO APLICA</v>
      </c>
      <c r="JR134" s="16"/>
      <c r="JS134" s="16"/>
      <c r="JT134" s="16"/>
      <c r="JU134" s="16"/>
      <c r="JV134" s="15" t="str">
        <f t="shared" si="529"/>
        <v>NO APLICA</v>
      </c>
      <c r="JW134" s="15"/>
      <c r="JX134" s="15"/>
      <c r="JY134" s="15"/>
      <c r="JZ134" s="15"/>
      <c r="KA134" s="15" t="str">
        <f t="shared" si="530"/>
        <v>NO APLICA</v>
      </c>
      <c r="KB134" s="12"/>
      <c r="KC134" s="14"/>
      <c r="KD134" s="65"/>
      <c r="KE134" s="15" t="str">
        <f t="shared" si="531"/>
        <v>NO APLICA</v>
      </c>
      <c r="KF134" s="12"/>
      <c r="KG134" s="14"/>
      <c r="KH134" s="65"/>
      <c r="KI134" s="15" t="str">
        <f t="shared" si="547"/>
        <v>NO APLICA</v>
      </c>
      <c r="KJ134" s="12"/>
      <c r="KK134" s="14"/>
      <c r="KL134" s="65"/>
      <c r="KM134" s="15" t="str">
        <f t="shared" si="532"/>
        <v>NO APLICA</v>
      </c>
      <c r="KN134" s="12"/>
      <c r="KO134" s="14"/>
      <c r="KP134" s="65"/>
      <c r="KQ134" s="15" t="str">
        <f t="shared" si="548"/>
        <v>NO APLICA</v>
      </c>
      <c r="KR134" s="12"/>
      <c r="KS134" s="16"/>
      <c r="KT134" s="14"/>
      <c r="KU134" s="65"/>
      <c r="KV134" s="15" t="str">
        <f t="shared" si="554"/>
        <v>NO APLICA</v>
      </c>
      <c r="KW134" s="16"/>
      <c r="KX134" s="14"/>
      <c r="KY134" s="65"/>
      <c r="KZ134" s="15" t="str">
        <f t="shared" si="549"/>
        <v>NO APLICA</v>
      </c>
      <c r="LA134" s="16"/>
      <c r="LB134" s="16"/>
      <c r="LC134" s="14"/>
      <c r="LD134" s="65"/>
      <c r="LE134" s="15" t="str">
        <f t="shared" ref="LE134:LE165" si="556">IF(LD134&gt;=61,"VIGENTE",IF(LD134&gt;=1,"POR VENCER",IF(LD134&lt;=-1,"VENCIDA",IF(LB134=0,"NO APLICA"))))</f>
        <v>NO APLICA</v>
      </c>
      <c r="LF134" s="15"/>
      <c r="LG134" s="15"/>
      <c r="LH134" s="14"/>
      <c r="LI134" s="65"/>
      <c r="LJ134" s="15" t="str">
        <f t="shared" si="555"/>
        <v>NO APLICA</v>
      </c>
      <c r="LK134" s="12"/>
      <c r="LL134" s="16"/>
      <c r="LM134" s="14"/>
      <c r="LN134" s="65"/>
      <c r="LO134" s="15" t="str">
        <f t="shared" si="550"/>
        <v>NO APLICA</v>
      </c>
      <c r="LP134" s="16"/>
      <c r="LQ134" s="16"/>
      <c r="LR134" s="14"/>
      <c r="LS134" s="65"/>
      <c r="LT134" s="15" t="str">
        <f t="shared" si="551"/>
        <v>NO APLICA</v>
      </c>
      <c r="LU134" s="16"/>
      <c r="LV134" s="16"/>
      <c r="LW134" s="14"/>
      <c r="LX134" s="65"/>
      <c r="LY134" s="15" t="str">
        <f t="shared" si="552"/>
        <v>NO APLICA</v>
      </c>
      <c r="LZ134" s="12"/>
      <c r="MA134" s="12"/>
      <c r="MB134" s="14"/>
      <c r="MC134" s="65"/>
      <c r="MD134" s="15" t="str">
        <f t="shared" si="534"/>
        <v>NO APLICA</v>
      </c>
      <c r="ME134" s="12"/>
      <c r="MF134" s="12"/>
      <c r="MG134" s="14"/>
      <c r="MH134" s="65"/>
      <c r="MI134" s="15" t="str">
        <f t="shared" si="535"/>
        <v>NO APLICA</v>
      </c>
      <c r="MJ134" s="12"/>
      <c r="MK134" s="14"/>
      <c r="ML134" s="65"/>
      <c r="MM134" s="15" t="str">
        <f t="shared" si="536"/>
        <v>NO APLICA</v>
      </c>
      <c r="MN134" s="12"/>
      <c r="MO134" s="14"/>
      <c r="MP134" s="12"/>
      <c r="MQ134" s="15" t="str">
        <f t="shared" si="537"/>
        <v>NO APLICA</v>
      </c>
      <c r="MR134" s="12"/>
      <c r="MS134" s="16"/>
      <c r="MT134" s="14"/>
      <c r="MU134" s="65"/>
      <c r="MV134" s="15" t="str">
        <f t="shared" si="538"/>
        <v>NO APLICA</v>
      </c>
      <c r="MW134" s="12"/>
      <c r="MX134" s="16"/>
      <c r="MY134" s="14"/>
      <c r="MZ134" s="65"/>
      <c r="NA134" s="15" t="str">
        <f t="shared" si="539"/>
        <v>NO APLICA</v>
      </c>
      <c r="NB134" s="12"/>
      <c r="NC134" s="16"/>
      <c r="ND134" s="14"/>
      <c r="NE134" s="65"/>
      <c r="NF134" s="15" t="str">
        <f t="shared" si="540"/>
        <v>NO APLICA</v>
      </c>
      <c r="NG134" s="12"/>
      <c r="NH134" s="12"/>
      <c r="NI134" s="14"/>
      <c r="NJ134" s="65"/>
      <c r="NK134" s="15" t="str">
        <f t="shared" si="541"/>
        <v>NO APLICA</v>
      </c>
      <c r="NL134" s="12"/>
      <c r="NM134" s="12"/>
      <c r="NN134" s="14"/>
      <c r="NO134" s="12"/>
      <c r="NP134" s="15" t="str">
        <f t="shared" si="542"/>
        <v>NO APLICA</v>
      </c>
      <c r="NQ134" s="16"/>
      <c r="NR134" s="16"/>
      <c r="NS134" s="14"/>
      <c r="NT134" s="65"/>
      <c r="NU134" s="15" t="str">
        <f t="shared" si="543"/>
        <v>NO APLICA</v>
      </c>
      <c r="NV134" s="16"/>
      <c r="NW134" s="16"/>
      <c r="NX134" s="16"/>
      <c r="NY134" s="16"/>
      <c r="NZ134" s="15" t="str">
        <f t="shared" si="544"/>
        <v>NO APLICA</v>
      </c>
    </row>
    <row r="135" spans="1:390" ht="15.6" thickTop="1" thickBot="1" x14ac:dyDescent="0.35">
      <c r="A135" s="9">
        <v>1310</v>
      </c>
      <c r="B135" s="10" t="s">
        <v>500</v>
      </c>
      <c r="C135" s="21" t="s">
        <v>151</v>
      </c>
      <c r="D135" s="64" t="s">
        <v>165</v>
      </c>
      <c r="E135" s="13">
        <v>46057</v>
      </c>
      <c r="F135" s="14">
        <v>46058</v>
      </c>
      <c r="G135" s="14">
        <f>DATE(YEAR(F135)+2,MONTH(F135),DAY(F135))</f>
        <v>46788</v>
      </c>
      <c r="H135" s="65">
        <f ca="1">G135-TODAY()</f>
        <v>657</v>
      </c>
      <c r="I135" s="15" t="str">
        <f t="shared" ca="1" si="448"/>
        <v>VIGENTE</v>
      </c>
      <c r="J135" s="12"/>
      <c r="K135" s="16"/>
      <c r="L135" s="16"/>
      <c r="M135" s="65"/>
      <c r="N135" s="15" t="str">
        <f t="shared" si="449"/>
        <v>NO APLICA</v>
      </c>
      <c r="O135" s="16"/>
      <c r="P135" s="16"/>
      <c r="Q135" s="14"/>
      <c r="R135" s="65"/>
      <c r="S135" s="15" t="str">
        <f t="shared" si="545"/>
        <v>NO APLICA</v>
      </c>
      <c r="T135" s="12" t="s">
        <v>501</v>
      </c>
      <c r="U135" s="13">
        <v>45734</v>
      </c>
      <c r="V135" s="14">
        <v>45735</v>
      </c>
      <c r="W135" s="14">
        <f t="shared" si="401"/>
        <v>47561</v>
      </c>
      <c r="X135" s="65">
        <f t="shared" ca="1" si="402"/>
        <v>1430</v>
      </c>
      <c r="Y135" s="15" t="str">
        <f t="shared" ca="1" si="403"/>
        <v>VIGENTE</v>
      </c>
      <c r="Z135" s="12"/>
      <c r="AA135" s="12"/>
      <c r="AB135" s="16"/>
      <c r="AC135" s="14"/>
      <c r="AD135" s="65"/>
      <c r="AE135" s="15" t="str">
        <f t="shared" si="553"/>
        <v>NO APLICA</v>
      </c>
      <c r="AF135" s="13">
        <v>45243</v>
      </c>
      <c r="AG135" s="14">
        <v>45902</v>
      </c>
      <c r="AH135" s="14">
        <f t="shared" si="441"/>
        <v>46632</v>
      </c>
      <c r="AI135" s="65">
        <f t="shared" ca="1" si="450"/>
        <v>501</v>
      </c>
      <c r="AJ135" s="15" t="str">
        <f t="shared" ca="1" si="399"/>
        <v>VIGENTE</v>
      </c>
      <c r="AK135" s="13">
        <v>44606</v>
      </c>
      <c r="AL135" s="14">
        <v>45926</v>
      </c>
      <c r="AM135" s="14">
        <f t="shared" si="442"/>
        <v>46656</v>
      </c>
      <c r="AN135" s="65">
        <f t="shared" ca="1" si="451"/>
        <v>525</v>
      </c>
      <c r="AO135" s="15" t="str">
        <f t="shared" ca="1" si="452"/>
        <v>VIGENTE</v>
      </c>
      <c r="AP135" s="13">
        <v>45298</v>
      </c>
      <c r="AQ135" s="14">
        <v>45967</v>
      </c>
      <c r="AR135" s="14">
        <f t="shared" si="443"/>
        <v>46697</v>
      </c>
      <c r="AS135" s="65">
        <f t="shared" ca="1" si="453"/>
        <v>566</v>
      </c>
      <c r="AT135" s="15" t="str">
        <f t="shared" ca="1" si="454"/>
        <v>VIGENTE</v>
      </c>
      <c r="AU135" s="13">
        <v>44671</v>
      </c>
      <c r="AV135" s="14">
        <v>45927</v>
      </c>
      <c r="AW135" s="14">
        <f t="shared" si="438"/>
        <v>46657</v>
      </c>
      <c r="AX135" s="65">
        <f t="shared" ca="1" si="455"/>
        <v>526</v>
      </c>
      <c r="AY135" s="15" t="str">
        <f t="shared" ca="1" si="456"/>
        <v>VIGENTE</v>
      </c>
      <c r="AZ135" s="13">
        <v>44986</v>
      </c>
      <c r="BA135" s="14">
        <v>45622</v>
      </c>
      <c r="BB135" s="14">
        <f>DATE(YEAR(BA135)+2,MONTH(BA135),DAY(BA135)-1)</f>
        <v>46351</v>
      </c>
      <c r="BC135" s="65">
        <f t="shared" ca="1" si="457"/>
        <v>220</v>
      </c>
      <c r="BD135" s="15" t="str">
        <f t="shared" ca="1" si="458"/>
        <v>VIGENTE</v>
      </c>
      <c r="BE135" s="13">
        <v>45071</v>
      </c>
      <c r="BF135" s="14">
        <v>45698</v>
      </c>
      <c r="BG135" s="14">
        <f>DATE(YEAR(BF135)+2,MONTH(BF135),DAY(BF135)-1)</f>
        <v>46427</v>
      </c>
      <c r="BH135" s="65">
        <f t="shared" ca="1" si="459"/>
        <v>296</v>
      </c>
      <c r="BI135" s="15" t="str">
        <f t="shared" ca="1" si="460"/>
        <v>VIGENTE</v>
      </c>
      <c r="BJ135" s="13">
        <v>44974</v>
      </c>
      <c r="BK135" s="14">
        <v>45600</v>
      </c>
      <c r="BL135" s="14">
        <f>DATE(YEAR(BK135)+2,MONTH(BK135),DAY(BK135)-1)</f>
        <v>46329</v>
      </c>
      <c r="BM135" s="65">
        <f t="shared" ca="1" si="461"/>
        <v>198</v>
      </c>
      <c r="BN135" s="15" t="str">
        <f t="shared" ca="1" si="462"/>
        <v>VIGENTE</v>
      </c>
      <c r="BO135" s="13">
        <v>44988</v>
      </c>
      <c r="BP135" s="14">
        <v>45621</v>
      </c>
      <c r="BQ135" s="14">
        <f>DATE(YEAR(BP135)+2,MONTH(BP135),DAY(BP135)-1)</f>
        <v>46350</v>
      </c>
      <c r="BR135" s="65">
        <f t="shared" ca="1" si="463"/>
        <v>219</v>
      </c>
      <c r="BS135" s="15" t="str">
        <f t="shared" ca="1" si="464"/>
        <v>VIGENTE</v>
      </c>
      <c r="BT135" s="13">
        <v>44953</v>
      </c>
      <c r="BU135" s="14">
        <v>45568</v>
      </c>
      <c r="BV135" s="14">
        <f>DATE(YEAR(BU135)+2,MONTH(BU135),DAY(BU135)-1)</f>
        <v>46297</v>
      </c>
      <c r="BW135" s="65">
        <f t="shared" ca="1" si="465"/>
        <v>166</v>
      </c>
      <c r="BX135" s="15" t="str">
        <f t="shared" ca="1" si="466"/>
        <v>VIGENTE</v>
      </c>
      <c r="BY135" s="13">
        <v>44606</v>
      </c>
      <c r="BZ135" s="14">
        <v>45944</v>
      </c>
      <c r="CA135" s="14">
        <f t="shared" si="440"/>
        <v>46674</v>
      </c>
      <c r="CB135" s="65">
        <f t="shared" ca="1" si="467"/>
        <v>543</v>
      </c>
      <c r="CC135" s="15" t="str">
        <f t="shared" ca="1" si="468"/>
        <v>VIGENTE</v>
      </c>
      <c r="CD135" s="16" t="s">
        <v>108</v>
      </c>
      <c r="CE135" s="14">
        <v>45528</v>
      </c>
      <c r="CF135" s="14">
        <v>45529</v>
      </c>
      <c r="CG135" s="14">
        <f t="shared" si="408"/>
        <v>46990</v>
      </c>
      <c r="CH135" s="65">
        <f t="shared" ca="1" si="409"/>
        <v>859</v>
      </c>
      <c r="CI135" s="15" t="str">
        <f t="shared" ca="1" si="410"/>
        <v>VIGENTE</v>
      </c>
      <c r="CJ135" s="14">
        <v>45099</v>
      </c>
      <c r="CK135" s="14">
        <v>45777</v>
      </c>
      <c r="CL135" s="14">
        <f>DATE(YEAR(CK135)+2,MONTH(CK135),DAY(CK135))</f>
        <v>46507</v>
      </c>
      <c r="CM135" s="65">
        <f t="shared" ca="1" si="469"/>
        <v>376</v>
      </c>
      <c r="CN135" s="15" t="str">
        <f t="shared" ca="1" si="470"/>
        <v>VIGENTE</v>
      </c>
      <c r="CO135" s="13">
        <v>45087</v>
      </c>
      <c r="CP135" s="14">
        <v>45769</v>
      </c>
      <c r="CQ135" s="14">
        <f>DATE(YEAR(CP135)+2,MONTH(CP135),DAY(CP135))</f>
        <v>46499</v>
      </c>
      <c r="CR135" s="65">
        <f t="shared" ca="1" si="471"/>
        <v>368</v>
      </c>
      <c r="CS135" s="15" t="str">
        <f t="shared" ca="1" si="472"/>
        <v>VIGENTE</v>
      </c>
      <c r="CT135" s="13">
        <v>44670</v>
      </c>
      <c r="CU135" s="14">
        <v>45905</v>
      </c>
      <c r="CV135" s="14">
        <f>DATE(YEAR(CU135)+2,MONTH(CU135),DAY(CU135))</f>
        <v>46635</v>
      </c>
      <c r="CW135" s="65">
        <f t="shared" ca="1" si="473"/>
        <v>504</v>
      </c>
      <c r="CX135" s="15" t="str">
        <f t="shared" ca="1" si="474"/>
        <v>VIGENTE</v>
      </c>
      <c r="CY135" s="13">
        <v>45194</v>
      </c>
      <c r="CZ135" s="14">
        <v>45835</v>
      </c>
      <c r="DA135" s="14">
        <f>DATE(YEAR(CZ135)+2,MONTH(CZ135),DAY(CZ135))</f>
        <v>46565</v>
      </c>
      <c r="DB135" s="65">
        <f t="shared" ca="1" si="475"/>
        <v>434</v>
      </c>
      <c r="DC135" s="15" t="str">
        <f t="shared" ca="1" si="476"/>
        <v>VIGENTE</v>
      </c>
      <c r="DD135" s="13">
        <v>45079</v>
      </c>
      <c r="DE135" s="14">
        <v>45723</v>
      </c>
      <c r="DF135" s="14">
        <f>DATE(YEAR(DE135)+2,MONTH(DE135),DAY(DE135)-1)</f>
        <v>46452</v>
      </c>
      <c r="DG135" s="65">
        <f t="shared" ca="1" si="477"/>
        <v>321</v>
      </c>
      <c r="DH135" s="15" t="str">
        <f t="shared" ca="1" si="478"/>
        <v>VIGENTE</v>
      </c>
      <c r="DI135" s="13">
        <v>45251</v>
      </c>
      <c r="DJ135" s="14">
        <v>45899</v>
      </c>
      <c r="DK135" s="14">
        <f>DATE(YEAR(DJ135)+2,MONTH(DJ135),DAY(DJ135))</f>
        <v>46629</v>
      </c>
      <c r="DL135" s="65">
        <f t="shared" ca="1" si="479"/>
        <v>498</v>
      </c>
      <c r="DM135" s="15" t="str">
        <f t="shared" ca="1" si="480"/>
        <v>VIGENTE</v>
      </c>
      <c r="DN135" s="13">
        <v>44669</v>
      </c>
      <c r="DO135" s="14">
        <v>46007</v>
      </c>
      <c r="DP135" s="14">
        <f>DATE(YEAR(DO135)+2,MONTH(DO135),DAY(DO135))</f>
        <v>46737</v>
      </c>
      <c r="DQ135" s="65">
        <f t="shared" ca="1" si="481"/>
        <v>606</v>
      </c>
      <c r="DR135" s="15" t="str">
        <f t="shared" ca="1" si="482"/>
        <v>VIGENTE</v>
      </c>
      <c r="DS135" s="12">
        <v>45097</v>
      </c>
      <c r="DT135" s="14">
        <v>45743</v>
      </c>
      <c r="DU135" s="14">
        <f>DATE(YEAR(DT135)+2,MONTH(DT135),DAY(DT135)-1)</f>
        <v>46472</v>
      </c>
      <c r="DV135" s="65">
        <f t="shared" ca="1" si="483"/>
        <v>341</v>
      </c>
      <c r="DW135" s="15" t="str">
        <f t="shared" ca="1" si="484"/>
        <v>VIGENTE</v>
      </c>
      <c r="DX135" s="13">
        <v>45089</v>
      </c>
      <c r="DY135" s="14">
        <v>45751</v>
      </c>
      <c r="DZ135" s="14">
        <f>DATE(YEAR(DY135)+2,MONTH(DY135),DAY(DY135)-1)</f>
        <v>46480</v>
      </c>
      <c r="EA135" s="65">
        <f t="shared" ca="1" si="485"/>
        <v>349</v>
      </c>
      <c r="EB135" s="15" t="str">
        <f t="shared" ca="1" si="486"/>
        <v>VIGENTE</v>
      </c>
      <c r="EC135" s="13">
        <v>45090</v>
      </c>
      <c r="ED135" s="14">
        <v>45730</v>
      </c>
      <c r="EE135" s="14">
        <f>DATE(YEAR(ED135)+2,MONTH(ED135),DAY(ED135)-1)</f>
        <v>46459</v>
      </c>
      <c r="EF135" s="65">
        <f t="shared" ca="1" si="487"/>
        <v>328</v>
      </c>
      <c r="EG135" s="15" t="str">
        <f t="shared" ca="1" si="488"/>
        <v>VIGENTE</v>
      </c>
      <c r="EH135" s="13">
        <v>45748</v>
      </c>
      <c r="EI135" s="13">
        <v>46058</v>
      </c>
      <c r="EJ135" s="13">
        <v>46059</v>
      </c>
      <c r="EK135" s="13">
        <v>46060</v>
      </c>
      <c r="EL135" s="14">
        <f t="shared" si="546"/>
        <v>46425</v>
      </c>
      <c r="EM135" s="65">
        <f t="shared" ca="1" si="489"/>
        <v>294</v>
      </c>
      <c r="EN135" s="15" t="str">
        <f t="shared" ca="1" si="490"/>
        <v>VIGENTE</v>
      </c>
      <c r="EO135" s="13">
        <v>45076</v>
      </c>
      <c r="EP135" s="14">
        <v>45705</v>
      </c>
      <c r="EQ135" s="14">
        <f>DATE(YEAR(EP135)+2,MONTH(EP135),DAY(EP135)-1)</f>
        <v>46434</v>
      </c>
      <c r="ER135" s="65">
        <f t="shared" ca="1" si="491"/>
        <v>303</v>
      </c>
      <c r="ES135" s="15" t="str">
        <f t="shared" ca="1" si="492"/>
        <v>VIGENTE</v>
      </c>
      <c r="ET135" s="13">
        <v>45012</v>
      </c>
      <c r="EU135" s="14">
        <v>45677</v>
      </c>
      <c r="EV135" s="14">
        <f>DATE(YEAR(EU135)+2,MONTH(EU135),DAY(EU135)-1)</f>
        <v>46406</v>
      </c>
      <c r="EW135" s="65">
        <f t="shared" ca="1" si="493"/>
        <v>275</v>
      </c>
      <c r="EX135" s="15" t="str">
        <f t="shared" ca="1" si="494"/>
        <v>VIGENTE</v>
      </c>
      <c r="EY135" s="13">
        <v>44608</v>
      </c>
      <c r="EZ135" s="14">
        <v>45917</v>
      </c>
      <c r="FA135" s="14">
        <f t="shared" si="444"/>
        <v>46647</v>
      </c>
      <c r="FB135" s="65">
        <f t="shared" ca="1" si="495"/>
        <v>516</v>
      </c>
      <c r="FC135" s="15" t="str">
        <f t="shared" ca="1" si="496"/>
        <v>VIGENTE</v>
      </c>
      <c r="FD135" s="13">
        <v>44608</v>
      </c>
      <c r="FE135" s="14">
        <v>45988</v>
      </c>
      <c r="FF135" s="14">
        <f t="shared" si="445"/>
        <v>46718</v>
      </c>
      <c r="FG135" s="65">
        <f t="shared" ca="1" si="497"/>
        <v>587</v>
      </c>
      <c r="FH135" s="15" t="str">
        <f t="shared" ca="1" si="498"/>
        <v>VIGENTE</v>
      </c>
      <c r="FI135" s="13">
        <v>45176</v>
      </c>
      <c r="FJ135" s="14">
        <v>45832</v>
      </c>
      <c r="FK135" s="14">
        <f t="shared" si="446"/>
        <v>46562</v>
      </c>
      <c r="FL135" s="65">
        <f t="shared" ca="1" si="499"/>
        <v>431</v>
      </c>
      <c r="FM135" s="15" t="str">
        <f t="shared" ca="1" si="500"/>
        <v>VIGENTE</v>
      </c>
      <c r="FN135" s="13">
        <v>45062</v>
      </c>
      <c r="FO135" s="14">
        <v>45670</v>
      </c>
      <c r="FP135" s="14">
        <f>DATE(YEAR(FO135)+2,MONTH(FO135),DAY(FO135)-1)</f>
        <v>46399</v>
      </c>
      <c r="FQ135" s="65">
        <f t="shared" ca="1" si="501"/>
        <v>268</v>
      </c>
      <c r="FR135" s="15" t="str">
        <f t="shared" ca="1" si="502"/>
        <v>VIGENTE</v>
      </c>
      <c r="FS135" s="13">
        <v>44954</v>
      </c>
      <c r="FT135" s="14">
        <v>45605</v>
      </c>
      <c r="FU135" s="14">
        <f>DATE(YEAR(FT135)+2,MONTH(FT135),DAY(FT135)-1)</f>
        <v>46334</v>
      </c>
      <c r="FV135" s="65">
        <f t="shared" ca="1" si="503"/>
        <v>203</v>
      </c>
      <c r="FW135" s="15" t="str">
        <f t="shared" ca="1" si="504"/>
        <v>VIGENTE</v>
      </c>
      <c r="FX135" s="13">
        <v>44609</v>
      </c>
      <c r="FY135" s="14">
        <v>45993</v>
      </c>
      <c r="FZ135" s="14">
        <f t="shared" si="447"/>
        <v>46723</v>
      </c>
      <c r="GA135" s="65">
        <f t="shared" ca="1" si="505"/>
        <v>592</v>
      </c>
      <c r="GB135" s="15" t="str">
        <f t="shared" ca="1" si="506"/>
        <v>VIGENTE</v>
      </c>
      <c r="GC135" s="13">
        <v>45088</v>
      </c>
      <c r="GD135" s="14">
        <v>45757</v>
      </c>
      <c r="GE135" s="14">
        <f>DATE(YEAR(GD135)+2,MONTH(GD135),DAY(GD135)-1)</f>
        <v>46486</v>
      </c>
      <c r="GF135" s="65">
        <f t="shared" ca="1" si="507"/>
        <v>355</v>
      </c>
      <c r="GG135" s="15" t="str">
        <f t="shared" ca="1" si="508"/>
        <v>VIGENTE</v>
      </c>
      <c r="GH135" s="13">
        <v>45094</v>
      </c>
      <c r="GI135" s="14">
        <v>45731</v>
      </c>
      <c r="GJ135" s="14">
        <f>DATE(YEAR(GI135)+2,MONTH(GI135),DAY(GI135)-1)</f>
        <v>46460</v>
      </c>
      <c r="GK135" s="65">
        <f t="shared" ca="1" si="509"/>
        <v>329</v>
      </c>
      <c r="GL135" s="15" t="str">
        <f t="shared" ca="1" si="510"/>
        <v>VIGENTE</v>
      </c>
      <c r="GM135" s="13">
        <v>45024</v>
      </c>
      <c r="GN135" s="14">
        <v>45687</v>
      </c>
      <c r="GO135" s="14">
        <f>DATE(YEAR(GN135)+2,MONTH(GN135),DAY(GN135)-1)</f>
        <v>46416</v>
      </c>
      <c r="GP135" s="65">
        <f t="shared" ca="1" si="511"/>
        <v>285</v>
      </c>
      <c r="GQ135" s="15" t="str">
        <f t="shared" ca="1" si="512"/>
        <v>VIGENTE</v>
      </c>
      <c r="GR135" s="14"/>
      <c r="GS135" s="14">
        <v>45072</v>
      </c>
      <c r="GT135" s="14">
        <f t="shared" si="513"/>
        <v>46899</v>
      </c>
      <c r="GU135" s="65">
        <f t="shared" ca="1" si="398"/>
        <v>768</v>
      </c>
      <c r="GV135" s="15" t="str">
        <f t="shared" ca="1" si="411"/>
        <v>VIGENTE</v>
      </c>
      <c r="GW135" s="13"/>
      <c r="GX135" s="14">
        <v>44952</v>
      </c>
      <c r="GY135" s="14">
        <f t="shared" si="514"/>
        <v>46778</v>
      </c>
      <c r="GZ135" s="65">
        <f t="shared" ca="1" si="515"/>
        <v>647</v>
      </c>
      <c r="HA135" s="15" t="str">
        <f t="shared" ca="1" si="418"/>
        <v>VIGENTE</v>
      </c>
      <c r="HB135" s="12"/>
      <c r="HC135" s="14">
        <v>45016</v>
      </c>
      <c r="HD135" s="14">
        <f t="shared" si="516"/>
        <v>46843</v>
      </c>
      <c r="HE135" s="65">
        <f t="shared" ca="1" si="517"/>
        <v>712</v>
      </c>
      <c r="HF135" s="15" t="str">
        <f t="shared" ca="1" si="413"/>
        <v>VIGENTE</v>
      </c>
      <c r="HG135" s="16"/>
      <c r="HH135" s="16"/>
      <c r="HI135" s="14"/>
      <c r="HJ135" s="65"/>
      <c r="HK135" s="15" t="str">
        <f t="shared" si="419"/>
        <v>NO APLICA</v>
      </c>
      <c r="HL135" s="12"/>
      <c r="HM135" s="16"/>
      <c r="HN135" s="14"/>
      <c r="HO135" s="65"/>
      <c r="HP135" s="15" t="str">
        <f t="shared" si="437"/>
        <v>NO APLICA</v>
      </c>
      <c r="HQ135" s="12"/>
      <c r="HR135" s="12"/>
      <c r="HS135" s="14"/>
      <c r="HT135" s="12"/>
      <c r="HU135" s="15" t="str">
        <f t="shared" si="518"/>
        <v>NO APLICA</v>
      </c>
      <c r="HV135" s="12"/>
      <c r="HW135" s="16"/>
      <c r="HX135" s="14"/>
      <c r="HY135" s="65"/>
      <c r="HZ135" s="15" t="str">
        <f t="shared" si="519"/>
        <v>NO APLICA</v>
      </c>
      <c r="IA135" s="12"/>
      <c r="IB135" s="16"/>
      <c r="IC135" s="14"/>
      <c r="ID135" s="65"/>
      <c r="IE135" s="15" t="str">
        <f t="shared" si="520"/>
        <v>NO APLICA</v>
      </c>
      <c r="IF135" s="12"/>
      <c r="IG135" s="16"/>
      <c r="IH135" s="14"/>
      <c r="II135" s="65"/>
      <c r="IJ135" s="15" t="str">
        <f t="shared" si="521"/>
        <v>NO APLICA</v>
      </c>
      <c r="IK135" s="16"/>
      <c r="IL135" s="16"/>
      <c r="IM135" s="14"/>
      <c r="IN135" s="65"/>
      <c r="IO135" s="15" t="str">
        <f t="shared" si="522"/>
        <v>NO APLICA</v>
      </c>
      <c r="IP135" s="12"/>
      <c r="IQ135" s="16"/>
      <c r="IR135" s="14"/>
      <c r="IS135" s="65"/>
      <c r="IT135" s="15" t="str">
        <f t="shared" si="523"/>
        <v>NO APLICA</v>
      </c>
      <c r="IU135" s="12"/>
      <c r="IV135" s="16"/>
      <c r="IW135" s="14"/>
      <c r="IX135" s="65"/>
      <c r="IY135" s="15" t="str">
        <f t="shared" si="524"/>
        <v>NO APLICA</v>
      </c>
      <c r="IZ135" s="12"/>
      <c r="JA135" s="16"/>
      <c r="JB135" s="14"/>
      <c r="JC135" s="65"/>
      <c r="JD135" s="15" t="str">
        <f t="shared" si="525"/>
        <v>NO APLICA</v>
      </c>
      <c r="JE135" s="13"/>
      <c r="JF135" s="13"/>
      <c r="JG135" s="14"/>
      <c r="JH135" s="65"/>
      <c r="JI135" s="15" t="str">
        <f t="shared" si="526"/>
        <v>NO APLICA</v>
      </c>
      <c r="JJ135" s="16"/>
      <c r="JK135" s="16"/>
      <c r="JL135" s="16"/>
      <c r="JM135" s="15" t="str">
        <f t="shared" si="527"/>
        <v>NO APLICA</v>
      </c>
      <c r="JN135" s="16"/>
      <c r="JO135" s="16"/>
      <c r="JP135" s="16"/>
      <c r="JQ135" s="15" t="str">
        <f t="shared" si="528"/>
        <v>NO APLICA</v>
      </c>
      <c r="JR135" s="16"/>
      <c r="JS135" s="16"/>
      <c r="JT135" s="16"/>
      <c r="JU135" s="16"/>
      <c r="JV135" s="15" t="str">
        <f t="shared" si="529"/>
        <v>NO APLICA</v>
      </c>
      <c r="JW135" s="15"/>
      <c r="JX135" s="15"/>
      <c r="JY135" s="15"/>
      <c r="JZ135" s="15"/>
      <c r="KA135" s="15" t="str">
        <f t="shared" si="530"/>
        <v>NO APLICA</v>
      </c>
      <c r="KB135" s="12"/>
      <c r="KC135" s="14"/>
      <c r="KD135" s="65"/>
      <c r="KE135" s="15" t="str">
        <f t="shared" si="531"/>
        <v>NO APLICA</v>
      </c>
      <c r="KF135" s="12"/>
      <c r="KG135" s="14"/>
      <c r="KH135" s="65"/>
      <c r="KI135" s="15" t="str">
        <f t="shared" si="547"/>
        <v>NO APLICA</v>
      </c>
      <c r="KJ135" s="12"/>
      <c r="KK135" s="14"/>
      <c r="KL135" s="65"/>
      <c r="KM135" s="15" t="str">
        <f t="shared" si="532"/>
        <v>NO APLICA</v>
      </c>
      <c r="KN135" s="12"/>
      <c r="KO135" s="14"/>
      <c r="KP135" s="65"/>
      <c r="KQ135" s="15" t="str">
        <f t="shared" si="548"/>
        <v>NO APLICA</v>
      </c>
      <c r="KR135" s="12"/>
      <c r="KS135" s="16"/>
      <c r="KT135" s="14"/>
      <c r="KU135" s="65"/>
      <c r="KV135" s="15" t="str">
        <f t="shared" si="554"/>
        <v>NO APLICA</v>
      </c>
      <c r="KW135" s="16"/>
      <c r="KX135" s="14"/>
      <c r="KY135" s="65"/>
      <c r="KZ135" s="15" t="str">
        <f t="shared" si="549"/>
        <v>NO APLICA</v>
      </c>
      <c r="LA135" s="16"/>
      <c r="LB135" s="16"/>
      <c r="LC135" s="14"/>
      <c r="LD135" s="65"/>
      <c r="LE135" s="15" t="str">
        <f t="shared" si="556"/>
        <v>NO APLICA</v>
      </c>
      <c r="LF135" s="15"/>
      <c r="LG135" s="15"/>
      <c r="LH135" s="14"/>
      <c r="LI135" s="65"/>
      <c r="LJ135" s="15" t="str">
        <f t="shared" si="555"/>
        <v>NO APLICA</v>
      </c>
      <c r="LK135" s="12"/>
      <c r="LL135" s="16"/>
      <c r="LM135" s="14"/>
      <c r="LN135" s="65"/>
      <c r="LO135" s="15" t="str">
        <f t="shared" si="550"/>
        <v>NO APLICA</v>
      </c>
      <c r="LP135" s="16"/>
      <c r="LQ135" s="16"/>
      <c r="LR135" s="14"/>
      <c r="LS135" s="65"/>
      <c r="LT135" s="15" t="str">
        <f t="shared" si="551"/>
        <v>NO APLICA</v>
      </c>
      <c r="LU135" s="16"/>
      <c r="LV135" s="16"/>
      <c r="LW135" s="14"/>
      <c r="LX135" s="65"/>
      <c r="LY135" s="15" t="str">
        <f t="shared" si="552"/>
        <v>NO APLICA</v>
      </c>
      <c r="LZ135" s="12"/>
      <c r="MA135" s="12"/>
      <c r="MB135" s="14"/>
      <c r="MC135" s="65"/>
      <c r="MD135" s="15" t="str">
        <f t="shared" si="534"/>
        <v>NO APLICA</v>
      </c>
      <c r="ME135" s="12"/>
      <c r="MF135" s="12"/>
      <c r="MG135" s="14"/>
      <c r="MH135" s="65"/>
      <c r="MI135" s="15" t="str">
        <f t="shared" si="535"/>
        <v>NO APLICA</v>
      </c>
      <c r="MJ135" s="12"/>
      <c r="MK135" s="14"/>
      <c r="ML135" s="65"/>
      <c r="MM135" s="15" t="str">
        <f t="shared" si="536"/>
        <v>NO APLICA</v>
      </c>
      <c r="MN135" s="12"/>
      <c r="MO135" s="14"/>
      <c r="MP135" s="12"/>
      <c r="MQ135" s="15" t="str">
        <f t="shared" si="537"/>
        <v>NO APLICA</v>
      </c>
      <c r="MR135" s="12"/>
      <c r="MS135" s="16"/>
      <c r="MT135" s="14"/>
      <c r="MU135" s="65"/>
      <c r="MV135" s="15" t="str">
        <f t="shared" si="538"/>
        <v>NO APLICA</v>
      </c>
      <c r="MW135" s="12"/>
      <c r="MX135" s="16"/>
      <c r="MY135" s="14"/>
      <c r="MZ135" s="65"/>
      <c r="NA135" s="15" t="str">
        <f t="shared" si="539"/>
        <v>NO APLICA</v>
      </c>
      <c r="NB135" s="12"/>
      <c r="NC135" s="16"/>
      <c r="ND135" s="14"/>
      <c r="NE135" s="65"/>
      <c r="NF135" s="15" t="str">
        <f t="shared" si="540"/>
        <v>NO APLICA</v>
      </c>
      <c r="NG135" s="12"/>
      <c r="NH135" s="12"/>
      <c r="NI135" s="14"/>
      <c r="NJ135" s="65"/>
      <c r="NK135" s="15" t="str">
        <f t="shared" si="541"/>
        <v>NO APLICA</v>
      </c>
      <c r="NL135" s="12"/>
      <c r="NM135" s="12"/>
      <c r="NN135" s="14"/>
      <c r="NO135" s="12"/>
      <c r="NP135" s="15" t="str">
        <f t="shared" si="542"/>
        <v>NO APLICA</v>
      </c>
      <c r="NQ135" s="16"/>
      <c r="NR135" s="16"/>
      <c r="NS135" s="14"/>
      <c r="NT135" s="65"/>
      <c r="NU135" s="15" t="str">
        <f t="shared" si="543"/>
        <v>NO APLICA</v>
      </c>
      <c r="NV135" s="16"/>
      <c r="NW135" s="16"/>
      <c r="NX135" s="16"/>
      <c r="NY135" s="16"/>
      <c r="NZ135" s="15" t="str">
        <f t="shared" si="544"/>
        <v>NO APLICA</v>
      </c>
    </row>
    <row r="136" spans="1:390" ht="15.6" thickTop="1" thickBot="1" x14ac:dyDescent="0.35">
      <c r="A136" s="11">
        <v>1693</v>
      </c>
      <c r="B136" s="10" t="s">
        <v>502</v>
      </c>
      <c r="C136" s="21" t="s">
        <v>104</v>
      </c>
      <c r="D136" s="64" t="s">
        <v>110</v>
      </c>
      <c r="E136" s="15"/>
      <c r="F136" s="16"/>
      <c r="G136" s="14"/>
      <c r="H136" s="65"/>
      <c r="I136" s="15" t="str">
        <f t="shared" si="448"/>
        <v>NO APLICA</v>
      </c>
      <c r="J136" s="15"/>
      <c r="K136" s="16"/>
      <c r="L136" s="16"/>
      <c r="M136" s="65"/>
      <c r="N136" s="15" t="str">
        <f t="shared" si="449"/>
        <v>NO APLICA</v>
      </c>
      <c r="O136" s="16"/>
      <c r="P136" s="16"/>
      <c r="Q136" s="14"/>
      <c r="R136" s="65"/>
      <c r="S136" s="15" t="str">
        <f t="shared" si="545"/>
        <v>NO APLICA</v>
      </c>
      <c r="T136" s="12" t="s">
        <v>503</v>
      </c>
      <c r="U136" s="13">
        <v>45155</v>
      </c>
      <c r="V136" s="14">
        <v>45156</v>
      </c>
      <c r="W136" s="14">
        <f t="shared" si="401"/>
        <v>46983</v>
      </c>
      <c r="X136" s="65">
        <f t="shared" ca="1" si="402"/>
        <v>852</v>
      </c>
      <c r="Y136" s="15" t="str">
        <f t="shared" ca="1" si="403"/>
        <v>VIGENTE</v>
      </c>
      <c r="Z136" s="12" t="s">
        <v>504</v>
      </c>
      <c r="AA136" s="13">
        <v>45161</v>
      </c>
      <c r="AB136" s="14">
        <v>45162</v>
      </c>
      <c r="AC136" s="14">
        <f>DATE(YEAR(AB136)+5,MONTH(AB136),DAY(AB136))</f>
        <v>46989</v>
      </c>
      <c r="AD136" s="65">
        <f ca="1">AC136-TODAY()</f>
        <v>858</v>
      </c>
      <c r="AE136" s="15" t="str">
        <f t="shared" ca="1" si="553"/>
        <v>VIGENTE</v>
      </c>
      <c r="AF136" s="13">
        <v>45226</v>
      </c>
      <c r="AG136" s="14">
        <v>45936</v>
      </c>
      <c r="AH136" s="14">
        <f t="shared" si="441"/>
        <v>46666</v>
      </c>
      <c r="AI136" s="65">
        <f t="shared" ca="1" si="450"/>
        <v>535</v>
      </c>
      <c r="AJ136" s="15" t="str">
        <f t="shared" ca="1" si="399"/>
        <v>VIGENTE</v>
      </c>
      <c r="AK136" s="13">
        <v>45307</v>
      </c>
      <c r="AL136" s="14">
        <v>45959</v>
      </c>
      <c r="AM136" s="14">
        <f t="shared" si="442"/>
        <v>46689</v>
      </c>
      <c r="AN136" s="65">
        <f t="shared" ca="1" si="451"/>
        <v>558</v>
      </c>
      <c r="AO136" s="15" t="str">
        <f t="shared" ca="1" si="452"/>
        <v>VIGENTE</v>
      </c>
      <c r="AP136" s="13">
        <v>45298</v>
      </c>
      <c r="AQ136" s="14">
        <v>45967</v>
      </c>
      <c r="AR136" s="14">
        <f t="shared" si="443"/>
        <v>46697</v>
      </c>
      <c r="AS136" s="65">
        <f t="shared" ca="1" si="453"/>
        <v>566</v>
      </c>
      <c r="AT136" s="15" t="str">
        <f t="shared" ca="1" si="454"/>
        <v>VIGENTE</v>
      </c>
      <c r="AU136" s="13">
        <v>45235</v>
      </c>
      <c r="AV136" s="14">
        <v>45906</v>
      </c>
      <c r="AW136" s="14">
        <f t="shared" si="438"/>
        <v>46636</v>
      </c>
      <c r="AX136" s="65">
        <f t="shared" ca="1" si="455"/>
        <v>505</v>
      </c>
      <c r="AY136" s="15" t="str">
        <f t="shared" ca="1" si="456"/>
        <v>VIGENTE</v>
      </c>
      <c r="AZ136" s="13">
        <v>45263</v>
      </c>
      <c r="BA136" s="14">
        <v>45930</v>
      </c>
      <c r="BB136" s="14">
        <f>DATE(YEAR(BA136)+2,MONTH(BA136),DAY(BA136))</f>
        <v>46660</v>
      </c>
      <c r="BC136" s="65">
        <f t="shared" ca="1" si="457"/>
        <v>529</v>
      </c>
      <c r="BD136" s="15" t="str">
        <f t="shared" ca="1" si="458"/>
        <v>VIGENTE</v>
      </c>
      <c r="BE136" s="12"/>
      <c r="BF136" s="14">
        <v>45987</v>
      </c>
      <c r="BG136" s="14">
        <f>DATE(YEAR(BF136)+2,MONTH(BF136),DAY(BF136))</f>
        <v>46717</v>
      </c>
      <c r="BH136" s="65">
        <f t="shared" ca="1" si="459"/>
        <v>586</v>
      </c>
      <c r="BI136" s="15" t="str">
        <f t="shared" ca="1" si="460"/>
        <v>VIGENTE</v>
      </c>
      <c r="BJ136" s="13">
        <v>45306</v>
      </c>
      <c r="BK136" s="14">
        <v>45976</v>
      </c>
      <c r="BL136" s="14">
        <f>DATE(YEAR(BK136)+2,MONTH(BK136),DAY(BK136))</f>
        <v>46706</v>
      </c>
      <c r="BM136" s="65">
        <f t="shared" ca="1" si="461"/>
        <v>575</v>
      </c>
      <c r="BN136" s="15" t="str">
        <f t="shared" ca="1" si="462"/>
        <v>VIGENTE</v>
      </c>
      <c r="BO136" s="14">
        <v>45308</v>
      </c>
      <c r="BP136" s="14">
        <v>45981</v>
      </c>
      <c r="BQ136" s="14">
        <f>DATE(YEAR(BP136)+2,MONTH(BP136),DAY(BP136))</f>
        <v>46711</v>
      </c>
      <c r="BR136" s="65">
        <f t="shared" ca="1" si="463"/>
        <v>580</v>
      </c>
      <c r="BS136" s="15" t="str">
        <f t="shared" ca="1" si="464"/>
        <v>VIGENTE</v>
      </c>
      <c r="BT136" s="13">
        <v>45362</v>
      </c>
      <c r="BU136" s="14">
        <v>46031</v>
      </c>
      <c r="BV136" s="14">
        <f>DATE(YEAR(BU136)+2,MONTH(BU136),DAY(BU136))</f>
        <v>46761</v>
      </c>
      <c r="BW136" s="65">
        <f t="shared" ca="1" si="465"/>
        <v>630</v>
      </c>
      <c r="BX136" s="15" t="str">
        <f t="shared" ca="1" si="466"/>
        <v>VIGENTE</v>
      </c>
      <c r="BY136" s="13">
        <v>45300</v>
      </c>
      <c r="BZ136" s="14">
        <v>45954</v>
      </c>
      <c r="CA136" s="14">
        <f t="shared" si="440"/>
        <v>46684</v>
      </c>
      <c r="CB136" s="65">
        <f t="shared" ca="1" si="467"/>
        <v>553</v>
      </c>
      <c r="CC136" s="15" t="str">
        <f t="shared" ca="1" si="468"/>
        <v>VIGENTE</v>
      </c>
      <c r="CD136" s="16" t="s">
        <v>108</v>
      </c>
      <c r="CE136" s="14">
        <v>45163</v>
      </c>
      <c r="CF136" s="14">
        <v>45164</v>
      </c>
      <c r="CG136" s="14">
        <f t="shared" si="408"/>
        <v>46625</v>
      </c>
      <c r="CH136" s="65">
        <f t="shared" ca="1" si="409"/>
        <v>494</v>
      </c>
      <c r="CI136" s="15" t="str">
        <f t="shared" ca="1" si="410"/>
        <v>VIGENTE</v>
      </c>
      <c r="CJ136" s="14">
        <v>45249</v>
      </c>
      <c r="CK136" s="14">
        <v>45929</v>
      </c>
      <c r="CL136" s="14">
        <f>DATE(YEAR(CK136)+2,MONTH(CK136),DAY(CK136))</f>
        <v>46659</v>
      </c>
      <c r="CM136" s="65">
        <f t="shared" ca="1" si="469"/>
        <v>528</v>
      </c>
      <c r="CN136" s="15" t="str">
        <f t="shared" ca="1" si="470"/>
        <v>VIGENTE</v>
      </c>
      <c r="CO136" s="14">
        <v>45305</v>
      </c>
      <c r="CP136" s="14">
        <v>45979</v>
      </c>
      <c r="CQ136" s="14">
        <f>DATE(YEAR(CP136)+2,MONTH(CP136),DAY(CP136))</f>
        <v>46709</v>
      </c>
      <c r="CR136" s="65">
        <f t="shared" ca="1" si="471"/>
        <v>578</v>
      </c>
      <c r="CS136" s="15" t="str">
        <f t="shared" ca="1" si="472"/>
        <v>VIGENTE</v>
      </c>
      <c r="CT136" s="12"/>
      <c r="CU136" s="14">
        <v>45939</v>
      </c>
      <c r="CV136" s="14">
        <f>DATE(YEAR(CU136)+2,MONTH(CU136),DAY(CU136))</f>
        <v>46669</v>
      </c>
      <c r="CW136" s="65">
        <f t="shared" ca="1" si="473"/>
        <v>538</v>
      </c>
      <c r="CX136" s="15" t="str">
        <f t="shared" ca="1" si="474"/>
        <v>VIGENTE</v>
      </c>
      <c r="CY136" s="13">
        <v>45194</v>
      </c>
      <c r="CZ136" s="14">
        <v>45843</v>
      </c>
      <c r="DA136" s="14">
        <f>DATE(YEAR(CZ136)+2,MONTH(CZ136),DAY(CZ136))</f>
        <v>46573</v>
      </c>
      <c r="DB136" s="65">
        <f t="shared" ca="1" si="475"/>
        <v>442</v>
      </c>
      <c r="DC136" s="15" t="str">
        <f t="shared" ca="1" si="476"/>
        <v>VIGENTE</v>
      </c>
      <c r="DD136" s="14">
        <v>45404</v>
      </c>
      <c r="DE136" s="14">
        <v>46045</v>
      </c>
      <c r="DF136" s="14">
        <f>DATE(YEAR(DE136)+2,MONTH(DE136),DAY(DE136))</f>
        <v>46775</v>
      </c>
      <c r="DG136" s="65">
        <f t="shared" ca="1" si="477"/>
        <v>644</v>
      </c>
      <c r="DH136" s="15" t="str">
        <f t="shared" ca="1" si="478"/>
        <v>VIGENTE</v>
      </c>
      <c r="DI136" s="13">
        <v>45167</v>
      </c>
      <c r="DJ136" s="14">
        <v>45779</v>
      </c>
      <c r="DK136" s="14">
        <f>DATE(YEAR(DJ136)+2,MONTH(DJ136),DAY(DJ136))</f>
        <v>46509</v>
      </c>
      <c r="DL136" s="65">
        <f t="shared" ca="1" si="479"/>
        <v>378</v>
      </c>
      <c r="DM136" s="15" t="str">
        <f t="shared" ca="1" si="480"/>
        <v>VIGENTE</v>
      </c>
      <c r="DN136" s="13">
        <v>45390</v>
      </c>
      <c r="DO136" s="14">
        <v>46088</v>
      </c>
      <c r="DP136" s="14">
        <f>DATE(YEAR(DO136)+2,MONTH(DO136),DAY(DO136))</f>
        <v>46819</v>
      </c>
      <c r="DQ136" s="65">
        <f t="shared" ca="1" si="481"/>
        <v>688</v>
      </c>
      <c r="DR136" s="15" t="str">
        <f t="shared" ca="1" si="482"/>
        <v>VIGENTE</v>
      </c>
      <c r="DS136" s="13">
        <v>45250</v>
      </c>
      <c r="DT136" s="14">
        <v>45918</v>
      </c>
      <c r="DU136" s="14">
        <f>DATE(YEAR(DT136)+2,MONTH(DT136),DAY(DT136))</f>
        <v>46648</v>
      </c>
      <c r="DV136" s="65">
        <f t="shared" ca="1" si="483"/>
        <v>517</v>
      </c>
      <c r="DW136" s="15" t="str">
        <f t="shared" ca="1" si="484"/>
        <v>VIGENTE</v>
      </c>
      <c r="DX136" s="13">
        <v>45254</v>
      </c>
      <c r="DY136" s="14">
        <v>45915</v>
      </c>
      <c r="DZ136" s="14">
        <f>DATE(YEAR(DY136)+2,MONTH(DY136),DAY(DY136))</f>
        <v>46645</v>
      </c>
      <c r="EA136" s="65">
        <f t="shared" ca="1" si="485"/>
        <v>514</v>
      </c>
      <c r="EB136" s="15" t="str">
        <f t="shared" ca="1" si="486"/>
        <v>VIGENTE</v>
      </c>
      <c r="EC136" s="14">
        <v>45341</v>
      </c>
      <c r="ED136" s="14">
        <v>45994</v>
      </c>
      <c r="EE136" s="14">
        <f>DATE(YEAR(ED136)+2,MONTH(ED136),DAY(ED136))</f>
        <v>46724</v>
      </c>
      <c r="EF136" s="65">
        <f t="shared" ca="1" si="487"/>
        <v>593</v>
      </c>
      <c r="EG136" s="15" t="str">
        <f t="shared" ca="1" si="488"/>
        <v>VIGENTE</v>
      </c>
      <c r="EH136" s="13">
        <v>45750</v>
      </c>
      <c r="EI136" s="13">
        <v>46083</v>
      </c>
      <c r="EJ136" s="13">
        <v>46084</v>
      </c>
      <c r="EK136" s="13">
        <v>46085</v>
      </c>
      <c r="EL136" s="14">
        <f t="shared" si="546"/>
        <v>46450</v>
      </c>
      <c r="EM136" s="65">
        <f t="shared" ca="1" si="489"/>
        <v>319</v>
      </c>
      <c r="EN136" s="15" t="str">
        <f t="shared" ca="1" si="490"/>
        <v>VIGENTE</v>
      </c>
      <c r="EO136" s="13">
        <v>45337</v>
      </c>
      <c r="EP136" s="14">
        <v>45995</v>
      </c>
      <c r="EQ136" s="14">
        <f>DATE(YEAR(EP136)+2,MONTH(EP136),DAY(EP136))</f>
        <v>46725</v>
      </c>
      <c r="ER136" s="65">
        <f t="shared" ca="1" si="491"/>
        <v>594</v>
      </c>
      <c r="ES136" s="15" t="str">
        <f t="shared" ca="1" si="492"/>
        <v>VIGENTE</v>
      </c>
      <c r="ET136" s="13">
        <v>45159</v>
      </c>
      <c r="EU136" s="14">
        <v>45796</v>
      </c>
      <c r="EV136" s="14">
        <f>DATE(YEAR(EU136)+2,MONTH(EU136),DAY(EU136))</f>
        <v>46526</v>
      </c>
      <c r="EW136" s="65">
        <f t="shared" ca="1" si="493"/>
        <v>395</v>
      </c>
      <c r="EX136" s="15" t="str">
        <f t="shared" ca="1" si="494"/>
        <v>VIGENTE</v>
      </c>
      <c r="EY136" s="12"/>
      <c r="EZ136" s="14">
        <v>45953</v>
      </c>
      <c r="FA136" s="14">
        <f t="shared" si="444"/>
        <v>46683</v>
      </c>
      <c r="FB136" s="65">
        <f t="shared" ca="1" si="495"/>
        <v>552</v>
      </c>
      <c r="FC136" s="15" t="str">
        <f t="shared" ca="1" si="496"/>
        <v>VIGENTE</v>
      </c>
      <c r="FD136" s="12"/>
      <c r="FE136" s="14">
        <v>45988</v>
      </c>
      <c r="FF136" s="14">
        <f t="shared" si="445"/>
        <v>46718</v>
      </c>
      <c r="FG136" s="65">
        <f t="shared" ca="1" si="497"/>
        <v>587</v>
      </c>
      <c r="FH136" s="15" t="str">
        <f t="shared" ca="1" si="498"/>
        <v>VIGENTE</v>
      </c>
      <c r="FI136" s="14">
        <v>45348</v>
      </c>
      <c r="FJ136" s="14">
        <v>45962</v>
      </c>
      <c r="FK136" s="14">
        <f t="shared" si="446"/>
        <v>46692</v>
      </c>
      <c r="FL136" s="65">
        <f t="shared" ca="1" si="499"/>
        <v>561</v>
      </c>
      <c r="FM136" s="15" t="str">
        <f t="shared" ca="1" si="500"/>
        <v>VIGENTE</v>
      </c>
      <c r="FN136" s="14">
        <v>45395</v>
      </c>
      <c r="FO136" s="14">
        <v>46039</v>
      </c>
      <c r="FP136" s="14">
        <f>DATE(YEAR(FO136)+2,MONTH(FO136),DAY(FO136))</f>
        <v>46769</v>
      </c>
      <c r="FQ136" s="65">
        <f t="shared" ca="1" si="501"/>
        <v>638</v>
      </c>
      <c r="FR136" s="15" t="str">
        <f t="shared" ca="1" si="502"/>
        <v>VIGENTE</v>
      </c>
      <c r="FS136" s="13">
        <v>45304</v>
      </c>
      <c r="FT136" s="14">
        <v>45957</v>
      </c>
      <c r="FU136" s="14">
        <f>DATE(YEAR(FT136)+2,MONTH(FT136),DAY(FT136))</f>
        <v>46687</v>
      </c>
      <c r="FV136" s="65">
        <f t="shared" ca="1" si="503"/>
        <v>556</v>
      </c>
      <c r="FW136" s="15" t="str">
        <f t="shared" ca="1" si="504"/>
        <v>VIGENTE</v>
      </c>
      <c r="FX136" s="13">
        <v>45230</v>
      </c>
      <c r="FY136" s="14">
        <v>45908</v>
      </c>
      <c r="FZ136" s="14">
        <f t="shared" si="447"/>
        <v>46638</v>
      </c>
      <c r="GA136" s="65">
        <f t="shared" ca="1" si="505"/>
        <v>507</v>
      </c>
      <c r="GB136" s="15" t="str">
        <f t="shared" ca="1" si="506"/>
        <v>VIGENTE</v>
      </c>
      <c r="GC136" s="13"/>
      <c r="GD136" s="14">
        <v>45925</v>
      </c>
      <c r="GE136" s="14">
        <f>DATE(YEAR(GD136)+2,MONTH(GD136),DAY(GD136))</f>
        <v>46655</v>
      </c>
      <c r="GF136" s="65">
        <f t="shared" ca="1" si="507"/>
        <v>524</v>
      </c>
      <c r="GG136" s="15" t="str">
        <f t="shared" ca="1" si="508"/>
        <v>VIGENTE</v>
      </c>
      <c r="GH136" s="13"/>
      <c r="GI136" s="14">
        <v>46079</v>
      </c>
      <c r="GJ136" s="14">
        <f>DATE(YEAR(GI136)+2,MONTH(GI136),DAY(GI136))</f>
        <v>46809</v>
      </c>
      <c r="GK136" s="65">
        <f t="shared" ca="1" si="509"/>
        <v>678</v>
      </c>
      <c r="GL136" s="15" t="str">
        <f t="shared" ca="1" si="510"/>
        <v>VIGENTE</v>
      </c>
      <c r="GM136" s="13">
        <v>45264</v>
      </c>
      <c r="GN136" s="14">
        <v>45945</v>
      </c>
      <c r="GO136" s="14">
        <f>DATE(YEAR(GN136)+2,MONTH(GN136),DAY(GN136))</f>
        <v>46675</v>
      </c>
      <c r="GP136" s="65">
        <f t="shared" ca="1" si="511"/>
        <v>544</v>
      </c>
      <c r="GQ136" s="15" t="str">
        <f t="shared" ca="1" si="512"/>
        <v>VIGENTE</v>
      </c>
      <c r="GR136" s="14"/>
      <c r="GS136" s="14">
        <v>45224</v>
      </c>
      <c r="GT136" s="14">
        <f t="shared" si="513"/>
        <v>47051</v>
      </c>
      <c r="GU136" s="65">
        <f t="shared" ca="1" si="398"/>
        <v>920</v>
      </c>
      <c r="GV136" s="15" t="str">
        <f t="shared" ca="1" si="411"/>
        <v>VIGENTE</v>
      </c>
      <c r="GW136" s="13"/>
      <c r="GX136" s="14">
        <v>45389</v>
      </c>
      <c r="GY136" s="14">
        <f t="shared" si="514"/>
        <v>47215</v>
      </c>
      <c r="GZ136" s="65">
        <f t="shared" ca="1" si="515"/>
        <v>1084</v>
      </c>
      <c r="HA136" s="15" t="str">
        <f t="shared" ca="1" si="418"/>
        <v>VIGENTE</v>
      </c>
      <c r="HB136" s="12"/>
      <c r="HC136" s="14">
        <v>45258</v>
      </c>
      <c r="HD136" s="14">
        <f t="shared" si="516"/>
        <v>47085</v>
      </c>
      <c r="HE136" s="65">
        <f t="shared" ca="1" si="517"/>
        <v>954</v>
      </c>
      <c r="HF136" s="15" t="str">
        <f t="shared" ca="1" si="413"/>
        <v>VIGENTE</v>
      </c>
      <c r="HG136" s="16"/>
      <c r="HH136" s="14">
        <v>45227</v>
      </c>
      <c r="HI136" s="14">
        <f>DATE(YEAR(HH136)+5,MONTH(HH136),DAY(HH136))</f>
        <v>47054</v>
      </c>
      <c r="HJ136" s="65">
        <f ca="1">HI136-TODAY()</f>
        <v>923</v>
      </c>
      <c r="HK136" s="15" t="str">
        <f t="shared" ca="1" si="419"/>
        <v>VIGENTE</v>
      </c>
      <c r="HL136" s="12"/>
      <c r="HM136" s="16"/>
      <c r="HN136" s="14"/>
      <c r="HO136" s="65"/>
      <c r="HP136" s="15" t="str">
        <f t="shared" si="437"/>
        <v>NO APLICA</v>
      </c>
      <c r="HQ136" s="12"/>
      <c r="HR136" s="12"/>
      <c r="HS136" s="14"/>
      <c r="HT136" s="12"/>
      <c r="HU136" s="15" t="str">
        <f t="shared" si="518"/>
        <v>NO APLICA</v>
      </c>
      <c r="HV136" s="12"/>
      <c r="HW136" s="16"/>
      <c r="HX136" s="14"/>
      <c r="HY136" s="65"/>
      <c r="HZ136" s="15" t="str">
        <f t="shared" si="519"/>
        <v>NO APLICA</v>
      </c>
      <c r="IA136" s="12"/>
      <c r="IB136" s="16"/>
      <c r="IC136" s="14"/>
      <c r="ID136" s="65"/>
      <c r="IE136" s="15" t="str">
        <f t="shared" si="520"/>
        <v>NO APLICA</v>
      </c>
      <c r="IF136" s="12"/>
      <c r="IG136" s="14">
        <v>45355</v>
      </c>
      <c r="IH136" s="14">
        <f>DATE(YEAR(IG136)+5,MONTH(IG136),DAY(IG136))</f>
        <v>47181</v>
      </c>
      <c r="II136" s="65">
        <f ca="1">IH136-TODAY()</f>
        <v>1050</v>
      </c>
      <c r="IJ136" s="15" t="str">
        <f t="shared" ca="1" si="521"/>
        <v>VIGENTE</v>
      </c>
      <c r="IK136" s="16"/>
      <c r="IL136" s="16"/>
      <c r="IM136" s="14"/>
      <c r="IN136" s="65"/>
      <c r="IO136" s="15" t="str">
        <f t="shared" si="522"/>
        <v>NO APLICA</v>
      </c>
      <c r="IP136" s="12"/>
      <c r="IQ136" s="14"/>
      <c r="IR136" s="14"/>
      <c r="IS136" s="65"/>
      <c r="IT136" s="15" t="str">
        <f t="shared" si="523"/>
        <v>NO APLICA</v>
      </c>
      <c r="IU136" s="12"/>
      <c r="IV136" s="14">
        <v>45350</v>
      </c>
      <c r="IW136" s="14">
        <f>DATE(YEAR(IV136)+5,MONTH(IV136),DAY(IV136))</f>
        <v>47177</v>
      </c>
      <c r="IX136" s="65">
        <f ca="1">IW136-TODAY()</f>
        <v>1046</v>
      </c>
      <c r="IY136" s="15" t="str">
        <f t="shared" ca="1" si="524"/>
        <v>VIGENTE</v>
      </c>
      <c r="IZ136" s="12"/>
      <c r="JA136" s="14">
        <v>45339</v>
      </c>
      <c r="JB136" s="14">
        <f>DATE(YEAR(JA136)+5,MONTH(JA136),DAY(JA136))</f>
        <v>47166</v>
      </c>
      <c r="JC136" s="65">
        <f ca="1">JB136-TODAY()</f>
        <v>1035</v>
      </c>
      <c r="JD136" s="15" t="str">
        <f t="shared" ca="1" si="525"/>
        <v>VIGENTE</v>
      </c>
      <c r="JE136" s="13"/>
      <c r="JF136" s="13"/>
      <c r="JG136" s="14"/>
      <c r="JH136" s="65"/>
      <c r="JI136" s="15" t="str">
        <f t="shared" si="526"/>
        <v>NO APLICA</v>
      </c>
      <c r="JJ136" s="16"/>
      <c r="JK136" s="16"/>
      <c r="JL136" s="16"/>
      <c r="JM136" s="15" t="str">
        <f t="shared" si="527"/>
        <v>NO APLICA</v>
      </c>
      <c r="JN136" s="16"/>
      <c r="JO136" s="16"/>
      <c r="JP136" s="16"/>
      <c r="JQ136" s="15" t="str">
        <f t="shared" si="528"/>
        <v>NO APLICA</v>
      </c>
      <c r="JR136" s="16"/>
      <c r="JS136" s="16"/>
      <c r="JT136" s="16"/>
      <c r="JU136" s="16"/>
      <c r="JV136" s="15" t="str">
        <f t="shared" si="529"/>
        <v>NO APLICA</v>
      </c>
      <c r="JW136" s="15"/>
      <c r="JX136" s="15"/>
      <c r="JY136" s="15"/>
      <c r="JZ136" s="15"/>
      <c r="KA136" s="15" t="str">
        <f t="shared" si="530"/>
        <v>NO APLICA</v>
      </c>
      <c r="KB136" s="12"/>
      <c r="KC136" s="14"/>
      <c r="KD136" s="65"/>
      <c r="KE136" s="15" t="str">
        <f t="shared" si="531"/>
        <v>NO APLICA</v>
      </c>
      <c r="KF136" s="12"/>
      <c r="KG136" s="14"/>
      <c r="KH136" s="65"/>
      <c r="KI136" s="15" t="str">
        <f t="shared" si="547"/>
        <v>NO APLICA</v>
      </c>
      <c r="KJ136" s="12"/>
      <c r="KK136" s="14"/>
      <c r="KL136" s="65"/>
      <c r="KM136" s="15" t="str">
        <f t="shared" si="532"/>
        <v>NO APLICA</v>
      </c>
      <c r="KN136" s="12"/>
      <c r="KO136" s="14"/>
      <c r="KP136" s="65"/>
      <c r="KQ136" s="15" t="str">
        <f t="shared" si="548"/>
        <v>NO APLICA</v>
      </c>
      <c r="KR136" s="12"/>
      <c r="KS136" s="16"/>
      <c r="KT136" s="14"/>
      <c r="KU136" s="65"/>
      <c r="KV136" s="15" t="str">
        <f t="shared" si="554"/>
        <v>NO APLICA</v>
      </c>
      <c r="KW136" s="16"/>
      <c r="KX136" s="14"/>
      <c r="KY136" s="65"/>
      <c r="KZ136" s="15" t="str">
        <f t="shared" si="549"/>
        <v>NO APLICA</v>
      </c>
      <c r="LA136" s="16"/>
      <c r="LB136" s="14">
        <v>45509</v>
      </c>
      <c r="LC136" s="14">
        <f>DATE(YEAR(LB136)+2,MONTH(LB136),DAY(LB136))</f>
        <v>46239</v>
      </c>
      <c r="LD136" s="65">
        <f ca="1">LC136-TODAY()</f>
        <v>108</v>
      </c>
      <c r="LE136" s="15" t="str">
        <f t="shared" ca="1" si="556"/>
        <v>VIGENTE</v>
      </c>
      <c r="LF136" s="15"/>
      <c r="LG136" s="15"/>
      <c r="LH136" s="14"/>
      <c r="LI136" s="65"/>
      <c r="LJ136" s="15" t="str">
        <f t="shared" si="555"/>
        <v>NO APLICA</v>
      </c>
      <c r="LK136" s="12"/>
      <c r="LL136" s="16"/>
      <c r="LM136" s="14"/>
      <c r="LN136" s="65"/>
      <c r="LO136" s="15" t="str">
        <f t="shared" si="550"/>
        <v>NO APLICA</v>
      </c>
      <c r="LP136" s="16"/>
      <c r="LQ136" s="16"/>
      <c r="LR136" s="14"/>
      <c r="LS136" s="65"/>
      <c r="LT136" s="15" t="str">
        <f t="shared" si="551"/>
        <v>NO APLICA</v>
      </c>
      <c r="LU136" s="16"/>
      <c r="LV136" s="16"/>
      <c r="LW136" s="14"/>
      <c r="LX136" s="65"/>
      <c r="LY136" s="15" t="str">
        <f t="shared" si="552"/>
        <v>NO APLICA</v>
      </c>
      <c r="LZ136" s="12"/>
      <c r="MA136" s="12"/>
      <c r="MB136" s="14"/>
      <c r="MC136" s="65"/>
      <c r="MD136" s="15" t="str">
        <f t="shared" si="534"/>
        <v>NO APLICA</v>
      </c>
      <c r="ME136" s="12"/>
      <c r="MF136" s="12"/>
      <c r="MG136" s="14"/>
      <c r="MH136" s="65"/>
      <c r="MI136" s="15" t="str">
        <f t="shared" si="535"/>
        <v>NO APLICA</v>
      </c>
      <c r="MJ136" s="12"/>
      <c r="MK136" s="14"/>
      <c r="ML136" s="65"/>
      <c r="MM136" s="15" t="str">
        <f t="shared" si="536"/>
        <v>NO APLICA</v>
      </c>
      <c r="MN136" s="12"/>
      <c r="MO136" s="14"/>
      <c r="MP136" s="12"/>
      <c r="MQ136" s="15" t="str">
        <f t="shared" si="537"/>
        <v>NO APLICA</v>
      </c>
      <c r="MR136" s="12"/>
      <c r="MS136" s="16"/>
      <c r="MT136" s="14"/>
      <c r="MU136" s="65"/>
      <c r="MV136" s="15" t="str">
        <f t="shared" si="538"/>
        <v>NO APLICA</v>
      </c>
      <c r="MW136" s="12"/>
      <c r="MX136" s="16"/>
      <c r="MY136" s="14"/>
      <c r="MZ136" s="65"/>
      <c r="NA136" s="15" t="str">
        <f t="shared" si="539"/>
        <v>NO APLICA</v>
      </c>
      <c r="NB136" s="12"/>
      <c r="NC136" s="16"/>
      <c r="ND136" s="14"/>
      <c r="NE136" s="65"/>
      <c r="NF136" s="15" t="str">
        <f t="shared" si="540"/>
        <v>NO APLICA</v>
      </c>
      <c r="NG136" s="12"/>
      <c r="NH136" s="12"/>
      <c r="NI136" s="14"/>
      <c r="NJ136" s="65"/>
      <c r="NK136" s="15" t="str">
        <f t="shared" si="541"/>
        <v>NO APLICA</v>
      </c>
      <c r="NL136" s="12"/>
      <c r="NM136" s="12"/>
      <c r="NN136" s="14"/>
      <c r="NO136" s="12"/>
      <c r="NP136" s="15" t="str">
        <f t="shared" si="542"/>
        <v>NO APLICA</v>
      </c>
      <c r="NQ136" s="16"/>
      <c r="NR136" s="16"/>
      <c r="NS136" s="14"/>
      <c r="NT136" s="65"/>
      <c r="NU136" s="15" t="str">
        <f t="shared" si="543"/>
        <v>NO APLICA</v>
      </c>
      <c r="NV136" s="16"/>
      <c r="NW136" s="16"/>
      <c r="NX136" s="16"/>
      <c r="NY136" s="16"/>
      <c r="NZ136" s="15" t="str">
        <f t="shared" si="544"/>
        <v>NO APLICA</v>
      </c>
    </row>
    <row r="137" spans="1:390" ht="15.6" thickTop="1" thickBot="1" x14ac:dyDescent="0.35">
      <c r="A137" s="9">
        <v>946</v>
      </c>
      <c r="B137" s="10" t="s">
        <v>505</v>
      </c>
      <c r="C137" s="21" t="s">
        <v>104</v>
      </c>
      <c r="D137" s="64" t="s">
        <v>506</v>
      </c>
      <c r="E137" s="15"/>
      <c r="F137" s="16"/>
      <c r="G137" s="14"/>
      <c r="H137" s="65"/>
      <c r="I137" s="15" t="str">
        <f t="shared" si="448"/>
        <v>NO APLICA</v>
      </c>
      <c r="J137" s="15"/>
      <c r="K137" s="16"/>
      <c r="L137" s="16"/>
      <c r="M137" s="65"/>
      <c r="N137" s="15" t="str">
        <f t="shared" si="449"/>
        <v>NO APLICA</v>
      </c>
      <c r="O137" s="16"/>
      <c r="P137" s="16"/>
      <c r="Q137" s="14"/>
      <c r="R137" s="65"/>
      <c r="S137" s="15" t="str">
        <f t="shared" si="545"/>
        <v>NO APLICA</v>
      </c>
      <c r="T137" s="12" t="s">
        <v>507</v>
      </c>
      <c r="U137" s="13">
        <v>45400</v>
      </c>
      <c r="V137" s="14">
        <v>45401</v>
      </c>
      <c r="W137" s="14">
        <f t="shared" si="401"/>
        <v>47227</v>
      </c>
      <c r="X137" s="65">
        <f t="shared" ca="1" si="402"/>
        <v>1096</v>
      </c>
      <c r="Y137" s="15" t="str">
        <f t="shared" ca="1" si="403"/>
        <v>VIGENTE</v>
      </c>
      <c r="Z137" s="12" t="s">
        <v>508</v>
      </c>
      <c r="AA137" s="13">
        <v>44390</v>
      </c>
      <c r="AB137" s="13">
        <v>44391</v>
      </c>
      <c r="AC137" s="14">
        <f>DATE(YEAR(AB137)+5,MONTH(AB137),DAY(AB137))</f>
        <v>46217</v>
      </c>
      <c r="AD137" s="65">
        <f ca="1">AC137-TODAY()</f>
        <v>86</v>
      </c>
      <c r="AE137" s="15" t="str">
        <f t="shared" ca="1" si="553"/>
        <v>POR VENCER</v>
      </c>
      <c r="AF137" s="13">
        <v>44929</v>
      </c>
      <c r="AG137" s="14">
        <v>45589</v>
      </c>
      <c r="AH137" s="14">
        <f>DATE(YEAR(AG137)+2,MONTH(AG137),DAY(AG137)-1)</f>
        <v>46318</v>
      </c>
      <c r="AI137" s="65">
        <f t="shared" ca="1" si="450"/>
        <v>187</v>
      </c>
      <c r="AJ137" s="15" t="str">
        <f t="shared" ca="1" si="399"/>
        <v>VIGENTE</v>
      </c>
      <c r="AK137" s="13">
        <v>44890</v>
      </c>
      <c r="AL137" s="14">
        <v>45518</v>
      </c>
      <c r="AM137" s="14">
        <f>DATE(YEAR(AL137)+2,MONTH(AL137),DAY(AL137)-1)</f>
        <v>46247</v>
      </c>
      <c r="AN137" s="65">
        <f t="shared" ca="1" si="451"/>
        <v>116</v>
      </c>
      <c r="AO137" s="15" t="str">
        <f t="shared" ca="1" si="452"/>
        <v>VIGENTE</v>
      </c>
      <c r="AP137" s="13">
        <v>44891</v>
      </c>
      <c r="AQ137" s="14">
        <v>45505</v>
      </c>
      <c r="AR137" s="14">
        <f>DATE(YEAR(AQ137)+2,MONTH(AQ137),DAY(AQ137)-1)</f>
        <v>46234</v>
      </c>
      <c r="AS137" s="65">
        <f t="shared" ca="1" si="453"/>
        <v>103</v>
      </c>
      <c r="AT137" s="15" t="str">
        <f t="shared" ca="1" si="454"/>
        <v>VIGENTE</v>
      </c>
      <c r="AU137" s="13">
        <v>44893</v>
      </c>
      <c r="AV137" s="14">
        <v>45514</v>
      </c>
      <c r="AW137" s="14">
        <f>DATE(YEAR(AV137)+2,MONTH(AV137),DAY(AV137)-1)</f>
        <v>46243</v>
      </c>
      <c r="AX137" s="65">
        <f t="shared" ca="1" si="455"/>
        <v>112</v>
      </c>
      <c r="AY137" s="15" t="str">
        <f t="shared" ca="1" si="456"/>
        <v>VIGENTE</v>
      </c>
      <c r="AZ137" s="13">
        <v>44894</v>
      </c>
      <c r="BA137" s="14">
        <v>45515</v>
      </c>
      <c r="BB137" s="14">
        <f>DATE(YEAR(BA137)+2,MONTH(BA137),DAY(BA137)-1)</f>
        <v>46244</v>
      </c>
      <c r="BC137" s="65">
        <f t="shared" ca="1" si="457"/>
        <v>113</v>
      </c>
      <c r="BD137" s="15" t="str">
        <f t="shared" ca="1" si="458"/>
        <v>VIGENTE</v>
      </c>
      <c r="BE137" s="13">
        <v>44904</v>
      </c>
      <c r="BF137" s="14">
        <v>45605</v>
      </c>
      <c r="BG137" s="14">
        <f>DATE(YEAR(BF137)+2,MONTH(BF137),DAY(BF137)-1)</f>
        <v>46334</v>
      </c>
      <c r="BH137" s="65">
        <f t="shared" ca="1" si="459"/>
        <v>203</v>
      </c>
      <c r="BI137" s="15" t="str">
        <f t="shared" ca="1" si="460"/>
        <v>VIGENTE</v>
      </c>
      <c r="BJ137" s="13">
        <v>45030</v>
      </c>
      <c r="BK137" s="14">
        <v>45699</v>
      </c>
      <c r="BL137" s="14">
        <f>DATE(YEAR(BK137)+2,MONTH(BK137),DAY(BK137)-1)</f>
        <v>46428</v>
      </c>
      <c r="BM137" s="65">
        <f t="shared" ca="1" si="461"/>
        <v>297</v>
      </c>
      <c r="BN137" s="15" t="str">
        <f t="shared" ca="1" si="462"/>
        <v>VIGENTE</v>
      </c>
      <c r="BO137" s="13">
        <v>44898</v>
      </c>
      <c r="BP137" s="14">
        <v>45604</v>
      </c>
      <c r="BQ137" s="14">
        <f>DATE(YEAR(BP137)+2,MONTH(BP137),DAY(BP137)-1)</f>
        <v>46333</v>
      </c>
      <c r="BR137" s="65">
        <f t="shared" ca="1" si="463"/>
        <v>202</v>
      </c>
      <c r="BS137" s="15" t="str">
        <f t="shared" ca="1" si="464"/>
        <v>VIGENTE</v>
      </c>
      <c r="BT137" s="13">
        <v>44902</v>
      </c>
      <c r="BU137" s="14">
        <v>45572</v>
      </c>
      <c r="BV137" s="14">
        <f>DATE(YEAR(BU137)+2,MONTH(BU137),DAY(BU137)-1)</f>
        <v>46301</v>
      </c>
      <c r="BW137" s="65">
        <f t="shared" ca="1" si="465"/>
        <v>170</v>
      </c>
      <c r="BX137" s="15" t="str">
        <f t="shared" ca="1" si="466"/>
        <v>VIGENTE</v>
      </c>
      <c r="BY137" s="13">
        <v>45063</v>
      </c>
      <c r="BZ137" s="14">
        <v>45730</v>
      </c>
      <c r="CA137" s="14">
        <f>DATE(YEAR(BZ137)+2,MONTH(BZ137),DAY(BZ137)-1)</f>
        <v>46459</v>
      </c>
      <c r="CB137" s="65">
        <f t="shared" ca="1" si="467"/>
        <v>328</v>
      </c>
      <c r="CC137" s="15" t="str">
        <f t="shared" ca="1" si="468"/>
        <v>VIGENTE</v>
      </c>
      <c r="CD137" s="16" t="s">
        <v>108</v>
      </c>
      <c r="CE137" s="14">
        <v>45392</v>
      </c>
      <c r="CF137" s="14">
        <v>45393</v>
      </c>
      <c r="CG137" s="14">
        <f t="shared" si="408"/>
        <v>46854</v>
      </c>
      <c r="CH137" s="65">
        <f t="shared" ca="1" si="409"/>
        <v>723</v>
      </c>
      <c r="CI137" s="15" t="str">
        <f t="shared" ca="1" si="410"/>
        <v>VIGENTE</v>
      </c>
      <c r="CJ137" s="14">
        <v>44872</v>
      </c>
      <c r="CK137" s="14">
        <v>45504</v>
      </c>
      <c r="CL137" s="14">
        <f>DATE(YEAR(CK137)+2,MONTH(CK137),DAY(CK137)-1)</f>
        <v>46233</v>
      </c>
      <c r="CM137" s="65">
        <f t="shared" ca="1" si="469"/>
        <v>102</v>
      </c>
      <c r="CN137" s="15" t="str">
        <f t="shared" ca="1" si="470"/>
        <v>VIGENTE</v>
      </c>
      <c r="CO137" s="13">
        <v>45050</v>
      </c>
      <c r="CP137" s="14">
        <v>45684</v>
      </c>
      <c r="CQ137" s="14">
        <f>DATE(YEAR(CP137)+2,MONTH(CP137),DAY(CP137)-1)</f>
        <v>46413</v>
      </c>
      <c r="CR137" s="65">
        <f t="shared" ca="1" si="471"/>
        <v>282</v>
      </c>
      <c r="CS137" s="15" t="str">
        <f t="shared" ca="1" si="472"/>
        <v>VIGENTE</v>
      </c>
      <c r="CT137" s="13">
        <v>44961</v>
      </c>
      <c r="CU137" s="14">
        <v>45639</v>
      </c>
      <c r="CV137" s="14">
        <f>DATE(YEAR(CU137)+2,MONTH(CU137),DAY(CU137)-1)</f>
        <v>46368</v>
      </c>
      <c r="CW137" s="65">
        <f t="shared" ca="1" si="473"/>
        <v>237</v>
      </c>
      <c r="CX137" s="15" t="str">
        <f t="shared" ca="1" si="474"/>
        <v>VIGENTE</v>
      </c>
      <c r="CY137" s="13">
        <v>44998</v>
      </c>
      <c r="CZ137" s="14">
        <v>45665</v>
      </c>
      <c r="DA137" s="14">
        <f>DATE(YEAR(CZ137)+2,MONTH(CZ137),DAY(CZ137)-1)</f>
        <v>46394</v>
      </c>
      <c r="DB137" s="65">
        <f t="shared" ca="1" si="475"/>
        <v>263</v>
      </c>
      <c r="DC137" s="15" t="str">
        <f t="shared" ca="1" si="476"/>
        <v>VIGENTE</v>
      </c>
      <c r="DD137" s="13">
        <v>44910</v>
      </c>
      <c r="DE137" s="14">
        <v>45596</v>
      </c>
      <c r="DF137" s="14">
        <f>DATE(YEAR(DE137)+2,MONTH(DE137),DAY(DE137)-1)</f>
        <v>46325</v>
      </c>
      <c r="DG137" s="65">
        <f t="shared" ca="1" si="477"/>
        <v>194</v>
      </c>
      <c r="DH137" s="15" t="str">
        <f t="shared" ca="1" si="478"/>
        <v>VIGENTE</v>
      </c>
      <c r="DI137" s="13">
        <v>44914</v>
      </c>
      <c r="DJ137" s="14">
        <v>45580</v>
      </c>
      <c r="DK137" s="14">
        <f>DATE(YEAR(DJ137)+2,MONTH(DJ137),DAY(DJ137)-1)</f>
        <v>46309</v>
      </c>
      <c r="DL137" s="65">
        <f t="shared" ca="1" si="479"/>
        <v>178</v>
      </c>
      <c r="DM137" s="15" t="str">
        <f t="shared" ca="1" si="480"/>
        <v>VIGENTE</v>
      </c>
      <c r="DN137" s="13">
        <v>44918</v>
      </c>
      <c r="DO137" s="14">
        <v>45577</v>
      </c>
      <c r="DP137" s="14">
        <f>DATE(YEAR(DO137)+2,MONTH(DO137),DAY(DO137)-1)</f>
        <v>46306</v>
      </c>
      <c r="DQ137" s="65">
        <f t="shared" ca="1" si="481"/>
        <v>175</v>
      </c>
      <c r="DR137" s="15" t="str">
        <f t="shared" ca="1" si="482"/>
        <v>VIGENTE</v>
      </c>
      <c r="DS137" s="13">
        <v>44950</v>
      </c>
      <c r="DT137" s="14">
        <v>45619</v>
      </c>
      <c r="DU137" s="14">
        <f>DATE(YEAR(DT137)+2,MONTH(DT137),DAY(DT137)-1)</f>
        <v>46348</v>
      </c>
      <c r="DV137" s="65">
        <f t="shared" ca="1" si="483"/>
        <v>217</v>
      </c>
      <c r="DW137" s="15" t="str">
        <f t="shared" ca="1" si="484"/>
        <v>VIGENTE</v>
      </c>
      <c r="DX137" s="13">
        <v>44992</v>
      </c>
      <c r="DY137" s="14">
        <v>45663</v>
      </c>
      <c r="DZ137" s="14">
        <f>DATE(YEAR(DY137)+2,MONTH(DY137),DAY(DY137)-1)</f>
        <v>46392</v>
      </c>
      <c r="EA137" s="65">
        <f t="shared" ca="1" si="485"/>
        <v>261</v>
      </c>
      <c r="EB137" s="15" t="str">
        <f t="shared" ca="1" si="486"/>
        <v>VIGENTE</v>
      </c>
      <c r="EC137" s="13">
        <v>45040</v>
      </c>
      <c r="ED137" s="14">
        <v>45674</v>
      </c>
      <c r="EE137" s="14">
        <f>DATE(YEAR(ED137)+2,MONTH(ED137),DAY(ED137)-1)</f>
        <v>46403</v>
      </c>
      <c r="EF137" s="65">
        <f t="shared" ca="1" si="487"/>
        <v>272</v>
      </c>
      <c r="EG137" s="15" t="str">
        <f t="shared" ca="1" si="488"/>
        <v>VIGENTE</v>
      </c>
      <c r="EH137" s="13">
        <v>45750</v>
      </c>
      <c r="EI137" s="13">
        <v>46083</v>
      </c>
      <c r="EJ137" s="13">
        <v>46084</v>
      </c>
      <c r="EK137" s="13">
        <v>46085</v>
      </c>
      <c r="EL137" s="14">
        <f t="shared" si="546"/>
        <v>46450</v>
      </c>
      <c r="EM137" s="65">
        <f t="shared" ca="1" si="489"/>
        <v>319</v>
      </c>
      <c r="EN137" s="15" t="str">
        <f t="shared" ca="1" si="490"/>
        <v>VIGENTE</v>
      </c>
      <c r="EO137" s="13">
        <v>44981</v>
      </c>
      <c r="EP137" s="14">
        <v>45612</v>
      </c>
      <c r="EQ137" s="14">
        <f>DATE(YEAR(EP137)+2,MONTH(EP137),DAY(EP137)-1)</f>
        <v>46341</v>
      </c>
      <c r="ER137" s="65">
        <f t="shared" ca="1" si="491"/>
        <v>210</v>
      </c>
      <c r="ES137" s="15" t="str">
        <f t="shared" ca="1" si="492"/>
        <v>VIGENTE</v>
      </c>
      <c r="ET137" s="13">
        <v>44897</v>
      </c>
      <c r="EU137" s="14">
        <v>45575</v>
      </c>
      <c r="EV137" s="14">
        <f>DATE(YEAR(EU137)+2,MONTH(EU137),DAY(EU137)-1)</f>
        <v>46304</v>
      </c>
      <c r="EW137" s="65">
        <f t="shared" ca="1" si="493"/>
        <v>173</v>
      </c>
      <c r="EX137" s="15" t="str">
        <f t="shared" ca="1" si="494"/>
        <v>VIGENTE</v>
      </c>
      <c r="EY137" s="13">
        <v>44957</v>
      </c>
      <c r="EZ137" s="14">
        <v>45610</v>
      </c>
      <c r="FA137" s="14">
        <f>DATE(YEAR(EZ137)+2,MONTH(EZ137),DAY(EZ137)-1)</f>
        <v>46339</v>
      </c>
      <c r="FB137" s="65">
        <f t="shared" ca="1" si="495"/>
        <v>208</v>
      </c>
      <c r="FC137" s="15" t="str">
        <f t="shared" ca="1" si="496"/>
        <v>VIGENTE</v>
      </c>
      <c r="FD137" s="13">
        <v>45008</v>
      </c>
      <c r="FE137" s="14">
        <v>45666</v>
      </c>
      <c r="FF137" s="14">
        <f>DATE(YEAR(FE137)+2,MONTH(FE137),DAY(FE137)-1)</f>
        <v>46395</v>
      </c>
      <c r="FG137" s="65">
        <f t="shared" ca="1" si="497"/>
        <v>264</v>
      </c>
      <c r="FH137" s="15" t="str">
        <f t="shared" ca="1" si="498"/>
        <v>VIGENTE</v>
      </c>
      <c r="FI137" s="13">
        <v>45006</v>
      </c>
      <c r="FJ137" s="14">
        <v>45668</v>
      </c>
      <c r="FK137" s="14">
        <f>DATE(YEAR(FJ137)+2,MONTH(FJ137),DAY(FJ137)-1)</f>
        <v>46397</v>
      </c>
      <c r="FL137" s="65">
        <f t="shared" ca="1" si="499"/>
        <v>266</v>
      </c>
      <c r="FM137" s="15" t="str">
        <f t="shared" ca="1" si="500"/>
        <v>VIGENTE</v>
      </c>
      <c r="FN137" s="13">
        <v>45002</v>
      </c>
      <c r="FO137" s="14">
        <v>45670</v>
      </c>
      <c r="FP137" s="14">
        <f>DATE(YEAR(FO137)+2,MONTH(FO137),DAY(FO137)-1)</f>
        <v>46399</v>
      </c>
      <c r="FQ137" s="65">
        <f t="shared" ca="1" si="501"/>
        <v>268</v>
      </c>
      <c r="FR137" s="15" t="str">
        <f t="shared" ca="1" si="502"/>
        <v>VIGENTE</v>
      </c>
      <c r="FS137" s="13">
        <v>44949</v>
      </c>
      <c r="FT137" s="14">
        <v>45586</v>
      </c>
      <c r="FU137" s="14">
        <f>DATE(YEAR(FT137)+2,MONTH(FT137),DAY(FT137)-1)</f>
        <v>46315</v>
      </c>
      <c r="FV137" s="65">
        <f t="shared" ca="1" si="503"/>
        <v>184</v>
      </c>
      <c r="FW137" s="15" t="str">
        <f t="shared" ca="1" si="504"/>
        <v>VIGENTE</v>
      </c>
      <c r="FX137" s="13">
        <v>44968</v>
      </c>
      <c r="FY137" s="14">
        <v>45574</v>
      </c>
      <c r="FZ137" s="14">
        <f>DATE(YEAR(FY137)+2,MONTH(FY137),DAY(FY137)-1)</f>
        <v>46303</v>
      </c>
      <c r="GA137" s="65">
        <f t="shared" ca="1" si="505"/>
        <v>172</v>
      </c>
      <c r="GB137" s="15" t="str">
        <f t="shared" ca="1" si="506"/>
        <v>VIGENTE</v>
      </c>
      <c r="GC137" s="13">
        <v>45049</v>
      </c>
      <c r="GD137" s="14">
        <v>45667</v>
      </c>
      <c r="GE137" s="14">
        <f>DATE(YEAR(GD137)+2,MONTH(GD137),DAY(GD137)-1)</f>
        <v>46396</v>
      </c>
      <c r="GF137" s="65">
        <f t="shared" ca="1" si="507"/>
        <v>265</v>
      </c>
      <c r="GG137" s="15" t="str">
        <f t="shared" ca="1" si="508"/>
        <v>VIGENTE</v>
      </c>
      <c r="GH137" s="13">
        <v>44937</v>
      </c>
      <c r="GI137" s="14">
        <v>45579</v>
      </c>
      <c r="GJ137" s="14">
        <f>DATE(YEAR(GI137)+2,MONTH(GI137),DAY(GI137)-1)</f>
        <v>46308</v>
      </c>
      <c r="GK137" s="65">
        <f t="shared" ca="1" si="509"/>
        <v>177</v>
      </c>
      <c r="GL137" s="15" t="str">
        <f t="shared" ca="1" si="510"/>
        <v>VIGENTE</v>
      </c>
      <c r="GM137" s="13">
        <v>44915</v>
      </c>
      <c r="GN137" s="14">
        <v>45557</v>
      </c>
      <c r="GO137" s="14">
        <f>DATE(YEAR(GN137)+2,MONTH(GN137),DAY(GN137)-1)</f>
        <v>46286</v>
      </c>
      <c r="GP137" s="65">
        <f t="shared" ca="1" si="511"/>
        <v>155</v>
      </c>
      <c r="GQ137" s="15" t="str">
        <f t="shared" ca="1" si="512"/>
        <v>VIGENTE</v>
      </c>
      <c r="GR137" s="14"/>
      <c r="GS137" s="14">
        <v>44952</v>
      </c>
      <c r="GT137" s="14">
        <f t="shared" si="513"/>
        <v>46778</v>
      </c>
      <c r="GU137" s="65">
        <f t="shared" ca="1" si="398"/>
        <v>647</v>
      </c>
      <c r="GV137" s="15" t="str">
        <f t="shared" ca="1" si="411"/>
        <v>VIGENTE</v>
      </c>
      <c r="GW137" s="13"/>
      <c r="GX137" s="14">
        <v>45010</v>
      </c>
      <c r="GY137" s="14">
        <f t="shared" si="514"/>
        <v>46837</v>
      </c>
      <c r="GZ137" s="65">
        <f t="shared" ca="1" si="515"/>
        <v>706</v>
      </c>
      <c r="HA137" s="15" t="str">
        <f t="shared" ca="1" si="418"/>
        <v>VIGENTE</v>
      </c>
      <c r="HB137" s="13">
        <v>44883</v>
      </c>
      <c r="HC137" s="14">
        <v>45499</v>
      </c>
      <c r="HD137" s="14">
        <f t="shared" si="516"/>
        <v>47325</v>
      </c>
      <c r="HE137" s="65">
        <f t="shared" ca="1" si="517"/>
        <v>1194</v>
      </c>
      <c r="HF137" s="15" t="str">
        <f t="shared" ca="1" si="413"/>
        <v>VIGENTE</v>
      </c>
      <c r="HG137" s="16"/>
      <c r="HH137" s="14">
        <v>44862</v>
      </c>
      <c r="HI137" s="14">
        <f>DATE(YEAR(HH137)+5,MONTH(HH137),DAY(HH137))</f>
        <v>46688</v>
      </c>
      <c r="HJ137" s="65">
        <f ca="1">HI137-TODAY()</f>
        <v>557</v>
      </c>
      <c r="HK137" s="15" t="str">
        <f t="shared" ca="1" si="419"/>
        <v>VIGENTE</v>
      </c>
      <c r="HL137" s="12"/>
      <c r="HM137" s="16"/>
      <c r="HN137" s="14"/>
      <c r="HO137" s="65"/>
      <c r="HP137" s="15" t="str">
        <f t="shared" si="437"/>
        <v>NO APLICA</v>
      </c>
      <c r="HQ137" s="12"/>
      <c r="HR137" s="12"/>
      <c r="HS137" s="14"/>
      <c r="HT137" s="12"/>
      <c r="HU137" s="15" t="str">
        <f t="shared" si="518"/>
        <v>NO APLICA</v>
      </c>
      <c r="HV137" s="13">
        <v>44782</v>
      </c>
      <c r="HW137" s="14">
        <v>45420</v>
      </c>
      <c r="HX137" s="14">
        <f>DATE(YEAR(HW137)+5,MONTH(HW137),DAY(HW137))</f>
        <v>47246</v>
      </c>
      <c r="HY137" s="65">
        <f ca="1">HX137-TODAY()</f>
        <v>1115</v>
      </c>
      <c r="HZ137" s="15" t="str">
        <f t="shared" ca="1" si="519"/>
        <v>VIGENTE</v>
      </c>
      <c r="IA137" s="13">
        <v>44781</v>
      </c>
      <c r="IB137" s="14">
        <v>45447</v>
      </c>
      <c r="IC137" s="14">
        <f>DATE(YEAR(IB137)+5,MONTH(IB137),DAY(IB137))</f>
        <v>47273</v>
      </c>
      <c r="ID137" s="65">
        <f ca="1">IC137-TODAY()</f>
        <v>1142</v>
      </c>
      <c r="IE137" s="15" t="str">
        <f t="shared" ca="1" si="520"/>
        <v>VIGENTE</v>
      </c>
      <c r="IF137" s="13">
        <v>44792</v>
      </c>
      <c r="IG137" s="14">
        <v>45470</v>
      </c>
      <c r="IH137" s="14">
        <f>DATE(YEAR(IG137)+5,MONTH(IG137),DAY(IG137))</f>
        <v>47296</v>
      </c>
      <c r="II137" s="65">
        <f ca="1">IH137-TODAY()</f>
        <v>1165</v>
      </c>
      <c r="IJ137" s="15" t="str">
        <f t="shared" ca="1" si="521"/>
        <v>VIGENTE</v>
      </c>
      <c r="IK137" s="14">
        <v>44795</v>
      </c>
      <c r="IL137" s="14">
        <v>45449</v>
      </c>
      <c r="IM137" s="14">
        <f>DATE(YEAR(IL137)+5,MONTH(IL137),DAY(IL137))</f>
        <v>47275</v>
      </c>
      <c r="IN137" s="65">
        <f ca="1">IM137-TODAY()</f>
        <v>1144</v>
      </c>
      <c r="IO137" s="15" t="str">
        <f t="shared" ca="1" si="522"/>
        <v>VIGENTE</v>
      </c>
      <c r="IP137" s="13">
        <v>44795</v>
      </c>
      <c r="IQ137" s="14">
        <v>45460</v>
      </c>
      <c r="IR137" s="14">
        <f>DATE(YEAR(IQ137)+5,MONTH(IQ137),DAY(IQ137))</f>
        <v>47286</v>
      </c>
      <c r="IS137" s="65">
        <f ca="1">IR137-TODAY()</f>
        <v>1155</v>
      </c>
      <c r="IT137" s="15" t="str">
        <f t="shared" ca="1" si="523"/>
        <v>VIGENTE</v>
      </c>
      <c r="IU137" s="13">
        <v>44792</v>
      </c>
      <c r="IV137" s="14">
        <v>45435</v>
      </c>
      <c r="IW137" s="14">
        <f>DATE(YEAR(IV137)+5,MONTH(IV137),DAY(IV137))</f>
        <v>47261</v>
      </c>
      <c r="IX137" s="65">
        <f ca="1">IW137-TODAY()</f>
        <v>1130</v>
      </c>
      <c r="IY137" s="15" t="str">
        <f t="shared" ca="1" si="524"/>
        <v>VIGENTE</v>
      </c>
      <c r="IZ137" s="13">
        <v>44781</v>
      </c>
      <c r="JA137" s="14">
        <v>45477</v>
      </c>
      <c r="JB137" s="14">
        <f>DATE(YEAR(JA137)+5,MONTH(JA137),DAY(JA137))</f>
        <v>47303</v>
      </c>
      <c r="JC137" s="65">
        <f ca="1">JB137-TODAY()</f>
        <v>1172</v>
      </c>
      <c r="JD137" s="15" t="str">
        <f t="shared" ca="1" si="525"/>
        <v>VIGENTE</v>
      </c>
      <c r="JE137" s="13"/>
      <c r="JF137" s="13"/>
      <c r="JG137" s="14"/>
      <c r="JH137" s="65"/>
      <c r="JI137" s="15" t="str">
        <f t="shared" si="526"/>
        <v>NO APLICA</v>
      </c>
      <c r="JJ137" s="16"/>
      <c r="JK137" s="16"/>
      <c r="JL137" s="16"/>
      <c r="JM137" s="15" t="str">
        <f t="shared" si="527"/>
        <v>NO APLICA</v>
      </c>
      <c r="JN137" s="16"/>
      <c r="JO137" s="16"/>
      <c r="JP137" s="16"/>
      <c r="JQ137" s="15" t="str">
        <f t="shared" si="528"/>
        <v>NO APLICA</v>
      </c>
      <c r="JR137" s="16"/>
      <c r="JS137" s="16"/>
      <c r="JT137" s="16"/>
      <c r="JU137" s="16"/>
      <c r="JV137" s="15" t="str">
        <f t="shared" si="529"/>
        <v>NO APLICA</v>
      </c>
      <c r="JW137" s="15"/>
      <c r="JX137" s="15"/>
      <c r="JY137" s="15"/>
      <c r="JZ137" s="15"/>
      <c r="KA137" s="15" t="str">
        <f t="shared" si="530"/>
        <v>NO APLICA</v>
      </c>
      <c r="KB137" s="12"/>
      <c r="KC137" s="14"/>
      <c r="KD137" s="65"/>
      <c r="KE137" s="15" t="str">
        <f t="shared" si="531"/>
        <v>NO APLICA</v>
      </c>
      <c r="KF137" s="12"/>
      <c r="KG137" s="14"/>
      <c r="KH137" s="65"/>
      <c r="KI137" s="15" t="str">
        <f t="shared" si="547"/>
        <v>NO APLICA</v>
      </c>
      <c r="KJ137" s="12"/>
      <c r="KK137" s="14"/>
      <c r="KL137" s="65"/>
      <c r="KM137" s="15" t="str">
        <f t="shared" si="532"/>
        <v>NO APLICA</v>
      </c>
      <c r="KN137" s="12"/>
      <c r="KO137" s="14"/>
      <c r="KP137" s="65"/>
      <c r="KQ137" s="15" t="str">
        <f t="shared" si="548"/>
        <v>NO APLICA</v>
      </c>
      <c r="KR137" s="12"/>
      <c r="KS137" s="16"/>
      <c r="KT137" s="14"/>
      <c r="KU137" s="65"/>
      <c r="KV137" s="15" t="str">
        <f t="shared" si="554"/>
        <v>NO APLICA</v>
      </c>
      <c r="KW137" s="14">
        <v>44545</v>
      </c>
      <c r="KX137" s="14">
        <f>DATE(YEAR(KW137)+5,MONTH(KW137),DAY(KW137))</f>
        <v>46371</v>
      </c>
      <c r="KY137" s="65">
        <f ca="1">KX137-TODAY()</f>
        <v>240</v>
      </c>
      <c r="KZ137" s="15" t="str">
        <f t="shared" ca="1" si="549"/>
        <v>VIGENTE</v>
      </c>
      <c r="LA137" s="16"/>
      <c r="LB137" s="16"/>
      <c r="LC137" s="14"/>
      <c r="LD137" s="65"/>
      <c r="LE137" s="15" t="str">
        <f t="shared" si="556"/>
        <v>NO APLICA</v>
      </c>
      <c r="LF137" s="15"/>
      <c r="LG137" s="15"/>
      <c r="LH137" s="14"/>
      <c r="LI137" s="65"/>
      <c r="LJ137" s="15" t="str">
        <f t="shared" si="555"/>
        <v>NO APLICA</v>
      </c>
      <c r="LK137" s="12"/>
      <c r="LL137" s="16"/>
      <c r="LM137" s="14"/>
      <c r="LN137" s="65"/>
      <c r="LO137" s="15" t="str">
        <f t="shared" si="550"/>
        <v>NO APLICA</v>
      </c>
      <c r="LP137" s="14">
        <v>44984</v>
      </c>
      <c r="LQ137" s="14">
        <v>44986</v>
      </c>
      <c r="LR137" s="14">
        <f>DATE(YEAR(LQ137)+5,MONTH(LQ137),DAY(LQ137))</f>
        <v>46813</v>
      </c>
      <c r="LS137" s="65">
        <f ca="1">LR137-TODAY()</f>
        <v>682</v>
      </c>
      <c r="LT137" s="15" t="str">
        <f t="shared" ca="1" si="551"/>
        <v>VIGENTE</v>
      </c>
      <c r="LU137" s="14">
        <v>44987</v>
      </c>
      <c r="LV137" s="14">
        <v>44988</v>
      </c>
      <c r="LW137" s="14">
        <f>DATE(YEAR(LV137)+5,MONTH(LV137),DAY(LV137))</f>
        <v>46815</v>
      </c>
      <c r="LX137" s="65">
        <f ca="1">LW137-TODAY()</f>
        <v>684</v>
      </c>
      <c r="LY137" s="15" t="str">
        <f t="shared" ca="1" si="552"/>
        <v>VIGENTE</v>
      </c>
      <c r="LZ137" s="12"/>
      <c r="MA137" s="12"/>
      <c r="MB137" s="14"/>
      <c r="MC137" s="65"/>
      <c r="MD137" s="15" t="str">
        <f t="shared" si="534"/>
        <v>NO APLICA</v>
      </c>
      <c r="ME137" s="12"/>
      <c r="MF137" s="12"/>
      <c r="MG137" s="14"/>
      <c r="MH137" s="65"/>
      <c r="MI137" s="15" t="str">
        <f t="shared" si="535"/>
        <v>NO APLICA</v>
      </c>
      <c r="MJ137" s="12"/>
      <c r="MK137" s="14"/>
      <c r="ML137" s="65"/>
      <c r="MM137" s="15" t="str">
        <f t="shared" si="536"/>
        <v>NO APLICA</v>
      </c>
      <c r="MN137" s="12"/>
      <c r="MO137" s="14"/>
      <c r="MP137" s="12"/>
      <c r="MQ137" s="15" t="str">
        <f t="shared" si="537"/>
        <v>NO APLICA</v>
      </c>
      <c r="MR137" s="12"/>
      <c r="MS137" s="16"/>
      <c r="MT137" s="14"/>
      <c r="MU137" s="65"/>
      <c r="MV137" s="15" t="str">
        <f t="shared" si="538"/>
        <v>NO APLICA</v>
      </c>
      <c r="MW137" s="12"/>
      <c r="MX137" s="16"/>
      <c r="MY137" s="14"/>
      <c r="MZ137" s="65"/>
      <c r="NA137" s="15" t="str">
        <f t="shared" si="539"/>
        <v>NO APLICA</v>
      </c>
      <c r="NB137" s="12"/>
      <c r="NC137" s="16"/>
      <c r="ND137" s="14"/>
      <c r="NE137" s="65"/>
      <c r="NF137" s="15" t="str">
        <f t="shared" si="540"/>
        <v>NO APLICA</v>
      </c>
      <c r="NG137" s="12"/>
      <c r="NH137" s="12"/>
      <c r="NI137" s="14"/>
      <c r="NJ137" s="12"/>
      <c r="NK137" s="15" t="str">
        <f t="shared" si="541"/>
        <v>NO APLICA</v>
      </c>
      <c r="NL137" s="12"/>
      <c r="NM137" s="12"/>
      <c r="NN137" s="12"/>
      <c r="NO137" s="12"/>
      <c r="NP137" s="15" t="str">
        <f t="shared" si="542"/>
        <v>NO APLICA</v>
      </c>
      <c r="NQ137" s="16"/>
      <c r="NR137" s="16"/>
      <c r="NS137" s="14"/>
      <c r="NT137" s="65"/>
      <c r="NU137" s="15" t="str">
        <f t="shared" si="543"/>
        <v>NO APLICA</v>
      </c>
      <c r="NV137" s="16"/>
      <c r="NW137" s="16"/>
      <c r="NX137" s="16"/>
      <c r="NY137" s="16"/>
      <c r="NZ137" s="15" t="str">
        <f t="shared" si="544"/>
        <v>NO APLICA</v>
      </c>
    </row>
    <row r="138" spans="1:390" ht="15.6" thickTop="1" thickBot="1" x14ac:dyDescent="0.35">
      <c r="A138" s="11">
        <v>1638</v>
      </c>
      <c r="B138" s="10" t="s">
        <v>509</v>
      </c>
      <c r="C138" s="21" t="s">
        <v>151</v>
      </c>
      <c r="D138" s="64" t="s">
        <v>216</v>
      </c>
      <c r="E138" s="15"/>
      <c r="F138" s="16"/>
      <c r="G138" s="14"/>
      <c r="H138" s="65"/>
      <c r="I138" s="15" t="str">
        <f t="shared" si="448"/>
        <v>NO APLICA</v>
      </c>
      <c r="J138" s="15"/>
      <c r="K138" s="16"/>
      <c r="L138" s="16"/>
      <c r="M138" s="65"/>
      <c r="N138" s="15" t="str">
        <f t="shared" si="449"/>
        <v>NO APLICA</v>
      </c>
      <c r="O138" s="16"/>
      <c r="P138" s="16"/>
      <c r="Q138" s="14"/>
      <c r="R138" s="65"/>
      <c r="S138" s="15" t="str">
        <f t="shared" si="545"/>
        <v>NO APLICA</v>
      </c>
      <c r="T138" s="12" t="s">
        <v>510</v>
      </c>
      <c r="U138" s="13">
        <v>44943</v>
      </c>
      <c r="V138" s="14">
        <v>44944</v>
      </c>
      <c r="W138" s="14">
        <f t="shared" si="401"/>
        <v>46770</v>
      </c>
      <c r="X138" s="65">
        <f t="shared" ca="1" si="402"/>
        <v>639</v>
      </c>
      <c r="Y138" s="15" t="str">
        <f t="shared" ca="1" si="403"/>
        <v>VIGENTE</v>
      </c>
      <c r="Z138" s="12"/>
      <c r="AA138" s="12"/>
      <c r="AB138" s="16"/>
      <c r="AC138" s="14"/>
      <c r="AD138" s="65"/>
      <c r="AE138" s="15" t="str">
        <f t="shared" si="553"/>
        <v>NO APLICA</v>
      </c>
      <c r="AF138" s="13">
        <v>45243</v>
      </c>
      <c r="AG138" s="14">
        <v>45902</v>
      </c>
      <c r="AH138" s="14">
        <f>DATE(YEAR(AG138)+2,MONTH(AG138),DAY(AG138))</f>
        <v>46632</v>
      </c>
      <c r="AI138" s="65">
        <f t="shared" ca="1" si="450"/>
        <v>501</v>
      </c>
      <c r="AJ138" s="15" t="str">
        <f t="shared" ca="1" si="399"/>
        <v>VIGENTE</v>
      </c>
      <c r="AK138" s="12"/>
      <c r="AL138" s="14">
        <v>45926</v>
      </c>
      <c r="AM138" s="14">
        <f>DATE(YEAR(AL138)+2,MONTH(AL138),DAY(AL138))</f>
        <v>46656</v>
      </c>
      <c r="AN138" s="65">
        <f t="shared" ca="1" si="451"/>
        <v>525</v>
      </c>
      <c r="AO138" s="15" t="str">
        <f t="shared" ca="1" si="452"/>
        <v>VIGENTE</v>
      </c>
      <c r="AP138" s="12"/>
      <c r="AQ138" s="14">
        <v>45904</v>
      </c>
      <c r="AR138" s="14">
        <f>DATE(YEAR(AQ138)+2,MONTH(AQ138),DAY(AQ138))</f>
        <v>46634</v>
      </c>
      <c r="AS138" s="65">
        <f t="shared" ca="1" si="453"/>
        <v>503</v>
      </c>
      <c r="AT138" s="15" t="str">
        <f t="shared" ca="1" si="454"/>
        <v>VIGENTE</v>
      </c>
      <c r="AU138" s="12"/>
      <c r="AV138" s="14">
        <v>45927</v>
      </c>
      <c r="AW138" s="14">
        <f>DATE(YEAR(AV138)+2,MONTH(AV138),DAY(AV138))</f>
        <v>46657</v>
      </c>
      <c r="AX138" s="65">
        <f t="shared" ca="1" si="455"/>
        <v>526</v>
      </c>
      <c r="AY138" s="15" t="str">
        <f t="shared" ca="1" si="456"/>
        <v>VIGENTE</v>
      </c>
      <c r="AZ138" s="13">
        <v>45245</v>
      </c>
      <c r="BA138" s="14">
        <v>45901</v>
      </c>
      <c r="BB138" s="14">
        <f>DATE(YEAR(BA138)+2,MONTH(BA138),DAY(BA138))</f>
        <v>46631</v>
      </c>
      <c r="BC138" s="65">
        <f t="shared" ca="1" si="457"/>
        <v>500</v>
      </c>
      <c r="BD138" s="15" t="str">
        <f t="shared" ca="1" si="458"/>
        <v>VIGENTE</v>
      </c>
      <c r="BE138" s="13">
        <v>45310</v>
      </c>
      <c r="BF138" s="14">
        <v>45968</v>
      </c>
      <c r="BG138" s="14">
        <f>DATE(YEAR(BF138)+2,MONTH(BF138),DAY(BF138))</f>
        <v>46698</v>
      </c>
      <c r="BH138" s="65">
        <f t="shared" ca="1" si="459"/>
        <v>567</v>
      </c>
      <c r="BI138" s="15" t="str">
        <f t="shared" ca="1" si="460"/>
        <v>VIGENTE</v>
      </c>
      <c r="BJ138" s="13">
        <v>45306</v>
      </c>
      <c r="BK138" s="14">
        <v>45976</v>
      </c>
      <c r="BL138" s="14">
        <f>DATE(YEAR(BK138)+2,MONTH(BK138),DAY(BK138))</f>
        <v>46706</v>
      </c>
      <c r="BM138" s="65">
        <f t="shared" ca="1" si="461"/>
        <v>575</v>
      </c>
      <c r="BN138" s="15" t="str">
        <f t="shared" ca="1" si="462"/>
        <v>VIGENTE</v>
      </c>
      <c r="BO138" s="13"/>
      <c r="BP138" s="14">
        <v>45988</v>
      </c>
      <c r="BQ138" s="14">
        <f>DATE(YEAR(BP138)+2,MONTH(BP138),DAY(BP138))</f>
        <v>46718</v>
      </c>
      <c r="BR138" s="65">
        <f t="shared" ca="1" si="463"/>
        <v>587</v>
      </c>
      <c r="BS138" s="15" t="str">
        <f t="shared" ca="1" si="464"/>
        <v>VIGENTE</v>
      </c>
      <c r="BT138" s="13">
        <v>45283</v>
      </c>
      <c r="BU138" s="14">
        <v>45950</v>
      </c>
      <c r="BV138" s="14">
        <f>DATE(YEAR(BU138)+2,MONTH(BU138),DAY(BU138))</f>
        <v>46680</v>
      </c>
      <c r="BW138" s="65">
        <f t="shared" ca="1" si="465"/>
        <v>549</v>
      </c>
      <c r="BX138" s="15" t="str">
        <f t="shared" ca="1" si="466"/>
        <v>VIGENTE</v>
      </c>
      <c r="BY138" s="12"/>
      <c r="BZ138" s="14">
        <v>45944</v>
      </c>
      <c r="CA138" s="14">
        <f>DATE(YEAR(BZ138)+2,MONTH(BZ138),DAY(BZ138))</f>
        <v>46674</v>
      </c>
      <c r="CB138" s="65">
        <f t="shared" ca="1" si="467"/>
        <v>543</v>
      </c>
      <c r="CC138" s="15" t="str">
        <f t="shared" ca="1" si="468"/>
        <v>VIGENTE</v>
      </c>
      <c r="CD138" s="16" t="s">
        <v>102</v>
      </c>
      <c r="CE138" s="14">
        <v>45831</v>
      </c>
      <c r="CF138" s="14">
        <v>45832</v>
      </c>
      <c r="CG138" s="14">
        <f t="shared" si="408"/>
        <v>47293</v>
      </c>
      <c r="CH138" s="65">
        <f t="shared" ca="1" si="409"/>
        <v>1162</v>
      </c>
      <c r="CI138" s="15" t="str">
        <f t="shared" ca="1" si="410"/>
        <v>VIGENTE</v>
      </c>
      <c r="CJ138" s="16"/>
      <c r="CK138" s="14">
        <v>45929</v>
      </c>
      <c r="CL138" s="14">
        <f>DATE(YEAR(CK138)+2,MONTH(CK138),DAY(CK138))</f>
        <v>46659</v>
      </c>
      <c r="CM138" s="65">
        <f t="shared" ca="1" si="469"/>
        <v>528</v>
      </c>
      <c r="CN138" s="15" t="str">
        <f t="shared" ca="1" si="470"/>
        <v>VIGENTE</v>
      </c>
      <c r="CO138" s="13">
        <v>45188</v>
      </c>
      <c r="CP138" s="14">
        <v>45882</v>
      </c>
      <c r="CQ138" s="14">
        <f>DATE(YEAR(CP138)+2,MONTH(CP138),DAY(CP138))</f>
        <v>46612</v>
      </c>
      <c r="CR138" s="65">
        <f t="shared" ca="1" si="471"/>
        <v>481</v>
      </c>
      <c r="CS138" s="15" t="str">
        <f t="shared" ca="1" si="472"/>
        <v>VIGENTE</v>
      </c>
      <c r="CT138" s="13">
        <v>45309</v>
      </c>
      <c r="CU138" s="14">
        <v>45965</v>
      </c>
      <c r="CV138" s="14">
        <f>DATE(YEAR(CU138)+2,MONTH(CU138),DAY(CU138))</f>
        <v>46695</v>
      </c>
      <c r="CW138" s="65">
        <f t="shared" ca="1" si="473"/>
        <v>564</v>
      </c>
      <c r="CX138" s="15" t="str">
        <f t="shared" ca="1" si="474"/>
        <v>VIGENTE</v>
      </c>
      <c r="CY138" s="13">
        <v>45194</v>
      </c>
      <c r="CZ138" s="14">
        <v>45843</v>
      </c>
      <c r="DA138" s="14">
        <f>DATE(YEAR(CZ138)+2,MONTH(CZ138),DAY(CZ138))</f>
        <v>46573</v>
      </c>
      <c r="DB138" s="65">
        <f t="shared" ca="1" si="475"/>
        <v>442</v>
      </c>
      <c r="DC138" s="15" t="str">
        <f t="shared" ca="1" si="476"/>
        <v>VIGENTE</v>
      </c>
      <c r="DD138" s="13">
        <v>45244</v>
      </c>
      <c r="DE138" s="14">
        <v>45896</v>
      </c>
      <c r="DF138" s="14">
        <f>DATE(YEAR(DE138)+2,MONTH(DE138),DAY(DE138))</f>
        <v>46626</v>
      </c>
      <c r="DG138" s="65">
        <f t="shared" ca="1" si="477"/>
        <v>495</v>
      </c>
      <c r="DH138" s="15" t="str">
        <f t="shared" ca="1" si="478"/>
        <v>VIGENTE</v>
      </c>
      <c r="DI138" s="12"/>
      <c r="DJ138" s="14">
        <v>45975</v>
      </c>
      <c r="DK138" s="14">
        <f>DATE(YEAR(DJ138)+2,MONTH(DJ138),DAY(DJ138))</f>
        <v>46705</v>
      </c>
      <c r="DL138" s="65">
        <f t="shared" ca="1" si="479"/>
        <v>574</v>
      </c>
      <c r="DM138" s="15" t="str">
        <f t="shared" ca="1" si="480"/>
        <v>VIGENTE</v>
      </c>
      <c r="DN138" s="14">
        <v>45198</v>
      </c>
      <c r="DO138" s="14">
        <v>45873</v>
      </c>
      <c r="DP138" s="14">
        <f>DATE(YEAR(DO138)+2,MONTH(DO138),DAY(DO138))</f>
        <v>46603</v>
      </c>
      <c r="DQ138" s="65">
        <f t="shared" ca="1" si="481"/>
        <v>472</v>
      </c>
      <c r="DR138" s="15" t="str">
        <f t="shared" ca="1" si="482"/>
        <v>VIGENTE</v>
      </c>
      <c r="DS138" s="14">
        <v>45336</v>
      </c>
      <c r="DT138" s="14">
        <v>46018</v>
      </c>
      <c r="DU138" s="14">
        <f>DATE(YEAR(DT138)+2,MONTH(DT138),DAY(DT138))</f>
        <v>46748</v>
      </c>
      <c r="DV138" s="65">
        <f t="shared" ca="1" si="483"/>
        <v>617</v>
      </c>
      <c r="DW138" s="15" t="str">
        <f t="shared" ca="1" si="484"/>
        <v>VIGENTE</v>
      </c>
      <c r="DX138" s="13">
        <v>45254</v>
      </c>
      <c r="DY138" s="14">
        <v>45915</v>
      </c>
      <c r="DZ138" s="14">
        <f>DATE(YEAR(DY138)+2,MONTH(DY138),DAY(DY138))</f>
        <v>46645</v>
      </c>
      <c r="EA138" s="65">
        <f t="shared" ca="1" si="485"/>
        <v>514</v>
      </c>
      <c r="EB138" s="15" t="str">
        <f t="shared" ca="1" si="486"/>
        <v>VIGENTE</v>
      </c>
      <c r="EC138" s="13"/>
      <c r="ED138" s="14">
        <v>45938</v>
      </c>
      <c r="EE138" s="14">
        <f>DATE(YEAR(ED138)+2,MONTH(ED138),DAY(ED138))</f>
        <v>46668</v>
      </c>
      <c r="EF138" s="65">
        <f t="shared" ca="1" si="487"/>
        <v>537</v>
      </c>
      <c r="EG138" s="15" t="str">
        <f t="shared" ca="1" si="488"/>
        <v>VIGENTE</v>
      </c>
      <c r="EH138" s="13"/>
      <c r="EI138" s="13">
        <v>46000</v>
      </c>
      <c r="EJ138" s="13">
        <v>46001</v>
      </c>
      <c r="EK138" s="13">
        <v>46002</v>
      </c>
      <c r="EL138" s="14">
        <f t="shared" si="546"/>
        <v>46367</v>
      </c>
      <c r="EM138" s="65">
        <f t="shared" ca="1" si="489"/>
        <v>236</v>
      </c>
      <c r="EN138" s="15" t="str">
        <f t="shared" ca="1" si="490"/>
        <v>VIGENTE</v>
      </c>
      <c r="EO138" s="13"/>
      <c r="EP138" s="14">
        <v>45940</v>
      </c>
      <c r="EQ138" s="14">
        <f>DATE(YEAR(EP138)+2,MONTH(EP138),DAY(EP138))</f>
        <v>46670</v>
      </c>
      <c r="ER138" s="65">
        <f t="shared" ca="1" si="491"/>
        <v>539</v>
      </c>
      <c r="ES138" s="15" t="str">
        <f t="shared" ca="1" si="492"/>
        <v>VIGENTE</v>
      </c>
      <c r="ET138" s="13">
        <v>45335</v>
      </c>
      <c r="EU138" s="14">
        <v>45993</v>
      </c>
      <c r="EV138" s="14">
        <f>DATE(YEAR(EU138)+2,MONTH(EU138),DAY(EU138))</f>
        <v>46723</v>
      </c>
      <c r="EW138" s="65">
        <f t="shared" ca="1" si="493"/>
        <v>592</v>
      </c>
      <c r="EX138" s="15" t="str">
        <f t="shared" ca="1" si="494"/>
        <v>VIGENTE</v>
      </c>
      <c r="EY138" s="12"/>
      <c r="EZ138" s="14">
        <v>45917</v>
      </c>
      <c r="FA138" s="14">
        <f>DATE(YEAR(EZ138)+2,MONTH(EZ138),DAY(EZ138))</f>
        <v>46647</v>
      </c>
      <c r="FB138" s="65">
        <f t="shared" ca="1" si="495"/>
        <v>516</v>
      </c>
      <c r="FC138" s="15" t="str">
        <f t="shared" ca="1" si="496"/>
        <v>VIGENTE</v>
      </c>
      <c r="FD138" s="12"/>
      <c r="FE138" s="14">
        <v>45931</v>
      </c>
      <c r="FF138" s="14">
        <f>DATE(YEAR(FE138)+2,MONTH(FE138),DAY(FE138))</f>
        <v>46661</v>
      </c>
      <c r="FG138" s="65">
        <f t="shared" ca="1" si="497"/>
        <v>530</v>
      </c>
      <c r="FH138" s="15" t="str">
        <f t="shared" ca="1" si="498"/>
        <v>VIGENTE</v>
      </c>
      <c r="FI138" s="12"/>
      <c r="FJ138" s="14">
        <v>45932</v>
      </c>
      <c r="FK138" s="14">
        <f>DATE(YEAR(FJ138)+2,MONTH(FJ138),DAY(FJ138))</f>
        <v>46662</v>
      </c>
      <c r="FL138" s="65">
        <f t="shared" ca="1" si="499"/>
        <v>531</v>
      </c>
      <c r="FM138" s="15" t="str">
        <f t="shared" ca="1" si="500"/>
        <v>VIGENTE</v>
      </c>
      <c r="FN138" s="13"/>
      <c r="FO138" s="14">
        <v>45933</v>
      </c>
      <c r="FP138" s="14">
        <f>DATE(YEAR(FO138)+2,MONTH(FO138),DAY(FO138))</f>
        <v>46663</v>
      </c>
      <c r="FQ138" s="65">
        <f t="shared" ca="1" si="501"/>
        <v>532</v>
      </c>
      <c r="FR138" s="15" t="str">
        <f t="shared" ca="1" si="502"/>
        <v>VIGENTE</v>
      </c>
      <c r="FS138" s="13">
        <v>45279</v>
      </c>
      <c r="FT138" s="14">
        <v>45957</v>
      </c>
      <c r="FU138" s="14">
        <f>DATE(YEAR(FT138)+2,MONTH(FT138),DAY(FT138))</f>
        <v>46687</v>
      </c>
      <c r="FV138" s="65">
        <f t="shared" ca="1" si="503"/>
        <v>556</v>
      </c>
      <c r="FW138" s="15" t="str">
        <f t="shared" ca="1" si="504"/>
        <v>VIGENTE</v>
      </c>
      <c r="FX138" s="13"/>
      <c r="FY138" s="14">
        <v>45941</v>
      </c>
      <c r="FZ138" s="14">
        <f>DATE(YEAR(FY138)+2,MONTH(FY138),DAY(FY138))</f>
        <v>46671</v>
      </c>
      <c r="GA138" s="65">
        <f t="shared" ca="1" si="505"/>
        <v>540</v>
      </c>
      <c r="GB138" s="15" t="str">
        <f t="shared" ca="1" si="506"/>
        <v>VIGENTE</v>
      </c>
      <c r="GC138" s="13">
        <v>45173</v>
      </c>
      <c r="GD138" s="14">
        <v>45833</v>
      </c>
      <c r="GE138" s="14">
        <f>DATE(YEAR(GD138)+2,MONTH(GD138),DAY(GD138))</f>
        <v>46563</v>
      </c>
      <c r="GF138" s="65">
        <f t="shared" ca="1" si="507"/>
        <v>432</v>
      </c>
      <c r="GG138" s="15" t="str">
        <f t="shared" ca="1" si="508"/>
        <v>VIGENTE</v>
      </c>
      <c r="GH138" s="13">
        <v>45332</v>
      </c>
      <c r="GI138" s="14">
        <v>45960</v>
      </c>
      <c r="GJ138" s="14">
        <f>DATE(YEAR(GI138)+2,MONTH(GI138),DAY(GI138))</f>
        <v>46690</v>
      </c>
      <c r="GK138" s="65">
        <f t="shared" ca="1" si="509"/>
        <v>559</v>
      </c>
      <c r="GL138" s="15" t="str">
        <f t="shared" ca="1" si="510"/>
        <v>VIGENTE</v>
      </c>
      <c r="GM138" s="13"/>
      <c r="GN138" s="14">
        <v>45945</v>
      </c>
      <c r="GO138" s="14">
        <f>DATE(YEAR(GN138)+2,MONTH(GN138),DAY(GN138))</f>
        <v>46675</v>
      </c>
      <c r="GP138" s="65">
        <f t="shared" ca="1" si="511"/>
        <v>544</v>
      </c>
      <c r="GQ138" s="15" t="str">
        <f t="shared" ca="1" si="512"/>
        <v>VIGENTE</v>
      </c>
      <c r="GR138" s="14"/>
      <c r="GS138" s="14">
        <v>45181</v>
      </c>
      <c r="GT138" s="14">
        <f t="shared" si="513"/>
        <v>47008</v>
      </c>
      <c r="GU138" s="65">
        <f t="shared" ca="1" si="398"/>
        <v>877</v>
      </c>
      <c r="GV138" s="15" t="str">
        <f t="shared" ca="1" si="411"/>
        <v>VIGENTE</v>
      </c>
      <c r="GW138" s="13"/>
      <c r="GX138" s="14">
        <v>45267</v>
      </c>
      <c r="GY138" s="14">
        <f t="shared" si="514"/>
        <v>47094</v>
      </c>
      <c r="GZ138" s="65">
        <f t="shared" ca="1" si="515"/>
        <v>963</v>
      </c>
      <c r="HA138" s="15" t="str">
        <f t="shared" ca="1" si="418"/>
        <v>VIGENTE</v>
      </c>
      <c r="HB138" s="12"/>
      <c r="HC138" s="14">
        <v>45251</v>
      </c>
      <c r="HD138" s="14">
        <f t="shared" si="516"/>
        <v>47078</v>
      </c>
      <c r="HE138" s="65">
        <f t="shared" ca="1" si="517"/>
        <v>947</v>
      </c>
      <c r="HF138" s="15" t="str">
        <f t="shared" ca="1" si="413"/>
        <v>VIGENTE</v>
      </c>
      <c r="HG138" s="16"/>
      <c r="HH138" s="16"/>
      <c r="HI138" s="14"/>
      <c r="HJ138" s="65"/>
      <c r="HK138" s="15" t="str">
        <f t="shared" si="419"/>
        <v>NO APLICA</v>
      </c>
      <c r="HL138" s="12"/>
      <c r="HM138" s="16"/>
      <c r="HN138" s="14"/>
      <c r="HO138" s="65"/>
      <c r="HP138" s="15" t="str">
        <f t="shared" si="437"/>
        <v>NO APLICA</v>
      </c>
      <c r="HQ138" s="12"/>
      <c r="HR138" s="12"/>
      <c r="HS138" s="14"/>
      <c r="HT138" s="12"/>
      <c r="HU138" s="15" t="str">
        <f t="shared" si="518"/>
        <v>NO APLICA</v>
      </c>
      <c r="HV138" s="12"/>
      <c r="HW138" s="16"/>
      <c r="HX138" s="14"/>
      <c r="HY138" s="65"/>
      <c r="HZ138" s="15" t="str">
        <f t="shared" si="519"/>
        <v>NO APLICA</v>
      </c>
      <c r="IA138" s="12"/>
      <c r="IB138" s="16"/>
      <c r="IC138" s="14"/>
      <c r="ID138" s="65"/>
      <c r="IE138" s="15" t="str">
        <f t="shared" si="520"/>
        <v>NO APLICA</v>
      </c>
      <c r="IF138" s="12"/>
      <c r="IG138" s="16"/>
      <c r="IH138" s="14"/>
      <c r="II138" s="65"/>
      <c r="IJ138" s="15" t="str">
        <f t="shared" si="521"/>
        <v>NO APLICA</v>
      </c>
      <c r="IK138" s="16"/>
      <c r="IL138" s="16"/>
      <c r="IM138" s="14"/>
      <c r="IN138" s="65"/>
      <c r="IO138" s="15" t="str">
        <f t="shared" si="522"/>
        <v>NO APLICA</v>
      </c>
      <c r="IP138" s="12"/>
      <c r="IQ138" s="16"/>
      <c r="IR138" s="14"/>
      <c r="IS138" s="65"/>
      <c r="IT138" s="15" t="str">
        <f t="shared" si="523"/>
        <v>NO APLICA</v>
      </c>
      <c r="IU138" s="12"/>
      <c r="IV138" s="16"/>
      <c r="IW138" s="14"/>
      <c r="IX138" s="65"/>
      <c r="IY138" s="15" t="str">
        <f t="shared" si="524"/>
        <v>NO APLICA</v>
      </c>
      <c r="IZ138" s="12"/>
      <c r="JA138" s="16"/>
      <c r="JB138" s="14"/>
      <c r="JC138" s="65"/>
      <c r="JD138" s="15" t="str">
        <f t="shared" si="525"/>
        <v>NO APLICA</v>
      </c>
      <c r="JE138" s="13"/>
      <c r="JF138" s="13"/>
      <c r="JG138" s="14"/>
      <c r="JH138" s="65"/>
      <c r="JI138" s="15" t="str">
        <f t="shared" si="526"/>
        <v>NO APLICA</v>
      </c>
      <c r="JJ138" s="16"/>
      <c r="JK138" s="16"/>
      <c r="JL138" s="16"/>
      <c r="JM138" s="15" t="str">
        <f t="shared" si="527"/>
        <v>NO APLICA</v>
      </c>
      <c r="JN138" s="16"/>
      <c r="JO138" s="16"/>
      <c r="JP138" s="16"/>
      <c r="JQ138" s="15" t="str">
        <f t="shared" si="528"/>
        <v>NO APLICA</v>
      </c>
      <c r="JR138" s="16"/>
      <c r="JS138" s="16"/>
      <c r="JT138" s="16"/>
      <c r="JU138" s="16"/>
      <c r="JV138" s="15" t="str">
        <f t="shared" si="529"/>
        <v>NO APLICA</v>
      </c>
      <c r="JW138" s="15"/>
      <c r="JX138" s="15"/>
      <c r="JY138" s="15"/>
      <c r="JZ138" s="15"/>
      <c r="KA138" s="15" t="str">
        <f t="shared" si="530"/>
        <v>NO APLICA</v>
      </c>
      <c r="KB138" s="12"/>
      <c r="KC138" s="14"/>
      <c r="KD138" s="65"/>
      <c r="KE138" s="15" t="str">
        <f t="shared" si="531"/>
        <v>NO APLICA</v>
      </c>
      <c r="KF138" s="12"/>
      <c r="KG138" s="14"/>
      <c r="KH138" s="65"/>
      <c r="KI138" s="15" t="str">
        <f t="shared" si="547"/>
        <v>NO APLICA</v>
      </c>
      <c r="KJ138" s="12"/>
      <c r="KK138" s="14"/>
      <c r="KL138" s="65"/>
      <c r="KM138" s="15" t="str">
        <f t="shared" si="532"/>
        <v>NO APLICA</v>
      </c>
      <c r="KN138" s="12"/>
      <c r="KO138" s="14"/>
      <c r="KP138" s="65"/>
      <c r="KQ138" s="15" t="str">
        <f t="shared" si="548"/>
        <v>NO APLICA</v>
      </c>
      <c r="KR138" s="12"/>
      <c r="KS138" s="16"/>
      <c r="KT138" s="14"/>
      <c r="KU138" s="65"/>
      <c r="KV138" s="15" t="str">
        <f t="shared" si="554"/>
        <v>NO APLICA</v>
      </c>
      <c r="KW138" s="16"/>
      <c r="KX138" s="14"/>
      <c r="KY138" s="65"/>
      <c r="KZ138" s="15" t="str">
        <f t="shared" si="549"/>
        <v>NO APLICA</v>
      </c>
      <c r="LA138" s="16"/>
      <c r="LB138" s="16"/>
      <c r="LC138" s="14"/>
      <c r="LD138" s="65"/>
      <c r="LE138" s="15" t="str">
        <f t="shared" si="556"/>
        <v>NO APLICA</v>
      </c>
      <c r="LF138" s="15"/>
      <c r="LG138" s="15"/>
      <c r="LH138" s="14"/>
      <c r="LI138" s="65"/>
      <c r="LJ138" s="15" t="str">
        <f t="shared" si="555"/>
        <v>NO APLICA</v>
      </c>
      <c r="LK138" s="12"/>
      <c r="LL138" s="16"/>
      <c r="LM138" s="14"/>
      <c r="LN138" s="65"/>
      <c r="LO138" s="15" t="str">
        <f t="shared" si="550"/>
        <v>NO APLICA</v>
      </c>
      <c r="LP138" s="16"/>
      <c r="LQ138" s="16"/>
      <c r="LR138" s="14"/>
      <c r="LS138" s="65"/>
      <c r="LT138" s="15" t="str">
        <f t="shared" si="551"/>
        <v>NO APLICA</v>
      </c>
      <c r="LU138" s="16"/>
      <c r="LV138" s="16"/>
      <c r="LW138" s="14"/>
      <c r="LX138" s="65"/>
      <c r="LY138" s="15" t="str">
        <f t="shared" si="552"/>
        <v>NO APLICA</v>
      </c>
      <c r="LZ138" s="12"/>
      <c r="MA138" s="12"/>
      <c r="MB138" s="14"/>
      <c r="MC138" s="65"/>
      <c r="MD138" s="15" t="str">
        <f t="shared" si="534"/>
        <v>NO APLICA</v>
      </c>
      <c r="ME138" s="12"/>
      <c r="MF138" s="12"/>
      <c r="MG138" s="14"/>
      <c r="MH138" s="65"/>
      <c r="MI138" s="15" t="str">
        <f t="shared" si="535"/>
        <v>NO APLICA</v>
      </c>
      <c r="MJ138" s="12"/>
      <c r="MK138" s="14"/>
      <c r="ML138" s="65"/>
      <c r="MM138" s="15" t="str">
        <f t="shared" si="536"/>
        <v>NO APLICA</v>
      </c>
      <c r="MN138" s="12"/>
      <c r="MO138" s="14"/>
      <c r="MP138" s="12"/>
      <c r="MQ138" s="15" t="str">
        <f t="shared" si="537"/>
        <v>NO APLICA</v>
      </c>
      <c r="MR138" s="12"/>
      <c r="MS138" s="16"/>
      <c r="MT138" s="14"/>
      <c r="MU138" s="65"/>
      <c r="MV138" s="15" t="str">
        <f t="shared" si="538"/>
        <v>NO APLICA</v>
      </c>
      <c r="MW138" s="12"/>
      <c r="MX138" s="16"/>
      <c r="MY138" s="14"/>
      <c r="MZ138" s="65"/>
      <c r="NA138" s="15" t="str">
        <f t="shared" si="539"/>
        <v>NO APLICA</v>
      </c>
      <c r="NB138" s="12"/>
      <c r="NC138" s="16"/>
      <c r="ND138" s="14"/>
      <c r="NE138" s="65"/>
      <c r="NF138" s="15" t="str">
        <f t="shared" si="540"/>
        <v>NO APLICA</v>
      </c>
      <c r="NG138" s="12"/>
      <c r="NH138" s="12"/>
      <c r="NI138" s="14"/>
      <c r="NJ138" s="65"/>
      <c r="NK138" s="15" t="str">
        <f t="shared" si="541"/>
        <v>NO APLICA</v>
      </c>
      <c r="NL138" s="12"/>
      <c r="NM138" s="12"/>
      <c r="NN138" s="14"/>
      <c r="NO138" s="12"/>
      <c r="NP138" s="15" t="str">
        <f t="shared" si="542"/>
        <v>NO APLICA</v>
      </c>
      <c r="NQ138" s="16"/>
      <c r="NR138" s="16"/>
      <c r="NS138" s="14"/>
      <c r="NT138" s="65"/>
      <c r="NU138" s="15" t="str">
        <f t="shared" si="543"/>
        <v>NO APLICA</v>
      </c>
      <c r="NV138" s="16"/>
      <c r="NW138" s="16"/>
      <c r="NX138" s="16"/>
      <c r="NY138" s="16"/>
      <c r="NZ138" s="15" t="str">
        <f t="shared" si="544"/>
        <v>NO APLICA</v>
      </c>
    </row>
    <row r="139" spans="1:390" ht="15.6" thickTop="1" thickBot="1" x14ac:dyDescent="0.35">
      <c r="A139" s="9">
        <v>469</v>
      </c>
      <c r="B139" s="10" t="s">
        <v>511</v>
      </c>
      <c r="C139" s="21" t="s">
        <v>104</v>
      </c>
      <c r="D139" s="64" t="s">
        <v>512</v>
      </c>
      <c r="E139" s="15"/>
      <c r="F139" s="16"/>
      <c r="G139" s="14"/>
      <c r="H139" s="65"/>
      <c r="I139" s="15" t="str">
        <f t="shared" si="448"/>
        <v>NO APLICA</v>
      </c>
      <c r="J139" s="15"/>
      <c r="K139" s="16"/>
      <c r="L139" s="16"/>
      <c r="M139" s="65"/>
      <c r="N139" s="15" t="str">
        <f t="shared" si="449"/>
        <v>NO APLICA</v>
      </c>
      <c r="O139" s="16"/>
      <c r="P139" s="16"/>
      <c r="Q139" s="14"/>
      <c r="R139" s="65"/>
      <c r="S139" s="15" t="str">
        <f t="shared" si="545"/>
        <v>NO APLICA</v>
      </c>
      <c r="T139" s="12" t="s">
        <v>513</v>
      </c>
      <c r="U139" s="13">
        <v>45957</v>
      </c>
      <c r="V139" s="14">
        <v>45958</v>
      </c>
      <c r="W139" s="14">
        <f t="shared" si="401"/>
        <v>47784</v>
      </c>
      <c r="X139" s="65">
        <f t="shared" ca="1" si="402"/>
        <v>1653</v>
      </c>
      <c r="Y139" s="15" t="str">
        <f t="shared" ca="1" si="403"/>
        <v>VIGENTE</v>
      </c>
      <c r="Z139" s="12" t="s">
        <v>514</v>
      </c>
      <c r="AA139" s="13">
        <v>44390</v>
      </c>
      <c r="AB139" s="14">
        <v>44391</v>
      </c>
      <c r="AC139" s="14">
        <f>DATE(YEAR(AB139)+5,MONTH(AB139),DAY(AB139))</f>
        <v>46217</v>
      </c>
      <c r="AD139" s="65">
        <f ca="1">AC139-TODAY()</f>
        <v>86</v>
      </c>
      <c r="AE139" s="15" t="str">
        <f t="shared" ca="1" si="553"/>
        <v>POR VENCER</v>
      </c>
      <c r="AF139" s="13">
        <v>45061</v>
      </c>
      <c r="AG139" s="14">
        <v>45680</v>
      </c>
      <c r="AH139" s="14">
        <f>DATE(YEAR(AG139)+2,MONTH(AG139),DAY(AG139)-1)</f>
        <v>46409</v>
      </c>
      <c r="AI139" s="65">
        <f t="shared" ca="1" si="450"/>
        <v>278</v>
      </c>
      <c r="AJ139" s="15" t="str">
        <f t="shared" ca="1" si="399"/>
        <v>VIGENTE</v>
      </c>
      <c r="AK139" s="13">
        <v>45044</v>
      </c>
      <c r="AL139" s="14">
        <v>45710</v>
      </c>
      <c r="AM139" s="14">
        <f>DATE(YEAR(AL139)+2,MONTH(AL139),DAY(AL139)-1)</f>
        <v>46439</v>
      </c>
      <c r="AN139" s="65">
        <f t="shared" ca="1" si="451"/>
        <v>308</v>
      </c>
      <c r="AO139" s="15" t="str">
        <f t="shared" ca="1" si="452"/>
        <v>VIGENTE</v>
      </c>
      <c r="AP139" s="13">
        <v>45047</v>
      </c>
      <c r="AQ139" s="14">
        <v>45703</v>
      </c>
      <c r="AR139" s="14">
        <f>DATE(YEAR(AQ139)+2,MONTH(AQ139),DAY(AQ139)-1)</f>
        <v>46432</v>
      </c>
      <c r="AS139" s="65">
        <f t="shared" ca="1" si="453"/>
        <v>301</v>
      </c>
      <c r="AT139" s="15" t="str">
        <f t="shared" ca="1" si="454"/>
        <v>VIGENTE</v>
      </c>
      <c r="AU139" s="13">
        <v>45021</v>
      </c>
      <c r="AV139" s="14">
        <v>45702</v>
      </c>
      <c r="AW139" s="14">
        <f>DATE(YEAR(AV139)+2,MONTH(AV139),DAY(AV139)-1)</f>
        <v>46431</v>
      </c>
      <c r="AX139" s="65">
        <f t="shared" ca="1" si="455"/>
        <v>300</v>
      </c>
      <c r="AY139" s="15" t="str">
        <f t="shared" ca="1" si="456"/>
        <v>VIGENTE</v>
      </c>
      <c r="AZ139" s="13">
        <v>45075</v>
      </c>
      <c r="BA139" s="14">
        <v>45717</v>
      </c>
      <c r="BB139" s="14">
        <f>DATE(YEAR(BA139)+2,MONTH(BA139),DAY(BA139)-1)</f>
        <v>46446</v>
      </c>
      <c r="BC139" s="65">
        <f t="shared" ca="1" si="457"/>
        <v>315</v>
      </c>
      <c r="BD139" s="15" t="str">
        <f t="shared" ca="1" si="458"/>
        <v>VIGENTE</v>
      </c>
      <c r="BE139" s="13">
        <v>45052</v>
      </c>
      <c r="BF139" s="14">
        <v>45698</v>
      </c>
      <c r="BG139" s="14">
        <f>DATE(YEAR(BF139)+2,MONTH(BF139),DAY(BF139)-1)</f>
        <v>46427</v>
      </c>
      <c r="BH139" s="65">
        <f t="shared" ca="1" si="459"/>
        <v>296</v>
      </c>
      <c r="BI139" s="15" t="str">
        <f t="shared" ca="1" si="460"/>
        <v>VIGENTE</v>
      </c>
      <c r="BJ139" s="13">
        <v>44974</v>
      </c>
      <c r="BK139" s="14">
        <v>45570</v>
      </c>
      <c r="BL139" s="14">
        <f>DATE(YEAR(BK139)+2,MONTH(BK139),DAY(BK139)-1)</f>
        <v>46299</v>
      </c>
      <c r="BM139" s="65">
        <f t="shared" ca="1" si="461"/>
        <v>168</v>
      </c>
      <c r="BN139" s="15" t="str">
        <f t="shared" ca="1" si="462"/>
        <v>VIGENTE</v>
      </c>
      <c r="BO139" s="13">
        <v>45031</v>
      </c>
      <c r="BP139" s="14">
        <v>45701</v>
      </c>
      <c r="BQ139" s="14">
        <f>DATE(YEAR(BP139)+2,MONTH(BP139),DAY(BP139)-1)</f>
        <v>46430</v>
      </c>
      <c r="BR139" s="65">
        <f t="shared" ca="1" si="463"/>
        <v>299</v>
      </c>
      <c r="BS139" s="15" t="str">
        <f t="shared" ca="1" si="464"/>
        <v>VIGENTE</v>
      </c>
      <c r="BT139" s="13">
        <v>44963</v>
      </c>
      <c r="BU139" s="14">
        <v>45568</v>
      </c>
      <c r="BV139" s="14">
        <f>DATE(YEAR(BU139)+2,MONTH(BU139),DAY(BU139)-1)</f>
        <v>46297</v>
      </c>
      <c r="BW139" s="65">
        <f t="shared" ca="1" si="465"/>
        <v>166</v>
      </c>
      <c r="BX139" s="15" t="str">
        <f t="shared" ca="1" si="466"/>
        <v>VIGENTE</v>
      </c>
      <c r="BY139" s="13">
        <v>45600</v>
      </c>
      <c r="BZ139" s="14">
        <v>45730</v>
      </c>
      <c r="CA139" s="14">
        <f>DATE(YEAR(BZ139)+2,MONTH(BZ139),DAY(BZ139)-1)</f>
        <v>46459</v>
      </c>
      <c r="CB139" s="65">
        <f t="shared" ca="1" si="467"/>
        <v>328</v>
      </c>
      <c r="CC139" s="15" t="str">
        <f t="shared" ca="1" si="468"/>
        <v>VIGENTE</v>
      </c>
      <c r="CD139" s="16" t="s">
        <v>108</v>
      </c>
      <c r="CE139" s="14">
        <v>45532</v>
      </c>
      <c r="CF139" s="14">
        <v>45533</v>
      </c>
      <c r="CG139" s="14">
        <f t="shared" si="408"/>
        <v>46994</v>
      </c>
      <c r="CH139" s="65">
        <f t="shared" ca="1" si="409"/>
        <v>863</v>
      </c>
      <c r="CI139" s="15" t="str">
        <f t="shared" ca="1" si="410"/>
        <v>VIGENTE</v>
      </c>
      <c r="CJ139" s="14">
        <v>44964</v>
      </c>
      <c r="CK139" s="14">
        <v>45601</v>
      </c>
      <c r="CL139" s="14">
        <f>DATE(YEAR(CK139)+2,MONTH(CK139),DAY(CK139)-1)</f>
        <v>46330</v>
      </c>
      <c r="CM139" s="65">
        <f t="shared" ca="1" si="469"/>
        <v>199</v>
      </c>
      <c r="CN139" s="15" t="str">
        <f t="shared" ca="1" si="470"/>
        <v>VIGENTE</v>
      </c>
      <c r="CO139" s="13">
        <v>45050</v>
      </c>
      <c r="CP139" s="14">
        <v>45684</v>
      </c>
      <c r="CQ139" s="14">
        <f>DATE(YEAR(CP139)+2,MONTH(CP139),DAY(CP139)-1)</f>
        <v>46413</v>
      </c>
      <c r="CR139" s="65">
        <f t="shared" ca="1" si="471"/>
        <v>282</v>
      </c>
      <c r="CS139" s="15" t="str">
        <f t="shared" ca="1" si="472"/>
        <v>VIGENTE</v>
      </c>
      <c r="CT139" s="13">
        <v>45086</v>
      </c>
      <c r="CU139" s="14">
        <v>45727</v>
      </c>
      <c r="CV139" s="14">
        <f>DATE(YEAR(CU139)+2,MONTH(CU139),DAY(CU139)-1)</f>
        <v>46456</v>
      </c>
      <c r="CW139" s="65">
        <f t="shared" ca="1" si="473"/>
        <v>325</v>
      </c>
      <c r="CX139" s="15" t="str">
        <f t="shared" ca="1" si="474"/>
        <v>VIGENTE</v>
      </c>
      <c r="CY139" s="13">
        <v>45057</v>
      </c>
      <c r="CZ139" s="14">
        <v>45681</v>
      </c>
      <c r="DA139" s="14">
        <f>DATE(YEAR(CZ139)+2,MONTH(CZ139),DAY(CZ139)-1)</f>
        <v>46410</v>
      </c>
      <c r="DB139" s="65">
        <f t="shared" ca="1" si="475"/>
        <v>279</v>
      </c>
      <c r="DC139" s="15" t="str">
        <f t="shared" ca="1" si="476"/>
        <v>VIGENTE</v>
      </c>
      <c r="DD139" s="13">
        <v>44968</v>
      </c>
      <c r="DE139" s="14">
        <v>45596</v>
      </c>
      <c r="DF139" s="14">
        <f>DATE(YEAR(DE139)+2,MONTH(DE139),DAY(DE139)-1)</f>
        <v>46325</v>
      </c>
      <c r="DG139" s="65">
        <f t="shared" ca="1" si="477"/>
        <v>194</v>
      </c>
      <c r="DH139" s="15" t="str">
        <f t="shared" ca="1" si="478"/>
        <v>VIGENTE</v>
      </c>
      <c r="DI139" s="13">
        <v>45038</v>
      </c>
      <c r="DJ139" s="14">
        <v>45696</v>
      </c>
      <c r="DK139" s="14">
        <f>DATE(YEAR(DJ139)+2,MONTH(DJ139),DAY(DJ139)-1)</f>
        <v>46425</v>
      </c>
      <c r="DL139" s="65">
        <f t="shared" ca="1" si="479"/>
        <v>294</v>
      </c>
      <c r="DM139" s="15" t="str">
        <f t="shared" ca="1" si="480"/>
        <v>VIGENTE</v>
      </c>
      <c r="DN139" s="13">
        <v>44954</v>
      </c>
      <c r="DO139" s="14">
        <v>45577</v>
      </c>
      <c r="DP139" s="14">
        <f>DATE(YEAR(DO139)+2,MONTH(DO139),DAY(DO139)-1)</f>
        <v>46306</v>
      </c>
      <c r="DQ139" s="65">
        <f t="shared" ca="1" si="481"/>
        <v>175</v>
      </c>
      <c r="DR139" s="15" t="str">
        <f t="shared" ca="1" si="482"/>
        <v>VIGENTE</v>
      </c>
      <c r="DS139" s="13">
        <v>45035</v>
      </c>
      <c r="DT139" s="14">
        <v>45685</v>
      </c>
      <c r="DU139" s="14">
        <f>DATE(YEAR(DT139)+2,MONTH(DT139),DAY(DT139)-1)</f>
        <v>46414</v>
      </c>
      <c r="DV139" s="65">
        <f t="shared" ca="1" si="483"/>
        <v>283</v>
      </c>
      <c r="DW139" s="15" t="str">
        <f t="shared" ca="1" si="484"/>
        <v>VIGENTE</v>
      </c>
      <c r="DX139" s="13">
        <v>44992</v>
      </c>
      <c r="DY139" s="14">
        <v>45663</v>
      </c>
      <c r="DZ139" s="14">
        <f>DATE(YEAR(DY139)+2,MONTH(DY139),DAY(DY139)-1)</f>
        <v>46392</v>
      </c>
      <c r="EA139" s="65">
        <f t="shared" ca="1" si="485"/>
        <v>261</v>
      </c>
      <c r="EB139" s="15" t="str">
        <f t="shared" ca="1" si="486"/>
        <v>VIGENTE</v>
      </c>
      <c r="EC139" s="13">
        <v>44994</v>
      </c>
      <c r="ED139" s="14">
        <v>45674</v>
      </c>
      <c r="EE139" s="14">
        <f>DATE(YEAR(ED139)+2,MONTH(ED139),DAY(ED139)-1)</f>
        <v>46403</v>
      </c>
      <c r="EF139" s="65">
        <f t="shared" ca="1" si="487"/>
        <v>272</v>
      </c>
      <c r="EG139" s="15" t="str">
        <f t="shared" ca="1" si="488"/>
        <v>VIGENTE</v>
      </c>
      <c r="EH139" s="13">
        <v>45675</v>
      </c>
      <c r="EI139" s="13">
        <v>45810</v>
      </c>
      <c r="EJ139" s="13">
        <v>45811</v>
      </c>
      <c r="EK139" s="14">
        <v>45812</v>
      </c>
      <c r="EL139" s="14">
        <f t="shared" si="546"/>
        <v>46177</v>
      </c>
      <c r="EM139" s="65">
        <f t="shared" ca="1" si="489"/>
        <v>46</v>
      </c>
      <c r="EN139" s="15" t="str">
        <f t="shared" ca="1" si="490"/>
        <v>POR VENCER</v>
      </c>
      <c r="EO139" s="13">
        <v>44985</v>
      </c>
      <c r="EP139" s="14">
        <v>45636</v>
      </c>
      <c r="EQ139" s="14">
        <f>DATE(YEAR(EP139)+2,MONTH(EP139),DAY(EP139)-1)</f>
        <v>46365</v>
      </c>
      <c r="ER139" s="65">
        <f t="shared" ca="1" si="491"/>
        <v>234</v>
      </c>
      <c r="ES139" s="15" t="str">
        <f t="shared" ca="1" si="492"/>
        <v>VIGENTE</v>
      </c>
      <c r="ET139" s="13">
        <v>45003</v>
      </c>
      <c r="EU139" s="14">
        <v>45623</v>
      </c>
      <c r="EV139" s="14">
        <f>DATE(YEAR(EU139)+2,MONTH(EU139),DAY(EU139)-1)</f>
        <v>46352</v>
      </c>
      <c r="EW139" s="65">
        <f t="shared" ca="1" si="493"/>
        <v>221</v>
      </c>
      <c r="EX139" s="15" t="str">
        <f t="shared" ca="1" si="494"/>
        <v>VIGENTE</v>
      </c>
      <c r="EY139" s="13">
        <v>44957</v>
      </c>
      <c r="EZ139" s="14">
        <v>45610</v>
      </c>
      <c r="FA139" s="14">
        <f>DATE(YEAR(EZ139)+2,MONTH(EZ139),DAY(EZ139)-1)</f>
        <v>46339</v>
      </c>
      <c r="FB139" s="65">
        <f t="shared" ca="1" si="495"/>
        <v>208</v>
      </c>
      <c r="FC139" s="15" t="str">
        <f t="shared" ca="1" si="496"/>
        <v>VIGENTE</v>
      </c>
      <c r="FD139" s="13">
        <v>44983</v>
      </c>
      <c r="FE139" s="14">
        <v>45611</v>
      </c>
      <c r="FF139" s="14">
        <f>DATE(YEAR(FE139)+2,MONTH(FE139),DAY(FE139)-1)</f>
        <v>46340</v>
      </c>
      <c r="FG139" s="65">
        <f t="shared" ca="1" si="497"/>
        <v>209</v>
      </c>
      <c r="FH139" s="15" t="str">
        <f t="shared" ca="1" si="498"/>
        <v>VIGENTE</v>
      </c>
      <c r="FI139" s="13">
        <v>45006</v>
      </c>
      <c r="FJ139" s="14">
        <v>45668</v>
      </c>
      <c r="FK139" s="14">
        <f>DATE(YEAR(FJ139)+2,MONTH(FJ139),DAY(FJ139)-1)</f>
        <v>46397</v>
      </c>
      <c r="FL139" s="65">
        <f t="shared" ca="1" si="499"/>
        <v>266</v>
      </c>
      <c r="FM139" s="15" t="str">
        <f t="shared" ca="1" si="500"/>
        <v>VIGENTE</v>
      </c>
      <c r="FN139" s="13">
        <v>44947</v>
      </c>
      <c r="FO139" s="14">
        <v>45588</v>
      </c>
      <c r="FP139" s="14">
        <f>DATE(YEAR(FO139)+2,MONTH(FO139),DAY(FO139)-1)</f>
        <v>46317</v>
      </c>
      <c r="FQ139" s="65">
        <f t="shared" ca="1" si="501"/>
        <v>186</v>
      </c>
      <c r="FR139" s="15" t="str">
        <f t="shared" ca="1" si="502"/>
        <v>VIGENTE</v>
      </c>
      <c r="FS139" s="13">
        <v>45005</v>
      </c>
      <c r="FT139" s="14">
        <v>45664</v>
      </c>
      <c r="FU139" s="14">
        <f>DATE(YEAR(FT139)+2,MONTH(FT139),DAY(FT139)-1)</f>
        <v>46393</v>
      </c>
      <c r="FV139" s="65">
        <f t="shared" ca="1" si="503"/>
        <v>262</v>
      </c>
      <c r="FW139" s="15" t="str">
        <f t="shared" ca="1" si="504"/>
        <v>VIGENTE</v>
      </c>
      <c r="FX139" s="13">
        <v>45028</v>
      </c>
      <c r="FY139" s="14">
        <v>45700</v>
      </c>
      <c r="FZ139" s="14">
        <f>DATE(YEAR(FY139)+2,MONTH(FY139),DAY(FY139)-1)</f>
        <v>46429</v>
      </c>
      <c r="GA139" s="65">
        <f t="shared" ca="1" si="505"/>
        <v>298</v>
      </c>
      <c r="GB139" s="15" t="str">
        <f t="shared" ca="1" si="506"/>
        <v>VIGENTE</v>
      </c>
      <c r="GC139" s="13">
        <v>44995</v>
      </c>
      <c r="GD139" s="14">
        <v>45667</v>
      </c>
      <c r="GE139" s="14">
        <f>DATE(YEAR(GD139)+2,MONTH(GD139),DAY(GD139)-1)</f>
        <v>46396</v>
      </c>
      <c r="GF139" s="65">
        <f t="shared" ca="1" si="507"/>
        <v>265</v>
      </c>
      <c r="GG139" s="15" t="str">
        <f t="shared" ca="1" si="508"/>
        <v>VIGENTE</v>
      </c>
      <c r="GH139" s="13">
        <v>44996</v>
      </c>
      <c r="GI139" s="14">
        <v>45672</v>
      </c>
      <c r="GJ139" s="14">
        <f>DATE(YEAR(GI139)+2,MONTH(GI139),DAY(GI139)-1)</f>
        <v>46401</v>
      </c>
      <c r="GK139" s="65">
        <f t="shared" ca="1" si="509"/>
        <v>270</v>
      </c>
      <c r="GL139" s="15" t="str">
        <f t="shared" ca="1" si="510"/>
        <v>VIGENTE</v>
      </c>
      <c r="GM139" s="13">
        <v>44945</v>
      </c>
      <c r="GN139" s="14">
        <v>45608</v>
      </c>
      <c r="GO139" s="14">
        <f>DATE(YEAR(GN139)+2,MONTH(GN139),DAY(GN139)-1)</f>
        <v>46337</v>
      </c>
      <c r="GP139" s="65">
        <f t="shared" ca="1" si="511"/>
        <v>206</v>
      </c>
      <c r="GQ139" s="15" t="str">
        <f t="shared" ca="1" si="512"/>
        <v>VIGENTE</v>
      </c>
      <c r="GR139" s="14"/>
      <c r="GS139" s="14">
        <v>44966</v>
      </c>
      <c r="GT139" s="14">
        <f t="shared" si="513"/>
        <v>46792</v>
      </c>
      <c r="GU139" s="65">
        <f t="shared" ca="1" si="398"/>
        <v>661</v>
      </c>
      <c r="GV139" s="15" t="str">
        <f t="shared" ca="1" si="411"/>
        <v>VIGENTE</v>
      </c>
      <c r="GW139" s="13"/>
      <c r="GX139" s="14">
        <v>44952</v>
      </c>
      <c r="GY139" s="14">
        <f t="shared" si="514"/>
        <v>46778</v>
      </c>
      <c r="GZ139" s="65">
        <f t="shared" ca="1" si="515"/>
        <v>647</v>
      </c>
      <c r="HA139" s="15" t="str">
        <f t="shared" ca="1" si="418"/>
        <v>VIGENTE</v>
      </c>
      <c r="HB139" s="12"/>
      <c r="HC139" s="14">
        <v>44980</v>
      </c>
      <c r="HD139" s="14">
        <f t="shared" si="516"/>
        <v>46806</v>
      </c>
      <c r="HE139" s="65">
        <f t="shared" ca="1" si="517"/>
        <v>675</v>
      </c>
      <c r="HF139" s="15" t="str">
        <f t="shared" ca="1" si="413"/>
        <v>VIGENTE</v>
      </c>
      <c r="HG139" s="16"/>
      <c r="HH139" s="14">
        <v>44956</v>
      </c>
      <c r="HI139" s="14">
        <f>DATE(YEAR(HH139)+5,MONTH(HH139),DAY(HH139))</f>
        <v>46782</v>
      </c>
      <c r="HJ139" s="65">
        <f ca="1">HI139-TODAY()</f>
        <v>651</v>
      </c>
      <c r="HK139" s="15" t="str">
        <f t="shared" ca="1" si="419"/>
        <v>VIGENTE</v>
      </c>
      <c r="HL139" s="12"/>
      <c r="HM139" s="16"/>
      <c r="HN139" s="14"/>
      <c r="HO139" s="65"/>
      <c r="HP139" s="15" t="str">
        <f t="shared" si="437"/>
        <v>NO APLICA</v>
      </c>
      <c r="HQ139" s="12"/>
      <c r="HR139" s="15"/>
      <c r="HS139" s="14"/>
      <c r="HT139" s="15"/>
      <c r="HU139" s="15" t="str">
        <f t="shared" si="518"/>
        <v>NO APLICA</v>
      </c>
      <c r="HV139" s="12"/>
      <c r="HW139" s="14">
        <v>44953</v>
      </c>
      <c r="HX139" s="14">
        <f>DATE(YEAR(HW139)+5,MONTH(HW139),DAY(HW139))</f>
        <v>46779</v>
      </c>
      <c r="HY139" s="65">
        <f ca="1">HX139-TODAY()</f>
        <v>648</v>
      </c>
      <c r="HZ139" s="15" t="str">
        <f t="shared" ca="1" si="519"/>
        <v>VIGENTE</v>
      </c>
      <c r="IA139" s="12"/>
      <c r="IB139" s="14">
        <v>44988</v>
      </c>
      <c r="IC139" s="14">
        <f>DATE(YEAR(IB139)+5,MONTH(IB139),DAY(IB139))</f>
        <v>46815</v>
      </c>
      <c r="ID139" s="65">
        <f ca="1">IC139-TODAY()</f>
        <v>684</v>
      </c>
      <c r="IE139" s="15" t="str">
        <f t="shared" ca="1" si="520"/>
        <v>VIGENTE</v>
      </c>
      <c r="IF139" s="12"/>
      <c r="IG139" s="14">
        <v>44971</v>
      </c>
      <c r="IH139" s="14">
        <f>DATE(YEAR(IG139)+5,MONTH(IG139),DAY(IG139))</f>
        <v>46797</v>
      </c>
      <c r="II139" s="65">
        <f ca="1">IH139-TODAY()</f>
        <v>666</v>
      </c>
      <c r="IJ139" s="15" t="str">
        <f t="shared" ca="1" si="521"/>
        <v>VIGENTE</v>
      </c>
      <c r="IK139" s="16"/>
      <c r="IL139" s="14">
        <v>44965</v>
      </c>
      <c r="IM139" s="14">
        <f>DATE(YEAR(IL139)+5,MONTH(IL139),DAY(IL139))</f>
        <v>46791</v>
      </c>
      <c r="IN139" s="65">
        <f ca="1">IM139-TODAY()</f>
        <v>660</v>
      </c>
      <c r="IO139" s="15" t="str">
        <f t="shared" ca="1" si="522"/>
        <v>VIGENTE</v>
      </c>
      <c r="IP139" s="12"/>
      <c r="IQ139" s="14">
        <v>44977</v>
      </c>
      <c r="IR139" s="14">
        <f>DATE(YEAR(IQ139)+5,MONTH(IQ139),DAY(IQ139))</f>
        <v>46803</v>
      </c>
      <c r="IS139" s="65">
        <f ca="1">IR139-TODAY()</f>
        <v>672</v>
      </c>
      <c r="IT139" s="15" t="str">
        <f t="shared" ca="1" si="523"/>
        <v>VIGENTE</v>
      </c>
      <c r="IU139" s="12"/>
      <c r="IV139" s="14">
        <v>44970</v>
      </c>
      <c r="IW139" s="14">
        <f>DATE(YEAR(IV139)+5,MONTH(IV139),DAY(IV139))</f>
        <v>46796</v>
      </c>
      <c r="IX139" s="65">
        <f ca="1">IW139-TODAY()</f>
        <v>665</v>
      </c>
      <c r="IY139" s="15" t="str">
        <f t="shared" ca="1" si="524"/>
        <v>VIGENTE</v>
      </c>
      <c r="IZ139" s="12"/>
      <c r="JA139" s="14">
        <v>44973</v>
      </c>
      <c r="JB139" s="14">
        <f>DATE(YEAR(JA139)+5,MONTH(JA139),DAY(JA139))</f>
        <v>46799</v>
      </c>
      <c r="JC139" s="65">
        <f ca="1">JB139-TODAY()</f>
        <v>668</v>
      </c>
      <c r="JD139" s="15" t="str">
        <f t="shared" ca="1" si="525"/>
        <v>VIGENTE</v>
      </c>
      <c r="JE139" s="13"/>
      <c r="JF139" s="13"/>
      <c r="JG139" s="14"/>
      <c r="JH139" s="65"/>
      <c r="JI139" s="15" t="str">
        <f t="shared" si="526"/>
        <v>NO APLICA</v>
      </c>
      <c r="JJ139" s="16"/>
      <c r="JK139" s="16"/>
      <c r="JL139" s="16"/>
      <c r="JM139" s="15" t="str">
        <f t="shared" si="527"/>
        <v>NO APLICA</v>
      </c>
      <c r="JN139" s="16"/>
      <c r="JO139" s="16"/>
      <c r="JP139" s="16"/>
      <c r="JQ139" s="15" t="str">
        <f t="shared" si="528"/>
        <v>NO APLICA</v>
      </c>
      <c r="JR139" s="16"/>
      <c r="JS139" s="16"/>
      <c r="JT139" s="16"/>
      <c r="JU139" s="16"/>
      <c r="JV139" s="15" t="str">
        <f t="shared" si="529"/>
        <v>NO APLICA</v>
      </c>
      <c r="JW139" s="15"/>
      <c r="JX139" s="15"/>
      <c r="JY139" s="15"/>
      <c r="JZ139" s="15"/>
      <c r="KA139" s="15" t="str">
        <f t="shared" si="530"/>
        <v>NO APLICA</v>
      </c>
      <c r="KB139" s="15"/>
      <c r="KC139" s="14"/>
      <c r="KD139" s="65"/>
      <c r="KE139" s="15" t="str">
        <f t="shared" si="531"/>
        <v>NO APLICA</v>
      </c>
      <c r="KF139" s="15"/>
      <c r="KG139" s="14"/>
      <c r="KH139" s="65"/>
      <c r="KI139" s="15" t="str">
        <f t="shared" si="547"/>
        <v>NO APLICA</v>
      </c>
      <c r="KJ139" s="15"/>
      <c r="KK139" s="14"/>
      <c r="KL139" s="65"/>
      <c r="KM139" s="15" t="str">
        <f t="shared" si="532"/>
        <v>NO APLICA</v>
      </c>
      <c r="KN139" s="12"/>
      <c r="KO139" s="14"/>
      <c r="KP139" s="65"/>
      <c r="KQ139" s="15" t="str">
        <f t="shared" si="548"/>
        <v>NO APLICA</v>
      </c>
      <c r="KR139" s="12"/>
      <c r="KS139" s="16"/>
      <c r="KT139" s="14"/>
      <c r="KU139" s="65"/>
      <c r="KV139" s="15" t="str">
        <f t="shared" si="554"/>
        <v>NO APLICA</v>
      </c>
      <c r="KW139" s="14">
        <v>44615</v>
      </c>
      <c r="KX139" s="14">
        <f>DATE(YEAR(KW139)+5,MONTH(KW139),DAY(KW139))</f>
        <v>46441</v>
      </c>
      <c r="KY139" s="65">
        <f ca="1">KX139-TODAY()</f>
        <v>310</v>
      </c>
      <c r="KZ139" s="15" t="str">
        <f t="shared" ca="1" si="549"/>
        <v>VIGENTE</v>
      </c>
      <c r="LA139" s="16"/>
      <c r="LB139" s="16"/>
      <c r="LC139" s="14"/>
      <c r="LD139" s="65"/>
      <c r="LE139" s="15" t="str">
        <f t="shared" si="556"/>
        <v>NO APLICA</v>
      </c>
      <c r="LF139" s="15"/>
      <c r="LG139" s="15"/>
      <c r="LH139" s="14"/>
      <c r="LI139" s="65"/>
      <c r="LJ139" s="15" t="str">
        <f t="shared" si="555"/>
        <v>NO APLICA</v>
      </c>
      <c r="LK139" s="15"/>
      <c r="LL139" s="16"/>
      <c r="LM139" s="14"/>
      <c r="LN139" s="65"/>
      <c r="LO139" s="15" t="str">
        <f t="shared" si="550"/>
        <v>NO APLICA</v>
      </c>
      <c r="LP139" s="16"/>
      <c r="LQ139" s="16"/>
      <c r="LR139" s="14"/>
      <c r="LS139" s="65"/>
      <c r="LT139" s="15" t="str">
        <f t="shared" si="551"/>
        <v>NO APLICA</v>
      </c>
      <c r="LU139" s="16"/>
      <c r="LV139" s="16"/>
      <c r="LW139" s="14"/>
      <c r="LX139" s="65"/>
      <c r="LY139" s="15" t="str">
        <f t="shared" si="552"/>
        <v>NO APLICA</v>
      </c>
      <c r="LZ139" s="15"/>
      <c r="MA139" s="15"/>
      <c r="MB139" s="14"/>
      <c r="MC139" s="65"/>
      <c r="MD139" s="15" t="str">
        <f t="shared" si="534"/>
        <v>NO APLICA</v>
      </c>
      <c r="ME139" s="15"/>
      <c r="MF139" s="15"/>
      <c r="MG139" s="14"/>
      <c r="MH139" s="65"/>
      <c r="MI139" s="15" t="str">
        <f t="shared" si="535"/>
        <v>NO APLICA</v>
      </c>
      <c r="MJ139" s="15"/>
      <c r="MK139" s="14"/>
      <c r="ML139" s="65"/>
      <c r="MM139" s="15" t="str">
        <f t="shared" si="536"/>
        <v>NO APLICA</v>
      </c>
      <c r="MN139" s="15"/>
      <c r="MO139" s="14"/>
      <c r="MP139" s="15"/>
      <c r="MQ139" s="15" t="str">
        <f t="shared" si="537"/>
        <v>NO APLICA</v>
      </c>
      <c r="MR139" s="15"/>
      <c r="MS139" s="16"/>
      <c r="MT139" s="14"/>
      <c r="MU139" s="65"/>
      <c r="MV139" s="15" t="str">
        <f t="shared" si="538"/>
        <v>NO APLICA</v>
      </c>
      <c r="MW139" s="15"/>
      <c r="MX139" s="16"/>
      <c r="MY139" s="14"/>
      <c r="MZ139" s="65"/>
      <c r="NA139" s="15" t="str">
        <f t="shared" si="539"/>
        <v>NO APLICA</v>
      </c>
      <c r="NB139" s="15"/>
      <c r="NC139" s="16"/>
      <c r="ND139" s="14"/>
      <c r="NE139" s="65"/>
      <c r="NF139" s="15" t="str">
        <f t="shared" si="540"/>
        <v>NO APLICA</v>
      </c>
      <c r="NG139" s="15"/>
      <c r="NH139" s="15"/>
      <c r="NI139" s="14"/>
      <c r="NJ139" s="65"/>
      <c r="NK139" s="15" t="str">
        <f t="shared" si="541"/>
        <v>NO APLICA</v>
      </c>
      <c r="NL139" s="15"/>
      <c r="NM139" s="15"/>
      <c r="NN139" s="15"/>
      <c r="NO139" s="15"/>
      <c r="NP139" s="15" t="str">
        <f t="shared" si="542"/>
        <v>NO APLICA</v>
      </c>
      <c r="NQ139" s="16"/>
      <c r="NR139" s="16"/>
      <c r="NS139" s="14"/>
      <c r="NT139" s="65"/>
      <c r="NU139" s="15" t="str">
        <f t="shared" si="543"/>
        <v>NO APLICA</v>
      </c>
      <c r="NV139" s="16"/>
      <c r="NW139" s="16"/>
      <c r="NX139" s="16"/>
      <c r="NY139" s="16"/>
      <c r="NZ139" s="15" t="str">
        <f t="shared" si="544"/>
        <v>NO APLICA</v>
      </c>
    </row>
    <row r="140" spans="1:390" ht="15.6" thickTop="1" thickBot="1" x14ac:dyDescent="0.35">
      <c r="A140" s="9">
        <v>1582</v>
      </c>
      <c r="B140" s="10" t="s">
        <v>515</v>
      </c>
      <c r="C140" s="21" t="s">
        <v>151</v>
      </c>
      <c r="D140" s="64" t="s">
        <v>188</v>
      </c>
      <c r="E140" s="13">
        <v>46059</v>
      </c>
      <c r="F140" s="14">
        <v>46060</v>
      </c>
      <c r="G140" s="14">
        <f>DATE(YEAR(F140)+2,MONTH(F140),DAY(F140))</f>
        <v>46790</v>
      </c>
      <c r="H140" s="65">
        <f ca="1">G140-TODAY()</f>
        <v>659</v>
      </c>
      <c r="I140" s="15" t="str">
        <f t="shared" ca="1" si="448"/>
        <v>VIGENTE</v>
      </c>
      <c r="J140" s="13"/>
      <c r="K140" s="14"/>
      <c r="L140" s="16"/>
      <c r="M140" s="65"/>
      <c r="N140" s="15" t="str">
        <f t="shared" si="449"/>
        <v>NO APLICA</v>
      </c>
      <c r="O140" s="16"/>
      <c r="P140" s="16"/>
      <c r="Q140" s="14"/>
      <c r="R140" s="65"/>
      <c r="S140" s="15" t="str">
        <f t="shared" si="545"/>
        <v>NO APLICA</v>
      </c>
      <c r="T140" s="13" t="s">
        <v>516</v>
      </c>
      <c r="U140" s="13">
        <v>46068</v>
      </c>
      <c r="V140" s="14">
        <v>46069</v>
      </c>
      <c r="W140" s="14">
        <f t="shared" si="401"/>
        <v>47895</v>
      </c>
      <c r="X140" s="65">
        <f t="shared" ca="1" si="402"/>
        <v>1764</v>
      </c>
      <c r="Y140" s="15" t="str">
        <f t="shared" ca="1" si="403"/>
        <v>VIGENTE</v>
      </c>
      <c r="Z140" s="12"/>
      <c r="AA140" s="12"/>
      <c r="AB140" s="16"/>
      <c r="AC140" s="14"/>
      <c r="AD140" s="65"/>
      <c r="AE140" s="15" t="str">
        <f t="shared" si="553"/>
        <v>NO APLICA</v>
      </c>
      <c r="AF140" s="13">
        <v>45220</v>
      </c>
      <c r="AG140" s="14">
        <v>45902</v>
      </c>
      <c r="AH140" s="14">
        <f>DATE(YEAR(AG140)+2,MONTH(AG140),DAY(AG140))</f>
        <v>46632</v>
      </c>
      <c r="AI140" s="65">
        <f t="shared" ca="1" si="450"/>
        <v>501</v>
      </c>
      <c r="AJ140" s="15" t="str">
        <f t="shared" ca="1" si="399"/>
        <v>VIGENTE</v>
      </c>
      <c r="AK140" s="13">
        <v>45215</v>
      </c>
      <c r="AL140" s="14">
        <v>45903</v>
      </c>
      <c r="AM140" s="14">
        <f>DATE(YEAR(AL140)+2,MONTH(AL140),DAY(AL140))</f>
        <v>46633</v>
      </c>
      <c r="AN140" s="65">
        <f t="shared" ca="1" si="451"/>
        <v>502</v>
      </c>
      <c r="AO140" s="15" t="str">
        <f t="shared" ca="1" si="452"/>
        <v>VIGENTE</v>
      </c>
      <c r="AP140" s="13">
        <v>45226</v>
      </c>
      <c r="AQ140" s="14">
        <v>45904</v>
      </c>
      <c r="AR140" s="14">
        <f t="shared" ref="AR140:AR151" si="557">DATE(YEAR(AQ140)+2,MONTH(AQ140),DAY(AQ140))</f>
        <v>46634</v>
      </c>
      <c r="AS140" s="65">
        <f t="shared" ca="1" si="453"/>
        <v>503</v>
      </c>
      <c r="AT140" s="15" t="str">
        <f t="shared" ca="1" si="454"/>
        <v>VIGENTE</v>
      </c>
      <c r="AU140" s="13">
        <v>45227</v>
      </c>
      <c r="AV140" s="14">
        <v>45906</v>
      </c>
      <c r="AW140" s="14">
        <f t="shared" ref="AW140:AW151" si="558">DATE(YEAR(AV140)+2,MONTH(AV140),DAY(AV140))</f>
        <v>46636</v>
      </c>
      <c r="AX140" s="65">
        <f t="shared" ca="1" si="455"/>
        <v>505</v>
      </c>
      <c r="AY140" s="15" t="str">
        <f t="shared" ca="1" si="456"/>
        <v>VIGENTE</v>
      </c>
      <c r="AZ140" s="13">
        <v>45192</v>
      </c>
      <c r="BA140" s="14">
        <v>45901</v>
      </c>
      <c r="BB140" s="14">
        <f>DATE(YEAR(BA140)+2,MONTH(BA140),DAY(BA140))</f>
        <v>46631</v>
      </c>
      <c r="BC140" s="65">
        <f t="shared" ca="1" si="457"/>
        <v>500</v>
      </c>
      <c r="BD140" s="15" t="str">
        <f t="shared" ca="1" si="458"/>
        <v>VIGENTE</v>
      </c>
      <c r="BE140" s="13">
        <v>45201</v>
      </c>
      <c r="BF140" s="14">
        <v>45880</v>
      </c>
      <c r="BG140" s="14">
        <f>DATE(YEAR(BF140)+2,MONTH(BF140),DAY(BF140))</f>
        <v>46610</v>
      </c>
      <c r="BH140" s="65">
        <f t="shared" ca="1" si="459"/>
        <v>479</v>
      </c>
      <c r="BI140" s="15" t="str">
        <f t="shared" ca="1" si="460"/>
        <v>VIGENTE</v>
      </c>
      <c r="BJ140" s="13">
        <v>45140</v>
      </c>
      <c r="BK140" s="14">
        <v>45797</v>
      </c>
      <c r="BL140" s="14">
        <f>DATE(YEAR(BK140)+2,MONTH(BK140),DAY(BK140))</f>
        <v>46527</v>
      </c>
      <c r="BM140" s="65">
        <f t="shared" ca="1" si="461"/>
        <v>396</v>
      </c>
      <c r="BN140" s="15" t="str">
        <f t="shared" ca="1" si="462"/>
        <v>VIGENTE</v>
      </c>
      <c r="BO140" s="13">
        <v>45190</v>
      </c>
      <c r="BP140" s="14">
        <v>45841</v>
      </c>
      <c r="BQ140" s="14">
        <f t="shared" ref="BQ140:BQ149" si="559">DATE(YEAR(BP140)+2,MONTH(BP140),DAY(BP140))</f>
        <v>46571</v>
      </c>
      <c r="BR140" s="65">
        <f t="shared" ca="1" si="463"/>
        <v>440</v>
      </c>
      <c r="BS140" s="15" t="str">
        <f t="shared" ca="1" si="464"/>
        <v>VIGENTE</v>
      </c>
      <c r="BT140" s="13">
        <v>45183</v>
      </c>
      <c r="BU140" s="14">
        <v>45853</v>
      </c>
      <c r="BV140" s="14">
        <f>DATE(YEAR(BU140)+2,MONTH(BU140),DAY(BU140))</f>
        <v>46583</v>
      </c>
      <c r="BW140" s="65">
        <f t="shared" ca="1" si="465"/>
        <v>452</v>
      </c>
      <c r="BX140" s="15" t="str">
        <f t="shared" ca="1" si="466"/>
        <v>VIGENTE</v>
      </c>
      <c r="BY140" s="13">
        <v>45216</v>
      </c>
      <c r="BZ140" s="14">
        <v>45931</v>
      </c>
      <c r="CA140" s="14">
        <f>DATE(YEAR(BZ140)+2,MONTH(BZ140),DAY(BZ140))</f>
        <v>46661</v>
      </c>
      <c r="CB140" s="65">
        <f t="shared" ca="1" si="467"/>
        <v>530</v>
      </c>
      <c r="CC140" s="15" t="str">
        <f t="shared" ca="1" si="468"/>
        <v>VIGENTE</v>
      </c>
      <c r="CD140" s="16" t="s">
        <v>102</v>
      </c>
      <c r="CE140" s="14">
        <v>45722</v>
      </c>
      <c r="CF140" s="14">
        <v>45723</v>
      </c>
      <c r="CG140" s="14">
        <f t="shared" si="408"/>
        <v>47184</v>
      </c>
      <c r="CH140" s="65">
        <f t="shared" ca="1" si="409"/>
        <v>1053</v>
      </c>
      <c r="CI140" s="15" t="str">
        <f t="shared" ca="1" si="410"/>
        <v>VIGENTE</v>
      </c>
      <c r="CJ140" s="14">
        <v>45156</v>
      </c>
      <c r="CK140" s="14">
        <v>45801</v>
      </c>
      <c r="CL140" s="14">
        <f>DATE(YEAR(CK140)+2,MONTH(CK140),DAY(CK140)-1)</f>
        <v>46530</v>
      </c>
      <c r="CM140" s="65">
        <f t="shared" ca="1" si="469"/>
        <v>399</v>
      </c>
      <c r="CN140" s="15" t="str">
        <f t="shared" ca="1" si="470"/>
        <v>VIGENTE</v>
      </c>
      <c r="CO140" s="13">
        <v>45246</v>
      </c>
      <c r="CP140" s="14">
        <v>45888</v>
      </c>
      <c r="CQ140" s="14">
        <f>DATE(YEAR(CP140)+2,MONTH(CP140),DAY(CP140))</f>
        <v>46618</v>
      </c>
      <c r="CR140" s="65">
        <f t="shared" ca="1" si="471"/>
        <v>487</v>
      </c>
      <c r="CS140" s="15" t="str">
        <f t="shared" ca="1" si="472"/>
        <v>VIGENTE</v>
      </c>
      <c r="CT140" s="13">
        <v>45142</v>
      </c>
      <c r="CU140" s="14">
        <v>45813</v>
      </c>
      <c r="CV140" s="14">
        <f>DATE(YEAR(CU140)+2,MONTH(CU140),DAY(CU140))</f>
        <v>46543</v>
      </c>
      <c r="CW140" s="65">
        <f t="shared" ca="1" si="473"/>
        <v>412</v>
      </c>
      <c r="CX140" s="15" t="str">
        <f t="shared" ca="1" si="474"/>
        <v>VIGENTE</v>
      </c>
      <c r="CY140" s="13">
        <v>45171</v>
      </c>
      <c r="CZ140" s="14">
        <v>45843</v>
      </c>
      <c r="DA140" s="14">
        <f>DATE(YEAR(CZ140)+2,MONTH(CZ140),DAY(CZ140))</f>
        <v>46573</v>
      </c>
      <c r="DB140" s="65">
        <f t="shared" ca="1" si="475"/>
        <v>442</v>
      </c>
      <c r="DC140" s="15" t="str">
        <f t="shared" ca="1" si="476"/>
        <v>VIGENTE</v>
      </c>
      <c r="DD140" s="13">
        <v>45129</v>
      </c>
      <c r="DE140" s="14">
        <v>45761</v>
      </c>
      <c r="DF140" s="14">
        <f>DATE(YEAR(DE140)+2,MONTH(DE140),DAY(DE140))</f>
        <v>46491</v>
      </c>
      <c r="DG140" s="65">
        <f t="shared" ca="1" si="477"/>
        <v>360</v>
      </c>
      <c r="DH140" s="15" t="str">
        <f t="shared" ca="1" si="478"/>
        <v>VIGENTE</v>
      </c>
      <c r="DI140" s="13">
        <v>45251</v>
      </c>
      <c r="DJ140" s="14">
        <v>45899</v>
      </c>
      <c r="DK140" s="14">
        <f>DATE(YEAR(DJ140)+2,MONTH(DJ140),DAY(DJ140))</f>
        <v>46629</v>
      </c>
      <c r="DL140" s="65">
        <f t="shared" ca="1" si="479"/>
        <v>498</v>
      </c>
      <c r="DM140" s="15" t="str">
        <f t="shared" ca="1" si="480"/>
        <v>VIGENTE</v>
      </c>
      <c r="DN140" s="14">
        <v>45196</v>
      </c>
      <c r="DO140" s="14">
        <v>45873</v>
      </c>
      <c r="DP140" s="14">
        <f>DATE(YEAR(DO140)+2,MONTH(DO140),DAY(DO140))</f>
        <v>46603</v>
      </c>
      <c r="DQ140" s="65">
        <f t="shared" ca="1" si="481"/>
        <v>472</v>
      </c>
      <c r="DR140" s="15" t="str">
        <f t="shared" ca="1" si="482"/>
        <v>VIGENTE</v>
      </c>
      <c r="DS140" s="13">
        <v>45180</v>
      </c>
      <c r="DT140" s="14">
        <v>45852</v>
      </c>
      <c r="DU140" s="14">
        <f>DATE(YEAR(DT140)+2,MONTH(DT140),DAY(DT140))</f>
        <v>46582</v>
      </c>
      <c r="DV140" s="65">
        <f t="shared" ca="1" si="483"/>
        <v>451</v>
      </c>
      <c r="DW140" s="15" t="str">
        <f t="shared" ca="1" si="484"/>
        <v>VIGENTE</v>
      </c>
      <c r="DX140" s="13">
        <v>45170</v>
      </c>
      <c r="DY140" s="14">
        <v>45847</v>
      </c>
      <c r="DZ140" s="14">
        <f>DATE(YEAR(DY140)+2,MONTH(DY140),DAY(DY140))</f>
        <v>46577</v>
      </c>
      <c r="EA140" s="65">
        <f t="shared" ca="1" si="485"/>
        <v>446</v>
      </c>
      <c r="EB140" s="15" t="str">
        <f t="shared" ca="1" si="486"/>
        <v>VIGENTE</v>
      </c>
      <c r="EC140" s="13"/>
      <c r="ED140" s="14">
        <v>45938</v>
      </c>
      <c r="EE140" s="14">
        <f>DATE(YEAR(ED140)+2,MONTH(ED140),DAY(ED140))</f>
        <v>46668</v>
      </c>
      <c r="EF140" s="65">
        <f t="shared" ca="1" si="487"/>
        <v>537</v>
      </c>
      <c r="EG140" s="15" t="str">
        <f t="shared" ca="1" si="488"/>
        <v>VIGENTE</v>
      </c>
      <c r="EH140" s="13">
        <v>45253</v>
      </c>
      <c r="EI140" s="13">
        <v>45909</v>
      </c>
      <c r="EJ140" s="13">
        <v>45910</v>
      </c>
      <c r="EK140" s="13">
        <v>45911</v>
      </c>
      <c r="EL140" s="14">
        <f t="shared" si="546"/>
        <v>46276</v>
      </c>
      <c r="EM140" s="65">
        <f t="shared" ca="1" si="489"/>
        <v>145</v>
      </c>
      <c r="EN140" s="15" t="str">
        <f t="shared" ca="1" si="490"/>
        <v>VIGENTE</v>
      </c>
      <c r="EO140" s="13">
        <v>45175</v>
      </c>
      <c r="EP140" s="14">
        <v>45840</v>
      </c>
      <c r="EQ140" s="14">
        <f>DATE(YEAR(EP140)+2,MONTH(EP140),DAY(EP140))</f>
        <v>46570</v>
      </c>
      <c r="ER140" s="65">
        <f t="shared" ca="1" si="491"/>
        <v>439</v>
      </c>
      <c r="ES140" s="15" t="str">
        <f t="shared" ca="1" si="492"/>
        <v>VIGENTE</v>
      </c>
      <c r="ET140" s="12">
        <v>45106</v>
      </c>
      <c r="EU140" s="14">
        <v>45735</v>
      </c>
      <c r="EV140" s="14">
        <f>DATE(YEAR(EU140)+2,MONTH(EU140),DAY(EU140)-1)</f>
        <v>46464</v>
      </c>
      <c r="EW140" s="65">
        <f t="shared" ca="1" si="493"/>
        <v>333</v>
      </c>
      <c r="EX140" s="15" t="str">
        <f t="shared" ca="1" si="494"/>
        <v>VIGENTE</v>
      </c>
      <c r="EY140" s="13">
        <v>45219</v>
      </c>
      <c r="EZ140" s="14">
        <v>45917</v>
      </c>
      <c r="FA140" s="14">
        <f>DATE(YEAR(EZ140)+2,MONTH(EZ140),DAY(EZ140))</f>
        <v>46647</v>
      </c>
      <c r="FB140" s="65">
        <f t="shared" ca="1" si="495"/>
        <v>516</v>
      </c>
      <c r="FC140" s="15" t="str">
        <f t="shared" ca="1" si="496"/>
        <v>VIGENTE</v>
      </c>
      <c r="FD140" s="13">
        <v>45136</v>
      </c>
      <c r="FE140" s="14">
        <v>45803</v>
      </c>
      <c r="FF140" s="14">
        <f>DATE(YEAR(FE140)+2,MONTH(FE140),DAY(FE140))</f>
        <v>46533</v>
      </c>
      <c r="FG140" s="65">
        <f t="shared" ca="1" si="497"/>
        <v>402</v>
      </c>
      <c r="FH140" s="15" t="str">
        <f t="shared" ca="1" si="498"/>
        <v>VIGENTE</v>
      </c>
      <c r="FI140" s="12"/>
      <c r="FJ140" s="14">
        <v>45932</v>
      </c>
      <c r="FK140" s="14">
        <f>DATE(YEAR(FJ140)+2,MONTH(FJ140),DAY(FJ140))</f>
        <v>46662</v>
      </c>
      <c r="FL140" s="65">
        <f t="shared" ca="1" si="499"/>
        <v>531</v>
      </c>
      <c r="FM140" s="15" t="str">
        <f t="shared" ca="1" si="500"/>
        <v>VIGENTE</v>
      </c>
      <c r="FN140" s="13">
        <v>45197</v>
      </c>
      <c r="FO140" s="14">
        <v>45850</v>
      </c>
      <c r="FP140" s="14">
        <f>DATE(YEAR(FO140)+2,MONTH(FO140),DAY(FO140))</f>
        <v>46580</v>
      </c>
      <c r="FQ140" s="65">
        <f t="shared" ca="1" si="501"/>
        <v>449</v>
      </c>
      <c r="FR140" s="15" t="str">
        <f t="shared" ca="1" si="502"/>
        <v>VIGENTE</v>
      </c>
      <c r="FS140" s="13">
        <v>45148</v>
      </c>
      <c r="FT140" s="14">
        <v>45846</v>
      </c>
      <c r="FU140" s="14">
        <f>DATE(YEAR(FT140)+2,MONTH(FT140),DAY(FT140))</f>
        <v>46576</v>
      </c>
      <c r="FV140" s="65">
        <f t="shared" ca="1" si="503"/>
        <v>445</v>
      </c>
      <c r="FW140" s="15" t="str">
        <f t="shared" ca="1" si="504"/>
        <v>VIGENTE</v>
      </c>
      <c r="FX140" s="13">
        <v>45204</v>
      </c>
      <c r="FY140" s="14">
        <v>45875</v>
      </c>
      <c r="FZ140" s="14">
        <f>DATE(YEAR(FY140)+2,MONTH(FY140),DAY(FY140))</f>
        <v>46605</v>
      </c>
      <c r="GA140" s="65">
        <f t="shared" ca="1" si="505"/>
        <v>474</v>
      </c>
      <c r="GB140" s="15" t="str">
        <f t="shared" ca="1" si="506"/>
        <v>VIGENTE</v>
      </c>
      <c r="GC140" s="13">
        <v>45088</v>
      </c>
      <c r="GD140" s="14">
        <v>45741</v>
      </c>
      <c r="GE140" s="14">
        <f>DATE(YEAR(GD140)+2,MONTH(GD140),DAY(GD140)-1)</f>
        <v>46470</v>
      </c>
      <c r="GF140" s="65">
        <f t="shared" ca="1" si="507"/>
        <v>339</v>
      </c>
      <c r="GG140" s="15" t="str">
        <f t="shared" ca="1" si="508"/>
        <v>VIGENTE</v>
      </c>
      <c r="GH140" s="13">
        <v>45252</v>
      </c>
      <c r="GI140" s="14">
        <v>45912</v>
      </c>
      <c r="GJ140" s="14">
        <f>DATE(YEAR(GI140)+2,MONTH(GI140),DAY(GI140))</f>
        <v>46642</v>
      </c>
      <c r="GK140" s="65">
        <f t="shared" ca="1" si="509"/>
        <v>511</v>
      </c>
      <c r="GL140" s="15" t="str">
        <f t="shared" ca="1" si="510"/>
        <v>VIGENTE</v>
      </c>
      <c r="GM140" s="13">
        <v>45247</v>
      </c>
      <c r="GN140" s="14">
        <v>45945</v>
      </c>
      <c r="GO140" s="14">
        <f t="shared" ref="GO140:GO149" si="560">DATE(YEAR(GN140)+2,MONTH(GN140),DAY(GN140))</f>
        <v>46675</v>
      </c>
      <c r="GP140" s="65">
        <f t="shared" ca="1" si="511"/>
        <v>544</v>
      </c>
      <c r="GQ140" s="15" t="str">
        <f t="shared" ca="1" si="512"/>
        <v>VIGENTE</v>
      </c>
      <c r="GR140" s="14"/>
      <c r="GS140" s="14">
        <v>45169</v>
      </c>
      <c r="GT140" s="14">
        <f t="shared" si="513"/>
        <v>46996</v>
      </c>
      <c r="GU140" s="65">
        <f t="shared" ca="1" si="398"/>
        <v>865</v>
      </c>
      <c r="GV140" s="15" t="str">
        <f t="shared" ca="1" si="411"/>
        <v>VIGENTE</v>
      </c>
      <c r="GW140" s="13"/>
      <c r="GX140" s="14">
        <v>45245</v>
      </c>
      <c r="GY140" s="14">
        <f t="shared" si="514"/>
        <v>47072</v>
      </c>
      <c r="GZ140" s="65">
        <f t="shared" ca="1" si="515"/>
        <v>941</v>
      </c>
      <c r="HA140" s="15" t="str">
        <f t="shared" ca="1" si="418"/>
        <v>VIGENTE</v>
      </c>
      <c r="HB140" s="12"/>
      <c r="HC140" s="14">
        <v>45182</v>
      </c>
      <c r="HD140" s="14">
        <f t="shared" si="516"/>
        <v>47009</v>
      </c>
      <c r="HE140" s="65">
        <f t="shared" ca="1" si="517"/>
        <v>878</v>
      </c>
      <c r="HF140" s="15" t="str">
        <f t="shared" ca="1" si="413"/>
        <v>VIGENTE</v>
      </c>
      <c r="HG140" s="16"/>
      <c r="HH140" s="16"/>
      <c r="HI140" s="14"/>
      <c r="HJ140" s="65"/>
      <c r="HK140" s="15" t="str">
        <f t="shared" si="419"/>
        <v>NO APLICA</v>
      </c>
      <c r="HL140" s="12"/>
      <c r="HM140" s="16"/>
      <c r="HN140" s="14"/>
      <c r="HO140" s="65"/>
      <c r="HP140" s="15" t="str">
        <f t="shared" si="437"/>
        <v>NO APLICA</v>
      </c>
      <c r="HQ140" s="12"/>
      <c r="HR140" s="12"/>
      <c r="HS140" s="14"/>
      <c r="HT140" s="12"/>
      <c r="HU140" s="15" t="str">
        <f t="shared" si="518"/>
        <v>NO APLICA</v>
      </c>
      <c r="HV140" s="12"/>
      <c r="HW140" s="16"/>
      <c r="HX140" s="14"/>
      <c r="HY140" s="65"/>
      <c r="HZ140" s="15" t="str">
        <f t="shared" si="519"/>
        <v>NO APLICA</v>
      </c>
      <c r="IA140" s="12"/>
      <c r="IB140" s="16"/>
      <c r="IC140" s="14"/>
      <c r="ID140" s="65"/>
      <c r="IE140" s="15" t="str">
        <f t="shared" si="520"/>
        <v>NO APLICA</v>
      </c>
      <c r="IF140" s="12"/>
      <c r="IG140" s="16"/>
      <c r="IH140" s="14"/>
      <c r="II140" s="65"/>
      <c r="IJ140" s="15" t="str">
        <f t="shared" si="521"/>
        <v>NO APLICA</v>
      </c>
      <c r="IK140" s="16"/>
      <c r="IL140" s="16"/>
      <c r="IM140" s="14"/>
      <c r="IN140" s="65"/>
      <c r="IO140" s="15" t="str">
        <f t="shared" si="522"/>
        <v>NO APLICA</v>
      </c>
      <c r="IP140" s="12"/>
      <c r="IQ140" s="16"/>
      <c r="IR140" s="14"/>
      <c r="IS140" s="65"/>
      <c r="IT140" s="15" t="str">
        <f t="shared" si="523"/>
        <v>NO APLICA</v>
      </c>
      <c r="IU140" s="12"/>
      <c r="IV140" s="16"/>
      <c r="IW140" s="14"/>
      <c r="IX140" s="65"/>
      <c r="IY140" s="15" t="str">
        <f t="shared" si="524"/>
        <v>NO APLICA</v>
      </c>
      <c r="IZ140" s="12"/>
      <c r="JA140" s="16"/>
      <c r="JB140" s="14"/>
      <c r="JC140" s="65"/>
      <c r="JD140" s="15" t="str">
        <f t="shared" si="525"/>
        <v>NO APLICA</v>
      </c>
      <c r="JE140" s="13"/>
      <c r="JF140" s="13"/>
      <c r="JG140" s="14"/>
      <c r="JH140" s="65"/>
      <c r="JI140" s="15" t="str">
        <f t="shared" si="526"/>
        <v>NO APLICA</v>
      </c>
      <c r="JJ140" s="16"/>
      <c r="JK140" s="16"/>
      <c r="JL140" s="16"/>
      <c r="JM140" s="15" t="str">
        <f t="shared" si="527"/>
        <v>NO APLICA</v>
      </c>
      <c r="JN140" s="16"/>
      <c r="JO140" s="16"/>
      <c r="JP140" s="16"/>
      <c r="JQ140" s="15" t="str">
        <f t="shared" si="528"/>
        <v>NO APLICA</v>
      </c>
      <c r="JR140" s="16"/>
      <c r="JS140" s="16"/>
      <c r="JT140" s="16"/>
      <c r="JU140" s="16"/>
      <c r="JV140" s="15" t="str">
        <f t="shared" si="529"/>
        <v>NO APLICA</v>
      </c>
      <c r="JW140" s="15"/>
      <c r="JX140" s="13">
        <v>45948</v>
      </c>
      <c r="JY140" s="14">
        <f>DATE(YEAR(JX140)+2,MONTH(JX140),DAY(JX140))</f>
        <v>46678</v>
      </c>
      <c r="JZ140" s="65">
        <f ca="1">JY140-TODAY()</f>
        <v>547</v>
      </c>
      <c r="KA140" s="15" t="str">
        <f t="shared" ca="1" si="530"/>
        <v>VIGENTE</v>
      </c>
      <c r="KB140" s="12"/>
      <c r="KC140" s="14"/>
      <c r="KD140" s="65"/>
      <c r="KE140" s="15" t="str">
        <f t="shared" si="531"/>
        <v>NO APLICA</v>
      </c>
      <c r="KF140" s="12"/>
      <c r="KG140" s="14"/>
      <c r="KH140" s="65"/>
      <c r="KI140" s="15" t="str">
        <f t="shared" si="547"/>
        <v>NO APLICA</v>
      </c>
      <c r="KJ140" s="12"/>
      <c r="KK140" s="14"/>
      <c r="KL140" s="65"/>
      <c r="KM140" s="15" t="str">
        <f t="shared" si="532"/>
        <v>NO APLICA</v>
      </c>
      <c r="KN140" s="12"/>
      <c r="KO140" s="14"/>
      <c r="KP140" s="65"/>
      <c r="KQ140" s="15" t="str">
        <f t="shared" si="548"/>
        <v>NO APLICA</v>
      </c>
      <c r="KR140" s="12"/>
      <c r="KS140" s="16"/>
      <c r="KT140" s="14"/>
      <c r="KU140" s="65"/>
      <c r="KV140" s="15" t="str">
        <f t="shared" si="554"/>
        <v>NO APLICA</v>
      </c>
      <c r="KW140" s="16"/>
      <c r="KX140" s="14"/>
      <c r="KY140" s="65"/>
      <c r="KZ140" s="15" t="str">
        <f t="shared" si="549"/>
        <v>NO APLICA</v>
      </c>
      <c r="LA140" s="16"/>
      <c r="LB140" s="16"/>
      <c r="LC140" s="14"/>
      <c r="LD140" s="65"/>
      <c r="LE140" s="15" t="str">
        <f t="shared" si="556"/>
        <v>NO APLICA</v>
      </c>
      <c r="LF140" s="15"/>
      <c r="LG140" s="15"/>
      <c r="LH140" s="14"/>
      <c r="LI140" s="65"/>
      <c r="LJ140" s="15" t="str">
        <f t="shared" si="555"/>
        <v>NO APLICA</v>
      </c>
      <c r="LK140" s="12"/>
      <c r="LL140" s="16"/>
      <c r="LM140" s="14"/>
      <c r="LN140" s="65"/>
      <c r="LO140" s="15" t="str">
        <f t="shared" si="550"/>
        <v>NO APLICA</v>
      </c>
      <c r="LP140" s="16"/>
      <c r="LQ140" s="16"/>
      <c r="LR140" s="14"/>
      <c r="LS140" s="65"/>
      <c r="LT140" s="15" t="str">
        <f t="shared" si="551"/>
        <v>NO APLICA</v>
      </c>
      <c r="LU140" s="16"/>
      <c r="LV140" s="16"/>
      <c r="LW140" s="14"/>
      <c r="LX140" s="65"/>
      <c r="LY140" s="15" t="str">
        <f t="shared" si="552"/>
        <v>NO APLICA</v>
      </c>
      <c r="LZ140" s="12"/>
      <c r="MA140" s="12"/>
      <c r="MB140" s="14"/>
      <c r="MC140" s="65"/>
      <c r="MD140" s="15" t="str">
        <f t="shared" si="534"/>
        <v>NO APLICA</v>
      </c>
      <c r="ME140" s="12"/>
      <c r="MF140" s="12"/>
      <c r="MG140" s="14"/>
      <c r="MH140" s="65"/>
      <c r="MI140" s="15" t="str">
        <f t="shared" si="535"/>
        <v>NO APLICA</v>
      </c>
      <c r="MJ140" s="12"/>
      <c r="MK140" s="14"/>
      <c r="ML140" s="65"/>
      <c r="MM140" s="15" t="str">
        <f t="shared" si="536"/>
        <v>NO APLICA</v>
      </c>
      <c r="MN140" s="12"/>
      <c r="MO140" s="14"/>
      <c r="MP140" s="12"/>
      <c r="MQ140" s="15" t="str">
        <f t="shared" si="537"/>
        <v>NO APLICA</v>
      </c>
      <c r="MR140" s="12"/>
      <c r="MS140" s="16"/>
      <c r="MT140" s="14"/>
      <c r="MU140" s="65"/>
      <c r="MV140" s="15" t="str">
        <f t="shared" si="538"/>
        <v>NO APLICA</v>
      </c>
      <c r="MW140" s="12"/>
      <c r="MX140" s="16"/>
      <c r="MY140" s="14"/>
      <c r="MZ140" s="65"/>
      <c r="NA140" s="15" t="str">
        <f t="shared" si="539"/>
        <v>NO APLICA</v>
      </c>
      <c r="NB140" s="12"/>
      <c r="NC140" s="16"/>
      <c r="ND140" s="14"/>
      <c r="NE140" s="65"/>
      <c r="NF140" s="15" t="str">
        <f t="shared" si="540"/>
        <v>NO APLICA</v>
      </c>
      <c r="NG140" s="12"/>
      <c r="NH140" s="12"/>
      <c r="NI140" s="14"/>
      <c r="NJ140" s="65"/>
      <c r="NK140" s="15" t="str">
        <f t="shared" si="541"/>
        <v>NO APLICA</v>
      </c>
      <c r="NL140" s="12"/>
      <c r="NM140" s="12"/>
      <c r="NN140" s="14"/>
      <c r="NO140" s="12"/>
      <c r="NP140" s="15" t="str">
        <f t="shared" si="542"/>
        <v>NO APLICA</v>
      </c>
      <c r="NQ140" s="16"/>
      <c r="NR140" s="16"/>
      <c r="NS140" s="14"/>
      <c r="NT140" s="65"/>
      <c r="NU140" s="15" t="str">
        <f t="shared" si="543"/>
        <v>NO APLICA</v>
      </c>
      <c r="NV140" s="16"/>
      <c r="NW140" s="16"/>
      <c r="NX140" s="16"/>
      <c r="NY140" s="16"/>
      <c r="NZ140" s="15" t="str">
        <f t="shared" si="544"/>
        <v>NO APLICA</v>
      </c>
    </row>
    <row r="141" spans="1:390" ht="15.6" thickTop="1" thickBot="1" x14ac:dyDescent="0.35">
      <c r="A141" s="11">
        <v>1341</v>
      </c>
      <c r="B141" s="10" t="s">
        <v>517</v>
      </c>
      <c r="C141" s="21" t="s">
        <v>104</v>
      </c>
      <c r="D141" s="64" t="s">
        <v>110</v>
      </c>
      <c r="E141" s="16"/>
      <c r="F141" s="16"/>
      <c r="G141" s="16"/>
      <c r="H141" s="16"/>
      <c r="I141" s="15" t="str">
        <f t="shared" si="448"/>
        <v>NO APLICA</v>
      </c>
      <c r="J141" s="16"/>
      <c r="K141" s="16"/>
      <c r="L141" s="16"/>
      <c r="M141" s="16"/>
      <c r="N141" s="15" t="str">
        <f t="shared" si="449"/>
        <v>NO APLICA</v>
      </c>
      <c r="O141" s="16"/>
      <c r="P141" s="16"/>
      <c r="Q141" s="16"/>
      <c r="R141" s="16"/>
      <c r="S141" s="15" t="str">
        <f t="shared" si="545"/>
        <v>NO APLICA</v>
      </c>
      <c r="T141" s="16" t="s">
        <v>518</v>
      </c>
      <c r="U141" s="14">
        <v>45336</v>
      </c>
      <c r="V141" s="14">
        <v>45337</v>
      </c>
      <c r="W141" s="14">
        <f t="shared" si="401"/>
        <v>47164</v>
      </c>
      <c r="X141" s="65">
        <f t="shared" ca="1" si="402"/>
        <v>1033</v>
      </c>
      <c r="Y141" s="15" t="str">
        <f t="shared" ca="1" si="403"/>
        <v>VIGENTE</v>
      </c>
      <c r="Z141" s="16" t="s">
        <v>519</v>
      </c>
      <c r="AA141" s="13">
        <v>45463</v>
      </c>
      <c r="AB141" s="14">
        <v>45464</v>
      </c>
      <c r="AC141" s="14">
        <f>DATE(YEAR(AB141)+5,MONTH(AB141),DAY(AB141))</f>
        <v>47290</v>
      </c>
      <c r="AD141" s="65">
        <f ca="1">AC141-TODAY()</f>
        <v>1159</v>
      </c>
      <c r="AE141" s="15" t="str">
        <f t="shared" ca="1" si="553"/>
        <v>VIGENTE</v>
      </c>
      <c r="AF141" s="14">
        <v>45334</v>
      </c>
      <c r="AG141" s="14">
        <v>46002</v>
      </c>
      <c r="AH141" s="14">
        <f>DATE(YEAR(AG141)+2,MONTH(AG141),DAY(AG141))</f>
        <v>46732</v>
      </c>
      <c r="AI141" s="65">
        <f t="shared" ca="1" si="450"/>
        <v>601</v>
      </c>
      <c r="AJ141" s="15" t="str">
        <f t="shared" ca="1" si="399"/>
        <v>VIGENTE</v>
      </c>
      <c r="AK141" s="14">
        <v>45446</v>
      </c>
      <c r="AL141" s="14">
        <v>46084</v>
      </c>
      <c r="AM141" s="14">
        <f>DATE(YEAR(AL141)+2,MONTH(AL141),DAY(AL141))</f>
        <v>46815</v>
      </c>
      <c r="AN141" s="65">
        <f t="shared" ca="1" si="451"/>
        <v>684</v>
      </c>
      <c r="AO141" s="15" t="str">
        <f t="shared" ca="1" si="452"/>
        <v>VIGENTE</v>
      </c>
      <c r="AP141" s="16"/>
      <c r="AQ141" s="14">
        <v>46048</v>
      </c>
      <c r="AR141" s="14">
        <f t="shared" si="557"/>
        <v>46778</v>
      </c>
      <c r="AS141" s="65">
        <f t="shared" ca="1" si="453"/>
        <v>647</v>
      </c>
      <c r="AT141" s="15" t="str">
        <f t="shared" ca="1" si="454"/>
        <v>VIGENTE</v>
      </c>
      <c r="AU141" s="16"/>
      <c r="AV141" s="14">
        <v>46070</v>
      </c>
      <c r="AW141" s="14">
        <f t="shared" si="558"/>
        <v>46800</v>
      </c>
      <c r="AX141" s="65">
        <f t="shared" ca="1" si="455"/>
        <v>669</v>
      </c>
      <c r="AY141" s="15" t="str">
        <f t="shared" ca="1" si="456"/>
        <v>VIGENTE</v>
      </c>
      <c r="AZ141" s="13">
        <v>45387</v>
      </c>
      <c r="BA141" s="14">
        <v>46041</v>
      </c>
      <c r="BB141" s="14">
        <f>DATE(YEAR(BA141)+2,MONTH(BA141),DAY(BA141))</f>
        <v>46771</v>
      </c>
      <c r="BC141" s="65">
        <f t="shared" ca="1" si="457"/>
        <v>640</v>
      </c>
      <c r="BD141" s="15" t="str">
        <f t="shared" ca="1" si="458"/>
        <v>VIGENTE</v>
      </c>
      <c r="BE141" s="16"/>
      <c r="BF141" s="14">
        <v>45987</v>
      </c>
      <c r="BG141" s="14">
        <f>DATE(YEAR(BF141)+2,MONTH(BF141),DAY(BF141))</f>
        <v>46717</v>
      </c>
      <c r="BH141" s="65">
        <f t="shared" ca="1" si="459"/>
        <v>586</v>
      </c>
      <c r="BI141" s="15" t="str">
        <f t="shared" ca="1" si="460"/>
        <v>VIGENTE</v>
      </c>
      <c r="BJ141" s="14">
        <v>45372</v>
      </c>
      <c r="BK141" s="14">
        <v>46035</v>
      </c>
      <c r="BL141" s="14">
        <f>DATE(YEAR(BK141)+2,MONTH(BK141),DAY(BK141))</f>
        <v>46765</v>
      </c>
      <c r="BM141" s="65">
        <f t="shared" ca="1" si="461"/>
        <v>634</v>
      </c>
      <c r="BN141" s="15" t="str">
        <f t="shared" ca="1" si="462"/>
        <v>VIGENTE</v>
      </c>
      <c r="BO141" s="14"/>
      <c r="BP141" s="14">
        <v>45988</v>
      </c>
      <c r="BQ141" s="14">
        <f t="shared" si="559"/>
        <v>46718</v>
      </c>
      <c r="BR141" s="65">
        <f t="shared" ca="1" si="463"/>
        <v>587</v>
      </c>
      <c r="BS141" s="15" t="str">
        <f t="shared" ca="1" si="464"/>
        <v>VIGENTE</v>
      </c>
      <c r="BT141" s="13">
        <v>45362</v>
      </c>
      <c r="BU141" s="14">
        <v>46031</v>
      </c>
      <c r="BV141" s="14">
        <f>DATE(YEAR(BU141)+2,MONTH(BU141),DAY(BU141))</f>
        <v>46761</v>
      </c>
      <c r="BW141" s="65">
        <f t="shared" ca="1" si="465"/>
        <v>630</v>
      </c>
      <c r="BX141" s="15" t="str">
        <f t="shared" ca="1" si="466"/>
        <v>VIGENTE</v>
      </c>
      <c r="BY141" s="16"/>
      <c r="BZ141" s="14">
        <v>45986</v>
      </c>
      <c r="CA141" s="14">
        <f>DATE(YEAR(BZ141)+2,MONTH(BZ141),DAY(BZ141))</f>
        <v>46716</v>
      </c>
      <c r="CB141" s="65">
        <f t="shared" ca="1" si="467"/>
        <v>585</v>
      </c>
      <c r="CC141" s="15" t="str">
        <f t="shared" ca="1" si="468"/>
        <v>VIGENTE</v>
      </c>
      <c r="CD141" s="16" t="s">
        <v>108</v>
      </c>
      <c r="CE141" s="14">
        <v>45345</v>
      </c>
      <c r="CF141" s="14">
        <v>45346</v>
      </c>
      <c r="CG141" s="14">
        <f t="shared" si="408"/>
        <v>46807</v>
      </c>
      <c r="CH141" s="65">
        <f t="shared" ca="1" si="409"/>
        <v>676</v>
      </c>
      <c r="CI141" s="15" t="str">
        <f t="shared" ca="1" si="410"/>
        <v>VIGENTE</v>
      </c>
      <c r="CJ141" s="14">
        <v>45363</v>
      </c>
      <c r="CK141" s="14">
        <v>46018</v>
      </c>
      <c r="CL141" s="14">
        <f>DATE(YEAR(CK141)+2,MONTH(CK141),DAY(CK141))</f>
        <v>46748</v>
      </c>
      <c r="CM141" s="65">
        <f t="shared" ca="1" si="469"/>
        <v>617</v>
      </c>
      <c r="CN141" s="15" t="str">
        <f t="shared" ca="1" si="470"/>
        <v>VIGENTE</v>
      </c>
      <c r="CO141" s="14">
        <v>45442</v>
      </c>
      <c r="CP141" s="14">
        <v>46101</v>
      </c>
      <c r="CQ141" s="14">
        <f>DATE(YEAR(CP141)+2,MONTH(CP141),DAY(CP141))</f>
        <v>46832</v>
      </c>
      <c r="CR141" s="65">
        <f t="shared" ca="1" si="471"/>
        <v>701</v>
      </c>
      <c r="CS141" s="15" t="str">
        <f t="shared" ca="1" si="472"/>
        <v>VIGENTE</v>
      </c>
      <c r="CT141" s="14">
        <v>45361</v>
      </c>
      <c r="CU141" s="14">
        <v>46043</v>
      </c>
      <c r="CV141" s="14">
        <f>DATE(YEAR(CU141)+2,MONTH(CU141),DAY(CU141))</f>
        <v>46773</v>
      </c>
      <c r="CW141" s="65">
        <f t="shared" ca="1" si="473"/>
        <v>642</v>
      </c>
      <c r="CX141" s="15" t="str">
        <f t="shared" ca="1" si="474"/>
        <v>VIGENTE</v>
      </c>
      <c r="CY141" s="14">
        <v>45407</v>
      </c>
      <c r="CZ141" s="14">
        <v>46028</v>
      </c>
      <c r="DA141" s="14">
        <f>DATE(YEAR(CZ141)+2,MONTH(CZ141),DAY(CZ141))</f>
        <v>46758</v>
      </c>
      <c r="DB141" s="65">
        <f t="shared" ca="1" si="475"/>
        <v>627</v>
      </c>
      <c r="DC141" s="15" t="str">
        <f t="shared" ca="1" si="476"/>
        <v>VIGENTE</v>
      </c>
      <c r="DD141" s="14">
        <v>45365</v>
      </c>
      <c r="DE141" s="14">
        <v>46066</v>
      </c>
      <c r="DF141" s="14">
        <f>DATE(YEAR(DE141)+2,MONTH(DE141),DAY(DE141))</f>
        <v>46796</v>
      </c>
      <c r="DG141" s="65">
        <f t="shared" ca="1" si="477"/>
        <v>665</v>
      </c>
      <c r="DH141" s="15" t="str">
        <f t="shared" ca="1" si="478"/>
        <v>VIGENTE</v>
      </c>
      <c r="DI141" s="16"/>
      <c r="DJ141" s="14">
        <v>45451</v>
      </c>
      <c r="DK141" s="14">
        <f>DATE(YEAR(DJ141)+2,MONTH(DJ141),DAY(DJ141)-1)</f>
        <v>46180</v>
      </c>
      <c r="DL141" s="65">
        <f t="shared" ca="1" si="479"/>
        <v>49</v>
      </c>
      <c r="DM141" s="15" t="str">
        <f t="shared" ca="1" si="480"/>
        <v>POR VENCER</v>
      </c>
      <c r="DN141" s="14"/>
      <c r="DO141" s="14">
        <v>46046</v>
      </c>
      <c r="DP141" s="14">
        <f>DATE(YEAR(DO141)+2,MONTH(DO141),DAY(DO141))</f>
        <v>46776</v>
      </c>
      <c r="DQ141" s="65">
        <f t="shared" ca="1" si="481"/>
        <v>645</v>
      </c>
      <c r="DR141" s="15" t="str">
        <f t="shared" ca="1" si="482"/>
        <v>VIGENTE</v>
      </c>
      <c r="DS141" s="16"/>
      <c r="DT141" s="14">
        <v>46053</v>
      </c>
      <c r="DU141" s="14">
        <f>DATE(YEAR(DT141)+2,MONTH(DT141),DAY(DT141))</f>
        <v>46783</v>
      </c>
      <c r="DV141" s="65">
        <f t="shared" ca="1" si="483"/>
        <v>652</v>
      </c>
      <c r="DW141" s="15" t="str">
        <f t="shared" ca="1" si="484"/>
        <v>VIGENTE</v>
      </c>
      <c r="DX141" s="14">
        <v>45432</v>
      </c>
      <c r="DY141" s="14">
        <v>46099</v>
      </c>
      <c r="DZ141" s="14">
        <f>DATE(YEAR(DY141)+2,MONTH(DY141),DAY(DY141))</f>
        <v>46830</v>
      </c>
      <c r="EA141" s="65">
        <f t="shared" ca="1" si="485"/>
        <v>699</v>
      </c>
      <c r="EB141" s="15" t="str">
        <f t="shared" ca="1" si="486"/>
        <v>VIGENTE</v>
      </c>
      <c r="EC141" s="14">
        <v>45450</v>
      </c>
      <c r="ED141" s="14">
        <v>46104</v>
      </c>
      <c r="EE141" s="14">
        <f>DATE(YEAR(ED141)+2,MONTH(ED141),DAY(ED141))</f>
        <v>46835</v>
      </c>
      <c r="EF141" s="65">
        <f t="shared" ca="1" si="487"/>
        <v>704</v>
      </c>
      <c r="EG141" s="15" t="str">
        <f t="shared" ca="1" si="488"/>
        <v>VIGENTE</v>
      </c>
      <c r="EH141" s="14">
        <v>45434</v>
      </c>
      <c r="EI141" s="14">
        <v>45806</v>
      </c>
      <c r="EJ141" s="14">
        <v>45807</v>
      </c>
      <c r="EK141" s="14">
        <v>45808</v>
      </c>
      <c r="EL141" s="14">
        <f t="shared" si="546"/>
        <v>46173</v>
      </c>
      <c r="EM141" s="65">
        <f t="shared" ca="1" si="489"/>
        <v>42</v>
      </c>
      <c r="EN141" s="15" t="str">
        <f t="shared" ca="1" si="490"/>
        <v>POR VENCER</v>
      </c>
      <c r="EO141" s="14"/>
      <c r="EP141" s="14">
        <v>46100</v>
      </c>
      <c r="EQ141" s="14">
        <f>DATE(YEAR(EP141)+2,MONTH(EP141),DAY(EP141))</f>
        <v>46831</v>
      </c>
      <c r="ER141" s="65">
        <f t="shared" ca="1" si="491"/>
        <v>700</v>
      </c>
      <c r="ES141" s="15" t="str">
        <f t="shared" ca="1" si="492"/>
        <v>VIGENTE</v>
      </c>
      <c r="ET141" s="16"/>
      <c r="EU141" s="14">
        <v>45999</v>
      </c>
      <c r="EV141" s="14">
        <f>DATE(YEAR(EU141)+2,MONTH(EU141),DAY(EU141))</f>
        <v>46729</v>
      </c>
      <c r="EW141" s="65">
        <f t="shared" ca="1" si="493"/>
        <v>598</v>
      </c>
      <c r="EX141" s="15" t="str">
        <f t="shared" ca="1" si="494"/>
        <v>VIGENTE</v>
      </c>
      <c r="EY141" s="14">
        <v>45373</v>
      </c>
      <c r="EZ141" s="14">
        <v>46063</v>
      </c>
      <c r="FA141" s="14">
        <f>DATE(YEAR(EZ141)+2,MONTH(EZ141),DAY(EZ141))</f>
        <v>46793</v>
      </c>
      <c r="FB141" s="65">
        <f t="shared" ca="1" si="495"/>
        <v>662</v>
      </c>
      <c r="FC141" s="15" t="str">
        <f t="shared" ca="1" si="496"/>
        <v>VIGENTE</v>
      </c>
      <c r="FD141" s="14">
        <v>45354</v>
      </c>
      <c r="FE141" s="14">
        <v>46017</v>
      </c>
      <c r="FF141" s="14">
        <f>DATE(YEAR(FE141)+2,MONTH(FE141),DAY(FE141))</f>
        <v>46747</v>
      </c>
      <c r="FG141" s="65">
        <f t="shared" ca="1" si="497"/>
        <v>616</v>
      </c>
      <c r="FH141" s="15" t="str">
        <f t="shared" ca="1" si="498"/>
        <v>VIGENTE</v>
      </c>
      <c r="FI141" s="16"/>
      <c r="FJ141" s="14">
        <v>46009</v>
      </c>
      <c r="FK141" s="14">
        <f>DATE(YEAR(FJ141)+2,MONTH(FJ141),DAY(FJ141))</f>
        <v>46739</v>
      </c>
      <c r="FL141" s="65">
        <f t="shared" ca="1" si="499"/>
        <v>608</v>
      </c>
      <c r="FM141" s="15" t="str">
        <f t="shared" ca="1" si="500"/>
        <v>VIGENTE</v>
      </c>
      <c r="FN141" s="14">
        <v>45359</v>
      </c>
      <c r="FO141" s="14">
        <v>46039</v>
      </c>
      <c r="FP141" s="14">
        <f>DATE(YEAR(FO141)+2,MONTH(FO141),DAY(FO141))</f>
        <v>46769</v>
      </c>
      <c r="FQ141" s="65">
        <f t="shared" ca="1" si="501"/>
        <v>638</v>
      </c>
      <c r="FR141" s="15" t="str">
        <f t="shared" ca="1" si="502"/>
        <v>VIGENTE</v>
      </c>
      <c r="FS141" s="14">
        <v>45376</v>
      </c>
      <c r="FT141" s="14">
        <v>46034</v>
      </c>
      <c r="FU141" s="14">
        <f>DATE(YEAR(FT141)+2,MONTH(FT141),DAY(FT141))</f>
        <v>46764</v>
      </c>
      <c r="FV141" s="65">
        <f t="shared" ca="1" si="503"/>
        <v>633</v>
      </c>
      <c r="FW141" s="15" t="str">
        <f t="shared" ca="1" si="504"/>
        <v>VIGENTE</v>
      </c>
      <c r="FX141" s="14"/>
      <c r="FY141" s="14">
        <v>46014</v>
      </c>
      <c r="FZ141" s="14">
        <f>DATE(YEAR(FY141)+2,MONTH(FY141),DAY(FY141))</f>
        <v>46744</v>
      </c>
      <c r="GA141" s="65">
        <f t="shared" ca="1" si="505"/>
        <v>613</v>
      </c>
      <c r="GB141" s="15" t="str">
        <f t="shared" ca="1" si="506"/>
        <v>VIGENTE</v>
      </c>
      <c r="GC141" s="14"/>
      <c r="GD141" s="14">
        <v>46003</v>
      </c>
      <c r="GE141" s="14">
        <f>DATE(YEAR(GD141)+2,MONTH(GD141),DAY(GD141))</f>
        <v>46733</v>
      </c>
      <c r="GF141" s="65">
        <f t="shared" ca="1" si="507"/>
        <v>602</v>
      </c>
      <c r="GG141" s="15" t="str">
        <f t="shared" ca="1" si="508"/>
        <v>VIGENTE</v>
      </c>
      <c r="GH141" s="14">
        <v>45391</v>
      </c>
      <c r="GI141" s="14">
        <v>46072</v>
      </c>
      <c r="GJ141" s="14">
        <f>DATE(YEAR(GI141)+2,MONTH(GI141),DAY(GI141))</f>
        <v>46802</v>
      </c>
      <c r="GK141" s="65">
        <f t="shared" ca="1" si="509"/>
        <v>671</v>
      </c>
      <c r="GL141" s="15" t="str">
        <f t="shared" ca="1" si="510"/>
        <v>VIGENTE</v>
      </c>
      <c r="GM141" s="13">
        <v>45368</v>
      </c>
      <c r="GN141" s="14">
        <v>46044</v>
      </c>
      <c r="GO141" s="14">
        <f t="shared" si="560"/>
        <v>46774</v>
      </c>
      <c r="GP141" s="65">
        <f t="shared" ca="1" si="511"/>
        <v>643</v>
      </c>
      <c r="GQ141" s="15" t="str">
        <f t="shared" ca="1" si="512"/>
        <v>VIGENTE</v>
      </c>
      <c r="GR141" s="14"/>
      <c r="GS141" s="14">
        <v>45367</v>
      </c>
      <c r="GT141" s="14">
        <f t="shared" si="513"/>
        <v>47193</v>
      </c>
      <c r="GU141" s="65">
        <f t="shared" ca="1" si="398"/>
        <v>1062</v>
      </c>
      <c r="GV141" s="15" t="str">
        <f t="shared" ca="1" si="411"/>
        <v>VIGENTE</v>
      </c>
      <c r="GW141" s="14"/>
      <c r="GX141" s="14">
        <v>45389</v>
      </c>
      <c r="GY141" s="14">
        <f t="shared" si="514"/>
        <v>47215</v>
      </c>
      <c r="GZ141" s="65">
        <f t="shared" ca="1" si="515"/>
        <v>1084</v>
      </c>
      <c r="HA141" s="15" t="str">
        <f t="shared" ca="1" si="418"/>
        <v>VIGENTE</v>
      </c>
      <c r="HB141" s="16"/>
      <c r="HC141" s="14">
        <v>45348</v>
      </c>
      <c r="HD141" s="14">
        <f t="shared" si="516"/>
        <v>47175</v>
      </c>
      <c r="HE141" s="65">
        <f t="shared" ca="1" si="517"/>
        <v>1044</v>
      </c>
      <c r="HF141" s="15" t="str">
        <f t="shared" ca="1" si="413"/>
        <v>VIGENTE</v>
      </c>
      <c r="HG141" s="16"/>
      <c r="HH141" s="14">
        <v>45401</v>
      </c>
      <c r="HI141" s="14">
        <f>DATE(YEAR(HH141)+5,MONTH(HH141),DAY(HH141))</f>
        <v>47227</v>
      </c>
      <c r="HJ141" s="65">
        <f ca="1">HI141-TODAY()</f>
        <v>1096</v>
      </c>
      <c r="HK141" s="15" t="str">
        <f t="shared" ca="1" si="419"/>
        <v>VIGENTE</v>
      </c>
      <c r="HL141" s="16"/>
      <c r="HM141" s="16"/>
      <c r="HN141" s="14"/>
      <c r="HO141" s="65"/>
      <c r="HP141" s="15" t="str">
        <f t="shared" si="437"/>
        <v>NO APLICA</v>
      </c>
      <c r="HQ141" s="12"/>
      <c r="HR141" s="12"/>
      <c r="HS141" s="14"/>
      <c r="HT141" s="12"/>
      <c r="HU141" s="15" t="str">
        <f t="shared" si="518"/>
        <v>NO APLICA</v>
      </c>
      <c r="HV141" s="16"/>
      <c r="HW141" s="16"/>
      <c r="HX141" s="14"/>
      <c r="HY141" s="65"/>
      <c r="HZ141" s="15" t="str">
        <f t="shared" si="519"/>
        <v>NO APLICA</v>
      </c>
      <c r="IA141" s="16"/>
      <c r="IB141" s="16"/>
      <c r="IC141" s="14"/>
      <c r="ID141" s="65"/>
      <c r="IE141" s="15" t="str">
        <f t="shared" si="520"/>
        <v>NO APLICA</v>
      </c>
      <c r="IF141" s="16"/>
      <c r="IG141" s="16"/>
      <c r="IH141" s="14"/>
      <c r="II141" s="65"/>
      <c r="IJ141" s="15" t="str">
        <f t="shared" si="521"/>
        <v>NO APLICA</v>
      </c>
      <c r="IK141" s="16"/>
      <c r="IL141" s="16"/>
      <c r="IM141" s="14"/>
      <c r="IN141" s="16"/>
      <c r="IO141" s="15" t="str">
        <f t="shared" si="522"/>
        <v>NO APLICA</v>
      </c>
      <c r="IP141" s="16"/>
      <c r="IQ141" s="16"/>
      <c r="IR141" s="14"/>
      <c r="IS141" s="65"/>
      <c r="IT141" s="15" t="str">
        <f t="shared" si="523"/>
        <v>NO APLICA</v>
      </c>
      <c r="IU141" s="16"/>
      <c r="IV141" s="14">
        <v>45402</v>
      </c>
      <c r="IW141" s="14">
        <f>DATE(YEAR(IV141)+5,MONTH(IV141),DAY(IV141))</f>
        <v>47228</v>
      </c>
      <c r="IX141" s="65">
        <f ca="1">IW141-TODAY()</f>
        <v>1097</v>
      </c>
      <c r="IY141" s="15" t="str">
        <f t="shared" ca="1" si="524"/>
        <v>VIGENTE</v>
      </c>
      <c r="IZ141" s="16"/>
      <c r="JA141" s="16"/>
      <c r="JB141" s="14"/>
      <c r="JC141" s="65"/>
      <c r="JD141" s="15" t="str">
        <f t="shared" si="525"/>
        <v>NO APLICA</v>
      </c>
      <c r="JE141" s="13"/>
      <c r="JF141" s="13"/>
      <c r="JG141" s="14"/>
      <c r="JH141" s="65"/>
      <c r="JI141" s="15" t="str">
        <f t="shared" si="526"/>
        <v>NO APLICA</v>
      </c>
      <c r="JJ141" s="16"/>
      <c r="JK141" s="16"/>
      <c r="JL141" s="16"/>
      <c r="JM141" s="15" t="str">
        <f t="shared" si="527"/>
        <v>NO APLICA</v>
      </c>
      <c r="JN141" s="16"/>
      <c r="JO141" s="16"/>
      <c r="JP141" s="16"/>
      <c r="JQ141" s="15" t="str">
        <f t="shared" si="528"/>
        <v>NO APLICA</v>
      </c>
      <c r="JR141" s="16"/>
      <c r="JS141" s="16"/>
      <c r="JT141" s="16"/>
      <c r="JU141" s="16"/>
      <c r="JV141" s="15" t="str">
        <f t="shared" si="529"/>
        <v>NO APLICA</v>
      </c>
      <c r="JW141" s="15"/>
      <c r="JX141" s="15"/>
      <c r="JY141" s="15"/>
      <c r="JZ141" s="15"/>
      <c r="KA141" s="15" t="str">
        <f t="shared" si="530"/>
        <v>NO APLICA</v>
      </c>
      <c r="KB141" s="12"/>
      <c r="KC141" s="14"/>
      <c r="KD141" s="65"/>
      <c r="KE141" s="15" t="str">
        <f t="shared" si="531"/>
        <v>NO APLICA</v>
      </c>
      <c r="KF141" s="16"/>
      <c r="KG141" s="14"/>
      <c r="KH141" s="16"/>
      <c r="KI141" s="15" t="str">
        <f t="shared" si="547"/>
        <v>NO APLICA</v>
      </c>
      <c r="KJ141" s="12"/>
      <c r="KK141" s="14"/>
      <c r="KL141" s="65"/>
      <c r="KM141" s="15" t="str">
        <f t="shared" si="532"/>
        <v>NO APLICA</v>
      </c>
      <c r="KN141" s="13">
        <v>45346</v>
      </c>
      <c r="KO141" s="14">
        <f>DATE(YEAR(KN141)+5,MONTH(KN141),DAY(KN141))</f>
        <v>47173</v>
      </c>
      <c r="KP141" s="65">
        <f ca="1">KO141-TODAY()</f>
        <v>1042</v>
      </c>
      <c r="KQ141" s="15" t="str">
        <f t="shared" ca="1" si="548"/>
        <v>VIGENTE</v>
      </c>
      <c r="KR141" s="16"/>
      <c r="KS141" s="16"/>
      <c r="KT141" s="14"/>
      <c r="KU141" s="16"/>
      <c r="KV141" s="15" t="str">
        <f t="shared" si="554"/>
        <v>NO APLICA</v>
      </c>
      <c r="KW141" s="16"/>
      <c r="KX141" s="14"/>
      <c r="KY141" s="16"/>
      <c r="KZ141" s="15" t="str">
        <f t="shared" si="549"/>
        <v>NO APLICA</v>
      </c>
      <c r="LA141" s="16"/>
      <c r="LB141" s="16"/>
      <c r="LC141" s="16"/>
      <c r="LD141" s="16"/>
      <c r="LE141" s="15" t="str">
        <f t="shared" si="556"/>
        <v>NO APLICA</v>
      </c>
      <c r="LF141" s="15"/>
      <c r="LG141" s="15"/>
      <c r="LH141" s="15"/>
      <c r="LI141" s="15"/>
      <c r="LJ141" s="15" t="str">
        <f t="shared" si="555"/>
        <v>NO APLICA</v>
      </c>
      <c r="LK141" s="16"/>
      <c r="LL141" s="16"/>
      <c r="LM141" s="14"/>
      <c r="LN141" s="65"/>
      <c r="LO141" s="15" t="str">
        <f t="shared" si="550"/>
        <v>NO APLICA</v>
      </c>
      <c r="LP141" s="16"/>
      <c r="LQ141" s="16"/>
      <c r="LR141" s="14"/>
      <c r="LS141" s="16"/>
      <c r="LT141" s="15" t="str">
        <f t="shared" si="551"/>
        <v>NO APLICA</v>
      </c>
      <c r="LU141" s="16"/>
      <c r="LV141" s="16"/>
      <c r="LW141" s="14"/>
      <c r="LX141" s="16"/>
      <c r="LY141" s="15" t="str">
        <f t="shared" si="552"/>
        <v>NO APLICA</v>
      </c>
      <c r="LZ141" s="16"/>
      <c r="MA141" s="16"/>
      <c r="MB141" s="14"/>
      <c r="MC141" s="16"/>
      <c r="MD141" s="15" t="str">
        <f t="shared" si="534"/>
        <v>NO APLICA</v>
      </c>
      <c r="ME141" s="16"/>
      <c r="MF141" s="16"/>
      <c r="MG141" s="14"/>
      <c r="MH141" s="16"/>
      <c r="MI141" s="15" t="str">
        <f t="shared" si="535"/>
        <v>NO APLICA</v>
      </c>
      <c r="MJ141" s="16"/>
      <c r="MK141" s="14"/>
      <c r="ML141" s="16"/>
      <c r="MM141" s="15" t="str">
        <f t="shared" si="536"/>
        <v>NO APLICA</v>
      </c>
      <c r="MN141" s="16"/>
      <c r="MO141" s="16"/>
      <c r="MP141" s="16"/>
      <c r="MQ141" s="15" t="str">
        <f t="shared" si="537"/>
        <v>NO APLICA</v>
      </c>
      <c r="MR141" s="16"/>
      <c r="MS141" s="16"/>
      <c r="MT141" s="14"/>
      <c r="MU141" s="16"/>
      <c r="MV141" s="15" t="str">
        <f t="shared" si="538"/>
        <v>NO APLICA</v>
      </c>
      <c r="MW141" s="16"/>
      <c r="MX141" s="16"/>
      <c r="MY141" s="14"/>
      <c r="MZ141" s="16"/>
      <c r="NA141" s="15" t="str">
        <f t="shared" si="539"/>
        <v>NO APLICA</v>
      </c>
      <c r="NB141" s="16"/>
      <c r="NC141" s="16"/>
      <c r="ND141" s="14"/>
      <c r="NE141" s="16"/>
      <c r="NF141" s="15" t="str">
        <f t="shared" si="540"/>
        <v>NO APLICA</v>
      </c>
      <c r="NG141" s="16"/>
      <c r="NH141" s="16"/>
      <c r="NI141" s="14"/>
      <c r="NJ141" s="16"/>
      <c r="NK141" s="15" t="str">
        <f t="shared" si="541"/>
        <v>NO APLICA</v>
      </c>
      <c r="NL141" s="16"/>
      <c r="NM141" s="16"/>
      <c r="NN141" s="14"/>
      <c r="NO141" s="16"/>
      <c r="NP141" s="15" t="str">
        <f t="shared" si="542"/>
        <v>NO APLICA</v>
      </c>
      <c r="NQ141" s="16"/>
      <c r="NR141" s="16"/>
      <c r="NS141" s="14"/>
      <c r="NT141" s="65"/>
      <c r="NU141" s="15" t="str">
        <f t="shared" si="543"/>
        <v>NO APLICA</v>
      </c>
      <c r="NV141" s="16"/>
      <c r="NW141" s="16"/>
      <c r="NX141" s="16"/>
      <c r="NY141" s="16"/>
      <c r="NZ141" s="15" t="str">
        <f t="shared" si="544"/>
        <v>NO APLICA</v>
      </c>
    </row>
    <row r="142" spans="1:390" ht="15.6" thickTop="1" thickBot="1" x14ac:dyDescent="0.35">
      <c r="A142" s="11">
        <v>1680</v>
      </c>
      <c r="B142" s="10" t="s">
        <v>520</v>
      </c>
      <c r="C142" s="21" t="s">
        <v>98</v>
      </c>
      <c r="D142" s="64" t="s">
        <v>118</v>
      </c>
      <c r="E142" s="15"/>
      <c r="F142" s="16"/>
      <c r="G142" s="14"/>
      <c r="H142" s="65"/>
      <c r="I142" s="15" t="str">
        <f t="shared" si="448"/>
        <v>NO APLICA</v>
      </c>
      <c r="J142" s="15"/>
      <c r="K142" s="16"/>
      <c r="L142" s="16"/>
      <c r="M142" s="65"/>
      <c r="N142" s="15" t="str">
        <f t="shared" si="449"/>
        <v>NO APLICA</v>
      </c>
      <c r="O142" s="14">
        <v>45589</v>
      </c>
      <c r="P142" s="14">
        <v>45590</v>
      </c>
      <c r="Q142" s="14">
        <f>DATE(YEAR(P142)+2,MONTH(P142),DAY(P142)-1)</f>
        <v>46319</v>
      </c>
      <c r="R142" s="65">
        <f ca="1">Q142-TODAY()</f>
        <v>188</v>
      </c>
      <c r="S142" s="15" t="str">
        <f t="shared" ca="1" si="545"/>
        <v>VIGENTE</v>
      </c>
      <c r="T142" s="12" t="s">
        <v>521</v>
      </c>
      <c r="U142" s="13">
        <v>45141</v>
      </c>
      <c r="V142" s="14">
        <v>45142</v>
      </c>
      <c r="W142" s="14">
        <f t="shared" si="401"/>
        <v>46969</v>
      </c>
      <c r="X142" s="65">
        <f t="shared" ca="1" si="402"/>
        <v>838</v>
      </c>
      <c r="Y142" s="15" t="str">
        <f t="shared" ca="1" si="403"/>
        <v>VIGENTE</v>
      </c>
      <c r="Z142" s="12" t="s">
        <v>522</v>
      </c>
      <c r="AA142" s="13">
        <v>45191</v>
      </c>
      <c r="AB142" s="14">
        <v>45192</v>
      </c>
      <c r="AC142" s="14">
        <f>DATE(YEAR(AB142)+5,MONTH(AB142),DAY(AB142))</f>
        <v>47019</v>
      </c>
      <c r="AD142" s="65">
        <f ca="1">AC142-TODAY()</f>
        <v>888</v>
      </c>
      <c r="AE142" s="15" t="str">
        <f t="shared" ca="1" si="553"/>
        <v>VIGENTE</v>
      </c>
      <c r="AF142" s="13">
        <v>45118</v>
      </c>
      <c r="AG142" s="14">
        <v>45780</v>
      </c>
      <c r="AH142" s="14">
        <f>DATE(YEAR(AG142)+2,MONTH(AG142),DAY(AG142))</f>
        <v>46510</v>
      </c>
      <c r="AI142" s="65">
        <f t="shared" ca="1" si="450"/>
        <v>379</v>
      </c>
      <c r="AJ142" s="15" t="str">
        <f t="shared" ca="1" si="399"/>
        <v>VIGENTE</v>
      </c>
      <c r="AK142" s="13">
        <v>45127</v>
      </c>
      <c r="AL142" s="14">
        <v>45748</v>
      </c>
      <c r="AM142" s="14">
        <f>DATE(YEAR(AL142)+2,MONTH(AL142),DAY(AL142)-1)</f>
        <v>46477</v>
      </c>
      <c r="AN142" s="65">
        <f t="shared" ca="1" si="451"/>
        <v>346</v>
      </c>
      <c r="AO142" s="15" t="str">
        <f t="shared" ca="1" si="452"/>
        <v>VIGENTE</v>
      </c>
      <c r="AP142" s="13">
        <v>45130</v>
      </c>
      <c r="AQ142" s="14">
        <v>45775</v>
      </c>
      <c r="AR142" s="14">
        <f t="shared" si="557"/>
        <v>46505</v>
      </c>
      <c r="AS142" s="65">
        <f t="shared" ca="1" si="453"/>
        <v>374</v>
      </c>
      <c r="AT142" s="15" t="str">
        <f t="shared" ca="1" si="454"/>
        <v>VIGENTE</v>
      </c>
      <c r="AU142" s="13">
        <v>45128</v>
      </c>
      <c r="AV142" s="14">
        <v>45765</v>
      </c>
      <c r="AW142" s="14">
        <f t="shared" si="558"/>
        <v>46495</v>
      </c>
      <c r="AX142" s="65">
        <f t="shared" ca="1" si="455"/>
        <v>364</v>
      </c>
      <c r="AY142" s="15" t="str">
        <f t="shared" ca="1" si="456"/>
        <v>VIGENTE</v>
      </c>
      <c r="AZ142" s="13">
        <v>45122</v>
      </c>
      <c r="BA142" s="14">
        <v>45742</v>
      </c>
      <c r="BB142" s="14">
        <f>DATE(YEAR(BA142)+2,MONTH(BA142),DAY(BA142)-1)</f>
        <v>46471</v>
      </c>
      <c r="BC142" s="65">
        <f t="shared" ca="1" si="457"/>
        <v>340</v>
      </c>
      <c r="BD142" s="15" t="str">
        <f t="shared" ca="1" si="458"/>
        <v>VIGENTE</v>
      </c>
      <c r="BE142" s="12">
        <v>45123</v>
      </c>
      <c r="BF142" s="14">
        <v>45762</v>
      </c>
      <c r="BG142" s="14">
        <f>DATE(YEAR(BF142)+2,MONTH(BF142),DAY(BF142))</f>
        <v>46492</v>
      </c>
      <c r="BH142" s="65">
        <f t="shared" ca="1" si="459"/>
        <v>361</v>
      </c>
      <c r="BI142" s="15" t="str">
        <f t="shared" ca="1" si="460"/>
        <v>VIGENTE</v>
      </c>
      <c r="BJ142" s="13">
        <v>45140</v>
      </c>
      <c r="BK142" s="14">
        <v>45797</v>
      </c>
      <c r="BL142" s="14">
        <f>DATE(YEAR(BK142)+2,MONTH(BK142),DAY(BK142))</f>
        <v>46527</v>
      </c>
      <c r="BM142" s="65">
        <f t="shared" ca="1" si="461"/>
        <v>396</v>
      </c>
      <c r="BN142" s="15" t="str">
        <f t="shared" ca="1" si="462"/>
        <v>VIGENTE</v>
      </c>
      <c r="BO142" s="13">
        <v>45190</v>
      </c>
      <c r="BP142" s="14">
        <v>45841</v>
      </c>
      <c r="BQ142" s="14">
        <f t="shared" si="559"/>
        <v>46571</v>
      </c>
      <c r="BR142" s="65">
        <f t="shared" ca="1" si="463"/>
        <v>440</v>
      </c>
      <c r="BS142" s="15" t="str">
        <f t="shared" ca="1" si="464"/>
        <v>VIGENTE</v>
      </c>
      <c r="BT142" s="13">
        <v>45183</v>
      </c>
      <c r="BU142" s="14">
        <v>45853</v>
      </c>
      <c r="BV142" s="14">
        <f>DATE(YEAR(BU142)+2,MONTH(BU142),DAY(BU142))</f>
        <v>46583</v>
      </c>
      <c r="BW142" s="65">
        <f t="shared" ca="1" si="465"/>
        <v>452</v>
      </c>
      <c r="BX142" s="15" t="str">
        <f t="shared" ca="1" si="466"/>
        <v>VIGENTE</v>
      </c>
      <c r="BY142" s="13">
        <v>45148</v>
      </c>
      <c r="BZ142" s="14">
        <v>45818</v>
      </c>
      <c r="CA142" s="14">
        <f>DATE(YEAR(BZ142)+2,MONTH(BZ142),DAY(BZ142))</f>
        <v>46548</v>
      </c>
      <c r="CB142" s="65">
        <f t="shared" ca="1" si="467"/>
        <v>417</v>
      </c>
      <c r="CC142" s="15" t="str">
        <f t="shared" ca="1" si="468"/>
        <v>VIGENTE</v>
      </c>
      <c r="CD142" s="16" t="s">
        <v>523</v>
      </c>
      <c r="CE142" s="14">
        <v>45125</v>
      </c>
      <c r="CF142" s="14">
        <v>45126</v>
      </c>
      <c r="CG142" s="14">
        <f t="shared" si="408"/>
        <v>46587</v>
      </c>
      <c r="CH142" s="65">
        <f t="shared" ca="1" si="409"/>
        <v>456</v>
      </c>
      <c r="CI142" s="70" t="s">
        <v>524</v>
      </c>
      <c r="CJ142" s="14">
        <v>45151</v>
      </c>
      <c r="CK142" s="14">
        <v>45801</v>
      </c>
      <c r="CL142" s="14">
        <f>DATE(YEAR(CK142)+2,MONTH(CK142),DAY(CK142)-1)</f>
        <v>46530</v>
      </c>
      <c r="CM142" s="65">
        <f t="shared" ca="1" si="469"/>
        <v>399</v>
      </c>
      <c r="CN142" s="15" t="str">
        <f t="shared" ca="1" si="470"/>
        <v>VIGENTE</v>
      </c>
      <c r="CO142" s="12">
        <v>45132</v>
      </c>
      <c r="CP142" s="14">
        <v>45769</v>
      </c>
      <c r="CQ142" s="14">
        <f>DATE(YEAR(CP142)+2,MONTH(CP142),DAY(CP142))</f>
        <v>46499</v>
      </c>
      <c r="CR142" s="65">
        <f t="shared" ca="1" si="471"/>
        <v>368</v>
      </c>
      <c r="CS142" s="15" t="str">
        <f t="shared" ca="1" si="472"/>
        <v>VIGENTE</v>
      </c>
      <c r="CT142" s="13">
        <v>45212</v>
      </c>
      <c r="CU142" s="14">
        <v>45905</v>
      </c>
      <c r="CV142" s="14">
        <f>DATE(YEAR(CU142)+2,MONTH(CU142),DAY(CU142))</f>
        <v>46635</v>
      </c>
      <c r="CW142" s="65">
        <f t="shared" ca="1" si="473"/>
        <v>504</v>
      </c>
      <c r="CX142" s="15" t="str">
        <f t="shared" ca="1" si="474"/>
        <v>VIGENTE</v>
      </c>
      <c r="CY142" s="13">
        <v>45171</v>
      </c>
      <c r="CZ142" s="14">
        <v>45835</v>
      </c>
      <c r="DA142" s="14">
        <f>DATE(YEAR(CZ142)+2,MONTH(CZ142),DAY(CZ142))</f>
        <v>46565</v>
      </c>
      <c r="DB142" s="65">
        <f t="shared" ca="1" si="475"/>
        <v>434</v>
      </c>
      <c r="DC142" s="15" t="str">
        <f t="shared" ca="1" si="476"/>
        <v>VIGENTE</v>
      </c>
      <c r="DD142" s="13">
        <v>45129</v>
      </c>
      <c r="DE142" s="14">
        <v>45761</v>
      </c>
      <c r="DF142" s="14">
        <f>DATE(YEAR(DE142)+2,MONTH(DE142),DAY(DE142))</f>
        <v>46491</v>
      </c>
      <c r="DG142" s="65">
        <f t="shared" ca="1" si="477"/>
        <v>360</v>
      </c>
      <c r="DH142" s="15" t="str">
        <f t="shared" ca="1" si="478"/>
        <v>VIGENTE</v>
      </c>
      <c r="DI142" s="13">
        <v>45167</v>
      </c>
      <c r="DJ142" s="14">
        <v>45779</v>
      </c>
      <c r="DK142" s="14">
        <f>DATE(YEAR(DJ142)+2,MONTH(DJ142),DAY(DJ142))</f>
        <v>46509</v>
      </c>
      <c r="DL142" s="65">
        <f t="shared" ca="1" si="479"/>
        <v>378</v>
      </c>
      <c r="DM142" s="15" t="str">
        <f t="shared" ca="1" si="480"/>
        <v>VIGENTE</v>
      </c>
      <c r="DN142" s="14">
        <v>45198</v>
      </c>
      <c r="DO142" s="14">
        <v>45873</v>
      </c>
      <c r="DP142" s="14">
        <f>DATE(YEAR(DO142)+2,MONTH(DO142),DAY(DO142))</f>
        <v>46603</v>
      </c>
      <c r="DQ142" s="65">
        <f t="shared" ca="1" si="481"/>
        <v>472</v>
      </c>
      <c r="DR142" s="15" t="str">
        <f t="shared" ca="1" si="482"/>
        <v>VIGENTE</v>
      </c>
      <c r="DS142" s="13">
        <v>45170</v>
      </c>
      <c r="DT142" s="14">
        <v>45852</v>
      </c>
      <c r="DU142" s="14">
        <f>DATE(YEAR(DT142)+2,MONTH(DT142),DAY(DT142))</f>
        <v>46582</v>
      </c>
      <c r="DV142" s="65">
        <f t="shared" ca="1" si="483"/>
        <v>451</v>
      </c>
      <c r="DW142" s="15" t="str">
        <f t="shared" ca="1" si="484"/>
        <v>VIGENTE</v>
      </c>
      <c r="DX142" s="13">
        <v>45149</v>
      </c>
      <c r="DY142" s="14">
        <v>45804</v>
      </c>
      <c r="DZ142" s="14">
        <f>DATE(YEAR(DY142)+2,MONTH(DY142),DAY(DY142))</f>
        <v>46534</v>
      </c>
      <c r="EA142" s="65">
        <f t="shared" ca="1" si="485"/>
        <v>403</v>
      </c>
      <c r="EB142" s="15" t="str">
        <f t="shared" ca="1" si="486"/>
        <v>VIGENTE</v>
      </c>
      <c r="EC142" s="13">
        <v>45157</v>
      </c>
      <c r="ED142" s="14">
        <v>45787</v>
      </c>
      <c r="EE142" s="14">
        <f>DATE(YEAR(ED142)+2,MONTH(ED142),DAY(ED142))</f>
        <v>46517</v>
      </c>
      <c r="EF142" s="65">
        <f t="shared" ca="1" si="487"/>
        <v>386</v>
      </c>
      <c r="EG142" s="15" t="str">
        <f t="shared" ca="1" si="488"/>
        <v>VIGENTE</v>
      </c>
      <c r="EH142" s="13">
        <v>45184</v>
      </c>
      <c r="EI142" s="13">
        <v>45810</v>
      </c>
      <c r="EJ142" s="13">
        <v>45811</v>
      </c>
      <c r="EK142" s="14">
        <v>45812</v>
      </c>
      <c r="EL142" s="14">
        <f t="shared" si="546"/>
        <v>46177</v>
      </c>
      <c r="EM142" s="65">
        <f t="shared" ca="1" si="489"/>
        <v>46</v>
      </c>
      <c r="EN142" s="15" t="str">
        <f t="shared" ca="1" si="490"/>
        <v>POR VENCER</v>
      </c>
      <c r="EO142" s="13">
        <v>45175</v>
      </c>
      <c r="EP142" s="14">
        <v>45840</v>
      </c>
      <c r="EQ142" s="14">
        <f>DATE(YEAR(EP142)+2,MONTH(EP142),DAY(EP142))</f>
        <v>46570</v>
      </c>
      <c r="ER142" s="65">
        <f t="shared" ca="1" si="491"/>
        <v>439</v>
      </c>
      <c r="ES142" s="15" t="str">
        <f t="shared" ca="1" si="492"/>
        <v>VIGENTE</v>
      </c>
      <c r="ET142" s="13">
        <v>45178</v>
      </c>
      <c r="EU142" s="14">
        <v>45824</v>
      </c>
      <c r="EV142" s="14">
        <f>DATE(YEAR(EU142)+2,MONTH(EU142),DAY(EU142))</f>
        <v>46554</v>
      </c>
      <c r="EW142" s="65">
        <f t="shared" ca="1" si="493"/>
        <v>423</v>
      </c>
      <c r="EX142" s="15" t="str">
        <f t="shared" ca="1" si="494"/>
        <v>VIGENTE</v>
      </c>
      <c r="EY142" s="13">
        <v>45162</v>
      </c>
      <c r="EZ142" s="14">
        <v>45794</v>
      </c>
      <c r="FA142" s="14">
        <f>DATE(YEAR(EZ142)+2,MONTH(EZ142),DAY(EZ142))</f>
        <v>46524</v>
      </c>
      <c r="FB142" s="65">
        <f t="shared" ca="1" si="495"/>
        <v>393</v>
      </c>
      <c r="FC142" s="15" t="str">
        <f t="shared" ca="1" si="496"/>
        <v>VIGENTE</v>
      </c>
      <c r="FD142" s="12"/>
      <c r="FE142" s="14">
        <v>45931</v>
      </c>
      <c r="FF142" s="14">
        <f>DATE(YEAR(FE142)+2,MONTH(FE142),DAY(FE142))</f>
        <v>46661</v>
      </c>
      <c r="FG142" s="65">
        <f t="shared" ca="1" si="497"/>
        <v>530</v>
      </c>
      <c r="FH142" s="15" t="str">
        <f t="shared" ca="1" si="498"/>
        <v>VIGENTE</v>
      </c>
      <c r="FI142" s="13">
        <v>45176</v>
      </c>
      <c r="FJ142" s="14">
        <v>45832</v>
      </c>
      <c r="FK142" s="14">
        <f>DATE(YEAR(FJ142)+2,MONTH(FJ142),DAY(FJ142))</f>
        <v>46562</v>
      </c>
      <c r="FL142" s="65">
        <f t="shared" ca="1" si="499"/>
        <v>431</v>
      </c>
      <c r="FM142" s="15" t="str">
        <f t="shared" ca="1" si="500"/>
        <v>VIGENTE</v>
      </c>
      <c r="FN142" s="13">
        <v>45134</v>
      </c>
      <c r="FO142" s="14">
        <v>45771</v>
      </c>
      <c r="FP142" s="14">
        <f>DATE(YEAR(FO142)+2,MONTH(FO142),DAY(FO142))</f>
        <v>46501</v>
      </c>
      <c r="FQ142" s="65">
        <f t="shared" ca="1" si="501"/>
        <v>370</v>
      </c>
      <c r="FR142" s="15" t="str">
        <f t="shared" ca="1" si="502"/>
        <v>VIGENTE</v>
      </c>
      <c r="FS142" s="13">
        <v>45135</v>
      </c>
      <c r="FT142" s="14">
        <v>45782</v>
      </c>
      <c r="FU142" s="14">
        <f>DATE(YEAR(FT142)+2,MONTH(FT142),DAY(FT142))</f>
        <v>46512</v>
      </c>
      <c r="FV142" s="65">
        <f t="shared" ca="1" si="503"/>
        <v>381</v>
      </c>
      <c r="FW142" s="15" t="str">
        <f t="shared" ca="1" si="504"/>
        <v>VIGENTE</v>
      </c>
      <c r="FX142" s="13">
        <v>45204</v>
      </c>
      <c r="FY142" s="14">
        <v>45875</v>
      </c>
      <c r="FZ142" s="14">
        <f>DATE(YEAR(FY142)+2,MONTH(FY142),DAY(FY142))</f>
        <v>46605</v>
      </c>
      <c r="GA142" s="65">
        <f t="shared" ca="1" si="505"/>
        <v>474</v>
      </c>
      <c r="GB142" s="15" t="str">
        <f t="shared" ca="1" si="506"/>
        <v>VIGENTE</v>
      </c>
      <c r="GC142" s="13">
        <v>45173</v>
      </c>
      <c r="GD142" s="14">
        <v>45833</v>
      </c>
      <c r="GE142" s="14">
        <f>DATE(YEAR(GD142)+2,MONTH(GD142),DAY(GD142))</f>
        <v>46563</v>
      </c>
      <c r="GF142" s="65">
        <f t="shared" ca="1" si="507"/>
        <v>432</v>
      </c>
      <c r="GG142" s="15" t="str">
        <f t="shared" ca="1" si="508"/>
        <v>VIGENTE</v>
      </c>
      <c r="GH142" s="13">
        <v>45114</v>
      </c>
      <c r="GI142" s="14">
        <v>45731</v>
      </c>
      <c r="GJ142" s="14">
        <f>DATE(YEAR(GI142)+2,MONTH(GI142),DAY(GI142)-1)</f>
        <v>46460</v>
      </c>
      <c r="GK142" s="65">
        <f t="shared" ca="1" si="509"/>
        <v>329</v>
      </c>
      <c r="GL142" s="15" t="str">
        <f t="shared" ca="1" si="510"/>
        <v>VIGENTE</v>
      </c>
      <c r="GM142" s="13">
        <v>45182</v>
      </c>
      <c r="GN142" s="14">
        <v>45848</v>
      </c>
      <c r="GO142" s="14">
        <f t="shared" si="560"/>
        <v>46578</v>
      </c>
      <c r="GP142" s="65">
        <f t="shared" ca="1" si="511"/>
        <v>447</v>
      </c>
      <c r="GQ142" s="15" t="str">
        <f t="shared" ca="1" si="512"/>
        <v>VIGENTE</v>
      </c>
      <c r="GR142" s="14"/>
      <c r="GS142" s="14">
        <v>45136</v>
      </c>
      <c r="GT142" s="14">
        <f t="shared" si="513"/>
        <v>46963</v>
      </c>
      <c r="GU142" s="65">
        <f t="shared" ca="1" si="398"/>
        <v>832</v>
      </c>
      <c r="GV142" s="15" t="str">
        <f t="shared" ca="1" si="411"/>
        <v>VIGENTE</v>
      </c>
      <c r="GW142" s="13"/>
      <c r="GX142" s="14">
        <v>45203</v>
      </c>
      <c r="GY142" s="14">
        <f t="shared" si="514"/>
        <v>47030</v>
      </c>
      <c r="GZ142" s="65">
        <f t="shared" ca="1" si="515"/>
        <v>899</v>
      </c>
      <c r="HA142" s="15" t="str">
        <f t="shared" ca="1" si="418"/>
        <v>VIGENTE</v>
      </c>
      <c r="HB142" s="12"/>
      <c r="HC142" s="14">
        <v>45187</v>
      </c>
      <c r="HD142" s="14">
        <f t="shared" si="516"/>
        <v>47014</v>
      </c>
      <c r="HE142" s="65">
        <f t="shared" ca="1" si="517"/>
        <v>883</v>
      </c>
      <c r="HF142" s="15" t="str">
        <f t="shared" ca="1" si="413"/>
        <v>VIGENTE</v>
      </c>
      <c r="HG142" s="16"/>
      <c r="HH142" s="14">
        <v>45150</v>
      </c>
      <c r="HI142" s="14">
        <f>DATE(YEAR(HH142)+5,MONTH(HH142),DAY(HH142))</f>
        <v>46977</v>
      </c>
      <c r="HJ142" s="65">
        <f ca="1">HI142-TODAY()</f>
        <v>846</v>
      </c>
      <c r="HK142" s="15" t="str">
        <f t="shared" ca="1" si="419"/>
        <v>VIGENTE</v>
      </c>
      <c r="HL142" s="12"/>
      <c r="HM142" s="16"/>
      <c r="HN142" s="14"/>
      <c r="HO142" s="65"/>
      <c r="HP142" s="15" t="str">
        <f t="shared" si="437"/>
        <v>NO APLICA</v>
      </c>
      <c r="HQ142" s="12"/>
      <c r="HR142" s="12"/>
      <c r="HS142" s="14"/>
      <c r="HT142" s="12"/>
      <c r="HU142" s="15" t="str">
        <f t="shared" si="518"/>
        <v>NO APLICA</v>
      </c>
      <c r="HV142" s="12"/>
      <c r="HW142" s="16"/>
      <c r="HX142" s="14"/>
      <c r="HY142" s="65"/>
      <c r="HZ142" s="15" t="str">
        <f t="shared" si="519"/>
        <v>NO APLICA</v>
      </c>
      <c r="IA142" s="12"/>
      <c r="IB142" s="16"/>
      <c r="IC142" s="14"/>
      <c r="ID142" s="65"/>
      <c r="IE142" s="15" t="str">
        <f t="shared" si="520"/>
        <v>NO APLICA</v>
      </c>
      <c r="IF142" s="12"/>
      <c r="IG142" s="16"/>
      <c r="IH142" s="14"/>
      <c r="II142" s="65"/>
      <c r="IJ142" s="15" t="str">
        <f t="shared" si="521"/>
        <v>NO APLICA</v>
      </c>
      <c r="IK142" s="16"/>
      <c r="IL142" s="16"/>
      <c r="IM142" s="14"/>
      <c r="IN142" s="65"/>
      <c r="IO142" s="15" t="str">
        <f t="shared" si="522"/>
        <v>NO APLICA</v>
      </c>
      <c r="IP142" s="12"/>
      <c r="IQ142" s="16"/>
      <c r="IR142" s="14"/>
      <c r="IS142" s="65"/>
      <c r="IT142" s="15" t="str">
        <f t="shared" si="523"/>
        <v>NO APLICA</v>
      </c>
      <c r="IU142" s="12"/>
      <c r="IV142" s="16"/>
      <c r="IW142" s="14"/>
      <c r="IX142" s="65"/>
      <c r="IY142" s="15" t="str">
        <f t="shared" si="524"/>
        <v>NO APLICA</v>
      </c>
      <c r="IZ142" s="12"/>
      <c r="JA142" s="16"/>
      <c r="JB142" s="14"/>
      <c r="JC142" s="65"/>
      <c r="JD142" s="15" t="str">
        <f t="shared" si="525"/>
        <v>NO APLICA</v>
      </c>
      <c r="JE142" s="13"/>
      <c r="JF142" s="13"/>
      <c r="JG142" s="14"/>
      <c r="JH142" s="65"/>
      <c r="JI142" s="15" t="str">
        <f t="shared" si="526"/>
        <v>NO APLICA</v>
      </c>
      <c r="JJ142" s="16"/>
      <c r="JK142" s="16"/>
      <c r="JL142" s="16"/>
      <c r="JM142" s="15" t="str">
        <f t="shared" si="527"/>
        <v>NO APLICA</v>
      </c>
      <c r="JN142" s="16"/>
      <c r="JO142" s="16"/>
      <c r="JP142" s="16"/>
      <c r="JQ142" s="15" t="str">
        <f t="shared" si="528"/>
        <v>NO APLICA</v>
      </c>
      <c r="JR142" s="16"/>
      <c r="JS142" s="16"/>
      <c r="JT142" s="16"/>
      <c r="JU142" s="16"/>
      <c r="JV142" s="15" t="str">
        <f t="shared" si="529"/>
        <v>NO APLICA</v>
      </c>
      <c r="JW142" s="15"/>
      <c r="JX142" s="15"/>
      <c r="JY142" s="15"/>
      <c r="JZ142" s="15"/>
      <c r="KA142" s="15" t="str">
        <f t="shared" si="530"/>
        <v>NO APLICA</v>
      </c>
      <c r="KB142" s="12"/>
      <c r="KC142" s="14"/>
      <c r="KD142" s="65"/>
      <c r="KE142" s="15" t="str">
        <f t="shared" si="531"/>
        <v>NO APLICA</v>
      </c>
      <c r="KF142" s="12"/>
      <c r="KG142" s="14"/>
      <c r="KH142" s="65"/>
      <c r="KI142" s="15" t="str">
        <f t="shared" si="547"/>
        <v>NO APLICA</v>
      </c>
      <c r="KJ142" s="12"/>
      <c r="KK142" s="14"/>
      <c r="KL142" s="65"/>
      <c r="KM142" s="15" t="str">
        <f t="shared" si="532"/>
        <v>NO APLICA</v>
      </c>
      <c r="KN142" s="12"/>
      <c r="KO142" s="14"/>
      <c r="KP142" s="65"/>
      <c r="KQ142" s="15" t="str">
        <f t="shared" si="548"/>
        <v>NO APLICA</v>
      </c>
      <c r="KR142" s="12"/>
      <c r="KS142" s="16"/>
      <c r="KT142" s="14"/>
      <c r="KU142" s="65"/>
      <c r="KV142" s="15" t="str">
        <f t="shared" si="554"/>
        <v>NO APLICA</v>
      </c>
      <c r="KW142" s="16"/>
      <c r="KX142" s="14"/>
      <c r="KY142" s="65"/>
      <c r="KZ142" s="15" t="str">
        <f t="shared" si="549"/>
        <v>NO APLICA</v>
      </c>
      <c r="LA142" s="16"/>
      <c r="LB142" s="16"/>
      <c r="LC142" s="14"/>
      <c r="LD142" s="65"/>
      <c r="LE142" s="15" t="str">
        <f t="shared" si="556"/>
        <v>NO APLICA</v>
      </c>
      <c r="LF142" s="15"/>
      <c r="LG142" s="15"/>
      <c r="LH142" s="15"/>
      <c r="LI142" s="15"/>
      <c r="LJ142" s="15" t="str">
        <f t="shared" si="555"/>
        <v>NO APLICA</v>
      </c>
      <c r="LK142" s="12"/>
      <c r="LL142" s="16"/>
      <c r="LM142" s="14"/>
      <c r="LN142" s="65"/>
      <c r="LO142" s="15" t="str">
        <f t="shared" si="550"/>
        <v>NO APLICA</v>
      </c>
      <c r="LP142" s="16"/>
      <c r="LQ142" s="16"/>
      <c r="LR142" s="14"/>
      <c r="LS142" s="65"/>
      <c r="LT142" s="15" t="str">
        <f t="shared" si="551"/>
        <v>NO APLICA</v>
      </c>
      <c r="LU142" s="16"/>
      <c r="LV142" s="16"/>
      <c r="LW142" s="14"/>
      <c r="LX142" s="65"/>
      <c r="LY142" s="15" t="str">
        <f t="shared" si="552"/>
        <v>NO APLICA</v>
      </c>
      <c r="LZ142" s="12"/>
      <c r="MA142" s="12"/>
      <c r="MB142" s="14"/>
      <c r="MC142" s="65"/>
      <c r="MD142" s="15" t="str">
        <f t="shared" si="534"/>
        <v>NO APLICA</v>
      </c>
      <c r="ME142" s="12"/>
      <c r="MF142" s="12"/>
      <c r="MG142" s="14"/>
      <c r="MH142" s="65"/>
      <c r="MI142" s="15" t="str">
        <f t="shared" si="535"/>
        <v>NO APLICA</v>
      </c>
      <c r="MJ142" s="12"/>
      <c r="MK142" s="14"/>
      <c r="ML142" s="65"/>
      <c r="MM142" s="15" t="str">
        <f t="shared" si="536"/>
        <v>NO APLICA</v>
      </c>
      <c r="MN142" s="12"/>
      <c r="MO142" s="14"/>
      <c r="MP142" s="12"/>
      <c r="MQ142" s="15" t="str">
        <f t="shared" si="537"/>
        <v>NO APLICA</v>
      </c>
      <c r="MR142" s="12"/>
      <c r="MS142" s="16"/>
      <c r="MT142" s="14"/>
      <c r="MU142" s="65"/>
      <c r="MV142" s="15" t="str">
        <f t="shared" si="538"/>
        <v>NO APLICA</v>
      </c>
      <c r="MW142" s="12"/>
      <c r="MX142" s="16"/>
      <c r="MY142" s="14"/>
      <c r="MZ142" s="65"/>
      <c r="NA142" s="15" t="str">
        <f t="shared" si="539"/>
        <v>NO APLICA</v>
      </c>
      <c r="NB142" s="12"/>
      <c r="NC142" s="16"/>
      <c r="ND142" s="14"/>
      <c r="NE142" s="65"/>
      <c r="NF142" s="15" t="str">
        <f t="shared" si="540"/>
        <v>NO APLICA</v>
      </c>
      <c r="NG142" s="12"/>
      <c r="NH142" s="12"/>
      <c r="NI142" s="14"/>
      <c r="NJ142" s="65"/>
      <c r="NK142" s="15" t="str">
        <f t="shared" si="541"/>
        <v>NO APLICA</v>
      </c>
      <c r="NL142" s="12"/>
      <c r="NM142" s="12"/>
      <c r="NN142" s="14"/>
      <c r="NO142" s="12"/>
      <c r="NP142" s="15" t="str">
        <f t="shared" si="542"/>
        <v>NO APLICA</v>
      </c>
      <c r="NQ142" s="16"/>
      <c r="NR142" s="14">
        <v>45320</v>
      </c>
      <c r="NS142" s="14">
        <f>DATE(YEAR(NR142)+2,MONTH(NR142),DAY(NR142))</f>
        <v>46051</v>
      </c>
      <c r="NT142" s="65">
        <f ca="1">NS142-TODAY()</f>
        <v>-80</v>
      </c>
      <c r="NU142" s="15" t="str">
        <f t="shared" ca="1" si="543"/>
        <v>VENCIDA</v>
      </c>
      <c r="NV142" s="16"/>
      <c r="NW142" s="16"/>
      <c r="NX142" s="16"/>
      <c r="NY142" s="16"/>
      <c r="NZ142" s="15" t="str">
        <f t="shared" si="544"/>
        <v>NO APLICA</v>
      </c>
    </row>
    <row r="143" spans="1:390" ht="15.6" thickTop="1" thickBot="1" x14ac:dyDescent="0.35">
      <c r="A143" s="11">
        <v>1729</v>
      </c>
      <c r="B143" s="10" t="s">
        <v>525</v>
      </c>
      <c r="C143" s="21" t="s">
        <v>155</v>
      </c>
      <c r="D143" s="64" t="s">
        <v>156</v>
      </c>
      <c r="E143" s="16"/>
      <c r="F143" s="16"/>
      <c r="G143" s="16"/>
      <c r="H143" s="16"/>
      <c r="I143" s="15" t="str">
        <f t="shared" si="448"/>
        <v>NO APLICA</v>
      </c>
      <c r="J143" s="16"/>
      <c r="K143" s="16"/>
      <c r="L143" s="16"/>
      <c r="M143" s="16"/>
      <c r="N143" s="15" t="str">
        <f t="shared" si="449"/>
        <v>NO APLICA</v>
      </c>
      <c r="O143" s="16"/>
      <c r="P143" s="16"/>
      <c r="Q143" s="16"/>
      <c r="R143" s="16"/>
      <c r="S143" s="15" t="str">
        <f t="shared" si="545"/>
        <v>NO APLICA</v>
      </c>
      <c r="T143" s="16" t="s">
        <v>526</v>
      </c>
      <c r="U143" s="14">
        <v>45501</v>
      </c>
      <c r="V143" s="14">
        <v>45502</v>
      </c>
      <c r="W143" s="14">
        <f t="shared" si="401"/>
        <v>47328</v>
      </c>
      <c r="X143" s="65">
        <f t="shared" ca="1" si="402"/>
        <v>1197</v>
      </c>
      <c r="Y143" s="15" t="str">
        <f t="shared" ca="1" si="403"/>
        <v>VIGENTE</v>
      </c>
      <c r="Z143" s="16" t="s">
        <v>527</v>
      </c>
      <c r="AA143" s="14">
        <v>45498</v>
      </c>
      <c r="AB143" s="14">
        <v>45499</v>
      </c>
      <c r="AC143" s="14">
        <f>DATE(YEAR(AB143)+5,MONTH(AB143),DAY(AB143))</f>
        <v>47325</v>
      </c>
      <c r="AD143" s="65">
        <f ca="1">AC143-TODAY()</f>
        <v>1194</v>
      </c>
      <c r="AE143" s="15" t="str">
        <f t="shared" ca="1" si="553"/>
        <v>VIGENTE</v>
      </c>
      <c r="AF143" s="14">
        <v>45394</v>
      </c>
      <c r="AG143" s="14">
        <v>46085</v>
      </c>
      <c r="AH143" s="14">
        <f>DATE(YEAR(AG143)+2,MONTH(AG143),DAY(AG143))</f>
        <v>46816</v>
      </c>
      <c r="AI143" s="65">
        <f t="shared" ca="1" si="450"/>
        <v>685</v>
      </c>
      <c r="AJ143" s="15" t="str">
        <f t="shared" ca="1" si="399"/>
        <v>VIGENTE</v>
      </c>
      <c r="AK143" s="16"/>
      <c r="AL143" s="14">
        <v>46062</v>
      </c>
      <c r="AM143" s="14">
        <f t="shared" ref="AM143:AM156" si="561">DATE(YEAR(AL143)+2,MONTH(AL143),DAY(AL143))</f>
        <v>46792</v>
      </c>
      <c r="AN143" s="65">
        <f t="shared" ca="1" si="451"/>
        <v>661</v>
      </c>
      <c r="AO143" s="15" t="str">
        <f t="shared" ca="1" si="452"/>
        <v>VIGENTE</v>
      </c>
      <c r="AP143" s="14">
        <v>45349</v>
      </c>
      <c r="AQ143" s="14">
        <v>45989</v>
      </c>
      <c r="AR143" s="14">
        <f t="shared" si="557"/>
        <v>46719</v>
      </c>
      <c r="AS143" s="65">
        <f t="shared" ca="1" si="453"/>
        <v>588</v>
      </c>
      <c r="AT143" s="15" t="str">
        <f t="shared" ca="1" si="454"/>
        <v>VIGENTE</v>
      </c>
      <c r="AU143" s="16"/>
      <c r="AV143" s="14">
        <v>46070</v>
      </c>
      <c r="AW143" s="14">
        <f t="shared" si="558"/>
        <v>46800</v>
      </c>
      <c r="AX143" s="65">
        <f t="shared" ca="1" si="455"/>
        <v>669</v>
      </c>
      <c r="AY143" s="15" t="str">
        <f t="shared" ca="1" si="456"/>
        <v>VIGENTE</v>
      </c>
      <c r="AZ143" s="14">
        <v>45375</v>
      </c>
      <c r="BA143" s="14">
        <v>46041</v>
      </c>
      <c r="BB143" s="14">
        <f>DATE(YEAR(BA143)+2,MONTH(BA143),DAY(BA143))</f>
        <v>46771</v>
      </c>
      <c r="BC143" s="65">
        <f t="shared" ca="1" si="457"/>
        <v>640</v>
      </c>
      <c r="BD143" s="15" t="str">
        <f t="shared" ca="1" si="458"/>
        <v>VIGENTE</v>
      </c>
      <c r="BE143" s="16"/>
      <c r="BF143" s="14">
        <v>45987</v>
      </c>
      <c r="BG143" s="14">
        <f>DATE(YEAR(BF143)+2,MONTH(BF143),DAY(BF143))</f>
        <v>46717</v>
      </c>
      <c r="BH143" s="65">
        <f t="shared" ca="1" si="459"/>
        <v>586</v>
      </c>
      <c r="BI143" s="15" t="str">
        <f t="shared" ca="1" si="460"/>
        <v>VIGENTE</v>
      </c>
      <c r="BJ143" s="14">
        <v>45348</v>
      </c>
      <c r="BK143" s="14">
        <v>46007</v>
      </c>
      <c r="BL143" s="14">
        <f>DATE(YEAR(BK143)+2,MONTH(BK143),DAY(BK143))</f>
        <v>46737</v>
      </c>
      <c r="BM143" s="65">
        <f t="shared" ca="1" si="461"/>
        <v>606</v>
      </c>
      <c r="BN143" s="15" t="str">
        <f t="shared" ca="1" si="462"/>
        <v>VIGENTE</v>
      </c>
      <c r="BO143" s="14"/>
      <c r="BP143" s="14">
        <v>45988</v>
      </c>
      <c r="BQ143" s="14">
        <f t="shared" si="559"/>
        <v>46718</v>
      </c>
      <c r="BR143" s="65">
        <f t="shared" ca="1" si="463"/>
        <v>587</v>
      </c>
      <c r="BS143" s="15" t="str">
        <f t="shared" ca="1" si="464"/>
        <v>VIGENTE</v>
      </c>
      <c r="BT143" s="13">
        <v>45362</v>
      </c>
      <c r="BU143" s="14">
        <v>46031</v>
      </c>
      <c r="BV143" s="14">
        <f>DATE(YEAR(BU143)+2,MONTH(BU143),DAY(BU143))</f>
        <v>46761</v>
      </c>
      <c r="BW143" s="65">
        <f t="shared" ca="1" si="465"/>
        <v>630</v>
      </c>
      <c r="BX143" s="15" t="str">
        <f t="shared" ca="1" si="466"/>
        <v>VIGENTE</v>
      </c>
      <c r="BY143" s="16"/>
      <c r="BZ143" s="14">
        <v>45986</v>
      </c>
      <c r="CA143" s="14">
        <f>DATE(YEAR(BZ143)+2,MONTH(BZ143),DAY(BZ143))</f>
        <v>46716</v>
      </c>
      <c r="CB143" s="65">
        <f t="shared" ca="1" si="467"/>
        <v>585</v>
      </c>
      <c r="CC143" s="15" t="str">
        <f t="shared" ca="1" si="468"/>
        <v>VIGENTE</v>
      </c>
      <c r="CD143" s="16" t="s">
        <v>108</v>
      </c>
      <c r="CE143" s="14">
        <v>45371</v>
      </c>
      <c r="CF143" s="14">
        <v>45372</v>
      </c>
      <c r="CG143" s="14">
        <f t="shared" si="408"/>
        <v>46833</v>
      </c>
      <c r="CH143" s="65">
        <f t="shared" ca="1" si="409"/>
        <v>702</v>
      </c>
      <c r="CI143" s="15" t="str">
        <f t="shared" ref="CI143:CI206" ca="1" si="562">IF(CH143&gt;=90,"VIGENTE",IF(CH143&gt;=1,"POR VENCER",IF(CH143&lt;=-1,"VENCIDA",IF(CH143=0,"NO APLICA"))))</f>
        <v>VIGENTE</v>
      </c>
      <c r="CJ143" s="14">
        <v>45353</v>
      </c>
      <c r="CK143" s="14">
        <v>46018</v>
      </c>
      <c r="CL143" s="14">
        <f>DATE(YEAR(CK143)+2,MONTH(CK143),DAY(CK143))</f>
        <v>46748</v>
      </c>
      <c r="CM143" s="65">
        <f t="shared" ca="1" si="469"/>
        <v>617</v>
      </c>
      <c r="CN143" s="15" t="str">
        <f t="shared" ca="1" si="470"/>
        <v>VIGENTE</v>
      </c>
      <c r="CO143" s="14">
        <v>45379</v>
      </c>
      <c r="CP143" s="14">
        <v>46038</v>
      </c>
      <c r="CQ143" s="14">
        <f>DATE(YEAR(CP143)+2,MONTH(CP143),DAY(CP143))</f>
        <v>46768</v>
      </c>
      <c r="CR143" s="65">
        <f t="shared" ca="1" si="471"/>
        <v>637</v>
      </c>
      <c r="CS143" s="15" t="str">
        <f t="shared" ca="1" si="472"/>
        <v>VIGENTE</v>
      </c>
      <c r="CT143" s="14">
        <v>45408</v>
      </c>
      <c r="CU143" s="14">
        <v>46043</v>
      </c>
      <c r="CV143" s="14">
        <f>DATE(YEAR(CU143)+2,MONTH(CU143),DAY(CU143))</f>
        <v>46773</v>
      </c>
      <c r="CW143" s="65">
        <f t="shared" ca="1" si="473"/>
        <v>642</v>
      </c>
      <c r="CX143" s="15" t="str">
        <f t="shared" ca="1" si="474"/>
        <v>VIGENTE</v>
      </c>
      <c r="CY143" s="14">
        <v>45381</v>
      </c>
      <c r="CZ143" s="14">
        <v>46028</v>
      </c>
      <c r="DA143" s="14">
        <f>DATE(YEAR(CZ143)+2,MONTH(CZ143),DAY(CZ143))</f>
        <v>46758</v>
      </c>
      <c r="DB143" s="65">
        <f t="shared" ca="1" si="475"/>
        <v>627</v>
      </c>
      <c r="DC143" s="15" t="str">
        <f t="shared" ca="1" si="476"/>
        <v>VIGENTE</v>
      </c>
      <c r="DD143" s="14">
        <v>45365</v>
      </c>
      <c r="DE143" s="14">
        <v>45996</v>
      </c>
      <c r="DF143" s="14">
        <f>DATE(YEAR(DE143)+2,MONTH(DE143),DAY(DE143))</f>
        <v>46726</v>
      </c>
      <c r="DG143" s="65">
        <f t="shared" ca="1" si="477"/>
        <v>595</v>
      </c>
      <c r="DH143" s="15" t="str">
        <f t="shared" ca="1" si="478"/>
        <v>VIGENTE</v>
      </c>
      <c r="DI143" s="14">
        <v>45386</v>
      </c>
      <c r="DJ143" s="14">
        <v>46029</v>
      </c>
      <c r="DK143" s="14">
        <f>DATE(YEAR(DJ143)+2,MONTH(DJ143),DAY(DJ143))</f>
        <v>46759</v>
      </c>
      <c r="DL143" s="65">
        <f t="shared" ca="1" si="479"/>
        <v>628</v>
      </c>
      <c r="DM143" s="15" t="str">
        <f t="shared" ca="1" si="480"/>
        <v>VIGENTE</v>
      </c>
      <c r="DN143" s="14">
        <v>45345</v>
      </c>
      <c r="DO143" s="14">
        <v>45982</v>
      </c>
      <c r="DP143" s="14">
        <f>DATE(YEAR(DO143)+2,MONTH(DO143),DAY(DO143))</f>
        <v>46712</v>
      </c>
      <c r="DQ143" s="65">
        <f t="shared" ca="1" si="481"/>
        <v>581</v>
      </c>
      <c r="DR143" s="15" t="str">
        <f t="shared" ca="1" si="482"/>
        <v>VIGENTE</v>
      </c>
      <c r="DS143" s="16"/>
      <c r="DT143" s="14">
        <v>46053</v>
      </c>
      <c r="DU143" s="14">
        <f>DATE(YEAR(DT143)+2,MONTH(DT143),DAY(DT143))</f>
        <v>46783</v>
      </c>
      <c r="DV143" s="65">
        <f t="shared" ca="1" si="483"/>
        <v>652</v>
      </c>
      <c r="DW143" s="15" t="str">
        <f t="shared" ca="1" si="484"/>
        <v>VIGENTE</v>
      </c>
      <c r="DX143" s="14">
        <v>45355</v>
      </c>
      <c r="DY143" s="14">
        <v>46032</v>
      </c>
      <c r="DZ143" s="14">
        <f>DATE(YEAR(DY143)+2,MONTH(DY143),DAY(DY143))</f>
        <v>46762</v>
      </c>
      <c r="EA143" s="65">
        <f t="shared" ca="1" si="485"/>
        <v>631</v>
      </c>
      <c r="EB143" s="15" t="str">
        <f t="shared" ca="1" si="486"/>
        <v>VIGENTE</v>
      </c>
      <c r="EC143" s="14">
        <v>45341</v>
      </c>
      <c r="ED143" s="14">
        <v>45994</v>
      </c>
      <c r="EE143" s="14">
        <f>DATE(YEAR(ED143)+2,MONTH(ED143),DAY(ED143))</f>
        <v>46724</v>
      </c>
      <c r="EF143" s="65">
        <f t="shared" ca="1" si="487"/>
        <v>593</v>
      </c>
      <c r="EG143" s="15" t="str">
        <f t="shared" ca="1" si="488"/>
        <v>VIGENTE</v>
      </c>
      <c r="EH143" s="14"/>
      <c r="EI143" s="13">
        <v>46013</v>
      </c>
      <c r="EJ143" s="13">
        <v>46014</v>
      </c>
      <c r="EK143" s="13">
        <v>46015</v>
      </c>
      <c r="EL143" s="14">
        <f t="shared" si="546"/>
        <v>46380</v>
      </c>
      <c r="EM143" s="65">
        <f t="shared" ca="1" si="489"/>
        <v>249</v>
      </c>
      <c r="EN143" s="15" t="str">
        <f t="shared" ca="1" si="490"/>
        <v>VIGENTE</v>
      </c>
      <c r="EO143" s="13">
        <v>45346</v>
      </c>
      <c r="EP143" s="14">
        <v>45983</v>
      </c>
      <c r="EQ143" s="14">
        <f>DATE(YEAR(EP143)+2,MONTH(EP143),DAY(EP143))</f>
        <v>46713</v>
      </c>
      <c r="ER143" s="65">
        <f t="shared" ca="1" si="491"/>
        <v>582</v>
      </c>
      <c r="ES143" s="15" t="str">
        <f t="shared" ca="1" si="492"/>
        <v>VIGENTE</v>
      </c>
      <c r="ET143" s="16"/>
      <c r="EU143" s="14">
        <v>45999</v>
      </c>
      <c r="EV143" s="14">
        <f>DATE(YEAR(EU143)+2,MONTH(EU143),DAY(EU143))</f>
        <v>46729</v>
      </c>
      <c r="EW143" s="65">
        <f t="shared" ca="1" si="493"/>
        <v>598</v>
      </c>
      <c r="EX143" s="15" t="str">
        <f t="shared" ca="1" si="494"/>
        <v>VIGENTE</v>
      </c>
      <c r="EY143" s="14">
        <v>45339</v>
      </c>
      <c r="EZ143" s="14">
        <v>45964</v>
      </c>
      <c r="FA143" s="14">
        <f>DATE(YEAR(EZ143)+2,MONTH(EZ143),DAY(EZ143))</f>
        <v>46694</v>
      </c>
      <c r="FB143" s="65">
        <f t="shared" ca="1" si="495"/>
        <v>563</v>
      </c>
      <c r="FC143" s="15" t="str">
        <f t="shared" ca="1" si="496"/>
        <v>VIGENTE</v>
      </c>
      <c r="FD143" s="14">
        <v>45354</v>
      </c>
      <c r="FE143" s="14">
        <v>46017</v>
      </c>
      <c r="FF143" s="14">
        <f>DATE(YEAR(FE143)+2,MONTH(FE143),DAY(FE143))</f>
        <v>46747</v>
      </c>
      <c r="FG143" s="65">
        <f t="shared" ca="1" si="497"/>
        <v>616</v>
      </c>
      <c r="FH143" s="15" t="str">
        <f t="shared" ca="1" si="498"/>
        <v>VIGENTE</v>
      </c>
      <c r="FI143" s="14">
        <v>45342</v>
      </c>
      <c r="FJ143" s="14">
        <v>45969</v>
      </c>
      <c r="FK143" s="14">
        <f>DATE(YEAR(FJ143)+2,MONTH(FJ143),DAY(FJ143))</f>
        <v>46699</v>
      </c>
      <c r="FL143" s="65">
        <f t="shared" ca="1" si="499"/>
        <v>568</v>
      </c>
      <c r="FM143" s="15" t="str">
        <f t="shared" ca="1" si="500"/>
        <v>VIGENTE</v>
      </c>
      <c r="FN143" s="14">
        <v>45359</v>
      </c>
      <c r="FO143" s="14">
        <v>46039</v>
      </c>
      <c r="FP143" s="14">
        <f>DATE(YEAR(FO143)+2,MONTH(FO143),DAY(FO143))</f>
        <v>46769</v>
      </c>
      <c r="FQ143" s="65">
        <f t="shared" ca="1" si="501"/>
        <v>638</v>
      </c>
      <c r="FR143" s="15" t="str">
        <f t="shared" ca="1" si="502"/>
        <v>VIGENTE</v>
      </c>
      <c r="FS143" s="14">
        <v>45358</v>
      </c>
      <c r="FT143" s="14">
        <v>46034</v>
      </c>
      <c r="FU143" s="14">
        <f>DATE(YEAR(FT143)+2,MONTH(FT143),DAY(FT143))</f>
        <v>46764</v>
      </c>
      <c r="FV143" s="65">
        <f t="shared" ca="1" si="503"/>
        <v>633</v>
      </c>
      <c r="FW143" s="15" t="str">
        <f t="shared" ca="1" si="504"/>
        <v>VIGENTE</v>
      </c>
      <c r="FX143" s="14">
        <v>45340</v>
      </c>
      <c r="FY143" s="14">
        <v>45993</v>
      </c>
      <c r="FZ143" s="14">
        <f>DATE(YEAR(FY143)+2,MONTH(FY143),DAY(FY143))</f>
        <v>46723</v>
      </c>
      <c r="GA143" s="65">
        <f t="shared" ca="1" si="505"/>
        <v>592</v>
      </c>
      <c r="GB143" s="15" t="str">
        <f t="shared" ca="1" si="506"/>
        <v>VIGENTE</v>
      </c>
      <c r="GC143" s="14">
        <v>45396</v>
      </c>
      <c r="GD143" s="14">
        <v>46030</v>
      </c>
      <c r="GE143" s="14">
        <f>DATE(YEAR(GD143)+2,MONTH(GD143),DAY(GD143))</f>
        <v>46760</v>
      </c>
      <c r="GF143" s="65">
        <f t="shared" ca="1" si="507"/>
        <v>629</v>
      </c>
      <c r="GG143" s="15" t="str">
        <f t="shared" ca="1" si="508"/>
        <v>VIGENTE</v>
      </c>
      <c r="GH143" s="14">
        <v>45391</v>
      </c>
      <c r="GI143" s="14">
        <v>46036</v>
      </c>
      <c r="GJ143" s="14">
        <f>DATE(YEAR(GI143)+2,MONTH(GI143),DAY(GI143))</f>
        <v>46766</v>
      </c>
      <c r="GK143" s="65">
        <f t="shared" ca="1" si="509"/>
        <v>635</v>
      </c>
      <c r="GL143" s="15" t="str">
        <f t="shared" ca="1" si="510"/>
        <v>VIGENTE</v>
      </c>
      <c r="GM143" s="13">
        <v>45368</v>
      </c>
      <c r="GN143" s="14">
        <v>46044</v>
      </c>
      <c r="GO143" s="14">
        <f t="shared" si="560"/>
        <v>46774</v>
      </c>
      <c r="GP143" s="65">
        <f t="shared" ca="1" si="511"/>
        <v>643</v>
      </c>
      <c r="GQ143" s="15" t="str">
        <f t="shared" ca="1" si="512"/>
        <v>VIGENTE</v>
      </c>
      <c r="GR143" s="14"/>
      <c r="GS143" s="14">
        <v>45367</v>
      </c>
      <c r="GT143" s="14">
        <f t="shared" si="513"/>
        <v>47193</v>
      </c>
      <c r="GU143" s="65">
        <f t="shared" ca="1" si="398"/>
        <v>1062</v>
      </c>
      <c r="GV143" s="15" t="str">
        <f t="shared" ca="1" si="411"/>
        <v>VIGENTE</v>
      </c>
      <c r="GW143" s="14"/>
      <c r="GX143" s="14">
        <v>45389</v>
      </c>
      <c r="GY143" s="14">
        <f t="shared" si="514"/>
        <v>47215</v>
      </c>
      <c r="GZ143" s="65">
        <f t="shared" ca="1" si="515"/>
        <v>1084</v>
      </c>
      <c r="HA143" s="15" t="str">
        <f t="shared" ca="1" si="418"/>
        <v>VIGENTE</v>
      </c>
      <c r="HB143" s="16"/>
      <c r="HC143" s="14">
        <v>45343</v>
      </c>
      <c r="HD143" s="14">
        <f t="shared" si="516"/>
        <v>47170</v>
      </c>
      <c r="HE143" s="65">
        <f t="shared" ca="1" si="517"/>
        <v>1039</v>
      </c>
      <c r="HF143" s="15" t="str">
        <f t="shared" ca="1" si="413"/>
        <v>VIGENTE</v>
      </c>
      <c r="HG143" s="16"/>
      <c r="HH143" s="14">
        <v>45392</v>
      </c>
      <c r="HI143" s="14">
        <f>DATE(YEAR(HH143)+5,MONTH(HH143),DAY(HH143))</f>
        <v>47218</v>
      </c>
      <c r="HJ143" s="65">
        <f ca="1">HI143-TODAY()</f>
        <v>1087</v>
      </c>
      <c r="HK143" s="15" t="str">
        <f t="shared" ca="1" si="419"/>
        <v>VIGENTE</v>
      </c>
      <c r="HL143" s="16"/>
      <c r="HM143" s="16"/>
      <c r="HN143" s="14"/>
      <c r="HO143" s="65"/>
      <c r="HP143" s="15" t="str">
        <f t="shared" si="437"/>
        <v>NO APLICA</v>
      </c>
      <c r="HQ143" s="12"/>
      <c r="HR143" s="12"/>
      <c r="HS143" s="14"/>
      <c r="HT143" s="12"/>
      <c r="HU143" s="15" t="str">
        <f t="shared" si="518"/>
        <v>NO APLICA</v>
      </c>
      <c r="HV143" s="16"/>
      <c r="HW143" s="16"/>
      <c r="HX143" s="14"/>
      <c r="HY143" s="65"/>
      <c r="HZ143" s="15" t="str">
        <f t="shared" si="519"/>
        <v>NO APLICA</v>
      </c>
      <c r="IA143" s="16"/>
      <c r="IB143" s="16"/>
      <c r="IC143" s="14"/>
      <c r="ID143" s="65"/>
      <c r="IE143" s="15" t="str">
        <f t="shared" si="520"/>
        <v>NO APLICA</v>
      </c>
      <c r="IF143" s="16"/>
      <c r="IG143" s="16"/>
      <c r="IH143" s="14"/>
      <c r="II143" s="65"/>
      <c r="IJ143" s="15" t="str">
        <f t="shared" si="521"/>
        <v>NO APLICA</v>
      </c>
      <c r="IK143" s="16"/>
      <c r="IL143" s="16"/>
      <c r="IM143" s="14"/>
      <c r="IN143" s="16"/>
      <c r="IO143" s="15" t="str">
        <f t="shared" si="522"/>
        <v>NO APLICA</v>
      </c>
      <c r="IP143" s="16"/>
      <c r="IQ143" s="16"/>
      <c r="IR143" s="14"/>
      <c r="IS143" s="65"/>
      <c r="IT143" s="15" t="str">
        <f t="shared" si="523"/>
        <v>NO APLICA</v>
      </c>
      <c r="IU143" s="16"/>
      <c r="IV143" s="16"/>
      <c r="IW143" s="14"/>
      <c r="IX143" s="65"/>
      <c r="IY143" s="15" t="str">
        <f t="shared" si="524"/>
        <v>NO APLICA</v>
      </c>
      <c r="IZ143" s="16"/>
      <c r="JA143" s="16"/>
      <c r="JB143" s="14"/>
      <c r="JC143" s="65"/>
      <c r="JD143" s="15" t="str">
        <f t="shared" si="525"/>
        <v>NO APLICA</v>
      </c>
      <c r="JE143" s="13"/>
      <c r="JF143" s="13"/>
      <c r="JG143" s="14"/>
      <c r="JH143" s="65"/>
      <c r="JI143" s="15" t="str">
        <f t="shared" si="526"/>
        <v>NO APLICA</v>
      </c>
      <c r="JJ143" s="16"/>
      <c r="JK143" s="16"/>
      <c r="JL143" s="16"/>
      <c r="JM143" s="15" t="str">
        <f t="shared" si="527"/>
        <v>NO APLICA</v>
      </c>
      <c r="JN143" s="16"/>
      <c r="JO143" s="16"/>
      <c r="JP143" s="16"/>
      <c r="JQ143" s="15" t="str">
        <f t="shared" si="528"/>
        <v>NO APLICA</v>
      </c>
      <c r="JR143" s="16"/>
      <c r="JS143" s="16"/>
      <c r="JT143" s="16"/>
      <c r="JU143" s="16"/>
      <c r="JV143" s="15" t="str">
        <f t="shared" si="529"/>
        <v>NO APLICA</v>
      </c>
      <c r="JW143" s="15"/>
      <c r="JX143" s="13">
        <v>45948</v>
      </c>
      <c r="JY143" s="14">
        <f>DATE(YEAR(JX143)+2,MONTH(JX143),DAY(JX143))</f>
        <v>46678</v>
      </c>
      <c r="JZ143" s="65">
        <f ca="1">JY143-TODAY()</f>
        <v>547</v>
      </c>
      <c r="KA143" s="15" t="str">
        <f t="shared" ca="1" si="530"/>
        <v>VIGENTE</v>
      </c>
      <c r="KB143" s="12"/>
      <c r="KC143" s="14"/>
      <c r="KD143" s="65"/>
      <c r="KE143" s="15" t="str">
        <f t="shared" si="531"/>
        <v>NO APLICA</v>
      </c>
      <c r="KF143" s="16"/>
      <c r="KG143" s="14"/>
      <c r="KH143" s="65"/>
      <c r="KI143" s="15" t="str">
        <f t="shared" si="547"/>
        <v>NO APLICA</v>
      </c>
      <c r="KJ143" s="12"/>
      <c r="KK143" s="14"/>
      <c r="KL143" s="65"/>
      <c r="KM143" s="15" t="str">
        <f t="shared" si="532"/>
        <v>NO APLICA</v>
      </c>
      <c r="KN143" s="12"/>
      <c r="KO143" s="14"/>
      <c r="KP143" s="65"/>
      <c r="KQ143" s="15" t="str">
        <f t="shared" si="548"/>
        <v>NO APLICA</v>
      </c>
      <c r="KR143" s="16"/>
      <c r="KS143" s="16"/>
      <c r="KT143" s="14"/>
      <c r="KU143" s="16"/>
      <c r="KV143" s="15" t="str">
        <f t="shared" si="554"/>
        <v>NO APLICA</v>
      </c>
      <c r="KW143" s="16"/>
      <c r="KX143" s="14"/>
      <c r="KY143" s="16"/>
      <c r="KZ143" s="15" t="str">
        <f t="shared" si="549"/>
        <v>NO APLICA</v>
      </c>
      <c r="LA143" s="16"/>
      <c r="LB143" s="16"/>
      <c r="LC143" s="16"/>
      <c r="LD143" s="16"/>
      <c r="LE143" s="15" t="str">
        <f t="shared" si="556"/>
        <v>NO APLICA</v>
      </c>
      <c r="LF143" s="15"/>
      <c r="LG143" s="15"/>
      <c r="LH143" s="14"/>
      <c r="LI143" s="65"/>
      <c r="LJ143" s="15" t="str">
        <f t="shared" si="555"/>
        <v>NO APLICA</v>
      </c>
      <c r="LK143" s="16"/>
      <c r="LL143" s="16"/>
      <c r="LM143" s="14"/>
      <c r="LN143" s="65"/>
      <c r="LO143" s="15" t="str">
        <f t="shared" si="550"/>
        <v>NO APLICA</v>
      </c>
      <c r="LP143" s="16"/>
      <c r="LQ143" s="16"/>
      <c r="LR143" s="14"/>
      <c r="LS143" s="16"/>
      <c r="LT143" s="15" t="str">
        <f t="shared" si="551"/>
        <v>NO APLICA</v>
      </c>
      <c r="LU143" s="16"/>
      <c r="LV143" s="16"/>
      <c r="LW143" s="14"/>
      <c r="LX143" s="16"/>
      <c r="LY143" s="15" t="str">
        <f t="shared" si="552"/>
        <v>NO APLICA</v>
      </c>
      <c r="LZ143" s="16"/>
      <c r="MA143" s="16"/>
      <c r="MB143" s="14"/>
      <c r="MC143" s="16"/>
      <c r="MD143" s="15" t="str">
        <f t="shared" si="534"/>
        <v>NO APLICA</v>
      </c>
      <c r="ME143" s="16"/>
      <c r="MF143" s="16"/>
      <c r="MG143" s="14"/>
      <c r="MH143" s="16"/>
      <c r="MI143" s="15" t="str">
        <f t="shared" si="535"/>
        <v>NO APLICA</v>
      </c>
      <c r="MJ143" s="16"/>
      <c r="MK143" s="14"/>
      <c r="ML143" s="16"/>
      <c r="MM143" s="15" t="str">
        <f t="shared" si="536"/>
        <v>NO APLICA</v>
      </c>
      <c r="MN143" s="16"/>
      <c r="MO143" s="16"/>
      <c r="MP143" s="16"/>
      <c r="MQ143" s="15" t="str">
        <f t="shared" si="537"/>
        <v>NO APLICA</v>
      </c>
      <c r="MR143" s="16"/>
      <c r="MS143" s="16"/>
      <c r="MT143" s="14"/>
      <c r="MU143" s="16"/>
      <c r="MV143" s="15" t="str">
        <f t="shared" si="538"/>
        <v>NO APLICA</v>
      </c>
      <c r="MW143" s="16"/>
      <c r="MX143" s="16"/>
      <c r="MY143" s="14"/>
      <c r="MZ143" s="16"/>
      <c r="NA143" s="15" t="str">
        <f t="shared" si="539"/>
        <v>NO APLICA</v>
      </c>
      <c r="NB143" s="16"/>
      <c r="NC143" s="16"/>
      <c r="ND143" s="14"/>
      <c r="NE143" s="16"/>
      <c r="NF143" s="15" t="str">
        <f t="shared" si="540"/>
        <v>NO APLICA</v>
      </c>
      <c r="NG143" s="16"/>
      <c r="NH143" s="16"/>
      <c r="NI143" s="14"/>
      <c r="NJ143" s="16"/>
      <c r="NK143" s="15" t="str">
        <f t="shared" si="541"/>
        <v>NO APLICA</v>
      </c>
      <c r="NL143" s="16"/>
      <c r="NM143" s="16"/>
      <c r="NN143" s="14"/>
      <c r="NO143" s="16"/>
      <c r="NP143" s="15" t="str">
        <f t="shared" si="542"/>
        <v>NO APLICA</v>
      </c>
      <c r="NQ143" s="16"/>
      <c r="NR143" s="16"/>
      <c r="NS143" s="14"/>
      <c r="NT143" s="65"/>
      <c r="NU143" s="15" t="str">
        <f t="shared" si="543"/>
        <v>NO APLICA</v>
      </c>
      <c r="NV143" s="16"/>
      <c r="NW143" s="16"/>
      <c r="NX143" s="16"/>
      <c r="NY143" s="16"/>
      <c r="NZ143" s="15" t="str">
        <f t="shared" si="544"/>
        <v>NO APLICA</v>
      </c>
    </row>
    <row r="144" spans="1:390" ht="15.6" thickTop="1" thickBot="1" x14ac:dyDescent="0.35">
      <c r="A144" s="9">
        <v>1391</v>
      </c>
      <c r="B144" s="10" t="s">
        <v>528</v>
      </c>
      <c r="C144" s="21" t="s">
        <v>104</v>
      </c>
      <c r="D144" s="64" t="s">
        <v>114</v>
      </c>
      <c r="E144" s="15"/>
      <c r="F144" s="16"/>
      <c r="G144" s="14"/>
      <c r="H144" s="65"/>
      <c r="I144" s="15" t="str">
        <f t="shared" si="448"/>
        <v>NO APLICA</v>
      </c>
      <c r="J144" s="12"/>
      <c r="K144" s="16"/>
      <c r="L144" s="16"/>
      <c r="M144" s="65"/>
      <c r="N144" s="15" t="str">
        <f t="shared" si="449"/>
        <v>NO APLICA</v>
      </c>
      <c r="O144" s="16"/>
      <c r="P144" s="16"/>
      <c r="Q144" s="14"/>
      <c r="R144" s="65"/>
      <c r="S144" s="15" t="str">
        <f t="shared" si="545"/>
        <v>NO APLICA</v>
      </c>
      <c r="T144" s="12" t="s">
        <v>529</v>
      </c>
      <c r="U144" s="13">
        <v>45390</v>
      </c>
      <c r="V144" s="14">
        <v>45391</v>
      </c>
      <c r="W144" s="14">
        <f t="shared" si="401"/>
        <v>47217</v>
      </c>
      <c r="X144" s="65">
        <f t="shared" ca="1" si="402"/>
        <v>1086</v>
      </c>
      <c r="Y144" s="15" t="str">
        <f t="shared" ca="1" si="403"/>
        <v>VIGENTE</v>
      </c>
      <c r="Z144" s="12" t="s">
        <v>530</v>
      </c>
      <c r="AA144" s="13">
        <v>44602</v>
      </c>
      <c r="AB144" s="14">
        <v>44603</v>
      </c>
      <c r="AC144" s="14">
        <f>DATE(YEAR(AB144)+5,MONTH(AB144),DAY(AB144))</f>
        <v>46429</v>
      </c>
      <c r="AD144" s="65">
        <f ca="1">AC144-TODAY()</f>
        <v>298</v>
      </c>
      <c r="AE144" s="15" t="str">
        <f t="shared" ca="1" si="553"/>
        <v>VIGENTE</v>
      </c>
      <c r="AF144" s="13">
        <v>44932</v>
      </c>
      <c r="AG144" s="14">
        <v>45589</v>
      </c>
      <c r="AH144" s="14">
        <f>DATE(YEAR(AG144)+2,MONTH(AG144),DAY(AG144)-1)</f>
        <v>46318</v>
      </c>
      <c r="AI144" s="65">
        <f t="shared" ca="1" si="450"/>
        <v>187</v>
      </c>
      <c r="AJ144" s="15" t="str">
        <f t="shared" ca="1" si="399"/>
        <v>VIGENTE</v>
      </c>
      <c r="AK144" s="14">
        <v>45269</v>
      </c>
      <c r="AL144" s="14">
        <v>45926</v>
      </c>
      <c r="AM144" s="14">
        <f t="shared" si="561"/>
        <v>46656</v>
      </c>
      <c r="AN144" s="65">
        <f t="shared" ca="1" si="451"/>
        <v>525</v>
      </c>
      <c r="AO144" s="15" t="str">
        <f t="shared" ca="1" si="452"/>
        <v>VIGENTE</v>
      </c>
      <c r="AP144" s="13">
        <v>45326</v>
      </c>
      <c r="AQ144" s="14">
        <v>45989</v>
      </c>
      <c r="AR144" s="14">
        <f t="shared" si="557"/>
        <v>46719</v>
      </c>
      <c r="AS144" s="65">
        <f t="shared" ca="1" si="453"/>
        <v>588</v>
      </c>
      <c r="AT144" s="15" t="str">
        <f t="shared" ca="1" si="454"/>
        <v>VIGENTE</v>
      </c>
      <c r="AU144" s="13">
        <v>45323</v>
      </c>
      <c r="AV144" s="14">
        <v>45972</v>
      </c>
      <c r="AW144" s="14">
        <f t="shared" si="558"/>
        <v>46702</v>
      </c>
      <c r="AX144" s="65">
        <f t="shared" ca="1" si="455"/>
        <v>571</v>
      </c>
      <c r="AY144" s="15" t="str">
        <f t="shared" ca="1" si="456"/>
        <v>VIGENTE</v>
      </c>
      <c r="AZ144" s="13">
        <v>44986</v>
      </c>
      <c r="BA144" s="14">
        <v>45622</v>
      </c>
      <c r="BB144" s="14">
        <f>DATE(YEAR(BA144)+2,MONTH(BA144),DAY(BA144)-1)</f>
        <v>46351</v>
      </c>
      <c r="BC144" s="65">
        <f t="shared" ca="1" si="457"/>
        <v>220</v>
      </c>
      <c r="BD144" s="15" t="str">
        <f t="shared" ca="1" si="458"/>
        <v>VIGENTE</v>
      </c>
      <c r="BE144" s="13">
        <v>44688</v>
      </c>
      <c r="BF144" s="14">
        <v>45987</v>
      </c>
      <c r="BG144" s="14">
        <f>DATE(YEAR(BF144)+2,MONTH(BF144),DAY(BF144))</f>
        <v>46717</v>
      </c>
      <c r="BH144" s="65">
        <f t="shared" ca="1" si="459"/>
        <v>586</v>
      </c>
      <c r="BI144" s="15" t="str">
        <f t="shared" ca="1" si="460"/>
        <v>VIGENTE</v>
      </c>
      <c r="BJ144" s="13">
        <v>44725</v>
      </c>
      <c r="BK144" s="14">
        <v>46056</v>
      </c>
      <c r="BL144" s="14">
        <f>DATE(YEAR(BK144)+2,MONTH(BK144),DAY(BK144))</f>
        <v>46786</v>
      </c>
      <c r="BM144" s="65">
        <f t="shared" ca="1" si="461"/>
        <v>655</v>
      </c>
      <c r="BN144" s="15" t="str">
        <f t="shared" ca="1" si="462"/>
        <v>VIGENTE</v>
      </c>
      <c r="BO144" s="13">
        <v>44750</v>
      </c>
      <c r="BP144" s="14">
        <v>46069</v>
      </c>
      <c r="BQ144" s="14">
        <f t="shared" si="559"/>
        <v>46799</v>
      </c>
      <c r="BR144" s="65">
        <f t="shared" ca="1" si="463"/>
        <v>668</v>
      </c>
      <c r="BS144" s="15" t="str">
        <f t="shared" ca="1" si="464"/>
        <v>VIGENTE</v>
      </c>
      <c r="BT144" s="13">
        <v>44812</v>
      </c>
      <c r="BU144" s="14">
        <v>45455</v>
      </c>
      <c r="BV144" s="14">
        <f>DATE(YEAR(BU144)+2,MONTH(BU144),DAY(BU144)-1)</f>
        <v>46184</v>
      </c>
      <c r="BW144" s="65">
        <f t="shared" ca="1" si="465"/>
        <v>53</v>
      </c>
      <c r="BX144" s="15" t="str">
        <f t="shared" ca="1" si="466"/>
        <v>POR VENCER</v>
      </c>
      <c r="BY144" s="13">
        <v>44845</v>
      </c>
      <c r="BZ144" s="14">
        <v>45485</v>
      </c>
      <c r="CA144" s="14">
        <f>DATE(YEAR(BZ144)+2,MONTH(BZ144),DAY(BZ144)-1)</f>
        <v>46214</v>
      </c>
      <c r="CB144" s="65">
        <f t="shared" ca="1" si="467"/>
        <v>83</v>
      </c>
      <c r="CC144" s="15" t="str">
        <f t="shared" ca="1" si="468"/>
        <v>POR VENCER</v>
      </c>
      <c r="CD144" s="16" t="s">
        <v>108</v>
      </c>
      <c r="CE144" s="14">
        <v>45210</v>
      </c>
      <c r="CF144" s="14">
        <v>45211</v>
      </c>
      <c r="CG144" s="14">
        <f t="shared" si="408"/>
        <v>46672</v>
      </c>
      <c r="CH144" s="65">
        <f t="shared" ca="1" si="409"/>
        <v>541</v>
      </c>
      <c r="CI144" s="15" t="str">
        <f t="shared" ca="1" si="562"/>
        <v>VIGENTE</v>
      </c>
      <c r="CJ144" s="14">
        <v>44875</v>
      </c>
      <c r="CK144" s="14">
        <v>45504</v>
      </c>
      <c r="CL144" s="14">
        <f>DATE(YEAR(CK144)+2,MONTH(CK144),DAY(CK144)-1)</f>
        <v>46233</v>
      </c>
      <c r="CM144" s="65">
        <f t="shared" ca="1" si="469"/>
        <v>102</v>
      </c>
      <c r="CN144" s="15" t="str">
        <f t="shared" ca="1" si="470"/>
        <v>VIGENTE</v>
      </c>
      <c r="CO144" s="13">
        <v>44900</v>
      </c>
      <c r="CP144" s="14">
        <v>45517</v>
      </c>
      <c r="CQ144" s="14">
        <f>DATE(YEAR(CP144)+2,MONTH(CP144),DAY(CP144)-1)</f>
        <v>46246</v>
      </c>
      <c r="CR144" s="65">
        <f t="shared" ca="1" si="471"/>
        <v>115</v>
      </c>
      <c r="CS144" s="15" t="str">
        <f t="shared" ca="1" si="472"/>
        <v>VIGENTE</v>
      </c>
      <c r="CT144" s="13">
        <v>44971</v>
      </c>
      <c r="CU144" s="14">
        <v>45639</v>
      </c>
      <c r="CV144" s="14">
        <f>DATE(YEAR(CU144)+2,MONTH(CU144),DAY(CU144)-1)</f>
        <v>46368</v>
      </c>
      <c r="CW144" s="65">
        <f t="shared" ca="1" si="473"/>
        <v>237</v>
      </c>
      <c r="CX144" s="15" t="str">
        <f t="shared" ca="1" si="474"/>
        <v>VIGENTE</v>
      </c>
      <c r="CY144" s="13">
        <v>44999</v>
      </c>
      <c r="CZ144" s="14">
        <v>45665</v>
      </c>
      <c r="DA144" s="14">
        <f>DATE(YEAR(CZ144)+2,MONTH(CZ144),DAY(CZ144)-1)</f>
        <v>46394</v>
      </c>
      <c r="DB144" s="65">
        <f t="shared" ca="1" si="475"/>
        <v>263</v>
      </c>
      <c r="DC144" s="15" t="str">
        <f t="shared" ca="1" si="476"/>
        <v>VIGENTE</v>
      </c>
      <c r="DD144" s="13">
        <v>45020</v>
      </c>
      <c r="DE144" s="14">
        <v>45713</v>
      </c>
      <c r="DF144" s="14">
        <f>DATE(YEAR(DE144)+2,MONTH(DE144),DAY(DE144)-1)</f>
        <v>46442</v>
      </c>
      <c r="DG144" s="65">
        <f t="shared" ca="1" si="477"/>
        <v>311</v>
      </c>
      <c r="DH144" s="15" t="str">
        <f t="shared" ca="1" si="478"/>
        <v>VIGENTE</v>
      </c>
      <c r="DI144" s="13">
        <v>45044</v>
      </c>
      <c r="DJ144" s="14">
        <v>45714</v>
      </c>
      <c r="DK144" s="14">
        <f>DATE(YEAR(DJ144)+2,MONTH(DJ144),DAY(DJ144)-1)</f>
        <v>46443</v>
      </c>
      <c r="DL144" s="65">
        <f t="shared" ca="1" si="479"/>
        <v>312</v>
      </c>
      <c r="DM144" s="15" t="str">
        <f t="shared" ca="1" si="480"/>
        <v>VIGENTE</v>
      </c>
      <c r="DN144" s="13">
        <v>44918</v>
      </c>
      <c r="DO144" s="14">
        <v>45577</v>
      </c>
      <c r="DP144" s="14">
        <f>DATE(YEAR(DO144)+2,MONTH(DO144),DAY(DO144)-1)</f>
        <v>46306</v>
      </c>
      <c r="DQ144" s="65">
        <f t="shared" ca="1" si="481"/>
        <v>175</v>
      </c>
      <c r="DR144" s="15" t="str">
        <f t="shared" ca="1" si="482"/>
        <v>VIGENTE</v>
      </c>
      <c r="DS144" s="13">
        <v>45079</v>
      </c>
      <c r="DT144" s="14">
        <v>45728</v>
      </c>
      <c r="DU144" s="14">
        <f>DATE(YEAR(DT144)+2,MONTH(DT144),DAY(DT144)-1)</f>
        <v>46457</v>
      </c>
      <c r="DV144" s="65">
        <f t="shared" ca="1" si="483"/>
        <v>326</v>
      </c>
      <c r="DW144" s="15" t="str">
        <f t="shared" ca="1" si="484"/>
        <v>VIGENTE</v>
      </c>
      <c r="DX144" s="13">
        <v>45064</v>
      </c>
      <c r="DY144" s="14">
        <v>45682</v>
      </c>
      <c r="DZ144" s="14">
        <f>DATE(YEAR(DY144)+2,MONTH(DY144),DAY(DY144)-1)</f>
        <v>46411</v>
      </c>
      <c r="EA144" s="65">
        <f t="shared" ca="1" si="485"/>
        <v>280</v>
      </c>
      <c r="EB144" s="15" t="str">
        <f t="shared" ca="1" si="486"/>
        <v>VIGENTE</v>
      </c>
      <c r="EC144" s="13">
        <v>45061</v>
      </c>
      <c r="ED144" s="14">
        <v>45674</v>
      </c>
      <c r="EE144" s="14">
        <f>DATE(YEAR(ED144)+2,MONTH(ED144),DAY(ED144)-1)</f>
        <v>46403</v>
      </c>
      <c r="EF144" s="65">
        <f t="shared" ca="1" si="487"/>
        <v>272</v>
      </c>
      <c r="EG144" s="15" t="str">
        <f t="shared" ca="1" si="488"/>
        <v>VIGENTE</v>
      </c>
      <c r="EH144" s="13">
        <v>45675</v>
      </c>
      <c r="EI144" s="13">
        <v>45806</v>
      </c>
      <c r="EJ144" s="13">
        <v>45807</v>
      </c>
      <c r="EK144" s="14">
        <v>45808</v>
      </c>
      <c r="EL144" s="14">
        <f t="shared" si="546"/>
        <v>46173</v>
      </c>
      <c r="EM144" s="65">
        <f t="shared" ca="1" si="489"/>
        <v>42</v>
      </c>
      <c r="EN144" s="15" t="str">
        <f t="shared" ca="1" si="490"/>
        <v>POR VENCER</v>
      </c>
      <c r="EO144" s="13">
        <v>45042</v>
      </c>
      <c r="EP144" s="14">
        <v>45671</v>
      </c>
      <c r="EQ144" s="14">
        <f>DATE(YEAR(EP144)+2,MONTH(EP144),DAY(EP144)-1)</f>
        <v>46400</v>
      </c>
      <c r="ER144" s="65">
        <f t="shared" ca="1" si="491"/>
        <v>269</v>
      </c>
      <c r="ES144" s="15" t="str">
        <f t="shared" ca="1" si="492"/>
        <v>VIGENTE</v>
      </c>
      <c r="ET144" s="12">
        <v>45085</v>
      </c>
      <c r="EU144" s="14">
        <v>45755</v>
      </c>
      <c r="EV144" s="14">
        <f>DATE(YEAR(EU144)+2,MONTH(EU144),DAY(EU144)-1)</f>
        <v>46484</v>
      </c>
      <c r="EW144" s="65">
        <f t="shared" ca="1" si="493"/>
        <v>353</v>
      </c>
      <c r="EX144" s="15" t="str">
        <f t="shared" ca="1" si="494"/>
        <v>VIGENTE</v>
      </c>
      <c r="EY144" s="13">
        <v>45017</v>
      </c>
      <c r="EZ144" s="14">
        <v>45694</v>
      </c>
      <c r="FA144" s="14">
        <f>DATE(YEAR(EZ144)+2,MONTH(EZ144),DAY(EZ144)-1)</f>
        <v>46423</v>
      </c>
      <c r="FB144" s="65">
        <f t="shared" ca="1" si="495"/>
        <v>292</v>
      </c>
      <c r="FC144" s="15" t="str">
        <f t="shared" ca="1" si="496"/>
        <v>VIGENTE</v>
      </c>
      <c r="FD144" s="13">
        <v>45041</v>
      </c>
      <c r="FE144" s="14">
        <v>45729</v>
      </c>
      <c r="FF144" s="14">
        <f>DATE(YEAR(FE144)+2,MONTH(FE144),DAY(FE144)-1)</f>
        <v>46458</v>
      </c>
      <c r="FG144" s="65">
        <f t="shared" ca="1" si="497"/>
        <v>327</v>
      </c>
      <c r="FH144" s="15" t="str">
        <f t="shared" ca="1" si="498"/>
        <v>VIGENTE</v>
      </c>
      <c r="FI144" s="13">
        <v>45045</v>
      </c>
      <c r="FJ144" s="14">
        <v>45691</v>
      </c>
      <c r="FK144" s="14">
        <f>DATE(YEAR(FJ144)+2,MONTH(FJ144),DAY(FJ144)-1)</f>
        <v>46420</v>
      </c>
      <c r="FL144" s="65">
        <f t="shared" ca="1" si="499"/>
        <v>289</v>
      </c>
      <c r="FM144" s="15" t="str">
        <f t="shared" ca="1" si="500"/>
        <v>VIGENTE</v>
      </c>
      <c r="FN144" s="13">
        <v>45062</v>
      </c>
      <c r="FO144" s="14">
        <v>45670</v>
      </c>
      <c r="FP144" s="14">
        <f>DATE(YEAR(FO144)+2,MONTH(FO144),DAY(FO144)-1)</f>
        <v>46399</v>
      </c>
      <c r="FQ144" s="65">
        <f t="shared" ca="1" si="501"/>
        <v>268</v>
      </c>
      <c r="FR144" s="15" t="str">
        <f t="shared" ca="1" si="502"/>
        <v>VIGENTE</v>
      </c>
      <c r="FS144" s="13">
        <v>45078</v>
      </c>
      <c r="FT144" s="14">
        <v>45747</v>
      </c>
      <c r="FU144" s="14">
        <f>DATE(YEAR(FT144)+2,MONTH(FT144),DAY(FT144)-1)</f>
        <v>46476</v>
      </c>
      <c r="FV144" s="65">
        <f t="shared" ca="1" si="503"/>
        <v>345</v>
      </c>
      <c r="FW144" s="15" t="str">
        <f t="shared" ca="1" si="504"/>
        <v>VIGENTE</v>
      </c>
      <c r="FX144" s="13">
        <v>45028</v>
      </c>
      <c r="FY144" s="14">
        <v>45700</v>
      </c>
      <c r="FZ144" s="14">
        <f>DATE(YEAR(FY144)+2,MONTH(FY144),DAY(FY144)-1)</f>
        <v>46429</v>
      </c>
      <c r="GA144" s="65">
        <f t="shared" ca="1" si="505"/>
        <v>298</v>
      </c>
      <c r="GB144" s="15" t="str">
        <f t="shared" ca="1" si="506"/>
        <v>VIGENTE</v>
      </c>
      <c r="GC144" s="13">
        <v>44923</v>
      </c>
      <c r="GD144" s="14">
        <v>45595</v>
      </c>
      <c r="GE144" s="14">
        <f>DATE(YEAR(GD144)+2,MONTH(GD144),DAY(GD144)-1)</f>
        <v>46324</v>
      </c>
      <c r="GF144" s="65">
        <f t="shared" ca="1" si="507"/>
        <v>193</v>
      </c>
      <c r="GG144" s="15" t="str">
        <f t="shared" ca="1" si="508"/>
        <v>VIGENTE</v>
      </c>
      <c r="GH144" s="13">
        <v>45076</v>
      </c>
      <c r="GI144" s="14">
        <v>45712</v>
      </c>
      <c r="GJ144" s="14">
        <f>DATE(YEAR(GI144)+2,MONTH(GI144),DAY(GI144)-1)</f>
        <v>46441</v>
      </c>
      <c r="GK144" s="65">
        <f t="shared" ca="1" si="509"/>
        <v>310</v>
      </c>
      <c r="GL144" s="15" t="str">
        <f t="shared" ca="1" si="510"/>
        <v>VIGENTE</v>
      </c>
      <c r="GM144" s="14">
        <v>44569</v>
      </c>
      <c r="GN144" s="14">
        <v>45945</v>
      </c>
      <c r="GO144" s="14">
        <f t="shared" si="560"/>
        <v>46675</v>
      </c>
      <c r="GP144" s="65">
        <f t="shared" ca="1" si="511"/>
        <v>544</v>
      </c>
      <c r="GQ144" s="15" t="str">
        <f t="shared" ca="1" si="512"/>
        <v>VIGENTE</v>
      </c>
      <c r="GR144" s="14">
        <v>44648</v>
      </c>
      <c r="GS144" s="14">
        <v>45299</v>
      </c>
      <c r="GT144" s="14">
        <f t="shared" si="513"/>
        <v>47126</v>
      </c>
      <c r="GU144" s="65">
        <f t="shared" ca="1" si="398"/>
        <v>995</v>
      </c>
      <c r="GV144" s="15" t="str">
        <f t="shared" ca="1" si="411"/>
        <v>VIGENTE</v>
      </c>
      <c r="GW144" s="13"/>
      <c r="GX144" s="14">
        <v>44910</v>
      </c>
      <c r="GY144" s="14">
        <f t="shared" si="514"/>
        <v>46736</v>
      </c>
      <c r="GZ144" s="65">
        <f t="shared" ca="1" si="515"/>
        <v>605</v>
      </c>
      <c r="HA144" s="15" t="str">
        <f t="shared" ca="1" si="418"/>
        <v>VIGENTE</v>
      </c>
      <c r="HB144" s="13">
        <v>44763</v>
      </c>
      <c r="HC144" s="14">
        <v>45454</v>
      </c>
      <c r="HD144" s="14">
        <f t="shared" si="516"/>
        <v>47280</v>
      </c>
      <c r="HE144" s="65">
        <f t="shared" ca="1" si="517"/>
        <v>1149</v>
      </c>
      <c r="HF144" s="15" t="str">
        <f t="shared" ca="1" si="413"/>
        <v>VIGENTE</v>
      </c>
      <c r="HG144" s="16"/>
      <c r="HH144" s="14">
        <v>44862</v>
      </c>
      <c r="HI144" s="14">
        <f>DATE(YEAR(HH144)+5,MONTH(HH144),DAY(HH144))</f>
        <v>46688</v>
      </c>
      <c r="HJ144" s="65">
        <f ca="1">HI144-TODAY()</f>
        <v>557</v>
      </c>
      <c r="HK144" s="15" t="str">
        <f t="shared" ca="1" si="419"/>
        <v>VIGENTE</v>
      </c>
      <c r="HL144" s="12"/>
      <c r="HM144" s="16"/>
      <c r="HN144" s="14"/>
      <c r="HO144" s="65"/>
      <c r="HP144" s="15" t="str">
        <f t="shared" si="437"/>
        <v>NO APLICA</v>
      </c>
      <c r="HQ144" s="12"/>
      <c r="HR144" s="12"/>
      <c r="HS144" s="14"/>
      <c r="HT144" s="12"/>
      <c r="HU144" s="15" t="str">
        <f t="shared" si="518"/>
        <v>NO APLICA</v>
      </c>
      <c r="HV144" s="13">
        <v>44782</v>
      </c>
      <c r="HW144" s="14">
        <v>45469</v>
      </c>
      <c r="HX144" s="14">
        <f>DATE(YEAR(HW144)+5,MONTH(HW144),DAY(HW144))</f>
        <v>47295</v>
      </c>
      <c r="HY144" s="65">
        <f ca="1">HX144-TODAY()</f>
        <v>1164</v>
      </c>
      <c r="HZ144" s="15" t="str">
        <f t="shared" ca="1" si="519"/>
        <v>VIGENTE</v>
      </c>
      <c r="IA144" s="13">
        <v>44781</v>
      </c>
      <c r="IB144" s="14">
        <v>45475</v>
      </c>
      <c r="IC144" s="14">
        <f>DATE(YEAR(IB144)+5,MONTH(IB144),DAY(IB144))</f>
        <v>47301</v>
      </c>
      <c r="ID144" s="65">
        <f ca="1">IC144-TODAY()</f>
        <v>1170</v>
      </c>
      <c r="IE144" s="15" t="str">
        <f t="shared" ca="1" si="520"/>
        <v>VIGENTE</v>
      </c>
      <c r="IF144" s="13">
        <v>44792</v>
      </c>
      <c r="IG144" s="14">
        <v>45470</v>
      </c>
      <c r="IH144" s="14">
        <f>DATE(YEAR(IG144)+5,MONTH(IG144),DAY(IG144))</f>
        <v>47296</v>
      </c>
      <c r="II144" s="65">
        <f ca="1">IH144-TODAY()</f>
        <v>1165</v>
      </c>
      <c r="IJ144" s="15" t="str">
        <f t="shared" ca="1" si="521"/>
        <v>VIGENTE</v>
      </c>
      <c r="IK144" s="14">
        <v>44795</v>
      </c>
      <c r="IL144" s="14">
        <v>45452</v>
      </c>
      <c r="IM144" s="14">
        <f>DATE(YEAR(IL144)+5,MONTH(IL144),DAY(IL144))</f>
        <v>47278</v>
      </c>
      <c r="IN144" s="65">
        <f ca="1">IM144-TODAY()</f>
        <v>1147</v>
      </c>
      <c r="IO144" s="15" t="str">
        <f t="shared" ca="1" si="522"/>
        <v>VIGENTE</v>
      </c>
      <c r="IP144" s="13">
        <v>44795</v>
      </c>
      <c r="IQ144" s="14">
        <v>45453</v>
      </c>
      <c r="IR144" s="14">
        <f>DATE(YEAR(IQ144)+5,MONTH(IQ144),DAY(IQ144))</f>
        <v>47279</v>
      </c>
      <c r="IS144" s="65">
        <f ca="1">IR144-TODAY()</f>
        <v>1148</v>
      </c>
      <c r="IT144" s="15" t="str">
        <f t="shared" ca="1" si="523"/>
        <v>VIGENTE</v>
      </c>
      <c r="IU144" s="13">
        <v>44792</v>
      </c>
      <c r="IV144" s="14">
        <v>45503</v>
      </c>
      <c r="IW144" s="14">
        <f>DATE(YEAR(IV144)+5,MONTH(IV144),DAY(IV144))</f>
        <v>47329</v>
      </c>
      <c r="IX144" s="65">
        <f ca="1">IW144-TODAY()</f>
        <v>1198</v>
      </c>
      <c r="IY144" s="15" t="str">
        <f t="shared" ca="1" si="524"/>
        <v>VIGENTE</v>
      </c>
      <c r="IZ144" s="13">
        <v>44781</v>
      </c>
      <c r="JA144" s="14">
        <v>45461</v>
      </c>
      <c r="JB144" s="14">
        <f>DATE(YEAR(JA144)+5,MONTH(JA144),DAY(JA144))</f>
        <v>47287</v>
      </c>
      <c r="JC144" s="65">
        <f ca="1">JB144-TODAY()</f>
        <v>1156</v>
      </c>
      <c r="JD144" s="15" t="str">
        <f t="shared" ca="1" si="525"/>
        <v>VIGENTE</v>
      </c>
      <c r="JE144" s="13"/>
      <c r="JF144" s="13"/>
      <c r="JG144" s="14"/>
      <c r="JH144" s="65"/>
      <c r="JI144" s="15" t="str">
        <f t="shared" si="526"/>
        <v>NO APLICA</v>
      </c>
      <c r="JJ144" s="16"/>
      <c r="JK144" s="16"/>
      <c r="JL144" s="16"/>
      <c r="JM144" s="15" t="str">
        <f t="shared" si="527"/>
        <v>NO APLICA</v>
      </c>
      <c r="JN144" s="16"/>
      <c r="JO144" s="16"/>
      <c r="JP144" s="16"/>
      <c r="JQ144" s="15" t="str">
        <f t="shared" si="528"/>
        <v>NO APLICA</v>
      </c>
      <c r="JR144" s="16"/>
      <c r="JS144" s="16"/>
      <c r="JT144" s="16"/>
      <c r="JU144" s="16"/>
      <c r="JV144" s="15" t="str">
        <f t="shared" si="529"/>
        <v>NO APLICA</v>
      </c>
      <c r="JW144" s="15"/>
      <c r="JX144" s="15"/>
      <c r="JY144" s="15"/>
      <c r="JZ144" s="15"/>
      <c r="KA144" s="15" t="str">
        <f t="shared" si="530"/>
        <v>NO APLICA</v>
      </c>
      <c r="KB144" s="12"/>
      <c r="KC144" s="14"/>
      <c r="KD144" s="65"/>
      <c r="KE144" s="15" t="str">
        <f t="shared" si="531"/>
        <v>NO APLICA</v>
      </c>
      <c r="KF144" s="12"/>
      <c r="KG144" s="14"/>
      <c r="KH144" s="65"/>
      <c r="KI144" s="15" t="str">
        <f t="shared" si="547"/>
        <v>NO APLICA</v>
      </c>
      <c r="KJ144" s="12"/>
      <c r="KK144" s="14"/>
      <c r="KL144" s="65"/>
      <c r="KM144" s="15" t="str">
        <f t="shared" si="532"/>
        <v>NO APLICA</v>
      </c>
      <c r="KN144" s="13">
        <v>45346</v>
      </c>
      <c r="KO144" s="14">
        <f>DATE(YEAR(KN144)+5,MONTH(KN144),DAY(KN144))</f>
        <v>47173</v>
      </c>
      <c r="KP144" s="65">
        <f ca="1">KO144-TODAY()</f>
        <v>1042</v>
      </c>
      <c r="KQ144" s="15" t="str">
        <f t="shared" ca="1" si="548"/>
        <v>VIGENTE</v>
      </c>
      <c r="KR144" s="12"/>
      <c r="KS144" s="16"/>
      <c r="KT144" s="14"/>
      <c r="KU144" s="65"/>
      <c r="KV144" s="15" t="str">
        <f t="shared" si="554"/>
        <v>NO APLICA</v>
      </c>
      <c r="KW144" s="16"/>
      <c r="KX144" s="14"/>
      <c r="KY144" s="65"/>
      <c r="KZ144" s="15" t="str">
        <f t="shared" si="549"/>
        <v>NO APLICA</v>
      </c>
      <c r="LA144" s="16"/>
      <c r="LB144" s="14">
        <v>45530</v>
      </c>
      <c r="LC144" s="14">
        <f>DATE(YEAR(LB144)+2,MONTH(LB144),DAY(LB144))</f>
        <v>46260</v>
      </c>
      <c r="LD144" s="65">
        <f ca="1">LC144-TODAY()</f>
        <v>129</v>
      </c>
      <c r="LE144" s="15" t="str">
        <f t="shared" ca="1" si="556"/>
        <v>VIGENTE</v>
      </c>
      <c r="LF144" s="15"/>
      <c r="LG144" s="15"/>
      <c r="LH144" s="14"/>
      <c r="LI144" s="65"/>
      <c r="LJ144" s="15" t="str">
        <f t="shared" si="555"/>
        <v>NO APLICA</v>
      </c>
      <c r="LK144" s="12"/>
      <c r="LL144" s="16"/>
      <c r="LM144" s="14"/>
      <c r="LN144" s="65"/>
      <c r="LO144" s="15" t="str">
        <f t="shared" si="550"/>
        <v>NO APLICA</v>
      </c>
      <c r="LP144" s="16"/>
      <c r="LQ144" s="16"/>
      <c r="LR144" s="14"/>
      <c r="LS144" s="65"/>
      <c r="LT144" s="15" t="str">
        <f t="shared" si="551"/>
        <v>NO APLICA</v>
      </c>
      <c r="LU144" s="16"/>
      <c r="LV144" s="16"/>
      <c r="LW144" s="14"/>
      <c r="LX144" s="65"/>
      <c r="LY144" s="15" t="str">
        <f t="shared" si="552"/>
        <v>NO APLICA</v>
      </c>
      <c r="LZ144" s="12"/>
      <c r="MA144" s="12"/>
      <c r="MB144" s="14"/>
      <c r="MC144" s="65"/>
      <c r="MD144" s="15" t="str">
        <f t="shared" si="534"/>
        <v>NO APLICA</v>
      </c>
      <c r="ME144" s="12"/>
      <c r="MF144" s="12"/>
      <c r="MG144" s="14"/>
      <c r="MH144" s="65"/>
      <c r="MI144" s="15" t="str">
        <f t="shared" si="535"/>
        <v>NO APLICA</v>
      </c>
      <c r="MJ144" s="12"/>
      <c r="MK144" s="14"/>
      <c r="ML144" s="65"/>
      <c r="MM144" s="15" t="str">
        <f t="shared" si="536"/>
        <v>NO APLICA</v>
      </c>
      <c r="MN144" s="12"/>
      <c r="MO144" s="14"/>
      <c r="MP144" s="12"/>
      <c r="MQ144" s="15" t="str">
        <f t="shared" si="537"/>
        <v>NO APLICA</v>
      </c>
      <c r="MR144" s="12"/>
      <c r="MS144" s="16"/>
      <c r="MT144" s="14"/>
      <c r="MU144" s="65"/>
      <c r="MV144" s="15" t="str">
        <f t="shared" si="538"/>
        <v>NO APLICA</v>
      </c>
      <c r="MW144" s="12"/>
      <c r="MX144" s="16"/>
      <c r="MY144" s="14"/>
      <c r="MZ144" s="65"/>
      <c r="NA144" s="15" t="str">
        <f t="shared" si="539"/>
        <v>NO APLICA</v>
      </c>
      <c r="NB144" s="12"/>
      <c r="NC144" s="16"/>
      <c r="ND144" s="14"/>
      <c r="NE144" s="65"/>
      <c r="NF144" s="15" t="str">
        <f t="shared" si="540"/>
        <v>NO APLICA</v>
      </c>
      <c r="NG144" s="12"/>
      <c r="NH144" s="12"/>
      <c r="NI144" s="14"/>
      <c r="NJ144" s="65"/>
      <c r="NK144" s="15" t="str">
        <f t="shared" si="541"/>
        <v>NO APLICA</v>
      </c>
      <c r="NL144" s="12"/>
      <c r="NM144" s="12"/>
      <c r="NN144" s="14"/>
      <c r="NO144" s="12"/>
      <c r="NP144" s="15" t="str">
        <f t="shared" si="542"/>
        <v>NO APLICA</v>
      </c>
      <c r="NQ144" s="16"/>
      <c r="NR144" s="16"/>
      <c r="NS144" s="14"/>
      <c r="NT144" s="65"/>
      <c r="NU144" s="15" t="str">
        <f t="shared" si="543"/>
        <v>NO APLICA</v>
      </c>
      <c r="NV144" s="16"/>
      <c r="NW144" s="16"/>
      <c r="NX144" s="16"/>
      <c r="NY144" s="16"/>
      <c r="NZ144" s="15" t="str">
        <f t="shared" si="544"/>
        <v>NO APLICA</v>
      </c>
    </row>
    <row r="145" spans="1:390" ht="15.6" thickTop="1" thickBot="1" x14ac:dyDescent="0.35">
      <c r="A145" s="9">
        <v>1538</v>
      </c>
      <c r="B145" s="10" t="s">
        <v>531</v>
      </c>
      <c r="C145" s="21" t="s">
        <v>151</v>
      </c>
      <c r="D145" s="64" t="s">
        <v>165</v>
      </c>
      <c r="E145" s="13">
        <v>46057</v>
      </c>
      <c r="F145" s="14">
        <v>46058</v>
      </c>
      <c r="G145" s="14">
        <f>DATE(YEAR(F145)+2,MONTH(F145),DAY(F145))</f>
        <v>46788</v>
      </c>
      <c r="H145" s="65">
        <f ca="1">G145-TODAY()</f>
        <v>657</v>
      </c>
      <c r="I145" s="15" t="str">
        <f t="shared" ca="1" si="448"/>
        <v>VIGENTE</v>
      </c>
      <c r="J145" s="12"/>
      <c r="K145" s="16"/>
      <c r="L145" s="16"/>
      <c r="M145" s="65"/>
      <c r="N145" s="15" t="str">
        <f t="shared" si="449"/>
        <v>NO APLICA</v>
      </c>
      <c r="O145" s="16"/>
      <c r="P145" s="16"/>
      <c r="Q145" s="14"/>
      <c r="R145" s="65"/>
      <c r="S145" s="15" t="str">
        <f t="shared" si="545"/>
        <v>NO APLICA</v>
      </c>
      <c r="T145" s="12" t="s">
        <v>532</v>
      </c>
      <c r="U145" s="13">
        <v>45281</v>
      </c>
      <c r="V145" s="14">
        <v>45282</v>
      </c>
      <c r="W145" s="14">
        <f t="shared" si="401"/>
        <v>47109</v>
      </c>
      <c r="X145" s="65">
        <f t="shared" ca="1" si="402"/>
        <v>978</v>
      </c>
      <c r="Y145" s="15" t="str">
        <f t="shared" ca="1" si="403"/>
        <v>VIGENTE</v>
      </c>
      <c r="Z145" s="12"/>
      <c r="AA145" s="12"/>
      <c r="AB145" s="16"/>
      <c r="AC145" s="14"/>
      <c r="AD145" s="65"/>
      <c r="AE145" s="15" t="str">
        <f t="shared" si="553"/>
        <v>NO APLICA</v>
      </c>
      <c r="AF145" s="13">
        <v>45243</v>
      </c>
      <c r="AG145" s="14">
        <v>45902</v>
      </c>
      <c r="AH145" s="14">
        <f>DATE(YEAR(AG145)+2,MONTH(AG145),DAY(AG145))</f>
        <v>46632</v>
      </c>
      <c r="AI145" s="65">
        <f t="shared" ca="1" si="450"/>
        <v>501</v>
      </c>
      <c r="AJ145" s="15" t="str">
        <f t="shared" ca="1" si="399"/>
        <v>VIGENTE</v>
      </c>
      <c r="AK145" s="13">
        <v>45189</v>
      </c>
      <c r="AL145" s="14">
        <v>45838</v>
      </c>
      <c r="AM145" s="14">
        <f t="shared" si="561"/>
        <v>46568</v>
      </c>
      <c r="AN145" s="65">
        <f t="shared" ca="1" si="451"/>
        <v>437</v>
      </c>
      <c r="AO145" s="15" t="str">
        <f t="shared" ca="1" si="452"/>
        <v>VIGENTE</v>
      </c>
      <c r="AP145" s="13">
        <v>44671</v>
      </c>
      <c r="AQ145" s="14">
        <v>45904</v>
      </c>
      <c r="AR145" s="14">
        <f t="shared" si="557"/>
        <v>46634</v>
      </c>
      <c r="AS145" s="65">
        <f t="shared" ca="1" si="453"/>
        <v>503</v>
      </c>
      <c r="AT145" s="15" t="str">
        <f t="shared" ca="1" si="454"/>
        <v>VIGENTE</v>
      </c>
      <c r="AU145" s="13">
        <v>44671</v>
      </c>
      <c r="AV145" s="14">
        <v>45927</v>
      </c>
      <c r="AW145" s="14">
        <f t="shared" si="558"/>
        <v>46657</v>
      </c>
      <c r="AX145" s="65">
        <f t="shared" ca="1" si="455"/>
        <v>526</v>
      </c>
      <c r="AY145" s="15" t="str">
        <f t="shared" ca="1" si="456"/>
        <v>VIGENTE</v>
      </c>
      <c r="AZ145" s="13">
        <v>44930</v>
      </c>
      <c r="BA145" s="14">
        <v>45603</v>
      </c>
      <c r="BB145" s="14">
        <f>DATE(YEAR(BA145)+2,MONTH(BA145),DAY(BA145)-1)</f>
        <v>46332</v>
      </c>
      <c r="BC145" s="65">
        <f t="shared" ca="1" si="457"/>
        <v>201</v>
      </c>
      <c r="BD145" s="15" t="str">
        <f t="shared" ca="1" si="458"/>
        <v>VIGENTE</v>
      </c>
      <c r="BE145" s="13">
        <v>45071</v>
      </c>
      <c r="BF145" s="14">
        <v>45698</v>
      </c>
      <c r="BG145" s="14">
        <f>DATE(YEAR(BF145)+2,MONTH(BF145),DAY(BF145)-1)</f>
        <v>46427</v>
      </c>
      <c r="BH145" s="65">
        <f t="shared" ca="1" si="459"/>
        <v>296</v>
      </c>
      <c r="BI145" s="15" t="str">
        <f t="shared" ca="1" si="460"/>
        <v>VIGENTE</v>
      </c>
      <c r="BJ145" s="13">
        <v>44974</v>
      </c>
      <c r="BK145" s="14">
        <v>45600</v>
      </c>
      <c r="BL145" s="14">
        <f>DATE(YEAR(BK145)+2,MONTH(BK145),DAY(BK145)-1)</f>
        <v>46329</v>
      </c>
      <c r="BM145" s="65">
        <f t="shared" ca="1" si="461"/>
        <v>198</v>
      </c>
      <c r="BN145" s="15" t="str">
        <f t="shared" ca="1" si="462"/>
        <v>VIGENTE</v>
      </c>
      <c r="BO145" s="13">
        <v>44750</v>
      </c>
      <c r="BP145" s="14">
        <v>46050</v>
      </c>
      <c r="BQ145" s="14">
        <f t="shared" si="559"/>
        <v>46780</v>
      </c>
      <c r="BR145" s="65">
        <f t="shared" ca="1" si="463"/>
        <v>649</v>
      </c>
      <c r="BS145" s="15" t="str">
        <f t="shared" ca="1" si="464"/>
        <v>VIGENTE</v>
      </c>
      <c r="BT145" s="13">
        <v>44902</v>
      </c>
      <c r="BU145" s="14">
        <v>45527</v>
      </c>
      <c r="BV145" s="14">
        <f>DATE(YEAR(BU145)+2,MONTH(BU145),DAY(BU145)-1)</f>
        <v>46256</v>
      </c>
      <c r="BW145" s="65">
        <f t="shared" ca="1" si="465"/>
        <v>125</v>
      </c>
      <c r="BX145" s="15" t="str">
        <f t="shared" ca="1" si="466"/>
        <v>VIGENTE</v>
      </c>
      <c r="BY145" s="13">
        <v>44613</v>
      </c>
      <c r="BZ145" s="14">
        <v>45944</v>
      </c>
      <c r="CA145" s="14">
        <f t="shared" ref="CA145:CA156" si="563">DATE(YEAR(BZ145)+2,MONTH(BZ145),DAY(BZ145))</f>
        <v>46674</v>
      </c>
      <c r="CB145" s="65">
        <f t="shared" ca="1" si="467"/>
        <v>543</v>
      </c>
      <c r="CC145" s="15" t="str">
        <f t="shared" ca="1" si="468"/>
        <v>VIGENTE</v>
      </c>
      <c r="CD145" s="16" t="s">
        <v>108</v>
      </c>
      <c r="CE145" s="14">
        <v>45615</v>
      </c>
      <c r="CF145" s="14">
        <v>45616</v>
      </c>
      <c r="CG145" s="14">
        <f t="shared" si="408"/>
        <v>47077</v>
      </c>
      <c r="CH145" s="65">
        <f t="shared" ca="1" si="409"/>
        <v>946</v>
      </c>
      <c r="CI145" s="15" t="str">
        <f t="shared" ca="1" si="562"/>
        <v>VIGENTE</v>
      </c>
      <c r="CJ145" s="14">
        <v>44588</v>
      </c>
      <c r="CK145" s="14">
        <v>45929</v>
      </c>
      <c r="CL145" s="14">
        <f>DATE(YEAR(CK145)+2,MONTH(CK145),DAY(CK145))</f>
        <v>46659</v>
      </c>
      <c r="CM145" s="65">
        <f t="shared" ca="1" si="469"/>
        <v>528</v>
      </c>
      <c r="CN145" s="15" t="str">
        <f t="shared" ca="1" si="470"/>
        <v>VIGENTE</v>
      </c>
      <c r="CO145" s="13">
        <v>45188</v>
      </c>
      <c r="CP145" s="14">
        <v>45882</v>
      </c>
      <c r="CQ145" s="14">
        <f>DATE(YEAR(CP145)+2,MONTH(CP145),DAY(CP145))</f>
        <v>46612</v>
      </c>
      <c r="CR145" s="65">
        <f t="shared" ca="1" si="471"/>
        <v>481</v>
      </c>
      <c r="CS145" s="15" t="str">
        <f t="shared" ca="1" si="472"/>
        <v>VIGENTE</v>
      </c>
      <c r="CT145" s="13">
        <v>44670</v>
      </c>
      <c r="CU145" s="14">
        <v>45905</v>
      </c>
      <c r="CV145" s="14">
        <f>DATE(YEAR(CU145)+2,MONTH(CU145),DAY(CU145))</f>
        <v>46635</v>
      </c>
      <c r="CW145" s="65">
        <f t="shared" ca="1" si="473"/>
        <v>504</v>
      </c>
      <c r="CX145" s="15" t="str">
        <f t="shared" ca="1" si="474"/>
        <v>VIGENTE</v>
      </c>
      <c r="CY145" s="13">
        <v>45194</v>
      </c>
      <c r="CZ145" s="14">
        <v>45843</v>
      </c>
      <c r="DA145" s="14">
        <f>DATE(YEAR(CZ145)+2,MONTH(CZ145),DAY(CZ145))</f>
        <v>46573</v>
      </c>
      <c r="DB145" s="65">
        <f t="shared" ca="1" si="475"/>
        <v>442</v>
      </c>
      <c r="DC145" s="15" t="str">
        <f t="shared" ca="1" si="476"/>
        <v>VIGENTE</v>
      </c>
      <c r="DD145" s="13">
        <v>45417</v>
      </c>
      <c r="DE145" s="14">
        <v>46076</v>
      </c>
      <c r="DF145" s="14">
        <f>DATE(YEAR(DE145)+2,MONTH(DE145),DAY(DE145))</f>
        <v>46806</v>
      </c>
      <c r="DG145" s="65">
        <f t="shared" ca="1" si="477"/>
        <v>675</v>
      </c>
      <c r="DH145" s="15" t="str">
        <f t="shared" ca="1" si="478"/>
        <v>VIGENTE</v>
      </c>
      <c r="DI145" s="13">
        <v>45251</v>
      </c>
      <c r="DJ145" s="14">
        <v>45955</v>
      </c>
      <c r="DK145" s="14">
        <f>DATE(YEAR(DJ145)+2,MONTH(DJ145),DAY(DJ145))</f>
        <v>46685</v>
      </c>
      <c r="DL145" s="65">
        <f t="shared" ca="1" si="479"/>
        <v>554</v>
      </c>
      <c r="DM145" s="15" t="str">
        <f t="shared" ca="1" si="480"/>
        <v>VIGENTE</v>
      </c>
      <c r="DN145" s="13">
        <v>45390</v>
      </c>
      <c r="DO145" s="14">
        <v>46088</v>
      </c>
      <c r="DP145" s="14">
        <f>DATE(YEAR(DO145)+2,MONTH(DO145),DAY(DO145))</f>
        <v>46819</v>
      </c>
      <c r="DQ145" s="65">
        <f t="shared" ca="1" si="481"/>
        <v>688</v>
      </c>
      <c r="DR145" s="15" t="str">
        <f t="shared" ca="1" si="482"/>
        <v>VIGENTE</v>
      </c>
      <c r="DS145" s="13">
        <v>45066</v>
      </c>
      <c r="DT145" s="14">
        <v>45728</v>
      </c>
      <c r="DU145" s="14">
        <f>DATE(YEAR(DT145)+2,MONTH(DT145),DAY(DT145)-1)</f>
        <v>46457</v>
      </c>
      <c r="DV145" s="65">
        <f t="shared" ca="1" si="483"/>
        <v>326</v>
      </c>
      <c r="DW145" s="15" t="str">
        <f t="shared" ca="1" si="484"/>
        <v>VIGENTE</v>
      </c>
      <c r="DX145" s="13">
        <v>45064</v>
      </c>
      <c r="DY145" s="14">
        <v>45663</v>
      </c>
      <c r="DZ145" s="14">
        <f>DATE(YEAR(DY145)+2,MONTH(DY145),DAY(DY145)-1)</f>
        <v>46392</v>
      </c>
      <c r="EA145" s="65">
        <f t="shared" ca="1" si="485"/>
        <v>261</v>
      </c>
      <c r="EB145" s="15" t="str">
        <f t="shared" ca="1" si="486"/>
        <v>VIGENTE</v>
      </c>
      <c r="EC145" s="13">
        <v>45424</v>
      </c>
      <c r="ED145" s="14">
        <v>46104</v>
      </c>
      <c r="EE145" s="14">
        <f>DATE(YEAR(ED145)+2,MONTH(ED145),DAY(ED145))</f>
        <v>46835</v>
      </c>
      <c r="EF145" s="65">
        <f t="shared" ca="1" si="487"/>
        <v>704</v>
      </c>
      <c r="EG145" s="15" t="str">
        <f t="shared" ca="1" si="488"/>
        <v>VIGENTE</v>
      </c>
      <c r="EH145" s="13">
        <v>45423</v>
      </c>
      <c r="EI145" s="13">
        <v>46058</v>
      </c>
      <c r="EJ145" s="13">
        <v>46059</v>
      </c>
      <c r="EK145" s="13">
        <v>46060</v>
      </c>
      <c r="EL145" s="14">
        <f t="shared" si="546"/>
        <v>46425</v>
      </c>
      <c r="EM145" s="65">
        <f t="shared" ca="1" si="489"/>
        <v>294</v>
      </c>
      <c r="EN145" s="15" t="str">
        <f t="shared" ca="1" si="490"/>
        <v>VIGENTE</v>
      </c>
      <c r="EO145" s="13">
        <v>44981</v>
      </c>
      <c r="EP145" s="13">
        <v>45596</v>
      </c>
      <c r="EQ145" s="14">
        <f>DATE(YEAR(EP145)+2,MONTH(EP145),DAY(EP145)-1)</f>
        <v>46325</v>
      </c>
      <c r="ER145" s="65">
        <f t="shared" ca="1" si="491"/>
        <v>194</v>
      </c>
      <c r="ES145" s="15" t="str">
        <f t="shared" ca="1" si="492"/>
        <v>VIGENTE</v>
      </c>
      <c r="ET145" s="13">
        <v>45043</v>
      </c>
      <c r="EU145" s="14">
        <v>45677</v>
      </c>
      <c r="EV145" s="14">
        <f>DATE(YEAR(EU145)+2,MONTH(EU145),DAY(EU145)-1)</f>
        <v>46406</v>
      </c>
      <c r="EW145" s="65">
        <f t="shared" ca="1" si="493"/>
        <v>275</v>
      </c>
      <c r="EX145" s="15" t="str">
        <f t="shared" ca="1" si="494"/>
        <v>VIGENTE</v>
      </c>
      <c r="EY145" s="13">
        <v>44615</v>
      </c>
      <c r="EZ145" s="14">
        <v>45917</v>
      </c>
      <c r="FA145" s="14">
        <f t="shared" ref="FA145:FA156" si="564">DATE(YEAR(EZ145)+2,MONTH(EZ145),DAY(EZ145))</f>
        <v>46647</v>
      </c>
      <c r="FB145" s="65">
        <f t="shared" ca="1" si="495"/>
        <v>516</v>
      </c>
      <c r="FC145" s="15" t="str">
        <f t="shared" ca="1" si="496"/>
        <v>VIGENTE</v>
      </c>
      <c r="FD145" s="13">
        <v>45280</v>
      </c>
      <c r="FE145" s="14">
        <v>45951</v>
      </c>
      <c r="FF145" s="14">
        <f t="shared" ref="FF145:FF156" si="565">DATE(YEAR(FE145)+2,MONTH(FE145),DAY(FE145))</f>
        <v>46681</v>
      </c>
      <c r="FG145" s="65">
        <f t="shared" ca="1" si="497"/>
        <v>550</v>
      </c>
      <c r="FH145" s="15" t="str">
        <f t="shared" ca="1" si="498"/>
        <v>VIGENTE</v>
      </c>
      <c r="FI145" s="13">
        <v>44616</v>
      </c>
      <c r="FJ145" s="14">
        <v>45919</v>
      </c>
      <c r="FK145" s="14">
        <f t="shared" ref="FK145:FK151" si="566">DATE(YEAR(FJ145)+2,MONTH(FJ145),DAY(FJ145))</f>
        <v>46649</v>
      </c>
      <c r="FL145" s="65">
        <f t="shared" ca="1" si="499"/>
        <v>518</v>
      </c>
      <c r="FM145" s="15" t="str">
        <f t="shared" ca="1" si="500"/>
        <v>VIGENTE</v>
      </c>
      <c r="FN145" s="13">
        <v>44750</v>
      </c>
      <c r="FO145" s="14">
        <v>46049</v>
      </c>
      <c r="FP145" s="14">
        <f>DATE(YEAR(FO145)+2,MONTH(FO145),DAY(FO145))</f>
        <v>46779</v>
      </c>
      <c r="FQ145" s="65">
        <f t="shared" ca="1" si="501"/>
        <v>648</v>
      </c>
      <c r="FR145" s="15" t="str">
        <f t="shared" ca="1" si="502"/>
        <v>VIGENTE</v>
      </c>
      <c r="FS145" s="13">
        <v>45376</v>
      </c>
      <c r="FT145" s="14">
        <v>46034</v>
      </c>
      <c r="FU145" s="14">
        <f>DATE(YEAR(FT145)+2,MONTH(FT145),DAY(FT145))</f>
        <v>46764</v>
      </c>
      <c r="FV145" s="65">
        <f t="shared" ca="1" si="503"/>
        <v>633</v>
      </c>
      <c r="FW145" s="15" t="str">
        <f t="shared" ca="1" si="504"/>
        <v>VIGENTE</v>
      </c>
      <c r="FX145" s="13">
        <v>44616</v>
      </c>
      <c r="FY145" s="14">
        <v>45993</v>
      </c>
      <c r="FZ145" s="14">
        <f>DATE(YEAR(FY145)+2,MONTH(FY145),DAY(FY145))</f>
        <v>46723</v>
      </c>
      <c r="GA145" s="65">
        <f t="shared" ca="1" si="505"/>
        <v>592</v>
      </c>
      <c r="GB145" s="15" t="str">
        <f t="shared" ca="1" si="506"/>
        <v>VIGENTE</v>
      </c>
      <c r="GC145" s="13">
        <v>44746</v>
      </c>
      <c r="GD145" s="14">
        <v>46073</v>
      </c>
      <c r="GE145" s="14">
        <f>DATE(YEAR(GD145)+2,MONTH(GD145),DAY(GD145))</f>
        <v>46803</v>
      </c>
      <c r="GF145" s="65">
        <f t="shared" ca="1" si="507"/>
        <v>672</v>
      </c>
      <c r="GG145" s="15" t="str">
        <f t="shared" ca="1" si="508"/>
        <v>VIGENTE</v>
      </c>
      <c r="GH145" s="13">
        <v>45022</v>
      </c>
      <c r="GI145" s="14">
        <v>45672</v>
      </c>
      <c r="GJ145" s="14">
        <f>DATE(YEAR(GI145)+2,MONTH(GI145),DAY(GI145)-1)</f>
        <v>46401</v>
      </c>
      <c r="GK145" s="65">
        <f t="shared" ca="1" si="509"/>
        <v>270</v>
      </c>
      <c r="GL145" s="15" t="str">
        <f t="shared" ca="1" si="510"/>
        <v>VIGENTE</v>
      </c>
      <c r="GM145" s="13">
        <v>45368</v>
      </c>
      <c r="GN145" s="14">
        <v>46044</v>
      </c>
      <c r="GO145" s="14">
        <f t="shared" si="560"/>
        <v>46774</v>
      </c>
      <c r="GP145" s="65">
        <f t="shared" ca="1" si="511"/>
        <v>643</v>
      </c>
      <c r="GQ145" s="15" t="str">
        <f t="shared" ca="1" si="512"/>
        <v>VIGENTE</v>
      </c>
      <c r="GR145" s="14">
        <v>44781</v>
      </c>
      <c r="GS145" s="14">
        <v>45367</v>
      </c>
      <c r="GT145" s="14">
        <f t="shared" si="513"/>
        <v>47193</v>
      </c>
      <c r="GU145" s="65">
        <f t="shared" ca="1" si="398"/>
        <v>1062</v>
      </c>
      <c r="GV145" s="15" t="str">
        <f t="shared" ca="1" si="411"/>
        <v>VIGENTE</v>
      </c>
      <c r="GW145" s="13">
        <v>44782</v>
      </c>
      <c r="GX145" s="14">
        <v>45432</v>
      </c>
      <c r="GY145" s="14">
        <f t="shared" si="514"/>
        <v>47258</v>
      </c>
      <c r="GZ145" s="65">
        <f t="shared" ca="1" si="515"/>
        <v>1127</v>
      </c>
      <c r="HA145" s="15" t="str">
        <f t="shared" ca="1" si="418"/>
        <v>VIGENTE</v>
      </c>
      <c r="HB145" s="13">
        <v>44781</v>
      </c>
      <c r="HC145" s="14">
        <v>45454</v>
      </c>
      <c r="HD145" s="14">
        <f t="shared" si="516"/>
        <v>47280</v>
      </c>
      <c r="HE145" s="65">
        <f t="shared" ca="1" si="517"/>
        <v>1149</v>
      </c>
      <c r="HF145" s="15" t="str">
        <f t="shared" ca="1" si="413"/>
        <v>VIGENTE</v>
      </c>
      <c r="HG145" s="16"/>
      <c r="HH145" s="16"/>
      <c r="HI145" s="14"/>
      <c r="HJ145" s="65"/>
      <c r="HK145" s="15" t="str">
        <f t="shared" si="419"/>
        <v>NO APLICA</v>
      </c>
      <c r="HL145" s="12"/>
      <c r="HM145" s="16"/>
      <c r="HN145" s="14"/>
      <c r="HO145" s="65"/>
      <c r="HP145" s="15" t="str">
        <f t="shared" si="437"/>
        <v>NO APLICA</v>
      </c>
      <c r="HQ145" s="12"/>
      <c r="HR145" s="12"/>
      <c r="HS145" s="14"/>
      <c r="HT145" s="12"/>
      <c r="HU145" s="15" t="str">
        <f t="shared" si="518"/>
        <v>NO APLICA</v>
      </c>
      <c r="HV145" s="12"/>
      <c r="HW145" s="16"/>
      <c r="HX145" s="14"/>
      <c r="HY145" s="65"/>
      <c r="HZ145" s="15" t="str">
        <f t="shared" si="519"/>
        <v>NO APLICA</v>
      </c>
      <c r="IA145" s="12"/>
      <c r="IB145" s="16"/>
      <c r="IC145" s="14"/>
      <c r="ID145" s="65"/>
      <c r="IE145" s="15" t="str">
        <f t="shared" si="520"/>
        <v>NO APLICA</v>
      </c>
      <c r="IF145" s="12"/>
      <c r="IG145" s="16"/>
      <c r="IH145" s="14"/>
      <c r="II145" s="65"/>
      <c r="IJ145" s="15" t="str">
        <f t="shared" si="521"/>
        <v>NO APLICA</v>
      </c>
      <c r="IK145" s="16"/>
      <c r="IL145" s="16"/>
      <c r="IM145" s="14"/>
      <c r="IN145" s="65"/>
      <c r="IO145" s="15" t="str">
        <f t="shared" si="522"/>
        <v>NO APLICA</v>
      </c>
      <c r="IP145" s="12"/>
      <c r="IQ145" s="16"/>
      <c r="IR145" s="14"/>
      <c r="IS145" s="65"/>
      <c r="IT145" s="15" t="str">
        <f t="shared" si="523"/>
        <v>NO APLICA</v>
      </c>
      <c r="IU145" s="12"/>
      <c r="IV145" s="16"/>
      <c r="IW145" s="14"/>
      <c r="IX145" s="65"/>
      <c r="IY145" s="15" t="str">
        <f t="shared" si="524"/>
        <v>NO APLICA</v>
      </c>
      <c r="IZ145" s="12"/>
      <c r="JA145" s="16"/>
      <c r="JB145" s="14"/>
      <c r="JC145" s="65"/>
      <c r="JD145" s="15" t="str">
        <f t="shared" si="525"/>
        <v>NO APLICA</v>
      </c>
      <c r="JE145" s="13"/>
      <c r="JF145" s="13"/>
      <c r="JG145" s="14"/>
      <c r="JH145" s="65"/>
      <c r="JI145" s="15" t="str">
        <f t="shared" si="526"/>
        <v>NO APLICA</v>
      </c>
      <c r="JJ145" s="16"/>
      <c r="JK145" s="16"/>
      <c r="JL145" s="16"/>
      <c r="JM145" s="15" t="str">
        <f t="shared" si="527"/>
        <v>NO APLICA</v>
      </c>
      <c r="JN145" s="16"/>
      <c r="JO145" s="16"/>
      <c r="JP145" s="16"/>
      <c r="JQ145" s="15" t="str">
        <f t="shared" si="528"/>
        <v>NO APLICA</v>
      </c>
      <c r="JR145" s="16"/>
      <c r="JS145" s="16"/>
      <c r="JT145" s="16"/>
      <c r="JU145" s="16"/>
      <c r="JV145" s="15" t="str">
        <f t="shared" si="529"/>
        <v>NO APLICA</v>
      </c>
      <c r="JW145" s="15"/>
      <c r="JX145" s="15"/>
      <c r="JY145" s="15"/>
      <c r="JZ145" s="15"/>
      <c r="KA145" s="15" t="str">
        <f t="shared" si="530"/>
        <v>NO APLICA</v>
      </c>
      <c r="KB145" s="12"/>
      <c r="KC145" s="14"/>
      <c r="KD145" s="65"/>
      <c r="KE145" s="15" t="str">
        <f t="shared" si="531"/>
        <v>NO APLICA</v>
      </c>
      <c r="KF145" s="12"/>
      <c r="KG145" s="14"/>
      <c r="KH145" s="65"/>
      <c r="KI145" s="15" t="str">
        <f t="shared" si="547"/>
        <v>NO APLICA</v>
      </c>
      <c r="KJ145" s="12"/>
      <c r="KK145" s="14"/>
      <c r="KL145" s="65"/>
      <c r="KM145" s="15" t="str">
        <f t="shared" si="532"/>
        <v>NO APLICA</v>
      </c>
      <c r="KN145" s="12"/>
      <c r="KO145" s="14"/>
      <c r="KP145" s="65"/>
      <c r="KQ145" s="15" t="str">
        <f t="shared" si="548"/>
        <v>NO APLICA</v>
      </c>
      <c r="KR145" s="12"/>
      <c r="KS145" s="16"/>
      <c r="KT145" s="14"/>
      <c r="KU145" s="65"/>
      <c r="KV145" s="15" t="str">
        <f t="shared" si="554"/>
        <v>NO APLICA</v>
      </c>
      <c r="KW145" s="16"/>
      <c r="KX145" s="14"/>
      <c r="KY145" s="65"/>
      <c r="KZ145" s="15" t="str">
        <f t="shared" si="549"/>
        <v>NO APLICA</v>
      </c>
      <c r="LA145" s="16"/>
      <c r="LB145" s="16"/>
      <c r="LC145" s="14"/>
      <c r="LD145" s="65"/>
      <c r="LE145" s="15" t="str">
        <f t="shared" si="556"/>
        <v>NO APLICA</v>
      </c>
      <c r="LF145" s="15"/>
      <c r="LG145" s="15"/>
      <c r="LH145" s="14"/>
      <c r="LI145" s="65"/>
      <c r="LJ145" s="15" t="str">
        <f t="shared" si="555"/>
        <v>NO APLICA</v>
      </c>
      <c r="LK145" s="12"/>
      <c r="LL145" s="16"/>
      <c r="LM145" s="14"/>
      <c r="LN145" s="65"/>
      <c r="LO145" s="15" t="str">
        <f t="shared" si="550"/>
        <v>NO APLICA</v>
      </c>
      <c r="LP145" s="16"/>
      <c r="LQ145" s="16"/>
      <c r="LR145" s="14"/>
      <c r="LS145" s="65"/>
      <c r="LT145" s="15" t="str">
        <f t="shared" si="551"/>
        <v>NO APLICA</v>
      </c>
      <c r="LU145" s="16"/>
      <c r="LV145" s="16"/>
      <c r="LW145" s="14"/>
      <c r="LX145" s="65"/>
      <c r="LY145" s="15" t="str">
        <f t="shared" si="552"/>
        <v>NO APLICA</v>
      </c>
      <c r="LZ145" s="12"/>
      <c r="MA145" s="12"/>
      <c r="MB145" s="14"/>
      <c r="MC145" s="65"/>
      <c r="MD145" s="15" t="str">
        <f t="shared" si="534"/>
        <v>NO APLICA</v>
      </c>
      <c r="ME145" s="12"/>
      <c r="MF145" s="12"/>
      <c r="MG145" s="14"/>
      <c r="MH145" s="65"/>
      <c r="MI145" s="15" t="str">
        <f t="shared" si="535"/>
        <v>NO APLICA</v>
      </c>
      <c r="MJ145" s="12"/>
      <c r="MK145" s="14"/>
      <c r="ML145" s="65"/>
      <c r="MM145" s="15" t="str">
        <f t="shared" si="536"/>
        <v>NO APLICA</v>
      </c>
      <c r="MN145" s="12"/>
      <c r="MO145" s="14"/>
      <c r="MP145" s="12"/>
      <c r="MQ145" s="15" t="str">
        <f t="shared" si="537"/>
        <v>NO APLICA</v>
      </c>
      <c r="MR145" s="12"/>
      <c r="MS145" s="16"/>
      <c r="MT145" s="14"/>
      <c r="MU145" s="65"/>
      <c r="MV145" s="15" t="str">
        <f t="shared" si="538"/>
        <v>NO APLICA</v>
      </c>
      <c r="MW145" s="12"/>
      <c r="MX145" s="16"/>
      <c r="MY145" s="14"/>
      <c r="MZ145" s="65"/>
      <c r="NA145" s="15" t="str">
        <f t="shared" si="539"/>
        <v>NO APLICA</v>
      </c>
      <c r="NB145" s="12"/>
      <c r="NC145" s="16"/>
      <c r="ND145" s="14"/>
      <c r="NE145" s="65"/>
      <c r="NF145" s="15" t="str">
        <f t="shared" si="540"/>
        <v>NO APLICA</v>
      </c>
      <c r="NG145" s="12"/>
      <c r="NH145" s="12"/>
      <c r="NI145" s="14"/>
      <c r="NJ145" s="65"/>
      <c r="NK145" s="15" t="str">
        <f t="shared" si="541"/>
        <v>NO APLICA</v>
      </c>
      <c r="NL145" s="12"/>
      <c r="NM145" s="12"/>
      <c r="NN145" s="14"/>
      <c r="NO145" s="12"/>
      <c r="NP145" s="15" t="str">
        <f t="shared" si="542"/>
        <v>NO APLICA</v>
      </c>
      <c r="NQ145" s="16"/>
      <c r="NR145" s="16"/>
      <c r="NS145" s="14"/>
      <c r="NT145" s="65"/>
      <c r="NU145" s="15" t="str">
        <f t="shared" si="543"/>
        <v>NO APLICA</v>
      </c>
      <c r="NV145" s="16"/>
      <c r="NW145" s="16"/>
      <c r="NX145" s="16"/>
      <c r="NY145" s="16"/>
      <c r="NZ145" s="15" t="str">
        <f t="shared" si="544"/>
        <v>NO APLICA</v>
      </c>
    </row>
    <row r="146" spans="1:390" ht="15.6" thickTop="1" thickBot="1" x14ac:dyDescent="0.35">
      <c r="A146" s="11">
        <v>393</v>
      </c>
      <c r="B146" s="10" t="s">
        <v>533</v>
      </c>
      <c r="C146" s="21" t="s">
        <v>104</v>
      </c>
      <c r="D146" s="64" t="s">
        <v>110</v>
      </c>
      <c r="E146" s="16"/>
      <c r="F146" s="16"/>
      <c r="G146" s="16"/>
      <c r="H146" s="16"/>
      <c r="I146" s="15" t="str">
        <f t="shared" si="448"/>
        <v>NO APLICA</v>
      </c>
      <c r="J146" s="16"/>
      <c r="K146" s="16"/>
      <c r="L146" s="16"/>
      <c r="M146" s="16"/>
      <c r="N146" s="15" t="str">
        <f t="shared" si="449"/>
        <v>NO APLICA</v>
      </c>
      <c r="O146" s="16"/>
      <c r="P146" s="16"/>
      <c r="Q146" s="16"/>
      <c r="R146" s="16"/>
      <c r="S146" s="15" t="str">
        <f t="shared" si="545"/>
        <v>NO APLICA</v>
      </c>
      <c r="T146" s="16" t="s">
        <v>534</v>
      </c>
      <c r="U146" s="14">
        <v>45390</v>
      </c>
      <c r="V146" s="14">
        <v>45391</v>
      </c>
      <c r="W146" s="14">
        <f t="shared" si="401"/>
        <v>47217</v>
      </c>
      <c r="X146" s="65">
        <f t="shared" ca="1" si="402"/>
        <v>1086</v>
      </c>
      <c r="Y146" s="15" t="str">
        <f t="shared" ca="1" si="403"/>
        <v>VIGENTE</v>
      </c>
      <c r="Z146" s="16" t="s">
        <v>535</v>
      </c>
      <c r="AA146" s="13">
        <v>45463</v>
      </c>
      <c r="AB146" s="14">
        <v>45464</v>
      </c>
      <c r="AC146" s="14">
        <f t="shared" ref="AC146:AC151" si="567">DATE(YEAR(AB146)+5,MONTH(AB146),DAY(AB146))</f>
        <v>47290</v>
      </c>
      <c r="AD146" s="65">
        <f t="shared" ref="AD146:AD151" ca="1" si="568">AC146-TODAY()</f>
        <v>1159</v>
      </c>
      <c r="AE146" s="15" t="str">
        <f t="shared" ca="1" si="553"/>
        <v>VIGENTE</v>
      </c>
      <c r="AF146" s="14">
        <v>45394</v>
      </c>
      <c r="AG146" s="14">
        <v>46085</v>
      </c>
      <c r="AH146" s="14">
        <f>DATE(YEAR(AG146)+2,MONTH(AG146),DAY(AG146))</f>
        <v>46816</v>
      </c>
      <c r="AI146" s="65">
        <f t="shared" ca="1" si="450"/>
        <v>685</v>
      </c>
      <c r="AJ146" s="15" t="str">
        <f t="shared" ca="1" si="399"/>
        <v>VIGENTE</v>
      </c>
      <c r="AK146" s="16"/>
      <c r="AL146" s="14">
        <v>46062</v>
      </c>
      <c r="AM146" s="14">
        <f t="shared" si="561"/>
        <v>46792</v>
      </c>
      <c r="AN146" s="65">
        <f t="shared" ca="1" si="451"/>
        <v>661</v>
      </c>
      <c r="AO146" s="15" t="str">
        <f t="shared" ca="1" si="452"/>
        <v>VIGENTE</v>
      </c>
      <c r="AP146" s="16"/>
      <c r="AQ146" s="14">
        <v>46048</v>
      </c>
      <c r="AR146" s="14">
        <f t="shared" si="557"/>
        <v>46778</v>
      </c>
      <c r="AS146" s="65">
        <f t="shared" ca="1" si="453"/>
        <v>647</v>
      </c>
      <c r="AT146" s="15" t="str">
        <f t="shared" ca="1" si="454"/>
        <v>VIGENTE</v>
      </c>
      <c r="AU146" s="16"/>
      <c r="AV146" s="14">
        <v>46070</v>
      </c>
      <c r="AW146" s="14">
        <f t="shared" si="558"/>
        <v>46800</v>
      </c>
      <c r="AX146" s="65">
        <f t="shared" ca="1" si="455"/>
        <v>669</v>
      </c>
      <c r="AY146" s="15" t="str">
        <f t="shared" ca="1" si="456"/>
        <v>VIGENTE</v>
      </c>
      <c r="AZ146" s="13">
        <v>45387</v>
      </c>
      <c r="BA146" s="14">
        <v>46041</v>
      </c>
      <c r="BB146" s="14">
        <f>DATE(YEAR(BA146)+2,MONTH(BA146),DAY(BA146))</f>
        <v>46771</v>
      </c>
      <c r="BC146" s="65">
        <f t="shared" ca="1" si="457"/>
        <v>640</v>
      </c>
      <c r="BD146" s="15" t="str">
        <f t="shared" ca="1" si="458"/>
        <v>VIGENTE</v>
      </c>
      <c r="BE146" s="14">
        <v>45399</v>
      </c>
      <c r="BF146" s="14">
        <v>46027</v>
      </c>
      <c r="BG146" s="14">
        <f>DATE(YEAR(BF146)+2,MONTH(BF146),DAY(BF146))</f>
        <v>46757</v>
      </c>
      <c r="BH146" s="65">
        <f t="shared" ca="1" si="459"/>
        <v>626</v>
      </c>
      <c r="BI146" s="15" t="str">
        <f t="shared" ca="1" si="460"/>
        <v>VIGENTE</v>
      </c>
      <c r="BJ146" s="14">
        <v>45389</v>
      </c>
      <c r="BK146" s="14">
        <v>46035</v>
      </c>
      <c r="BL146" s="14">
        <f>DATE(YEAR(BK146)+2,MONTH(BK146),DAY(BK146))</f>
        <v>46765</v>
      </c>
      <c r="BM146" s="65">
        <f t="shared" ca="1" si="461"/>
        <v>634</v>
      </c>
      <c r="BN146" s="15" t="str">
        <f t="shared" ca="1" si="462"/>
        <v>VIGENTE</v>
      </c>
      <c r="BO146" s="14"/>
      <c r="BP146" s="14">
        <v>46050</v>
      </c>
      <c r="BQ146" s="14">
        <f t="shared" si="559"/>
        <v>46780</v>
      </c>
      <c r="BR146" s="65">
        <f t="shared" ca="1" si="463"/>
        <v>649</v>
      </c>
      <c r="BS146" s="15" t="str">
        <f t="shared" ca="1" si="464"/>
        <v>VIGENTE</v>
      </c>
      <c r="BT146" s="16"/>
      <c r="BU146" s="14">
        <v>46063</v>
      </c>
      <c r="BV146" s="14">
        <f>DATE(YEAR(BU146)+2,MONTH(BU146),DAY(BU146))</f>
        <v>46793</v>
      </c>
      <c r="BW146" s="65">
        <f t="shared" ca="1" si="465"/>
        <v>662</v>
      </c>
      <c r="BX146" s="15" t="str">
        <f t="shared" ca="1" si="466"/>
        <v>VIGENTE</v>
      </c>
      <c r="BY146" s="16"/>
      <c r="BZ146" s="14">
        <v>45986</v>
      </c>
      <c r="CA146" s="14">
        <f t="shared" si="563"/>
        <v>46716</v>
      </c>
      <c r="CB146" s="65">
        <f t="shared" ca="1" si="467"/>
        <v>585</v>
      </c>
      <c r="CC146" s="15" t="str">
        <f t="shared" ca="1" si="468"/>
        <v>VIGENTE</v>
      </c>
      <c r="CD146" s="16" t="s">
        <v>108</v>
      </c>
      <c r="CE146" s="14">
        <v>45615</v>
      </c>
      <c r="CF146" s="14">
        <v>45616</v>
      </c>
      <c r="CG146" s="14">
        <f t="shared" si="408"/>
        <v>47077</v>
      </c>
      <c r="CH146" s="65">
        <f t="shared" ca="1" si="409"/>
        <v>946</v>
      </c>
      <c r="CI146" s="15" t="str">
        <f t="shared" ca="1" si="562"/>
        <v>VIGENTE</v>
      </c>
      <c r="CJ146" s="14">
        <v>45353</v>
      </c>
      <c r="CK146" s="14">
        <v>46018</v>
      </c>
      <c r="CL146" s="14">
        <f>DATE(YEAR(CK146)+2,MONTH(CK146),DAY(CK146))</f>
        <v>46748</v>
      </c>
      <c r="CM146" s="65">
        <f t="shared" ca="1" si="469"/>
        <v>617</v>
      </c>
      <c r="CN146" s="15" t="str">
        <f t="shared" ca="1" si="470"/>
        <v>VIGENTE</v>
      </c>
      <c r="CO146" s="14">
        <v>45428</v>
      </c>
      <c r="CP146" s="14">
        <v>46101</v>
      </c>
      <c r="CQ146" s="14">
        <f>DATE(YEAR(CP146)+2,MONTH(CP146),DAY(CP146))</f>
        <v>46832</v>
      </c>
      <c r="CR146" s="65">
        <f t="shared" ca="1" si="471"/>
        <v>701</v>
      </c>
      <c r="CS146" s="15" t="str">
        <f t="shared" ca="1" si="472"/>
        <v>VIGENTE</v>
      </c>
      <c r="CT146" s="14">
        <v>45408</v>
      </c>
      <c r="CU146" s="14">
        <v>46043</v>
      </c>
      <c r="CV146" s="14">
        <f>DATE(YEAR(CU146)+2,MONTH(CU146),DAY(CU146))</f>
        <v>46773</v>
      </c>
      <c r="CW146" s="65">
        <f t="shared" ca="1" si="473"/>
        <v>642</v>
      </c>
      <c r="CX146" s="15" t="str">
        <f t="shared" ca="1" si="474"/>
        <v>VIGENTE</v>
      </c>
      <c r="CY146" s="14"/>
      <c r="CZ146" s="14">
        <v>46000</v>
      </c>
      <c r="DA146" s="14">
        <f>DATE(YEAR(CZ146)+2,MONTH(CZ146),DAY(CZ146))</f>
        <v>46730</v>
      </c>
      <c r="DB146" s="65">
        <f t="shared" ca="1" si="475"/>
        <v>599</v>
      </c>
      <c r="DC146" s="15" t="str">
        <f t="shared" ca="1" si="476"/>
        <v>VIGENTE</v>
      </c>
      <c r="DD146" s="14">
        <v>45404</v>
      </c>
      <c r="DE146" s="14">
        <v>46045</v>
      </c>
      <c r="DF146" s="14">
        <f>DATE(YEAR(DE146)+2,MONTH(DE146),DAY(DE146))</f>
        <v>46775</v>
      </c>
      <c r="DG146" s="65">
        <f t="shared" ca="1" si="477"/>
        <v>644</v>
      </c>
      <c r="DH146" s="15" t="str">
        <f t="shared" ca="1" si="478"/>
        <v>VIGENTE</v>
      </c>
      <c r="DI146" s="14">
        <v>45386</v>
      </c>
      <c r="DJ146" s="14">
        <v>46029</v>
      </c>
      <c r="DK146" s="14">
        <f>DATE(YEAR(DJ146)+2,MONTH(DJ146),DAY(DJ146))</f>
        <v>46759</v>
      </c>
      <c r="DL146" s="65">
        <f t="shared" ca="1" si="479"/>
        <v>628</v>
      </c>
      <c r="DM146" s="15" t="str">
        <f t="shared" ca="1" si="480"/>
        <v>VIGENTE</v>
      </c>
      <c r="DN146" s="14">
        <v>45316</v>
      </c>
      <c r="DO146" s="14">
        <v>45982</v>
      </c>
      <c r="DP146" s="14">
        <f>DATE(YEAR(DO146)+2,MONTH(DO146),DAY(DO146))</f>
        <v>46712</v>
      </c>
      <c r="DQ146" s="65">
        <f t="shared" ca="1" si="481"/>
        <v>581</v>
      </c>
      <c r="DR146" s="15" t="str">
        <f t="shared" ca="1" si="482"/>
        <v>VIGENTE</v>
      </c>
      <c r="DS146" s="16"/>
      <c r="DT146" s="14">
        <v>46053</v>
      </c>
      <c r="DU146" s="14">
        <f>DATE(YEAR(DT146)+2,MONTH(DT146),DAY(DT146))</f>
        <v>46783</v>
      </c>
      <c r="DV146" s="65">
        <f t="shared" ca="1" si="483"/>
        <v>652</v>
      </c>
      <c r="DW146" s="15" t="str">
        <f t="shared" ca="1" si="484"/>
        <v>VIGENTE</v>
      </c>
      <c r="DX146" s="14">
        <v>45432</v>
      </c>
      <c r="DY146" s="14">
        <v>46099</v>
      </c>
      <c r="DZ146" s="14">
        <f>DATE(YEAR(DY146)+2,MONTH(DY146),DAY(DY146))</f>
        <v>46830</v>
      </c>
      <c r="EA146" s="65">
        <f t="shared" ca="1" si="485"/>
        <v>699</v>
      </c>
      <c r="EB146" s="15" t="str">
        <f t="shared" ca="1" si="486"/>
        <v>VIGENTE</v>
      </c>
      <c r="EC146" s="14">
        <v>45424</v>
      </c>
      <c r="ED146" s="14">
        <v>46104</v>
      </c>
      <c r="EE146" s="14">
        <f>DATE(YEAR(ED146)+2,MONTH(ED146),DAY(ED146))</f>
        <v>46835</v>
      </c>
      <c r="EF146" s="65">
        <f t="shared" ca="1" si="487"/>
        <v>704</v>
      </c>
      <c r="EG146" s="15" t="str">
        <f t="shared" ca="1" si="488"/>
        <v>VIGENTE</v>
      </c>
      <c r="EH146" s="14">
        <v>45423</v>
      </c>
      <c r="EI146" s="14">
        <v>45810</v>
      </c>
      <c r="EJ146" s="14">
        <v>45811</v>
      </c>
      <c r="EK146" s="14">
        <v>45812</v>
      </c>
      <c r="EL146" s="14">
        <f t="shared" si="546"/>
        <v>46177</v>
      </c>
      <c r="EM146" s="65">
        <f t="shared" ca="1" si="489"/>
        <v>46</v>
      </c>
      <c r="EN146" s="15" t="str">
        <f t="shared" ca="1" si="490"/>
        <v>POR VENCER</v>
      </c>
      <c r="EO146" s="14"/>
      <c r="EP146" s="14">
        <v>46100</v>
      </c>
      <c r="EQ146" s="14">
        <f>DATE(YEAR(EP146)+2,MONTH(EP146),DAY(EP146))</f>
        <v>46831</v>
      </c>
      <c r="ER146" s="65">
        <f t="shared" ca="1" si="491"/>
        <v>700</v>
      </c>
      <c r="ES146" s="15" t="str">
        <f t="shared" ca="1" si="492"/>
        <v>VIGENTE</v>
      </c>
      <c r="ET146" s="16"/>
      <c r="EU146" s="14">
        <v>45999</v>
      </c>
      <c r="EV146" s="14">
        <f>DATE(YEAR(EU146)+2,MONTH(EU146),DAY(EU146))</f>
        <v>46729</v>
      </c>
      <c r="EW146" s="65">
        <f t="shared" ca="1" si="493"/>
        <v>598</v>
      </c>
      <c r="EX146" s="15" t="str">
        <f t="shared" ca="1" si="494"/>
        <v>VIGENTE</v>
      </c>
      <c r="EY146" s="14">
        <v>45360</v>
      </c>
      <c r="EZ146" s="14">
        <v>46037</v>
      </c>
      <c r="FA146" s="14">
        <f t="shared" si="564"/>
        <v>46767</v>
      </c>
      <c r="FB146" s="65">
        <f t="shared" ca="1" si="495"/>
        <v>636</v>
      </c>
      <c r="FC146" s="15" t="str">
        <f t="shared" ca="1" si="496"/>
        <v>VIGENTE</v>
      </c>
      <c r="FD146" s="16"/>
      <c r="FE146" s="14">
        <v>46091</v>
      </c>
      <c r="FF146" s="14">
        <f t="shared" si="565"/>
        <v>46822</v>
      </c>
      <c r="FG146" s="65">
        <f t="shared" ca="1" si="497"/>
        <v>691</v>
      </c>
      <c r="FH146" s="15" t="str">
        <f t="shared" ca="1" si="498"/>
        <v>VIGENTE</v>
      </c>
      <c r="FI146" s="14">
        <v>45330</v>
      </c>
      <c r="FJ146" s="14">
        <v>45969</v>
      </c>
      <c r="FK146" s="14">
        <f t="shared" si="566"/>
        <v>46699</v>
      </c>
      <c r="FL146" s="65">
        <f t="shared" ca="1" si="499"/>
        <v>568</v>
      </c>
      <c r="FM146" s="15" t="str">
        <f t="shared" ca="1" si="500"/>
        <v>VIGENTE</v>
      </c>
      <c r="FN146" s="14">
        <v>45395</v>
      </c>
      <c r="FO146" s="14">
        <v>46039</v>
      </c>
      <c r="FP146" s="14">
        <f>DATE(YEAR(FO146)+2,MONTH(FO146),DAY(FO146))</f>
        <v>46769</v>
      </c>
      <c r="FQ146" s="65">
        <f t="shared" ca="1" si="501"/>
        <v>638</v>
      </c>
      <c r="FR146" s="15" t="str">
        <f t="shared" ca="1" si="502"/>
        <v>VIGENTE</v>
      </c>
      <c r="FS146" s="14"/>
      <c r="FT146" s="14">
        <v>46080</v>
      </c>
      <c r="FU146" s="14">
        <f>DATE(YEAR(FT146)+2,MONTH(FT146),DAY(FT146))</f>
        <v>46810</v>
      </c>
      <c r="FV146" s="65">
        <f t="shared" ca="1" si="503"/>
        <v>679</v>
      </c>
      <c r="FW146" s="15" t="str">
        <f t="shared" ca="1" si="504"/>
        <v>VIGENTE</v>
      </c>
      <c r="FX146" s="14"/>
      <c r="FY146" s="14">
        <v>46014</v>
      </c>
      <c r="FZ146" s="14">
        <f>DATE(YEAR(FY146)+2,MONTH(FY146),DAY(FY146))</f>
        <v>46744</v>
      </c>
      <c r="GA146" s="65">
        <f t="shared" ca="1" si="505"/>
        <v>613</v>
      </c>
      <c r="GB146" s="15" t="str">
        <f t="shared" ca="1" si="506"/>
        <v>VIGENTE</v>
      </c>
      <c r="GC146" s="14">
        <v>45396</v>
      </c>
      <c r="GD146" s="14">
        <v>46030</v>
      </c>
      <c r="GE146" s="14">
        <f>DATE(YEAR(GD146)+2,MONTH(GD146),DAY(GD146))</f>
        <v>46760</v>
      </c>
      <c r="GF146" s="65">
        <f t="shared" ca="1" si="507"/>
        <v>629</v>
      </c>
      <c r="GG146" s="15" t="str">
        <f t="shared" ca="1" si="508"/>
        <v>VIGENTE</v>
      </c>
      <c r="GH146" s="14">
        <v>45332</v>
      </c>
      <c r="GI146" s="14">
        <v>45960</v>
      </c>
      <c r="GJ146" s="14">
        <f>DATE(YEAR(GI146)+2,MONTH(GI146),DAY(GI146))</f>
        <v>46690</v>
      </c>
      <c r="GK146" s="65">
        <f t="shared" ca="1" si="509"/>
        <v>559</v>
      </c>
      <c r="GL146" s="15" t="str">
        <f t="shared" ca="1" si="510"/>
        <v>VIGENTE</v>
      </c>
      <c r="GM146" s="14"/>
      <c r="GN146" s="14">
        <v>46093</v>
      </c>
      <c r="GO146" s="14">
        <f t="shared" si="560"/>
        <v>46824</v>
      </c>
      <c r="GP146" s="65">
        <f t="shared" ca="1" si="511"/>
        <v>693</v>
      </c>
      <c r="GQ146" s="15" t="str">
        <f t="shared" ca="1" si="512"/>
        <v>VIGENTE</v>
      </c>
      <c r="GR146" s="14"/>
      <c r="GS146" s="14">
        <v>45421</v>
      </c>
      <c r="GT146" s="14">
        <f t="shared" si="513"/>
        <v>47247</v>
      </c>
      <c r="GU146" s="65">
        <f t="shared" ca="1" si="398"/>
        <v>1116</v>
      </c>
      <c r="GV146" s="15" t="str">
        <f t="shared" ca="1" si="411"/>
        <v>VIGENTE</v>
      </c>
      <c r="GW146" s="14"/>
      <c r="GX146" s="14">
        <v>45417</v>
      </c>
      <c r="GY146" s="14">
        <f t="shared" si="514"/>
        <v>47243</v>
      </c>
      <c r="GZ146" s="65">
        <f t="shared" ca="1" si="515"/>
        <v>1112</v>
      </c>
      <c r="HA146" s="15" t="str">
        <f t="shared" ca="1" si="418"/>
        <v>VIGENTE</v>
      </c>
      <c r="HB146" s="16"/>
      <c r="HC146" s="14">
        <v>45415</v>
      </c>
      <c r="HD146" s="14">
        <f t="shared" si="516"/>
        <v>47241</v>
      </c>
      <c r="HE146" s="65">
        <f t="shared" ca="1" si="517"/>
        <v>1110</v>
      </c>
      <c r="HF146" s="15" t="str">
        <f t="shared" ca="1" si="413"/>
        <v>VIGENTE</v>
      </c>
      <c r="HG146" s="16"/>
      <c r="HH146" s="14">
        <v>45401</v>
      </c>
      <c r="HI146" s="14">
        <f t="shared" ref="HI146:HI151" si="569">DATE(YEAR(HH146)+5,MONTH(HH146),DAY(HH146))</f>
        <v>47227</v>
      </c>
      <c r="HJ146" s="65">
        <f t="shared" ref="HJ146:HJ151" ca="1" si="570">HI146-TODAY()</f>
        <v>1096</v>
      </c>
      <c r="HK146" s="15" t="str">
        <f t="shared" ca="1" si="419"/>
        <v>VIGENTE</v>
      </c>
      <c r="HL146" s="16"/>
      <c r="HM146" s="16"/>
      <c r="HN146" s="14"/>
      <c r="HO146" s="65"/>
      <c r="HP146" s="15" t="str">
        <f t="shared" si="437"/>
        <v>NO APLICA</v>
      </c>
      <c r="HQ146" s="12"/>
      <c r="HR146" s="15"/>
      <c r="HS146" s="14"/>
      <c r="HT146" s="15"/>
      <c r="HU146" s="15" t="str">
        <f t="shared" si="518"/>
        <v>NO APLICA</v>
      </c>
      <c r="HV146" s="16"/>
      <c r="HW146" s="16"/>
      <c r="HX146" s="14"/>
      <c r="HY146" s="65"/>
      <c r="HZ146" s="15" t="str">
        <f t="shared" si="519"/>
        <v>NO APLICA</v>
      </c>
      <c r="IA146" s="16"/>
      <c r="IB146" s="16"/>
      <c r="IC146" s="14"/>
      <c r="ID146" s="65"/>
      <c r="IE146" s="15" t="str">
        <f t="shared" si="520"/>
        <v>NO APLICA</v>
      </c>
      <c r="IF146" s="16"/>
      <c r="IG146" s="16"/>
      <c r="IH146" s="14"/>
      <c r="II146" s="65"/>
      <c r="IJ146" s="15" t="str">
        <f t="shared" si="521"/>
        <v>NO APLICA</v>
      </c>
      <c r="IK146" s="16"/>
      <c r="IL146" s="16"/>
      <c r="IM146" s="14"/>
      <c r="IN146" s="16"/>
      <c r="IO146" s="15" t="str">
        <f t="shared" si="522"/>
        <v>NO APLICA</v>
      </c>
      <c r="IP146" s="16"/>
      <c r="IQ146" s="16"/>
      <c r="IR146" s="14"/>
      <c r="IS146" s="65"/>
      <c r="IT146" s="15" t="str">
        <f t="shared" si="523"/>
        <v>NO APLICA</v>
      </c>
      <c r="IU146" s="16"/>
      <c r="IV146" s="16"/>
      <c r="IW146" s="14"/>
      <c r="IX146" s="65"/>
      <c r="IY146" s="15" t="str">
        <f t="shared" si="524"/>
        <v>NO APLICA</v>
      </c>
      <c r="IZ146" s="16"/>
      <c r="JA146" s="16"/>
      <c r="JB146" s="14"/>
      <c r="JC146" s="65"/>
      <c r="JD146" s="15" t="str">
        <f t="shared" si="525"/>
        <v>NO APLICA</v>
      </c>
      <c r="JE146" s="13"/>
      <c r="JF146" s="13"/>
      <c r="JG146" s="14"/>
      <c r="JH146" s="65"/>
      <c r="JI146" s="15" t="str">
        <f t="shared" si="526"/>
        <v>NO APLICA</v>
      </c>
      <c r="JJ146" s="16"/>
      <c r="JK146" s="16"/>
      <c r="JL146" s="16"/>
      <c r="JM146" s="15" t="str">
        <f t="shared" si="527"/>
        <v>NO APLICA</v>
      </c>
      <c r="JN146" s="16"/>
      <c r="JO146" s="16"/>
      <c r="JP146" s="16"/>
      <c r="JQ146" s="15" t="str">
        <f t="shared" si="528"/>
        <v>NO APLICA</v>
      </c>
      <c r="JR146" s="16"/>
      <c r="JS146" s="16"/>
      <c r="JT146" s="16"/>
      <c r="JU146" s="16"/>
      <c r="JV146" s="15" t="str">
        <f t="shared" si="529"/>
        <v>NO APLICA</v>
      </c>
      <c r="JW146" s="15"/>
      <c r="JX146" s="15"/>
      <c r="JY146" s="15"/>
      <c r="JZ146" s="15"/>
      <c r="KA146" s="15" t="str">
        <f t="shared" si="530"/>
        <v>NO APLICA</v>
      </c>
      <c r="KB146" s="16"/>
      <c r="KC146" s="14"/>
      <c r="KD146" s="65"/>
      <c r="KE146" s="15" t="str">
        <f t="shared" si="531"/>
        <v>NO APLICA</v>
      </c>
      <c r="KF146" s="16"/>
      <c r="KG146" s="14"/>
      <c r="KH146" s="16"/>
      <c r="KI146" s="15" t="str">
        <f t="shared" si="547"/>
        <v>NO APLICA</v>
      </c>
      <c r="KJ146" s="16"/>
      <c r="KK146" s="14"/>
      <c r="KL146" s="65"/>
      <c r="KM146" s="15" t="str">
        <f t="shared" si="532"/>
        <v>NO APLICA</v>
      </c>
      <c r="KN146" s="12"/>
      <c r="KO146" s="14"/>
      <c r="KP146" s="65"/>
      <c r="KQ146" s="15" t="str">
        <f t="shared" si="548"/>
        <v>NO APLICA</v>
      </c>
      <c r="KR146" s="14">
        <v>44652</v>
      </c>
      <c r="KS146" s="14">
        <v>44653</v>
      </c>
      <c r="KT146" s="14">
        <f>DATE(YEAR(KS146)+5,MONTH(KS146),DAY(KS146))</f>
        <v>46479</v>
      </c>
      <c r="KU146" s="65">
        <f ca="1">KT146-TODAY()</f>
        <v>348</v>
      </c>
      <c r="KV146" s="15" t="str">
        <f t="shared" ca="1" si="554"/>
        <v>VIGENTE</v>
      </c>
      <c r="KW146" s="16"/>
      <c r="KX146" s="14"/>
      <c r="KY146" s="16"/>
      <c r="KZ146" s="15" t="str">
        <f t="shared" si="549"/>
        <v>NO APLICA</v>
      </c>
      <c r="LA146" s="16"/>
      <c r="LB146" s="16"/>
      <c r="LC146" s="16"/>
      <c r="LD146" s="16"/>
      <c r="LE146" s="15" t="str">
        <f t="shared" si="556"/>
        <v>NO APLICA</v>
      </c>
      <c r="LF146" s="15"/>
      <c r="LG146" s="15"/>
      <c r="LH146" s="14"/>
      <c r="LI146" s="65"/>
      <c r="LJ146" s="15" t="str">
        <f t="shared" si="555"/>
        <v>NO APLICA</v>
      </c>
      <c r="LK146" s="16"/>
      <c r="LL146" s="16"/>
      <c r="LM146" s="14"/>
      <c r="LN146" s="65"/>
      <c r="LO146" s="15" t="str">
        <f t="shared" si="550"/>
        <v>NO APLICA</v>
      </c>
      <c r="LP146" s="16"/>
      <c r="LQ146" s="16"/>
      <c r="LR146" s="14"/>
      <c r="LS146" s="16"/>
      <c r="LT146" s="15" t="str">
        <f t="shared" si="551"/>
        <v>NO APLICA</v>
      </c>
      <c r="LU146" s="16"/>
      <c r="LV146" s="16"/>
      <c r="LW146" s="14"/>
      <c r="LX146" s="16"/>
      <c r="LY146" s="15" t="str">
        <f t="shared" si="552"/>
        <v>NO APLICA</v>
      </c>
      <c r="LZ146" s="16"/>
      <c r="MA146" s="16"/>
      <c r="MB146" s="14"/>
      <c r="MC146" s="16"/>
      <c r="MD146" s="15" t="str">
        <f t="shared" si="534"/>
        <v>NO APLICA</v>
      </c>
      <c r="ME146" s="16"/>
      <c r="MF146" s="16"/>
      <c r="MG146" s="14"/>
      <c r="MH146" s="16"/>
      <c r="MI146" s="15" t="str">
        <f t="shared" si="535"/>
        <v>NO APLICA</v>
      </c>
      <c r="MJ146" s="16"/>
      <c r="MK146" s="14"/>
      <c r="ML146" s="16"/>
      <c r="MM146" s="15" t="str">
        <f t="shared" si="536"/>
        <v>NO APLICA</v>
      </c>
      <c r="MN146" s="16"/>
      <c r="MO146" s="16"/>
      <c r="MP146" s="16"/>
      <c r="MQ146" s="15" t="str">
        <f t="shared" si="537"/>
        <v>NO APLICA</v>
      </c>
      <c r="MR146" s="16"/>
      <c r="MS146" s="16"/>
      <c r="MT146" s="14"/>
      <c r="MU146" s="16"/>
      <c r="MV146" s="15" t="str">
        <f t="shared" si="538"/>
        <v>NO APLICA</v>
      </c>
      <c r="MW146" s="16"/>
      <c r="MX146" s="16"/>
      <c r="MY146" s="14"/>
      <c r="MZ146" s="16"/>
      <c r="NA146" s="15" t="str">
        <f t="shared" si="539"/>
        <v>NO APLICA</v>
      </c>
      <c r="NB146" s="16"/>
      <c r="NC146" s="16"/>
      <c r="ND146" s="14"/>
      <c r="NE146" s="16"/>
      <c r="NF146" s="15" t="str">
        <f t="shared" si="540"/>
        <v>NO APLICA</v>
      </c>
      <c r="NG146" s="16"/>
      <c r="NH146" s="16"/>
      <c r="NI146" s="14"/>
      <c r="NJ146" s="16"/>
      <c r="NK146" s="15" t="str">
        <f t="shared" si="541"/>
        <v>NO APLICA</v>
      </c>
      <c r="NL146" s="16"/>
      <c r="NM146" s="16"/>
      <c r="NN146" s="14"/>
      <c r="NO146" s="16"/>
      <c r="NP146" s="15" t="str">
        <f t="shared" si="542"/>
        <v>NO APLICA</v>
      </c>
      <c r="NQ146" s="16"/>
      <c r="NR146" s="16"/>
      <c r="NS146" s="14"/>
      <c r="NT146" s="65"/>
      <c r="NU146" s="15" t="str">
        <f t="shared" si="543"/>
        <v>NO APLICA</v>
      </c>
      <c r="NV146" s="16"/>
      <c r="NW146" s="16"/>
      <c r="NX146" s="16"/>
      <c r="NY146" s="16"/>
      <c r="NZ146" s="15" t="str">
        <f t="shared" si="544"/>
        <v>NO APLICA</v>
      </c>
    </row>
    <row r="147" spans="1:390" ht="15.6" thickTop="1" thickBot="1" x14ac:dyDescent="0.35">
      <c r="A147" s="9">
        <v>842</v>
      </c>
      <c r="B147" s="10" t="s">
        <v>536</v>
      </c>
      <c r="C147" s="21" t="s">
        <v>104</v>
      </c>
      <c r="D147" s="64" t="s">
        <v>160</v>
      </c>
      <c r="E147" s="15"/>
      <c r="F147" s="16"/>
      <c r="G147" s="14"/>
      <c r="H147" s="65"/>
      <c r="I147" s="15" t="str">
        <f t="shared" si="448"/>
        <v>NO APLICA</v>
      </c>
      <c r="J147" s="15"/>
      <c r="K147" s="16"/>
      <c r="L147" s="16"/>
      <c r="M147" s="65"/>
      <c r="N147" s="15" t="str">
        <f t="shared" si="449"/>
        <v>NO APLICA</v>
      </c>
      <c r="O147" s="16"/>
      <c r="P147" s="16"/>
      <c r="Q147" s="14"/>
      <c r="R147" s="65"/>
      <c r="S147" s="15" t="str">
        <f t="shared" si="545"/>
        <v>NO APLICA</v>
      </c>
      <c r="T147" s="12" t="s">
        <v>537</v>
      </c>
      <c r="U147" s="13">
        <v>45425</v>
      </c>
      <c r="V147" s="14">
        <v>45426</v>
      </c>
      <c r="W147" s="14">
        <f t="shared" si="401"/>
        <v>47252</v>
      </c>
      <c r="X147" s="65">
        <f t="shared" ca="1" si="402"/>
        <v>1121</v>
      </c>
      <c r="Y147" s="15" t="str">
        <f t="shared" ca="1" si="403"/>
        <v>VIGENTE</v>
      </c>
      <c r="Z147" s="12" t="s">
        <v>538</v>
      </c>
      <c r="AA147" s="13">
        <v>44823</v>
      </c>
      <c r="AB147" s="14">
        <v>44824</v>
      </c>
      <c r="AC147" s="14">
        <f t="shared" si="567"/>
        <v>46650</v>
      </c>
      <c r="AD147" s="65">
        <f t="shared" ca="1" si="568"/>
        <v>519</v>
      </c>
      <c r="AE147" s="15" t="str">
        <f t="shared" ca="1" si="553"/>
        <v>VIGENTE</v>
      </c>
      <c r="AF147" s="13">
        <v>44932</v>
      </c>
      <c r="AG147" s="14">
        <v>45617</v>
      </c>
      <c r="AH147" s="14">
        <f>DATE(YEAR(AG147)+2,MONTH(AG147),DAY(AG147)-1)</f>
        <v>46346</v>
      </c>
      <c r="AI147" s="65">
        <f t="shared" ca="1" si="450"/>
        <v>215</v>
      </c>
      <c r="AJ147" s="15" t="str">
        <f t="shared" ca="1" si="399"/>
        <v>VIGENTE</v>
      </c>
      <c r="AK147" s="13">
        <v>45269</v>
      </c>
      <c r="AL147" s="14">
        <v>45926</v>
      </c>
      <c r="AM147" s="14">
        <f t="shared" si="561"/>
        <v>46656</v>
      </c>
      <c r="AN147" s="65">
        <f t="shared" ca="1" si="451"/>
        <v>525</v>
      </c>
      <c r="AO147" s="15" t="str">
        <f t="shared" ca="1" si="452"/>
        <v>VIGENTE</v>
      </c>
      <c r="AP147" s="13">
        <v>45226</v>
      </c>
      <c r="AQ147" s="14">
        <v>45887</v>
      </c>
      <c r="AR147" s="14">
        <f t="shared" si="557"/>
        <v>46617</v>
      </c>
      <c r="AS147" s="65">
        <f t="shared" ca="1" si="453"/>
        <v>486</v>
      </c>
      <c r="AT147" s="15" t="str">
        <f t="shared" ca="1" si="454"/>
        <v>VIGENTE</v>
      </c>
      <c r="AU147" s="13">
        <v>45323</v>
      </c>
      <c r="AV147" s="14">
        <v>45972</v>
      </c>
      <c r="AW147" s="14">
        <f t="shared" si="558"/>
        <v>46702</v>
      </c>
      <c r="AX147" s="65">
        <f t="shared" ca="1" si="455"/>
        <v>571</v>
      </c>
      <c r="AY147" s="15" t="str">
        <f t="shared" ca="1" si="456"/>
        <v>VIGENTE</v>
      </c>
      <c r="AZ147" s="13">
        <v>44894</v>
      </c>
      <c r="BA147" s="14">
        <v>45515</v>
      </c>
      <c r="BB147" s="14">
        <f>DATE(YEAR(BA147)+2,MONTH(BA147),DAY(BA147)-1)</f>
        <v>46244</v>
      </c>
      <c r="BC147" s="65">
        <f t="shared" ca="1" si="457"/>
        <v>113</v>
      </c>
      <c r="BD147" s="15" t="str">
        <f t="shared" ca="1" si="458"/>
        <v>VIGENTE</v>
      </c>
      <c r="BE147" s="13">
        <v>45310</v>
      </c>
      <c r="BF147" s="14">
        <v>45968</v>
      </c>
      <c r="BG147" s="14">
        <f>DATE(YEAR(BF147)+2,MONTH(BF147),DAY(BF147))</f>
        <v>46698</v>
      </c>
      <c r="BH147" s="65">
        <f t="shared" ca="1" si="459"/>
        <v>567</v>
      </c>
      <c r="BI147" s="15" t="str">
        <f t="shared" ca="1" si="460"/>
        <v>VIGENTE</v>
      </c>
      <c r="BJ147" s="13">
        <v>44965</v>
      </c>
      <c r="BK147" s="14">
        <v>45600</v>
      </c>
      <c r="BL147" s="14">
        <f>DATE(YEAR(BK147)+2,MONTH(BK147),DAY(BK147)-1)</f>
        <v>46329</v>
      </c>
      <c r="BM147" s="65">
        <f t="shared" ca="1" si="461"/>
        <v>198</v>
      </c>
      <c r="BN147" s="15" t="str">
        <f t="shared" ca="1" si="462"/>
        <v>VIGENTE</v>
      </c>
      <c r="BO147" s="13">
        <v>44746</v>
      </c>
      <c r="BP147" s="14">
        <v>46069</v>
      </c>
      <c r="BQ147" s="14">
        <f t="shared" si="559"/>
        <v>46799</v>
      </c>
      <c r="BR147" s="65">
        <f t="shared" ca="1" si="463"/>
        <v>668</v>
      </c>
      <c r="BS147" s="15" t="str">
        <f t="shared" ca="1" si="464"/>
        <v>VIGENTE</v>
      </c>
      <c r="BT147" s="13">
        <v>44811</v>
      </c>
      <c r="BU147" s="14">
        <v>45455</v>
      </c>
      <c r="BV147" s="14">
        <f>DATE(YEAR(BU147)+2,MONTH(BU147),DAY(BU147)-1)</f>
        <v>46184</v>
      </c>
      <c r="BW147" s="65">
        <f t="shared" ca="1" si="465"/>
        <v>53</v>
      </c>
      <c r="BX147" s="15" t="str">
        <f t="shared" ca="1" si="466"/>
        <v>POR VENCER</v>
      </c>
      <c r="BY147" s="13">
        <v>45344</v>
      </c>
      <c r="BZ147" s="14">
        <v>45954</v>
      </c>
      <c r="CA147" s="14">
        <f t="shared" si="563"/>
        <v>46684</v>
      </c>
      <c r="CB147" s="65">
        <f t="shared" ca="1" si="467"/>
        <v>553</v>
      </c>
      <c r="CC147" s="15" t="str">
        <f t="shared" ca="1" si="468"/>
        <v>VIGENTE</v>
      </c>
      <c r="CD147" s="16" t="s">
        <v>108</v>
      </c>
      <c r="CE147" s="14">
        <v>45261</v>
      </c>
      <c r="CF147" s="14">
        <v>45262</v>
      </c>
      <c r="CG147" s="14">
        <f t="shared" si="408"/>
        <v>46723</v>
      </c>
      <c r="CH147" s="65">
        <f t="shared" ca="1" si="409"/>
        <v>592</v>
      </c>
      <c r="CI147" s="15" t="str">
        <f t="shared" ca="1" si="562"/>
        <v>VIGENTE</v>
      </c>
      <c r="CJ147" s="14">
        <v>44873</v>
      </c>
      <c r="CK147" s="14">
        <v>45504</v>
      </c>
      <c r="CL147" s="14">
        <f>DATE(YEAR(CK147)+2,MONTH(CK147),DAY(CK147)-1)</f>
        <v>46233</v>
      </c>
      <c r="CM147" s="65">
        <f t="shared" ca="1" si="469"/>
        <v>102</v>
      </c>
      <c r="CN147" s="15" t="str">
        <f t="shared" ca="1" si="470"/>
        <v>VIGENTE</v>
      </c>
      <c r="CO147" s="13">
        <v>44900</v>
      </c>
      <c r="CP147" s="14">
        <v>45517</v>
      </c>
      <c r="CQ147" s="14">
        <f>DATE(YEAR(CP147)+2,MONTH(CP147),DAY(CP147)-1)</f>
        <v>46246</v>
      </c>
      <c r="CR147" s="65">
        <f t="shared" ca="1" si="471"/>
        <v>115</v>
      </c>
      <c r="CS147" s="15" t="str">
        <f t="shared" ca="1" si="472"/>
        <v>VIGENTE</v>
      </c>
      <c r="CT147" s="13">
        <v>44967</v>
      </c>
      <c r="CU147" s="14">
        <v>45645</v>
      </c>
      <c r="CV147" s="14">
        <f>DATE(YEAR(CU147)+2,MONTH(CU147),DAY(CU147)-1)</f>
        <v>46374</v>
      </c>
      <c r="CW147" s="65">
        <f t="shared" ca="1" si="473"/>
        <v>243</v>
      </c>
      <c r="CX147" s="15" t="str">
        <f t="shared" ca="1" si="474"/>
        <v>VIGENTE</v>
      </c>
      <c r="CY147" s="13">
        <v>44992</v>
      </c>
      <c r="CZ147" s="14">
        <v>45661</v>
      </c>
      <c r="DA147" s="14">
        <f>DATE(YEAR(CZ147)+2,MONTH(CZ147),DAY(CZ147)-1)</f>
        <v>46390</v>
      </c>
      <c r="DB147" s="65">
        <f t="shared" ca="1" si="475"/>
        <v>259</v>
      </c>
      <c r="DC147" s="15" t="str">
        <f t="shared" ca="1" si="476"/>
        <v>VIGENTE</v>
      </c>
      <c r="DD147" s="13">
        <v>45036</v>
      </c>
      <c r="DE147" s="14">
        <v>45689</v>
      </c>
      <c r="DF147" s="14">
        <f>DATE(YEAR(DE147)+2,MONTH(DE147),DAY(DE147)-1)</f>
        <v>46418</v>
      </c>
      <c r="DG147" s="65">
        <f t="shared" ca="1" si="477"/>
        <v>287</v>
      </c>
      <c r="DH147" s="15" t="str">
        <f t="shared" ca="1" si="478"/>
        <v>VIGENTE</v>
      </c>
      <c r="DI147" s="13">
        <v>45065</v>
      </c>
      <c r="DJ147" s="14">
        <v>45696</v>
      </c>
      <c r="DK147" s="14">
        <f>DATE(YEAR(DJ147)+2,MONTH(DJ147),DAY(DJ147)-1)</f>
        <v>46425</v>
      </c>
      <c r="DL147" s="65">
        <f t="shared" ca="1" si="479"/>
        <v>294</v>
      </c>
      <c r="DM147" s="15" t="str">
        <f t="shared" ca="1" si="480"/>
        <v>VIGENTE</v>
      </c>
      <c r="DN147" s="13">
        <v>44819</v>
      </c>
      <c r="DO147" s="14">
        <v>45486</v>
      </c>
      <c r="DP147" s="14">
        <f>DATE(YEAR(DO147)+2,MONTH(DO147),DAY(DO147)-1)</f>
        <v>46215</v>
      </c>
      <c r="DQ147" s="65">
        <f t="shared" ca="1" si="481"/>
        <v>84</v>
      </c>
      <c r="DR147" s="15" t="str">
        <f t="shared" ca="1" si="482"/>
        <v>POR VENCER</v>
      </c>
      <c r="DS147" s="13">
        <v>44950</v>
      </c>
      <c r="DT147" s="14">
        <v>45619</v>
      </c>
      <c r="DU147" s="14">
        <f>DATE(YEAR(DT147)+2,MONTH(DT147),DAY(DT147)-1)</f>
        <v>46348</v>
      </c>
      <c r="DV147" s="65">
        <f t="shared" ca="1" si="483"/>
        <v>217</v>
      </c>
      <c r="DW147" s="15" t="str">
        <f t="shared" ca="1" si="484"/>
        <v>VIGENTE</v>
      </c>
      <c r="DX147" s="13">
        <v>45017</v>
      </c>
      <c r="DY147" s="14">
        <v>45709</v>
      </c>
      <c r="DZ147" s="14">
        <f>DATE(YEAR(DY147)+2,MONTH(DY147),DAY(DY147)-1)</f>
        <v>46438</v>
      </c>
      <c r="EA147" s="65">
        <f t="shared" ca="1" si="485"/>
        <v>307</v>
      </c>
      <c r="EB147" s="15" t="str">
        <f t="shared" ca="1" si="486"/>
        <v>VIGENTE</v>
      </c>
      <c r="EC147" s="13">
        <v>44994</v>
      </c>
      <c r="ED147" s="14">
        <v>45674</v>
      </c>
      <c r="EE147" s="14">
        <f>DATE(YEAR(ED147)+2,MONTH(ED147),DAY(ED147)-1)</f>
        <v>46403</v>
      </c>
      <c r="EF147" s="65">
        <f t="shared" ca="1" si="487"/>
        <v>272</v>
      </c>
      <c r="EG147" s="15" t="str">
        <f t="shared" ca="1" si="488"/>
        <v>VIGENTE</v>
      </c>
      <c r="EH147" s="13">
        <v>45750</v>
      </c>
      <c r="EI147" s="13">
        <v>46083</v>
      </c>
      <c r="EJ147" s="13">
        <v>46084</v>
      </c>
      <c r="EK147" s="13">
        <v>46085</v>
      </c>
      <c r="EL147" s="14">
        <f t="shared" si="546"/>
        <v>46450</v>
      </c>
      <c r="EM147" s="65">
        <f t="shared" ca="1" si="489"/>
        <v>319</v>
      </c>
      <c r="EN147" s="15" t="str">
        <f t="shared" ca="1" si="490"/>
        <v>VIGENTE</v>
      </c>
      <c r="EO147" s="13">
        <v>45059</v>
      </c>
      <c r="EP147" s="14">
        <v>45671</v>
      </c>
      <c r="EQ147" s="14">
        <f>DATE(YEAR(EP147)+2,MONTH(EP147),DAY(EP147)-1)</f>
        <v>46400</v>
      </c>
      <c r="ER147" s="65">
        <f t="shared" ca="1" si="491"/>
        <v>269</v>
      </c>
      <c r="ES147" s="15" t="str">
        <f t="shared" ca="1" si="492"/>
        <v>VIGENTE</v>
      </c>
      <c r="ET147" s="13">
        <v>45003</v>
      </c>
      <c r="EU147" s="14">
        <v>45735</v>
      </c>
      <c r="EV147" s="14">
        <f>DATE(YEAR(EU147)+2,MONTH(EU147),DAY(EU147)-1)</f>
        <v>46464</v>
      </c>
      <c r="EW147" s="65">
        <f t="shared" ca="1" si="493"/>
        <v>333</v>
      </c>
      <c r="EX147" s="15" t="str">
        <f t="shared" ca="1" si="494"/>
        <v>VIGENTE</v>
      </c>
      <c r="EY147" s="13">
        <v>44595</v>
      </c>
      <c r="EZ147" s="14">
        <v>45953</v>
      </c>
      <c r="FA147" s="14">
        <f t="shared" si="564"/>
        <v>46683</v>
      </c>
      <c r="FB147" s="65">
        <f t="shared" ca="1" si="495"/>
        <v>552</v>
      </c>
      <c r="FC147" s="15" t="str">
        <f t="shared" ca="1" si="496"/>
        <v>VIGENTE</v>
      </c>
      <c r="FD147" s="13">
        <v>45343</v>
      </c>
      <c r="FE147" s="14">
        <v>46017</v>
      </c>
      <c r="FF147" s="14">
        <f t="shared" si="565"/>
        <v>46747</v>
      </c>
      <c r="FG147" s="65">
        <f t="shared" ca="1" si="497"/>
        <v>616</v>
      </c>
      <c r="FH147" s="15" t="str">
        <f t="shared" ca="1" si="498"/>
        <v>VIGENTE</v>
      </c>
      <c r="FI147" s="13">
        <v>45317</v>
      </c>
      <c r="FJ147" s="14">
        <v>45969</v>
      </c>
      <c r="FK147" s="14">
        <f t="shared" si="566"/>
        <v>46699</v>
      </c>
      <c r="FL147" s="65">
        <f t="shared" ca="1" si="499"/>
        <v>568</v>
      </c>
      <c r="FM147" s="15" t="str">
        <f t="shared" ca="1" si="500"/>
        <v>VIGENTE</v>
      </c>
      <c r="FN147" s="13">
        <v>45002</v>
      </c>
      <c r="FO147" s="14">
        <v>45670</v>
      </c>
      <c r="FP147" s="14">
        <f>DATE(YEAR(FO147)+2,MONTH(FO147),DAY(FO147)-1)</f>
        <v>46399</v>
      </c>
      <c r="FQ147" s="65">
        <f t="shared" ca="1" si="501"/>
        <v>268</v>
      </c>
      <c r="FR147" s="15" t="str">
        <f t="shared" ca="1" si="502"/>
        <v>VIGENTE</v>
      </c>
      <c r="FS147" s="13">
        <v>45078</v>
      </c>
      <c r="FT147" s="14">
        <v>45724</v>
      </c>
      <c r="FU147" s="14">
        <f>DATE(YEAR(FT147)+2,MONTH(FT147),DAY(FT147)-1)</f>
        <v>46453</v>
      </c>
      <c r="FV147" s="65">
        <f t="shared" ca="1" si="503"/>
        <v>322</v>
      </c>
      <c r="FW147" s="15" t="str">
        <f t="shared" ca="1" si="504"/>
        <v>VIGENTE</v>
      </c>
      <c r="FX147" s="14">
        <v>44921</v>
      </c>
      <c r="FY147" s="14">
        <v>45616</v>
      </c>
      <c r="FZ147" s="14">
        <f>DATE(YEAR(FY147)+2,MONTH(FY147),DAY(FY147)-1)</f>
        <v>46345</v>
      </c>
      <c r="GA147" s="65">
        <f t="shared" ca="1" si="505"/>
        <v>214</v>
      </c>
      <c r="GB147" s="15" t="str">
        <f t="shared" ca="1" si="506"/>
        <v>VIGENTE</v>
      </c>
      <c r="GC147" s="13">
        <v>45049</v>
      </c>
      <c r="GD147" s="14">
        <v>45667</v>
      </c>
      <c r="GE147" s="14">
        <f>DATE(YEAR(GD147)+2,MONTH(GD147),DAY(GD147)-1)</f>
        <v>46396</v>
      </c>
      <c r="GF147" s="65">
        <f t="shared" ca="1" si="507"/>
        <v>265</v>
      </c>
      <c r="GG147" s="15" t="str">
        <f t="shared" ca="1" si="508"/>
        <v>VIGENTE</v>
      </c>
      <c r="GH147" s="13">
        <v>45001</v>
      </c>
      <c r="GI147" s="14">
        <v>45672</v>
      </c>
      <c r="GJ147" s="14">
        <f>DATE(YEAR(GI147)+2,MONTH(GI147),DAY(GI147)-1)</f>
        <v>46401</v>
      </c>
      <c r="GK147" s="65">
        <f t="shared" ca="1" si="509"/>
        <v>270</v>
      </c>
      <c r="GL147" s="15" t="str">
        <f t="shared" ca="1" si="510"/>
        <v>VIGENTE</v>
      </c>
      <c r="GM147" s="13">
        <v>45264</v>
      </c>
      <c r="GN147" s="14">
        <v>45958</v>
      </c>
      <c r="GO147" s="14">
        <f t="shared" si="560"/>
        <v>46688</v>
      </c>
      <c r="GP147" s="65">
        <f t="shared" ca="1" si="511"/>
        <v>557</v>
      </c>
      <c r="GQ147" s="15" t="str">
        <f t="shared" ca="1" si="512"/>
        <v>VIGENTE</v>
      </c>
      <c r="GR147" s="14"/>
      <c r="GS147" s="14">
        <v>44952</v>
      </c>
      <c r="GT147" s="14">
        <f t="shared" si="513"/>
        <v>46778</v>
      </c>
      <c r="GU147" s="65">
        <f t="shared" ca="1" si="398"/>
        <v>647</v>
      </c>
      <c r="GV147" s="15" t="str">
        <f t="shared" ca="1" si="411"/>
        <v>VIGENTE</v>
      </c>
      <c r="GW147" s="13"/>
      <c r="GX147" s="14">
        <v>44979</v>
      </c>
      <c r="GY147" s="14">
        <f t="shared" si="514"/>
        <v>46805</v>
      </c>
      <c r="GZ147" s="65">
        <f t="shared" ca="1" si="515"/>
        <v>674</v>
      </c>
      <c r="HA147" s="15" t="str">
        <f t="shared" ca="1" si="418"/>
        <v>VIGENTE</v>
      </c>
      <c r="HB147" s="13">
        <v>44883</v>
      </c>
      <c r="HC147" s="14">
        <v>45499</v>
      </c>
      <c r="HD147" s="14">
        <f t="shared" si="516"/>
        <v>47325</v>
      </c>
      <c r="HE147" s="65">
        <f t="shared" ca="1" si="517"/>
        <v>1194</v>
      </c>
      <c r="HF147" s="15" t="str">
        <f t="shared" ca="1" si="413"/>
        <v>VIGENTE</v>
      </c>
      <c r="HG147" s="16"/>
      <c r="HH147" s="14">
        <v>44879</v>
      </c>
      <c r="HI147" s="14">
        <f t="shared" si="569"/>
        <v>46705</v>
      </c>
      <c r="HJ147" s="65">
        <f t="shared" ca="1" si="570"/>
        <v>574</v>
      </c>
      <c r="HK147" s="15" t="str">
        <f t="shared" ca="1" si="419"/>
        <v>VIGENTE</v>
      </c>
      <c r="HL147" s="12"/>
      <c r="HM147" s="16"/>
      <c r="HN147" s="14"/>
      <c r="HO147" s="65"/>
      <c r="HP147" s="15" t="str">
        <f t="shared" si="437"/>
        <v>NO APLICA</v>
      </c>
      <c r="HQ147" s="12"/>
      <c r="HR147" s="12"/>
      <c r="HS147" s="14"/>
      <c r="HT147" s="12"/>
      <c r="HU147" s="15" t="str">
        <f t="shared" si="518"/>
        <v>NO APLICA</v>
      </c>
      <c r="HV147" s="12"/>
      <c r="HW147" s="14">
        <v>44923</v>
      </c>
      <c r="HX147" s="14">
        <f>DATE(YEAR(HW147)+5,MONTH(HW147),DAY(HW147))</f>
        <v>46749</v>
      </c>
      <c r="HY147" s="65">
        <f ca="1">HX147-TODAY()</f>
        <v>618</v>
      </c>
      <c r="HZ147" s="15" t="str">
        <f t="shared" ca="1" si="519"/>
        <v>VIGENTE</v>
      </c>
      <c r="IA147" s="12"/>
      <c r="IB147" s="14">
        <v>44928</v>
      </c>
      <c r="IC147" s="14">
        <f>DATE(YEAR(IB147)+5,MONTH(IB147),DAY(IB147))</f>
        <v>46754</v>
      </c>
      <c r="ID147" s="65">
        <f ca="1">IC147-TODAY()</f>
        <v>623</v>
      </c>
      <c r="IE147" s="15" t="str">
        <f t="shared" ca="1" si="520"/>
        <v>VIGENTE</v>
      </c>
      <c r="IF147" s="12"/>
      <c r="IG147" s="14">
        <v>44922</v>
      </c>
      <c r="IH147" s="14">
        <f>DATE(YEAR(IG147)+5,MONTH(IG147),DAY(IG147))</f>
        <v>46748</v>
      </c>
      <c r="II147" s="65">
        <f ca="1">IH147-TODAY()</f>
        <v>617</v>
      </c>
      <c r="IJ147" s="15" t="str">
        <f t="shared" ca="1" si="521"/>
        <v>VIGENTE</v>
      </c>
      <c r="IK147" s="16"/>
      <c r="IL147" s="14">
        <v>45058</v>
      </c>
      <c r="IM147" s="14">
        <f>DATE(YEAR(IL147)+5,MONTH(IL147),DAY(IL147))</f>
        <v>46885</v>
      </c>
      <c r="IN147" s="65">
        <f ca="1">IM147-TODAY()</f>
        <v>754</v>
      </c>
      <c r="IO147" s="15" t="str">
        <f t="shared" ca="1" si="522"/>
        <v>VIGENTE</v>
      </c>
      <c r="IP147" s="12"/>
      <c r="IQ147" s="14">
        <v>45064</v>
      </c>
      <c r="IR147" s="14">
        <f>DATE(YEAR(IQ147)+5,MONTH(IQ147),DAY(IQ147))</f>
        <v>46891</v>
      </c>
      <c r="IS147" s="65">
        <f ca="1">IR147-TODAY()</f>
        <v>760</v>
      </c>
      <c r="IT147" s="15" t="str">
        <f t="shared" ca="1" si="523"/>
        <v>VIGENTE</v>
      </c>
      <c r="IU147" s="12"/>
      <c r="IV147" s="14">
        <v>45062</v>
      </c>
      <c r="IW147" s="14">
        <f>DATE(YEAR(IV147)+5,MONTH(IV147),DAY(IV147))</f>
        <v>46889</v>
      </c>
      <c r="IX147" s="65">
        <f ca="1">IW147-TODAY()</f>
        <v>758</v>
      </c>
      <c r="IY147" s="15" t="str">
        <f t="shared" ca="1" si="524"/>
        <v>VIGENTE</v>
      </c>
      <c r="IZ147" s="12"/>
      <c r="JA147" s="14">
        <v>44916</v>
      </c>
      <c r="JB147" s="14">
        <f>DATE(YEAR(JA147)+5,MONTH(JA147),DAY(JA147))</f>
        <v>46742</v>
      </c>
      <c r="JC147" s="65">
        <f ca="1">JB147-TODAY()</f>
        <v>611</v>
      </c>
      <c r="JD147" s="15" t="str">
        <f t="shared" ca="1" si="525"/>
        <v>VIGENTE</v>
      </c>
      <c r="JE147" s="13"/>
      <c r="JF147" s="13"/>
      <c r="JG147" s="14"/>
      <c r="JH147" s="65"/>
      <c r="JI147" s="15" t="str">
        <f t="shared" si="526"/>
        <v>NO APLICA</v>
      </c>
      <c r="JJ147" s="16"/>
      <c r="JK147" s="16"/>
      <c r="JL147" s="16"/>
      <c r="JM147" s="15" t="str">
        <f t="shared" si="527"/>
        <v>NO APLICA</v>
      </c>
      <c r="JN147" s="16"/>
      <c r="JO147" s="16"/>
      <c r="JP147" s="16"/>
      <c r="JQ147" s="15" t="str">
        <f t="shared" si="528"/>
        <v>NO APLICA</v>
      </c>
      <c r="JR147" s="16"/>
      <c r="JS147" s="16"/>
      <c r="JT147" s="16"/>
      <c r="JU147" s="16"/>
      <c r="JV147" s="15" t="str">
        <f t="shared" si="529"/>
        <v>NO APLICA</v>
      </c>
      <c r="JW147" s="15"/>
      <c r="JX147" s="15"/>
      <c r="JY147" s="15"/>
      <c r="JZ147" s="15"/>
      <c r="KA147" s="15" t="str">
        <f t="shared" si="530"/>
        <v>NO APLICA</v>
      </c>
      <c r="KB147" s="12"/>
      <c r="KC147" s="14"/>
      <c r="KD147" s="65"/>
      <c r="KE147" s="15" t="str">
        <f t="shared" si="531"/>
        <v>NO APLICA</v>
      </c>
      <c r="KF147" s="12"/>
      <c r="KG147" s="14"/>
      <c r="KH147" s="65"/>
      <c r="KI147" s="15" t="str">
        <f t="shared" si="547"/>
        <v>NO APLICA</v>
      </c>
      <c r="KJ147" s="12"/>
      <c r="KK147" s="14"/>
      <c r="KL147" s="65"/>
      <c r="KM147" s="15" t="str">
        <f t="shared" si="532"/>
        <v>NO APLICA</v>
      </c>
      <c r="KN147" s="12"/>
      <c r="KO147" s="14"/>
      <c r="KP147" s="65"/>
      <c r="KQ147" s="15" t="str">
        <f t="shared" si="548"/>
        <v>NO APLICA</v>
      </c>
      <c r="KR147" s="12"/>
      <c r="KS147" s="16"/>
      <c r="KT147" s="14"/>
      <c r="KU147" s="65"/>
      <c r="KV147" s="15" t="str">
        <f t="shared" si="554"/>
        <v>NO APLICA</v>
      </c>
      <c r="KW147" s="16"/>
      <c r="KX147" s="14"/>
      <c r="KY147" s="65"/>
      <c r="KZ147" s="15" t="str">
        <f t="shared" si="549"/>
        <v>NO APLICA</v>
      </c>
      <c r="LA147" s="16"/>
      <c r="LB147" s="14">
        <v>45516</v>
      </c>
      <c r="LC147" s="14">
        <f>DATE(YEAR(LB147)+2,MONTH(LB147),DAY(LB147))</f>
        <v>46246</v>
      </c>
      <c r="LD147" s="65">
        <f ca="1">LC147-TODAY()</f>
        <v>115</v>
      </c>
      <c r="LE147" s="15" t="str">
        <f t="shared" ca="1" si="556"/>
        <v>VIGENTE</v>
      </c>
      <c r="LF147" s="15"/>
      <c r="LG147" s="15"/>
      <c r="LH147" s="15"/>
      <c r="LI147" s="15"/>
      <c r="LJ147" s="15" t="str">
        <f t="shared" si="555"/>
        <v>NO APLICA</v>
      </c>
      <c r="LK147" s="12"/>
      <c r="LL147" s="16"/>
      <c r="LM147" s="14"/>
      <c r="LN147" s="65"/>
      <c r="LO147" s="15" t="str">
        <f t="shared" si="550"/>
        <v>NO APLICA</v>
      </c>
      <c r="LP147" s="16"/>
      <c r="LQ147" s="16"/>
      <c r="LR147" s="14"/>
      <c r="LS147" s="65"/>
      <c r="LT147" s="15" t="str">
        <f t="shared" si="551"/>
        <v>NO APLICA</v>
      </c>
      <c r="LU147" s="16"/>
      <c r="LV147" s="16"/>
      <c r="LW147" s="14"/>
      <c r="LX147" s="65"/>
      <c r="LY147" s="15" t="str">
        <f t="shared" si="552"/>
        <v>NO APLICA</v>
      </c>
      <c r="LZ147" s="12"/>
      <c r="MA147" s="12"/>
      <c r="MB147" s="14"/>
      <c r="MC147" s="65"/>
      <c r="MD147" s="15" t="str">
        <f t="shared" si="534"/>
        <v>NO APLICA</v>
      </c>
      <c r="ME147" s="12"/>
      <c r="MF147" s="12"/>
      <c r="MG147" s="14"/>
      <c r="MH147" s="65"/>
      <c r="MI147" s="15" t="str">
        <f t="shared" si="535"/>
        <v>NO APLICA</v>
      </c>
      <c r="MJ147" s="12"/>
      <c r="MK147" s="14"/>
      <c r="ML147" s="65"/>
      <c r="MM147" s="15" t="str">
        <f t="shared" si="536"/>
        <v>NO APLICA</v>
      </c>
      <c r="MN147" s="12"/>
      <c r="MO147" s="14"/>
      <c r="MP147" s="12"/>
      <c r="MQ147" s="15" t="str">
        <f t="shared" si="537"/>
        <v>NO APLICA</v>
      </c>
      <c r="MR147" s="12"/>
      <c r="MS147" s="16"/>
      <c r="MT147" s="14"/>
      <c r="MU147" s="65"/>
      <c r="MV147" s="15" t="str">
        <f t="shared" si="538"/>
        <v>NO APLICA</v>
      </c>
      <c r="MW147" s="12"/>
      <c r="MX147" s="16"/>
      <c r="MY147" s="14"/>
      <c r="MZ147" s="65"/>
      <c r="NA147" s="15" t="str">
        <f t="shared" si="539"/>
        <v>NO APLICA</v>
      </c>
      <c r="NB147" s="12"/>
      <c r="NC147" s="16"/>
      <c r="ND147" s="14"/>
      <c r="NE147" s="65"/>
      <c r="NF147" s="15" t="str">
        <f t="shared" si="540"/>
        <v>NO APLICA</v>
      </c>
      <c r="NG147" s="12"/>
      <c r="NH147" s="12"/>
      <c r="NI147" s="14"/>
      <c r="NJ147" s="12"/>
      <c r="NK147" s="15" t="str">
        <f t="shared" si="541"/>
        <v>NO APLICA</v>
      </c>
      <c r="NL147" s="12"/>
      <c r="NM147" s="12"/>
      <c r="NN147" s="12"/>
      <c r="NO147" s="12"/>
      <c r="NP147" s="15" t="str">
        <f t="shared" si="542"/>
        <v>NO APLICA</v>
      </c>
      <c r="NQ147" s="16"/>
      <c r="NR147" s="16"/>
      <c r="NS147" s="14"/>
      <c r="NT147" s="65"/>
      <c r="NU147" s="15" t="str">
        <f t="shared" si="543"/>
        <v>NO APLICA</v>
      </c>
      <c r="NV147" s="16"/>
      <c r="NW147" s="16"/>
      <c r="NX147" s="16"/>
      <c r="NY147" s="16"/>
      <c r="NZ147" s="15" t="str">
        <f t="shared" si="544"/>
        <v>NO APLICA</v>
      </c>
    </row>
    <row r="148" spans="1:390" ht="15.6" thickTop="1" thickBot="1" x14ac:dyDescent="0.35">
      <c r="A148" s="9">
        <v>1135</v>
      </c>
      <c r="B148" s="10" t="s">
        <v>539</v>
      </c>
      <c r="C148" s="21" t="s">
        <v>104</v>
      </c>
      <c r="D148" s="64" t="s">
        <v>206</v>
      </c>
      <c r="E148" s="15"/>
      <c r="F148" s="16"/>
      <c r="G148" s="14"/>
      <c r="H148" s="65"/>
      <c r="I148" s="15" t="str">
        <f t="shared" si="448"/>
        <v>NO APLICA</v>
      </c>
      <c r="J148" s="12"/>
      <c r="K148" s="16"/>
      <c r="L148" s="16"/>
      <c r="M148" s="65"/>
      <c r="N148" s="15" t="str">
        <f t="shared" si="449"/>
        <v>NO APLICA</v>
      </c>
      <c r="O148" s="16"/>
      <c r="P148" s="16"/>
      <c r="Q148" s="14"/>
      <c r="R148" s="65"/>
      <c r="S148" s="15" t="str">
        <f t="shared" si="545"/>
        <v>NO APLICA</v>
      </c>
      <c r="T148" s="12" t="s">
        <v>540</v>
      </c>
      <c r="U148" s="13">
        <v>44800</v>
      </c>
      <c r="V148" s="14">
        <v>44801</v>
      </c>
      <c r="W148" s="14">
        <f t="shared" si="401"/>
        <v>46627</v>
      </c>
      <c r="X148" s="65">
        <f t="shared" ca="1" si="402"/>
        <v>496</v>
      </c>
      <c r="Y148" s="15" t="str">
        <f t="shared" ca="1" si="403"/>
        <v>VIGENTE</v>
      </c>
      <c r="Z148" s="12" t="s">
        <v>541</v>
      </c>
      <c r="AA148" s="13">
        <v>44830</v>
      </c>
      <c r="AB148" s="14">
        <v>44831</v>
      </c>
      <c r="AC148" s="14">
        <f t="shared" si="567"/>
        <v>46657</v>
      </c>
      <c r="AD148" s="65">
        <f t="shared" ca="1" si="568"/>
        <v>526</v>
      </c>
      <c r="AE148" s="15" t="str">
        <f t="shared" ca="1" si="553"/>
        <v>VIGENTE</v>
      </c>
      <c r="AF148" s="13">
        <v>44929</v>
      </c>
      <c r="AG148" s="14">
        <v>45594</v>
      </c>
      <c r="AH148" s="14">
        <f>DATE(YEAR(AG148)+2,MONTH(AG148),DAY(AG148)-1)</f>
        <v>46323</v>
      </c>
      <c r="AI148" s="65">
        <f t="shared" ca="1" si="450"/>
        <v>192</v>
      </c>
      <c r="AJ148" s="15" t="str">
        <f t="shared" ca="1" si="399"/>
        <v>VIGENTE</v>
      </c>
      <c r="AK148" s="13">
        <v>44613</v>
      </c>
      <c r="AL148" s="14">
        <v>45937</v>
      </c>
      <c r="AM148" s="14">
        <f t="shared" si="561"/>
        <v>46667</v>
      </c>
      <c r="AN148" s="65">
        <f t="shared" ca="1" si="451"/>
        <v>536</v>
      </c>
      <c r="AO148" s="15" t="str">
        <f t="shared" ca="1" si="452"/>
        <v>VIGENTE</v>
      </c>
      <c r="AP148" s="13">
        <v>45277</v>
      </c>
      <c r="AQ148" s="14">
        <v>45967</v>
      </c>
      <c r="AR148" s="14">
        <f t="shared" si="557"/>
        <v>46697</v>
      </c>
      <c r="AS148" s="65">
        <f t="shared" ca="1" si="453"/>
        <v>566</v>
      </c>
      <c r="AT148" s="15" t="str">
        <f t="shared" ca="1" si="454"/>
        <v>VIGENTE</v>
      </c>
      <c r="AU148" s="13">
        <v>44666</v>
      </c>
      <c r="AV148" s="14">
        <v>45952</v>
      </c>
      <c r="AW148" s="14">
        <f t="shared" si="558"/>
        <v>46682</v>
      </c>
      <c r="AX148" s="65">
        <f t="shared" ca="1" si="455"/>
        <v>551</v>
      </c>
      <c r="AY148" s="15" t="str">
        <f t="shared" ca="1" si="456"/>
        <v>VIGENTE</v>
      </c>
      <c r="AZ148" s="13">
        <v>44823</v>
      </c>
      <c r="BA148" s="14">
        <v>46071</v>
      </c>
      <c r="BB148" s="14">
        <f>DATE(YEAR(BA148)+2,MONTH(BA148),DAY(BA148))</f>
        <v>46801</v>
      </c>
      <c r="BC148" s="65">
        <f t="shared" ca="1" si="457"/>
        <v>670</v>
      </c>
      <c r="BD148" s="15" t="str">
        <f t="shared" ca="1" si="458"/>
        <v>VIGENTE</v>
      </c>
      <c r="BE148" s="13">
        <v>45302</v>
      </c>
      <c r="BF148" s="14">
        <v>45968</v>
      </c>
      <c r="BG148" s="14">
        <f>DATE(YEAR(BF148)+2,MONTH(BF148),DAY(BF148))</f>
        <v>46698</v>
      </c>
      <c r="BH148" s="65">
        <f t="shared" ca="1" si="459"/>
        <v>567</v>
      </c>
      <c r="BI148" s="15" t="str">
        <f t="shared" ca="1" si="460"/>
        <v>VIGENTE</v>
      </c>
      <c r="BJ148" s="13">
        <v>44795</v>
      </c>
      <c r="BK148" s="14">
        <v>46090</v>
      </c>
      <c r="BL148" s="14">
        <f>DATE(YEAR(BK148)+2,MONTH(BK148),DAY(BK148))</f>
        <v>46821</v>
      </c>
      <c r="BM148" s="65">
        <f t="shared" ca="1" si="461"/>
        <v>690</v>
      </c>
      <c r="BN148" s="15" t="str">
        <f t="shared" ca="1" si="462"/>
        <v>VIGENTE</v>
      </c>
      <c r="BO148" s="13">
        <v>44798</v>
      </c>
      <c r="BP148" s="14">
        <v>46069</v>
      </c>
      <c r="BQ148" s="14">
        <f t="shared" si="559"/>
        <v>46799</v>
      </c>
      <c r="BR148" s="65">
        <f t="shared" ca="1" si="463"/>
        <v>668</v>
      </c>
      <c r="BS148" s="15" t="str">
        <f t="shared" ca="1" si="464"/>
        <v>VIGENTE</v>
      </c>
      <c r="BT148" s="13">
        <v>44642</v>
      </c>
      <c r="BU148" s="14">
        <v>45950</v>
      </c>
      <c r="BV148" s="14">
        <f>DATE(YEAR(BU148)+2,MONTH(BU148),DAY(BU148))</f>
        <v>46680</v>
      </c>
      <c r="BW148" s="65">
        <f t="shared" ca="1" si="465"/>
        <v>549</v>
      </c>
      <c r="BX148" s="15" t="str">
        <f t="shared" ca="1" si="466"/>
        <v>VIGENTE</v>
      </c>
      <c r="BY148" s="13">
        <v>45300</v>
      </c>
      <c r="BZ148" s="14">
        <v>45954</v>
      </c>
      <c r="CA148" s="14">
        <f t="shared" si="563"/>
        <v>46684</v>
      </c>
      <c r="CB148" s="65">
        <f t="shared" ca="1" si="467"/>
        <v>553</v>
      </c>
      <c r="CC148" s="15" t="str">
        <f t="shared" ca="1" si="468"/>
        <v>VIGENTE</v>
      </c>
      <c r="CD148" s="16" t="s">
        <v>108</v>
      </c>
      <c r="CE148" s="14">
        <v>45226</v>
      </c>
      <c r="CF148" s="14">
        <v>45227</v>
      </c>
      <c r="CG148" s="14">
        <f t="shared" si="408"/>
        <v>46688</v>
      </c>
      <c r="CH148" s="65">
        <f t="shared" ca="1" si="409"/>
        <v>557</v>
      </c>
      <c r="CI148" s="15" t="str">
        <f t="shared" ca="1" si="562"/>
        <v>VIGENTE</v>
      </c>
      <c r="CJ148" s="14">
        <v>44881</v>
      </c>
      <c r="CK148" s="14">
        <v>45526</v>
      </c>
      <c r="CL148" s="14">
        <f>DATE(YEAR(CK148)+2,MONTH(CK148),DAY(CK148)-1)</f>
        <v>46255</v>
      </c>
      <c r="CM148" s="65">
        <f t="shared" ca="1" si="469"/>
        <v>124</v>
      </c>
      <c r="CN148" s="15" t="str">
        <f t="shared" ca="1" si="470"/>
        <v>VIGENTE</v>
      </c>
      <c r="CO148" s="13">
        <v>44900</v>
      </c>
      <c r="CP148" s="14">
        <v>45513</v>
      </c>
      <c r="CQ148" s="14">
        <f>DATE(YEAR(CP148)+2,MONTH(CP148),DAY(CP148)-1)</f>
        <v>46242</v>
      </c>
      <c r="CR148" s="65">
        <f t="shared" ca="1" si="471"/>
        <v>111</v>
      </c>
      <c r="CS148" s="15" t="str">
        <f t="shared" ca="1" si="472"/>
        <v>VIGENTE</v>
      </c>
      <c r="CT148" s="13">
        <v>44978</v>
      </c>
      <c r="CU148" s="14">
        <v>45639</v>
      </c>
      <c r="CV148" s="14">
        <f>DATE(YEAR(CU148)+2,MONTH(CU148),DAY(CU148)-1)</f>
        <v>46368</v>
      </c>
      <c r="CW148" s="65">
        <f t="shared" ca="1" si="473"/>
        <v>237</v>
      </c>
      <c r="CX148" s="15" t="str">
        <f t="shared" ca="1" si="474"/>
        <v>VIGENTE</v>
      </c>
      <c r="CY148" s="13">
        <v>44992</v>
      </c>
      <c r="CZ148" s="14">
        <v>45665</v>
      </c>
      <c r="DA148" s="14">
        <f>DATE(YEAR(CZ148)+2,MONTH(CZ148),DAY(CZ148)-1)</f>
        <v>46394</v>
      </c>
      <c r="DB148" s="65">
        <f t="shared" ca="1" si="475"/>
        <v>263</v>
      </c>
      <c r="DC148" s="15" t="str">
        <f t="shared" ca="1" si="476"/>
        <v>VIGENTE</v>
      </c>
      <c r="DD148" s="13">
        <v>45020</v>
      </c>
      <c r="DE148" s="14">
        <v>45689</v>
      </c>
      <c r="DF148" s="14">
        <f>DATE(YEAR(DE148)+2,MONTH(DE148),DAY(DE148)-1)</f>
        <v>46418</v>
      </c>
      <c r="DG148" s="65">
        <f t="shared" ca="1" si="477"/>
        <v>287</v>
      </c>
      <c r="DH148" s="15" t="str">
        <f t="shared" ca="1" si="478"/>
        <v>VIGENTE</v>
      </c>
      <c r="DI148" s="13">
        <v>45296</v>
      </c>
      <c r="DJ148" s="14">
        <v>45955</v>
      </c>
      <c r="DK148" s="14">
        <f>DATE(YEAR(DJ148)+2,MONTH(DJ148),DAY(DJ148))</f>
        <v>46685</v>
      </c>
      <c r="DL148" s="65">
        <f t="shared" ca="1" si="479"/>
        <v>554</v>
      </c>
      <c r="DM148" s="15" t="str">
        <f t="shared" ca="1" si="480"/>
        <v>VIGENTE</v>
      </c>
      <c r="DN148" s="13">
        <v>44691</v>
      </c>
      <c r="DO148" s="14">
        <v>46008</v>
      </c>
      <c r="DP148" s="14">
        <f>DATE(YEAR(DO148)+2,MONTH(DO148),DAY(DO148))</f>
        <v>46738</v>
      </c>
      <c r="DQ148" s="65">
        <f t="shared" ca="1" si="481"/>
        <v>607</v>
      </c>
      <c r="DR148" s="15" t="str">
        <f t="shared" ca="1" si="482"/>
        <v>VIGENTE</v>
      </c>
      <c r="DS148" s="13">
        <v>44792</v>
      </c>
      <c r="DT148" s="14">
        <v>46072</v>
      </c>
      <c r="DU148" s="14">
        <f>DATE(YEAR(DT148)+2,MONTH(DT148),DAY(DT148))</f>
        <v>46802</v>
      </c>
      <c r="DV148" s="65">
        <f t="shared" ca="1" si="483"/>
        <v>671</v>
      </c>
      <c r="DW148" s="15" t="str">
        <f t="shared" ca="1" si="484"/>
        <v>VIGENTE</v>
      </c>
      <c r="DX148" s="13">
        <v>45432</v>
      </c>
      <c r="DY148" s="14">
        <v>46099</v>
      </c>
      <c r="DZ148" s="14">
        <f>DATE(YEAR(DY148)+2,MONTH(DY148),DAY(DY148))</f>
        <v>46830</v>
      </c>
      <c r="EA148" s="65">
        <f t="shared" ca="1" si="485"/>
        <v>699</v>
      </c>
      <c r="EB148" s="15" t="str">
        <f t="shared" ca="1" si="486"/>
        <v>VIGENTE</v>
      </c>
      <c r="EC148" s="13">
        <v>45341</v>
      </c>
      <c r="ED148" s="14">
        <v>45994</v>
      </c>
      <c r="EE148" s="14">
        <f>DATE(YEAR(ED148)+2,MONTH(ED148),DAY(ED148))</f>
        <v>46724</v>
      </c>
      <c r="EF148" s="65">
        <f t="shared" ca="1" si="487"/>
        <v>593</v>
      </c>
      <c r="EG148" s="15" t="str">
        <f t="shared" ca="1" si="488"/>
        <v>VIGENTE</v>
      </c>
      <c r="EH148" s="14">
        <v>45434</v>
      </c>
      <c r="EI148" s="13">
        <v>46013</v>
      </c>
      <c r="EJ148" s="13">
        <v>46014</v>
      </c>
      <c r="EK148" s="13">
        <v>46015</v>
      </c>
      <c r="EL148" s="14">
        <f t="shared" si="546"/>
        <v>46380</v>
      </c>
      <c r="EM148" s="65">
        <f t="shared" ca="1" si="489"/>
        <v>249</v>
      </c>
      <c r="EN148" s="15" t="str">
        <f t="shared" ca="1" si="490"/>
        <v>VIGENTE</v>
      </c>
      <c r="EO148" s="13">
        <v>44796</v>
      </c>
      <c r="EP148" s="14">
        <v>46100</v>
      </c>
      <c r="EQ148" s="14">
        <f>DATE(YEAR(EP148)+2,MONTH(EP148),DAY(EP148))</f>
        <v>46831</v>
      </c>
      <c r="ER148" s="65">
        <f t="shared" ca="1" si="491"/>
        <v>700</v>
      </c>
      <c r="ES148" s="15" t="str">
        <f t="shared" ca="1" si="492"/>
        <v>VIGENTE</v>
      </c>
      <c r="ET148" s="13">
        <v>44732</v>
      </c>
      <c r="EU148" s="14">
        <v>46094</v>
      </c>
      <c r="EV148" s="14">
        <f>DATE(YEAR(EU148)+2,MONTH(EU148),DAY(EU148))</f>
        <v>46825</v>
      </c>
      <c r="EW148" s="65">
        <f t="shared" ca="1" si="493"/>
        <v>694</v>
      </c>
      <c r="EX148" s="15" t="str">
        <f t="shared" ca="1" si="494"/>
        <v>VIGENTE</v>
      </c>
      <c r="EY148" s="13">
        <v>44615</v>
      </c>
      <c r="EZ148" s="14">
        <v>45953</v>
      </c>
      <c r="FA148" s="14">
        <f t="shared" si="564"/>
        <v>46683</v>
      </c>
      <c r="FB148" s="65">
        <f t="shared" ca="1" si="495"/>
        <v>552</v>
      </c>
      <c r="FC148" s="15" t="str">
        <f t="shared" ca="1" si="496"/>
        <v>VIGENTE</v>
      </c>
      <c r="FD148" s="13">
        <v>44615</v>
      </c>
      <c r="FE148" s="14">
        <v>45951</v>
      </c>
      <c r="FF148" s="14">
        <f t="shared" si="565"/>
        <v>46681</v>
      </c>
      <c r="FG148" s="65">
        <f t="shared" ca="1" si="497"/>
        <v>550</v>
      </c>
      <c r="FH148" s="15" t="str">
        <f t="shared" ca="1" si="498"/>
        <v>VIGENTE</v>
      </c>
      <c r="FI148" s="13">
        <v>44616</v>
      </c>
      <c r="FJ148" s="14">
        <v>45992</v>
      </c>
      <c r="FK148" s="14">
        <f t="shared" si="566"/>
        <v>46722</v>
      </c>
      <c r="FL148" s="65">
        <f t="shared" ca="1" si="499"/>
        <v>591</v>
      </c>
      <c r="FM148" s="15" t="str">
        <f t="shared" ca="1" si="500"/>
        <v>VIGENTE</v>
      </c>
      <c r="FN148" s="13">
        <v>45395</v>
      </c>
      <c r="FO148" s="14">
        <v>46039</v>
      </c>
      <c r="FP148" s="14">
        <f>DATE(YEAR(FO148)+2,MONTH(FO148),DAY(FO148))</f>
        <v>46769</v>
      </c>
      <c r="FQ148" s="65">
        <f t="shared" ca="1" si="501"/>
        <v>638</v>
      </c>
      <c r="FR148" s="15" t="str">
        <f t="shared" ca="1" si="502"/>
        <v>VIGENTE</v>
      </c>
      <c r="FS148" s="13">
        <v>44797</v>
      </c>
      <c r="FT148" s="14">
        <v>46077</v>
      </c>
      <c r="FU148" s="14">
        <f>DATE(YEAR(FT148)+2,MONTH(FT148),DAY(FT148))</f>
        <v>46807</v>
      </c>
      <c r="FV148" s="65">
        <f t="shared" ca="1" si="503"/>
        <v>676</v>
      </c>
      <c r="FW148" s="15" t="str">
        <f t="shared" ca="1" si="504"/>
        <v>VIGENTE</v>
      </c>
      <c r="FX148" s="13">
        <v>44921</v>
      </c>
      <c r="FY148" s="14">
        <v>45541</v>
      </c>
      <c r="FZ148" s="14">
        <f>DATE(YEAR(FY148)+2,MONTH(FY148),DAY(FY148)-1)</f>
        <v>46270</v>
      </c>
      <c r="GA148" s="65">
        <f t="shared" ca="1" si="505"/>
        <v>139</v>
      </c>
      <c r="GB148" s="15" t="str">
        <f t="shared" ca="1" si="506"/>
        <v>VIGENTE</v>
      </c>
      <c r="GC148" s="13">
        <v>45396</v>
      </c>
      <c r="GD148" s="14">
        <v>46030</v>
      </c>
      <c r="GE148" s="14">
        <f>DATE(YEAR(GD148)+2,MONTH(GD148),DAY(GD148))</f>
        <v>46760</v>
      </c>
      <c r="GF148" s="65">
        <f t="shared" ca="1" si="507"/>
        <v>629</v>
      </c>
      <c r="GG148" s="15" t="str">
        <f t="shared" ca="1" si="508"/>
        <v>VIGENTE</v>
      </c>
      <c r="GH148" s="13">
        <v>45195</v>
      </c>
      <c r="GI148" s="14">
        <v>45849</v>
      </c>
      <c r="GJ148" s="14">
        <f>DATE(YEAR(GI148)+2,MONTH(GI148),DAY(GI148))</f>
        <v>46579</v>
      </c>
      <c r="GK148" s="65">
        <f t="shared" ca="1" si="509"/>
        <v>448</v>
      </c>
      <c r="GL148" s="15" t="str">
        <f t="shared" ca="1" si="510"/>
        <v>VIGENTE</v>
      </c>
      <c r="GM148" s="13">
        <v>44572</v>
      </c>
      <c r="GN148" s="14">
        <v>45945</v>
      </c>
      <c r="GO148" s="14">
        <f t="shared" si="560"/>
        <v>46675</v>
      </c>
      <c r="GP148" s="65">
        <f t="shared" ca="1" si="511"/>
        <v>544</v>
      </c>
      <c r="GQ148" s="15" t="str">
        <f t="shared" ca="1" si="512"/>
        <v>VIGENTE</v>
      </c>
      <c r="GR148" s="14">
        <v>44791</v>
      </c>
      <c r="GS148" s="14">
        <v>45421</v>
      </c>
      <c r="GT148" s="14">
        <f t="shared" si="513"/>
        <v>47247</v>
      </c>
      <c r="GU148" s="65">
        <f t="shared" ca="1" si="398"/>
        <v>1116</v>
      </c>
      <c r="GV148" s="15" t="str">
        <f t="shared" ca="1" si="411"/>
        <v>VIGENTE</v>
      </c>
      <c r="GW148" s="13">
        <v>44574</v>
      </c>
      <c r="GX148" s="14">
        <v>45200</v>
      </c>
      <c r="GY148" s="14">
        <f t="shared" si="514"/>
        <v>47027</v>
      </c>
      <c r="GZ148" s="65">
        <f t="shared" ca="1" si="515"/>
        <v>896</v>
      </c>
      <c r="HA148" s="15" t="str">
        <f t="shared" ca="1" si="418"/>
        <v>VIGENTE</v>
      </c>
      <c r="HB148" s="13">
        <v>44635</v>
      </c>
      <c r="HC148" s="14">
        <v>45294</v>
      </c>
      <c r="HD148" s="14">
        <f t="shared" si="516"/>
        <v>47121</v>
      </c>
      <c r="HE148" s="65">
        <f t="shared" ca="1" si="517"/>
        <v>990</v>
      </c>
      <c r="HF148" s="15" t="str">
        <f t="shared" ca="1" si="413"/>
        <v>VIGENTE</v>
      </c>
      <c r="HG148" s="16"/>
      <c r="HH148" s="14">
        <v>45196</v>
      </c>
      <c r="HI148" s="14">
        <f t="shared" si="569"/>
        <v>47023</v>
      </c>
      <c r="HJ148" s="65">
        <f t="shared" ca="1" si="570"/>
        <v>892</v>
      </c>
      <c r="HK148" s="15" t="str">
        <f t="shared" ca="1" si="419"/>
        <v>VIGENTE</v>
      </c>
      <c r="HL148" s="12"/>
      <c r="HM148" s="16"/>
      <c r="HN148" s="14"/>
      <c r="HO148" s="65"/>
      <c r="HP148" s="15" t="str">
        <f t="shared" si="437"/>
        <v>NO APLICA</v>
      </c>
      <c r="HQ148" s="12"/>
      <c r="HR148" s="12"/>
      <c r="HS148" s="14"/>
      <c r="HT148" s="12"/>
      <c r="HU148" s="15" t="str">
        <f t="shared" si="518"/>
        <v>NO APLICA</v>
      </c>
      <c r="HV148" s="13">
        <v>44560</v>
      </c>
      <c r="HW148" s="14">
        <v>45420</v>
      </c>
      <c r="HX148" s="14">
        <f>DATE(YEAR(HW148)+5,MONTH(HW148),DAY(HW148))</f>
        <v>47246</v>
      </c>
      <c r="HY148" s="65">
        <f ca="1">HX148-TODAY()</f>
        <v>1115</v>
      </c>
      <c r="HZ148" s="15" t="str">
        <f t="shared" ca="1" si="519"/>
        <v>VIGENTE</v>
      </c>
      <c r="IA148" s="13">
        <v>44765</v>
      </c>
      <c r="IB148" s="14">
        <v>45486</v>
      </c>
      <c r="IC148" s="14">
        <f>DATE(YEAR(IB148)+5,MONTH(IB148),DAY(IB148))</f>
        <v>47312</v>
      </c>
      <c r="ID148" s="65">
        <f ca="1">IC148-TODAY()</f>
        <v>1181</v>
      </c>
      <c r="IE148" s="15" t="str">
        <f t="shared" ca="1" si="520"/>
        <v>VIGENTE</v>
      </c>
      <c r="IF148" s="13">
        <v>44754</v>
      </c>
      <c r="IG148" s="14">
        <v>45375</v>
      </c>
      <c r="IH148" s="14">
        <f>DATE(YEAR(IG148)+5,MONTH(IG148),DAY(IG148))</f>
        <v>47201</v>
      </c>
      <c r="II148" s="65">
        <f ca="1">IH148-TODAY()</f>
        <v>1070</v>
      </c>
      <c r="IJ148" s="15" t="str">
        <f t="shared" ca="1" si="521"/>
        <v>VIGENTE</v>
      </c>
      <c r="IK148" s="14">
        <v>44753</v>
      </c>
      <c r="IL148" s="14">
        <v>45399</v>
      </c>
      <c r="IM148" s="14">
        <f>DATE(YEAR(IL148)+5,MONTH(IL148),DAY(IL148))</f>
        <v>47225</v>
      </c>
      <c r="IN148" s="65">
        <f ca="1">IM148-TODAY()</f>
        <v>1094</v>
      </c>
      <c r="IO148" s="15" t="str">
        <f t="shared" ca="1" si="522"/>
        <v>VIGENTE</v>
      </c>
      <c r="IP148" s="13">
        <v>44765</v>
      </c>
      <c r="IQ148" s="14">
        <v>45386</v>
      </c>
      <c r="IR148" s="14">
        <f>DATE(YEAR(IQ148)+5,MONTH(IQ148),DAY(IQ148))</f>
        <v>47212</v>
      </c>
      <c r="IS148" s="65">
        <f ca="1">IR148-TODAY()</f>
        <v>1081</v>
      </c>
      <c r="IT148" s="15" t="str">
        <f t="shared" ca="1" si="523"/>
        <v>VIGENTE</v>
      </c>
      <c r="IU148" s="13">
        <v>44754</v>
      </c>
      <c r="IV148" s="14">
        <v>45385</v>
      </c>
      <c r="IW148" s="14">
        <f>DATE(YEAR(IV148)+5,MONTH(IV148),DAY(IV148))</f>
        <v>47211</v>
      </c>
      <c r="IX148" s="65">
        <f ca="1">IW148-TODAY()</f>
        <v>1080</v>
      </c>
      <c r="IY148" s="15" t="str">
        <f t="shared" ca="1" si="524"/>
        <v>VIGENTE</v>
      </c>
      <c r="IZ148" s="13">
        <v>44753</v>
      </c>
      <c r="JA148" s="14">
        <v>45450</v>
      </c>
      <c r="JB148" s="14">
        <f>DATE(YEAR(JA148)+5,MONTH(JA148),DAY(JA148))</f>
        <v>47276</v>
      </c>
      <c r="JC148" s="65">
        <f ca="1">JB148-TODAY()</f>
        <v>1145</v>
      </c>
      <c r="JD148" s="15" t="str">
        <f t="shared" ca="1" si="525"/>
        <v>VIGENTE</v>
      </c>
      <c r="JE148" s="13"/>
      <c r="JF148" s="13"/>
      <c r="JG148" s="14"/>
      <c r="JH148" s="65"/>
      <c r="JI148" s="15" t="str">
        <f t="shared" si="526"/>
        <v>NO APLICA</v>
      </c>
      <c r="JJ148" s="16"/>
      <c r="JK148" s="16"/>
      <c r="JL148" s="16"/>
      <c r="JM148" s="15" t="str">
        <f t="shared" si="527"/>
        <v>NO APLICA</v>
      </c>
      <c r="JN148" s="16"/>
      <c r="JO148" s="16"/>
      <c r="JP148" s="16"/>
      <c r="JQ148" s="15" t="str">
        <f t="shared" si="528"/>
        <v>NO APLICA</v>
      </c>
      <c r="JR148" s="16"/>
      <c r="JS148" s="16"/>
      <c r="JT148" s="16"/>
      <c r="JU148" s="16"/>
      <c r="JV148" s="15" t="str">
        <f t="shared" si="529"/>
        <v>NO APLICA</v>
      </c>
      <c r="JW148" s="15"/>
      <c r="JX148" s="13">
        <v>45948</v>
      </c>
      <c r="JY148" s="14">
        <f>DATE(YEAR(JX148)+2,MONTH(JX148),DAY(JX148))</f>
        <v>46678</v>
      </c>
      <c r="JZ148" s="65">
        <f ca="1">JY148-TODAY()</f>
        <v>547</v>
      </c>
      <c r="KA148" s="15" t="str">
        <f t="shared" ca="1" si="530"/>
        <v>VIGENTE</v>
      </c>
      <c r="KB148" s="12"/>
      <c r="KC148" s="14"/>
      <c r="KD148" s="65"/>
      <c r="KE148" s="15" t="str">
        <f t="shared" si="531"/>
        <v>NO APLICA</v>
      </c>
      <c r="KF148" s="12"/>
      <c r="KG148" s="14"/>
      <c r="KH148" s="65"/>
      <c r="KI148" s="15" t="str">
        <f t="shared" si="547"/>
        <v>NO APLICA</v>
      </c>
      <c r="KJ148" s="12"/>
      <c r="KK148" s="14"/>
      <c r="KL148" s="65"/>
      <c r="KM148" s="15" t="str">
        <f t="shared" si="532"/>
        <v>NO APLICA</v>
      </c>
      <c r="KN148" s="13">
        <v>45346</v>
      </c>
      <c r="KO148" s="14">
        <f>DATE(YEAR(KN148)+5,MONTH(KN148),DAY(KN148))</f>
        <v>47173</v>
      </c>
      <c r="KP148" s="65">
        <f ca="1">KO148-TODAY()</f>
        <v>1042</v>
      </c>
      <c r="KQ148" s="15" t="str">
        <f t="shared" ca="1" si="548"/>
        <v>VIGENTE</v>
      </c>
      <c r="KR148" s="13">
        <v>44650</v>
      </c>
      <c r="KS148" s="14">
        <v>44651</v>
      </c>
      <c r="KT148" s="14">
        <f>DATE(YEAR(KS148)+5,MONTH(KS148),DAY(KS148))</f>
        <v>46477</v>
      </c>
      <c r="KU148" s="65">
        <f ca="1">KT148-TODAY()</f>
        <v>346</v>
      </c>
      <c r="KV148" s="15" t="str">
        <f t="shared" ca="1" si="554"/>
        <v>VIGENTE</v>
      </c>
      <c r="KW148" s="16"/>
      <c r="KX148" s="14"/>
      <c r="KY148" s="65"/>
      <c r="KZ148" s="15" t="str">
        <f t="shared" si="549"/>
        <v>NO APLICA</v>
      </c>
      <c r="LA148" s="16"/>
      <c r="LB148" s="14">
        <v>45509</v>
      </c>
      <c r="LC148" s="14">
        <f>DATE(YEAR(LB148)+2,MONTH(LB148),DAY(LB148))</f>
        <v>46239</v>
      </c>
      <c r="LD148" s="65">
        <f ca="1">LC148-TODAY()</f>
        <v>108</v>
      </c>
      <c r="LE148" s="15" t="str">
        <f t="shared" ca="1" si="556"/>
        <v>VIGENTE</v>
      </c>
      <c r="LF148" s="15"/>
      <c r="LG148" s="15"/>
      <c r="LH148" s="14"/>
      <c r="LI148" s="65"/>
      <c r="LJ148" s="15" t="str">
        <f t="shared" si="555"/>
        <v>NO APLICA</v>
      </c>
      <c r="LK148" s="12"/>
      <c r="LL148" s="16"/>
      <c r="LM148" s="14"/>
      <c r="LN148" s="65"/>
      <c r="LO148" s="15" t="str">
        <f t="shared" si="550"/>
        <v>NO APLICA</v>
      </c>
      <c r="LP148" s="16"/>
      <c r="LQ148" s="16"/>
      <c r="LR148" s="14"/>
      <c r="LS148" s="65"/>
      <c r="LT148" s="15" t="str">
        <f t="shared" si="551"/>
        <v>NO APLICA</v>
      </c>
      <c r="LU148" s="16"/>
      <c r="LV148" s="16"/>
      <c r="LW148" s="14"/>
      <c r="LX148" s="65"/>
      <c r="LY148" s="15" t="str">
        <f t="shared" si="552"/>
        <v>NO APLICA</v>
      </c>
      <c r="LZ148" s="12"/>
      <c r="MA148" s="12"/>
      <c r="MB148" s="14"/>
      <c r="MC148" s="65"/>
      <c r="MD148" s="15" t="str">
        <f t="shared" si="534"/>
        <v>NO APLICA</v>
      </c>
      <c r="ME148" s="12"/>
      <c r="MF148" s="12"/>
      <c r="MG148" s="14"/>
      <c r="MH148" s="65"/>
      <c r="MI148" s="15" t="str">
        <f t="shared" si="535"/>
        <v>NO APLICA</v>
      </c>
      <c r="MJ148" s="13">
        <v>45154</v>
      </c>
      <c r="MK148" s="14">
        <f>DATE(YEAR(MJ148)+5,MONTH(MJ148),DAY(MJ148))</f>
        <v>46981</v>
      </c>
      <c r="ML148" s="65">
        <f ca="1">MK148-TODAY()</f>
        <v>850</v>
      </c>
      <c r="MM148" s="15" t="str">
        <f t="shared" ca="1" si="536"/>
        <v>VIGENTE</v>
      </c>
      <c r="MN148" s="13">
        <v>45155</v>
      </c>
      <c r="MO148" s="14">
        <f>DATE(YEAR(MN148)+5,MONTH(MN148),DAY(MN148))</f>
        <v>46982</v>
      </c>
      <c r="MP148" s="65">
        <f ca="1">MO148-TODAY()</f>
        <v>851</v>
      </c>
      <c r="MQ148" s="15" t="str">
        <f t="shared" ca="1" si="537"/>
        <v>VIGENTE</v>
      </c>
      <c r="MR148" s="12"/>
      <c r="MS148" s="16"/>
      <c r="MT148" s="14"/>
      <c r="MU148" s="65"/>
      <c r="MV148" s="15" t="str">
        <f t="shared" si="538"/>
        <v>NO APLICA</v>
      </c>
      <c r="MW148" s="12"/>
      <c r="MX148" s="16"/>
      <c r="MY148" s="14"/>
      <c r="MZ148" s="65"/>
      <c r="NA148" s="15" t="str">
        <f t="shared" si="539"/>
        <v>NO APLICA</v>
      </c>
      <c r="NB148" s="12"/>
      <c r="NC148" s="16"/>
      <c r="ND148" s="14"/>
      <c r="NE148" s="65"/>
      <c r="NF148" s="15" t="str">
        <f t="shared" si="540"/>
        <v>NO APLICA</v>
      </c>
      <c r="NG148" s="12"/>
      <c r="NH148" s="12"/>
      <c r="NI148" s="14"/>
      <c r="NJ148" s="65"/>
      <c r="NK148" s="15" t="str">
        <f t="shared" si="541"/>
        <v>NO APLICA</v>
      </c>
      <c r="NL148" s="12"/>
      <c r="NM148" s="12"/>
      <c r="NN148" s="14"/>
      <c r="NO148" s="12"/>
      <c r="NP148" s="15" t="str">
        <f t="shared" si="542"/>
        <v>NO APLICA</v>
      </c>
      <c r="NQ148" s="16"/>
      <c r="NR148" s="16"/>
      <c r="NS148" s="14"/>
      <c r="NT148" s="65"/>
      <c r="NU148" s="15" t="str">
        <f t="shared" si="543"/>
        <v>NO APLICA</v>
      </c>
      <c r="NV148" s="16"/>
      <c r="NW148" s="16"/>
      <c r="NX148" s="16"/>
      <c r="NY148" s="16"/>
      <c r="NZ148" s="15" t="str">
        <f t="shared" si="544"/>
        <v>NO APLICA</v>
      </c>
    </row>
    <row r="149" spans="1:390" ht="15.6" thickTop="1" thickBot="1" x14ac:dyDescent="0.35">
      <c r="A149" s="9">
        <v>1591</v>
      </c>
      <c r="B149" s="10" t="s">
        <v>542</v>
      </c>
      <c r="C149" s="21" t="s">
        <v>98</v>
      </c>
      <c r="D149" s="64" t="s">
        <v>543</v>
      </c>
      <c r="E149" s="15"/>
      <c r="F149" s="16"/>
      <c r="G149" s="14"/>
      <c r="H149" s="65"/>
      <c r="I149" s="15" t="str">
        <f t="shared" si="448"/>
        <v>NO APLICA</v>
      </c>
      <c r="J149" s="15"/>
      <c r="K149" s="16"/>
      <c r="L149" s="16"/>
      <c r="M149" s="65"/>
      <c r="N149" s="15" t="str">
        <f t="shared" si="449"/>
        <v>NO APLICA</v>
      </c>
      <c r="O149" s="14">
        <v>45582</v>
      </c>
      <c r="P149" s="14">
        <v>45583</v>
      </c>
      <c r="Q149" s="14">
        <f>DATE(YEAR(P149)+2,MONTH(P149),DAY(P149)-1)</f>
        <v>46312</v>
      </c>
      <c r="R149" s="65">
        <f ca="1">Q149-TODAY()</f>
        <v>181</v>
      </c>
      <c r="S149" s="15" t="str">
        <f t="shared" ca="1" si="545"/>
        <v>VIGENTE</v>
      </c>
      <c r="T149" s="12" t="s">
        <v>544</v>
      </c>
      <c r="U149" s="13">
        <v>44589</v>
      </c>
      <c r="V149" s="14">
        <v>44590</v>
      </c>
      <c r="W149" s="14">
        <f t="shared" si="401"/>
        <v>46416</v>
      </c>
      <c r="X149" s="65">
        <f t="shared" ca="1" si="402"/>
        <v>285</v>
      </c>
      <c r="Y149" s="15" t="str">
        <f t="shared" ca="1" si="403"/>
        <v>VIGENTE</v>
      </c>
      <c r="Z149" s="12" t="s">
        <v>545</v>
      </c>
      <c r="AA149" s="13">
        <v>45191</v>
      </c>
      <c r="AB149" s="14">
        <v>45192</v>
      </c>
      <c r="AC149" s="14">
        <f t="shared" si="567"/>
        <v>47019</v>
      </c>
      <c r="AD149" s="65">
        <f t="shared" ca="1" si="568"/>
        <v>888</v>
      </c>
      <c r="AE149" s="15" t="str">
        <f t="shared" ca="1" si="553"/>
        <v>VIGENTE</v>
      </c>
      <c r="AF149" s="12"/>
      <c r="AG149" s="14">
        <v>45936</v>
      </c>
      <c r="AH149" s="14">
        <f>DATE(YEAR(AG149)+2,MONTH(AG149),DAY(AG149))</f>
        <v>46666</v>
      </c>
      <c r="AI149" s="65">
        <f t="shared" ca="1" si="450"/>
        <v>535</v>
      </c>
      <c r="AJ149" s="15" t="str">
        <f t="shared" ca="1" si="399"/>
        <v>VIGENTE</v>
      </c>
      <c r="AK149" s="12"/>
      <c r="AL149" s="14">
        <v>45937</v>
      </c>
      <c r="AM149" s="14">
        <f t="shared" si="561"/>
        <v>46667</v>
      </c>
      <c r="AN149" s="65">
        <f t="shared" ca="1" si="451"/>
        <v>536</v>
      </c>
      <c r="AO149" s="15" t="str">
        <f t="shared" ca="1" si="452"/>
        <v>VIGENTE</v>
      </c>
      <c r="AP149" s="12"/>
      <c r="AQ149" s="14">
        <v>45904</v>
      </c>
      <c r="AR149" s="14">
        <f t="shared" si="557"/>
        <v>46634</v>
      </c>
      <c r="AS149" s="65">
        <f t="shared" ca="1" si="453"/>
        <v>503</v>
      </c>
      <c r="AT149" s="15" t="str">
        <f t="shared" ca="1" si="454"/>
        <v>VIGENTE</v>
      </c>
      <c r="AU149" s="12"/>
      <c r="AV149" s="14">
        <v>45927</v>
      </c>
      <c r="AW149" s="14">
        <f t="shared" si="558"/>
        <v>46657</v>
      </c>
      <c r="AX149" s="65">
        <f t="shared" ca="1" si="455"/>
        <v>526</v>
      </c>
      <c r="AY149" s="15" t="str">
        <f t="shared" ca="1" si="456"/>
        <v>VIGENTE</v>
      </c>
      <c r="AZ149" s="13">
        <v>45387</v>
      </c>
      <c r="BA149" s="14">
        <v>46041</v>
      </c>
      <c r="BB149" s="14">
        <f>DATE(YEAR(BA149)+2,MONTH(BA149),DAY(BA149))</f>
        <v>46771</v>
      </c>
      <c r="BC149" s="65">
        <f t="shared" ca="1" si="457"/>
        <v>640</v>
      </c>
      <c r="BD149" s="15" t="str">
        <f t="shared" ca="1" si="458"/>
        <v>VIGENTE</v>
      </c>
      <c r="BE149" s="12"/>
      <c r="BF149" s="14">
        <v>45997</v>
      </c>
      <c r="BG149" s="14">
        <f>DATE(YEAR(BF149)+2,MONTH(BF149),DAY(BF149))</f>
        <v>46727</v>
      </c>
      <c r="BH149" s="65">
        <f t="shared" ca="1" si="459"/>
        <v>596</v>
      </c>
      <c r="BI149" s="15" t="str">
        <f t="shared" ca="1" si="460"/>
        <v>VIGENTE</v>
      </c>
      <c r="BJ149" s="13">
        <v>45348</v>
      </c>
      <c r="BK149" s="14">
        <v>46017</v>
      </c>
      <c r="BL149" s="14">
        <f>DATE(YEAR(BK149)+2,MONTH(BK149),DAY(BK149))</f>
        <v>46747</v>
      </c>
      <c r="BM149" s="65">
        <f t="shared" ca="1" si="461"/>
        <v>616</v>
      </c>
      <c r="BN149" s="15" t="str">
        <f t="shared" ca="1" si="462"/>
        <v>VIGENTE</v>
      </c>
      <c r="BO149" s="13"/>
      <c r="BP149" s="14">
        <v>45988</v>
      </c>
      <c r="BQ149" s="14">
        <f t="shared" si="559"/>
        <v>46718</v>
      </c>
      <c r="BR149" s="65">
        <f t="shared" ca="1" si="463"/>
        <v>587</v>
      </c>
      <c r="BS149" s="15" t="str">
        <f t="shared" ca="1" si="464"/>
        <v>VIGENTE</v>
      </c>
      <c r="BT149" s="13">
        <v>45362</v>
      </c>
      <c r="BU149" s="14">
        <v>46031</v>
      </c>
      <c r="BV149" s="14">
        <f>DATE(YEAR(BU149)+2,MONTH(BU149),DAY(BU149))</f>
        <v>46761</v>
      </c>
      <c r="BW149" s="65">
        <f t="shared" ca="1" si="465"/>
        <v>630</v>
      </c>
      <c r="BX149" s="15" t="str">
        <f t="shared" ca="1" si="466"/>
        <v>VIGENTE</v>
      </c>
      <c r="BY149" s="12"/>
      <c r="BZ149" s="14">
        <v>45986</v>
      </c>
      <c r="CA149" s="14">
        <f t="shared" si="563"/>
        <v>46716</v>
      </c>
      <c r="CB149" s="65">
        <f t="shared" ca="1" si="467"/>
        <v>585</v>
      </c>
      <c r="CC149" s="15" t="str">
        <f t="shared" ca="1" si="468"/>
        <v>VIGENTE</v>
      </c>
      <c r="CD149" s="16" t="s">
        <v>102</v>
      </c>
      <c r="CE149" s="14">
        <v>45831</v>
      </c>
      <c r="CF149" s="14">
        <v>45832</v>
      </c>
      <c r="CG149" s="14">
        <f t="shared" si="408"/>
        <v>47293</v>
      </c>
      <c r="CH149" s="65">
        <f t="shared" ca="1" si="409"/>
        <v>1162</v>
      </c>
      <c r="CI149" s="15" t="str">
        <f t="shared" ca="1" si="562"/>
        <v>VIGENTE</v>
      </c>
      <c r="CJ149" s="14">
        <v>45353</v>
      </c>
      <c r="CK149" s="14">
        <v>46018</v>
      </c>
      <c r="CL149" s="14">
        <f>DATE(YEAR(CK149)+2,MONTH(CK149),DAY(CK149))</f>
        <v>46748</v>
      </c>
      <c r="CM149" s="65">
        <f t="shared" ca="1" si="469"/>
        <v>617</v>
      </c>
      <c r="CN149" s="15" t="str">
        <f t="shared" ca="1" si="470"/>
        <v>VIGENTE</v>
      </c>
      <c r="CO149" s="14">
        <v>45305</v>
      </c>
      <c r="CP149" s="14">
        <v>45979</v>
      </c>
      <c r="CQ149" s="14">
        <f>DATE(YEAR(CP149)+2,MONTH(CP149),DAY(CP149))</f>
        <v>46709</v>
      </c>
      <c r="CR149" s="65">
        <f t="shared" ca="1" si="471"/>
        <v>578</v>
      </c>
      <c r="CS149" s="15" t="str">
        <f t="shared" ca="1" si="472"/>
        <v>VIGENTE</v>
      </c>
      <c r="CT149" s="12"/>
      <c r="CU149" s="14">
        <v>45905</v>
      </c>
      <c r="CV149" s="14">
        <f>DATE(YEAR(CU149)+2,MONTH(CU149),DAY(CU149))</f>
        <v>46635</v>
      </c>
      <c r="CW149" s="65">
        <f t="shared" ca="1" si="473"/>
        <v>504</v>
      </c>
      <c r="CX149" s="15" t="str">
        <f t="shared" ca="1" si="474"/>
        <v>VIGENTE</v>
      </c>
      <c r="CY149" s="13"/>
      <c r="CZ149" s="14">
        <v>46000</v>
      </c>
      <c r="DA149" s="14">
        <f>DATE(YEAR(CZ149)+2,MONTH(CZ149),DAY(CZ149))</f>
        <v>46730</v>
      </c>
      <c r="DB149" s="65">
        <f t="shared" ca="1" si="475"/>
        <v>599</v>
      </c>
      <c r="DC149" s="15" t="str">
        <f t="shared" ca="1" si="476"/>
        <v>VIGENTE</v>
      </c>
      <c r="DD149" s="13">
        <v>45328</v>
      </c>
      <c r="DE149" s="14">
        <v>45996</v>
      </c>
      <c r="DF149" s="14">
        <f>DATE(YEAR(DE149)+2,MONTH(DE149),DAY(DE149))</f>
        <v>46726</v>
      </c>
      <c r="DG149" s="65">
        <f t="shared" ca="1" si="477"/>
        <v>595</v>
      </c>
      <c r="DH149" s="15" t="str">
        <f t="shared" ca="1" si="478"/>
        <v>VIGENTE</v>
      </c>
      <c r="DI149" s="14">
        <v>45312</v>
      </c>
      <c r="DJ149" s="14">
        <v>45975</v>
      </c>
      <c r="DK149" s="14">
        <f>DATE(YEAR(DJ149)+2,MONTH(DJ149),DAY(DJ149))</f>
        <v>46705</v>
      </c>
      <c r="DL149" s="65">
        <f t="shared" ca="1" si="479"/>
        <v>574</v>
      </c>
      <c r="DM149" s="15" t="str">
        <f t="shared" ca="1" si="480"/>
        <v>VIGENTE</v>
      </c>
      <c r="DN149" s="13"/>
      <c r="DO149" s="14">
        <v>46007</v>
      </c>
      <c r="DP149" s="14">
        <f>DATE(YEAR(DO149)+2,MONTH(DO149),DAY(DO149))</f>
        <v>46737</v>
      </c>
      <c r="DQ149" s="65">
        <f t="shared" ca="1" si="481"/>
        <v>606</v>
      </c>
      <c r="DR149" s="15" t="str">
        <f t="shared" ca="1" si="482"/>
        <v>VIGENTE</v>
      </c>
      <c r="DS149" s="14">
        <v>45336</v>
      </c>
      <c r="DT149" s="13">
        <v>46009</v>
      </c>
      <c r="DU149" s="14">
        <f>DATE(YEAR(DT149)+2,MONTH(DT149),DAY(DT149))</f>
        <v>46739</v>
      </c>
      <c r="DV149" s="65">
        <f t="shared" ca="1" si="483"/>
        <v>608</v>
      </c>
      <c r="DW149" s="15" t="str">
        <f t="shared" ca="1" si="484"/>
        <v>VIGENTE</v>
      </c>
      <c r="DX149" s="14">
        <v>45355</v>
      </c>
      <c r="DY149" s="14">
        <v>46032</v>
      </c>
      <c r="DZ149" s="14">
        <f>DATE(YEAR(DY149)+2,MONTH(DY149),DAY(DY149))</f>
        <v>46762</v>
      </c>
      <c r="EA149" s="65">
        <f t="shared" ca="1" si="485"/>
        <v>631</v>
      </c>
      <c r="EB149" s="15" t="str">
        <f t="shared" ca="1" si="486"/>
        <v>VIGENTE</v>
      </c>
      <c r="EC149" s="14">
        <v>45341</v>
      </c>
      <c r="ED149" s="14">
        <v>45994</v>
      </c>
      <c r="EE149" s="14">
        <f>DATE(YEAR(ED149)+2,MONTH(ED149),DAY(ED149))</f>
        <v>46724</v>
      </c>
      <c r="EF149" s="65">
        <f t="shared" ca="1" si="487"/>
        <v>593</v>
      </c>
      <c r="EG149" s="15" t="str">
        <f t="shared" ca="1" si="488"/>
        <v>VIGENTE</v>
      </c>
      <c r="EH149" s="13"/>
      <c r="EI149" s="13">
        <v>46013</v>
      </c>
      <c r="EJ149" s="13">
        <v>46014</v>
      </c>
      <c r="EK149" s="13">
        <v>46015</v>
      </c>
      <c r="EL149" s="14">
        <f t="shared" si="546"/>
        <v>46380</v>
      </c>
      <c r="EM149" s="65">
        <f t="shared" ca="1" si="489"/>
        <v>249</v>
      </c>
      <c r="EN149" s="15" t="str">
        <f t="shared" ca="1" si="490"/>
        <v>VIGENTE</v>
      </c>
      <c r="EO149" s="13">
        <v>45346</v>
      </c>
      <c r="EP149" s="14">
        <v>45983</v>
      </c>
      <c r="EQ149" s="14">
        <f>DATE(YEAR(EP149)+2,MONTH(EP149),DAY(EP149))</f>
        <v>46713</v>
      </c>
      <c r="ER149" s="65">
        <f t="shared" ca="1" si="491"/>
        <v>582</v>
      </c>
      <c r="ES149" s="15" t="str">
        <f t="shared" ca="1" si="492"/>
        <v>VIGENTE</v>
      </c>
      <c r="ET149" s="12"/>
      <c r="EU149" s="14">
        <v>45999</v>
      </c>
      <c r="EV149" s="14">
        <f>DATE(YEAR(EU149)+2,MONTH(EU149),DAY(EU149))</f>
        <v>46729</v>
      </c>
      <c r="EW149" s="65">
        <f t="shared" ca="1" si="493"/>
        <v>598</v>
      </c>
      <c r="EX149" s="15" t="str">
        <f t="shared" ca="1" si="494"/>
        <v>VIGENTE</v>
      </c>
      <c r="EY149" s="13">
        <v>45360</v>
      </c>
      <c r="EZ149" s="14">
        <v>46037</v>
      </c>
      <c r="FA149" s="14">
        <f t="shared" si="564"/>
        <v>46767</v>
      </c>
      <c r="FB149" s="65">
        <f t="shared" ca="1" si="495"/>
        <v>636</v>
      </c>
      <c r="FC149" s="15" t="str">
        <f t="shared" ca="1" si="496"/>
        <v>VIGENTE</v>
      </c>
      <c r="FD149" s="14">
        <v>45354</v>
      </c>
      <c r="FE149" s="14">
        <v>46010</v>
      </c>
      <c r="FF149" s="14">
        <f t="shared" si="565"/>
        <v>46740</v>
      </c>
      <c r="FG149" s="65">
        <f t="shared" ca="1" si="497"/>
        <v>609</v>
      </c>
      <c r="FH149" s="15" t="str">
        <f t="shared" ca="1" si="498"/>
        <v>VIGENTE</v>
      </c>
      <c r="FI149" s="14">
        <v>45342</v>
      </c>
      <c r="FJ149" s="14">
        <v>45962</v>
      </c>
      <c r="FK149" s="14">
        <f t="shared" si="566"/>
        <v>46692</v>
      </c>
      <c r="FL149" s="65">
        <f t="shared" ca="1" si="499"/>
        <v>561</v>
      </c>
      <c r="FM149" s="15" t="str">
        <f t="shared" ca="1" si="500"/>
        <v>VIGENTE</v>
      </c>
      <c r="FN149" s="14">
        <v>45359</v>
      </c>
      <c r="FO149" s="14">
        <v>46039</v>
      </c>
      <c r="FP149" s="14">
        <f>DATE(YEAR(FO149)+2,MONTH(FO149),DAY(FO149))</f>
        <v>46769</v>
      </c>
      <c r="FQ149" s="65">
        <f t="shared" ca="1" si="501"/>
        <v>638</v>
      </c>
      <c r="FR149" s="15" t="str">
        <f t="shared" ca="1" si="502"/>
        <v>VIGENTE</v>
      </c>
      <c r="FS149" s="14">
        <v>45358</v>
      </c>
      <c r="FT149" s="14">
        <v>46034</v>
      </c>
      <c r="FU149" s="14">
        <f>DATE(YEAR(FT149)+2,MONTH(FT149),DAY(FT149))</f>
        <v>46764</v>
      </c>
      <c r="FV149" s="65">
        <f t="shared" ca="1" si="503"/>
        <v>633</v>
      </c>
      <c r="FW149" s="15" t="str">
        <f t="shared" ca="1" si="504"/>
        <v>VIGENTE</v>
      </c>
      <c r="FX149" s="14">
        <v>45324</v>
      </c>
      <c r="FY149" s="14">
        <v>46004</v>
      </c>
      <c r="FZ149" s="14">
        <f>DATE(YEAR(FY149)+2,MONTH(FY149),DAY(FY149))</f>
        <v>46734</v>
      </c>
      <c r="GA149" s="65">
        <f t="shared" ca="1" si="505"/>
        <v>603</v>
      </c>
      <c r="GB149" s="15" t="str">
        <f t="shared" ca="1" si="506"/>
        <v>VIGENTE</v>
      </c>
      <c r="GC149" s="13"/>
      <c r="GD149" s="14">
        <v>45925</v>
      </c>
      <c r="GE149" s="14">
        <f>DATE(YEAR(GD149)+2,MONTH(GD149),DAY(GD149))</f>
        <v>46655</v>
      </c>
      <c r="GF149" s="65">
        <f t="shared" ca="1" si="507"/>
        <v>524</v>
      </c>
      <c r="GG149" s="15" t="str">
        <f t="shared" ca="1" si="508"/>
        <v>VIGENTE</v>
      </c>
      <c r="GH149" s="13">
        <v>45332</v>
      </c>
      <c r="GI149" s="14">
        <v>45960</v>
      </c>
      <c r="GJ149" s="14">
        <f>DATE(YEAR(GI149)+2,MONTH(GI149),DAY(GI149))</f>
        <v>46690</v>
      </c>
      <c r="GK149" s="65">
        <f t="shared" ca="1" si="509"/>
        <v>559</v>
      </c>
      <c r="GL149" s="15" t="str">
        <f t="shared" ca="1" si="510"/>
        <v>VIGENTE</v>
      </c>
      <c r="GM149" s="13">
        <v>45405</v>
      </c>
      <c r="GN149" s="14">
        <v>46071</v>
      </c>
      <c r="GO149" s="14">
        <f t="shared" si="560"/>
        <v>46801</v>
      </c>
      <c r="GP149" s="65">
        <f t="shared" ca="1" si="511"/>
        <v>670</v>
      </c>
      <c r="GQ149" s="15" t="str">
        <f t="shared" ca="1" si="512"/>
        <v>VIGENTE</v>
      </c>
      <c r="GR149" s="14"/>
      <c r="GS149" s="14">
        <v>45299</v>
      </c>
      <c r="GT149" s="14">
        <f t="shared" si="513"/>
        <v>47126</v>
      </c>
      <c r="GU149" s="65">
        <f t="shared" ca="1" si="398"/>
        <v>995</v>
      </c>
      <c r="GV149" s="15" t="str">
        <f t="shared" ca="1" si="411"/>
        <v>VIGENTE</v>
      </c>
      <c r="GW149" s="13"/>
      <c r="GX149" s="14">
        <v>45329</v>
      </c>
      <c r="GY149" s="14">
        <f t="shared" si="514"/>
        <v>47156</v>
      </c>
      <c r="GZ149" s="65">
        <f t="shared" ca="1" si="515"/>
        <v>1025</v>
      </c>
      <c r="HA149" s="15" t="str">
        <f t="shared" ca="1" si="418"/>
        <v>VIGENTE</v>
      </c>
      <c r="HB149" s="12"/>
      <c r="HC149" s="14">
        <v>45343</v>
      </c>
      <c r="HD149" s="14">
        <f t="shared" si="516"/>
        <v>47170</v>
      </c>
      <c r="HE149" s="65">
        <f t="shared" ca="1" si="517"/>
        <v>1039</v>
      </c>
      <c r="HF149" s="15" t="str">
        <f t="shared" ca="1" si="413"/>
        <v>VIGENTE</v>
      </c>
      <c r="HG149" s="16"/>
      <c r="HH149" s="14">
        <v>45317</v>
      </c>
      <c r="HI149" s="14">
        <f t="shared" si="569"/>
        <v>47144</v>
      </c>
      <c r="HJ149" s="65">
        <f t="shared" ca="1" si="570"/>
        <v>1013</v>
      </c>
      <c r="HK149" s="15" t="str">
        <f t="shared" ca="1" si="419"/>
        <v>VIGENTE</v>
      </c>
      <c r="HL149" s="12"/>
      <c r="HM149" s="16"/>
      <c r="HN149" s="14"/>
      <c r="HO149" s="65"/>
      <c r="HP149" s="15" t="str">
        <f t="shared" si="437"/>
        <v>NO APLICA</v>
      </c>
      <c r="HQ149" s="12"/>
      <c r="HR149" s="12"/>
      <c r="HS149" s="14"/>
      <c r="HT149" s="12"/>
      <c r="HU149" s="15" t="str">
        <f t="shared" si="518"/>
        <v>NO APLICA</v>
      </c>
      <c r="HV149" s="12"/>
      <c r="HW149" s="16"/>
      <c r="HX149" s="14"/>
      <c r="HY149" s="65"/>
      <c r="HZ149" s="15" t="str">
        <f t="shared" si="519"/>
        <v>NO APLICA</v>
      </c>
      <c r="IA149" s="12"/>
      <c r="IB149" s="16"/>
      <c r="IC149" s="14"/>
      <c r="ID149" s="65"/>
      <c r="IE149" s="15" t="str">
        <f t="shared" si="520"/>
        <v>NO APLICA</v>
      </c>
      <c r="IF149" s="12"/>
      <c r="IG149" s="16"/>
      <c r="IH149" s="14"/>
      <c r="II149" s="65"/>
      <c r="IJ149" s="15" t="str">
        <f t="shared" si="521"/>
        <v>NO APLICA</v>
      </c>
      <c r="IK149" s="16"/>
      <c r="IL149" s="16"/>
      <c r="IM149" s="14"/>
      <c r="IN149" s="65"/>
      <c r="IO149" s="15" t="str">
        <f t="shared" si="522"/>
        <v>NO APLICA</v>
      </c>
      <c r="IP149" s="12"/>
      <c r="IQ149" s="16"/>
      <c r="IR149" s="14"/>
      <c r="IS149" s="65"/>
      <c r="IT149" s="15" t="str">
        <f t="shared" si="523"/>
        <v>NO APLICA</v>
      </c>
      <c r="IU149" s="12"/>
      <c r="IV149" s="16"/>
      <c r="IW149" s="14"/>
      <c r="IX149" s="65"/>
      <c r="IY149" s="15" t="str">
        <f t="shared" si="524"/>
        <v>NO APLICA</v>
      </c>
      <c r="IZ149" s="12"/>
      <c r="JA149" s="16"/>
      <c r="JB149" s="14"/>
      <c r="JC149" s="65"/>
      <c r="JD149" s="15" t="str">
        <f t="shared" si="525"/>
        <v>NO APLICA</v>
      </c>
      <c r="JE149" s="13"/>
      <c r="JF149" s="13"/>
      <c r="JG149" s="14"/>
      <c r="JH149" s="65"/>
      <c r="JI149" s="15" t="str">
        <f t="shared" si="526"/>
        <v>NO APLICA</v>
      </c>
      <c r="JJ149" s="16"/>
      <c r="JK149" s="16"/>
      <c r="JL149" s="16"/>
      <c r="JM149" s="15" t="str">
        <f t="shared" si="527"/>
        <v>NO APLICA</v>
      </c>
      <c r="JN149" s="16"/>
      <c r="JO149" s="16"/>
      <c r="JP149" s="16"/>
      <c r="JQ149" s="15" t="str">
        <f t="shared" si="528"/>
        <v>NO APLICA</v>
      </c>
      <c r="JR149" s="16"/>
      <c r="JS149" s="16"/>
      <c r="JT149" s="16"/>
      <c r="JU149" s="16"/>
      <c r="JV149" s="15" t="str">
        <f t="shared" si="529"/>
        <v>NO APLICA</v>
      </c>
      <c r="JW149" s="15"/>
      <c r="JX149" s="15"/>
      <c r="JY149" s="15"/>
      <c r="JZ149" s="15"/>
      <c r="KA149" s="15" t="str">
        <f t="shared" si="530"/>
        <v>NO APLICA</v>
      </c>
      <c r="KB149" s="12"/>
      <c r="KC149" s="14"/>
      <c r="KD149" s="65"/>
      <c r="KE149" s="15" t="str">
        <f t="shared" si="531"/>
        <v>NO APLICA</v>
      </c>
      <c r="KF149" s="12"/>
      <c r="KG149" s="14"/>
      <c r="KH149" s="65"/>
      <c r="KI149" s="15" t="str">
        <f t="shared" si="547"/>
        <v>NO APLICA</v>
      </c>
      <c r="KJ149" s="12"/>
      <c r="KK149" s="14"/>
      <c r="KL149" s="65"/>
      <c r="KM149" s="15" t="str">
        <f t="shared" si="532"/>
        <v>NO APLICA</v>
      </c>
      <c r="KN149" s="12"/>
      <c r="KO149" s="14"/>
      <c r="KP149" s="65"/>
      <c r="KQ149" s="15" t="str">
        <f t="shared" si="548"/>
        <v>NO APLICA</v>
      </c>
      <c r="KR149" s="12"/>
      <c r="KS149" s="16"/>
      <c r="KT149" s="14"/>
      <c r="KU149" s="65"/>
      <c r="KV149" s="15" t="str">
        <f t="shared" si="554"/>
        <v>NO APLICA</v>
      </c>
      <c r="KW149" s="16"/>
      <c r="KX149" s="14"/>
      <c r="KY149" s="65"/>
      <c r="KZ149" s="15" t="str">
        <f t="shared" si="549"/>
        <v>NO APLICA</v>
      </c>
      <c r="LA149" s="16"/>
      <c r="LB149" s="16"/>
      <c r="LC149" s="14"/>
      <c r="LD149" s="65"/>
      <c r="LE149" s="15" t="str">
        <f t="shared" si="556"/>
        <v>NO APLICA</v>
      </c>
      <c r="LF149" s="15"/>
      <c r="LG149" s="15"/>
      <c r="LH149" s="15"/>
      <c r="LI149" s="15"/>
      <c r="LJ149" s="15" t="str">
        <f t="shared" si="555"/>
        <v>NO APLICA</v>
      </c>
      <c r="LK149" s="12"/>
      <c r="LL149" s="16"/>
      <c r="LM149" s="14"/>
      <c r="LN149" s="65"/>
      <c r="LO149" s="15" t="str">
        <f t="shared" si="550"/>
        <v>NO APLICA</v>
      </c>
      <c r="LP149" s="16"/>
      <c r="LQ149" s="16"/>
      <c r="LR149" s="14"/>
      <c r="LS149" s="65"/>
      <c r="LT149" s="15" t="str">
        <f t="shared" si="551"/>
        <v>NO APLICA</v>
      </c>
      <c r="LU149" s="16"/>
      <c r="LV149" s="16"/>
      <c r="LW149" s="14"/>
      <c r="LX149" s="65"/>
      <c r="LY149" s="15" t="str">
        <f t="shared" si="552"/>
        <v>NO APLICA</v>
      </c>
      <c r="LZ149" s="12"/>
      <c r="MA149" s="12"/>
      <c r="MB149" s="14"/>
      <c r="MC149" s="65"/>
      <c r="MD149" s="15" t="str">
        <f t="shared" si="534"/>
        <v>NO APLICA</v>
      </c>
      <c r="ME149" s="12"/>
      <c r="MF149" s="12"/>
      <c r="MG149" s="14"/>
      <c r="MH149" s="65"/>
      <c r="MI149" s="15" t="str">
        <f t="shared" si="535"/>
        <v>NO APLICA</v>
      </c>
      <c r="MJ149" s="12"/>
      <c r="MK149" s="14"/>
      <c r="ML149" s="65"/>
      <c r="MM149" s="15" t="str">
        <f t="shared" si="536"/>
        <v>NO APLICA</v>
      </c>
      <c r="MN149" s="12"/>
      <c r="MO149" s="14"/>
      <c r="MP149" s="12"/>
      <c r="MQ149" s="15" t="str">
        <f t="shared" si="537"/>
        <v>NO APLICA</v>
      </c>
      <c r="MR149" s="12"/>
      <c r="MS149" s="16"/>
      <c r="MT149" s="14"/>
      <c r="MU149" s="65"/>
      <c r="MV149" s="15" t="str">
        <f t="shared" si="538"/>
        <v>NO APLICA</v>
      </c>
      <c r="MW149" s="12"/>
      <c r="MX149" s="16"/>
      <c r="MY149" s="14"/>
      <c r="MZ149" s="65"/>
      <c r="NA149" s="15" t="str">
        <f t="shared" si="539"/>
        <v>NO APLICA</v>
      </c>
      <c r="NB149" s="12"/>
      <c r="NC149" s="16"/>
      <c r="ND149" s="14"/>
      <c r="NE149" s="65"/>
      <c r="NF149" s="15" t="str">
        <f t="shared" si="540"/>
        <v>NO APLICA</v>
      </c>
      <c r="NG149" s="12"/>
      <c r="NH149" s="12"/>
      <c r="NI149" s="14"/>
      <c r="NJ149" s="12"/>
      <c r="NK149" s="15" t="str">
        <f t="shared" si="541"/>
        <v>NO APLICA</v>
      </c>
      <c r="NL149" s="12"/>
      <c r="NM149" s="12"/>
      <c r="NN149" s="14"/>
      <c r="NO149" s="12"/>
      <c r="NP149" s="15" t="str">
        <f t="shared" si="542"/>
        <v>NO APLICA</v>
      </c>
      <c r="NQ149" s="16"/>
      <c r="NR149" s="16"/>
      <c r="NS149" s="14"/>
      <c r="NT149" s="65"/>
      <c r="NU149" s="15" t="str">
        <f t="shared" si="543"/>
        <v>NO APLICA</v>
      </c>
      <c r="NV149" s="16"/>
      <c r="NW149" s="16"/>
      <c r="NX149" s="16"/>
      <c r="NY149" s="16"/>
      <c r="NZ149" s="15" t="str">
        <f t="shared" si="544"/>
        <v>NO APLICA</v>
      </c>
    </row>
    <row r="150" spans="1:390" ht="15.6" thickTop="1" thickBot="1" x14ac:dyDescent="0.35">
      <c r="A150" s="9">
        <v>857</v>
      </c>
      <c r="B150" s="10" t="s">
        <v>546</v>
      </c>
      <c r="C150" s="21" t="s">
        <v>104</v>
      </c>
      <c r="D150" s="64" t="s">
        <v>114</v>
      </c>
      <c r="E150" s="15"/>
      <c r="F150" s="16"/>
      <c r="G150" s="14"/>
      <c r="H150" s="65"/>
      <c r="I150" s="15" t="str">
        <f t="shared" si="448"/>
        <v>NO APLICA</v>
      </c>
      <c r="J150" s="15"/>
      <c r="K150" s="16"/>
      <c r="L150" s="16"/>
      <c r="M150" s="65"/>
      <c r="N150" s="15" t="str">
        <f t="shared" si="449"/>
        <v>NO APLICA</v>
      </c>
      <c r="O150" s="16"/>
      <c r="P150" s="16"/>
      <c r="Q150" s="14"/>
      <c r="R150" s="65"/>
      <c r="S150" s="15" t="str">
        <f t="shared" si="545"/>
        <v>NO APLICA</v>
      </c>
      <c r="T150" s="12" t="s">
        <v>547</v>
      </c>
      <c r="U150" s="13">
        <v>45848</v>
      </c>
      <c r="V150" s="14">
        <v>45849</v>
      </c>
      <c r="W150" s="14">
        <f t="shared" si="401"/>
        <v>47675</v>
      </c>
      <c r="X150" s="65">
        <f t="shared" ca="1" si="402"/>
        <v>1544</v>
      </c>
      <c r="Y150" s="15" t="str">
        <f t="shared" ca="1" si="403"/>
        <v>VIGENTE</v>
      </c>
      <c r="Z150" s="12" t="s">
        <v>548</v>
      </c>
      <c r="AA150" s="13">
        <v>44602</v>
      </c>
      <c r="AB150" s="14">
        <v>44603</v>
      </c>
      <c r="AC150" s="14">
        <f t="shared" si="567"/>
        <v>46429</v>
      </c>
      <c r="AD150" s="65">
        <f t="shared" ca="1" si="568"/>
        <v>298</v>
      </c>
      <c r="AE150" s="15" t="str">
        <f t="shared" ca="1" si="553"/>
        <v>VIGENTE</v>
      </c>
      <c r="AF150" s="13">
        <v>44948</v>
      </c>
      <c r="AG150" s="14">
        <v>45594</v>
      </c>
      <c r="AH150" s="14">
        <f>DATE(YEAR(AG150)+2,MONTH(AG150),DAY(AG150)-1)</f>
        <v>46323</v>
      </c>
      <c r="AI150" s="65">
        <f t="shared" ca="1" si="450"/>
        <v>192</v>
      </c>
      <c r="AJ150" s="15" t="str">
        <f t="shared" ca="1" si="399"/>
        <v>VIGENTE</v>
      </c>
      <c r="AK150" s="13">
        <v>44634</v>
      </c>
      <c r="AL150" s="14">
        <v>45937</v>
      </c>
      <c r="AM150" s="14">
        <f t="shared" si="561"/>
        <v>46667</v>
      </c>
      <c r="AN150" s="65">
        <f t="shared" ca="1" si="451"/>
        <v>536</v>
      </c>
      <c r="AO150" s="15" t="str">
        <f t="shared" ca="1" si="452"/>
        <v>VIGENTE</v>
      </c>
      <c r="AP150" s="13">
        <v>45357</v>
      </c>
      <c r="AQ150" s="14">
        <v>45989</v>
      </c>
      <c r="AR150" s="14">
        <f t="shared" si="557"/>
        <v>46719</v>
      </c>
      <c r="AS150" s="65">
        <f t="shared" ca="1" si="453"/>
        <v>588</v>
      </c>
      <c r="AT150" s="15" t="str">
        <f t="shared" ca="1" si="454"/>
        <v>VIGENTE</v>
      </c>
      <c r="AU150" s="13">
        <v>44694</v>
      </c>
      <c r="AV150" s="14">
        <v>46070</v>
      </c>
      <c r="AW150" s="14">
        <f t="shared" si="558"/>
        <v>46800</v>
      </c>
      <c r="AX150" s="65">
        <f t="shared" ca="1" si="455"/>
        <v>669</v>
      </c>
      <c r="AY150" s="15" t="str">
        <f t="shared" ca="1" si="456"/>
        <v>VIGENTE</v>
      </c>
      <c r="AZ150" s="13">
        <v>44973</v>
      </c>
      <c r="BA150" s="13">
        <v>45603</v>
      </c>
      <c r="BB150" s="14">
        <f>DATE(YEAR(BA150)+2,MONTH(BA150),DAY(BA150)-1)</f>
        <v>46332</v>
      </c>
      <c r="BC150" s="65">
        <f t="shared" ca="1" si="457"/>
        <v>201</v>
      </c>
      <c r="BD150" s="15" t="str">
        <f t="shared" ca="1" si="458"/>
        <v>VIGENTE</v>
      </c>
      <c r="BE150" s="13">
        <v>44965</v>
      </c>
      <c r="BF150" s="13">
        <v>45643</v>
      </c>
      <c r="BG150" s="14">
        <f>DATE(YEAR(BF150)+2,MONTH(BF150),DAY(BF150)-1)</f>
        <v>46372</v>
      </c>
      <c r="BH150" s="65">
        <f t="shared" ca="1" si="459"/>
        <v>241</v>
      </c>
      <c r="BI150" s="15" t="str">
        <f t="shared" ca="1" si="460"/>
        <v>VIGENTE</v>
      </c>
      <c r="BJ150" s="13">
        <v>45389</v>
      </c>
      <c r="BK150" s="14">
        <v>46035</v>
      </c>
      <c r="BL150" s="14">
        <f>DATE(YEAR(BK150)+2,MONTH(BK150),DAY(BK150))</f>
        <v>46765</v>
      </c>
      <c r="BM150" s="65">
        <f t="shared" ca="1" si="461"/>
        <v>634</v>
      </c>
      <c r="BN150" s="15" t="str">
        <f t="shared" ca="1" si="462"/>
        <v>VIGENTE</v>
      </c>
      <c r="BO150" s="13">
        <v>45073</v>
      </c>
      <c r="BP150" s="14">
        <v>45701</v>
      </c>
      <c r="BQ150" s="14">
        <f>DATE(YEAR(BP150)+2,MONTH(BP150),DAY(BP150)-1)</f>
        <v>46430</v>
      </c>
      <c r="BR150" s="65">
        <f t="shared" ca="1" si="463"/>
        <v>299</v>
      </c>
      <c r="BS150" s="15" t="str">
        <f t="shared" ca="1" si="464"/>
        <v>VIGENTE</v>
      </c>
      <c r="BT150" s="14">
        <v>45086</v>
      </c>
      <c r="BU150" s="14">
        <v>45736</v>
      </c>
      <c r="BV150" s="14">
        <f>DATE(YEAR(BU150)+2,MONTH(BU150),DAY(BU150)-1)</f>
        <v>46465</v>
      </c>
      <c r="BW150" s="65">
        <f t="shared" ca="1" si="465"/>
        <v>334</v>
      </c>
      <c r="BX150" s="15" t="str">
        <f t="shared" ca="1" si="466"/>
        <v>VIGENTE</v>
      </c>
      <c r="BY150" s="13">
        <v>44634</v>
      </c>
      <c r="BZ150" s="14">
        <v>45944</v>
      </c>
      <c r="CA150" s="14">
        <f t="shared" si="563"/>
        <v>46674</v>
      </c>
      <c r="CB150" s="65">
        <f t="shared" ca="1" si="467"/>
        <v>543</v>
      </c>
      <c r="CC150" s="15" t="str">
        <f t="shared" ca="1" si="468"/>
        <v>VIGENTE</v>
      </c>
      <c r="CD150" s="16" t="s">
        <v>108</v>
      </c>
      <c r="CE150" s="14">
        <v>45261</v>
      </c>
      <c r="CF150" s="14">
        <v>45262</v>
      </c>
      <c r="CG150" s="14">
        <f t="shared" si="408"/>
        <v>46723</v>
      </c>
      <c r="CH150" s="65">
        <f t="shared" ca="1" si="409"/>
        <v>592</v>
      </c>
      <c r="CI150" s="15" t="str">
        <f t="shared" ca="1" si="562"/>
        <v>VIGENTE</v>
      </c>
      <c r="CJ150" s="14">
        <v>45016</v>
      </c>
      <c r="CK150" s="14">
        <v>45688</v>
      </c>
      <c r="CL150" s="14">
        <f>DATE(YEAR(CK150)+2,MONTH(CK150),DAY(CK150)-1)</f>
        <v>46417</v>
      </c>
      <c r="CM150" s="65">
        <f t="shared" ca="1" si="469"/>
        <v>286</v>
      </c>
      <c r="CN150" s="15" t="str">
        <f t="shared" ca="1" si="470"/>
        <v>VIGENTE</v>
      </c>
      <c r="CO150" s="14">
        <v>45087</v>
      </c>
      <c r="CP150" s="14">
        <v>45726</v>
      </c>
      <c r="CQ150" s="14">
        <f>DATE(YEAR(CP150)+2,MONTH(CP150),DAY(CP150)-1)</f>
        <v>46455</v>
      </c>
      <c r="CR150" s="65">
        <f t="shared" ca="1" si="471"/>
        <v>324</v>
      </c>
      <c r="CS150" s="15" t="str">
        <f t="shared" ca="1" si="472"/>
        <v>VIGENTE</v>
      </c>
      <c r="CT150" s="13">
        <v>44972</v>
      </c>
      <c r="CU150" s="14">
        <v>45639</v>
      </c>
      <c r="CV150" s="14">
        <f>DATE(YEAR(CU150)+2,MONTH(CU150),DAY(CU150)-1)</f>
        <v>46368</v>
      </c>
      <c r="CW150" s="65">
        <f t="shared" ca="1" si="473"/>
        <v>237</v>
      </c>
      <c r="CX150" s="15" t="str">
        <f t="shared" ca="1" si="474"/>
        <v>VIGENTE</v>
      </c>
      <c r="CY150" s="13">
        <v>44996</v>
      </c>
      <c r="CZ150" s="14">
        <v>45665</v>
      </c>
      <c r="DA150" s="14">
        <f>DATE(YEAR(CZ150)+2,MONTH(CZ150),DAY(CZ150)-1)</f>
        <v>46394</v>
      </c>
      <c r="DB150" s="65">
        <f t="shared" ca="1" si="475"/>
        <v>263</v>
      </c>
      <c r="DC150" s="15" t="str">
        <f t="shared" ca="1" si="476"/>
        <v>VIGENTE</v>
      </c>
      <c r="DD150" s="13">
        <v>45029</v>
      </c>
      <c r="DE150" s="14">
        <v>45689</v>
      </c>
      <c r="DF150" s="14">
        <f>DATE(YEAR(DE150)+2,MONTH(DE150),DAY(DE150)-1)</f>
        <v>46418</v>
      </c>
      <c r="DG150" s="65">
        <f t="shared" ca="1" si="477"/>
        <v>287</v>
      </c>
      <c r="DH150" s="15" t="str">
        <f t="shared" ca="1" si="478"/>
        <v>VIGENTE</v>
      </c>
      <c r="DI150" s="13">
        <v>44695</v>
      </c>
      <c r="DJ150" s="14">
        <v>46073</v>
      </c>
      <c r="DK150" s="14">
        <f>DATE(YEAR(DJ150)+2,MONTH(DJ150),DAY(DJ150))</f>
        <v>46803</v>
      </c>
      <c r="DL150" s="65">
        <f t="shared" ca="1" si="479"/>
        <v>672</v>
      </c>
      <c r="DM150" s="15" t="str">
        <f t="shared" ca="1" si="480"/>
        <v>VIGENTE</v>
      </c>
      <c r="DN150" s="13">
        <v>45345</v>
      </c>
      <c r="DO150" s="14">
        <v>45982</v>
      </c>
      <c r="DP150" s="14">
        <f>DATE(YEAR(DO150)+2,MONTH(DO150),DAY(DO150))</f>
        <v>46712</v>
      </c>
      <c r="DQ150" s="65">
        <f t="shared" ca="1" si="481"/>
        <v>581</v>
      </c>
      <c r="DR150" s="15" t="str">
        <f t="shared" ca="1" si="482"/>
        <v>VIGENTE</v>
      </c>
      <c r="DS150" s="14">
        <v>45019</v>
      </c>
      <c r="DT150" s="14">
        <v>45685</v>
      </c>
      <c r="DU150" s="14">
        <f>DATE(YEAR(DT150)+2,MONTH(DT150),DAY(DT150)-1)</f>
        <v>46414</v>
      </c>
      <c r="DV150" s="65">
        <f t="shared" ca="1" si="483"/>
        <v>283</v>
      </c>
      <c r="DW150" s="15" t="str">
        <f t="shared" ca="1" si="484"/>
        <v>VIGENTE</v>
      </c>
      <c r="DX150" s="14">
        <v>45007</v>
      </c>
      <c r="DY150" s="14">
        <v>45663</v>
      </c>
      <c r="DZ150" s="14">
        <f>DATE(YEAR(DY150)+2,MONTH(DY150),DAY(DY150)-1)</f>
        <v>46392</v>
      </c>
      <c r="EA150" s="65">
        <f t="shared" ca="1" si="485"/>
        <v>261</v>
      </c>
      <c r="EB150" s="15" t="str">
        <f t="shared" ca="1" si="486"/>
        <v>VIGENTE</v>
      </c>
      <c r="EC150" s="14">
        <v>44940</v>
      </c>
      <c r="ED150" s="14">
        <v>45583</v>
      </c>
      <c r="EE150" s="14">
        <f>DATE(YEAR(ED150)+2,MONTH(ED150),DAY(ED150)-1)</f>
        <v>46312</v>
      </c>
      <c r="EF150" s="65">
        <f t="shared" ca="1" si="487"/>
        <v>181</v>
      </c>
      <c r="EG150" s="15" t="str">
        <f t="shared" ca="1" si="488"/>
        <v>VIGENTE</v>
      </c>
      <c r="EH150" s="13">
        <v>45750</v>
      </c>
      <c r="EI150" s="13">
        <v>46083</v>
      </c>
      <c r="EJ150" s="13">
        <v>46084</v>
      </c>
      <c r="EK150" s="13">
        <v>46085</v>
      </c>
      <c r="EL150" s="14">
        <f t="shared" si="546"/>
        <v>46450</v>
      </c>
      <c r="EM150" s="65">
        <f t="shared" ca="1" si="489"/>
        <v>319</v>
      </c>
      <c r="EN150" s="15" t="str">
        <f t="shared" ca="1" si="490"/>
        <v>VIGENTE</v>
      </c>
      <c r="EO150" s="14">
        <v>45016</v>
      </c>
      <c r="EP150" s="14">
        <v>45671</v>
      </c>
      <c r="EQ150" s="14">
        <f>DATE(YEAR(EP150)+2,MONTH(EP150),DAY(EP150)-1)</f>
        <v>46400</v>
      </c>
      <c r="ER150" s="65">
        <f t="shared" ca="1" si="491"/>
        <v>269</v>
      </c>
      <c r="ES150" s="15" t="str">
        <f t="shared" ca="1" si="492"/>
        <v>VIGENTE</v>
      </c>
      <c r="ET150" s="14">
        <v>45043</v>
      </c>
      <c r="EU150" s="14">
        <v>45677</v>
      </c>
      <c r="EV150" s="14">
        <f>DATE(YEAR(EU150)+2,MONTH(EU150),DAY(EU150)-1)</f>
        <v>46406</v>
      </c>
      <c r="EW150" s="65">
        <f t="shared" ca="1" si="493"/>
        <v>275</v>
      </c>
      <c r="EX150" s="15" t="str">
        <f t="shared" ca="1" si="494"/>
        <v>VIGENTE</v>
      </c>
      <c r="EY150" s="13">
        <v>44636</v>
      </c>
      <c r="EZ150" s="14">
        <v>45953</v>
      </c>
      <c r="FA150" s="14">
        <f t="shared" si="564"/>
        <v>46683</v>
      </c>
      <c r="FB150" s="65">
        <f t="shared" ca="1" si="495"/>
        <v>552</v>
      </c>
      <c r="FC150" s="15" t="str">
        <f t="shared" ca="1" si="496"/>
        <v>VIGENTE</v>
      </c>
      <c r="FD150" s="13">
        <v>45280</v>
      </c>
      <c r="FE150" s="14">
        <v>45931</v>
      </c>
      <c r="FF150" s="14">
        <f t="shared" si="565"/>
        <v>46661</v>
      </c>
      <c r="FG150" s="65">
        <f t="shared" ca="1" si="497"/>
        <v>530</v>
      </c>
      <c r="FH150" s="15" t="str">
        <f t="shared" ca="1" si="498"/>
        <v>VIGENTE</v>
      </c>
      <c r="FI150" s="13">
        <v>44637</v>
      </c>
      <c r="FJ150" s="14">
        <v>45992</v>
      </c>
      <c r="FK150" s="14">
        <f t="shared" si="566"/>
        <v>46722</v>
      </c>
      <c r="FL150" s="65">
        <f t="shared" ca="1" si="499"/>
        <v>591</v>
      </c>
      <c r="FM150" s="15" t="str">
        <f t="shared" ca="1" si="500"/>
        <v>VIGENTE</v>
      </c>
      <c r="FN150" s="13">
        <v>45084</v>
      </c>
      <c r="FO150" s="14">
        <v>45738</v>
      </c>
      <c r="FP150" s="14">
        <f>DATE(YEAR(FO150)+2,MONTH(FO150),DAY(FO150)-1)</f>
        <v>46467</v>
      </c>
      <c r="FQ150" s="65">
        <f t="shared" ca="1" si="501"/>
        <v>336</v>
      </c>
      <c r="FR150" s="15" t="str">
        <f t="shared" ca="1" si="502"/>
        <v>VIGENTE</v>
      </c>
      <c r="FS150" s="14">
        <v>45052</v>
      </c>
      <c r="FT150" s="14">
        <v>45678</v>
      </c>
      <c r="FU150" s="14">
        <f>DATE(YEAR(FT150)+2,MONTH(FT150),DAY(FT150)-1)</f>
        <v>46407</v>
      </c>
      <c r="FV150" s="65">
        <f t="shared" ca="1" si="503"/>
        <v>276</v>
      </c>
      <c r="FW150" s="15" t="str">
        <f t="shared" ca="1" si="504"/>
        <v>VIGENTE</v>
      </c>
      <c r="FX150" s="13">
        <v>44637</v>
      </c>
      <c r="FY150" s="14">
        <v>46014</v>
      </c>
      <c r="FZ150" s="14">
        <f>DATE(YEAR(FY150)+2,MONTH(FY150),DAY(FY150))</f>
        <v>46744</v>
      </c>
      <c r="GA150" s="65">
        <f t="shared" ca="1" si="505"/>
        <v>613</v>
      </c>
      <c r="GB150" s="15" t="str">
        <f t="shared" ca="1" si="506"/>
        <v>VIGENTE</v>
      </c>
      <c r="GC150" s="14">
        <v>45036</v>
      </c>
      <c r="GD150" s="14">
        <v>45667</v>
      </c>
      <c r="GE150" s="14">
        <f>DATE(YEAR(GD150)+2,MONTH(GD150),DAY(GD150)-1)</f>
        <v>46396</v>
      </c>
      <c r="GF150" s="65">
        <f t="shared" ca="1" si="507"/>
        <v>265</v>
      </c>
      <c r="GG150" s="15" t="str">
        <f t="shared" ca="1" si="508"/>
        <v>VIGENTE</v>
      </c>
      <c r="GH150" s="14">
        <v>45034</v>
      </c>
      <c r="GI150" s="14">
        <v>45672</v>
      </c>
      <c r="GJ150" s="14">
        <f>DATE(YEAR(GI150)+2,MONTH(GI150),DAY(GI150)-1)</f>
        <v>46401</v>
      </c>
      <c r="GK150" s="65">
        <f t="shared" ca="1" si="509"/>
        <v>270</v>
      </c>
      <c r="GL150" s="15" t="str">
        <f t="shared" ca="1" si="510"/>
        <v>VIGENTE</v>
      </c>
      <c r="GM150" s="14">
        <v>44976</v>
      </c>
      <c r="GN150" s="14">
        <v>45633</v>
      </c>
      <c r="GO150" s="14">
        <f>DATE(YEAR(GN150)+2,MONTH(GN150),DAY(GN150)-1)</f>
        <v>46362</v>
      </c>
      <c r="GP150" s="65">
        <f t="shared" ca="1" si="511"/>
        <v>231</v>
      </c>
      <c r="GQ150" s="15" t="str">
        <f t="shared" ca="1" si="512"/>
        <v>VIGENTE</v>
      </c>
      <c r="GR150" s="14">
        <v>44571</v>
      </c>
      <c r="GS150" s="14">
        <v>45299</v>
      </c>
      <c r="GT150" s="14">
        <f t="shared" si="513"/>
        <v>47126</v>
      </c>
      <c r="GU150" s="65">
        <f t="shared" ca="1" si="398"/>
        <v>995</v>
      </c>
      <c r="GV150" s="15" t="str">
        <f t="shared" ca="1" si="411"/>
        <v>VIGENTE</v>
      </c>
      <c r="GW150" s="13">
        <v>44571</v>
      </c>
      <c r="GX150" s="14">
        <v>45195</v>
      </c>
      <c r="GY150" s="14">
        <f t="shared" si="514"/>
        <v>47022</v>
      </c>
      <c r="GZ150" s="65">
        <f t="shared" ca="1" si="515"/>
        <v>891</v>
      </c>
      <c r="HA150" s="15" t="str">
        <f t="shared" ca="1" si="418"/>
        <v>VIGENTE</v>
      </c>
      <c r="HB150" s="13">
        <v>44565</v>
      </c>
      <c r="HC150" s="14">
        <v>45258</v>
      </c>
      <c r="HD150" s="14">
        <f t="shared" si="516"/>
        <v>47085</v>
      </c>
      <c r="HE150" s="65">
        <f t="shared" ca="1" si="517"/>
        <v>954</v>
      </c>
      <c r="HF150" s="15" t="str">
        <f t="shared" ca="1" si="413"/>
        <v>VIGENTE</v>
      </c>
      <c r="HG150" s="16"/>
      <c r="HH150" s="14">
        <v>44879</v>
      </c>
      <c r="HI150" s="14">
        <f t="shared" si="569"/>
        <v>46705</v>
      </c>
      <c r="HJ150" s="65">
        <f t="shared" ca="1" si="570"/>
        <v>574</v>
      </c>
      <c r="HK150" s="15" t="str">
        <f t="shared" ca="1" si="419"/>
        <v>VIGENTE</v>
      </c>
      <c r="HL150" s="12"/>
      <c r="HM150" s="16"/>
      <c r="HN150" s="14"/>
      <c r="HO150" s="65"/>
      <c r="HP150" s="15" t="str">
        <f t="shared" si="437"/>
        <v>NO APLICA</v>
      </c>
      <c r="HQ150" s="12"/>
      <c r="HR150" s="12"/>
      <c r="HS150" s="14"/>
      <c r="HT150" s="12"/>
      <c r="HU150" s="15" t="str">
        <f t="shared" si="518"/>
        <v>NO APLICA</v>
      </c>
      <c r="HV150" s="13">
        <v>44589</v>
      </c>
      <c r="HW150" s="14">
        <v>45306</v>
      </c>
      <c r="HX150" s="14">
        <f>DATE(YEAR(HW150)+5,MONTH(HW150),DAY(HW150))</f>
        <v>47133</v>
      </c>
      <c r="HY150" s="65">
        <f ca="1">HX150-TODAY()</f>
        <v>1002</v>
      </c>
      <c r="HZ150" s="15" t="str">
        <f t="shared" ca="1" si="519"/>
        <v>VIGENTE</v>
      </c>
      <c r="IA150" s="13">
        <v>44765</v>
      </c>
      <c r="IB150" s="14">
        <v>45475</v>
      </c>
      <c r="IC150" s="14">
        <f>DATE(YEAR(IB150)+5,MONTH(IB150),DAY(IB150))</f>
        <v>47301</v>
      </c>
      <c r="ID150" s="65">
        <f ca="1">IC150-TODAY()</f>
        <v>1170</v>
      </c>
      <c r="IE150" s="15" t="str">
        <f t="shared" ca="1" si="520"/>
        <v>VIGENTE</v>
      </c>
      <c r="IF150" s="12"/>
      <c r="IG150" s="14">
        <v>45024</v>
      </c>
      <c r="IH150" s="14">
        <f>DATE(YEAR(IG150)+5,MONTH(IG150),DAY(IG150))</f>
        <v>46851</v>
      </c>
      <c r="II150" s="65">
        <f ca="1">IH150-TODAY()</f>
        <v>720</v>
      </c>
      <c r="IJ150" s="15" t="str">
        <f t="shared" ca="1" si="521"/>
        <v>VIGENTE</v>
      </c>
      <c r="IK150" s="14">
        <v>44785</v>
      </c>
      <c r="IL150" s="14">
        <v>45455</v>
      </c>
      <c r="IM150" s="14">
        <f>DATE(YEAR(IL150)+5,MONTH(IL150),DAY(IL150))</f>
        <v>47281</v>
      </c>
      <c r="IN150" s="65">
        <f ca="1">IM150-TODAY()</f>
        <v>1150</v>
      </c>
      <c r="IO150" s="15" t="str">
        <f t="shared" ca="1" si="522"/>
        <v>VIGENTE</v>
      </c>
      <c r="IP150" s="13">
        <v>44785</v>
      </c>
      <c r="IQ150" s="14">
        <v>45460</v>
      </c>
      <c r="IR150" s="14">
        <f>DATE(YEAR(IQ150)+5,MONTH(IQ150),DAY(IQ150))</f>
        <v>47286</v>
      </c>
      <c r="IS150" s="65">
        <f ca="1">IR150-TODAY()</f>
        <v>1155</v>
      </c>
      <c r="IT150" s="15" t="str">
        <f t="shared" ca="1" si="523"/>
        <v>VIGENTE</v>
      </c>
      <c r="IU150" s="13">
        <v>44567</v>
      </c>
      <c r="IV150" s="14">
        <v>45240</v>
      </c>
      <c r="IW150" s="14">
        <f>DATE(YEAR(IV150)+5,MONTH(IV150),DAY(IV150))</f>
        <v>47067</v>
      </c>
      <c r="IX150" s="65">
        <f ca="1">IW150-TODAY()</f>
        <v>936</v>
      </c>
      <c r="IY150" s="15" t="str">
        <f t="shared" ca="1" si="524"/>
        <v>VIGENTE</v>
      </c>
      <c r="IZ150" s="13">
        <v>44589</v>
      </c>
      <c r="JA150" s="14">
        <v>45289</v>
      </c>
      <c r="JB150" s="14">
        <f>DATE(YEAR(JA150)+5,MONTH(JA150),DAY(JA150))</f>
        <v>47116</v>
      </c>
      <c r="JC150" s="65">
        <f ca="1">JB150-TODAY()</f>
        <v>985</v>
      </c>
      <c r="JD150" s="15" t="str">
        <f t="shared" ca="1" si="525"/>
        <v>VIGENTE</v>
      </c>
      <c r="JE150" s="13"/>
      <c r="JF150" s="13"/>
      <c r="JG150" s="14"/>
      <c r="JH150" s="65"/>
      <c r="JI150" s="15" t="str">
        <f t="shared" si="526"/>
        <v>NO APLICA</v>
      </c>
      <c r="JJ150" s="16"/>
      <c r="JK150" s="16"/>
      <c r="JL150" s="16"/>
      <c r="JM150" s="15" t="str">
        <f t="shared" si="527"/>
        <v>NO APLICA</v>
      </c>
      <c r="JN150" s="16"/>
      <c r="JO150" s="16"/>
      <c r="JP150" s="16"/>
      <c r="JQ150" s="15" t="str">
        <f t="shared" si="528"/>
        <v>NO APLICA</v>
      </c>
      <c r="JR150" s="16"/>
      <c r="JS150" s="16"/>
      <c r="JT150" s="16"/>
      <c r="JU150" s="16"/>
      <c r="JV150" s="15" t="str">
        <f t="shared" si="529"/>
        <v>NO APLICA</v>
      </c>
      <c r="JW150" s="15"/>
      <c r="JX150" s="15"/>
      <c r="JY150" s="15"/>
      <c r="JZ150" s="15"/>
      <c r="KA150" s="15" t="str">
        <f t="shared" si="530"/>
        <v>NO APLICA</v>
      </c>
      <c r="KB150" s="12"/>
      <c r="KC150" s="14"/>
      <c r="KD150" s="65"/>
      <c r="KE150" s="15" t="str">
        <f t="shared" si="531"/>
        <v>NO APLICA</v>
      </c>
      <c r="KF150" s="13">
        <v>45328</v>
      </c>
      <c r="KG150" s="14">
        <f>DATE(YEAR(KF150)+5,MONTH(KF150),DAY(KF150)-1)</f>
        <v>47154</v>
      </c>
      <c r="KH150" s="65">
        <f ca="1">KG150-TODAY()</f>
        <v>1023</v>
      </c>
      <c r="KI150" s="15" t="str">
        <f t="shared" ca="1" si="547"/>
        <v>VIGENTE</v>
      </c>
      <c r="KJ150" s="12"/>
      <c r="KK150" s="14"/>
      <c r="KL150" s="65"/>
      <c r="KM150" s="15" t="str">
        <f t="shared" si="532"/>
        <v>NO APLICA</v>
      </c>
      <c r="KN150" s="12"/>
      <c r="KO150" s="14"/>
      <c r="KP150" s="65"/>
      <c r="KQ150" s="15" t="str">
        <f t="shared" si="548"/>
        <v>NO APLICA</v>
      </c>
      <c r="KR150" s="13">
        <v>44650</v>
      </c>
      <c r="KS150" s="14">
        <v>44651</v>
      </c>
      <c r="KT150" s="14">
        <f>DATE(YEAR(KS150)+5,MONTH(KS150),DAY(KS150))</f>
        <v>46477</v>
      </c>
      <c r="KU150" s="65">
        <f ca="1">KT150-TODAY()</f>
        <v>346</v>
      </c>
      <c r="KV150" s="15" t="str">
        <f t="shared" ca="1" si="554"/>
        <v>VIGENTE</v>
      </c>
      <c r="KW150" s="16"/>
      <c r="KX150" s="14"/>
      <c r="KY150" s="65"/>
      <c r="KZ150" s="15" t="str">
        <f t="shared" si="549"/>
        <v>NO APLICA</v>
      </c>
      <c r="LA150" s="16"/>
      <c r="LB150" s="14">
        <v>45516</v>
      </c>
      <c r="LC150" s="14">
        <f>DATE(YEAR(LB150)+2,MONTH(LB150),DAY(LB150))</f>
        <v>46246</v>
      </c>
      <c r="LD150" s="65">
        <f ca="1">LC150-TODAY()</f>
        <v>115</v>
      </c>
      <c r="LE150" s="15" t="str">
        <f t="shared" ca="1" si="556"/>
        <v>VIGENTE</v>
      </c>
      <c r="LF150" s="15"/>
      <c r="LG150" s="15"/>
      <c r="LH150" s="15"/>
      <c r="LI150" s="15"/>
      <c r="LJ150" s="15" t="str">
        <f t="shared" si="555"/>
        <v>NO APLICA</v>
      </c>
      <c r="LK150" s="12"/>
      <c r="LL150" s="16"/>
      <c r="LM150" s="14"/>
      <c r="LN150" s="65"/>
      <c r="LO150" s="15" t="str">
        <f t="shared" si="550"/>
        <v>NO APLICA</v>
      </c>
      <c r="LP150" s="16"/>
      <c r="LQ150" s="16"/>
      <c r="LR150" s="14"/>
      <c r="LS150" s="65"/>
      <c r="LT150" s="15" t="str">
        <f t="shared" si="551"/>
        <v>NO APLICA</v>
      </c>
      <c r="LU150" s="16"/>
      <c r="LV150" s="16"/>
      <c r="LW150" s="14"/>
      <c r="LX150" s="65"/>
      <c r="LY150" s="15" t="str">
        <f t="shared" si="552"/>
        <v>NO APLICA</v>
      </c>
      <c r="LZ150" s="12"/>
      <c r="MA150" s="12"/>
      <c r="MB150" s="14"/>
      <c r="MC150" s="65"/>
      <c r="MD150" s="15" t="str">
        <f t="shared" si="534"/>
        <v>NO APLICA</v>
      </c>
      <c r="ME150" s="12"/>
      <c r="MF150" s="12"/>
      <c r="MG150" s="14"/>
      <c r="MH150" s="65"/>
      <c r="MI150" s="15" t="str">
        <f t="shared" si="535"/>
        <v>NO APLICA</v>
      </c>
      <c r="MJ150" s="12"/>
      <c r="MK150" s="14"/>
      <c r="ML150" s="65"/>
      <c r="MM150" s="15" t="str">
        <f t="shared" si="536"/>
        <v>NO APLICA</v>
      </c>
      <c r="MN150" s="12"/>
      <c r="MO150" s="14"/>
      <c r="MP150" s="12"/>
      <c r="MQ150" s="15" t="str">
        <f t="shared" si="537"/>
        <v>NO APLICA</v>
      </c>
      <c r="MR150" s="12"/>
      <c r="MS150" s="16"/>
      <c r="MT150" s="14"/>
      <c r="MU150" s="65"/>
      <c r="MV150" s="15" t="str">
        <f t="shared" si="538"/>
        <v>NO APLICA</v>
      </c>
      <c r="MW150" s="12"/>
      <c r="MX150" s="16"/>
      <c r="MY150" s="14"/>
      <c r="MZ150" s="65"/>
      <c r="NA150" s="15" t="str">
        <f t="shared" si="539"/>
        <v>NO APLICA</v>
      </c>
      <c r="NB150" s="12"/>
      <c r="NC150" s="16"/>
      <c r="ND150" s="14"/>
      <c r="NE150" s="65"/>
      <c r="NF150" s="15" t="str">
        <f t="shared" si="540"/>
        <v>NO APLICA</v>
      </c>
      <c r="NG150" s="12"/>
      <c r="NH150" s="12"/>
      <c r="NI150" s="14"/>
      <c r="NJ150" s="12"/>
      <c r="NK150" s="15" t="str">
        <f t="shared" si="541"/>
        <v>NO APLICA</v>
      </c>
      <c r="NL150" s="12"/>
      <c r="NM150" s="12"/>
      <c r="NN150" s="12"/>
      <c r="NO150" s="12"/>
      <c r="NP150" s="15" t="str">
        <f t="shared" si="542"/>
        <v>NO APLICA</v>
      </c>
      <c r="NQ150" s="16"/>
      <c r="NR150" s="16"/>
      <c r="NS150" s="14"/>
      <c r="NT150" s="65"/>
      <c r="NU150" s="15" t="str">
        <f t="shared" si="543"/>
        <v>NO APLICA</v>
      </c>
      <c r="NV150" s="16"/>
      <c r="NW150" s="16"/>
      <c r="NX150" s="16"/>
      <c r="NY150" s="16"/>
      <c r="NZ150" s="15" t="str">
        <f t="shared" si="544"/>
        <v>NO APLICA</v>
      </c>
    </row>
    <row r="151" spans="1:390" ht="15.6" thickTop="1" thickBot="1" x14ac:dyDescent="0.35">
      <c r="A151" s="9">
        <v>302</v>
      </c>
      <c r="B151" s="10" t="s">
        <v>549</v>
      </c>
      <c r="C151" s="21" t="s">
        <v>104</v>
      </c>
      <c r="D151" s="64" t="s">
        <v>131</v>
      </c>
      <c r="E151" s="15"/>
      <c r="F151" s="16"/>
      <c r="G151" s="14"/>
      <c r="H151" s="65"/>
      <c r="I151" s="15" t="str">
        <f t="shared" si="448"/>
        <v>NO APLICA</v>
      </c>
      <c r="J151" s="15"/>
      <c r="K151" s="16"/>
      <c r="L151" s="16"/>
      <c r="M151" s="65"/>
      <c r="N151" s="15" t="str">
        <f t="shared" si="449"/>
        <v>NO APLICA</v>
      </c>
      <c r="O151" s="14">
        <v>45821</v>
      </c>
      <c r="P151" s="14">
        <v>45822</v>
      </c>
      <c r="Q151" s="14">
        <f>DATE(YEAR(P151)+2,MONTH(P151),DAY(P151)-1)</f>
        <v>46551</v>
      </c>
      <c r="R151" s="65">
        <f ca="1">Q151-TODAY()</f>
        <v>420</v>
      </c>
      <c r="S151" s="15" t="str">
        <f t="shared" ca="1" si="545"/>
        <v>VIGENTE</v>
      </c>
      <c r="T151" s="12" t="s">
        <v>550</v>
      </c>
      <c r="U151" s="14">
        <v>45308</v>
      </c>
      <c r="V151" s="14">
        <v>45309</v>
      </c>
      <c r="W151" s="14">
        <f t="shared" si="401"/>
        <v>47136</v>
      </c>
      <c r="X151" s="65">
        <f t="shared" ca="1" si="402"/>
        <v>1005</v>
      </c>
      <c r="Y151" s="15" t="str">
        <f t="shared" ca="1" si="403"/>
        <v>VIGENTE</v>
      </c>
      <c r="Z151" s="12" t="s">
        <v>551</v>
      </c>
      <c r="AA151" s="14">
        <v>44578</v>
      </c>
      <c r="AB151" s="14">
        <v>44579</v>
      </c>
      <c r="AC151" s="14">
        <f t="shared" si="567"/>
        <v>46405</v>
      </c>
      <c r="AD151" s="65">
        <f t="shared" ca="1" si="568"/>
        <v>274</v>
      </c>
      <c r="AE151" s="15" t="str">
        <f t="shared" ca="1" si="553"/>
        <v>VIGENTE</v>
      </c>
      <c r="AF151" s="13">
        <v>44939</v>
      </c>
      <c r="AG151" s="13">
        <v>45589</v>
      </c>
      <c r="AH151" s="14">
        <f>DATE(YEAR(AG151)+2,MONTH(AG151),DAY(AG151)-1)</f>
        <v>46318</v>
      </c>
      <c r="AI151" s="65">
        <f t="shared" ca="1" si="450"/>
        <v>187</v>
      </c>
      <c r="AJ151" s="15" t="str">
        <f t="shared" ca="1" si="399"/>
        <v>VIGENTE</v>
      </c>
      <c r="AK151" s="13">
        <v>44627</v>
      </c>
      <c r="AL151" s="14">
        <v>45937</v>
      </c>
      <c r="AM151" s="14">
        <f t="shared" si="561"/>
        <v>46667</v>
      </c>
      <c r="AN151" s="65">
        <f t="shared" ca="1" si="451"/>
        <v>536</v>
      </c>
      <c r="AO151" s="15" t="str">
        <f t="shared" ca="1" si="452"/>
        <v>VIGENTE</v>
      </c>
      <c r="AP151" s="13">
        <v>45258</v>
      </c>
      <c r="AQ151" s="14">
        <v>45904</v>
      </c>
      <c r="AR151" s="14">
        <f t="shared" si="557"/>
        <v>46634</v>
      </c>
      <c r="AS151" s="65">
        <f t="shared" ca="1" si="453"/>
        <v>503</v>
      </c>
      <c r="AT151" s="15" t="str">
        <f t="shared" ca="1" si="454"/>
        <v>VIGENTE</v>
      </c>
      <c r="AU151" s="13">
        <v>45323</v>
      </c>
      <c r="AV151" s="14">
        <v>45972</v>
      </c>
      <c r="AW151" s="14">
        <f t="shared" si="558"/>
        <v>46702</v>
      </c>
      <c r="AX151" s="65">
        <f t="shared" ca="1" si="455"/>
        <v>571</v>
      </c>
      <c r="AY151" s="15" t="str">
        <f t="shared" ca="1" si="456"/>
        <v>VIGENTE</v>
      </c>
      <c r="AZ151" s="13">
        <v>44732</v>
      </c>
      <c r="BA151" s="14">
        <v>46041</v>
      </c>
      <c r="BB151" s="14">
        <f>DATE(YEAR(BA151)+2,MONTH(BA151),DAY(BA151))</f>
        <v>46771</v>
      </c>
      <c r="BC151" s="65">
        <f t="shared" ca="1" si="457"/>
        <v>640</v>
      </c>
      <c r="BD151" s="15" t="str">
        <f t="shared" ca="1" si="458"/>
        <v>VIGENTE</v>
      </c>
      <c r="BE151" s="13">
        <v>45382</v>
      </c>
      <c r="BF151" s="14">
        <v>46027</v>
      </c>
      <c r="BG151" s="14">
        <f t="shared" ref="BG151:BG156" si="571">DATE(YEAR(BF151)+2,MONTH(BF151),DAY(BF151))</f>
        <v>46757</v>
      </c>
      <c r="BH151" s="65">
        <f t="shared" ca="1" si="459"/>
        <v>626</v>
      </c>
      <c r="BI151" s="15" t="str">
        <f t="shared" ca="1" si="460"/>
        <v>VIGENTE</v>
      </c>
      <c r="BJ151" s="13">
        <v>44726</v>
      </c>
      <c r="BK151" s="14">
        <v>46051</v>
      </c>
      <c r="BL151" s="14">
        <f>DATE(YEAR(BK151)+2,MONTH(BK151),DAY(BK151))</f>
        <v>46781</v>
      </c>
      <c r="BM151" s="65">
        <f t="shared" ca="1" si="461"/>
        <v>650</v>
      </c>
      <c r="BN151" s="15" t="str">
        <f t="shared" ca="1" si="462"/>
        <v>VIGENTE</v>
      </c>
      <c r="BO151" s="13">
        <v>44753</v>
      </c>
      <c r="BP151" s="14">
        <v>46069</v>
      </c>
      <c r="BQ151" s="14">
        <f>DATE(YEAR(BP151)+2,MONTH(BP151),DAY(BP151))</f>
        <v>46799</v>
      </c>
      <c r="BR151" s="65">
        <f t="shared" ca="1" si="463"/>
        <v>668</v>
      </c>
      <c r="BS151" s="15" t="str">
        <f t="shared" ca="1" si="464"/>
        <v>VIGENTE</v>
      </c>
      <c r="BT151" s="13">
        <v>44736</v>
      </c>
      <c r="BU151" s="14">
        <v>46063</v>
      </c>
      <c r="BV151" s="14">
        <f>DATE(YEAR(BU151)+2,MONTH(BU151),DAY(BU151))</f>
        <v>46793</v>
      </c>
      <c r="BW151" s="65">
        <f t="shared" ca="1" si="465"/>
        <v>662</v>
      </c>
      <c r="BX151" s="15" t="str">
        <f t="shared" ca="1" si="466"/>
        <v>VIGENTE</v>
      </c>
      <c r="BY151" s="13">
        <v>44629</v>
      </c>
      <c r="BZ151" s="14">
        <v>45944</v>
      </c>
      <c r="CA151" s="14">
        <f t="shared" si="563"/>
        <v>46674</v>
      </c>
      <c r="CB151" s="65">
        <f t="shared" ca="1" si="467"/>
        <v>543</v>
      </c>
      <c r="CC151" s="15" t="str">
        <f t="shared" ca="1" si="468"/>
        <v>VIGENTE</v>
      </c>
      <c r="CD151" s="16" t="s">
        <v>108</v>
      </c>
      <c r="CE151" s="14">
        <v>45246</v>
      </c>
      <c r="CF151" s="14">
        <v>45247</v>
      </c>
      <c r="CG151" s="14">
        <f t="shared" si="408"/>
        <v>46708</v>
      </c>
      <c r="CH151" s="65">
        <f t="shared" ca="1" si="409"/>
        <v>577</v>
      </c>
      <c r="CI151" s="15" t="str">
        <f t="shared" ca="1" si="562"/>
        <v>VIGENTE</v>
      </c>
      <c r="CJ151" s="14">
        <v>45238</v>
      </c>
      <c r="CK151" s="14">
        <v>45895</v>
      </c>
      <c r="CL151" s="14">
        <f>DATE(YEAR(CK151)+2,MONTH(CK151),DAY(CK151))</f>
        <v>46625</v>
      </c>
      <c r="CM151" s="65">
        <f t="shared" ca="1" si="469"/>
        <v>494</v>
      </c>
      <c r="CN151" s="15" t="str">
        <f t="shared" ca="1" si="470"/>
        <v>VIGENTE</v>
      </c>
      <c r="CO151" s="13">
        <v>44900</v>
      </c>
      <c r="CP151" s="14">
        <v>45517</v>
      </c>
      <c r="CQ151" s="14">
        <f>DATE(YEAR(CP151)+2,MONTH(CP151),DAY(CP151)-1)</f>
        <v>46246</v>
      </c>
      <c r="CR151" s="65">
        <f t="shared" ca="1" si="471"/>
        <v>115</v>
      </c>
      <c r="CS151" s="15" t="str">
        <f t="shared" ca="1" si="472"/>
        <v>VIGENTE</v>
      </c>
      <c r="CT151" s="13">
        <v>44967</v>
      </c>
      <c r="CU151" s="14">
        <v>45631</v>
      </c>
      <c r="CV151" s="14">
        <f>DATE(YEAR(CU151)+2,MONTH(CU151),DAY(CU151)-1)</f>
        <v>46360</v>
      </c>
      <c r="CW151" s="65">
        <f t="shared" ca="1" si="473"/>
        <v>229</v>
      </c>
      <c r="CX151" s="15" t="str">
        <f t="shared" ca="1" si="474"/>
        <v>VIGENTE</v>
      </c>
      <c r="CY151" s="13">
        <v>45087</v>
      </c>
      <c r="CZ151" s="14">
        <v>45744</v>
      </c>
      <c r="DA151" s="14">
        <f>DATE(YEAR(CZ151)+2,MONTH(CZ151),DAY(CZ151)-1)</f>
        <v>46473</v>
      </c>
      <c r="DB151" s="65">
        <f t="shared" ca="1" si="475"/>
        <v>342</v>
      </c>
      <c r="DC151" s="15" t="str">
        <f t="shared" ca="1" si="476"/>
        <v>VIGENTE</v>
      </c>
      <c r="DD151" s="13">
        <v>45026</v>
      </c>
      <c r="DE151" s="14">
        <v>45689</v>
      </c>
      <c r="DF151" s="14">
        <f>DATE(YEAR(DE151)+2,MONTH(DE151),DAY(DE151)-1)</f>
        <v>46418</v>
      </c>
      <c r="DG151" s="65">
        <f t="shared" ca="1" si="477"/>
        <v>287</v>
      </c>
      <c r="DH151" s="15" t="str">
        <f t="shared" ca="1" si="478"/>
        <v>VIGENTE</v>
      </c>
      <c r="DI151" s="13">
        <v>45027</v>
      </c>
      <c r="DJ151" s="14">
        <v>45696</v>
      </c>
      <c r="DK151" s="14">
        <f>DATE(YEAR(DJ151)+2,MONTH(DJ151),DAY(DJ151)-1)</f>
        <v>46425</v>
      </c>
      <c r="DL151" s="65">
        <f t="shared" ca="1" si="479"/>
        <v>294</v>
      </c>
      <c r="DM151" s="15" t="str">
        <f t="shared" ca="1" si="480"/>
        <v>VIGENTE</v>
      </c>
      <c r="DN151" s="13">
        <v>38011</v>
      </c>
      <c r="DO151" s="14">
        <v>45982</v>
      </c>
      <c r="DP151" s="14">
        <f>DATE(YEAR(DO151)+2,MONTH(DO151),DAY(DO151))</f>
        <v>46712</v>
      </c>
      <c r="DQ151" s="65">
        <f t="shared" ca="1" si="481"/>
        <v>581</v>
      </c>
      <c r="DR151" s="15" t="str">
        <f t="shared" ca="1" si="482"/>
        <v>VIGENTE</v>
      </c>
      <c r="DS151" s="13">
        <v>44734</v>
      </c>
      <c r="DT151" s="14">
        <v>46072</v>
      </c>
      <c r="DU151" s="14">
        <f>DATE(YEAR(DT151)+2,MONTH(DT151),DAY(DT151))</f>
        <v>46802</v>
      </c>
      <c r="DV151" s="65">
        <f t="shared" ca="1" si="483"/>
        <v>671</v>
      </c>
      <c r="DW151" s="15" t="str">
        <f t="shared" ca="1" si="484"/>
        <v>VIGENTE</v>
      </c>
      <c r="DX151" s="13">
        <v>45017</v>
      </c>
      <c r="DY151" s="14">
        <v>45682</v>
      </c>
      <c r="DZ151" s="14">
        <f>DATE(YEAR(DY151)+2,MONTH(DY151),DAY(DY151)-1)</f>
        <v>46411</v>
      </c>
      <c r="EA151" s="65">
        <f t="shared" ca="1" si="485"/>
        <v>280</v>
      </c>
      <c r="EB151" s="15" t="str">
        <f t="shared" ca="1" si="486"/>
        <v>VIGENTE</v>
      </c>
      <c r="EC151" s="13">
        <v>45051</v>
      </c>
      <c r="ED151" s="14">
        <v>45674</v>
      </c>
      <c r="EE151" s="14">
        <f>DATE(YEAR(ED151)+2,MONTH(ED151),DAY(ED151)-1)</f>
        <v>46403</v>
      </c>
      <c r="EF151" s="65">
        <f t="shared" ca="1" si="487"/>
        <v>272</v>
      </c>
      <c r="EG151" s="15" t="str">
        <f t="shared" ca="1" si="488"/>
        <v>VIGENTE</v>
      </c>
      <c r="EH151" s="13">
        <v>45675</v>
      </c>
      <c r="EI151" s="13">
        <v>45810</v>
      </c>
      <c r="EJ151" s="13">
        <v>45811</v>
      </c>
      <c r="EK151" s="14">
        <v>45812</v>
      </c>
      <c r="EL151" s="14">
        <f t="shared" si="546"/>
        <v>46177</v>
      </c>
      <c r="EM151" s="65">
        <f t="shared" ca="1" si="489"/>
        <v>46</v>
      </c>
      <c r="EN151" s="15" t="str">
        <f t="shared" ca="1" si="490"/>
        <v>POR VENCER</v>
      </c>
      <c r="EO151" s="13">
        <v>45042</v>
      </c>
      <c r="EP151" s="14">
        <v>45671</v>
      </c>
      <c r="EQ151" s="14">
        <f>DATE(YEAR(EP151)+2,MONTH(EP151),DAY(EP151)-1)</f>
        <v>46400</v>
      </c>
      <c r="ER151" s="65">
        <f t="shared" ca="1" si="491"/>
        <v>269</v>
      </c>
      <c r="ES151" s="15" t="str">
        <f t="shared" ca="1" si="492"/>
        <v>VIGENTE</v>
      </c>
      <c r="ET151" s="13">
        <v>45411</v>
      </c>
      <c r="EU151" s="14">
        <v>46042</v>
      </c>
      <c r="EV151" s="14">
        <f>DATE(YEAR(EU151)+2,MONTH(EU151),DAY(EU151))</f>
        <v>46772</v>
      </c>
      <c r="EW151" s="65">
        <f t="shared" ca="1" si="493"/>
        <v>641</v>
      </c>
      <c r="EX151" s="15" t="str">
        <f t="shared" ca="1" si="494"/>
        <v>VIGENTE</v>
      </c>
      <c r="EY151" s="13">
        <v>44630</v>
      </c>
      <c r="EZ151" s="14">
        <v>45953</v>
      </c>
      <c r="FA151" s="14">
        <f t="shared" si="564"/>
        <v>46683</v>
      </c>
      <c r="FB151" s="65">
        <f t="shared" ca="1" si="495"/>
        <v>552</v>
      </c>
      <c r="FC151" s="15" t="str">
        <f t="shared" ca="1" si="496"/>
        <v>VIGENTE</v>
      </c>
      <c r="FD151" s="13">
        <v>45223</v>
      </c>
      <c r="FE151" s="14">
        <v>45922</v>
      </c>
      <c r="FF151" s="14">
        <f t="shared" si="565"/>
        <v>46652</v>
      </c>
      <c r="FG151" s="65">
        <f t="shared" ca="1" si="497"/>
        <v>521</v>
      </c>
      <c r="FH151" s="15" t="str">
        <f t="shared" ca="1" si="498"/>
        <v>VIGENTE</v>
      </c>
      <c r="FI151" s="13">
        <v>45248</v>
      </c>
      <c r="FJ151" s="14">
        <v>45919</v>
      </c>
      <c r="FK151" s="14">
        <f t="shared" si="566"/>
        <v>46649</v>
      </c>
      <c r="FL151" s="65">
        <f t="shared" ca="1" si="499"/>
        <v>518</v>
      </c>
      <c r="FM151" s="15" t="str">
        <f t="shared" ca="1" si="500"/>
        <v>VIGENTE</v>
      </c>
      <c r="FN151" s="13">
        <v>45023</v>
      </c>
      <c r="FO151" s="14">
        <v>45670</v>
      </c>
      <c r="FP151" s="14">
        <f>DATE(YEAR(FO151)+2,MONTH(FO151),DAY(FO151)-1)</f>
        <v>46399</v>
      </c>
      <c r="FQ151" s="65">
        <f t="shared" ca="1" si="501"/>
        <v>268</v>
      </c>
      <c r="FR151" s="15" t="str">
        <f t="shared" ca="1" si="502"/>
        <v>VIGENTE</v>
      </c>
      <c r="FS151" s="13">
        <v>45041</v>
      </c>
      <c r="FT151" s="14">
        <v>45678</v>
      </c>
      <c r="FU151" s="14">
        <f>DATE(YEAR(FT151)+2,MONTH(FT151),DAY(FT151)-1)</f>
        <v>46407</v>
      </c>
      <c r="FV151" s="65">
        <f t="shared" ca="1" si="503"/>
        <v>276</v>
      </c>
      <c r="FW151" s="15" t="str">
        <f t="shared" ca="1" si="504"/>
        <v>VIGENTE</v>
      </c>
      <c r="FX151" s="14">
        <v>44938</v>
      </c>
      <c r="FY151" s="14">
        <v>45574</v>
      </c>
      <c r="FZ151" s="14">
        <f>DATE(YEAR(FY151)+2,MONTH(FY151),DAY(FY151)-1)</f>
        <v>46303</v>
      </c>
      <c r="GA151" s="65">
        <f t="shared" ca="1" si="505"/>
        <v>172</v>
      </c>
      <c r="GB151" s="15" t="str">
        <f t="shared" ca="1" si="506"/>
        <v>VIGENTE</v>
      </c>
      <c r="GC151" s="13">
        <v>45396</v>
      </c>
      <c r="GD151" s="14">
        <v>46030</v>
      </c>
      <c r="GE151" s="14">
        <f>DATE(YEAR(GD151)+2,MONTH(GD151),DAY(GD151))</f>
        <v>46760</v>
      </c>
      <c r="GF151" s="65">
        <f t="shared" ca="1" si="507"/>
        <v>629</v>
      </c>
      <c r="GG151" s="15" t="str">
        <f t="shared" ca="1" si="508"/>
        <v>VIGENTE</v>
      </c>
      <c r="GH151" s="13">
        <v>45034</v>
      </c>
      <c r="GI151" s="14">
        <v>45672</v>
      </c>
      <c r="GJ151" s="14">
        <f>DATE(YEAR(GI151)+2,MONTH(GI151),DAY(GI151)-1)</f>
        <v>46401</v>
      </c>
      <c r="GK151" s="65">
        <f t="shared" ca="1" si="509"/>
        <v>270</v>
      </c>
      <c r="GL151" s="15" t="str">
        <f t="shared" ca="1" si="510"/>
        <v>VIGENTE</v>
      </c>
      <c r="GM151" s="13">
        <v>45191</v>
      </c>
      <c r="GN151" s="14">
        <v>45848</v>
      </c>
      <c r="GO151" s="14">
        <f>DATE(YEAR(GN151)+2,MONTH(GN151),DAY(GN151))</f>
        <v>46578</v>
      </c>
      <c r="GP151" s="65">
        <f t="shared" ca="1" si="511"/>
        <v>447</v>
      </c>
      <c r="GQ151" s="15" t="str">
        <f t="shared" ca="1" si="512"/>
        <v>VIGENTE</v>
      </c>
      <c r="GR151" s="14">
        <v>44571</v>
      </c>
      <c r="GS151" s="14">
        <v>45219</v>
      </c>
      <c r="GT151" s="14">
        <f t="shared" si="513"/>
        <v>47046</v>
      </c>
      <c r="GU151" s="65">
        <f t="shared" ca="1" si="398"/>
        <v>915</v>
      </c>
      <c r="GV151" s="15" t="str">
        <f t="shared" ca="1" si="411"/>
        <v>VIGENTE</v>
      </c>
      <c r="GW151" s="13">
        <v>44571</v>
      </c>
      <c r="GX151" s="14">
        <v>45200</v>
      </c>
      <c r="GY151" s="14">
        <f t="shared" si="514"/>
        <v>47027</v>
      </c>
      <c r="GZ151" s="65">
        <f t="shared" ca="1" si="515"/>
        <v>896</v>
      </c>
      <c r="HA151" s="15" t="str">
        <f t="shared" ca="1" si="418"/>
        <v>VIGENTE</v>
      </c>
      <c r="HB151" s="13">
        <v>44565</v>
      </c>
      <c r="HC151" s="14">
        <v>45251</v>
      </c>
      <c r="HD151" s="14">
        <f t="shared" si="516"/>
        <v>47078</v>
      </c>
      <c r="HE151" s="65">
        <f t="shared" ca="1" si="517"/>
        <v>947</v>
      </c>
      <c r="HF151" s="15" t="str">
        <f t="shared" ca="1" si="413"/>
        <v>VIGENTE</v>
      </c>
      <c r="HG151" s="16"/>
      <c r="HH151" s="14">
        <v>45020</v>
      </c>
      <c r="HI151" s="14">
        <f t="shared" si="569"/>
        <v>46847</v>
      </c>
      <c r="HJ151" s="65">
        <f t="shared" ca="1" si="570"/>
        <v>716</v>
      </c>
      <c r="HK151" s="15" t="str">
        <f t="shared" ca="1" si="419"/>
        <v>VIGENTE</v>
      </c>
      <c r="HL151" s="12"/>
      <c r="HM151" s="14">
        <v>45341</v>
      </c>
      <c r="HN151" s="14">
        <f>DATE(YEAR(HM151)+5,MONTH(HM151),DAY(HM151))</f>
        <v>47168</v>
      </c>
      <c r="HO151" s="65">
        <f ca="1">HN151-TODAY()</f>
        <v>1037</v>
      </c>
      <c r="HP151" s="15" t="str">
        <f t="shared" ca="1" si="437"/>
        <v>VIGENTE</v>
      </c>
      <c r="HQ151" s="13">
        <v>45386</v>
      </c>
      <c r="HR151" s="13">
        <v>45698</v>
      </c>
      <c r="HS151" s="14">
        <f>DATE(YEAR(HR151)+5,MONTH(HR151),DAY(HR151))</f>
        <v>47524</v>
      </c>
      <c r="HT151" s="65">
        <f ca="1">HS151-TODAY()</f>
        <v>1393</v>
      </c>
      <c r="HU151" s="15" t="str">
        <f t="shared" ca="1" si="518"/>
        <v>VIGENTE</v>
      </c>
      <c r="HV151" s="13">
        <v>44782</v>
      </c>
      <c r="HW151" s="14">
        <v>45469</v>
      </c>
      <c r="HX151" s="14">
        <f>DATE(YEAR(HW151)+5,MONTH(HW151),DAY(HW151))</f>
        <v>47295</v>
      </c>
      <c r="HY151" s="65">
        <f ca="1">HX151-TODAY()</f>
        <v>1164</v>
      </c>
      <c r="HZ151" s="15" t="str">
        <f t="shared" ca="1" si="519"/>
        <v>VIGENTE</v>
      </c>
      <c r="IA151" s="13">
        <v>44557</v>
      </c>
      <c r="IB151" s="14">
        <v>45234</v>
      </c>
      <c r="IC151" s="14">
        <f>DATE(YEAR(IB151)+5,MONTH(IB151),DAY(IB151))</f>
        <v>47061</v>
      </c>
      <c r="ID151" s="65">
        <f ca="1">IC151-TODAY()</f>
        <v>930</v>
      </c>
      <c r="IE151" s="15" t="str">
        <f t="shared" ca="1" si="520"/>
        <v>VIGENTE</v>
      </c>
      <c r="IF151" s="13">
        <v>44558</v>
      </c>
      <c r="IG151" s="14">
        <v>45192</v>
      </c>
      <c r="IH151" s="14">
        <f>DATE(YEAR(IG151)+5,MONTH(IG151),DAY(IG151))</f>
        <v>47019</v>
      </c>
      <c r="II151" s="65">
        <f ca="1">IH151-TODAY()</f>
        <v>888</v>
      </c>
      <c r="IJ151" s="15" t="str">
        <f t="shared" ca="1" si="521"/>
        <v>VIGENTE</v>
      </c>
      <c r="IK151" s="14">
        <v>44559</v>
      </c>
      <c r="IL151" s="14">
        <v>45237</v>
      </c>
      <c r="IM151" s="14">
        <f>DATE(YEAR(IL151)+5,MONTH(IL151),DAY(IL151))</f>
        <v>47064</v>
      </c>
      <c r="IN151" s="65">
        <f ca="1">IM151-TODAY()</f>
        <v>933</v>
      </c>
      <c r="IO151" s="15" t="str">
        <f t="shared" ca="1" si="522"/>
        <v>VIGENTE</v>
      </c>
      <c r="IP151" s="13">
        <v>44559</v>
      </c>
      <c r="IQ151" s="14">
        <v>45259</v>
      </c>
      <c r="IR151" s="14">
        <f>DATE(YEAR(IQ151)+5,MONTH(IQ151),DAY(IQ151))</f>
        <v>47086</v>
      </c>
      <c r="IS151" s="65">
        <f ca="1">IR151-TODAY()</f>
        <v>955</v>
      </c>
      <c r="IT151" s="15" t="str">
        <f t="shared" ca="1" si="523"/>
        <v>VIGENTE</v>
      </c>
      <c r="IU151" s="13">
        <v>44558</v>
      </c>
      <c r="IV151" s="14">
        <v>45199</v>
      </c>
      <c r="IW151" s="14">
        <f>DATE(YEAR(IV151)+5,MONTH(IV151),DAY(IV151))</f>
        <v>47026</v>
      </c>
      <c r="IX151" s="65">
        <f ca="1">IW151-TODAY()</f>
        <v>895</v>
      </c>
      <c r="IY151" s="15" t="str">
        <f t="shared" ca="1" si="524"/>
        <v>VIGENTE</v>
      </c>
      <c r="IZ151" s="13">
        <v>44557</v>
      </c>
      <c r="JA151" s="14">
        <v>45197</v>
      </c>
      <c r="JB151" s="14">
        <f>DATE(YEAR(JA151)+5,MONTH(JA151),DAY(JA151))</f>
        <v>47024</v>
      </c>
      <c r="JC151" s="65">
        <f ca="1">JB151-TODAY()</f>
        <v>893</v>
      </c>
      <c r="JD151" s="15" t="str">
        <f t="shared" ca="1" si="525"/>
        <v>VIGENTE</v>
      </c>
      <c r="JE151" s="13"/>
      <c r="JF151" s="13"/>
      <c r="JG151" s="14"/>
      <c r="JH151" s="65"/>
      <c r="JI151" s="15" t="str">
        <f t="shared" si="526"/>
        <v>NO APLICA</v>
      </c>
      <c r="JJ151" s="16"/>
      <c r="JK151" s="16"/>
      <c r="JL151" s="16"/>
      <c r="JM151" s="15" t="str">
        <f t="shared" si="527"/>
        <v>NO APLICA</v>
      </c>
      <c r="JN151" s="16"/>
      <c r="JO151" s="16"/>
      <c r="JP151" s="16"/>
      <c r="JQ151" s="15" t="str">
        <f t="shared" si="528"/>
        <v>NO APLICA</v>
      </c>
      <c r="JR151" s="16"/>
      <c r="JS151" s="16"/>
      <c r="JT151" s="16"/>
      <c r="JU151" s="16"/>
      <c r="JV151" s="15" t="str">
        <f t="shared" si="529"/>
        <v>NO APLICA</v>
      </c>
      <c r="JW151" s="15"/>
      <c r="JX151" s="15"/>
      <c r="JY151" s="15"/>
      <c r="JZ151" s="15"/>
      <c r="KA151" s="15" t="str">
        <f t="shared" si="530"/>
        <v>NO APLICA</v>
      </c>
      <c r="KB151" s="15"/>
      <c r="KC151" s="14"/>
      <c r="KD151" s="65"/>
      <c r="KE151" s="15" t="str">
        <f t="shared" si="531"/>
        <v>NO APLICA</v>
      </c>
      <c r="KF151" s="15"/>
      <c r="KG151" s="14"/>
      <c r="KH151" s="65"/>
      <c r="KI151" s="15" t="str">
        <f t="shared" si="547"/>
        <v>NO APLICA</v>
      </c>
      <c r="KJ151" s="15"/>
      <c r="KK151" s="14"/>
      <c r="KL151" s="65"/>
      <c r="KM151" s="15" t="str">
        <f t="shared" si="532"/>
        <v>NO APLICA</v>
      </c>
      <c r="KN151" s="12"/>
      <c r="KO151" s="14"/>
      <c r="KP151" s="65"/>
      <c r="KQ151" s="15" t="str">
        <f t="shared" si="548"/>
        <v>NO APLICA</v>
      </c>
      <c r="KR151" s="13">
        <v>44650</v>
      </c>
      <c r="KS151" s="14">
        <v>44651</v>
      </c>
      <c r="KT151" s="14">
        <f>DATE(YEAR(KS151)+5,MONTH(KS151),DAY(KS151))</f>
        <v>46477</v>
      </c>
      <c r="KU151" s="65">
        <f ca="1">KT151-TODAY()</f>
        <v>346</v>
      </c>
      <c r="KV151" s="15" t="str">
        <f t="shared" ca="1" si="554"/>
        <v>VIGENTE</v>
      </c>
      <c r="KW151" s="16"/>
      <c r="KX151" s="14"/>
      <c r="KY151" s="65"/>
      <c r="KZ151" s="15" t="str">
        <f t="shared" si="549"/>
        <v>NO APLICA</v>
      </c>
      <c r="LA151" s="16"/>
      <c r="LB151" s="16"/>
      <c r="LC151" s="14"/>
      <c r="LD151" s="65"/>
      <c r="LE151" s="15" t="str">
        <f t="shared" si="556"/>
        <v>NO APLICA</v>
      </c>
      <c r="LF151" s="15"/>
      <c r="LG151" s="15"/>
      <c r="LH151" s="14"/>
      <c r="LI151" s="65"/>
      <c r="LJ151" s="15" t="str">
        <f t="shared" si="555"/>
        <v>NO APLICA</v>
      </c>
      <c r="LK151" s="15"/>
      <c r="LL151" s="16"/>
      <c r="LM151" s="14"/>
      <c r="LN151" s="65"/>
      <c r="LO151" s="15" t="str">
        <f t="shared" si="550"/>
        <v>NO APLICA</v>
      </c>
      <c r="LP151" s="16"/>
      <c r="LQ151" s="16"/>
      <c r="LR151" s="14"/>
      <c r="LS151" s="65"/>
      <c r="LT151" s="15" t="str">
        <f t="shared" si="551"/>
        <v>NO APLICA</v>
      </c>
      <c r="LU151" s="16"/>
      <c r="LV151" s="16"/>
      <c r="LW151" s="14"/>
      <c r="LX151" s="65"/>
      <c r="LY151" s="15" t="str">
        <f t="shared" si="552"/>
        <v>NO APLICA</v>
      </c>
      <c r="LZ151" s="15"/>
      <c r="MA151" s="15"/>
      <c r="MB151" s="14"/>
      <c r="MC151" s="65"/>
      <c r="MD151" s="15" t="str">
        <f t="shared" si="534"/>
        <v>NO APLICA</v>
      </c>
      <c r="ME151" s="15"/>
      <c r="MF151" s="15"/>
      <c r="MG151" s="14"/>
      <c r="MH151" s="65"/>
      <c r="MI151" s="15" t="str">
        <f t="shared" si="535"/>
        <v>NO APLICA</v>
      </c>
      <c r="MJ151" s="15"/>
      <c r="MK151" s="14"/>
      <c r="ML151" s="65"/>
      <c r="MM151" s="15" t="str">
        <f t="shared" si="536"/>
        <v>NO APLICA</v>
      </c>
      <c r="MN151" s="15"/>
      <c r="MO151" s="14"/>
      <c r="MP151" s="15"/>
      <c r="MQ151" s="15" t="str">
        <f t="shared" si="537"/>
        <v>NO APLICA</v>
      </c>
      <c r="MR151" s="15"/>
      <c r="MS151" s="16"/>
      <c r="MT151" s="14"/>
      <c r="MU151" s="65"/>
      <c r="MV151" s="15" t="str">
        <f t="shared" si="538"/>
        <v>NO APLICA</v>
      </c>
      <c r="MW151" s="15"/>
      <c r="MX151" s="16"/>
      <c r="MY151" s="14"/>
      <c r="MZ151" s="65"/>
      <c r="NA151" s="15" t="str">
        <f t="shared" si="539"/>
        <v>NO APLICA</v>
      </c>
      <c r="NB151" s="15"/>
      <c r="NC151" s="16"/>
      <c r="ND151" s="14"/>
      <c r="NE151" s="65"/>
      <c r="NF151" s="15" t="str">
        <f t="shared" si="540"/>
        <v>NO APLICA</v>
      </c>
      <c r="NG151" s="15"/>
      <c r="NH151" s="15"/>
      <c r="NI151" s="14"/>
      <c r="NJ151" s="65"/>
      <c r="NK151" s="15" t="str">
        <f t="shared" si="541"/>
        <v>NO APLICA</v>
      </c>
      <c r="NL151" s="15"/>
      <c r="NM151" s="15"/>
      <c r="NN151" s="15"/>
      <c r="NO151" s="15"/>
      <c r="NP151" s="15" t="str">
        <f t="shared" si="542"/>
        <v>NO APLICA</v>
      </c>
      <c r="NQ151" s="16"/>
      <c r="NR151" s="16"/>
      <c r="NS151" s="16"/>
      <c r="NT151" s="16"/>
      <c r="NU151" s="15" t="str">
        <f t="shared" si="543"/>
        <v>NO APLICA</v>
      </c>
      <c r="NV151" s="16"/>
      <c r="NW151" s="16"/>
      <c r="NX151" s="16"/>
      <c r="NY151" s="16"/>
      <c r="NZ151" s="15" t="str">
        <f t="shared" si="544"/>
        <v>NO APLICA</v>
      </c>
    </row>
    <row r="152" spans="1:390" ht="15.6" thickTop="1" thickBot="1" x14ac:dyDescent="0.35">
      <c r="A152" s="9">
        <v>787</v>
      </c>
      <c r="B152" s="10" t="s">
        <v>552</v>
      </c>
      <c r="C152" s="21" t="s">
        <v>151</v>
      </c>
      <c r="D152" s="64" t="s">
        <v>165</v>
      </c>
      <c r="E152" s="13">
        <v>46118</v>
      </c>
      <c r="F152" s="14">
        <v>46119</v>
      </c>
      <c r="G152" s="14">
        <f>DATE(YEAR(F152)+2,MONTH(F152),DAY(F152))</f>
        <v>46850</v>
      </c>
      <c r="H152" s="65">
        <f ca="1">G152-TODAY()</f>
        <v>719</v>
      </c>
      <c r="I152" s="15" t="str">
        <f t="shared" ca="1" si="448"/>
        <v>VIGENTE</v>
      </c>
      <c r="J152" s="12"/>
      <c r="K152" s="16"/>
      <c r="L152" s="16"/>
      <c r="M152" s="65"/>
      <c r="N152" s="15" t="str">
        <f t="shared" si="449"/>
        <v>NO APLICA</v>
      </c>
      <c r="O152" s="16"/>
      <c r="P152" s="16"/>
      <c r="Q152" s="14"/>
      <c r="R152" s="65"/>
      <c r="S152" s="15" t="str">
        <f t="shared" si="545"/>
        <v>NO APLICA</v>
      </c>
      <c r="T152" s="12" t="s">
        <v>553</v>
      </c>
      <c r="U152" s="13">
        <v>45077</v>
      </c>
      <c r="V152" s="14">
        <v>45078</v>
      </c>
      <c r="W152" s="14">
        <f t="shared" si="401"/>
        <v>46905</v>
      </c>
      <c r="X152" s="65">
        <f t="shared" ca="1" si="402"/>
        <v>774</v>
      </c>
      <c r="Y152" s="15" t="str">
        <f t="shared" ca="1" si="403"/>
        <v>VIGENTE</v>
      </c>
      <c r="Z152" s="12"/>
      <c r="AA152" s="12"/>
      <c r="AB152" s="16"/>
      <c r="AC152" s="14"/>
      <c r="AD152" s="65"/>
      <c r="AE152" s="15" t="str">
        <f t="shared" si="553"/>
        <v>NO APLICA</v>
      </c>
      <c r="AF152" s="13">
        <v>45243</v>
      </c>
      <c r="AG152" s="14">
        <v>45902</v>
      </c>
      <c r="AH152" s="14">
        <f>DATE(YEAR(AG152)+2,MONTH(AG152),DAY(AG152))</f>
        <v>46632</v>
      </c>
      <c r="AI152" s="65">
        <f t="shared" ca="1" si="450"/>
        <v>501</v>
      </c>
      <c r="AJ152" s="15" t="str">
        <f t="shared" ca="1" si="399"/>
        <v>VIGENTE</v>
      </c>
      <c r="AK152" s="13">
        <v>45236</v>
      </c>
      <c r="AL152" s="14">
        <v>45903</v>
      </c>
      <c r="AM152" s="14">
        <f t="shared" si="561"/>
        <v>46633</v>
      </c>
      <c r="AN152" s="65">
        <f t="shared" ca="1" si="451"/>
        <v>502</v>
      </c>
      <c r="AO152" s="15" t="str">
        <f t="shared" ca="1" si="452"/>
        <v>VIGENTE</v>
      </c>
      <c r="AP152" s="12">
        <v>45091</v>
      </c>
      <c r="AQ152" s="14">
        <v>45740</v>
      </c>
      <c r="AR152" s="14">
        <f>DATE(YEAR(AQ152)+2,MONTH(AQ152),DAY(AQ152)-1)</f>
        <v>46469</v>
      </c>
      <c r="AS152" s="65">
        <f t="shared" ca="1" si="453"/>
        <v>338</v>
      </c>
      <c r="AT152" s="15" t="str">
        <f t="shared" ca="1" si="454"/>
        <v>VIGENTE</v>
      </c>
      <c r="AU152" s="13">
        <v>45072</v>
      </c>
      <c r="AV152" s="14">
        <v>45702</v>
      </c>
      <c r="AW152" s="14">
        <f>DATE(YEAR(AV152)+2,MONTH(AV152),DAY(AV152)-1)</f>
        <v>46431</v>
      </c>
      <c r="AX152" s="65">
        <f t="shared" ca="1" si="455"/>
        <v>300</v>
      </c>
      <c r="AY152" s="15" t="str">
        <f t="shared" ca="1" si="456"/>
        <v>VIGENTE</v>
      </c>
      <c r="AZ152" s="13">
        <v>45093</v>
      </c>
      <c r="BA152" s="14">
        <v>45742</v>
      </c>
      <c r="BB152" s="14">
        <f>DATE(YEAR(BA152)+2,MONTH(BA152),DAY(BA152)-1)</f>
        <v>46471</v>
      </c>
      <c r="BC152" s="65">
        <f t="shared" ca="1" si="457"/>
        <v>340</v>
      </c>
      <c r="BD152" s="15" t="str">
        <f t="shared" ca="1" si="458"/>
        <v>VIGENTE</v>
      </c>
      <c r="BE152" s="13">
        <v>44688</v>
      </c>
      <c r="BF152" s="14">
        <v>45997</v>
      </c>
      <c r="BG152" s="14">
        <f t="shared" si="571"/>
        <v>46727</v>
      </c>
      <c r="BH152" s="65">
        <f t="shared" ca="1" si="459"/>
        <v>596</v>
      </c>
      <c r="BI152" s="15" t="str">
        <f t="shared" ca="1" si="460"/>
        <v>VIGENTE</v>
      </c>
      <c r="BJ152" s="13">
        <v>44725</v>
      </c>
      <c r="BK152" s="14">
        <v>46051</v>
      </c>
      <c r="BL152" s="14">
        <f>DATE(YEAR(BK152)+2,MONTH(BK152),DAY(BK152))</f>
        <v>46781</v>
      </c>
      <c r="BM152" s="65">
        <f t="shared" ca="1" si="461"/>
        <v>650</v>
      </c>
      <c r="BN152" s="15" t="str">
        <f t="shared" ca="1" si="462"/>
        <v>VIGENTE</v>
      </c>
      <c r="BO152" s="13">
        <v>44750</v>
      </c>
      <c r="BP152" s="14">
        <v>46050</v>
      </c>
      <c r="BQ152" s="14">
        <f>DATE(YEAR(BP152)+2,MONTH(BP152),DAY(BP152))</f>
        <v>46780</v>
      </c>
      <c r="BR152" s="65">
        <f t="shared" ca="1" si="463"/>
        <v>649</v>
      </c>
      <c r="BS152" s="15" t="str">
        <f t="shared" ca="1" si="464"/>
        <v>VIGENTE</v>
      </c>
      <c r="BT152" s="13">
        <v>44953</v>
      </c>
      <c r="BU152" s="14">
        <v>45572</v>
      </c>
      <c r="BV152" s="14">
        <f>DATE(YEAR(BU152)+2,MONTH(BU152),DAY(BU152)-1)</f>
        <v>46301</v>
      </c>
      <c r="BW152" s="65">
        <f t="shared" ca="1" si="465"/>
        <v>170</v>
      </c>
      <c r="BX152" s="15" t="str">
        <f t="shared" ca="1" si="466"/>
        <v>VIGENTE</v>
      </c>
      <c r="BY152" s="13">
        <v>44622</v>
      </c>
      <c r="BZ152" s="14">
        <v>45944</v>
      </c>
      <c r="CA152" s="14">
        <f t="shared" si="563"/>
        <v>46674</v>
      </c>
      <c r="CB152" s="65">
        <f t="shared" ca="1" si="467"/>
        <v>543</v>
      </c>
      <c r="CC152" s="15" t="str">
        <f t="shared" ca="1" si="468"/>
        <v>VIGENTE</v>
      </c>
      <c r="CD152" s="16" t="s">
        <v>102</v>
      </c>
      <c r="CE152" s="14">
        <v>45827</v>
      </c>
      <c r="CF152" s="14">
        <v>45828</v>
      </c>
      <c r="CG152" s="14">
        <f t="shared" si="408"/>
        <v>47289</v>
      </c>
      <c r="CH152" s="65">
        <f t="shared" ca="1" si="409"/>
        <v>1158</v>
      </c>
      <c r="CI152" s="15" t="str">
        <f t="shared" ca="1" si="562"/>
        <v>VIGENTE</v>
      </c>
      <c r="CJ152" s="14">
        <v>44964</v>
      </c>
      <c r="CK152" s="14">
        <v>45688</v>
      </c>
      <c r="CL152" s="14">
        <f>DATE(YEAR(CK152)+2,MONTH(CK152),DAY(CK152)-1)</f>
        <v>46417</v>
      </c>
      <c r="CM152" s="65">
        <f t="shared" ca="1" si="469"/>
        <v>286</v>
      </c>
      <c r="CN152" s="15" t="str">
        <f t="shared" ca="1" si="470"/>
        <v>VIGENTE</v>
      </c>
      <c r="CO152" s="13">
        <v>45087</v>
      </c>
      <c r="CP152" s="14">
        <v>45769</v>
      </c>
      <c r="CQ152" s="14">
        <f>DATE(YEAR(CP152)+2,MONTH(CP152),DAY(CP152))</f>
        <v>46499</v>
      </c>
      <c r="CR152" s="65">
        <f t="shared" ca="1" si="471"/>
        <v>368</v>
      </c>
      <c r="CS152" s="15" t="str">
        <f t="shared" ca="1" si="472"/>
        <v>VIGENTE</v>
      </c>
      <c r="CT152" s="13">
        <v>44692</v>
      </c>
      <c r="CU152" s="14">
        <v>46043</v>
      </c>
      <c r="CV152" s="14">
        <f>DATE(YEAR(CU152)+2,MONTH(CU152),DAY(CU152))</f>
        <v>46773</v>
      </c>
      <c r="CW152" s="65">
        <f t="shared" ca="1" si="473"/>
        <v>642</v>
      </c>
      <c r="CX152" s="15" t="str">
        <f t="shared" ca="1" si="474"/>
        <v>VIGENTE</v>
      </c>
      <c r="CY152" s="13">
        <v>45331</v>
      </c>
      <c r="CZ152" s="14">
        <v>45989</v>
      </c>
      <c r="DA152" s="14">
        <f>DATE(YEAR(CZ152)+2,MONTH(CZ152),DAY(CZ152))</f>
        <v>46719</v>
      </c>
      <c r="DB152" s="65">
        <f t="shared" ca="1" si="475"/>
        <v>588</v>
      </c>
      <c r="DC152" s="15" t="str">
        <f t="shared" ca="1" si="476"/>
        <v>VIGENTE</v>
      </c>
      <c r="DD152" s="13">
        <v>45079</v>
      </c>
      <c r="DE152" s="14">
        <v>45723</v>
      </c>
      <c r="DF152" s="14">
        <f>DATE(YEAR(DE152)+2,MONTH(DE152),DAY(DE152)-1)</f>
        <v>46452</v>
      </c>
      <c r="DG152" s="65">
        <f t="shared" ca="1" si="477"/>
        <v>321</v>
      </c>
      <c r="DH152" s="15" t="str">
        <f t="shared" ca="1" si="478"/>
        <v>VIGENTE</v>
      </c>
      <c r="DI152" s="12">
        <v>45080</v>
      </c>
      <c r="DJ152" s="14">
        <v>45734</v>
      </c>
      <c r="DK152" s="14">
        <f>DATE(YEAR(DJ152)+2,MONTH(DJ152),DAY(DJ152)-1)</f>
        <v>46463</v>
      </c>
      <c r="DL152" s="65">
        <f t="shared" ca="1" si="479"/>
        <v>332</v>
      </c>
      <c r="DM152" s="15" t="str">
        <f t="shared" ca="1" si="480"/>
        <v>VIGENTE</v>
      </c>
      <c r="DN152" s="13">
        <v>45025</v>
      </c>
      <c r="DO152" s="14">
        <v>45731</v>
      </c>
      <c r="DP152" s="14">
        <f>DATE(YEAR(DO152)+2,MONTH(DO152),DAY(DO152)-1)</f>
        <v>46460</v>
      </c>
      <c r="DQ152" s="65">
        <f t="shared" ca="1" si="481"/>
        <v>329</v>
      </c>
      <c r="DR152" s="15" t="str">
        <f t="shared" ca="1" si="482"/>
        <v>VIGENTE</v>
      </c>
      <c r="DS152" s="12">
        <v>45097</v>
      </c>
      <c r="DT152" s="14">
        <v>45743</v>
      </c>
      <c r="DU152" s="14">
        <f>DATE(YEAR(DT152)+2,MONTH(DT152),DAY(DT152)-1)</f>
        <v>46472</v>
      </c>
      <c r="DV152" s="65">
        <f t="shared" ca="1" si="483"/>
        <v>341</v>
      </c>
      <c r="DW152" s="15" t="str">
        <f t="shared" ca="1" si="484"/>
        <v>VIGENTE</v>
      </c>
      <c r="DX152" s="13">
        <v>45064</v>
      </c>
      <c r="DY152" s="14">
        <v>45663</v>
      </c>
      <c r="DZ152" s="14">
        <f>DATE(YEAR(DY152)+2,MONTH(DY152),DAY(DY152)-1)</f>
        <v>46392</v>
      </c>
      <c r="EA152" s="65">
        <f t="shared" ca="1" si="485"/>
        <v>261</v>
      </c>
      <c r="EB152" s="15" t="str">
        <f t="shared" ca="1" si="486"/>
        <v>VIGENTE</v>
      </c>
      <c r="EC152" s="13">
        <v>45070</v>
      </c>
      <c r="ED152" s="14">
        <v>45674</v>
      </c>
      <c r="EE152" s="14">
        <f>DATE(YEAR(ED152)+2,MONTH(ED152),DAY(ED152)-1)</f>
        <v>46403</v>
      </c>
      <c r="EF152" s="65">
        <f t="shared" ca="1" si="487"/>
        <v>272</v>
      </c>
      <c r="EG152" s="15" t="str">
        <f t="shared" ca="1" si="488"/>
        <v>VIGENTE</v>
      </c>
      <c r="EH152" s="13">
        <v>45748</v>
      </c>
      <c r="EI152" s="13">
        <v>46058</v>
      </c>
      <c r="EJ152" s="13">
        <v>46059</v>
      </c>
      <c r="EK152" s="13">
        <v>46060</v>
      </c>
      <c r="EL152" s="14">
        <f t="shared" si="546"/>
        <v>46425</v>
      </c>
      <c r="EM152" s="65">
        <f t="shared" ca="1" si="489"/>
        <v>294</v>
      </c>
      <c r="EN152" s="15" t="str">
        <f t="shared" ca="1" si="490"/>
        <v>VIGENTE</v>
      </c>
      <c r="EO152" s="13">
        <v>45076</v>
      </c>
      <c r="EP152" s="14">
        <v>45705</v>
      </c>
      <c r="EQ152" s="14">
        <f>DATE(YEAR(EP152)+2,MONTH(EP152),DAY(EP152)-1)</f>
        <v>46434</v>
      </c>
      <c r="ER152" s="65">
        <f t="shared" ca="1" si="491"/>
        <v>303</v>
      </c>
      <c r="ES152" s="15" t="str">
        <f t="shared" ca="1" si="492"/>
        <v>VIGENTE</v>
      </c>
      <c r="ET152" s="13">
        <v>44929</v>
      </c>
      <c r="EU152" s="14">
        <v>45623</v>
      </c>
      <c r="EV152" s="14">
        <f>DATE(YEAR(EU152)+2,MONTH(EU152),DAY(EU152)-1)</f>
        <v>46352</v>
      </c>
      <c r="EW152" s="65">
        <f t="shared" ca="1" si="493"/>
        <v>221</v>
      </c>
      <c r="EX152" s="15" t="str">
        <f t="shared" ca="1" si="494"/>
        <v>VIGENTE</v>
      </c>
      <c r="EY152" s="13">
        <v>44623</v>
      </c>
      <c r="EZ152" s="14">
        <v>45917</v>
      </c>
      <c r="FA152" s="14">
        <f t="shared" si="564"/>
        <v>46647</v>
      </c>
      <c r="FB152" s="65">
        <f t="shared" ca="1" si="495"/>
        <v>516</v>
      </c>
      <c r="FC152" s="15" t="str">
        <f t="shared" ca="1" si="496"/>
        <v>VIGENTE</v>
      </c>
      <c r="FD152" s="13">
        <v>44622</v>
      </c>
      <c r="FE152" s="14">
        <v>45988</v>
      </c>
      <c r="FF152" s="14">
        <f t="shared" si="565"/>
        <v>46718</v>
      </c>
      <c r="FG152" s="65">
        <f t="shared" ca="1" si="497"/>
        <v>587</v>
      </c>
      <c r="FH152" s="15" t="str">
        <f t="shared" ca="1" si="498"/>
        <v>VIGENTE</v>
      </c>
      <c r="FI152" s="13">
        <v>45045</v>
      </c>
      <c r="FJ152" s="14">
        <v>45668</v>
      </c>
      <c r="FK152" s="14">
        <f>DATE(YEAR(FJ152)+2,MONTH(FJ152),DAY(FJ152)-1)</f>
        <v>46397</v>
      </c>
      <c r="FL152" s="65">
        <f t="shared" ca="1" si="499"/>
        <v>266</v>
      </c>
      <c r="FM152" s="15" t="str">
        <f t="shared" ca="1" si="500"/>
        <v>VIGENTE</v>
      </c>
      <c r="FN152" s="13">
        <v>45055</v>
      </c>
      <c r="FO152" s="14">
        <v>45670</v>
      </c>
      <c r="FP152" s="14">
        <f>DATE(YEAR(FO152)+2,MONTH(FO152),DAY(FO152)-1)</f>
        <v>46399</v>
      </c>
      <c r="FQ152" s="65">
        <f t="shared" ca="1" si="501"/>
        <v>268</v>
      </c>
      <c r="FR152" s="15" t="str">
        <f t="shared" ca="1" si="502"/>
        <v>VIGENTE</v>
      </c>
      <c r="FS152" s="13">
        <v>45014</v>
      </c>
      <c r="FT152" s="14">
        <v>45664</v>
      </c>
      <c r="FU152" s="14">
        <f>DATE(YEAR(FT152)+2,MONTH(FT152),DAY(FT152)-1)</f>
        <v>46393</v>
      </c>
      <c r="FV152" s="65">
        <f t="shared" ca="1" si="503"/>
        <v>262</v>
      </c>
      <c r="FW152" s="15" t="str">
        <f t="shared" ca="1" si="504"/>
        <v>VIGENTE</v>
      </c>
      <c r="FX152" s="13">
        <v>44623</v>
      </c>
      <c r="FY152" s="14">
        <v>45993</v>
      </c>
      <c r="FZ152" s="14">
        <f>DATE(YEAR(FY152)+2,MONTH(FY152),DAY(FY152))</f>
        <v>46723</v>
      </c>
      <c r="GA152" s="65">
        <f t="shared" ca="1" si="505"/>
        <v>592</v>
      </c>
      <c r="GB152" s="15" t="str">
        <f t="shared" ca="1" si="506"/>
        <v>VIGENTE</v>
      </c>
      <c r="GC152" s="13">
        <v>45088</v>
      </c>
      <c r="GD152" s="14">
        <v>45741</v>
      </c>
      <c r="GE152" s="14">
        <f>DATE(YEAR(GD152)+2,MONTH(GD152),DAY(GD152)-1)</f>
        <v>46470</v>
      </c>
      <c r="GF152" s="65">
        <f t="shared" ca="1" si="507"/>
        <v>339</v>
      </c>
      <c r="GG152" s="15" t="str">
        <f t="shared" ca="1" si="508"/>
        <v>VIGENTE</v>
      </c>
      <c r="GH152" s="13">
        <v>45094</v>
      </c>
      <c r="GI152" s="14">
        <v>45752</v>
      </c>
      <c r="GJ152" s="14">
        <f>DATE(YEAR(GI152)+2,MONTH(GI152),DAY(GI152)-1)</f>
        <v>46481</v>
      </c>
      <c r="GK152" s="65">
        <f t="shared" ca="1" si="509"/>
        <v>350</v>
      </c>
      <c r="GL152" s="15" t="str">
        <f t="shared" ca="1" si="510"/>
        <v>VIGENTE</v>
      </c>
      <c r="GM152" s="13">
        <v>45024</v>
      </c>
      <c r="GN152" s="14">
        <v>45687</v>
      </c>
      <c r="GO152" s="14">
        <f>DATE(YEAR(GN152)+2,MONTH(GN152),DAY(GN152)-1)</f>
        <v>46416</v>
      </c>
      <c r="GP152" s="65">
        <f t="shared" ca="1" si="511"/>
        <v>285</v>
      </c>
      <c r="GQ152" s="15" t="str">
        <f t="shared" ca="1" si="512"/>
        <v>VIGENTE</v>
      </c>
      <c r="GR152" s="14"/>
      <c r="GS152" s="14">
        <v>45048</v>
      </c>
      <c r="GT152" s="14">
        <f t="shared" si="513"/>
        <v>46875</v>
      </c>
      <c r="GU152" s="65">
        <f t="shared" ca="1" si="398"/>
        <v>744</v>
      </c>
      <c r="GV152" s="15" t="str">
        <f t="shared" ca="1" si="411"/>
        <v>VIGENTE</v>
      </c>
      <c r="GW152" s="13"/>
      <c r="GX152" s="14">
        <v>45010</v>
      </c>
      <c r="GY152" s="14">
        <f t="shared" si="514"/>
        <v>46837</v>
      </c>
      <c r="GZ152" s="65">
        <f t="shared" ca="1" si="515"/>
        <v>706</v>
      </c>
      <c r="HA152" s="15" t="str">
        <f t="shared" ca="1" si="418"/>
        <v>VIGENTE</v>
      </c>
      <c r="HB152" s="12"/>
      <c r="HC152" s="14">
        <v>45073</v>
      </c>
      <c r="HD152" s="14">
        <f t="shared" si="516"/>
        <v>46900</v>
      </c>
      <c r="HE152" s="65">
        <f t="shared" ca="1" si="517"/>
        <v>769</v>
      </c>
      <c r="HF152" s="15" t="str">
        <f t="shared" ca="1" si="413"/>
        <v>VIGENTE</v>
      </c>
      <c r="HG152" s="16"/>
      <c r="HH152" s="16"/>
      <c r="HI152" s="14"/>
      <c r="HJ152" s="65"/>
      <c r="HK152" s="15" t="str">
        <f t="shared" si="419"/>
        <v>NO APLICA</v>
      </c>
      <c r="HL152" s="12"/>
      <c r="HM152" s="16"/>
      <c r="HN152" s="14"/>
      <c r="HO152" s="65"/>
      <c r="HP152" s="15" t="str">
        <f t="shared" si="437"/>
        <v>NO APLICA</v>
      </c>
      <c r="HQ152" s="12"/>
      <c r="HR152" s="12"/>
      <c r="HS152" s="14"/>
      <c r="HT152" s="12"/>
      <c r="HU152" s="15" t="str">
        <f t="shared" si="518"/>
        <v>NO APLICA</v>
      </c>
      <c r="HV152" s="12"/>
      <c r="HW152" s="16"/>
      <c r="HX152" s="14"/>
      <c r="HY152" s="65"/>
      <c r="HZ152" s="15" t="str">
        <f t="shared" si="519"/>
        <v>NO APLICA</v>
      </c>
      <c r="IA152" s="12"/>
      <c r="IB152" s="16"/>
      <c r="IC152" s="14"/>
      <c r="ID152" s="65"/>
      <c r="IE152" s="15" t="str">
        <f t="shared" si="520"/>
        <v>NO APLICA</v>
      </c>
      <c r="IF152" s="12"/>
      <c r="IG152" s="16"/>
      <c r="IH152" s="14"/>
      <c r="II152" s="65"/>
      <c r="IJ152" s="15" t="str">
        <f t="shared" si="521"/>
        <v>NO APLICA</v>
      </c>
      <c r="IK152" s="16"/>
      <c r="IL152" s="16"/>
      <c r="IM152" s="14"/>
      <c r="IN152" s="65"/>
      <c r="IO152" s="15" t="str">
        <f t="shared" si="522"/>
        <v>NO APLICA</v>
      </c>
      <c r="IP152" s="12"/>
      <c r="IQ152" s="16"/>
      <c r="IR152" s="14"/>
      <c r="IS152" s="65"/>
      <c r="IT152" s="15" t="str">
        <f t="shared" si="523"/>
        <v>NO APLICA</v>
      </c>
      <c r="IU152" s="12"/>
      <c r="IV152" s="16"/>
      <c r="IW152" s="14"/>
      <c r="IX152" s="65"/>
      <c r="IY152" s="15" t="str">
        <f t="shared" si="524"/>
        <v>NO APLICA</v>
      </c>
      <c r="IZ152" s="12"/>
      <c r="JA152" s="16"/>
      <c r="JB152" s="14"/>
      <c r="JC152" s="65"/>
      <c r="JD152" s="15" t="str">
        <f t="shared" si="525"/>
        <v>NO APLICA</v>
      </c>
      <c r="JE152" s="13"/>
      <c r="JF152" s="13"/>
      <c r="JG152" s="14"/>
      <c r="JH152" s="65"/>
      <c r="JI152" s="15" t="str">
        <f t="shared" si="526"/>
        <v>NO APLICA</v>
      </c>
      <c r="JJ152" s="16"/>
      <c r="JK152" s="16"/>
      <c r="JL152" s="16"/>
      <c r="JM152" s="15" t="str">
        <f t="shared" si="527"/>
        <v>NO APLICA</v>
      </c>
      <c r="JN152" s="16"/>
      <c r="JO152" s="16"/>
      <c r="JP152" s="16"/>
      <c r="JQ152" s="15" t="str">
        <f t="shared" si="528"/>
        <v>NO APLICA</v>
      </c>
      <c r="JR152" s="16"/>
      <c r="JS152" s="16"/>
      <c r="JT152" s="16"/>
      <c r="JU152" s="16"/>
      <c r="JV152" s="15" t="str">
        <f t="shared" si="529"/>
        <v>NO APLICA</v>
      </c>
      <c r="JW152" s="15"/>
      <c r="JX152" s="15"/>
      <c r="JY152" s="15"/>
      <c r="JZ152" s="15"/>
      <c r="KA152" s="15" t="str">
        <f t="shared" si="530"/>
        <v>NO APLICA</v>
      </c>
      <c r="KB152" s="12"/>
      <c r="KC152" s="14"/>
      <c r="KD152" s="65"/>
      <c r="KE152" s="15" t="str">
        <f t="shared" si="531"/>
        <v>NO APLICA</v>
      </c>
      <c r="KF152" s="12"/>
      <c r="KG152" s="14"/>
      <c r="KH152" s="65"/>
      <c r="KI152" s="15" t="str">
        <f t="shared" si="547"/>
        <v>NO APLICA</v>
      </c>
      <c r="KJ152" s="12"/>
      <c r="KK152" s="14"/>
      <c r="KL152" s="65"/>
      <c r="KM152" s="15" t="str">
        <f t="shared" si="532"/>
        <v>NO APLICA</v>
      </c>
      <c r="KN152" s="12"/>
      <c r="KO152" s="14"/>
      <c r="KP152" s="65"/>
      <c r="KQ152" s="15" t="str">
        <f t="shared" si="548"/>
        <v>NO APLICA</v>
      </c>
      <c r="KR152" s="12"/>
      <c r="KS152" s="16"/>
      <c r="KT152" s="14"/>
      <c r="KU152" s="65"/>
      <c r="KV152" s="15" t="str">
        <f t="shared" si="554"/>
        <v>NO APLICA</v>
      </c>
      <c r="KW152" s="16"/>
      <c r="KX152" s="14"/>
      <c r="KY152" s="65"/>
      <c r="KZ152" s="15" t="str">
        <f t="shared" si="549"/>
        <v>NO APLICA</v>
      </c>
      <c r="LA152" s="16"/>
      <c r="LB152" s="16"/>
      <c r="LC152" s="14"/>
      <c r="LD152" s="65"/>
      <c r="LE152" s="15" t="str">
        <f t="shared" si="556"/>
        <v>NO APLICA</v>
      </c>
      <c r="LF152" s="15"/>
      <c r="LG152" s="15"/>
      <c r="LH152" s="14"/>
      <c r="LI152" s="65"/>
      <c r="LJ152" s="15" t="str">
        <f t="shared" si="555"/>
        <v>NO APLICA</v>
      </c>
      <c r="LK152" s="12"/>
      <c r="LL152" s="16"/>
      <c r="LM152" s="14"/>
      <c r="LN152" s="65"/>
      <c r="LO152" s="15" t="str">
        <f t="shared" si="550"/>
        <v>NO APLICA</v>
      </c>
      <c r="LP152" s="16"/>
      <c r="LQ152" s="16"/>
      <c r="LR152" s="14"/>
      <c r="LS152" s="65"/>
      <c r="LT152" s="15" t="str">
        <f t="shared" si="551"/>
        <v>NO APLICA</v>
      </c>
      <c r="LU152" s="16"/>
      <c r="LV152" s="16"/>
      <c r="LW152" s="14"/>
      <c r="LX152" s="65"/>
      <c r="LY152" s="15" t="str">
        <f t="shared" si="552"/>
        <v>NO APLICA</v>
      </c>
      <c r="LZ152" s="12"/>
      <c r="MA152" s="12"/>
      <c r="MB152" s="14"/>
      <c r="MC152" s="65"/>
      <c r="MD152" s="15" t="str">
        <f t="shared" si="534"/>
        <v>NO APLICA</v>
      </c>
      <c r="ME152" s="12"/>
      <c r="MF152" s="12"/>
      <c r="MG152" s="14"/>
      <c r="MH152" s="65"/>
      <c r="MI152" s="15" t="str">
        <f t="shared" si="535"/>
        <v>NO APLICA</v>
      </c>
      <c r="MJ152" s="12"/>
      <c r="MK152" s="14"/>
      <c r="ML152" s="65"/>
      <c r="MM152" s="15" t="str">
        <f t="shared" si="536"/>
        <v>NO APLICA</v>
      </c>
      <c r="MN152" s="12"/>
      <c r="MO152" s="14"/>
      <c r="MP152" s="12"/>
      <c r="MQ152" s="15" t="str">
        <f t="shared" si="537"/>
        <v>NO APLICA</v>
      </c>
      <c r="MR152" s="12"/>
      <c r="MS152" s="16"/>
      <c r="MT152" s="14"/>
      <c r="MU152" s="65"/>
      <c r="MV152" s="15" t="str">
        <f t="shared" si="538"/>
        <v>NO APLICA</v>
      </c>
      <c r="MW152" s="12"/>
      <c r="MX152" s="16"/>
      <c r="MY152" s="14"/>
      <c r="MZ152" s="65"/>
      <c r="NA152" s="15" t="str">
        <f t="shared" si="539"/>
        <v>NO APLICA</v>
      </c>
      <c r="NB152" s="12"/>
      <c r="NC152" s="16"/>
      <c r="ND152" s="14"/>
      <c r="NE152" s="65"/>
      <c r="NF152" s="15" t="str">
        <f t="shared" si="540"/>
        <v>NO APLICA</v>
      </c>
      <c r="NG152" s="12"/>
      <c r="NH152" s="12"/>
      <c r="NI152" s="14"/>
      <c r="NJ152" s="65"/>
      <c r="NK152" s="15" t="str">
        <f t="shared" si="541"/>
        <v>NO APLICA</v>
      </c>
      <c r="NL152" s="12"/>
      <c r="NM152" s="12"/>
      <c r="NN152" s="12"/>
      <c r="NO152" s="12"/>
      <c r="NP152" s="15" t="str">
        <f t="shared" si="542"/>
        <v>NO APLICA</v>
      </c>
      <c r="NQ152" s="16"/>
      <c r="NR152" s="16"/>
      <c r="NS152" s="14"/>
      <c r="NT152" s="65"/>
      <c r="NU152" s="15" t="str">
        <f t="shared" si="543"/>
        <v>NO APLICA</v>
      </c>
      <c r="NV152" s="16"/>
      <c r="NW152" s="16"/>
      <c r="NX152" s="16"/>
      <c r="NY152" s="16"/>
      <c r="NZ152" s="15" t="str">
        <f t="shared" si="544"/>
        <v>NO APLICA</v>
      </c>
    </row>
    <row r="153" spans="1:390" ht="15.6" thickTop="1" thickBot="1" x14ac:dyDescent="0.35">
      <c r="A153" s="11">
        <v>325</v>
      </c>
      <c r="B153" s="10" t="s">
        <v>554</v>
      </c>
      <c r="C153" s="21" t="s">
        <v>104</v>
      </c>
      <c r="D153" s="64" t="s">
        <v>168</v>
      </c>
      <c r="E153" s="15"/>
      <c r="F153" s="16"/>
      <c r="G153" s="14"/>
      <c r="H153" s="65"/>
      <c r="I153" s="15" t="str">
        <f t="shared" si="448"/>
        <v>NO APLICA</v>
      </c>
      <c r="J153" s="15"/>
      <c r="K153" s="16"/>
      <c r="L153" s="16"/>
      <c r="M153" s="65"/>
      <c r="N153" s="15" t="str">
        <f t="shared" si="449"/>
        <v>NO APLICA</v>
      </c>
      <c r="O153" s="16"/>
      <c r="P153" s="16"/>
      <c r="Q153" s="14"/>
      <c r="R153" s="65"/>
      <c r="S153" s="15" t="str">
        <f t="shared" si="545"/>
        <v>NO APLICA</v>
      </c>
      <c r="T153" s="12" t="s">
        <v>555</v>
      </c>
      <c r="U153" s="13">
        <v>45215</v>
      </c>
      <c r="V153" s="14">
        <v>45216</v>
      </c>
      <c r="W153" s="14">
        <f t="shared" si="401"/>
        <v>47043</v>
      </c>
      <c r="X153" s="65">
        <f t="shared" ca="1" si="402"/>
        <v>912</v>
      </c>
      <c r="Y153" s="15" t="str">
        <f t="shared" ca="1" si="403"/>
        <v>VIGENTE</v>
      </c>
      <c r="Z153" s="12" t="s">
        <v>556</v>
      </c>
      <c r="AA153" s="13">
        <v>44578</v>
      </c>
      <c r="AB153" s="14">
        <v>44579</v>
      </c>
      <c r="AC153" s="14">
        <f>DATE(YEAR(AB153)+5,MONTH(AB153),DAY(AB153))</f>
        <v>46405</v>
      </c>
      <c r="AD153" s="65">
        <f ca="1">AC153-TODAY()</f>
        <v>274</v>
      </c>
      <c r="AE153" s="15" t="str">
        <f t="shared" ca="1" si="553"/>
        <v>VIGENTE</v>
      </c>
      <c r="AF153" s="13">
        <v>45243</v>
      </c>
      <c r="AG153" s="14">
        <v>45902</v>
      </c>
      <c r="AH153" s="14">
        <f>DATE(YEAR(AG153)+2,MONTH(AG153),DAY(AG153))</f>
        <v>46632</v>
      </c>
      <c r="AI153" s="65">
        <f t="shared" ca="1" si="450"/>
        <v>501</v>
      </c>
      <c r="AJ153" s="15" t="str">
        <f t="shared" ca="1" si="399"/>
        <v>VIGENTE</v>
      </c>
      <c r="AK153" s="13">
        <v>45269</v>
      </c>
      <c r="AL153" s="14">
        <v>45926</v>
      </c>
      <c r="AM153" s="14">
        <f t="shared" si="561"/>
        <v>46656</v>
      </c>
      <c r="AN153" s="65">
        <f t="shared" ca="1" si="451"/>
        <v>525</v>
      </c>
      <c r="AO153" s="15" t="str">
        <f t="shared" ca="1" si="452"/>
        <v>VIGENTE</v>
      </c>
      <c r="AP153" s="13">
        <v>45226</v>
      </c>
      <c r="AQ153" s="14">
        <v>45904</v>
      </c>
      <c r="AR153" s="14">
        <f>DATE(YEAR(AQ153)+2,MONTH(AQ153),DAY(AQ153))</f>
        <v>46634</v>
      </c>
      <c r="AS153" s="65">
        <f t="shared" ca="1" si="453"/>
        <v>503</v>
      </c>
      <c r="AT153" s="15" t="str">
        <f t="shared" ca="1" si="454"/>
        <v>VIGENTE</v>
      </c>
      <c r="AU153" s="13">
        <v>44620</v>
      </c>
      <c r="AV153" s="14">
        <v>45990</v>
      </c>
      <c r="AW153" s="14">
        <f>DATE(YEAR(AV153)+2,MONTH(AV153),DAY(AV153))</f>
        <v>46720</v>
      </c>
      <c r="AX153" s="65">
        <f t="shared" ca="1" si="455"/>
        <v>589</v>
      </c>
      <c r="AY153" s="15" t="str">
        <f t="shared" ca="1" si="456"/>
        <v>VIGENTE</v>
      </c>
      <c r="AZ153" s="13">
        <v>45237</v>
      </c>
      <c r="BA153" s="14">
        <v>45901</v>
      </c>
      <c r="BB153" s="14">
        <f>DATE(YEAR(BA153)+2,MONTH(BA153),DAY(BA153))</f>
        <v>46631</v>
      </c>
      <c r="BC153" s="65">
        <f t="shared" ca="1" si="457"/>
        <v>500</v>
      </c>
      <c r="BD153" s="15" t="str">
        <f t="shared" ca="1" si="458"/>
        <v>VIGENTE</v>
      </c>
      <c r="BE153" s="13">
        <v>45201</v>
      </c>
      <c r="BF153" s="14">
        <v>45880</v>
      </c>
      <c r="BG153" s="14">
        <f t="shared" si="571"/>
        <v>46610</v>
      </c>
      <c r="BH153" s="65">
        <f t="shared" ca="1" si="459"/>
        <v>479</v>
      </c>
      <c r="BI153" s="15" t="str">
        <f t="shared" ca="1" si="460"/>
        <v>VIGENTE</v>
      </c>
      <c r="BJ153" s="13">
        <v>45030</v>
      </c>
      <c r="BK153" s="14">
        <v>45699</v>
      </c>
      <c r="BL153" s="14">
        <f>DATE(YEAR(BK153)+2,MONTH(BK153),DAY(BK153)-1)</f>
        <v>46428</v>
      </c>
      <c r="BM153" s="65">
        <f t="shared" ca="1" si="461"/>
        <v>297</v>
      </c>
      <c r="BN153" s="15" t="str">
        <f t="shared" ca="1" si="462"/>
        <v>VIGENTE</v>
      </c>
      <c r="BO153" s="13">
        <v>45319</v>
      </c>
      <c r="BP153" s="14">
        <v>45981</v>
      </c>
      <c r="BQ153" s="14">
        <f>DATE(YEAR(BP153)+2,MONTH(BP153),DAY(BP153))</f>
        <v>46711</v>
      </c>
      <c r="BR153" s="65">
        <f t="shared" ca="1" si="463"/>
        <v>580</v>
      </c>
      <c r="BS153" s="15" t="str">
        <f t="shared" ca="1" si="464"/>
        <v>VIGENTE</v>
      </c>
      <c r="BT153" s="13">
        <v>45203</v>
      </c>
      <c r="BU153" s="14">
        <v>45871</v>
      </c>
      <c r="BV153" s="14">
        <f>DATE(YEAR(BU153)+2,MONTH(BU153),DAY(BU153))</f>
        <v>46601</v>
      </c>
      <c r="BW153" s="65">
        <f t="shared" ca="1" si="465"/>
        <v>470</v>
      </c>
      <c r="BX153" s="15" t="str">
        <f t="shared" ca="1" si="466"/>
        <v>VIGENTE</v>
      </c>
      <c r="BY153" s="13">
        <v>44629</v>
      </c>
      <c r="BZ153" s="14">
        <v>45944</v>
      </c>
      <c r="CA153" s="14">
        <f t="shared" si="563"/>
        <v>46674</v>
      </c>
      <c r="CB153" s="65">
        <f t="shared" ca="1" si="467"/>
        <v>543</v>
      </c>
      <c r="CC153" s="15" t="str">
        <f t="shared" ca="1" si="468"/>
        <v>VIGENTE</v>
      </c>
      <c r="CD153" s="16" t="s">
        <v>108</v>
      </c>
      <c r="CE153" s="14">
        <v>45240</v>
      </c>
      <c r="CF153" s="14">
        <v>45241</v>
      </c>
      <c r="CG153" s="14">
        <f t="shared" si="408"/>
        <v>46702</v>
      </c>
      <c r="CH153" s="65">
        <f t="shared" ca="1" si="409"/>
        <v>571</v>
      </c>
      <c r="CI153" s="15" t="str">
        <f t="shared" ca="1" si="562"/>
        <v>VIGENTE</v>
      </c>
      <c r="CJ153" s="14">
        <v>45238</v>
      </c>
      <c r="CK153" s="14">
        <v>45895</v>
      </c>
      <c r="CL153" s="14">
        <f>DATE(YEAR(CK153)+2,MONTH(CK153),DAY(CK153))</f>
        <v>46625</v>
      </c>
      <c r="CM153" s="65">
        <f t="shared" ca="1" si="469"/>
        <v>494</v>
      </c>
      <c r="CN153" s="15" t="str">
        <f t="shared" ca="1" si="470"/>
        <v>VIGENTE</v>
      </c>
      <c r="CO153" s="13">
        <v>45246</v>
      </c>
      <c r="CP153" s="14">
        <v>45898</v>
      </c>
      <c r="CQ153" s="14">
        <f>DATE(YEAR(CP153)+2,MONTH(CP153),DAY(CP153))</f>
        <v>46628</v>
      </c>
      <c r="CR153" s="65">
        <f t="shared" ca="1" si="471"/>
        <v>497</v>
      </c>
      <c r="CS153" s="15" t="str">
        <f t="shared" ca="1" si="472"/>
        <v>VIGENTE</v>
      </c>
      <c r="CT153" s="13">
        <v>45212</v>
      </c>
      <c r="CU153" s="14">
        <v>45905</v>
      </c>
      <c r="CV153" s="14">
        <f>DATE(YEAR(CU153)+2,MONTH(CU153),DAY(CU153))</f>
        <v>46635</v>
      </c>
      <c r="CW153" s="65">
        <f t="shared" ca="1" si="473"/>
        <v>504</v>
      </c>
      <c r="CX153" s="15" t="str">
        <f t="shared" ca="1" si="474"/>
        <v>VIGENTE</v>
      </c>
      <c r="CY153" s="13">
        <v>44649</v>
      </c>
      <c r="CZ153" s="14">
        <v>45924</v>
      </c>
      <c r="DA153" s="14">
        <f>DATE(YEAR(CZ153)+2,MONTH(CZ153),DAY(CZ153))</f>
        <v>46654</v>
      </c>
      <c r="DB153" s="65">
        <f t="shared" ca="1" si="475"/>
        <v>523</v>
      </c>
      <c r="DC153" s="15" t="str">
        <f t="shared" ca="1" si="476"/>
        <v>VIGENTE</v>
      </c>
      <c r="DD153" s="13">
        <v>45027</v>
      </c>
      <c r="DE153" s="14">
        <v>45713</v>
      </c>
      <c r="DF153" s="14">
        <f>DATE(YEAR(DE153)+2,MONTH(DE153),DAY(DE153)-1)</f>
        <v>46442</v>
      </c>
      <c r="DG153" s="65">
        <f t="shared" ca="1" si="477"/>
        <v>311</v>
      </c>
      <c r="DH153" s="15" t="str">
        <f t="shared" ca="1" si="478"/>
        <v>VIGENTE</v>
      </c>
      <c r="DI153" s="13">
        <v>45206</v>
      </c>
      <c r="DJ153" s="14">
        <v>45899</v>
      </c>
      <c r="DK153" s="14">
        <f>DATE(YEAR(DJ153)+2,MONTH(DJ153),DAY(DJ153))</f>
        <v>46629</v>
      </c>
      <c r="DL153" s="65">
        <f t="shared" ca="1" si="479"/>
        <v>498</v>
      </c>
      <c r="DM153" s="15" t="str">
        <f t="shared" ca="1" si="480"/>
        <v>VIGENTE</v>
      </c>
      <c r="DN153" s="13">
        <v>44625</v>
      </c>
      <c r="DO153" s="14">
        <v>46007</v>
      </c>
      <c r="DP153" s="14">
        <f>DATE(YEAR(DO153)+2,MONTH(DO153),DAY(DO153))</f>
        <v>46737</v>
      </c>
      <c r="DQ153" s="65">
        <f t="shared" ca="1" si="481"/>
        <v>606</v>
      </c>
      <c r="DR153" s="15" t="str">
        <f t="shared" ca="1" si="482"/>
        <v>VIGENTE</v>
      </c>
      <c r="DS153" s="13">
        <v>45250</v>
      </c>
      <c r="DT153" s="14">
        <v>45918</v>
      </c>
      <c r="DU153" s="14">
        <f>DATE(YEAR(DT153)+2,MONTH(DT153),DAY(DT153))</f>
        <v>46648</v>
      </c>
      <c r="DV153" s="65">
        <f t="shared" ca="1" si="483"/>
        <v>517</v>
      </c>
      <c r="DW153" s="15" t="str">
        <f t="shared" ca="1" si="484"/>
        <v>VIGENTE</v>
      </c>
      <c r="DX153" s="13">
        <v>45329</v>
      </c>
      <c r="DY153" s="14">
        <v>46020</v>
      </c>
      <c r="DZ153" s="14">
        <f>DATE(YEAR(DY153)+2,MONTH(DY153),DAY(DY153))</f>
        <v>46750</v>
      </c>
      <c r="EA153" s="65">
        <f t="shared" ca="1" si="485"/>
        <v>619</v>
      </c>
      <c r="EB153" s="15" t="str">
        <f t="shared" ca="1" si="486"/>
        <v>VIGENTE</v>
      </c>
      <c r="EC153" s="13">
        <v>45255</v>
      </c>
      <c r="ED153" s="14">
        <v>45913</v>
      </c>
      <c r="EE153" s="14">
        <f>DATE(YEAR(ED153)+2,MONTH(ED153),DAY(ED153))</f>
        <v>46643</v>
      </c>
      <c r="EF153" s="65">
        <f t="shared" ca="1" si="487"/>
        <v>512</v>
      </c>
      <c r="EG153" s="15" t="str">
        <f t="shared" ca="1" si="488"/>
        <v>VIGENTE</v>
      </c>
      <c r="EH153" s="14">
        <v>45675</v>
      </c>
      <c r="EI153" s="13">
        <v>45946</v>
      </c>
      <c r="EJ153" s="13">
        <v>45947</v>
      </c>
      <c r="EK153" s="14">
        <v>45948</v>
      </c>
      <c r="EL153" s="14">
        <f t="shared" si="546"/>
        <v>46313</v>
      </c>
      <c r="EM153" s="65">
        <f t="shared" ca="1" si="489"/>
        <v>182</v>
      </c>
      <c r="EN153" s="15" t="str">
        <f t="shared" ca="1" si="490"/>
        <v>VIGENTE</v>
      </c>
      <c r="EO153" s="13">
        <v>44600</v>
      </c>
      <c r="EP153" s="14">
        <v>45940</v>
      </c>
      <c r="EQ153" s="14">
        <f>DATE(YEAR(EP153)+2,MONTH(EP153),DAY(EP153))</f>
        <v>46670</v>
      </c>
      <c r="ER153" s="65">
        <f t="shared" ca="1" si="491"/>
        <v>539</v>
      </c>
      <c r="ES153" s="15" t="str">
        <f t="shared" ca="1" si="492"/>
        <v>VIGENTE</v>
      </c>
      <c r="ET153" s="13">
        <v>45193</v>
      </c>
      <c r="EU153" s="14">
        <v>45824</v>
      </c>
      <c r="EV153" s="14">
        <f>DATE(YEAR(EU153)+2,MONTH(EU153),DAY(EU153))</f>
        <v>46554</v>
      </c>
      <c r="EW153" s="65">
        <f t="shared" ca="1" si="493"/>
        <v>423</v>
      </c>
      <c r="EX153" s="15" t="str">
        <f t="shared" ca="1" si="494"/>
        <v>VIGENTE</v>
      </c>
      <c r="EY153" s="13">
        <v>45219</v>
      </c>
      <c r="EZ153" s="14">
        <v>45917</v>
      </c>
      <c r="FA153" s="14">
        <f t="shared" si="564"/>
        <v>46647</v>
      </c>
      <c r="FB153" s="65">
        <f t="shared" ca="1" si="495"/>
        <v>516</v>
      </c>
      <c r="FC153" s="15" t="str">
        <f t="shared" ca="1" si="496"/>
        <v>VIGENTE</v>
      </c>
      <c r="FD153" s="13">
        <v>45280</v>
      </c>
      <c r="FE153" s="14">
        <v>45931</v>
      </c>
      <c r="FF153" s="14">
        <f t="shared" si="565"/>
        <v>46661</v>
      </c>
      <c r="FG153" s="65">
        <f t="shared" ca="1" si="497"/>
        <v>530</v>
      </c>
      <c r="FH153" s="15" t="str">
        <f t="shared" ca="1" si="498"/>
        <v>VIGENTE</v>
      </c>
      <c r="FI153" s="13">
        <v>45248</v>
      </c>
      <c r="FJ153" s="14">
        <v>45919</v>
      </c>
      <c r="FK153" s="14">
        <f>DATE(YEAR(FJ153)+2,MONTH(FJ153),DAY(FJ153))</f>
        <v>46649</v>
      </c>
      <c r="FL153" s="65">
        <f t="shared" ca="1" si="499"/>
        <v>518</v>
      </c>
      <c r="FM153" s="15" t="str">
        <f t="shared" ca="1" si="500"/>
        <v>VIGENTE</v>
      </c>
      <c r="FN153" s="13">
        <v>45232</v>
      </c>
      <c r="FO153" s="14">
        <v>45920</v>
      </c>
      <c r="FP153" s="14">
        <f>DATE(YEAR(FO153)+2,MONTH(FO153),DAY(FO153))</f>
        <v>46650</v>
      </c>
      <c r="FQ153" s="65">
        <f t="shared" ca="1" si="501"/>
        <v>519</v>
      </c>
      <c r="FR153" s="15" t="str">
        <f t="shared" ca="1" si="502"/>
        <v>VIGENTE</v>
      </c>
      <c r="FS153" s="13">
        <v>45304</v>
      </c>
      <c r="FT153" s="14">
        <v>45957</v>
      </c>
      <c r="FU153" s="14">
        <f>DATE(YEAR(FT153)+2,MONTH(FT153),DAY(FT153))</f>
        <v>46687</v>
      </c>
      <c r="FV153" s="65">
        <f t="shared" ca="1" si="503"/>
        <v>556</v>
      </c>
      <c r="FW153" s="15" t="str">
        <f t="shared" ca="1" si="504"/>
        <v>VIGENTE</v>
      </c>
      <c r="FX153" s="13">
        <v>45028</v>
      </c>
      <c r="FY153" s="14">
        <v>45700</v>
      </c>
      <c r="FZ153" s="14">
        <f>DATE(YEAR(FY153)+2,MONTH(FY153),DAY(FY153)-1)</f>
        <v>46429</v>
      </c>
      <c r="GA153" s="65">
        <f t="shared" ca="1" si="505"/>
        <v>298</v>
      </c>
      <c r="GB153" s="15" t="str">
        <f t="shared" ca="1" si="506"/>
        <v>VIGENTE</v>
      </c>
      <c r="GC153" s="13">
        <v>45049</v>
      </c>
      <c r="GD153" s="14">
        <v>45715</v>
      </c>
      <c r="GE153" s="14">
        <f>DATE(YEAR(GD153)+2,MONTH(GD153),DAY(GD153)-1)</f>
        <v>46444</v>
      </c>
      <c r="GF153" s="65">
        <f t="shared" ca="1" si="507"/>
        <v>313</v>
      </c>
      <c r="GG153" s="15" t="str">
        <f t="shared" ca="1" si="508"/>
        <v>VIGENTE</v>
      </c>
      <c r="GH153" s="13">
        <v>45254</v>
      </c>
      <c r="GI153" s="14">
        <v>45912</v>
      </c>
      <c r="GJ153" s="14">
        <f>DATE(YEAR(GI153)+2,MONTH(GI153),DAY(GI153))</f>
        <v>46642</v>
      </c>
      <c r="GK153" s="65">
        <f t="shared" ca="1" si="509"/>
        <v>511</v>
      </c>
      <c r="GL153" s="15" t="str">
        <f t="shared" ca="1" si="510"/>
        <v>VIGENTE</v>
      </c>
      <c r="GM153" s="13">
        <v>45264</v>
      </c>
      <c r="GN153" s="14">
        <v>45945</v>
      </c>
      <c r="GO153" s="14">
        <f>DATE(YEAR(GN153)+2,MONTH(GN153),DAY(GN153))</f>
        <v>46675</v>
      </c>
      <c r="GP153" s="65">
        <f t="shared" ca="1" si="511"/>
        <v>544</v>
      </c>
      <c r="GQ153" s="15" t="str">
        <f t="shared" ca="1" si="512"/>
        <v>VIGENTE</v>
      </c>
      <c r="GR153" s="14">
        <v>44571</v>
      </c>
      <c r="GS153" s="14">
        <v>45244</v>
      </c>
      <c r="GT153" s="14">
        <f t="shared" si="513"/>
        <v>47071</v>
      </c>
      <c r="GU153" s="65">
        <f t="shared" ca="1" si="398"/>
        <v>940</v>
      </c>
      <c r="GV153" s="15" t="str">
        <f t="shared" ca="1" si="411"/>
        <v>VIGENTE</v>
      </c>
      <c r="GW153" s="13">
        <v>44571</v>
      </c>
      <c r="GX153" s="14">
        <v>45252</v>
      </c>
      <c r="GY153" s="14">
        <f t="shared" si="514"/>
        <v>47079</v>
      </c>
      <c r="GZ153" s="65">
        <f t="shared" ca="1" si="515"/>
        <v>948</v>
      </c>
      <c r="HA153" s="15" t="str">
        <f t="shared" ca="1" si="418"/>
        <v>VIGENTE</v>
      </c>
      <c r="HB153" s="13">
        <v>44565</v>
      </c>
      <c r="HC153" s="14">
        <v>45251</v>
      </c>
      <c r="HD153" s="14">
        <f t="shared" si="516"/>
        <v>47078</v>
      </c>
      <c r="HE153" s="65">
        <f t="shared" ca="1" si="517"/>
        <v>947</v>
      </c>
      <c r="HF153" s="15" t="str">
        <f t="shared" ca="1" si="413"/>
        <v>VIGENTE</v>
      </c>
      <c r="HG153" s="16"/>
      <c r="HH153" s="14">
        <v>45121</v>
      </c>
      <c r="HI153" s="14">
        <f t="shared" ref="HI153:HI161" si="572">DATE(YEAR(HH153)+5,MONTH(HH153),DAY(HH153))</f>
        <v>46948</v>
      </c>
      <c r="HJ153" s="65">
        <f t="shared" ref="HJ153:HJ161" ca="1" si="573">HI153-TODAY()</f>
        <v>817</v>
      </c>
      <c r="HK153" s="15" t="str">
        <f t="shared" ca="1" si="419"/>
        <v>VIGENTE</v>
      </c>
      <c r="HL153" s="12"/>
      <c r="HM153" s="16"/>
      <c r="HN153" s="14"/>
      <c r="HO153" s="65"/>
      <c r="HP153" s="15" t="str">
        <f t="shared" si="437"/>
        <v>NO APLICA</v>
      </c>
      <c r="HQ153" s="12"/>
      <c r="HR153" s="15"/>
      <c r="HS153" s="14"/>
      <c r="HT153" s="15"/>
      <c r="HU153" s="15" t="str">
        <f t="shared" si="518"/>
        <v>NO APLICA</v>
      </c>
      <c r="HV153" s="13">
        <v>44523</v>
      </c>
      <c r="HW153" s="14">
        <v>45208</v>
      </c>
      <c r="HX153" s="14">
        <f>DATE(YEAR(HW153)+5,MONTH(HW153),DAY(HW153))</f>
        <v>47035</v>
      </c>
      <c r="HY153" s="65">
        <f ca="1">HX153-TODAY()</f>
        <v>904</v>
      </c>
      <c r="HZ153" s="15" t="str">
        <f t="shared" ca="1" si="519"/>
        <v>VIGENTE</v>
      </c>
      <c r="IA153" s="13">
        <v>44566</v>
      </c>
      <c r="IB153" s="14">
        <v>45234</v>
      </c>
      <c r="IC153" s="14">
        <f>DATE(YEAR(IB153)+5,MONTH(IB153),DAY(IB153))</f>
        <v>47061</v>
      </c>
      <c r="ID153" s="65">
        <f ca="1">IC153-TODAY()</f>
        <v>930</v>
      </c>
      <c r="IE153" s="15" t="str">
        <f t="shared" ca="1" si="520"/>
        <v>VIGENTE</v>
      </c>
      <c r="IF153" s="13">
        <v>44558</v>
      </c>
      <c r="IG153" s="13">
        <v>45230</v>
      </c>
      <c r="IH153" s="14">
        <f>DATE(YEAR(IG153)+5,MONTH(IG153),DAY(IG153))</f>
        <v>47057</v>
      </c>
      <c r="II153" s="65">
        <f ca="1">IH153-TODAY()</f>
        <v>926</v>
      </c>
      <c r="IJ153" s="15" t="str">
        <f t="shared" ca="1" si="521"/>
        <v>VIGENTE</v>
      </c>
      <c r="IK153" s="14">
        <v>44568</v>
      </c>
      <c r="IL153" s="14">
        <v>45225</v>
      </c>
      <c r="IM153" s="14">
        <f>DATE(YEAR(IL153)+5,MONTH(IL153),DAY(IL153))</f>
        <v>47052</v>
      </c>
      <c r="IN153" s="65">
        <f ca="1">IM153-TODAY()</f>
        <v>921</v>
      </c>
      <c r="IO153" s="15" t="str">
        <f t="shared" ca="1" si="522"/>
        <v>VIGENTE</v>
      </c>
      <c r="IP153" s="13">
        <v>44568</v>
      </c>
      <c r="IQ153" s="14">
        <v>45239</v>
      </c>
      <c r="IR153" s="14">
        <f>DATE(YEAR(IQ153)+5,MONTH(IQ153),DAY(IQ153))</f>
        <v>47066</v>
      </c>
      <c r="IS153" s="65">
        <f ca="1">IR153-TODAY()</f>
        <v>935</v>
      </c>
      <c r="IT153" s="15" t="str">
        <f t="shared" ca="1" si="523"/>
        <v>VIGENTE</v>
      </c>
      <c r="IU153" s="13">
        <v>44567</v>
      </c>
      <c r="IV153" s="14">
        <v>45233</v>
      </c>
      <c r="IW153" s="14">
        <f>DATE(YEAR(IV153)+5,MONTH(IV153),DAY(IV153))</f>
        <v>47060</v>
      </c>
      <c r="IX153" s="65">
        <f ca="1">IW153-TODAY()</f>
        <v>929</v>
      </c>
      <c r="IY153" s="15" t="str">
        <f t="shared" ca="1" si="524"/>
        <v>VIGENTE</v>
      </c>
      <c r="IZ153" s="13">
        <v>44566</v>
      </c>
      <c r="JA153" s="14">
        <v>45224</v>
      </c>
      <c r="JB153" s="14">
        <f>DATE(YEAR(JA153)+5,MONTH(JA153),DAY(JA153))</f>
        <v>47051</v>
      </c>
      <c r="JC153" s="65">
        <f ca="1">JB153-TODAY()</f>
        <v>920</v>
      </c>
      <c r="JD153" s="15" t="str">
        <f t="shared" ca="1" si="525"/>
        <v>VIGENTE</v>
      </c>
      <c r="JE153" s="13"/>
      <c r="JF153" s="13"/>
      <c r="JG153" s="14"/>
      <c r="JH153" s="65"/>
      <c r="JI153" s="15" t="str">
        <f t="shared" si="526"/>
        <v>NO APLICA</v>
      </c>
      <c r="JJ153" s="16"/>
      <c r="JK153" s="16"/>
      <c r="JL153" s="16"/>
      <c r="JM153" s="15" t="str">
        <f t="shared" si="527"/>
        <v>NO APLICA</v>
      </c>
      <c r="JN153" s="16"/>
      <c r="JO153" s="16"/>
      <c r="JP153" s="16"/>
      <c r="JQ153" s="15" t="str">
        <f t="shared" si="528"/>
        <v>NO APLICA</v>
      </c>
      <c r="JR153" s="16"/>
      <c r="JS153" s="16"/>
      <c r="JT153" s="16"/>
      <c r="JU153" s="16"/>
      <c r="JV153" s="15" t="str">
        <f t="shared" si="529"/>
        <v>NO APLICA</v>
      </c>
      <c r="JW153" s="15"/>
      <c r="JX153" s="15"/>
      <c r="JY153" s="15"/>
      <c r="JZ153" s="15"/>
      <c r="KA153" s="15" t="str">
        <f t="shared" si="530"/>
        <v>NO APLICA</v>
      </c>
      <c r="KB153" s="15"/>
      <c r="KC153" s="14"/>
      <c r="KD153" s="65"/>
      <c r="KE153" s="15" t="str">
        <f t="shared" si="531"/>
        <v>NO APLICA</v>
      </c>
      <c r="KF153" s="13">
        <v>45328</v>
      </c>
      <c r="KG153" s="14">
        <f>DATE(YEAR(KF153)+5,MONTH(KF153),DAY(KF153)-1)</f>
        <v>47154</v>
      </c>
      <c r="KH153" s="65">
        <f ca="1">KG153-TODAY()</f>
        <v>1023</v>
      </c>
      <c r="KI153" s="15" t="str">
        <f t="shared" ca="1" si="547"/>
        <v>VIGENTE</v>
      </c>
      <c r="KJ153" s="15"/>
      <c r="KK153" s="14"/>
      <c r="KL153" s="65"/>
      <c r="KM153" s="15" t="str">
        <f t="shared" si="532"/>
        <v>NO APLICA</v>
      </c>
      <c r="KN153" s="12"/>
      <c r="KO153" s="14"/>
      <c r="KP153" s="65"/>
      <c r="KQ153" s="15" t="str">
        <f t="shared" si="548"/>
        <v>NO APLICA</v>
      </c>
      <c r="KR153" s="12"/>
      <c r="KS153" s="16"/>
      <c r="KT153" s="14"/>
      <c r="KU153" s="65"/>
      <c r="KV153" s="15" t="str">
        <f t="shared" si="554"/>
        <v>NO APLICA</v>
      </c>
      <c r="KW153" s="14">
        <v>44614</v>
      </c>
      <c r="KX153" s="14">
        <f>DATE(YEAR(KW153)+5,MONTH(KW153),DAY(KW153))</f>
        <v>46440</v>
      </c>
      <c r="KY153" s="65">
        <f ca="1">KX153-TODAY()</f>
        <v>309</v>
      </c>
      <c r="KZ153" s="15" t="str">
        <f t="shared" ca="1" si="549"/>
        <v>VIGENTE</v>
      </c>
      <c r="LA153" s="14">
        <v>45611</v>
      </c>
      <c r="LB153" s="14">
        <v>45511</v>
      </c>
      <c r="LC153" s="14">
        <f>DATE(YEAR(LB153)+2,MONTH(LB153),DAY(LB153))</f>
        <v>46241</v>
      </c>
      <c r="LD153" s="65">
        <f ca="1">LC153-TODAY()</f>
        <v>110</v>
      </c>
      <c r="LE153" s="15" t="str">
        <f t="shared" ca="1" si="556"/>
        <v>VIGENTE</v>
      </c>
      <c r="LF153" s="15"/>
      <c r="LG153" s="15"/>
      <c r="LH153" s="15"/>
      <c r="LI153" s="15"/>
      <c r="LJ153" s="15" t="str">
        <f t="shared" si="555"/>
        <v>NO APLICA</v>
      </c>
      <c r="LK153" s="15"/>
      <c r="LL153" s="16"/>
      <c r="LM153" s="14"/>
      <c r="LN153" s="65"/>
      <c r="LO153" s="15" t="str">
        <f t="shared" si="550"/>
        <v>NO APLICA</v>
      </c>
      <c r="LP153" s="16"/>
      <c r="LQ153" s="16"/>
      <c r="LR153" s="14"/>
      <c r="LS153" s="65"/>
      <c r="LT153" s="15" t="str">
        <f t="shared" si="551"/>
        <v>NO APLICA</v>
      </c>
      <c r="LU153" s="16"/>
      <c r="LV153" s="16"/>
      <c r="LW153" s="14"/>
      <c r="LX153" s="65"/>
      <c r="LY153" s="15" t="str">
        <f t="shared" si="552"/>
        <v>NO APLICA</v>
      </c>
      <c r="LZ153" s="15"/>
      <c r="MA153" s="15"/>
      <c r="MB153" s="15"/>
      <c r="MC153" s="15"/>
      <c r="MD153" s="15" t="str">
        <f t="shared" si="534"/>
        <v>NO APLICA</v>
      </c>
      <c r="ME153" s="15"/>
      <c r="MF153" s="15"/>
      <c r="MG153" s="14"/>
      <c r="MH153" s="65"/>
      <c r="MI153" s="15" t="str">
        <f t="shared" si="535"/>
        <v>NO APLICA</v>
      </c>
      <c r="MJ153" s="13">
        <v>45154</v>
      </c>
      <c r="MK153" s="14">
        <f>DATE(YEAR(MJ153)+5,MONTH(MJ153),DAY(MJ153))</f>
        <v>46981</v>
      </c>
      <c r="ML153" s="65">
        <f ca="1">MK153-TODAY()</f>
        <v>850</v>
      </c>
      <c r="MM153" s="15" t="str">
        <f t="shared" ca="1" si="536"/>
        <v>VIGENTE</v>
      </c>
      <c r="MN153" s="13">
        <v>45155</v>
      </c>
      <c r="MO153" s="14">
        <f>DATE(YEAR(MN153)+5,MONTH(MN153),DAY(MN153))</f>
        <v>46982</v>
      </c>
      <c r="MP153" s="65">
        <f ca="1">MO153-TODAY()</f>
        <v>851</v>
      </c>
      <c r="MQ153" s="15" t="str">
        <f t="shared" ca="1" si="537"/>
        <v>VIGENTE</v>
      </c>
      <c r="MR153" s="15"/>
      <c r="MS153" s="16"/>
      <c r="MT153" s="14"/>
      <c r="MU153" s="65"/>
      <c r="MV153" s="15" t="str">
        <f t="shared" si="538"/>
        <v>NO APLICA</v>
      </c>
      <c r="MW153" s="15"/>
      <c r="MX153" s="16"/>
      <c r="MY153" s="14"/>
      <c r="MZ153" s="65"/>
      <c r="NA153" s="15" t="str">
        <f t="shared" si="539"/>
        <v>NO APLICA</v>
      </c>
      <c r="NB153" s="15"/>
      <c r="NC153" s="16"/>
      <c r="ND153" s="14"/>
      <c r="NE153" s="65"/>
      <c r="NF153" s="15" t="str">
        <f t="shared" si="540"/>
        <v>NO APLICA</v>
      </c>
      <c r="NG153" s="15"/>
      <c r="NH153" s="15"/>
      <c r="NI153" s="15"/>
      <c r="NJ153" s="15"/>
      <c r="NK153" s="15" t="str">
        <f t="shared" si="541"/>
        <v>NO APLICA</v>
      </c>
      <c r="NL153" s="15"/>
      <c r="NM153" s="15"/>
      <c r="NN153" s="15"/>
      <c r="NO153" s="15"/>
      <c r="NP153" s="15" t="str">
        <f t="shared" si="542"/>
        <v>NO APLICA</v>
      </c>
      <c r="NQ153" s="16"/>
      <c r="NR153" s="16"/>
      <c r="NS153" s="16"/>
      <c r="NT153" s="16"/>
      <c r="NU153" s="15" t="str">
        <f t="shared" si="543"/>
        <v>NO APLICA</v>
      </c>
      <c r="NV153" s="16"/>
      <c r="NW153" s="16"/>
      <c r="NX153" s="16"/>
      <c r="NY153" s="16"/>
      <c r="NZ153" s="15" t="str">
        <f t="shared" si="544"/>
        <v>NO APLICA</v>
      </c>
    </row>
    <row r="154" spans="1:390" ht="15.6" thickTop="1" thickBot="1" x14ac:dyDescent="0.35">
      <c r="A154" s="11">
        <v>1722</v>
      </c>
      <c r="B154" s="10" t="s">
        <v>557</v>
      </c>
      <c r="C154" s="21" t="s">
        <v>98</v>
      </c>
      <c r="D154" s="64" t="s">
        <v>118</v>
      </c>
      <c r="E154" s="16"/>
      <c r="F154" s="16"/>
      <c r="G154" s="16"/>
      <c r="H154" s="16"/>
      <c r="I154" s="15" t="str">
        <f t="shared" si="448"/>
        <v>NO APLICA</v>
      </c>
      <c r="J154" s="16"/>
      <c r="K154" s="16"/>
      <c r="L154" s="16"/>
      <c r="M154" s="16"/>
      <c r="N154" s="15" t="str">
        <f t="shared" si="449"/>
        <v>NO APLICA</v>
      </c>
      <c r="O154" s="14">
        <v>45596</v>
      </c>
      <c r="P154" s="14">
        <v>45597</v>
      </c>
      <c r="Q154" s="14">
        <f>DATE(YEAR(P154)+2,MONTH(P154),DAY(P154)-1)</f>
        <v>46326</v>
      </c>
      <c r="R154" s="65">
        <f ca="1">Q154-TODAY()</f>
        <v>195</v>
      </c>
      <c r="S154" s="15" t="str">
        <f t="shared" ca="1" si="545"/>
        <v>VIGENTE</v>
      </c>
      <c r="T154" s="16" t="s">
        <v>558</v>
      </c>
      <c r="U154" s="14">
        <v>45308</v>
      </c>
      <c r="V154" s="14">
        <v>45309</v>
      </c>
      <c r="W154" s="14">
        <f t="shared" si="401"/>
        <v>47136</v>
      </c>
      <c r="X154" s="65">
        <f t="shared" ca="1" si="402"/>
        <v>1005</v>
      </c>
      <c r="Y154" s="15" t="str">
        <f t="shared" ca="1" si="403"/>
        <v>VIGENTE</v>
      </c>
      <c r="Z154" s="16"/>
      <c r="AA154" s="16"/>
      <c r="AB154" s="16"/>
      <c r="AC154" s="14"/>
      <c r="AD154" s="65"/>
      <c r="AE154" s="68" t="str">
        <f>IF(AD154&gt;=91,"VIGENTE",IF(AD154&gt;=1,"POR VENCER",IF(AD154&lt;=-1,"VENCIDA",IF(AB154=0,"PENDIENTE"))))</f>
        <v>PENDIENTE</v>
      </c>
      <c r="AF154" s="16"/>
      <c r="AG154" s="14">
        <v>45936</v>
      </c>
      <c r="AH154" s="14">
        <f>DATE(YEAR(AG154)+2,MONTH(AG154),DAY(AG154))</f>
        <v>46666</v>
      </c>
      <c r="AI154" s="65">
        <f t="shared" ca="1" si="450"/>
        <v>535</v>
      </c>
      <c r="AJ154" s="15" t="str">
        <f t="shared" ca="1" si="399"/>
        <v>VIGENTE</v>
      </c>
      <c r="AK154" s="16"/>
      <c r="AL154" s="14">
        <v>45937</v>
      </c>
      <c r="AM154" s="14">
        <f t="shared" si="561"/>
        <v>46667</v>
      </c>
      <c r="AN154" s="65">
        <f t="shared" ca="1" si="451"/>
        <v>536</v>
      </c>
      <c r="AO154" s="15" t="str">
        <f t="shared" ca="1" si="452"/>
        <v>VIGENTE</v>
      </c>
      <c r="AP154" s="14">
        <v>45349</v>
      </c>
      <c r="AQ154" s="14">
        <v>45989</v>
      </c>
      <c r="AR154" s="14">
        <f>DATE(YEAR(AQ154)+2,MONTH(AQ154),DAY(AQ154))</f>
        <v>46719</v>
      </c>
      <c r="AS154" s="65">
        <f t="shared" ca="1" si="453"/>
        <v>588</v>
      </c>
      <c r="AT154" s="15" t="str">
        <f t="shared" ca="1" si="454"/>
        <v>VIGENTE</v>
      </c>
      <c r="AU154" s="14">
        <v>45323</v>
      </c>
      <c r="AV154" s="14">
        <v>45972</v>
      </c>
      <c r="AW154" s="14">
        <f>DATE(YEAR(AV154)+2,MONTH(AV154),DAY(AV154))</f>
        <v>46702</v>
      </c>
      <c r="AX154" s="65">
        <f t="shared" ca="1" si="455"/>
        <v>571</v>
      </c>
      <c r="AY154" s="15" t="str">
        <f t="shared" ca="1" si="456"/>
        <v>VIGENTE</v>
      </c>
      <c r="AZ154" s="13">
        <v>45387</v>
      </c>
      <c r="BA154" s="14">
        <v>46041</v>
      </c>
      <c r="BB154" s="14">
        <f>DATE(YEAR(BA154)+2,MONTH(BA154),DAY(BA154))</f>
        <v>46771</v>
      </c>
      <c r="BC154" s="65">
        <f t="shared" ca="1" si="457"/>
        <v>640</v>
      </c>
      <c r="BD154" s="15" t="str">
        <f t="shared" ca="1" si="458"/>
        <v>VIGENTE</v>
      </c>
      <c r="BE154" s="16"/>
      <c r="BF154" s="14">
        <v>45997</v>
      </c>
      <c r="BG154" s="14">
        <f t="shared" si="571"/>
        <v>46727</v>
      </c>
      <c r="BH154" s="65">
        <f t="shared" ca="1" si="459"/>
        <v>596</v>
      </c>
      <c r="BI154" s="15" t="str">
        <f t="shared" ca="1" si="460"/>
        <v>VIGENTE</v>
      </c>
      <c r="BJ154" s="14">
        <v>45348</v>
      </c>
      <c r="BK154" s="14">
        <v>46017</v>
      </c>
      <c r="BL154" s="14">
        <f>DATE(YEAR(BK154)+2,MONTH(BK154),DAY(BK154))</f>
        <v>46747</v>
      </c>
      <c r="BM154" s="65">
        <f t="shared" ca="1" si="461"/>
        <v>616</v>
      </c>
      <c r="BN154" s="15" t="str">
        <f t="shared" ca="1" si="462"/>
        <v>VIGENTE</v>
      </c>
      <c r="BO154" s="14"/>
      <c r="BP154" s="14">
        <v>46050</v>
      </c>
      <c r="BQ154" s="14">
        <f>DATE(YEAR(BP154)+2,MONTH(BP154),DAY(BP154))</f>
        <v>46780</v>
      </c>
      <c r="BR154" s="65">
        <f t="shared" ca="1" si="463"/>
        <v>649</v>
      </c>
      <c r="BS154" s="15" t="str">
        <f t="shared" ca="1" si="464"/>
        <v>VIGENTE</v>
      </c>
      <c r="BT154" s="13">
        <v>45362</v>
      </c>
      <c r="BU154" s="14">
        <v>46031</v>
      </c>
      <c r="BV154" s="14">
        <f>DATE(YEAR(BU154)+2,MONTH(BU154),DAY(BU154))</f>
        <v>46761</v>
      </c>
      <c r="BW154" s="65">
        <f t="shared" ca="1" si="465"/>
        <v>630</v>
      </c>
      <c r="BX154" s="15" t="str">
        <f t="shared" ca="1" si="466"/>
        <v>VIGENTE</v>
      </c>
      <c r="BY154" s="16"/>
      <c r="BZ154" s="14">
        <v>45986</v>
      </c>
      <c r="CA154" s="14">
        <f t="shared" si="563"/>
        <v>46716</v>
      </c>
      <c r="CB154" s="65">
        <f t="shared" ca="1" si="467"/>
        <v>585</v>
      </c>
      <c r="CC154" s="15" t="str">
        <f t="shared" ca="1" si="468"/>
        <v>VIGENTE</v>
      </c>
      <c r="CD154" s="16" t="s">
        <v>102</v>
      </c>
      <c r="CE154" s="14">
        <v>45722</v>
      </c>
      <c r="CF154" s="14">
        <v>45723</v>
      </c>
      <c r="CG154" s="14">
        <f t="shared" si="408"/>
        <v>47184</v>
      </c>
      <c r="CH154" s="65">
        <f t="shared" ca="1" si="409"/>
        <v>1053</v>
      </c>
      <c r="CI154" s="15" t="str">
        <f t="shared" ca="1" si="562"/>
        <v>VIGENTE</v>
      </c>
      <c r="CJ154" s="14">
        <v>45353</v>
      </c>
      <c r="CK154" s="14">
        <v>46018</v>
      </c>
      <c r="CL154" s="14">
        <f>DATE(YEAR(CK154)+2,MONTH(CK154),DAY(CK154))</f>
        <v>46748</v>
      </c>
      <c r="CM154" s="65">
        <f t="shared" ca="1" si="469"/>
        <v>617</v>
      </c>
      <c r="CN154" s="15" t="str">
        <f t="shared" ca="1" si="470"/>
        <v>VIGENTE</v>
      </c>
      <c r="CO154" s="14">
        <v>45305</v>
      </c>
      <c r="CP154" s="14">
        <v>45979</v>
      </c>
      <c r="CQ154" s="14">
        <f>DATE(YEAR(CP154)+2,MONTH(CP154),DAY(CP154))</f>
        <v>46709</v>
      </c>
      <c r="CR154" s="65">
        <f t="shared" ca="1" si="471"/>
        <v>578</v>
      </c>
      <c r="CS154" s="15" t="str">
        <f t="shared" ca="1" si="472"/>
        <v>VIGENTE</v>
      </c>
      <c r="CT154" s="14">
        <v>45408</v>
      </c>
      <c r="CU154" s="14">
        <v>46043</v>
      </c>
      <c r="CV154" s="14">
        <f>DATE(YEAR(CU154)+2,MONTH(CU154),DAY(CU154))</f>
        <v>46773</v>
      </c>
      <c r="CW154" s="65">
        <f t="shared" ca="1" si="473"/>
        <v>642</v>
      </c>
      <c r="CX154" s="15" t="str">
        <f t="shared" ca="1" si="474"/>
        <v>VIGENTE</v>
      </c>
      <c r="CY154" s="14"/>
      <c r="CZ154" s="14">
        <v>46000</v>
      </c>
      <c r="DA154" s="14">
        <f>DATE(YEAR(CZ154)+2,MONTH(CZ154),DAY(CZ154))</f>
        <v>46730</v>
      </c>
      <c r="DB154" s="65">
        <f t="shared" ca="1" si="475"/>
        <v>599</v>
      </c>
      <c r="DC154" s="15" t="str">
        <f t="shared" ca="1" si="476"/>
        <v>VIGENTE</v>
      </c>
      <c r="DD154" s="13">
        <v>45328</v>
      </c>
      <c r="DE154" s="14">
        <v>45996</v>
      </c>
      <c r="DF154" s="14">
        <f>DATE(YEAR(DE154)+2,MONTH(DE154),DAY(DE154))</f>
        <v>46726</v>
      </c>
      <c r="DG154" s="65">
        <f t="shared" ca="1" si="477"/>
        <v>595</v>
      </c>
      <c r="DH154" s="15" t="str">
        <f t="shared" ca="1" si="478"/>
        <v>VIGENTE</v>
      </c>
      <c r="DI154" s="14">
        <v>45312</v>
      </c>
      <c r="DJ154" s="14">
        <v>45975</v>
      </c>
      <c r="DK154" s="14">
        <f>DATE(YEAR(DJ154)+2,MONTH(DJ154),DAY(DJ154))</f>
        <v>46705</v>
      </c>
      <c r="DL154" s="65">
        <f t="shared" ca="1" si="479"/>
        <v>574</v>
      </c>
      <c r="DM154" s="15" t="str">
        <f t="shared" ca="1" si="480"/>
        <v>VIGENTE</v>
      </c>
      <c r="DN154" s="14">
        <v>45345</v>
      </c>
      <c r="DO154" s="14">
        <v>45982</v>
      </c>
      <c r="DP154" s="14">
        <f>DATE(YEAR(DO154)+2,MONTH(DO154),DAY(DO154))</f>
        <v>46712</v>
      </c>
      <c r="DQ154" s="65">
        <f t="shared" ca="1" si="481"/>
        <v>581</v>
      </c>
      <c r="DR154" s="15" t="str">
        <f t="shared" ca="1" si="482"/>
        <v>VIGENTE</v>
      </c>
      <c r="DS154" s="14">
        <v>45336</v>
      </c>
      <c r="DT154" s="13">
        <v>46009</v>
      </c>
      <c r="DU154" s="14">
        <f>DATE(YEAR(DT154)+2,MONTH(DT154),DAY(DT154))</f>
        <v>46739</v>
      </c>
      <c r="DV154" s="65">
        <f t="shared" ca="1" si="483"/>
        <v>608</v>
      </c>
      <c r="DW154" s="15" t="str">
        <f t="shared" ca="1" si="484"/>
        <v>VIGENTE</v>
      </c>
      <c r="DX154" s="14">
        <v>45355</v>
      </c>
      <c r="DY154" s="14">
        <v>46032</v>
      </c>
      <c r="DZ154" s="14">
        <f>DATE(YEAR(DY154)+2,MONTH(DY154),DAY(DY154))</f>
        <v>46762</v>
      </c>
      <c r="EA154" s="65">
        <f t="shared" ca="1" si="485"/>
        <v>631</v>
      </c>
      <c r="EB154" s="15" t="str">
        <f t="shared" ca="1" si="486"/>
        <v>VIGENTE</v>
      </c>
      <c r="EC154" s="14">
        <v>45341</v>
      </c>
      <c r="ED154" s="14">
        <v>45994</v>
      </c>
      <c r="EE154" s="14">
        <f>DATE(YEAR(ED154)+2,MONTH(ED154),DAY(ED154))</f>
        <v>46724</v>
      </c>
      <c r="EF154" s="65">
        <f t="shared" ca="1" si="487"/>
        <v>593</v>
      </c>
      <c r="EG154" s="15" t="str">
        <f t="shared" ca="1" si="488"/>
        <v>VIGENTE</v>
      </c>
      <c r="EH154" s="14"/>
      <c r="EI154" s="13">
        <v>46013</v>
      </c>
      <c r="EJ154" s="13">
        <v>46014</v>
      </c>
      <c r="EK154" s="13">
        <v>46015</v>
      </c>
      <c r="EL154" s="14">
        <f t="shared" si="546"/>
        <v>46380</v>
      </c>
      <c r="EM154" s="65">
        <f t="shared" ca="1" si="489"/>
        <v>249</v>
      </c>
      <c r="EN154" s="15" t="str">
        <f t="shared" ca="1" si="490"/>
        <v>VIGENTE</v>
      </c>
      <c r="EO154" s="13">
        <v>45346</v>
      </c>
      <c r="EP154" s="14">
        <v>45983</v>
      </c>
      <c r="EQ154" s="14">
        <f>DATE(YEAR(EP154)+2,MONTH(EP154),DAY(EP154))</f>
        <v>46713</v>
      </c>
      <c r="ER154" s="65">
        <f t="shared" ca="1" si="491"/>
        <v>582</v>
      </c>
      <c r="ES154" s="15" t="str">
        <f t="shared" ca="1" si="492"/>
        <v>VIGENTE</v>
      </c>
      <c r="ET154" s="16"/>
      <c r="EU154" s="14">
        <v>45999</v>
      </c>
      <c r="EV154" s="14">
        <f>DATE(YEAR(EU154)+2,MONTH(EU154),DAY(EU154))</f>
        <v>46729</v>
      </c>
      <c r="EW154" s="65">
        <f t="shared" ca="1" si="493"/>
        <v>598</v>
      </c>
      <c r="EX154" s="15" t="str">
        <f t="shared" ca="1" si="494"/>
        <v>VIGENTE</v>
      </c>
      <c r="EY154" s="14">
        <v>45339</v>
      </c>
      <c r="EZ154" s="14">
        <v>45964</v>
      </c>
      <c r="FA154" s="14">
        <f t="shared" si="564"/>
        <v>46694</v>
      </c>
      <c r="FB154" s="65">
        <f t="shared" ca="1" si="495"/>
        <v>563</v>
      </c>
      <c r="FC154" s="15" t="str">
        <f t="shared" ca="1" si="496"/>
        <v>VIGENTE</v>
      </c>
      <c r="FD154" s="16"/>
      <c r="FE154" s="14">
        <v>45988</v>
      </c>
      <c r="FF154" s="14">
        <f t="shared" si="565"/>
        <v>46718</v>
      </c>
      <c r="FG154" s="65">
        <f t="shared" ca="1" si="497"/>
        <v>587</v>
      </c>
      <c r="FH154" s="15" t="str">
        <f t="shared" ca="1" si="498"/>
        <v>VIGENTE</v>
      </c>
      <c r="FI154" s="14">
        <v>45342</v>
      </c>
      <c r="FJ154" s="14">
        <v>45962</v>
      </c>
      <c r="FK154" s="14">
        <f>DATE(YEAR(FJ154)+2,MONTH(FJ154),DAY(FJ154))</f>
        <v>46692</v>
      </c>
      <c r="FL154" s="65">
        <f t="shared" ca="1" si="499"/>
        <v>561</v>
      </c>
      <c r="FM154" s="15" t="str">
        <f t="shared" ca="1" si="500"/>
        <v>VIGENTE</v>
      </c>
      <c r="FN154" s="14">
        <v>45359</v>
      </c>
      <c r="FO154" s="14">
        <v>46039</v>
      </c>
      <c r="FP154" s="14">
        <f>DATE(YEAR(FO154)+2,MONTH(FO154),DAY(FO154))</f>
        <v>46769</v>
      </c>
      <c r="FQ154" s="65">
        <f t="shared" ca="1" si="501"/>
        <v>638</v>
      </c>
      <c r="FR154" s="15" t="str">
        <f t="shared" ca="1" si="502"/>
        <v>VIGENTE</v>
      </c>
      <c r="FS154" s="14">
        <v>45358</v>
      </c>
      <c r="FT154" s="14">
        <v>46034</v>
      </c>
      <c r="FU154" s="14">
        <f>DATE(YEAR(FT154)+2,MONTH(FT154),DAY(FT154))</f>
        <v>46764</v>
      </c>
      <c r="FV154" s="65">
        <f t="shared" ca="1" si="503"/>
        <v>633</v>
      </c>
      <c r="FW154" s="15" t="str">
        <f t="shared" ca="1" si="504"/>
        <v>VIGENTE</v>
      </c>
      <c r="FX154" s="14">
        <v>45324</v>
      </c>
      <c r="FY154" s="14">
        <v>46004</v>
      </c>
      <c r="FZ154" s="14">
        <f>DATE(YEAR(FY154)+2,MONTH(FY154),DAY(FY154))</f>
        <v>46734</v>
      </c>
      <c r="GA154" s="65">
        <f t="shared" ca="1" si="505"/>
        <v>603</v>
      </c>
      <c r="GB154" s="15" t="str">
        <f t="shared" ca="1" si="506"/>
        <v>VIGENTE</v>
      </c>
      <c r="GC154" s="14"/>
      <c r="GD154" s="14">
        <v>45925</v>
      </c>
      <c r="GE154" s="14">
        <f>DATE(YEAR(GD154)+2,MONTH(GD154),DAY(GD154))</f>
        <v>46655</v>
      </c>
      <c r="GF154" s="65">
        <f t="shared" ca="1" si="507"/>
        <v>524</v>
      </c>
      <c r="GG154" s="15" t="str">
        <f t="shared" ca="1" si="508"/>
        <v>VIGENTE</v>
      </c>
      <c r="GH154" s="14">
        <v>45332</v>
      </c>
      <c r="GI154" s="14">
        <v>45960</v>
      </c>
      <c r="GJ154" s="14">
        <f>DATE(YEAR(GI154)+2,MONTH(GI154),DAY(GI154))</f>
        <v>46690</v>
      </c>
      <c r="GK154" s="65">
        <f t="shared" ca="1" si="509"/>
        <v>559</v>
      </c>
      <c r="GL154" s="15" t="str">
        <f t="shared" ca="1" si="510"/>
        <v>VIGENTE</v>
      </c>
      <c r="GM154" s="14"/>
      <c r="GN154" s="14">
        <v>45499</v>
      </c>
      <c r="GO154" s="14">
        <f>DATE(YEAR(GN154)+2,MONTH(GN154),DAY(GN154)-1)</f>
        <v>46228</v>
      </c>
      <c r="GP154" s="65">
        <f t="shared" ca="1" si="511"/>
        <v>97</v>
      </c>
      <c r="GQ154" s="15" t="str">
        <f t="shared" ca="1" si="512"/>
        <v>VIGENTE</v>
      </c>
      <c r="GR154" s="14"/>
      <c r="GS154" s="14">
        <v>45299</v>
      </c>
      <c r="GT154" s="14">
        <f t="shared" si="513"/>
        <v>47126</v>
      </c>
      <c r="GU154" s="65">
        <f t="shared" ca="1" si="398"/>
        <v>995</v>
      </c>
      <c r="GV154" s="15" t="str">
        <f t="shared" ca="1" si="411"/>
        <v>VIGENTE</v>
      </c>
      <c r="GW154" s="14"/>
      <c r="GX154" s="14">
        <v>45329</v>
      </c>
      <c r="GY154" s="14">
        <f t="shared" si="514"/>
        <v>47156</v>
      </c>
      <c r="GZ154" s="65">
        <f t="shared" ca="1" si="515"/>
        <v>1025</v>
      </c>
      <c r="HA154" s="15" t="str">
        <f t="shared" ca="1" si="418"/>
        <v>VIGENTE</v>
      </c>
      <c r="HB154" s="16"/>
      <c r="HC154" s="14">
        <v>45343</v>
      </c>
      <c r="HD154" s="14">
        <f t="shared" si="516"/>
        <v>47170</v>
      </c>
      <c r="HE154" s="65">
        <f t="shared" ca="1" si="517"/>
        <v>1039</v>
      </c>
      <c r="HF154" s="15" t="str">
        <f t="shared" ca="1" si="413"/>
        <v>VIGENTE</v>
      </c>
      <c r="HG154" s="16"/>
      <c r="HH154" s="14">
        <v>45317</v>
      </c>
      <c r="HI154" s="14">
        <f t="shared" si="572"/>
        <v>47144</v>
      </c>
      <c r="HJ154" s="65">
        <f t="shared" ca="1" si="573"/>
        <v>1013</v>
      </c>
      <c r="HK154" s="15" t="str">
        <f t="shared" ca="1" si="419"/>
        <v>VIGENTE</v>
      </c>
      <c r="HL154" s="16"/>
      <c r="HM154" s="16"/>
      <c r="HN154" s="14"/>
      <c r="HO154" s="65"/>
      <c r="HP154" s="15" t="str">
        <f t="shared" si="437"/>
        <v>NO APLICA</v>
      </c>
      <c r="HQ154" s="12"/>
      <c r="HR154" s="12"/>
      <c r="HS154" s="14"/>
      <c r="HT154" s="12"/>
      <c r="HU154" s="15" t="str">
        <f t="shared" si="518"/>
        <v>NO APLICA</v>
      </c>
      <c r="HV154" s="16"/>
      <c r="HW154" s="16"/>
      <c r="HX154" s="14"/>
      <c r="HY154" s="65"/>
      <c r="HZ154" s="15" t="str">
        <f t="shared" si="519"/>
        <v>NO APLICA</v>
      </c>
      <c r="IA154" s="16"/>
      <c r="IB154" s="16"/>
      <c r="IC154" s="14"/>
      <c r="ID154" s="65"/>
      <c r="IE154" s="15" t="str">
        <f t="shared" si="520"/>
        <v>NO APLICA</v>
      </c>
      <c r="IF154" s="16"/>
      <c r="IG154" s="16"/>
      <c r="IH154" s="14"/>
      <c r="II154" s="65"/>
      <c r="IJ154" s="15" t="str">
        <f t="shared" si="521"/>
        <v>NO APLICA</v>
      </c>
      <c r="IK154" s="16"/>
      <c r="IL154" s="16"/>
      <c r="IM154" s="14"/>
      <c r="IN154" s="16"/>
      <c r="IO154" s="15" t="str">
        <f t="shared" si="522"/>
        <v>NO APLICA</v>
      </c>
      <c r="IP154" s="16"/>
      <c r="IQ154" s="16"/>
      <c r="IR154" s="14"/>
      <c r="IS154" s="65"/>
      <c r="IT154" s="15" t="str">
        <f t="shared" si="523"/>
        <v>NO APLICA</v>
      </c>
      <c r="IU154" s="16"/>
      <c r="IV154" s="16"/>
      <c r="IW154" s="14"/>
      <c r="IX154" s="65"/>
      <c r="IY154" s="15" t="str">
        <f t="shared" si="524"/>
        <v>NO APLICA</v>
      </c>
      <c r="IZ154" s="16"/>
      <c r="JA154" s="16"/>
      <c r="JB154" s="14"/>
      <c r="JC154" s="65"/>
      <c r="JD154" s="15" t="str">
        <f t="shared" si="525"/>
        <v>NO APLICA</v>
      </c>
      <c r="JE154" s="13"/>
      <c r="JF154" s="13"/>
      <c r="JG154" s="14"/>
      <c r="JH154" s="65"/>
      <c r="JI154" s="15" t="str">
        <f t="shared" si="526"/>
        <v>NO APLICA</v>
      </c>
      <c r="JJ154" s="16"/>
      <c r="JK154" s="16"/>
      <c r="JL154" s="16"/>
      <c r="JM154" s="15" t="str">
        <f t="shared" si="527"/>
        <v>NO APLICA</v>
      </c>
      <c r="JN154" s="16"/>
      <c r="JO154" s="16"/>
      <c r="JP154" s="16"/>
      <c r="JQ154" s="15" t="str">
        <f t="shared" si="528"/>
        <v>NO APLICA</v>
      </c>
      <c r="JR154" s="16"/>
      <c r="JS154" s="16"/>
      <c r="JT154" s="16"/>
      <c r="JU154" s="16"/>
      <c r="JV154" s="15" t="str">
        <f t="shared" si="529"/>
        <v>NO APLICA</v>
      </c>
      <c r="JW154" s="15"/>
      <c r="JX154" s="15"/>
      <c r="JY154" s="15"/>
      <c r="JZ154" s="15"/>
      <c r="KA154" s="15" t="str">
        <f t="shared" si="530"/>
        <v>NO APLICA</v>
      </c>
      <c r="KB154" s="12"/>
      <c r="KC154" s="14"/>
      <c r="KD154" s="65"/>
      <c r="KE154" s="15" t="str">
        <f t="shared" si="531"/>
        <v>NO APLICA</v>
      </c>
      <c r="KF154" s="12"/>
      <c r="KG154" s="14"/>
      <c r="KH154" s="65"/>
      <c r="KI154" s="15" t="str">
        <f t="shared" si="547"/>
        <v>NO APLICA</v>
      </c>
      <c r="KJ154" s="12"/>
      <c r="KK154" s="14"/>
      <c r="KL154" s="65"/>
      <c r="KM154" s="15" t="str">
        <f t="shared" si="532"/>
        <v>NO APLICA</v>
      </c>
      <c r="KN154" s="13">
        <v>45346</v>
      </c>
      <c r="KO154" s="14">
        <f>DATE(YEAR(KN154)+5,MONTH(KN154),DAY(KN154))</f>
        <v>47173</v>
      </c>
      <c r="KP154" s="65">
        <f ca="1">KO154-TODAY()</f>
        <v>1042</v>
      </c>
      <c r="KQ154" s="15" t="str">
        <f t="shared" ca="1" si="548"/>
        <v>VIGENTE</v>
      </c>
      <c r="KR154" s="16"/>
      <c r="KS154" s="16"/>
      <c r="KT154" s="14"/>
      <c r="KU154" s="16"/>
      <c r="KV154" s="15" t="str">
        <f t="shared" si="554"/>
        <v>NO APLICA</v>
      </c>
      <c r="KW154" s="16"/>
      <c r="KX154" s="14"/>
      <c r="KY154" s="16"/>
      <c r="KZ154" s="15" t="str">
        <f t="shared" si="549"/>
        <v>NO APLICA</v>
      </c>
      <c r="LA154" s="16"/>
      <c r="LB154" s="16"/>
      <c r="LC154" s="16"/>
      <c r="LD154" s="16"/>
      <c r="LE154" s="15" t="str">
        <f t="shared" si="556"/>
        <v>NO APLICA</v>
      </c>
      <c r="LF154" s="15"/>
      <c r="LG154" s="15"/>
      <c r="LH154" s="14"/>
      <c r="LI154" s="65"/>
      <c r="LJ154" s="15" t="str">
        <f t="shared" si="555"/>
        <v>NO APLICA</v>
      </c>
      <c r="LK154" s="16"/>
      <c r="LL154" s="16"/>
      <c r="LM154" s="14"/>
      <c r="LN154" s="65"/>
      <c r="LO154" s="15" t="str">
        <f t="shared" si="550"/>
        <v>NO APLICA</v>
      </c>
      <c r="LP154" s="16"/>
      <c r="LQ154" s="16"/>
      <c r="LR154" s="14"/>
      <c r="LS154" s="16"/>
      <c r="LT154" s="15" t="str">
        <f t="shared" si="551"/>
        <v>NO APLICA</v>
      </c>
      <c r="LU154" s="16"/>
      <c r="LV154" s="16"/>
      <c r="LW154" s="14"/>
      <c r="LX154" s="16"/>
      <c r="LY154" s="15" t="str">
        <f t="shared" si="552"/>
        <v>NO APLICA</v>
      </c>
      <c r="LZ154" s="16"/>
      <c r="MA154" s="16"/>
      <c r="MB154" s="14"/>
      <c r="MC154" s="16"/>
      <c r="MD154" s="15" t="str">
        <f t="shared" si="534"/>
        <v>NO APLICA</v>
      </c>
      <c r="ME154" s="16"/>
      <c r="MF154" s="16"/>
      <c r="MG154" s="14"/>
      <c r="MH154" s="16"/>
      <c r="MI154" s="15" t="str">
        <f t="shared" si="535"/>
        <v>NO APLICA</v>
      </c>
      <c r="MJ154" s="16"/>
      <c r="MK154" s="14"/>
      <c r="ML154" s="16"/>
      <c r="MM154" s="15" t="str">
        <f t="shared" si="536"/>
        <v>NO APLICA</v>
      </c>
      <c r="MN154" s="16"/>
      <c r="MO154" s="16"/>
      <c r="MP154" s="16"/>
      <c r="MQ154" s="15" t="str">
        <f t="shared" si="537"/>
        <v>NO APLICA</v>
      </c>
      <c r="MR154" s="16"/>
      <c r="MS154" s="16"/>
      <c r="MT154" s="14"/>
      <c r="MU154" s="16"/>
      <c r="MV154" s="15" t="str">
        <f t="shared" si="538"/>
        <v>NO APLICA</v>
      </c>
      <c r="MW154" s="16"/>
      <c r="MX154" s="16"/>
      <c r="MY154" s="14"/>
      <c r="MZ154" s="16"/>
      <c r="NA154" s="15" t="str">
        <f t="shared" si="539"/>
        <v>NO APLICA</v>
      </c>
      <c r="NB154" s="16"/>
      <c r="NC154" s="16"/>
      <c r="ND154" s="14"/>
      <c r="NE154" s="16"/>
      <c r="NF154" s="15" t="str">
        <f t="shared" si="540"/>
        <v>NO APLICA</v>
      </c>
      <c r="NG154" s="16"/>
      <c r="NH154" s="16"/>
      <c r="NI154" s="14"/>
      <c r="NJ154" s="16"/>
      <c r="NK154" s="15" t="str">
        <f t="shared" si="541"/>
        <v>NO APLICA</v>
      </c>
      <c r="NL154" s="16"/>
      <c r="NM154" s="16"/>
      <c r="NN154" s="14"/>
      <c r="NO154" s="16"/>
      <c r="NP154" s="15" t="str">
        <f t="shared" si="542"/>
        <v>NO APLICA</v>
      </c>
      <c r="NQ154" s="16"/>
      <c r="NR154" s="14">
        <v>45320</v>
      </c>
      <c r="NS154" s="14">
        <f>DATE(YEAR(NR154)+2,MONTH(NR154),DAY(NR154))</f>
        <v>46051</v>
      </c>
      <c r="NT154" s="65">
        <f ca="1">NS154-TODAY()</f>
        <v>-80</v>
      </c>
      <c r="NU154" s="15" t="str">
        <f t="shared" ca="1" si="543"/>
        <v>VENCIDA</v>
      </c>
      <c r="NV154" s="16"/>
      <c r="NW154" s="16"/>
      <c r="NX154" s="16"/>
      <c r="NY154" s="16"/>
      <c r="NZ154" s="15" t="str">
        <f t="shared" si="544"/>
        <v>NO APLICA</v>
      </c>
    </row>
    <row r="155" spans="1:390" ht="15.6" thickTop="1" thickBot="1" x14ac:dyDescent="0.35">
      <c r="A155" s="11">
        <v>1629</v>
      </c>
      <c r="B155" s="10" t="s">
        <v>559</v>
      </c>
      <c r="C155" s="21" t="s">
        <v>104</v>
      </c>
      <c r="D155" s="64" t="s">
        <v>110</v>
      </c>
      <c r="E155" s="15"/>
      <c r="F155" s="16"/>
      <c r="G155" s="14"/>
      <c r="H155" s="65"/>
      <c r="I155" s="15" t="str">
        <f t="shared" si="448"/>
        <v>NO APLICA</v>
      </c>
      <c r="J155" s="15"/>
      <c r="K155" s="16"/>
      <c r="L155" s="16"/>
      <c r="M155" s="65"/>
      <c r="N155" s="15" t="str">
        <f t="shared" si="449"/>
        <v>NO APLICA</v>
      </c>
      <c r="O155" s="16"/>
      <c r="P155" s="16"/>
      <c r="Q155" s="14"/>
      <c r="R155" s="65"/>
      <c r="S155" s="15" t="str">
        <f t="shared" si="545"/>
        <v>NO APLICA</v>
      </c>
      <c r="T155" s="12" t="s">
        <v>560</v>
      </c>
      <c r="U155" s="13">
        <v>44763</v>
      </c>
      <c r="V155" s="14">
        <v>44764</v>
      </c>
      <c r="W155" s="14">
        <f t="shared" si="401"/>
        <v>46590</v>
      </c>
      <c r="X155" s="65">
        <f t="shared" ca="1" si="402"/>
        <v>459</v>
      </c>
      <c r="Y155" s="15" t="str">
        <f t="shared" ca="1" si="403"/>
        <v>VIGENTE</v>
      </c>
      <c r="Z155" s="12" t="s">
        <v>561</v>
      </c>
      <c r="AA155" s="13">
        <v>44987</v>
      </c>
      <c r="AB155" s="14">
        <v>44988</v>
      </c>
      <c r="AC155" s="14">
        <f>DATE(YEAR(AB155)+5,MONTH(AB155),DAY(AB155))</f>
        <v>46815</v>
      </c>
      <c r="AD155" s="65">
        <f ca="1">AC155-TODAY()</f>
        <v>684</v>
      </c>
      <c r="AE155" s="15" t="str">
        <f t="shared" ref="AE155:AE174" ca="1" si="574">IF(AD155&gt;=91,"VIGENTE",IF(AD155&gt;=1,"POR VENCER",IF(AD155&lt;=-1,"VENCIDA",IF(AB155=0,"NO APLICA"))))</f>
        <v>VIGENTE</v>
      </c>
      <c r="AF155" s="13">
        <v>44929</v>
      </c>
      <c r="AG155" s="14">
        <v>45589</v>
      </c>
      <c r="AH155" s="14">
        <f>DATE(YEAR(AG155)+2,MONTH(AG155),DAY(AG155)-1)</f>
        <v>46318</v>
      </c>
      <c r="AI155" s="65">
        <f t="shared" ca="1" si="450"/>
        <v>187</v>
      </c>
      <c r="AJ155" s="15" t="str">
        <f t="shared" ca="1" si="399"/>
        <v>VIGENTE</v>
      </c>
      <c r="AK155" s="13">
        <v>44723</v>
      </c>
      <c r="AL155" s="14">
        <v>46062</v>
      </c>
      <c r="AM155" s="14">
        <f t="shared" si="561"/>
        <v>46792</v>
      </c>
      <c r="AN155" s="65">
        <f t="shared" ca="1" si="451"/>
        <v>661</v>
      </c>
      <c r="AO155" s="15" t="str">
        <f t="shared" ca="1" si="452"/>
        <v>VIGENTE</v>
      </c>
      <c r="AP155" s="13">
        <v>44724</v>
      </c>
      <c r="AQ155" s="14">
        <v>46048</v>
      </c>
      <c r="AR155" s="14">
        <f>DATE(YEAR(AQ155)+2,MONTH(AQ155),DAY(AQ155))</f>
        <v>46778</v>
      </c>
      <c r="AS155" s="65">
        <f t="shared" ca="1" si="453"/>
        <v>647</v>
      </c>
      <c r="AT155" s="15" t="str">
        <f t="shared" ca="1" si="454"/>
        <v>VIGENTE</v>
      </c>
      <c r="AU155" s="13">
        <v>44725</v>
      </c>
      <c r="AV155" s="14">
        <v>46070</v>
      </c>
      <c r="AW155" s="14">
        <f>DATE(YEAR(AV155)+2,MONTH(AV155),DAY(AV155))</f>
        <v>46800</v>
      </c>
      <c r="AX155" s="65">
        <f t="shared" ca="1" si="455"/>
        <v>669</v>
      </c>
      <c r="AY155" s="15" t="str">
        <f t="shared" ca="1" si="456"/>
        <v>VIGENTE</v>
      </c>
      <c r="AZ155" s="13">
        <v>45387</v>
      </c>
      <c r="BA155" s="14">
        <v>46041</v>
      </c>
      <c r="BB155" s="14">
        <f>DATE(YEAR(BA155)+2,MONTH(BA155),DAY(BA155))</f>
        <v>46771</v>
      </c>
      <c r="BC155" s="65">
        <f t="shared" ca="1" si="457"/>
        <v>640</v>
      </c>
      <c r="BD155" s="15" t="str">
        <f t="shared" ca="1" si="458"/>
        <v>VIGENTE</v>
      </c>
      <c r="BE155" s="13">
        <v>44727</v>
      </c>
      <c r="BF155" s="14">
        <v>45987</v>
      </c>
      <c r="BG155" s="14">
        <f t="shared" si="571"/>
        <v>46717</v>
      </c>
      <c r="BH155" s="65">
        <f t="shared" ca="1" si="459"/>
        <v>586</v>
      </c>
      <c r="BI155" s="15" t="str">
        <f t="shared" ca="1" si="460"/>
        <v>VIGENTE</v>
      </c>
      <c r="BJ155" s="13">
        <v>44795</v>
      </c>
      <c r="BK155" s="14">
        <v>46056</v>
      </c>
      <c r="BL155" s="14">
        <f>DATE(YEAR(BK155)+2,MONTH(BK155),DAY(BK155))</f>
        <v>46786</v>
      </c>
      <c r="BM155" s="65">
        <f t="shared" ca="1" si="461"/>
        <v>655</v>
      </c>
      <c r="BN155" s="15" t="str">
        <f t="shared" ca="1" si="462"/>
        <v>VIGENTE</v>
      </c>
      <c r="BO155" s="13">
        <v>44729</v>
      </c>
      <c r="BP155" s="14">
        <v>46069</v>
      </c>
      <c r="BQ155" s="14">
        <f>DATE(YEAR(BP155)+2,MONTH(BP155),DAY(BP155))</f>
        <v>46799</v>
      </c>
      <c r="BR155" s="65">
        <f t="shared" ca="1" si="463"/>
        <v>668</v>
      </c>
      <c r="BS155" s="15" t="str">
        <f t="shared" ca="1" si="464"/>
        <v>VIGENTE</v>
      </c>
      <c r="BT155" s="13">
        <v>44730</v>
      </c>
      <c r="BU155" s="14">
        <v>46063</v>
      </c>
      <c r="BV155" s="14">
        <f>DATE(YEAR(BU155)+2,MONTH(BU155),DAY(BU155))</f>
        <v>46793</v>
      </c>
      <c r="BW155" s="65">
        <f t="shared" ca="1" si="465"/>
        <v>662</v>
      </c>
      <c r="BX155" s="15" t="str">
        <f t="shared" ca="1" si="466"/>
        <v>VIGENTE</v>
      </c>
      <c r="BY155" s="13">
        <v>44731</v>
      </c>
      <c r="BZ155" s="14">
        <v>46065</v>
      </c>
      <c r="CA155" s="14">
        <f t="shared" si="563"/>
        <v>46795</v>
      </c>
      <c r="CB155" s="65">
        <f t="shared" ca="1" si="467"/>
        <v>664</v>
      </c>
      <c r="CC155" s="15" t="str">
        <f t="shared" ca="1" si="468"/>
        <v>VIGENTE</v>
      </c>
      <c r="CD155" s="16" t="s">
        <v>108</v>
      </c>
      <c r="CE155" s="14">
        <v>45240</v>
      </c>
      <c r="CF155" s="14">
        <v>45241</v>
      </c>
      <c r="CG155" s="14">
        <f t="shared" si="408"/>
        <v>46702</v>
      </c>
      <c r="CH155" s="65">
        <f t="shared" ca="1" si="409"/>
        <v>571</v>
      </c>
      <c r="CI155" s="15" t="str">
        <f t="shared" ca="1" si="562"/>
        <v>VIGENTE</v>
      </c>
      <c r="CJ155" s="14">
        <v>44733</v>
      </c>
      <c r="CK155" s="14">
        <v>46064</v>
      </c>
      <c r="CL155" s="14">
        <f>DATE(YEAR(CK155)+2,MONTH(CK155),DAY(CK155))</f>
        <v>46794</v>
      </c>
      <c r="CM155" s="65">
        <f t="shared" ca="1" si="469"/>
        <v>663</v>
      </c>
      <c r="CN155" s="15" t="str">
        <f t="shared" ca="1" si="470"/>
        <v>VIGENTE</v>
      </c>
      <c r="CO155" s="13">
        <v>45428</v>
      </c>
      <c r="CP155" s="14">
        <v>46101</v>
      </c>
      <c r="CQ155" s="14">
        <f>DATE(YEAR(CP155)+2,MONTH(CP155),DAY(CP155))</f>
        <v>46832</v>
      </c>
      <c r="CR155" s="65">
        <f t="shared" ca="1" si="471"/>
        <v>701</v>
      </c>
      <c r="CS155" s="15" t="str">
        <f t="shared" ca="1" si="472"/>
        <v>VIGENTE</v>
      </c>
      <c r="CT155" s="13">
        <v>45408</v>
      </c>
      <c r="CU155" s="14">
        <v>46043</v>
      </c>
      <c r="CV155" s="14">
        <f>DATE(YEAR(CU155)+2,MONTH(CU155),DAY(CU155))</f>
        <v>46773</v>
      </c>
      <c r="CW155" s="65">
        <f t="shared" ca="1" si="473"/>
        <v>642</v>
      </c>
      <c r="CX155" s="15" t="str">
        <f t="shared" ca="1" si="474"/>
        <v>VIGENTE</v>
      </c>
      <c r="CY155" s="13">
        <v>44992</v>
      </c>
      <c r="CZ155" s="14">
        <v>45661</v>
      </c>
      <c r="DA155" s="14">
        <f>DATE(YEAR(CZ155)+2,MONTH(CZ155),DAY(CZ155)-1)</f>
        <v>46390</v>
      </c>
      <c r="DB155" s="65">
        <f t="shared" ca="1" si="475"/>
        <v>259</v>
      </c>
      <c r="DC155" s="15" t="str">
        <f t="shared" ca="1" si="476"/>
        <v>VIGENTE</v>
      </c>
      <c r="DD155" s="13">
        <v>45019</v>
      </c>
      <c r="DE155" s="14">
        <v>45689</v>
      </c>
      <c r="DF155" s="14">
        <f>DATE(YEAR(DE155)+2,MONTH(DE155),DAY(DE155)-1)</f>
        <v>46418</v>
      </c>
      <c r="DG155" s="65">
        <f t="shared" ca="1" si="477"/>
        <v>287</v>
      </c>
      <c r="DH155" s="15" t="str">
        <f t="shared" ca="1" si="478"/>
        <v>VIGENTE</v>
      </c>
      <c r="DI155" s="13">
        <v>45386</v>
      </c>
      <c r="DJ155" s="14">
        <v>46029</v>
      </c>
      <c r="DK155" s="14">
        <f>DATE(YEAR(DJ155)+2,MONTH(DJ155),DAY(DJ155))</f>
        <v>46759</v>
      </c>
      <c r="DL155" s="65">
        <f t="shared" ca="1" si="479"/>
        <v>628</v>
      </c>
      <c r="DM155" s="15" t="str">
        <f t="shared" ca="1" si="480"/>
        <v>VIGENTE</v>
      </c>
      <c r="DN155" s="13">
        <v>45456</v>
      </c>
      <c r="DO155" s="14">
        <v>46088</v>
      </c>
      <c r="DP155" s="14">
        <f>DATE(YEAR(DO155)+2,MONTH(DO155),DAY(DO155))</f>
        <v>46819</v>
      </c>
      <c r="DQ155" s="65">
        <f t="shared" ca="1" si="481"/>
        <v>688</v>
      </c>
      <c r="DR155" s="15" t="str">
        <f t="shared" ca="1" si="482"/>
        <v>VIGENTE</v>
      </c>
      <c r="DS155" s="13">
        <v>44741</v>
      </c>
      <c r="DT155" s="14">
        <v>46072</v>
      </c>
      <c r="DU155" s="14">
        <f>DATE(YEAR(DT155)+2,MONTH(DT155),DAY(DT155))</f>
        <v>46802</v>
      </c>
      <c r="DV155" s="65">
        <f t="shared" ca="1" si="483"/>
        <v>671</v>
      </c>
      <c r="DW155" s="15" t="str">
        <f t="shared" ca="1" si="484"/>
        <v>VIGENTE</v>
      </c>
      <c r="DX155" s="13">
        <v>45459</v>
      </c>
      <c r="DY155" s="14">
        <v>46099</v>
      </c>
      <c r="DZ155" s="14">
        <f>DATE(YEAR(DY155)+2,MONTH(DY155),DAY(DY155))</f>
        <v>46830</v>
      </c>
      <c r="EA155" s="65">
        <f t="shared" ca="1" si="485"/>
        <v>699</v>
      </c>
      <c r="EB155" s="15" t="str">
        <f t="shared" ca="1" si="486"/>
        <v>VIGENTE</v>
      </c>
      <c r="EC155" s="13">
        <v>45424</v>
      </c>
      <c r="ED155" s="14">
        <v>46104</v>
      </c>
      <c r="EE155" s="14">
        <f>DATE(YEAR(ED155)+2,MONTH(ED155),DAY(ED155))</f>
        <v>46835</v>
      </c>
      <c r="EF155" s="65">
        <f t="shared" ca="1" si="487"/>
        <v>704</v>
      </c>
      <c r="EG155" s="15" t="str">
        <f t="shared" ca="1" si="488"/>
        <v>VIGENTE</v>
      </c>
      <c r="EH155" s="13">
        <v>45434</v>
      </c>
      <c r="EI155" s="13">
        <v>45810</v>
      </c>
      <c r="EJ155" s="13">
        <v>45811</v>
      </c>
      <c r="EK155" s="14">
        <v>45812</v>
      </c>
      <c r="EL155" s="14">
        <f t="shared" si="546"/>
        <v>46177</v>
      </c>
      <c r="EM155" s="65">
        <f t="shared" ca="1" si="489"/>
        <v>46</v>
      </c>
      <c r="EN155" s="15" t="str">
        <f t="shared" ca="1" si="490"/>
        <v>POR VENCER</v>
      </c>
      <c r="EO155" s="13">
        <v>44745</v>
      </c>
      <c r="EP155" s="14">
        <v>45460</v>
      </c>
      <c r="EQ155" s="14">
        <f>DATE(YEAR(EP155)+2,MONTH(EP155),DAY(EP155)-1)</f>
        <v>46189</v>
      </c>
      <c r="ER155" s="65">
        <f t="shared" ca="1" si="491"/>
        <v>58</v>
      </c>
      <c r="ES155" s="15" t="str">
        <f t="shared" ca="1" si="492"/>
        <v>POR VENCER</v>
      </c>
      <c r="ET155" s="13">
        <v>44746</v>
      </c>
      <c r="EU155" s="14">
        <v>46094</v>
      </c>
      <c r="EV155" s="14">
        <f>DATE(YEAR(EU155)+2,MONTH(EU155),DAY(EU155))</f>
        <v>46825</v>
      </c>
      <c r="EW155" s="65">
        <f t="shared" ca="1" si="493"/>
        <v>694</v>
      </c>
      <c r="EX155" s="15" t="str">
        <f t="shared" ca="1" si="494"/>
        <v>VIGENTE</v>
      </c>
      <c r="EY155" s="13">
        <v>44747</v>
      </c>
      <c r="EZ155" s="14">
        <v>46086</v>
      </c>
      <c r="FA155" s="14">
        <f t="shared" si="564"/>
        <v>46817</v>
      </c>
      <c r="FB155" s="65">
        <f t="shared" ca="1" si="495"/>
        <v>686</v>
      </c>
      <c r="FC155" s="15" t="str">
        <f t="shared" ca="1" si="496"/>
        <v>VIGENTE</v>
      </c>
      <c r="FD155" s="13">
        <v>44748</v>
      </c>
      <c r="FE155" s="14">
        <v>46091</v>
      </c>
      <c r="FF155" s="14">
        <f t="shared" si="565"/>
        <v>46822</v>
      </c>
      <c r="FG155" s="65">
        <f t="shared" ca="1" si="497"/>
        <v>691</v>
      </c>
      <c r="FH155" s="15" t="str">
        <f t="shared" ca="1" si="498"/>
        <v>VIGENTE</v>
      </c>
      <c r="FI155" s="13">
        <v>45330</v>
      </c>
      <c r="FJ155" s="14">
        <v>45969</v>
      </c>
      <c r="FK155" s="14">
        <f>DATE(YEAR(FJ155)+2,MONTH(FJ155),DAY(FJ155))</f>
        <v>46699</v>
      </c>
      <c r="FL155" s="65">
        <f t="shared" ca="1" si="499"/>
        <v>568</v>
      </c>
      <c r="FM155" s="15" t="str">
        <f t="shared" ca="1" si="500"/>
        <v>VIGENTE</v>
      </c>
      <c r="FN155" s="13">
        <v>44790</v>
      </c>
      <c r="FO155" s="14">
        <v>46049</v>
      </c>
      <c r="FP155" s="14">
        <f>DATE(YEAR(FO155)+2,MONTH(FO155),DAY(FO155))</f>
        <v>46779</v>
      </c>
      <c r="FQ155" s="65">
        <f t="shared" ca="1" si="501"/>
        <v>648</v>
      </c>
      <c r="FR155" s="15" t="str">
        <f t="shared" ca="1" si="502"/>
        <v>VIGENTE</v>
      </c>
      <c r="FS155" s="13">
        <v>44778</v>
      </c>
      <c r="FT155" s="14">
        <v>45483</v>
      </c>
      <c r="FU155" s="14">
        <f>DATE(YEAR(FT155)+2,MONTH(FT155),DAY(FT155)-1)</f>
        <v>46212</v>
      </c>
      <c r="FV155" s="65">
        <f t="shared" ca="1" si="503"/>
        <v>81</v>
      </c>
      <c r="FW155" s="15" t="str">
        <f t="shared" ca="1" si="504"/>
        <v>POR VENCER</v>
      </c>
      <c r="FX155" s="14">
        <v>44974</v>
      </c>
      <c r="FY155" s="14">
        <v>45616</v>
      </c>
      <c r="FZ155" s="14">
        <f>DATE(YEAR(FY155)+2,MONTH(FY155),DAY(FY155)-1)</f>
        <v>46345</v>
      </c>
      <c r="GA155" s="65">
        <f t="shared" ca="1" si="505"/>
        <v>214</v>
      </c>
      <c r="GB155" s="15" t="str">
        <f t="shared" ca="1" si="506"/>
        <v>VIGENTE</v>
      </c>
      <c r="GC155" s="13">
        <v>45406</v>
      </c>
      <c r="GD155" s="14">
        <v>46030</v>
      </c>
      <c r="GE155" s="14">
        <f>DATE(YEAR(GD155)+2,MONTH(GD155),DAY(GD155))</f>
        <v>46760</v>
      </c>
      <c r="GF155" s="65">
        <f t="shared" ca="1" si="507"/>
        <v>629</v>
      </c>
      <c r="GG155" s="15" t="str">
        <f t="shared" ca="1" si="508"/>
        <v>VIGENTE</v>
      </c>
      <c r="GH155" s="13">
        <v>44796</v>
      </c>
      <c r="GI155" s="14">
        <v>45498</v>
      </c>
      <c r="GJ155" s="14">
        <f>DATE(YEAR(GI155)+2,MONTH(GI155),DAY(GI155)-1)</f>
        <v>46227</v>
      </c>
      <c r="GK155" s="65">
        <f t="shared" ca="1" si="509"/>
        <v>96</v>
      </c>
      <c r="GL155" s="15" t="str">
        <f t="shared" ca="1" si="510"/>
        <v>VIGENTE</v>
      </c>
      <c r="GM155" s="13">
        <v>44784</v>
      </c>
      <c r="GN155" s="14">
        <v>45499</v>
      </c>
      <c r="GO155" s="14">
        <f>DATE(YEAR(GN155)+2,MONTH(GN155),DAY(GN155)-1)</f>
        <v>46228</v>
      </c>
      <c r="GP155" s="65">
        <f t="shared" ca="1" si="511"/>
        <v>97</v>
      </c>
      <c r="GQ155" s="15" t="str">
        <f t="shared" ca="1" si="512"/>
        <v>VIGENTE</v>
      </c>
      <c r="GR155" s="14">
        <v>44781</v>
      </c>
      <c r="GS155" s="14">
        <v>45468</v>
      </c>
      <c r="GT155" s="14">
        <f t="shared" si="513"/>
        <v>47294</v>
      </c>
      <c r="GU155" s="65">
        <f t="shared" ca="1" si="398"/>
        <v>1163</v>
      </c>
      <c r="GV155" s="15" t="str">
        <f t="shared" ca="1" si="411"/>
        <v>VIGENTE</v>
      </c>
      <c r="GW155" s="13">
        <v>44782</v>
      </c>
      <c r="GX155" s="14">
        <v>45478</v>
      </c>
      <c r="GY155" s="14">
        <f t="shared" si="514"/>
        <v>47304</v>
      </c>
      <c r="GZ155" s="65">
        <f t="shared" ca="1" si="515"/>
        <v>1173</v>
      </c>
      <c r="HA155" s="15" t="str">
        <f t="shared" ca="1" si="418"/>
        <v>VIGENTE</v>
      </c>
      <c r="HB155" s="13">
        <v>44781</v>
      </c>
      <c r="HC155" s="14">
        <v>45479</v>
      </c>
      <c r="HD155" s="14">
        <f t="shared" si="516"/>
        <v>47305</v>
      </c>
      <c r="HE155" s="65">
        <f t="shared" ca="1" si="517"/>
        <v>1174</v>
      </c>
      <c r="HF155" s="15" t="str">
        <f t="shared" ca="1" si="413"/>
        <v>VIGENTE</v>
      </c>
      <c r="HG155" s="16"/>
      <c r="HH155" s="14">
        <v>44900</v>
      </c>
      <c r="HI155" s="14">
        <f t="shared" si="572"/>
        <v>46726</v>
      </c>
      <c r="HJ155" s="65">
        <f t="shared" ca="1" si="573"/>
        <v>595</v>
      </c>
      <c r="HK155" s="15" t="str">
        <f t="shared" ca="1" si="419"/>
        <v>VIGENTE</v>
      </c>
      <c r="HL155" s="12"/>
      <c r="HM155" s="14">
        <v>45370</v>
      </c>
      <c r="HN155" s="14">
        <f>DATE(YEAR(HM155)+5,MONTH(HM155),DAY(HM155))</f>
        <v>47196</v>
      </c>
      <c r="HO155" s="65">
        <f ca="1">HN155-TODAY()</f>
        <v>1065</v>
      </c>
      <c r="HP155" s="15" t="str">
        <f t="shared" ca="1" si="437"/>
        <v>VIGENTE</v>
      </c>
      <c r="HQ155" s="12"/>
      <c r="HR155" s="13">
        <v>45374</v>
      </c>
      <c r="HS155" s="14">
        <f>DATE(YEAR(HR155)+5,MONTH(HR155),DAY(HR155))</f>
        <v>47200</v>
      </c>
      <c r="HT155" s="65">
        <f ca="1">HS155-TODAY()</f>
        <v>1069</v>
      </c>
      <c r="HU155" s="15" t="str">
        <f t="shared" ca="1" si="518"/>
        <v>VIGENTE</v>
      </c>
      <c r="HV155" s="13">
        <v>44790</v>
      </c>
      <c r="HW155" s="14">
        <v>45469</v>
      </c>
      <c r="HX155" s="14">
        <f>DATE(YEAR(HW155)+5,MONTH(HW155),DAY(HW155))</f>
        <v>47295</v>
      </c>
      <c r="HY155" s="65">
        <f ca="1">HX155-TODAY()</f>
        <v>1164</v>
      </c>
      <c r="HZ155" s="15" t="str">
        <f t="shared" ca="1" si="519"/>
        <v>VIGENTE</v>
      </c>
      <c r="IA155" s="13">
        <v>44789</v>
      </c>
      <c r="IB155" s="14">
        <v>45475</v>
      </c>
      <c r="IC155" s="14">
        <f>DATE(YEAR(IB155)+5,MONTH(IB155),DAY(IB155))</f>
        <v>47301</v>
      </c>
      <c r="ID155" s="65">
        <f ca="1">IC155-TODAY()</f>
        <v>1170</v>
      </c>
      <c r="IE155" s="15" t="str">
        <f t="shared" ca="1" si="520"/>
        <v>VIGENTE</v>
      </c>
      <c r="IF155" s="13">
        <v>44788</v>
      </c>
      <c r="IG155" s="14">
        <v>45505</v>
      </c>
      <c r="IH155" s="14">
        <f>DATE(YEAR(IG155)+5,MONTH(IG155),DAY(IG155))</f>
        <v>47331</v>
      </c>
      <c r="II155" s="65">
        <f ca="1">IH155-TODAY()</f>
        <v>1200</v>
      </c>
      <c r="IJ155" s="15" t="str">
        <f t="shared" ca="1" si="521"/>
        <v>VIGENTE</v>
      </c>
      <c r="IK155" s="14">
        <v>44791</v>
      </c>
      <c r="IL155" s="14">
        <v>45485</v>
      </c>
      <c r="IM155" s="14">
        <f>DATE(YEAR(IL155)+5,MONTH(IL155),DAY(IL155))</f>
        <v>47311</v>
      </c>
      <c r="IN155" s="65">
        <f ca="1">IM155-TODAY()</f>
        <v>1180</v>
      </c>
      <c r="IO155" s="15" t="str">
        <f t="shared" ca="1" si="522"/>
        <v>VIGENTE</v>
      </c>
      <c r="IP155" s="13">
        <v>44789</v>
      </c>
      <c r="IQ155" s="14">
        <v>45433</v>
      </c>
      <c r="IR155" s="14">
        <f>DATE(YEAR(IQ155)+5,MONTH(IQ155),DAY(IQ155))</f>
        <v>47259</v>
      </c>
      <c r="IS155" s="65">
        <f ca="1">IR155-TODAY()</f>
        <v>1128</v>
      </c>
      <c r="IT155" s="15" t="str">
        <f t="shared" ca="1" si="523"/>
        <v>VIGENTE</v>
      </c>
      <c r="IU155" s="13">
        <v>44788</v>
      </c>
      <c r="IV155" s="14">
        <v>45484</v>
      </c>
      <c r="IW155" s="14">
        <f>DATE(YEAR(IV155)+5,MONTH(IV155),DAY(IV155))</f>
        <v>47310</v>
      </c>
      <c r="IX155" s="65">
        <f ca="1">IW155-TODAY()</f>
        <v>1179</v>
      </c>
      <c r="IY155" s="15" t="str">
        <f t="shared" ca="1" si="524"/>
        <v>VIGENTE</v>
      </c>
      <c r="IZ155" s="13">
        <v>44791</v>
      </c>
      <c r="JA155" s="14">
        <v>45446</v>
      </c>
      <c r="JB155" s="14">
        <f>DATE(YEAR(JA155)+5,MONTH(JA155),DAY(JA155))</f>
        <v>47272</v>
      </c>
      <c r="JC155" s="65">
        <f ca="1">JB155-TODAY()</f>
        <v>1141</v>
      </c>
      <c r="JD155" s="15" t="str">
        <f t="shared" ca="1" si="525"/>
        <v>VIGENTE</v>
      </c>
      <c r="JE155" s="13"/>
      <c r="JF155" s="13"/>
      <c r="JG155" s="14"/>
      <c r="JH155" s="65"/>
      <c r="JI155" s="15" t="str">
        <f t="shared" si="526"/>
        <v>NO APLICA</v>
      </c>
      <c r="JJ155" s="16"/>
      <c r="JK155" s="16"/>
      <c r="JL155" s="16"/>
      <c r="JM155" s="15" t="str">
        <f t="shared" si="527"/>
        <v>NO APLICA</v>
      </c>
      <c r="JN155" s="16"/>
      <c r="JO155" s="16"/>
      <c r="JP155" s="16"/>
      <c r="JQ155" s="15" t="str">
        <f t="shared" si="528"/>
        <v>NO APLICA</v>
      </c>
      <c r="JR155" s="16"/>
      <c r="JS155" s="16"/>
      <c r="JT155" s="16"/>
      <c r="JU155" s="16"/>
      <c r="JV155" s="15" t="str">
        <f t="shared" si="529"/>
        <v>NO APLICA</v>
      </c>
      <c r="JW155" s="15"/>
      <c r="JX155" s="15"/>
      <c r="JY155" s="15"/>
      <c r="JZ155" s="15"/>
      <c r="KA155" s="15" t="str">
        <f t="shared" si="530"/>
        <v>NO APLICA</v>
      </c>
      <c r="KB155" s="12"/>
      <c r="KC155" s="14"/>
      <c r="KD155" s="65"/>
      <c r="KE155" s="15" t="str">
        <f t="shared" si="531"/>
        <v>NO APLICA</v>
      </c>
      <c r="KF155" s="12"/>
      <c r="KG155" s="14"/>
      <c r="KH155" s="65"/>
      <c r="KI155" s="15" t="str">
        <f t="shared" si="547"/>
        <v>NO APLICA</v>
      </c>
      <c r="KJ155" s="12"/>
      <c r="KK155" s="14"/>
      <c r="KL155" s="65"/>
      <c r="KM155" s="15" t="str">
        <f t="shared" si="532"/>
        <v>NO APLICA</v>
      </c>
      <c r="KN155" s="12"/>
      <c r="KO155" s="14"/>
      <c r="KP155" s="65"/>
      <c r="KQ155" s="15" t="str">
        <f t="shared" si="548"/>
        <v>NO APLICA</v>
      </c>
      <c r="KR155" s="12"/>
      <c r="KS155" s="16"/>
      <c r="KT155" s="14"/>
      <c r="KU155" s="65"/>
      <c r="KV155" s="15" t="str">
        <f t="shared" si="554"/>
        <v>NO APLICA</v>
      </c>
      <c r="KW155" s="16"/>
      <c r="KX155" s="14"/>
      <c r="KY155" s="65"/>
      <c r="KZ155" s="15" t="str">
        <f t="shared" si="549"/>
        <v>NO APLICA</v>
      </c>
      <c r="LA155" s="16"/>
      <c r="LB155" s="16"/>
      <c r="LC155" s="14"/>
      <c r="LD155" s="65"/>
      <c r="LE155" s="15" t="str">
        <f t="shared" si="556"/>
        <v>NO APLICA</v>
      </c>
      <c r="LF155" s="15"/>
      <c r="LG155" s="15"/>
      <c r="LH155" s="15"/>
      <c r="LI155" s="15"/>
      <c r="LJ155" s="15" t="str">
        <f t="shared" si="555"/>
        <v>NO APLICA</v>
      </c>
      <c r="LK155" s="12"/>
      <c r="LL155" s="16"/>
      <c r="LM155" s="14"/>
      <c r="LN155" s="65"/>
      <c r="LO155" s="15" t="str">
        <f t="shared" si="550"/>
        <v>NO APLICA</v>
      </c>
      <c r="LP155" s="16"/>
      <c r="LQ155" s="16"/>
      <c r="LR155" s="14"/>
      <c r="LS155" s="65"/>
      <c r="LT155" s="15" t="str">
        <f t="shared" si="551"/>
        <v>NO APLICA</v>
      </c>
      <c r="LU155" s="16"/>
      <c r="LV155" s="16"/>
      <c r="LW155" s="14"/>
      <c r="LX155" s="65"/>
      <c r="LY155" s="15" t="str">
        <f t="shared" si="552"/>
        <v>NO APLICA</v>
      </c>
      <c r="LZ155" s="12"/>
      <c r="MA155" s="12"/>
      <c r="MB155" s="14"/>
      <c r="MC155" s="65"/>
      <c r="MD155" s="15" t="str">
        <f t="shared" si="534"/>
        <v>NO APLICA</v>
      </c>
      <c r="ME155" s="12"/>
      <c r="MF155" s="12"/>
      <c r="MG155" s="14"/>
      <c r="MH155" s="65"/>
      <c r="MI155" s="15" t="str">
        <f t="shared" si="535"/>
        <v>NO APLICA</v>
      </c>
      <c r="MJ155" s="12"/>
      <c r="MK155" s="14"/>
      <c r="ML155" s="65"/>
      <c r="MM155" s="15" t="str">
        <f t="shared" si="536"/>
        <v>NO APLICA</v>
      </c>
      <c r="MN155" s="12"/>
      <c r="MO155" s="14"/>
      <c r="MP155" s="12"/>
      <c r="MQ155" s="15" t="str">
        <f t="shared" si="537"/>
        <v>NO APLICA</v>
      </c>
      <c r="MR155" s="12"/>
      <c r="MS155" s="16"/>
      <c r="MT155" s="14"/>
      <c r="MU155" s="65"/>
      <c r="MV155" s="15" t="str">
        <f t="shared" si="538"/>
        <v>NO APLICA</v>
      </c>
      <c r="MW155" s="12"/>
      <c r="MX155" s="16"/>
      <c r="MY155" s="14"/>
      <c r="MZ155" s="65"/>
      <c r="NA155" s="15" t="str">
        <f t="shared" si="539"/>
        <v>NO APLICA</v>
      </c>
      <c r="NB155" s="12"/>
      <c r="NC155" s="16"/>
      <c r="ND155" s="14"/>
      <c r="NE155" s="65"/>
      <c r="NF155" s="15" t="str">
        <f t="shared" si="540"/>
        <v>NO APLICA</v>
      </c>
      <c r="NG155" s="12"/>
      <c r="NH155" s="12"/>
      <c r="NI155" s="14"/>
      <c r="NJ155" s="12"/>
      <c r="NK155" s="15" t="str">
        <f t="shared" si="541"/>
        <v>NO APLICA</v>
      </c>
      <c r="NL155" s="12"/>
      <c r="NM155" s="12"/>
      <c r="NN155" s="14"/>
      <c r="NO155" s="12"/>
      <c r="NP155" s="15" t="str">
        <f t="shared" si="542"/>
        <v>NO APLICA</v>
      </c>
      <c r="NQ155" s="16"/>
      <c r="NR155" s="16"/>
      <c r="NS155" s="14"/>
      <c r="NT155" s="65"/>
      <c r="NU155" s="15" t="str">
        <f t="shared" si="543"/>
        <v>NO APLICA</v>
      </c>
      <c r="NV155" s="16"/>
      <c r="NW155" s="16"/>
      <c r="NX155" s="16"/>
      <c r="NY155" s="16"/>
      <c r="NZ155" s="15" t="str">
        <f t="shared" si="544"/>
        <v>NO APLICA</v>
      </c>
    </row>
    <row r="156" spans="1:390" ht="15.6" thickTop="1" thickBot="1" x14ac:dyDescent="0.35">
      <c r="A156" s="11">
        <v>1438</v>
      </c>
      <c r="B156" s="10" t="s">
        <v>562</v>
      </c>
      <c r="C156" s="21" t="s">
        <v>104</v>
      </c>
      <c r="D156" s="64" t="s">
        <v>110</v>
      </c>
      <c r="E156" s="16"/>
      <c r="F156" s="16"/>
      <c r="G156" s="16"/>
      <c r="H156" s="16"/>
      <c r="I156" s="15" t="str">
        <f t="shared" si="448"/>
        <v>NO APLICA</v>
      </c>
      <c r="J156" s="16"/>
      <c r="K156" s="16"/>
      <c r="L156" s="16"/>
      <c r="M156" s="16"/>
      <c r="N156" s="15" t="str">
        <f t="shared" si="449"/>
        <v>NO APLICA</v>
      </c>
      <c r="O156" s="16"/>
      <c r="P156" s="16"/>
      <c r="Q156" s="16"/>
      <c r="R156" s="16"/>
      <c r="S156" s="15" t="str">
        <f t="shared" si="545"/>
        <v>NO APLICA</v>
      </c>
      <c r="T156" s="16" t="s">
        <v>563</v>
      </c>
      <c r="U156" s="14">
        <v>45308</v>
      </c>
      <c r="V156" s="14">
        <v>45309</v>
      </c>
      <c r="W156" s="14">
        <f t="shared" si="401"/>
        <v>47136</v>
      </c>
      <c r="X156" s="65">
        <f t="shared" ca="1" si="402"/>
        <v>1005</v>
      </c>
      <c r="Y156" s="15" t="str">
        <f t="shared" ca="1" si="403"/>
        <v>VIGENTE</v>
      </c>
      <c r="Z156" s="16" t="s">
        <v>564</v>
      </c>
      <c r="AA156" s="13">
        <v>45463</v>
      </c>
      <c r="AB156" s="14">
        <v>45464</v>
      </c>
      <c r="AC156" s="14">
        <f>DATE(YEAR(AB156)+5,MONTH(AB156),DAY(AB156))</f>
        <v>47290</v>
      </c>
      <c r="AD156" s="65">
        <f ca="1">AC156-TODAY()</f>
        <v>1159</v>
      </c>
      <c r="AE156" s="15" t="str">
        <f t="shared" ca="1" si="574"/>
        <v>VIGENTE</v>
      </c>
      <c r="AF156" s="14">
        <v>45314</v>
      </c>
      <c r="AG156" s="14">
        <v>46006</v>
      </c>
      <c r="AH156" s="14">
        <f>DATE(YEAR(AG156)+2,MONTH(AG156),DAY(AG156))</f>
        <v>46736</v>
      </c>
      <c r="AI156" s="65">
        <f t="shared" ca="1" si="450"/>
        <v>605</v>
      </c>
      <c r="AJ156" s="15" t="str">
        <f t="shared" ca="1" si="399"/>
        <v>VIGENTE</v>
      </c>
      <c r="AK156" s="14">
        <v>45307</v>
      </c>
      <c r="AL156" s="14">
        <v>45959</v>
      </c>
      <c r="AM156" s="14">
        <f t="shared" si="561"/>
        <v>46689</v>
      </c>
      <c r="AN156" s="65">
        <f t="shared" ca="1" si="451"/>
        <v>558</v>
      </c>
      <c r="AO156" s="15" t="str">
        <f t="shared" ca="1" si="452"/>
        <v>VIGENTE</v>
      </c>
      <c r="AP156" s="14">
        <v>45326</v>
      </c>
      <c r="AQ156" s="14">
        <v>45989</v>
      </c>
      <c r="AR156" s="14">
        <f>DATE(YEAR(AQ156)+2,MONTH(AQ156),DAY(AQ156))</f>
        <v>46719</v>
      </c>
      <c r="AS156" s="65">
        <f t="shared" ca="1" si="453"/>
        <v>588</v>
      </c>
      <c r="AT156" s="15" t="str">
        <f t="shared" ca="1" si="454"/>
        <v>VIGENTE</v>
      </c>
      <c r="AU156" s="14">
        <v>45323</v>
      </c>
      <c r="AV156" s="14">
        <v>45990</v>
      </c>
      <c r="AW156" s="14">
        <f>DATE(YEAR(AV156)+2,MONTH(AV156),DAY(AV156))</f>
        <v>46720</v>
      </c>
      <c r="AX156" s="65">
        <f t="shared" ca="1" si="455"/>
        <v>589</v>
      </c>
      <c r="AY156" s="15" t="str">
        <f t="shared" ca="1" si="456"/>
        <v>VIGENTE</v>
      </c>
      <c r="AZ156" s="14">
        <v>45387</v>
      </c>
      <c r="BA156" s="14">
        <v>46041</v>
      </c>
      <c r="BB156" s="14">
        <f>DATE(YEAR(BA156)+2,MONTH(BA156),DAY(BA156))</f>
        <v>46771</v>
      </c>
      <c r="BC156" s="65">
        <f t="shared" ca="1" si="457"/>
        <v>640</v>
      </c>
      <c r="BD156" s="15" t="str">
        <f t="shared" ca="1" si="458"/>
        <v>VIGENTE</v>
      </c>
      <c r="BE156" s="16"/>
      <c r="BF156" s="14">
        <v>45987</v>
      </c>
      <c r="BG156" s="14">
        <f t="shared" si="571"/>
        <v>46717</v>
      </c>
      <c r="BH156" s="65">
        <f t="shared" ca="1" si="459"/>
        <v>586</v>
      </c>
      <c r="BI156" s="15" t="str">
        <f t="shared" ca="1" si="460"/>
        <v>VIGENTE</v>
      </c>
      <c r="BJ156" s="14">
        <v>45372</v>
      </c>
      <c r="BK156" s="14">
        <v>46035</v>
      </c>
      <c r="BL156" s="14">
        <f>DATE(YEAR(BK156)+2,MONTH(BK156),DAY(BK156))</f>
        <v>46765</v>
      </c>
      <c r="BM156" s="65">
        <f t="shared" ca="1" si="461"/>
        <v>634</v>
      </c>
      <c r="BN156" s="15" t="str">
        <f t="shared" ca="1" si="462"/>
        <v>VIGENTE</v>
      </c>
      <c r="BO156" s="14"/>
      <c r="BP156" s="14">
        <v>45447</v>
      </c>
      <c r="BQ156" s="14">
        <f>DATE(YEAR(BP156)+2,MONTH(BP156),DAY(BP156)-1)</f>
        <v>46176</v>
      </c>
      <c r="BR156" s="65">
        <f t="shared" ca="1" si="463"/>
        <v>45</v>
      </c>
      <c r="BS156" s="15" t="str">
        <f t="shared" ca="1" si="464"/>
        <v>POR VENCER</v>
      </c>
      <c r="BT156" s="14">
        <v>45412</v>
      </c>
      <c r="BU156" s="14">
        <v>46074</v>
      </c>
      <c r="BV156" s="14">
        <f>DATE(YEAR(BU156)+2,MONTH(BU156),DAY(BU156))</f>
        <v>46804</v>
      </c>
      <c r="BW156" s="65">
        <f t="shared" ca="1" si="465"/>
        <v>673</v>
      </c>
      <c r="BX156" s="15" t="str">
        <f t="shared" ca="1" si="466"/>
        <v>VIGENTE</v>
      </c>
      <c r="BY156" s="16"/>
      <c r="BZ156" s="14">
        <v>45986</v>
      </c>
      <c r="CA156" s="14">
        <f t="shared" si="563"/>
        <v>46716</v>
      </c>
      <c r="CB156" s="65">
        <f t="shared" ca="1" si="467"/>
        <v>585</v>
      </c>
      <c r="CC156" s="15" t="str">
        <f t="shared" ca="1" si="468"/>
        <v>VIGENTE</v>
      </c>
      <c r="CD156" s="16" t="s">
        <v>108</v>
      </c>
      <c r="CE156" s="14">
        <v>45300</v>
      </c>
      <c r="CF156" s="14">
        <v>45301</v>
      </c>
      <c r="CG156" s="14">
        <f t="shared" si="408"/>
        <v>46762</v>
      </c>
      <c r="CH156" s="65">
        <f t="shared" ca="1" si="409"/>
        <v>631</v>
      </c>
      <c r="CI156" s="15" t="str">
        <f t="shared" ca="1" si="562"/>
        <v>VIGENTE</v>
      </c>
      <c r="CJ156" s="14">
        <v>45353</v>
      </c>
      <c r="CK156" s="14">
        <v>46018</v>
      </c>
      <c r="CL156" s="14">
        <f>DATE(YEAR(CK156)+2,MONTH(CK156),DAY(CK156))</f>
        <v>46748</v>
      </c>
      <c r="CM156" s="65">
        <f t="shared" ca="1" si="469"/>
        <v>617</v>
      </c>
      <c r="CN156" s="15" t="str">
        <f t="shared" ca="1" si="470"/>
        <v>VIGENTE</v>
      </c>
      <c r="CO156" s="14">
        <v>45305</v>
      </c>
      <c r="CP156" s="14">
        <v>45979</v>
      </c>
      <c r="CQ156" s="14">
        <f>DATE(YEAR(CP156)+2,MONTH(CP156),DAY(CP156))</f>
        <v>46709</v>
      </c>
      <c r="CR156" s="65">
        <f t="shared" ca="1" si="471"/>
        <v>578</v>
      </c>
      <c r="CS156" s="15" t="str">
        <f t="shared" ca="1" si="472"/>
        <v>VIGENTE</v>
      </c>
      <c r="CT156" s="14">
        <v>45440</v>
      </c>
      <c r="CU156" s="14">
        <v>46081</v>
      </c>
      <c r="CV156" s="14">
        <f>DATE(YEAR(CU156)+2,MONTH(CU156),DAY(CU156))</f>
        <v>46811</v>
      </c>
      <c r="CW156" s="65">
        <f t="shared" ca="1" si="473"/>
        <v>680</v>
      </c>
      <c r="CX156" s="15" t="str">
        <f t="shared" ca="1" si="474"/>
        <v>VIGENTE</v>
      </c>
      <c r="CY156" s="14">
        <v>45422</v>
      </c>
      <c r="CZ156" s="14">
        <v>46098</v>
      </c>
      <c r="DA156" s="14">
        <f>DATE(YEAR(CZ156)+2,MONTH(CZ156),DAY(CZ156))</f>
        <v>46829</v>
      </c>
      <c r="DB156" s="65">
        <f t="shared" ca="1" si="475"/>
        <v>698</v>
      </c>
      <c r="DC156" s="15" t="str">
        <f t="shared" ca="1" si="476"/>
        <v>VIGENTE</v>
      </c>
      <c r="DD156" s="14">
        <v>45404</v>
      </c>
      <c r="DE156" s="14">
        <v>46045</v>
      </c>
      <c r="DF156" s="14">
        <f>DATE(YEAR(DE156)+2,MONTH(DE156),DAY(DE156))</f>
        <v>46775</v>
      </c>
      <c r="DG156" s="65">
        <f t="shared" ca="1" si="477"/>
        <v>644</v>
      </c>
      <c r="DH156" s="15" t="str">
        <f t="shared" ca="1" si="478"/>
        <v>VIGENTE</v>
      </c>
      <c r="DI156" s="14">
        <v>45386</v>
      </c>
      <c r="DJ156" s="14">
        <v>46029</v>
      </c>
      <c r="DK156" s="14">
        <f>DATE(YEAR(DJ156)+2,MONTH(DJ156),DAY(DJ156))</f>
        <v>46759</v>
      </c>
      <c r="DL156" s="65">
        <f t="shared" ca="1" si="479"/>
        <v>628</v>
      </c>
      <c r="DM156" s="15" t="str">
        <f t="shared" ca="1" si="480"/>
        <v>VIGENTE</v>
      </c>
      <c r="DN156" s="14">
        <v>45390</v>
      </c>
      <c r="DO156" s="14">
        <v>46088</v>
      </c>
      <c r="DP156" s="14">
        <f>DATE(YEAR(DO156)+2,MONTH(DO156),DAY(DO156))</f>
        <v>46819</v>
      </c>
      <c r="DQ156" s="65">
        <f t="shared" ca="1" si="481"/>
        <v>688</v>
      </c>
      <c r="DR156" s="15" t="str">
        <f t="shared" ca="1" si="482"/>
        <v>VIGENTE</v>
      </c>
      <c r="DS156" s="16"/>
      <c r="DT156" s="14">
        <v>46072</v>
      </c>
      <c r="DU156" s="14">
        <f>DATE(YEAR(DT156)+2,MONTH(DT156),DAY(DT156))</f>
        <v>46802</v>
      </c>
      <c r="DV156" s="65">
        <f t="shared" ca="1" si="483"/>
        <v>671</v>
      </c>
      <c r="DW156" s="15" t="str">
        <f t="shared" ca="1" si="484"/>
        <v>VIGENTE</v>
      </c>
      <c r="DX156" s="14">
        <v>45432</v>
      </c>
      <c r="DY156" s="14">
        <v>46099</v>
      </c>
      <c r="DZ156" s="14">
        <f>DATE(YEAR(DY156)+2,MONTH(DY156),DAY(DY156))</f>
        <v>46830</v>
      </c>
      <c r="EA156" s="65">
        <f t="shared" ca="1" si="485"/>
        <v>699</v>
      </c>
      <c r="EB156" s="15" t="str">
        <f t="shared" ca="1" si="486"/>
        <v>VIGENTE</v>
      </c>
      <c r="EC156" s="14">
        <v>45424</v>
      </c>
      <c r="ED156" s="14">
        <v>46112</v>
      </c>
      <c r="EE156" s="14">
        <f>DATE(YEAR(ED156)+2,MONTH(ED156),DAY(ED156))</f>
        <v>46843</v>
      </c>
      <c r="EF156" s="65">
        <f t="shared" ca="1" si="487"/>
        <v>712</v>
      </c>
      <c r="EG156" s="15" t="str">
        <f t="shared" ca="1" si="488"/>
        <v>VIGENTE</v>
      </c>
      <c r="EH156" s="14">
        <v>45350</v>
      </c>
      <c r="EI156" s="14">
        <v>45806</v>
      </c>
      <c r="EJ156" s="14">
        <v>45807</v>
      </c>
      <c r="EK156" s="14">
        <v>45808</v>
      </c>
      <c r="EL156" s="14">
        <f t="shared" si="546"/>
        <v>46173</v>
      </c>
      <c r="EM156" s="65">
        <f t="shared" ca="1" si="489"/>
        <v>42</v>
      </c>
      <c r="EN156" s="15" t="str">
        <f t="shared" ca="1" si="490"/>
        <v>POR VENCER</v>
      </c>
      <c r="EO156" s="14"/>
      <c r="EP156" s="14">
        <v>46100</v>
      </c>
      <c r="EQ156" s="14">
        <f>DATE(YEAR(EP156)+2,MONTH(EP156),DAY(EP156))</f>
        <v>46831</v>
      </c>
      <c r="ER156" s="65">
        <f t="shared" ca="1" si="491"/>
        <v>700</v>
      </c>
      <c r="ES156" s="15" t="str">
        <f t="shared" ca="1" si="492"/>
        <v>VIGENTE</v>
      </c>
      <c r="ET156" s="14">
        <v>45351</v>
      </c>
      <c r="EU156" s="14">
        <v>45993</v>
      </c>
      <c r="EV156" s="14">
        <f>DATE(YEAR(EU156)+2,MONTH(EU156),DAY(EU156))</f>
        <v>46723</v>
      </c>
      <c r="EW156" s="65">
        <f t="shared" ca="1" si="493"/>
        <v>592</v>
      </c>
      <c r="EX156" s="15" t="str">
        <f t="shared" ca="1" si="494"/>
        <v>VIGENTE</v>
      </c>
      <c r="EY156" s="14">
        <v>45373</v>
      </c>
      <c r="EZ156" s="14">
        <v>46037</v>
      </c>
      <c r="FA156" s="14">
        <f t="shared" si="564"/>
        <v>46767</v>
      </c>
      <c r="FB156" s="65">
        <f t="shared" ca="1" si="495"/>
        <v>636</v>
      </c>
      <c r="FC156" s="15" t="str">
        <f t="shared" ca="1" si="496"/>
        <v>VIGENTE</v>
      </c>
      <c r="FD156" s="16"/>
      <c r="FE156" s="14">
        <v>45988</v>
      </c>
      <c r="FF156" s="14">
        <f t="shared" si="565"/>
        <v>46718</v>
      </c>
      <c r="FG156" s="65">
        <f t="shared" ca="1" si="497"/>
        <v>587</v>
      </c>
      <c r="FH156" s="15" t="str">
        <f t="shared" ca="1" si="498"/>
        <v>VIGENTE</v>
      </c>
      <c r="FI156" s="16"/>
      <c r="FJ156" s="14">
        <v>45992</v>
      </c>
      <c r="FK156" s="14">
        <f>DATE(YEAR(FJ156)+2,MONTH(FJ156),DAY(FJ156))</f>
        <v>46722</v>
      </c>
      <c r="FL156" s="65">
        <f t="shared" ca="1" si="499"/>
        <v>591</v>
      </c>
      <c r="FM156" s="15" t="str">
        <f t="shared" ca="1" si="500"/>
        <v>VIGENTE</v>
      </c>
      <c r="FN156" s="14">
        <v>45395</v>
      </c>
      <c r="FO156" s="14">
        <v>46039</v>
      </c>
      <c r="FP156" s="14">
        <f>DATE(YEAR(FO156)+2,MONTH(FO156),DAY(FO156))</f>
        <v>46769</v>
      </c>
      <c r="FQ156" s="65">
        <f t="shared" ca="1" si="501"/>
        <v>638</v>
      </c>
      <c r="FR156" s="15" t="str">
        <f t="shared" ca="1" si="502"/>
        <v>VIGENTE</v>
      </c>
      <c r="FS156" s="14">
        <v>45322</v>
      </c>
      <c r="FT156" s="14">
        <v>45957</v>
      </c>
      <c r="FU156" s="14">
        <f>DATE(YEAR(FT156)+2,MONTH(FT156),DAY(FT156))</f>
        <v>46687</v>
      </c>
      <c r="FV156" s="65">
        <f t="shared" ca="1" si="503"/>
        <v>556</v>
      </c>
      <c r="FW156" s="15" t="str">
        <f t="shared" ca="1" si="504"/>
        <v>VIGENTE</v>
      </c>
      <c r="FX156" s="14"/>
      <c r="FY156" s="14">
        <v>46014</v>
      </c>
      <c r="FZ156" s="14">
        <f>DATE(YEAR(FY156)+2,MONTH(FY156),DAY(FY156))</f>
        <v>46744</v>
      </c>
      <c r="GA156" s="65">
        <f t="shared" ca="1" si="505"/>
        <v>613</v>
      </c>
      <c r="GB156" s="15" t="str">
        <f t="shared" ca="1" si="506"/>
        <v>VIGENTE</v>
      </c>
      <c r="GC156" s="14"/>
      <c r="GD156" s="14">
        <v>46003</v>
      </c>
      <c r="GE156" s="14">
        <f>DATE(YEAR(GD156)+2,MONTH(GD156),DAY(GD156))</f>
        <v>46733</v>
      </c>
      <c r="GF156" s="65">
        <f t="shared" ca="1" si="507"/>
        <v>602</v>
      </c>
      <c r="GG156" s="15" t="str">
        <f t="shared" ca="1" si="508"/>
        <v>VIGENTE</v>
      </c>
      <c r="GH156" s="14">
        <v>45391</v>
      </c>
      <c r="GI156" s="14">
        <v>46036</v>
      </c>
      <c r="GJ156" s="14">
        <f>DATE(YEAR(GI156)+2,MONTH(GI156),DAY(GI156))</f>
        <v>46766</v>
      </c>
      <c r="GK156" s="65">
        <f t="shared" ca="1" si="509"/>
        <v>635</v>
      </c>
      <c r="GL156" s="15" t="str">
        <f t="shared" ca="1" si="510"/>
        <v>VIGENTE</v>
      </c>
      <c r="GM156" s="13">
        <v>45368</v>
      </c>
      <c r="GN156" s="14">
        <v>46044</v>
      </c>
      <c r="GO156" s="14">
        <f>DATE(YEAR(GN156)+2,MONTH(GN156),DAY(GN156))</f>
        <v>46774</v>
      </c>
      <c r="GP156" s="65">
        <f t="shared" ca="1" si="511"/>
        <v>643</v>
      </c>
      <c r="GQ156" s="15" t="str">
        <f t="shared" ca="1" si="512"/>
        <v>VIGENTE</v>
      </c>
      <c r="GR156" s="14"/>
      <c r="GS156" s="14">
        <v>45367</v>
      </c>
      <c r="GT156" s="14">
        <f t="shared" si="513"/>
        <v>47193</v>
      </c>
      <c r="GU156" s="65">
        <f t="shared" ca="1" si="398"/>
        <v>1062</v>
      </c>
      <c r="GV156" s="15" t="str">
        <f t="shared" ca="1" si="411"/>
        <v>VIGENTE</v>
      </c>
      <c r="GW156" s="14"/>
      <c r="GX156" s="14">
        <v>45329</v>
      </c>
      <c r="GY156" s="14">
        <f t="shared" si="514"/>
        <v>47156</v>
      </c>
      <c r="GZ156" s="65">
        <f t="shared" ca="1" si="515"/>
        <v>1025</v>
      </c>
      <c r="HA156" s="15" t="str">
        <f t="shared" ca="1" si="418"/>
        <v>VIGENTE</v>
      </c>
      <c r="HB156" s="16"/>
      <c r="HC156" s="14">
        <v>45348</v>
      </c>
      <c r="HD156" s="14">
        <f t="shared" si="516"/>
        <v>47175</v>
      </c>
      <c r="HE156" s="65">
        <f t="shared" ca="1" si="517"/>
        <v>1044</v>
      </c>
      <c r="HF156" s="15" t="str">
        <f t="shared" ca="1" si="413"/>
        <v>VIGENTE</v>
      </c>
      <c r="HG156" s="16"/>
      <c r="HH156" s="14">
        <v>45401</v>
      </c>
      <c r="HI156" s="14">
        <f t="shared" si="572"/>
        <v>47227</v>
      </c>
      <c r="HJ156" s="65">
        <f t="shared" ca="1" si="573"/>
        <v>1096</v>
      </c>
      <c r="HK156" s="15" t="str">
        <f t="shared" ca="1" si="419"/>
        <v>VIGENTE</v>
      </c>
      <c r="HL156" s="16"/>
      <c r="HM156" s="14"/>
      <c r="HN156" s="14"/>
      <c r="HO156" s="65"/>
      <c r="HP156" s="15" t="str">
        <f t="shared" si="437"/>
        <v>NO APLICA</v>
      </c>
      <c r="HQ156" s="12"/>
      <c r="HR156" s="12"/>
      <c r="HS156" s="14"/>
      <c r="HT156" s="12"/>
      <c r="HU156" s="15" t="str">
        <f t="shared" si="518"/>
        <v>NO APLICA</v>
      </c>
      <c r="HV156" s="16"/>
      <c r="HW156" s="16"/>
      <c r="HX156" s="14"/>
      <c r="HY156" s="65"/>
      <c r="HZ156" s="15" t="str">
        <f t="shared" si="519"/>
        <v>NO APLICA</v>
      </c>
      <c r="IA156" s="16"/>
      <c r="IB156" s="16"/>
      <c r="IC156" s="14"/>
      <c r="ID156" s="65"/>
      <c r="IE156" s="15" t="str">
        <f t="shared" si="520"/>
        <v>NO APLICA</v>
      </c>
      <c r="IF156" s="16"/>
      <c r="IG156" s="16"/>
      <c r="IH156" s="14"/>
      <c r="II156" s="65"/>
      <c r="IJ156" s="15" t="str">
        <f t="shared" si="521"/>
        <v>NO APLICA</v>
      </c>
      <c r="IK156" s="16"/>
      <c r="IL156" s="16"/>
      <c r="IM156" s="14"/>
      <c r="IN156" s="16"/>
      <c r="IO156" s="15" t="str">
        <f t="shared" si="522"/>
        <v>NO APLICA</v>
      </c>
      <c r="IP156" s="16"/>
      <c r="IQ156" s="16"/>
      <c r="IR156" s="14"/>
      <c r="IS156" s="65"/>
      <c r="IT156" s="15" t="str">
        <f t="shared" si="523"/>
        <v>NO APLICA</v>
      </c>
      <c r="IU156" s="16"/>
      <c r="IV156" s="14">
        <v>45402</v>
      </c>
      <c r="IW156" s="14">
        <f>DATE(YEAR(IV156)+5,MONTH(IV156),DAY(IV156))</f>
        <v>47228</v>
      </c>
      <c r="IX156" s="65">
        <f ca="1">IW156-TODAY()</f>
        <v>1097</v>
      </c>
      <c r="IY156" s="15" t="str">
        <f t="shared" ca="1" si="524"/>
        <v>VIGENTE</v>
      </c>
      <c r="IZ156" s="16"/>
      <c r="JA156" s="16"/>
      <c r="JB156" s="14"/>
      <c r="JC156" s="65"/>
      <c r="JD156" s="15" t="str">
        <f t="shared" si="525"/>
        <v>NO APLICA</v>
      </c>
      <c r="JE156" s="13"/>
      <c r="JF156" s="13"/>
      <c r="JG156" s="14"/>
      <c r="JH156" s="65"/>
      <c r="JI156" s="15" t="str">
        <f t="shared" si="526"/>
        <v>NO APLICA</v>
      </c>
      <c r="JJ156" s="16"/>
      <c r="JK156" s="16"/>
      <c r="JL156" s="16"/>
      <c r="JM156" s="15" t="str">
        <f t="shared" si="527"/>
        <v>NO APLICA</v>
      </c>
      <c r="JN156" s="16"/>
      <c r="JO156" s="16"/>
      <c r="JP156" s="16"/>
      <c r="JQ156" s="15" t="str">
        <f t="shared" si="528"/>
        <v>NO APLICA</v>
      </c>
      <c r="JR156" s="16"/>
      <c r="JS156" s="16"/>
      <c r="JT156" s="16"/>
      <c r="JU156" s="16"/>
      <c r="JV156" s="15" t="str">
        <f t="shared" si="529"/>
        <v>NO APLICA</v>
      </c>
      <c r="JW156" s="15"/>
      <c r="JX156" s="15"/>
      <c r="JY156" s="15"/>
      <c r="JZ156" s="15"/>
      <c r="KA156" s="15" t="str">
        <f t="shared" si="530"/>
        <v>NO APLICA</v>
      </c>
      <c r="KB156" s="12"/>
      <c r="KC156" s="14"/>
      <c r="KD156" s="65"/>
      <c r="KE156" s="15" t="str">
        <f t="shared" si="531"/>
        <v>NO APLICA</v>
      </c>
      <c r="KF156" s="13">
        <v>45328</v>
      </c>
      <c r="KG156" s="14">
        <f>DATE(YEAR(KF156)+5,MONTH(KF156),DAY(KF156)-1)</f>
        <v>47154</v>
      </c>
      <c r="KH156" s="65">
        <f ca="1">KG156-TODAY()</f>
        <v>1023</v>
      </c>
      <c r="KI156" s="15" t="str">
        <f t="shared" ca="1" si="547"/>
        <v>VIGENTE</v>
      </c>
      <c r="KJ156" s="12"/>
      <c r="KK156" s="14"/>
      <c r="KL156" s="65"/>
      <c r="KM156" s="15" t="str">
        <f t="shared" si="532"/>
        <v>NO APLICA</v>
      </c>
      <c r="KN156" s="13">
        <v>45346</v>
      </c>
      <c r="KO156" s="14">
        <f>DATE(YEAR(KN156)+5,MONTH(KN156),DAY(KN156))</f>
        <v>47173</v>
      </c>
      <c r="KP156" s="65">
        <f ca="1">KO156-TODAY()</f>
        <v>1042</v>
      </c>
      <c r="KQ156" s="15" t="str">
        <f t="shared" ca="1" si="548"/>
        <v>VIGENTE</v>
      </c>
      <c r="KR156" s="16"/>
      <c r="KS156" s="16"/>
      <c r="KT156" s="14"/>
      <c r="KU156" s="16"/>
      <c r="KV156" s="15" t="str">
        <f t="shared" si="554"/>
        <v>NO APLICA</v>
      </c>
      <c r="KW156" s="16"/>
      <c r="KX156" s="14"/>
      <c r="KY156" s="16"/>
      <c r="KZ156" s="15" t="str">
        <f t="shared" si="549"/>
        <v>NO APLICA</v>
      </c>
      <c r="LA156" s="16"/>
      <c r="LB156" s="16"/>
      <c r="LC156" s="16"/>
      <c r="LD156" s="16"/>
      <c r="LE156" s="15" t="str">
        <f t="shared" si="556"/>
        <v>NO APLICA</v>
      </c>
      <c r="LF156" s="15"/>
      <c r="LG156" s="15"/>
      <c r="LH156" s="14"/>
      <c r="LI156" s="65"/>
      <c r="LJ156" s="15" t="str">
        <f t="shared" si="555"/>
        <v>NO APLICA</v>
      </c>
      <c r="LK156" s="16"/>
      <c r="LL156" s="16"/>
      <c r="LM156" s="14"/>
      <c r="LN156" s="65"/>
      <c r="LO156" s="15" t="str">
        <f t="shared" si="550"/>
        <v>NO APLICA</v>
      </c>
      <c r="LP156" s="16"/>
      <c r="LQ156" s="16"/>
      <c r="LR156" s="14"/>
      <c r="LS156" s="16"/>
      <c r="LT156" s="15" t="str">
        <f t="shared" si="551"/>
        <v>NO APLICA</v>
      </c>
      <c r="LU156" s="16"/>
      <c r="LV156" s="16"/>
      <c r="LW156" s="14"/>
      <c r="LX156" s="16"/>
      <c r="LY156" s="15" t="str">
        <f t="shared" si="552"/>
        <v>NO APLICA</v>
      </c>
      <c r="LZ156" s="16"/>
      <c r="MA156" s="16"/>
      <c r="MB156" s="14"/>
      <c r="MC156" s="16"/>
      <c r="MD156" s="15" t="str">
        <f t="shared" si="534"/>
        <v>NO APLICA</v>
      </c>
      <c r="ME156" s="16"/>
      <c r="MF156" s="16"/>
      <c r="MG156" s="14"/>
      <c r="MH156" s="16"/>
      <c r="MI156" s="15" t="str">
        <f t="shared" si="535"/>
        <v>NO APLICA</v>
      </c>
      <c r="MJ156" s="16"/>
      <c r="MK156" s="14"/>
      <c r="ML156" s="16"/>
      <c r="MM156" s="15" t="str">
        <f t="shared" si="536"/>
        <v>NO APLICA</v>
      </c>
      <c r="MN156" s="16"/>
      <c r="MO156" s="16"/>
      <c r="MP156" s="16"/>
      <c r="MQ156" s="15" t="str">
        <f t="shared" si="537"/>
        <v>NO APLICA</v>
      </c>
      <c r="MR156" s="16"/>
      <c r="MS156" s="16"/>
      <c r="MT156" s="14"/>
      <c r="MU156" s="16"/>
      <c r="MV156" s="15" t="str">
        <f t="shared" si="538"/>
        <v>NO APLICA</v>
      </c>
      <c r="MW156" s="16"/>
      <c r="MX156" s="16"/>
      <c r="MY156" s="14"/>
      <c r="MZ156" s="16"/>
      <c r="NA156" s="15" t="str">
        <f t="shared" si="539"/>
        <v>NO APLICA</v>
      </c>
      <c r="NB156" s="16"/>
      <c r="NC156" s="16"/>
      <c r="ND156" s="14"/>
      <c r="NE156" s="16"/>
      <c r="NF156" s="15" t="str">
        <f t="shared" si="540"/>
        <v>NO APLICA</v>
      </c>
      <c r="NG156" s="16"/>
      <c r="NH156" s="16"/>
      <c r="NI156" s="14"/>
      <c r="NJ156" s="16"/>
      <c r="NK156" s="15" t="str">
        <f t="shared" si="541"/>
        <v>NO APLICA</v>
      </c>
      <c r="NL156" s="16"/>
      <c r="NM156" s="16"/>
      <c r="NN156" s="14"/>
      <c r="NO156" s="16"/>
      <c r="NP156" s="15" t="str">
        <f t="shared" si="542"/>
        <v>NO APLICA</v>
      </c>
      <c r="NQ156" s="16"/>
      <c r="NR156" s="16"/>
      <c r="NS156" s="14"/>
      <c r="NT156" s="65"/>
      <c r="NU156" s="15" t="str">
        <f t="shared" si="543"/>
        <v>NO APLICA</v>
      </c>
      <c r="NV156" s="16"/>
      <c r="NW156" s="16"/>
      <c r="NX156" s="16"/>
      <c r="NY156" s="16"/>
      <c r="NZ156" s="15" t="str">
        <f t="shared" si="544"/>
        <v>NO APLICA</v>
      </c>
    </row>
    <row r="157" spans="1:390" ht="15.6" thickTop="1" thickBot="1" x14ac:dyDescent="0.35">
      <c r="A157" s="19" t="s">
        <v>565</v>
      </c>
      <c r="B157" s="10" t="s">
        <v>566</v>
      </c>
      <c r="C157" s="21" t="s">
        <v>567</v>
      </c>
      <c r="D157" s="64" t="s">
        <v>568</v>
      </c>
      <c r="E157" s="16"/>
      <c r="F157" s="16"/>
      <c r="G157" s="16"/>
      <c r="H157" s="65"/>
      <c r="I157" s="15" t="str">
        <f t="shared" si="448"/>
        <v>NO APLICA</v>
      </c>
      <c r="J157" s="16"/>
      <c r="K157" s="16"/>
      <c r="L157" s="16"/>
      <c r="M157" s="65"/>
      <c r="N157" s="15" t="str">
        <f t="shared" si="449"/>
        <v>NO APLICA</v>
      </c>
      <c r="O157" s="14">
        <v>45821</v>
      </c>
      <c r="P157" s="14">
        <v>45822</v>
      </c>
      <c r="Q157" s="14">
        <f>DATE(YEAR(P157)+2,MONTH(P157),DAY(P157)-1)</f>
        <v>46551</v>
      </c>
      <c r="R157" s="65">
        <f ca="1">Q157-TODAY()</f>
        <v>420</v>
      </c>
      <c r="S157" s="15" t="str">
        <f t="shared" ca="1" si="545"/>
        <v>VIGENTE</v>
      </c>
      <c r="T157" s="15"/>
      <c r="U157" s="16"/>
      <c r="V157" s="14"/>
      <c r="W157" s="14"/>
      <c r="X157" s="65"/>
      <c r="Y157" s="15" t="str">
        <f t="shared" si="403"/>
        <v>NO APLICA</v>
      </c>
      <c r="Z157" s="12"/>
      <c r="AA157" s="16"/>
      <c r="AB157" s="16"/>
      <c r="AC157" s="14"/>
      <c r="AD157" s="65"/>
      <c r="AE157" s="15" t="str">
        <f t="shared" si="574"/>
        <v>NO APLICA</v>
      </c>
      <c r="AF157" s="14">
        <v>45061</v>
      </c>
      <c r="AG157" s="14">
        <v>45721</v>
      </c>
      <c r="AH157" s="14">
        <f>DATE(YEAR(AG157)+2,MONTH(AG157),DAY(AG157)-1)</f>
        <v>46450</v>
      </c>
      <c r="AI157" s="65">
        <f t="shared" ca="1" si="450"/>
        <v>319</v>
      </c>
      <c r="AJ157" s="15" t="str">
        <f t="shared" ca="1" si="399"/>
        <v>VIGENTE</v>
      </c>
      <c r="AK157" s="14">
        <v>44978</v>
      </c>
      <c r="AL157" s="14">
        <v>45710</v>
      </c>
      <c r="AM157" s="14">
        <f>DATE(YEAR(AL157)+2,MONTH(AL157),DAY(AL157)-1)</f>
        <v>46439</v>
      </c>
      <c r="AN157" s="65">
        <f t="shared" ca="1" si="451"/>
        <v>308</v>
      </c>
      <c r="AO157" s="15" t="str">
        <f t="shared" ca="1" si="452"/>
        <v>VIGENTE</v>
      </c>
      <c r="AP157" s="14">
        <v>45047</v>
      </c>
      <c r="AQ157" s="14">
        <v>45703</v>
      </c>
      <c r="AR157" s="14">
        <f>DATE(YEAR(AQ157)+2,MONTH(AQ157),DAY(AQ157)-1)</f>
        <v>46432</v>
      </c>
      <c r="AS157" s="65">
        <f t="shared" ca="1" si="453"/>
        <v>301</v>
      </c>
      <c r="AT157" s="15" t="str">
        <f t="shared" ca="1" si="454"/>
        <v>VIGENTE</v>
      </c>
      <c r="AU157" s="14">
        <v>45021</v>
      </c>
      <c r="AV157" s="14">
        <v>45702</v>
      </c>
      <c r="AW157" s="14">
        <f>DATE(YEAR(AV157)+2,MONTH(AV157),DAY(AV157)-1)</f>
        <v>46431</v>
      </c>
      <c r="AX157" s="65">
        <f t="shared" ca="1" si="455"/>
        <v>300</v>
      </c>
      <c r="AY157" s="15" t="str">
        <f t="shared" ca="1" si="456"/>
        <v>VIGENTE</v>
      </c>
      <c r="AZ157" s="14">
        <v>44973</v>
      </c>
      <c r="BA157" s="14">
        <v>45603</v>
      </c>
      <c r="BB157" s="14">
        <f>DATE(YEAR(BA157)+2,MONTH(BA157),DAY(BA157)-1)</f>
        <v>46332</v>
      </c>
      <c r="BC157" s="65">
        <f t="shared" ca="1" si="457"/>
        <v>201</v>
      </c>
      <c r="BD157" s="15" t="str">
        <f t="shared" ca="1" si="458"/>
        <v>VIGENTE</v>
      </c>
      <c r="BE157" s="14">
        <v>44977</v>
      </c>
      <c r="BF157" s="14">
        <v>45605</v>
      </c>
      <c r="BG157" s="14">
        <f>DATE(YEAR(BF157)+2,MONTH(BF157),DAY(BF157)-1)</f>
        <v>46334</v>
      </c>
      <c r="BH157" s="65">
        <f t="shared" ca="1" si="459"/>
        <v>203</v>
      </c>
      <c r="BI157" s="15" t="str">
        <f t="shared" ca="1" si="460"/>
        <v>VIGENTE</v>
      </c>
      <c r="BJ157" s="14">
        <v>44965</v>
      </c>
      <c r="BK157" s="14">
        <v>45600</v>
      </c>
      <c r="BL157" s="14">
        <f>DATE(YEAR(BK157)+2,MONTH(BK157),DAY(BK157)-1)</f>
        <v>46329</v>
      </c>
      <c r="BM157" s="65">
        <f t="shared" ca="1" si="461"/>
        <v>198</v>
      </c>
      <c r="BN157" s="15" t="str">
        <f t="shared" ca="1" si="462"/>
        <v>VIGENTE</v>
      </c>
      <c r="BO157" s="14">
        <v>45031</v>
      </c>
      <c r="BP157" s="14">
        <v>45701</v>
      </c>
      <c r="BQ157" s="14">
        <f>DATE(YEAR(BP157)+2,MONTH(BP157),DAY(BP157)-1)</f>
        <v>46430</v>
      </c>
      <c r="BR157" s="65">
        <f t="shared" ca="1" si="463"/>
        <v>299</v>
      </c>
      <c r="BS157" s="15" t="str">
        <f t="shared" ca="1" si="464"/>
        <v>VIGENTE</v>
      </c>
      <c r="BT157" s="14">
        <v>44953</v>
      </c>
      <c r="BU157" s="14">
        <v>45568</v>
      </c>
      <c r="BV157" s="14">
        <f t="shared" ref="BV157:BV162" si="575">DATE(YEAR(BU157)+2,MONTH(BU157),DAY(BU157)-1)</f>
        <v>46297</v>
      </c>
      <c r="BW157" s="65">
        <f t="shared" ca="1" si="465"/>
        <v>166</v>
      </c>
      <c r="BX157" s="15" t="str">
        <f t="shared" ca="1" si="466"/>
        <v>VIGENTE</v>
      </c>
      <c r="BY157" s="14">
        <v>44960</v>
      </c>
      <c r="BZ157" s="14">
        <v>45629</v>
      </c>
      <c r="CA157" s="14">
        <f>DATE(YEAR(BZ157)+2,MONTH(BZ157),DAY(BZ157)-1)</f>
        <v>46358</v>
      </c>
      <c r="CB157" s="65">
        <f t="shared" ca="1" si="467"/>
        <v>227</v>
      </c>
      <c r="CC157" s="15" t="str">
        <f t="shared" ca="1" si="468"/>
        <v>VIGENTE</v>
      </c>
      <c r="CD157" s="16"/>
      <c r="CE157" s="69"/>
      <c r="CF157" s="69"/>
      <c r="CG157" s="14"/>
      <c r="CH157" s="65"/>
      <c r="CI157" s="15" t="str">
        <f t="shared" si="562"/>
        <v>NO APLICA</v>
      </c>
      <c r="CJ157" s="14">
        <v>44964</v>
      </c>
      <c r="CK157" s="14">
        <v>45601</v>
      </c>
      <c r="CL157" s="14">
        <f>DATE(YEAR(CK157)+2,MONTH(CK157),DAY(CK157)-1)</f>
        <v>46330</v>
      </c>
      <c r="CM157" s="65">
        <f t="shared" ca="1" si="469"/>
        <v>199</v>
      </c>
      <c r="CN157" s="15" t="str">
        <f t="shared" ca="1" si="470"/>
        <v>VIGENTE</v>
      </c>
      <c r="CO157" s="14">
        <v>44970</v>
      </c>
      <c r="CP157" s="14">
        <v>45618</v>
      </c>
      <c r="CQ157" s="14">
        <f t="shared" ref="CQ157:CQ162" si="576">DATE(YEAR(CP157)+2,MONTH(CP157),DAY(CP157)-1)</f>
        <v>46347</v>
      </c>
      <c r="CR157" s="65">
        <f t="shared" ca="1" si="471"/>
        <v>216</v>
      </c>
      <c r="CS157" s="15" t="str">
        <f t="shared" ca="1" si="472"/>
        <v>VIGENTE</v>
      </c>
      <c r="CT157" s="14">
        <v>45086</v>
      </c>
      <c r="CU157" s="14">
        <v>45727</v>
      </c>
      <c r="CV157" s="14">
        <f>DATE(YEAR(CU157)+2,MONTH(CU157),DAY(CU157)-1)</f>
        <v>46456</v>
      </c>
      <c r="CW157" s="65">
        <f t="shared" ca="1" si="473"/>
        <v>325</v>
      </c>
      <c r="CX157" s="15" t="str">
        <f t="shared" ca="1" si="474"/>
        <v>VIGENTE</v>
      </c>
      <c r="CY157" s="14">
        <v>45057</v>
      </c>
      <c r="CZ157" s="14">
        <v>45681</v>
      </c>
      <c r="DA157" s="14">
        <f>DATE(YEAR(CZ157)+2,MONTH(CZ157),DAY(CZ157)-1)</f>
        <v>46410</v>
      </c>
      <c r="DB157" s="65">
        <f t="shared" ca="1" si="475"/>
        <v>279</v>
      </c>
      <c r="DC157" s="15" t="str">
        <f t="shared" ca="1" si="476"/>
        <v>VIGENTE</v>
      </c>
      <c r="DD157" s="14">
        <v>44968</v>
      </c>
      <c r="DE157" s="14">
        <v>45596</v>
      </c>
      <c r="DF157" s="14">
        <f>DATE(YEAR(DE157)+2,MONTH(DE157),DAY(DE157)-1)</f>
        <v>46325</v>
      </c>
      <c r="DG157" s="65">
        <f t="shared" ca="1" si="477"/>
        <v>194</v>
      </c>
      <c r="DH157" s="15" t="str">
        <f t="shared" ca="1" si="478"/>
        <v>VIGENTE</v>
      </c>
      <c r="DI157" s="14">
        <v>45038</v>
      </c>
      <c r="DJ157" s="14">
        <v>45696</v>
      </c>
      <c r="DK157" s="14">
        <f>DATE(YEAR(DJ157)+2,MONTH(DJ157),DAY(DJ157)-1)</f>
        <v>46425</v>
      </c>
      <c r="DL157" s="65">
        <f t="shared" ca="1" si="479"/>
        <v>294</v>
      </c>
      <c r="DM157" s="15" t="str">
        <f t="shared" ca="1" si="480"/>
        <v>VIGENTE</v>
      </c>
      <c r="DN157" s="14">
        <v>44954</v>
      </c>
      <c r="DO157" s="14">
        <v>45577</v>
      </c>
      <c r="DP157" s="14">
        <f>DATE(YEAR(DO157)+2,MONTH(DO157),DAY(DO157)-1)</f>
        <v>46306</v>
      </c>
      <c r="DQ157" s="65">
        <f t="shared" ca="1" si="481"/>
        <v>175</v>
      </c>
      <c r="DR157" s="15" t="str">
        <f t="shared" ca="1" si="482"/>
        <v>VIGENTE</v>
      </c>
      <c r="DS157" s="14">
        <v>45035</v>
      </c>
      <c r="DT157" s="14">
        <v>45685</v>
      </c>
      <c r="DU157" s="14">
        <f>DATE(YEAR(DT157)+2,MONTH(DT157),DAY(DT157)-1)</f>
        <v>46414</v>
      </c>
      <c r="DV157" s="65">
        <f t="shared" ca="1" si="483"/>
        <v>283</v>
      </c>
      <c r="DW157" s="15" t="str">
        <f t="shared" ca="1" si="484"/>
        <v>VIGENTE</v>
      </c>
      <c r="DX157" s="14">
        <v>44992</v>
      </c>
      <c r="DY157" s="14">
        <v>45663</v>
      </c>
      <c r="DZ157" s="14">
        <f>DATE(YEAR(DY157)+2,MONTH(DY157),DAY(DY157)-1)</f>
        <v>46392</v>
      </c>
      <c r="EA157" s="65">
        <f t="shared" ca="1" si="485"/>
        <v>261</v>
      </c>
      <c r="EB157" s="15" t="str">
        <f t="shared" ca="1" si="486"/>
        <v>VIGENTE</v>
      </c>
      <c r="EC157" s="14">
        <v>44982</v>
      </c>
      <c r="ED157" s="14">
        <v>45602</v>
      </c>
      <c r="EE157" s="14">
        <f>DATE(YEAR(ED157)+2,MONTH(ED157),DAY(ED157)-1)</f>
        <v>46331</v>
      </c>
      <c r="EF157" s="65">
        <f t="shared" ca="1" si="487"/>
        <v>200</v>
      </c>
      <c r="EG157" s="15" t="str">
        <f t="shared" ca="1" si="488"/>
        <v>VIGENTE</v>
      </c>
      <c r="EH157" s="14">
        <v>45000</v>
      </c>
      <c r="EI157" s="13">
        <v>46105</v>
      </c>
      <c r="EJ157" s="13">
        <v>46106</v>
      </c>
      <c r="EK157" s="13">
        <v>46107</v>
      </c>
      <c r="EL157" s="14">
        <f t="shared" si="546"/>
        <v>46472</v>
      </c>
      <c r="EM157" s="65">
        <f t="shared" ca="1" si="489"/>
        <v>341</v>
      </c>
      <c r="EN157" s="15" t="str">
        <f t="shared" ca="1" si="490"/>
        <v>VIGENTE</v>
      </c>
      <c r="EO157" s="14">
        <v>44985</v>
      </c>
      <c r="EP157" s="14">
        <v>45636</v>
      </c>
      <c r="EQ157" s="14">
        <f>DATE(YEAR(EP157)+2,MONTH(EP157),DAY(EP157)-1)</f>
        <v>46365</v>
      </c>
      <c r="ER157" s="65">
        <f t="shared" ca="1" si="491"/>
        <v>234</v>
      </c>
      <c r="ES157" s="15" t="str">
        <f t="shared" ca="1" si="492"/>
        <v>VIGENTE</v>
      </c>
      <c r="ET157" s="14">
        <v>45003</v>
      </c>
      <c r="EU157" s="14">
        <v>45623</v>
      </c>
      <c r="EV157" s="14">
        <f>DATE(YEAR(EU157)+2,MONTH(EU157),DAY(EU157)-1)</f>
        <v>46352</v>
      </c>
      <c r="EW157" s="65">
        <f t="shared" ca="1" si="493"/>
        <v>221</v>
      </c>
      <c r="EX157" s="15" t="str">
        <f t="shared" ca="1" si="494"/>
        <v>VIGENTE</v>
      </c>
      <c r="EY157" s="14">
        <v>44957</v>
      </c>
      <c r="EZ157" s="14">
        <v>45610</v>
      </c>
      <c r="FA157" s="14">
        <f>DATE(YEAR(EZ157)+2,MONTH(EZ157),DAY(EZ157)-1)</f>
        <v>46339</v>
      </c>
      <c r="FB157" s="65">
        <f t="shared" ca="1" si="495"/>
        <v>208</v>
      </c>
      <c r="FC157" s="15" t="str">
        <f t="shared" ca="1" si="496"/>
        <v>VIGENTE</v>
      </c>
      <c r="FD157" s="14">
        <v>45009</v>
      </c>
      <c r="FE157" s="14">
        <v>45666</v>
      </c>
      <c r="FF157" s="14">
        <f>DATE(YEAR(FE157)+2,MONTH(FE157),DAY(FE157)-1)</f>
        <v>46395</v>
      </c>
      <c r="FG157" s="65">
        <f t="shared" ca="1" si="497"/>
        <v>264</v>
      </c>
      <c r="FH157" s="15" t="str">
        <f t="shared" ca="1" si="498"/>
        <v>VIGENTE</v>
      </c>
      <c r="FI157" s="14">
        <v>45006</v>
      </c>
      <c r="FJ157" s="14">
        <v>45668</v>
      </c>
      <c r="FK157" s="14">
        <f>DATE(YEAR(FJ157)+2,MONTH(FJ157),DAY(FJ157)-1)</f>
        <v>46397</v>
      </c>
      <c r="FL157" s="65">
        <f t="shared" ca="1" si="499"/>
        <v>266</v>
      </c>
      <c r="FM157" s="15" t="str">
        <f t="shared" ca="1" si="500"/>
        <v>VIGENTE</v>
      </c>
      <c r="FN157" s="14">
        <v>44947</v>
      </c>
      <c r="FO157" s="14">
        <v>45588</v>
      </c>
      <c r="FP157" s="14">
        <f>DATE(YEAR(FO157)+2,MONTH(FO157),DAY(FO157)-1)</f>
        <v>46317</v>
      </c>
      <c r="FQ157" s="65">
        <f t="shared" ca="1" si="501"/>
        <v>186</v>
      </c>
      <c r="FR157" s="15" t="str">
        <f t="shared" ca="1" si="502"/>
        <v>VIGENTE</v>
      </c>
      <c r="FS157" s="14">
        <v>44998</v>
      </c>
      <c r="FT157" s="14">
        <v>45664</v>
      </c>
      <c r="FU157" s="14">
        <f>DATE(YEAR(FT157)+2,MONTH(FT157),DAY(FT157)-1)</f>
        <v>46393</v>
      </c>
      <c r="FV157" s="65">
        <f t="shared" ca="1" si="503"/>
        <v>262</v>
      </c>
      <c r="FW157" s="15" t="str">
        <f t="shared" ca="1" si="504"/>
        <v>VIGENTE</v>
      </c>
      <c r="FX157" s="14">
        <v>45028</v>
      </c>
      <c r="FY157" s="14">
        <v>45700</v>
      </c>
      <c r="FZ157" s="14">
        <f>DATE(YEAR(FY157)+2,MONTH(FY157),DAY(FY157)-1)</f>
        <v>46429</v>
      </c>
      <c r="GA157" s="65">
        <f t="shared" ca="1" si="505"/>
        <v>298</v>
      </c>
      <c r="GB157" s="15" t="str">
        <f t="shared" ca="1" si="506"/>
        <v>VIGENTE</v>
      </c>
      <c r="GC157" s="14">
        <v>44995</v>
      </c>
      <c r="GD157" s="14">
        <v>45667</v>
      </c>
      <c r="GE157" s="14">
        <f>DATE(YEAR(GD157)+2,MONTH(GD157),DAY(GD157)-1)</f>
        <v>46396</v>
      </c>
      <c r="GF157" s="65">
        <f t="shared" ca="1" si="507"/>
        <v>265</v>
      </c>
      <c r="GG157" s="15" t="str">
        <f t="shared" ca="1" si="508"/>
        <v>VIGENTE</v>
      </c>
      <c r="GH157" s="14">
        <v>44996</v>
      </c>
      <c r="GI157" s="14">
        <v>45672</v>
      </c>
      <c r="GJ157" s="14">
        <f>DATE(YEAR(GI157)+2,MONTH(GI157),DAY(GI157)-1)</f>
        <v>46401</v>
      </c>
      <c r="GK157" s="65">
        <f t="shared" ca="1" si="509"/>
        <v>270</v>
      </c>
      <c r="GL157" s="15" t="str">
        <f t="shared" ca="1" si="510"/>
        <v>VIGENTE</v>
      </c>
      <c r="GM157" s="14">
        <v>44945</v>
      </c>
      <c r="GN157" s="14">
        <v>45608</v>
      </c>
      <c r="GO157" s="14">
        <f>DATE(YEAR(GN157)+2,MONTH(GN157),DAY(GN157)-1)</f>
        <v>46337</v>
      </c>
      <c r="GP157" s="65">
        <f t="shared" ca="1" si="511"/>
        <v>206</v>
      </c>
      <c r="GQ157" s="15" t="str">
        <f t="shared" ca="1" si="512"/>
        <v>VIGENTE</v>
      </c>
      <c r="GR157" s="14"/>
      <c r="GS157" s="14">
        <v>44966</v>
      </c>
      <c r="GT157" s="14">
        <f t="shared" si="513"/>
        <v>46792</v>
      </c>
      <c r="GU157" s="65">
        <f t="shared" ca="1" si="398"/>
        <v>661</v>
      </c>
      <c r="GV157" s="15" t="str">
        <f t="shared" ca="1" si="411"/>
        <v>VIGENTE</v>
      </c>
      <c r="GW157" s="14"/>
      <c r="GX157" s="14">
        <v>44952</v>
      </c>
      <c r="GY157" s="14">
        <f t="shared" si="514"/>
        <v>46778</v>
      </c>
      <c r="GZ157" s="65">
        <f t="shared" ca="1" si="515"/>
        <v>647</v>
      </c>
      <c r="HA157" s="15" t="str">
        <f t="shared" ca="1" si="418"/>
        <v>VIGENTE</v>
      </c>
      <c r="HB157" s="16"/>
      <c r="HC157" s="14">
        <v>44980</v>
      </c>
      <c r="HD157" s="14">
        <f t="shared" si="516"/>
        <v>46806</v>
      </c>
      <c r="HE157" s="65">
        <f t="shared" ca="1" si="517"/>
        <v>675</v>
      </c>
      <c r="HF157" s="15" t="str">
        <f t="shared" ca="1" si="413"/>
        <v>VIGENTE</v>
      </c>
      <c r="HG157" s="16"/>
      <c r="HH157" s="14">
        <v>44956</v>
      </c>
      <c r="HI157" s="14">
        <f t="shared" si="572"/>
        <v>46782</v>
      </c>
      <c r="HJ157" s="65">
        <f t="shared" ca="1" si="573"/>
        <v>651</v>
      </c>
      <c r="HK157" s="15" t="str">
        <f t="shared" ca="1" si="419"/>
        <v>VIGENTE</v>
      </c>
      <c r="HL157" s="16"/>
      <c r="HM157" s="16"/>
      <c r="HN157" s="14"/>
      <c r="HO157" s="65"/>
      <c r="HP157" s="15" t="str">
        <f t="shared" si="437"/>
        <v>NO APLICA</v>
      </c>
      <c r="HQ157" s="12"/>
      <c r="HR157" s="15"/>
      <c r="HS157" s="14"/>
      <c r="HT157" s="15"/>
      <c r="HU157" s="15" t="str">
        <f t="shared" si="518"/>
        <v>NO APLICA</v>
      </c>
      <c r="HV157" s="12"/>
      <c r="HW157" s="16"/>
      <c r="HX157" s="14"/>
      <c r="HY157" s="65"/>
      <c r="HZ157" s="15" t="str">
        <f t="shared" si="519"/>
        <v>NO APLICA</v>
      </c>
      <c r="IA157" s="12"/>
      <c r="IB157" s="16"/>
      <c r="IC157" s="14"/>
      <c r="ID157" s="65"/>
      <c r="IE157" s="15" t="str">
        <f t="shared" si="520"/>
        <v>NO APLICA</v>
      </c>
      <c r="IF157" s="12"/>
      <c r="IG157" s="16"/>
      <c r="IH157" s="14"/>
      <c r="II157" s="65"/>
      <c r="IJ157" s="15" t="str">
        <f t="shared" si="521"/>
        <v>NO APLICA</v>
      </c>
      <c r="IK157" s="16"/>
      <c r="IL157" s="16"/>
      <c r="IM157" s="14"/>
      <c r="IN157" s="65"/>
      <c r="IO157" s="15" t="str">
        <f t="shared" si="522"/>
        <v>NO APLICA</v>
      </c>
      <c r="IP157" s="16"/>
      <c r="IQ157" s="16"/>
      <c r="IR157" s="14"/>
      <c r="IS157" s="65"/>
      <c r="IT157" s="15" t="str">
        <f t="shared" si="523"/>
        <v>NO APLICA</v>
      </c>
      <c r="IU157" s="12"/>
      <c r="IV157" s="16"/>
      <c r="IW157" s="14"/>
      <c r="IX157" s="65"/>
      <c r="IY157" s="15" t="str">
        <f t="shared" si="524"/>
        <v>NO APLICA</v>
      </c>
      <c r="IZ157" s="12"/>
      <c r="JA157" s="16"/>
      <c r="JB157" s="14"/>
      <c r="JC157" s="65"/>
      <c r="JD157" s="15" t="str">
        <f t="shared" si="525"/>
        <v>NO APLICA</v>
      </c>
      <c r="JE157" s="13"/>
      <c r="JF157" s="13"/>
      <c r="JG157" s="14"/>
      <c r="JH157" s="65"/>
      <c r="JI157" s="15" t="str">
        <f t="shared" si="526"/>
        <v>NO APLICA</v>
      </c>
      <c r="JJ157" s="16"/>
      <c r="JK157" s="16"/>
      <c r="JL157" s="16"/>
      <c r="JM157" s="15" t="str">
        <f t="shared" si="527"/>
        <v>NO APLICA</v>
      </c>
      <c r="JN157" s="16"/>
      <c r="JO157" s="16"/>
      <c r="JP157" s="16"/>
      <c r="JQ157" s="15" t="str">
        <f t="shared" si="528"/>
        <v>NO APLICA</v>
      </c>
      <c r="JR157" s="16"/>
      <c r="JS157" s="16"/>
      <c r="JT157" s="16"/>
      <c r="JU157" s="16"/>
      <c r="JV157" s="15" t="str">
        <f t="shared" si="529"/>
        <v>NO APLICA</v>
      </c>
      <c r="JW157" s="15"/>
      <c r="JX157" s="15"/>
      <c r="JY157" s="15"/>
      <c r="JZ157" s="15"/>
      <c r="KA157" s="15" t="str">
        <f t="shared" si="530"/>
        <v>NO APLICA</v>
      </c>
      <c r="KB157" s="15"/>
      <c r="KC157" s="14"/>
      <c r="KD157" s="65"/>
      <c r="KE157" s="15" t="str">
        <f t="shared" si="531"/>
        <v>NO APLICA</v>
      </c>
      <c r="KF157" s="15"/>
      <c r="KG157" s="14"/>
      <c r="KH157" s="65"/>
      <c r="KI157" s="15" t="str">
        <f t="shared" si="547"/>
        <v>NO APLICA</v>
      </c>
      <c r="KJ157" s="15"/>
      <c r="KK157" s="14"/>
      <c r="KL157" s="65"/>
      <c r="KM157" s="15" t="str">
        <f t="shared" si="532"/>
        <v>NO APLICA</v>
      </c>
      <c r="KN157" s="12"/>
      <c r="KO157" s="14"/>
      <c r="KP157" s="65"/>
      <c r="KQ157" s="15" t="str">
        <f t="shared" si="548"/>
        <v>NO APLICA</v>
      </c>
      <c r="KR157" s="16"/>
      <c r="KS157" s="16"/>
      <c r="KT157" s="14"/>
      <c r="KU157" s="65"/>
      <c r="KV157" s="15" t="str">
        <f t="shared" si="554"/>
        <v>NO APLICA</v>
      </c>
      <c r="KW157" s="16"/>
      <c r="KX157" s="14"/>
      <c r="KY157" s="65"/>
      <c r="KZ157" s="15" t="str">
        <f t="shared" si="549"/>
        <v>NO APLICA</v>
      </c>
      <c r="LA157" s="16"/>
      <c r="LB157" s="16"/>
      <c r="LC157" s="14"/>
      <c r="LD157" s="65"/>
      <c r="LE157" s="15" t="str">
        <f t="shared" si="556"/>
        <v>NO APLICA</v>
      </c>
      <c r="LF157" s="15"/>
      <c r="LG157" s="15"/>
      <c r="LH157" s="14"/>
      <c r="LI157" s="65"/>
      <c r="LJ157" s="15" t="str">
        <f t="shared" si="555"/>
        <v>NO APLICA</v>
      </c>
      <c r="LK157" s="15"/>
      <c r="LL157" s="16"/>
      <c r="LM157" s="14"/>
      <c r="LN157" s="65"/>
      <c r="LO157" s="15" t="str">
        <f t="shared" si="550"/>
        <v>NO APLICA</v>
      </c>
      <c r="LP157" s="16"/>
      <c r="LQ157" s="16"/>
      <c r="LR157" s="14"/>
      <c r="LS157" s="65"/>
      <c r="LT157" s="15" t="str">
        <f t="shared" si="551"/>
        <v>NO APLICA</v>
      </c>
      <c r="LU157" s="16"/>
      <c r="LV157" s="16"/>
      <c r="LW157" s="14"/>
      <c r="LX157" s="65"/>
      <c r="LY157" s="15" t="str">
        <f t="shared" si="552"/>
        <v>NO APLICA</v>
      </c>
      <c r="LZ157" s="15"/>
      <c r="MA157" s="15"/>
      <c r="MB157" s="14"/>
      <c r="MC157" s="65"/>
      <c r="MD157" s="15" t="str">
        <f t="shared" si="534"/>
        <v>NO APLICA</v>
      </c>
      <c r="ME157" s="15"/>
      <c r="MF157" s="15"/>
      <c r="MG157" s="14"/>
      <c r="MH157" s="65"/>
      <c r="MI157" s="15" t="str">
        <f t="shared" si="535"/>
        <v>NO APLICA</v>
      </c>
      <c r="MJ157" s="15"/>
      <c r="MK157" s="14"/>
      <c r="ML157" s="65"/>
      <c r="MM157" s="15" t="str">
        <f t="shared" si="536"/>
        <v>NO APLICA</v>
      </c>
      <c r="MN157" s="15"/>
      <c r="MO157" s="15"/>
      <c r="MP157" s="15"/>
      <c r="MQ157" s="15" t="str">
        <f t="shared" si="537"/>
        <v>NO APLICA</v>
      </c>
      <c r="MR157" s="15"/>
      <c r="MS157" s="16"/>
      <c r="MT157" s="14"/>
      <c r="MU157" s="65"/>
      <c r="MV157" s="15" t="str">
        <f t="shared" si="538"/>
        <v>NO APLICA</v>
      </c>
      <c r="MW157" s="15"/>
      <c r="MX157" s="16"/>
      <c r="MY157" s="14"/>
      <c r="MZ157" s="65"/>
      <c r="NA157" s="15" t="str">
        <f t="shared" si="539"/>
        <v>NO APLICA</v>
      </c>
      <c r="NB157" s="15"/>
      <c r="NC157" s="16"/>
      <c r="ND157" s="14"/>
      <c r="NE157" s="65"/>
      <c r="NF157" s="15" t="str">
        <f t="shared" si="540"/>
        <v>NO APLICA</v>
      </c>
      <c r="NG157" s="15"/>
      <c r="NH157" s="15"/>
      <c r="NI157" s="14"/>
      <c r="NJ157" s="65"/>
      <c r="NK157" s="15" t="str">
        <f t="shared" si="541"/>
        <v>NO APLICA</v>
      </c>
      <c r="NL157" s="15"/>
      <c r="NM157" s="15"/>
      <c r="NN157" s="14"/>
      <c r="NO157" s="15"/>
      <c r="NP157" s="15" t="str">
        <f t="shared" si="542"/>
        <v>NO APLICA</v>
      </c>
      <c r="NQ157" s="16"/>
      <c r="NR157" s="16"/>
      <c r="NS157" s="14"/>
      <c r="NT157" s="65"/>
      <c r="NU157" s="15" t="str">
        <f t="shared" si="543"/>
        <v>NO APLICA</v>
      </c>
      <c r="NV157" s="16"/>
      <c r="NW157" s="16"/>
      <c r="NX157" s="16"/>
      <c r="NY157" s="16"/>
      <c r="NZ157" s="15" t="str">
        <f t="shared" si="544"/>
        <v>NO APLICA</v>
      </c>
    </row>
    <row r="158" spans="1:390" ht="15.6" thickTop="1" thickBot="1" x14ac:dyDescent="0.35">
      <c r="A158" s="9">
        <v>816</v>
      </c>
      <c r="B158" s="10" t="s">
        <v>569</v>
      </c>
      <c r="C158" s="21" t="s">
        <v>104</v>
      </c>
      <c r="D158" s="64" t="s">
        <v>105</v>
      </c>
      <c r="E158" s="12"/>
      <c r="F158" s="16"/>
      <c r="G158" s="14"/>
      <c r="H158" s="65"/>
      <c r="I158" s="15" t="str">
        <f t="shared" si="448"/>
        <v>NO APLICA</v>
      </c>
      <c r="J158" s="15"/>
      <c r="K158" s="16"/>
      <c r="L158" s="16"/>
      <c r="M158" s="65"/>
      <c r="N158" s="15" t="str">
        <f t="shared" si="449"/>
        <v>NO APLICA</v>
      </c>
      <c r="O158" s="16"/>
      <c r="P158" s="16"/>
      <c r="Q158" s="14"/>
      <c r="R158" s="65"/>
      <c r="S158" s="15" t="str">
        <f t="shared" si="545"/>
        <v>NO APLICA</v>
      </c>
      <c r="T158" s="12" t="s">
        <v>570</v>
      </c>
      <c r="U158" s="13">
        <v>45425</v>
      </c>
      <c r="V158" s="14">
        <v>45426</v>
      </c>
      <c r="W158" s="14">
        <f t="shared" ref="W158:W190" si="577">DATE(YEAR(V158)+5,MONTH(V158),DAY(V158))</f>
        <v>47252</v>
      </c>
      <c r="X158" s="65">
        <f t="shared" ref="X158:X190" ca="1" si="578">W158-TODAY()</f>
        <v>1121</v>
      </c>
      <c r="Y158" s="15" t="str">
        <f t="shared" ca="1" si="403"/>
        <v>VIGENTE</v>
      </c>
      <c r="Z158" s="12" t="s">
        <v>571</v>
      </c>
      <c r="AA158" s="13">
        <v>45498</v>
      </c>
      <c r="AB158" s="14">
        <v>45499</v>
      </c>
      <c r="AC158" s="14">
        <f>DATE(YEAR(AB158)+5,MONTH(AB158),DAY(AB158))</f>
        <v>47325</v>
      </c>
      <c r="AD158" s="65">
        <f ca="1">AC158-TODAY()</f>
        <v>1194</v>
      </c>
      <c r="AE158" s="15" t="str">
        <f t="shared" ca="1" si="574"/>
        <v>VIGENTE</v>
      </c>
      <c r="AF158" s="13">
        <v>44932</v>
      </c>
      <c r="AG158" s="13">
        <v>45617</v>
      </c>
      <c r="AH158" s="14">
        <f>DATE(YEAR(AG158)+2,MONTH(AG158),DAY(AG158)-1)</f>
        <v>46346</v>
      </c>
      <c r="AI158" s="65">
        <f t="shared" ca="1" si="450"/>
        <v>215</v>
      </c>
      <c r="AJ158" s="15" t="str">
        <f t="shared" ca="1" si="399"/>
        <v>VIGENTE</v>
      </c>
      <c r="AK158" s="13">
        <v>45269</v>
      </c>
      <c r="AL158" s="14">
        <v>45926</v>
      </c>
      <c r="AM158" s="14">
        <f>DATE(YEAR(AL158)+2,MONTH(AL158),DAY(AL158))</f>
        <v>46656</v>
      </c>
      <c r="AN158" s="65">
        <f t="shared" ca="1" si="451"/>
        <v>525</v>
      </c>
      <c r="AO158" s="15" t="str">
        <f t="shared" ca="1" si="452"/>
        <v>VIGENTE</v>
      </c>
      <c r="AP158" s="13">
        <v>45074</v>
      </c>
      <c r="AQ158" s="14">
        <v>45703</v>
      </c>
      <c r="AR158" s="14">
        <f>DATE(YEAR(AQ158)+2,MONTH(AQ158),DAY(AQ158)-1)</f>
        <v>46432</v>
      </c>
      <c r="AS158" s="65">
        <f t="shared" ca="1" si="453"/>
        <v>301</v>
      </c>
      <c r="AT158" s="15" t="str">
        <f t="shared" ca="1" si="454"/>
        <v>VIGENTE</v>
      </c>
      <c r="AU158" s="13">
        <v>45072</v>
      </c>
      <c r="AV158" s="14">
        <v>45702</v>
      </c>
      <c r="AW158" s="14">
        <f>DATE(YEAR(AV158)+2,MONTH(AV158),DAY(AV158)-1)</f>
        <v>46431</v>
      </c>
      <c r="AX158" s="65">
        <f t="shared" ca="1" si="455"/>
        <v>300</v>
      </c>
      <c r="AY158" s="15" t="str">
        <f t="shared" ca="1" si="456"/>
        <v>VIGENTE</v>
      </c>
      <c r="AZ158" s="13">
        <v>45093</v>
      </c>
      <c r="BA158" s="14">
        <v>45717</v>
      </c>
      <c r="BB158" s="14">
        <f>DATE(YEAR(BA158)+2,MONTH(BA158),DAY(BA158)-1)</f>
        <v>46446</v>
      </c>
      <c r="BC158" s="65">
        <f t="shared" ca="1" si="457"/>
        <v>315</v>
      </c>
      <c r="BD158" s="15" t="str">
        <f t="shared" ca="1" si="458"/>
        <v>VIGENTE</v>
      </c>
      <c r="BE158" s="13">
        <v>45071</v>
      </c>
      <c r="BF158" s="14">
        <v>45698</v>
      </c>
      <c r="BG158" s="14">
        <f>DATE(YEAR(BF158)+2,MONTH(BF158),DAY(BF158)-1)</f>
        <v>46427</v>
      </c>
      <c r="BH158" s="65">
        <f t="shared" ca="1" si="459"/>
        <v>296</v>
      </c>
      <c r="BI158" s="15" t="str">
        <f t="shared" ca="1" si="460"/>
        <v>VIGENTE</v>
      </c>
      <c r="BJ158" s="13">
        <v>45372</v>
      </c>
      <c r="BK158" s="14">
        <v>46035</v>
      </c>
      <c r="BL158" s="14">
        <f>DATE(YEAR(BK158)+2,MONTH(BK158),DAY(BK158))</f>
        <v>46765</v>
      </c>
      <c r="BM158" s="65">
        <f t="shared" ca="1" si="461"/>
        <v>634</v>
      </c>
      <c r="BN158" s="15" t="str">
        <f t="shared" ca="1" si="462"/>
        <v>VIGENTE</v>
      </c>
      <c r="BO158" s="13">
        <v>45073</v>
      </c>
      <c r="BP158" s="14">
        <v>45701</v>
      </c>
      <c r="BQ158" s="14">
        <f>DATE(YEAR(BP158)+2,MONTH(BP158),DAY(BP158)-1)</f>
        <v>46430</v>
      </c>
      <c r="BR158" s="65">
        <f t="shared" ca="1" si="463"/>
        <v>299</v>
      </c>
      <c r="BS158" s="15" t="str">
        <f t="shared" ca="1" si="464"/>
        <v>VIGENTE</v>
      </c>
      <c r="BT158" s="13">
        <v>45048</v>
      </c>
      <c r="BU158" s="14">
        <v>45695</v>
      </c>
      <c r="BV158" s="14">
        <f t="shared" si="575"/>
        <v>46424</v>
      </c>
      <c r="BW158" s="65">
        <f t="shared" ca="1" si="465"/>
        <v>293</v>
      </c>
      <c r="BX158" s="15" t="str">
        <f t="shared" ca="1" si="466"/>
        <v>VIGENTE</v>
      </c>
      <c r="BY158" s="13">
        <v>45300</v>
      </c>
      <c r="BZ158" s="14">
        <v>45954</v>
      </c>
      <c r="CA158" s="14">
        <f t="shared" ref="CA158:CA165" si="579">DATE(YEAR(BZ158)+2,MONTH(BZ158),DAY(BZ158))</f>
        <v>46684</v>
      </c>
      <c r="CB158" s="65">
        <f t="shared" ca="1" si="467"/>
        <v>553</v>
      </c>
      <c r="CC158" s="15" t="str">
        <f t="shared" ca="1" si="468"/>
        <v>VIGENTE</v>
      </c>
      <c r="CD158" s="16" t="s">
        <v>108</v>
      </c>
      <c r="CE158" s="14">
        <v>45226</v>
      </c>
      <c r="CF158" s="14">
        <v>45227</v>
      </c>
      <c r="CG158" s="14">
        <f t="shared" ref="CG158:CG190" si="580">DATE(YEAR(CF158)+4,MONTH(CF158),DAY(CF158))</f>
        <v>46688</v>
      </c>
      <c r="CH158" s="65">
        <f t="shared" ref="CH158:CH190" ca="1" si="581">CG158-TODAY()</f>
        <v>557</v>
      </c>
      <c r="CI158" s="15" t="str">
        <f t="shared" ca="1" si="562"/>
        <v>VIGENTE</v>
      </c>
      <c r="CJ158" s="14">
        <v>45085</v>
      </c>
      <c r="CK158" s="14">
        <v>45723</v>
      </c>
      <c r="CL158" s="14">
        <f>DATE(YEAR(CK158)+2,MONTH(CK158),DAY(CK158)-1)</f>
        <v>46452</v>
      </c>
      <c r="CM158" s="65">
        <f t="shared" ca="1" si="469"/>
        <v>321</v>
      </c>
      <c r="CN158" s="15" t="str">
        <f t="shared" ca="1" si="470"/>
        <v>VIGENTE</v>
      </c>
      <c r="CO158" s="14">
        <v>45087</v>
      </c>
      <c r="CP158" s="14">
        <v>45726</v>
      </c>
      <c r="CQ158" s="14">
        <f t="shared" si="576"/>
        <v>46455</v>
      </c>
      <c r="CR158" s="65">
        <f t="shared" ca="1" si="471"/>
        <v>324</v>
      </c>
      <c r="CS158" s="15" t="str">
        <f t="shared" ca="1" si="472"/>
        <v>VIGENTE</v>
      </c>
      <c r="CT158" s="13">
        <v>44974</v>
      </c>
      <c r="CU158" s="14">
        <v>45639</v>
      </c>
      <c r="CV158" s="14">
        <f>DATE(YEAR(CU158)+2,MONTH(CU158),DAY(CU158)-1)</f>
        <v>46368</v>
      </c>
      <c r="CW158" s="65">
        <f t="shared" ca="1" si="473"/>
        <v>237</v>
      </c>
      <c r="CX158" s="15" t="str">
        <f t="shared" ca="1" si="474"/>
        <v>VIGENTE</v>
      </c>
      <c r="CY158" s="13">
        <v>44995</v>
      </c>
      <c r="CZ158" s="14">
        <v>45661</v>
      </c>
      <c r="DA158" s="14">
        <f>DATE(YEAR(CZ158)+2,MONTH(CZ158),DAY(CZ158)-1)</f>
        <v>46390</v>
      </c>
      <c r="DB158" s="65">
        <f t="shared" ca="1" si="475"/>
        <v>259</v>
      </c>
      <c r="DC158" s="15" t="str">
        <f t="shared" ca="1" si="476"/>
        <v>VIGENTE</v>
      </c>
      <c r="DD158" s="13">
        <v>45027</v>
      </c>
      <c r="DE158" s="14">
        <v>45689</v>
      </c>
      <c r="DF158" s="14">
        <f>DATE(YEAR(DE158)+2,MONTH(DE158),DAY(DE158)-1)</f>
        <v>46418</v>
      </c>
      <c r="DG158" s="65">
        <f t="shared" ca="1" si="477"/>
        <v>287</v>
      </c>
      <c r="DH158" s="15" t="str">
        <f t="shared" ca="1" si="478"/>
        <v>VIGENTE</v>
      </c>
      <c r="DI158" s="13">
        <v>45044</v>
      </c>
      <c r="DJ158" s="14">
        <v>45696</v>
      </c>
      <c r="DK158" s="14">
        <f>DATE(YEAR(DJ158)+2,MONTH(DJ158),DAY(DJ158)-1)</f>
        <v>46425</v>
      </c>
      <c r="DL158" s="65">
        <f t="shared" ca="1" si="479"/>
        <v>294</v>
      </c>
      <c r="DM158" s="15" t="str">
        <f t="shared" ca="1" si="480"/>
        <v>VIGENTE</v>
      </c>
      <c r="DN158" s="13">
        <v>44613</v>
      </c>
      <c r="DO158" s="14">
        <v>46007</v>
      </c>
      <c r="DP158" s="14">
        <f>DATE(YEAR(DO158)+2,MONTH(DO158),DAY(DO158))</f>
        <v>46737</v>
      </c>
      <c r="DQ158" s="65">
        <f t="shared" ca="1" si="481"/>
        <v>606</v>
      </c>
      <c r="DR158" s="15" t="str">
        <f t="shared" ca="1" si="482"/>
        <v>VIGENTE</v>
      </c>
      <c r="DS158" s="13">
        <v>45066</v>
      </c>
      <c r="DT158" s="14">
        <v>45685</v>
      </c>
      <c r="DU158" s="14">
        <f>DATE(YEAR(DT158)+2,MONTH(DT158),DAY(DT158)-1)</f>
        <v>46414</v>
      </c>
      <c r="DV158" s="65">
        <f t="shared" ca="1" si="483"/>
        <v>283</v>
      </c>
      <c r="DW158" s="15" t="str">
        <f t="shared" ca="1" si="484"/>
        <v>VIGENTE</v>
      </c>
      <c r="DX158" s="13">
        <v>45064</v>
      </c>
      <c r="DY158" s="14">
        <v>45709</v>
      </c>
      <c r="DZ158" s="14">
        <f>DATE(YEAR(DY158)+2,MONTH(DY158),DAY(DY158)-1)</f>
        <v>46438</v>
      </c>
      <c r="EA158" s="65">
        <f t="shared" ca="1" si="485"/>
        <v>307</v>
      </c>
      <c r="EB158" s="15" t="str">
        <f t="shared" ca="1" si="486"/>
        <v>VIGENTE</v>
      </c>
      <c r="EC158" s="13">
        <v>45045</v>
      </c>
      <c r="ED158" s="14">
        <v>45674</v>
      </c>
      <c r="EE158" s="14">
        <f>DATE(YEAR(ED158)+2,MONTH(ED158),DAY(ED158)-1)</f>
        <v>46403</v>
      </c>
      <c r="EF158" s="65">
        <f t="shared" ca="1" si="487"/>
        <v>272</v>
      </c>
      <c r="EG158" s="15" t="str">
        <f t="shared" ca="1" si="488"/>
        <v>VIGENTE</v>
      </c>
      <c r="EH158" s="14">
        <v>45083</v>
      </c>
      <c r="EI158" s="13">
        <v>45946</v>
      </c>
      <c r="EJ158" s="13">
        <v>45947</v>
      </c>
      <c r="EK158" s="14">
        <v>45948</v>
      </c>
      <c r="EL158" s="14">
        <f t="shared" si="546"/>
        <v>46313</v>
      </c>
      <c r="EM158" s="65">
        <f t="shared" ca="1" si="489"/>
        <v>182</v>
      </c>
      <c r="EN158" s="15" t="str">
        <f t="shared" ca="1" si="490"/>
        <v>VIGENTE</v>
      </c>
      <c r="EO158" s="13">
        <v>44999</v>
      </c>
      <c r="EP158" s="14">
        <v>45660</v>
      </c>
      <c r="EQ158" s="14">
        <f>DATE(YEAR(EP158)+2,MONTH(EP158),DAY(EP158)-1)</f>
        <v>46389</v>
      </c>
      <c r="ER158" s="65">
        <f t="shared" ca="1" si="491"/>
        <v>258</v>
      </c>
      <c r="ES158" s="15" t="str">
        <f t="shared" ca="1" si="492"/>
        <v>VIGENTE</v>
      </c>
      <c r="ET158" s="13">
        <v>45003</v>
      </c>
      <c r="EU158" s="14">
        <v>45677</v>
      </c>
      <c r="EV158" s="14">
        <f>DATE(YEAR(EU158)+2,MONTH(EU158),DAY(EU158)-1)</f>
        <v>46406</v>
      </c>
      <c r="EW158" s="65">
        <f t="shared" ca="1" si="493"/>
        <v>275</v>
      </c>
      <c r="EX158" s="15" t="str">
        <f t="shared" ca="1" si="494"/>
        <v>VIGENTE</v>
      </c>
      <c r="EY158" s="13">
        <v>44630</v>
      </c>
      <c r="EZ158" s="14">
        <v>45953</v>
      </c>
      <c r="FA158" s="14">
        <f t="shared" ref="FA158:FA165" si="582">DATE(YEAR(EZ158)+2,MONTH(EZ158),DAY(EZ158))</f>
        <v>46683</v>
      </c>
      <c r="FB158" s="65">
        <f t="shared" ca="1" si="495"/>
        <v>552</v>
      </c>
      <c r="FC158" s="15" t="str">
        <f t="shared" ca="1" si="496"/>
        <v>VIGENTE</v>
      </c>
      <c r="FD158" s="13">
        <v>44629</v>
      </c>
      <c r="FE158" s="14">
        <v>45951</v>
      </c>
      <c r="FF158" s="14">
        <f t="shared" ref="FF158:FF165" si="583">DATE(YEAR(FE158)+2,MONTH(FE158),DAY(FE158))</f>
        <v>46681</v>
      </c>
      <c r="FG158" s="65">
        <f t="shared" ca="1" si="497"/>
        <v>550</v>
      </c>
      <c r="FH158" s="15" t="str">
        <f t="shared" ca="1" si="498"/>
        <v>VIGENTE</v>
      </c>
      <c r="FI158" s="13">
        <v>45317</v>
      </c>
      <c r="FJ158" s="14">
        <v>45962</v>
      </c>
      <c r="FK158" s="14">
        <f t="shared" ref="FK158:FK165" si="584">DATE(YEAR(FJ158)+2,MONTH(FJ158),DAY(FJ158))</f>
        <v>46692</v>
      </c>
      <c r="FL158" s="65">
        <f t="shared" ca="1" si="499"/>
        <v>561</v>
      </c>
      <c r="FM158" s="15" t="str">
        <f t="shared" ca="1" si="500"/>
        <v>VIGENTE</v>
      </c>
      <c r="FN158" s="13">
        <v>45084</v>
      </c>
      <c r="FO158" s="14">
        <v>45738</v>
      </c>
      <c r="FP158" s="14">
        <f>DATE(YEAR(FO158)+2,MONTH(FO158),DAY(FO158)-1)</f>
        <v>46467</v>
      </c>
      <c r="FQ158" s="65">
        <f t="shared" ca="1" si="501"/>
        <v>336</v>
      </c>
      <c r="FR158" s="15" t="str">
        <f t="shared" ca="1" si="502"/>
        <v>VIGENTE</v>
      </c>
      <c r="FS158" s="13">
        <v>45015</v>
      </c>
      <c r="FT158" s="14">
        <v>45678</v>
      </c>
      <c r="FU158" s="14">
        <f>DATE(YEAR(FT158)+2,MONTH(FT158),DAY(FT158)-1)</f>
        <v>46407</v>
      </c>
      <c r="FV158" s="65">
        <f t="shared" ca="1" si="503"/>
        <v>276</v>
      </c>
      <c r="FW158" s="15" t="str">
        <f t="shared" ca="1" si="504"/>
        <v>VIGENTE</v>
      </c>
      <c r="FX158" s="13">
        <v>44947</v>
      </c>
      <c r="FY158" s="14">
        <v>45581</v>
      </c>
      <c r="FZ158" s="14">
        <f>DATE(YEAR(FY158)+2,MONTH(FY158),DAY(FY158)-1)</f>
        <v>46310</v>
      </c>
      <c r="GA158" s="65">
        <f t="shared" ca="1" si="505"/>
        <v>179</v>
      </c>
      <c r="GB158" s="15" t="str">
        <f t="shared" ca="1" si="506"/>
        <v>VIGENTE</v>
      </c>
      <c r="GC158" s="13">
        <v>45049</v>
      </c>
      <c r="GD158" s="14">
        <v>45667</v>
      </c>
      <c r="GE158" s="14">
        <f>DATE(YEAR(GD158)+2,MONTH(GD158),DAY(GD158)-1)</f>
        <v>46396</v>
      </c>
      <c r="GF158" s="65">
        <f t="shared" ca="1" si="507"/>
        <v>265</v>
      </c>
      <c r="GG158" s="15" t="str">
        <f t="shared" ca="1" si="508"/>
        <v>VIGENTE</v>
      </c>
      <c r="GH158" s="13">
        <v>45094</v>
      </c>
      <c r="GI158" s="14">
        <v>45752</v>
      </c>
      <c r="GJ158" s="14">
        <f>DATE(YEAR(GI158)+2,MONTH(GI158),DAY(GI158)-1)</f>
        <v>46481</v>
      </c>
      <c r="GK158" s="65">
        <f t="shared" ca="1" si="509"/>
        <v>350</v>
      </c>
      <c r="GL158" s="15" t="str">
        <f t="shared" ca="1" si="510"/>
        <v>VIGENTE</v>
      </c>
      <c r="GM158" s="13">
        <v>45028</v>
      </c>
      <c r="GN158" s="14">
        <v>45687</v>
      </c>
      <c r="GO158" s="14">
        <f>DATE(YEAR(GN158)+2,MONTH(GN158),DAY(GN158)-1)</f>
        <v>46416</v>
      </c>
      <c r="GP158" s="65">
        <f t="shared" ca="1" si="511"/>
        <v>285</v>
      </c>
      <c r="GQ158" s="15" t="str">
        <f t="shared" ca="1" si="512"/>
        <v>VIGENTE</v>
      </c>
      <c r="GR158" s="14">
        <v>44293</v>
      </c>
      <c r="GS158" s="14">
        <v>45017</v>
      </c>
      <c r="GT158" s="14">
        <f t="shared" si="513"/>
        <v>46844</v>
      </c>
      <c r="GU158" s="65">
        <f t="shared" ca="1" si="398"/>
        <v>713</v>
      </c>
      <c r="GV158" s="15" t="str">
        <f t="shared" ca="1" si="411"/>
        <v>VIGENTE</v>
      </c>
      <c r="GW158" s="13">
        <v>44571</v>
      </c>
      <c r="GX158" s="14">
        <v>45245</v>
      </c>
      <c r="GY158" s="14">
        <f t="shared" si="514"/>
        <v>47072</v>
      </c>
      <c r="GZ158" s="65">
        <f t="shared" ca="1" si="515"/>
        <v>941</v>
      </c>
      <c r="HA158" s="15" t="str">
        <f t="shared" ca="1" si="418"/>
        <v>VIGENTE</v>
      </c>
      <c r="HB158" s="13">
        <v>44265</v>
      </c>
      <c r="HC158" s="14">
        <v>44980</v>
      </c>
      <c r="HD158" s="14">
        <f t="shared" si="516"/>
        <v>46806</v>
      </c>
      <c r="HE158" s="65">
        <f t="shared" ca="1" si="517"/>
        <v>675</v>
      </c>
      <c r="HF158" s="15" t="str">
        <f t="shared" ca="1" si="413"/>
        <v>VIGENTE</v>
      </c>
      <c r="HG158" s="16"/>
      <c r="HH158" s="14">
        <v>44879</v>
      </c>
      <c r="HI158" s="14">
        <f t="shared" si="572"/>
        <v>46705</v>
      </c>
      <c r="HJ158" s="65">
        <f t="shared" ca="1" si="573"/>
        <v>574</v>
      </c>
      <c r="HK158" s="15" t="str">
        <f t="shared" ca="1" si="419"/>
        <v>VIGENTE</v>
      </c>
      <c r="HL158" s="13">
        <v>44632</v>
      </c>
      <c r="HM158" s="14">
        <v>45414</v>
      </c>
      <c r="HN158" s="14">
        <f>DATE(YEAR(HM158)+5,MONTH(HM158),DAY(HM158))</f>
        <v>47240</v>
      </c>
      <c r="HO158" s="65">
        <f ca="1">HN158-TODAY()</f>
        <v>1109</v>
      </c>
      <c r="HP158" s="15" t="str">
        <f t="shared" ca="1" si="437"/>
        <v>VIGENTE</v>
      </c>
      <c r="HQ158" s="12"/>
      <c r="HR158" s="12"/>
      <c r="HS158" s="14"/>
      <c r="HT158" s="12"/>
      <c r="HU158" s="15" t="str">
        <f t="shared" si="518"/>
        <v>NO APLICA</v>
      </c>
      <c r="HV158" s="13">
        <v>44560</v>
      </c>
      <c r="HW158" s="14">
        <v>45243</v>
      </c>
      <c r="HX158" s="14">
        <f>DATE(YEAR(HW158)+5,MONTH(HW158),DAY(HW158))</f>
        <v>47070</v>
      </c>
      <c r="HY158" s="65">
        <f ca="1">HX158-TODAY()</f>
        <v>939</v>
      </c>
      <c r="HZ158" s="15" t="str">
        <f t="shared" ca="1" si="519"/>
        <v>VIGENTE</v>
      </c>
      <c r="IA158" s="13">
        <v>44557</v>
      </c>
      <c r="IB158" s="14">
        <v>45241</v>
      </c>
      <c r="IC158" s="14">
        <f>DATE(YEAR(IB158)+5,MONTH(IB158),DAY(IB158))</f>
        <v>47068</v>
      </c>
      <c r="ID158" s="65">
        <f ca="1">IC158-TODAY()</f>
        <v>937</v>
      </c>
      <c r="IE158" s="15" t="str">
        <f t="shared" ca="1" si="520"/>
        <v>VIGENTE</v>
      </c>
      <c r="IF158" s="13">
        <v>44558</v>
      </c>
      <c r="IG158" s="14">
        <v>45264</v>
      </c>
      <c r="IH158" s="14">
        <f>DATE(YEAR(IG158)+5,MONTH(IG158),DAY(IG158))</f>
        <v>47091</v>
      </c>
      <c r="II158" s="65">
        <f ca="1">IH158-TODAY()</f>
        <v>960</v>
      </c>
      <c r="IJ158" s="15" t="str">
        <f t="shared" ca="1" si="521"/>
        <v>VIGENTE</v>
      </c>
      <c r="IK158" s="14">
        <v>44559</v>
      </c>
      <c r="IL158" s="14">
        <v>45262</v>
      </c>
      <c r="IM158" s="14">
        <f>DATE(YEAR(IL158)+5,MONTH(IL158),DAY(IL158))</f>
        <v>47089</v>
      </c>
      <c r="IN158" s="65">
        <f ca="1">IM158-TODAY()</f>
        <v>958</v>
      </c>
      <c r="IO158" s="15" t="str">
        <f t="shared" ca="1" si="522"/>
        <v>VIGENTE</v>
      </c>
      <c r="IP158" s="13">
        <v>44559</v>
      </c>
      <c r="IQ158" s="14">
        <v>45239</v>
      </c>
      <c r="IR158" s="14">
        <f>DATE(YEAR(IQ158)+5,MONTH(IQ158),DAY(IQ158))</f>
        <v>47066</v>
      </c>
      <c r="IS158" s="65">
        <f ca="1">IR158-TODAY()</f>
        <v>935</v>
      </c>
      <c r="IT158" s="15" t="str">
        <f t="shared" ca="1" si="523"/>
        <v>VIGENTE</v>
      </c>
      <c r="IU158" s="13">
        <v>44558</v>
      </c>
      <c r="IV158" s="14">
        <v>45240</v>
      </c>
      <c r="IW158" s="14">
        <f>DATE(YEAR(IV158)+5,MONTH(IV158),DAY(IV158))</f>
        <v>47067</v>
      </c>
      <c r="IX158" s="65">
        <f ca="1">IW158-TODAY()</f>
        <v>936</v>
      </c>
      <c r="IY158" s="15" t="str">
        <f t="shared" ca="1" si="524"/>
        <v>VIGENTE</v>
      </c>
      <c r="IZ158" s="13">
        <v>44557</v>
      </c>
      <c r="JA158" s="14">
        <v>45261</v>
      </c>
      <c r="JB158" s="14">
        <f>DATE(YEAR(JA158)+5,MONTH(JA158),DAY(JA158))</f>
        <v>47088</v>
      </c>
      <c r="JC158" s="65">
        <f ca="1">JB158-TODAY()</f>
        <v>957</v>
      </c>
      <c r="JD158" s="15" t="str">
        <f t="shared" ca="1" si="525"/>
        <v>VIGENTE</v>
      </c>
      <c r="JE158" s="13"/>
      <c r="JF158" s="13"/>
      <c r="JG158" s="14"/>
      <c r="JH158" s="65"/>
      <c r="JI158" s="15" t="str">
        <f t="shared" si="526"/>
        <v>NO APLICA</v>
      </c>
      <c r="JJ158" s="16"/>
      <c r="JK158" s="16"/>
      <c r="JL158" s="16"/>
      <c r="JM158" s="15" t="str">
        <f t="shared" si="527"/>
        <v>NO APLICA</v>
      </c>
      <c r="JN158" s="16"/>
      <c r="JO158" s="16"/>
      <c r="JP158" s="16"/>
      <c r="JQ158" s="15" t="str">
        <f t="shared" si="528"/>
        <v>NO APLICA</v>
      </c>
      <c r="JR158" s="16"/>
      <c r="JS158" s="16"/>
      <c r="JT158" s="16"/>
      <c r="JU158" s="16"/>
      <c r="JV158" s="15" t="str">
        <f t="shared" si="529"/>
        <v>NO APLICA</v>
      </c>
      <c r="JW158" s="15"/>
      <c r="JX158" s="15"/>
      <c r="JY158" s="15"/>
      <c r="JZ158" s="15"/>
      <c r="KA158" s="15" t="str">
        <f t="shared" si="530"/>
        <v>NO APLICA</v>
      </c>
      <c r="KB158" s="12"/>
      <c r="KC158" s="14"/>
      <c r="KD158" s="65"/>
      <c r="KE158" s="15" t="str">
        <f t="shared" si="531"/>
        <v>NO APLICA</v>
      </c>
      <c r="KF158" s="12"/>
      <c r="KG158" s="14"/>
      <c r="KH158" s="65"/>
      <c r="KI158" s="15" t="str">
        <f t="shared" si="547"/>
        <v>NO APLICA</v>
      </c>
      <c r="KJ158" s="13">
        <v>45364</v>
      </c>
      <c r="KK158" s="14">
        <f>DATE(YEAR(KJ158)+5,MONTH(KJ158),DAY(KJ158))</f>
        <v>47190</v>
      </c>
      <c r="KL158" s="65">
        <f ca="1">KK158-TODAY()</f>
        <v>1059</v>
      </c>
      <c r="KM158" s="15" t="str">
        <f t="shared" ca="1" si="532"/>
        <v>VIGENTE</v>
      </c>
      <c r="KN158" s="12"/>
      <c r="KO158" s="14"/>
      <c r="KP158" s="65"/>
      <c r="KQ158" s="15" t="str">
        <f t="shared" si="548"/>
        <v>NO APLICA</v>
      </c>
      <c r="KR158" s="12"/>
      <c r="KS158" s="16"/>
      <c r="KT158" s="14"/>
      <c r="KU158" s="65"/>
      <c r="KV158" s="15" t="str">
        <f t="shared" si="554"/>
        <v>NO APLICA</v>
      </c>
      <c r="KW158" s="14">
        <v>44545</v>
      </c>
      <c r="KX158" s="14">
        <f>DATE(YEAR(KW158)+5,MONTH(KW158),DAY(KW158))</f>
        <v>46371</v>
      </c>
      <c r="KY158" s="65">
        <f ca="1">KX158-TODAY()</f>
        <v>240</v>
      </c>
      <c r="KZ158" s="15" t="str">
        <f t="shared" ca="1" si="549"/>
        <v>VIGENTE</v>
      </c>
      <c r="LA158" s="14">
        <v>44494</v>
      </c>
      <c r="LB158" s="14">
        <v>45516</v>
      </c>
      <c r="LC158" s="14">
        <f>DATE(YEAR(LB158)+2,MONTH(LB158),DAY(LB158))</f>
        <v>46246</v>
      </c>
      <c r="LD158" s="65">
        <f ca="1">LC158-TODAY()</f>
        <v>115</v>
      </c>
      <c r="LE158" s="15" t="str">
        <f t="shared" ca="1" si="556"/>
        <v>VIGENTE</v>
      </c>
      <c r="LF158" s="15"/>
      <c r="LG158" s="66">
        <v>44086</v>
      </c>
      <c r="LH158" s="14">
        <f>DATE(YEAR(LG158)+5,MONTH(LG158),DAY(LG158))</f>
        <v>45912</v>
      </c>
      <c r="LI158" s="65">
        <f ca="1">LH158-TODAY()</f>
        <v>-219</v>
      </c>
      <c r="LJ158" s="15" t="str">
        <f t="shared" ca="1" si="555"/>
        <v>VENCIDA</v>
      </c>
      <c r="LK158" s="13">
        <v>44375</v>
      </c>
      <c r="LL158" s="14">
        <v>44377</v>
      </c>
      <c r="LM158" s="14">
        <f>DATE(YEAR(LL158)+5,MONTH(LL158),DAY(LL158))</f>
        <v>46203</v>
      </c>
      <c r="LN158" s="65">
        <f ca="1">LM158-TODAY()</f>
        <v>72</v>
      </c>
      <c r="LO158" s="15" t="str">
        <f t="shared" ca="1" si="550"/>
        <v>VIGENTE</v>
      </c>
      <c r="LP158" s="14">
        <v>44984</v>
      </c>
      <c r="LQ158" s="14">
        <v>44986</v>
      </c>
      <c r="LR158" s="14">
        <f>DATE(YEAR(LQ158)+5,MONTH(LQ158),DAY(LQ158))</f>
        <v>46813</v>
      </c>
      <c r="LS158" s="65">
        <f ca="1">LR158-TODAY()</f>
        <v>682</v>
      </c>
      <c r="LT158" s="15" t="str">
        <f t="shared" ca="1" si="551"/>
        <v>VIGENTE</v>
      </c>
      <c r="LU158" s="14">
        <v>44987</v>
      </c>
      <c r="LV158" s="14">
        <v>44988</v>
      </c>
      <c r="LW158" s="14">
        <f>DATE(YEAR(LV158)+5,MONTH(LV158),DAY(LV158))</f>
        <v>46815</v>
      </c>
      <c r="LX158" s="65">
        <f ca="1">LW158-TODAY()</f>
        <v>684</v>
      </c>
      <c r="LY158" s="15" t="str">
        <f t="shared" ca="1" si="552"/>
        <v>VIGENTE</v>
      </c>
      <c r="LZ158" s="14">
        <v>44998</v>
      </c>
      <c r="MA158" s="14">
        <v>45010</v>
      </c>
      <c r="MB158" s="14">
        <f>DATE(YEAR(MA158)+5,MONTH(MA158),DAY(MA158))</f>
        <v>46837</v>
      </c>
      <c r="MC158" s="65">
        <f ca="1">MB158-TODAY()</f>
        <v>706</v>
      </c>
      <c r="MD158" s="15" t="str">
        <f t="shared" ca="1" si="534"/>
        <v>VIGENTE</v>
      </c>
      <c r="ME158" s="12"/>
      <c r="MF158" s="12"/>
      <c r="MG158" s="14"/>
      <c r="MH158" s="65"/>
      <c r="MI158" s="15" t="str">
        <f t="shared" si="535"/>
        <v>NO APLICA</v>
      </c>
      <c r="MJ158" s="12"/>
      <c r="MK158" s="14"/>
      <c r="ML158" s="65"/>
      <c r="MM158" s="15" t="str">
        <f t="shared" si="536"/>
        <v>NO APLICA</v>
      </c>
      <c r="MN158" s="12"/>
      <c r="MO158" s="14"/>
      <c r="MP158" s="12"/>
      <c r="MQ158" s="15" t="str">
        <f t="shared" si="537"/>
        <v>NO APLICA</v>
      </c>
      <c r="MR158" s="12"/>
      <c r="MS158" s="16"/>
      <c r="MT158" s="14"/>
      <c r="MU158" s="65"/>
      <c r="MV158" s="15" t="str">
        <f t="shared" si="538"/>
        <v>NO APLICA</v>
      </c>
      <c r="MW158" s="12"/>
      <c r="MX158" s="16"/>
      <c r="MY158" s="14"/>
      <c r="MZ158" s="65"/>
      <c r="NA158" s="15" t="str">
        <f t="shared" si="539"/>
        <v>NO APLICA</v>
      </c>
      <c r="NB158" s="12"/>
      <c r="NC158" s="16"/>
      <c r="ND158" s="14"/>
      <c r="NE158" s="65"/>
      <c r="NF158" s="15" t="str">
        <f t="shared" si="540"/>
        <v>NO APLICA</v>
      </c>
      <c r="NG158" s="12"/>
      <c r="NH158" s="12"/>
      <c r="NI158" s="14"/>
      <c r="NJ158" s="12"/>
      <c r="NK158" s="15" t="str">
        <f t="shared" si="541"/>
        <v>NO APLICA</v>
      </c>
      <c r="NL158" s="12"/>
      <c r="NM158" s="12"/>
      <c r="NN158" s="12"/>
      <c r="NO158" s="12"/>
      <c r="NP158" s="15" t="str">
        <f t="shared" si="542"/>
        <v>NO APLICA</v>
      </c>
      <c r="NQ158" s="16"/>
      <c r="NR158" s="16"/>
      <c r="NS158" s="14"/>
      <c r="NT158" s="65"/>
      <c r="NU158" s="15" t="str">
        <f t="shared" si="543"/>
        <v>NO APLICA</v>
      </c>
      <c r="NV158" s="16"/>
      <c r="NW158" s="16"/>
      <c r="NX158" s="16"/>
      <c r="NY158" s="16"/>
      <c r="NZ158" s="15" t="str">
        <f t="shared" si="544"/>
        <v>NO APLICA</v>
      </c>
    </row>
    <row r="159" spans="1:390" ht="15.6" thickTop="1" thickBot="1" x14ac:dyDescent="0.35">
      <c r="A159" s="9">
        <v>1412</v>
      </c>
      <c r="B159" s="10" t="s">
        <v>572</v>
      </c>
      <c r="C159" s="21" t="s">
        <v>197</v>
      </c>
      <c r="D159" s="64" t="s">
        <v>573</v>
      </c>
      <c r="E159" s="15"/>
      <c r="F159" s="16"/>
      <c r="G159" s="14"/>
      <c r="H159" s="65"/>
      <c r="I159" s="15" t="str">
        <f t="shared" si="448"/>
        <v>NO APLICA</v>
      </c>
      <c r="J159" s="15"/>
      <c r="K159" s="16"/>
      <c r="L159" s="16"/>
      <c r="M159" s="65"/>
      <c r="N159" s="15" t="str">
        <f t="shared" si="449"/>
        <v>NO APLICA</v>
      </c>
      <c r="O159" s="16"/>
      <c r="P159" s="16"/>
      <c r="Q159" s="14"/>
      <c r="R159" s="65"/>
      <c r="S159" s="15" t="str">
        <f t="shared" si="545"/>
        <v>NO APLICA</v>
      </c>
      <c r="T159" s="12" t="s">
        <v>574</v>
      </c>
      <c r="U159" s="13">
        <v>45077</v>
      </c>
      <c r="V159" s="14">
        <v>45078</v>
      </c>
      <c r="W159" s="14">
        <f t="shared" si="577"/>
        <v>46905</v>
      </c>
      <c r="X159" s="65">
        <f t="shared" ca="1" si="578"/>
        <v>774</v>
      </c>
      <c r="Y159" s="15" t="str">
        <f t="shared" ca="1" si="403"/>
        <v>VIGENTE</v>
      </c>
      <c r="Z159" s="12" t="s">
        <v>575</v>
      </c>
      <c r="AA159" s="13">
        <v>45125</v>
      </c>
      <c r="AB159" s="14">
        <v>45126</v>
      </c>
      <c r="AC159" s="14">
        <f>DATE(YEAR(AB159)+5,MONTH(AB159),DAY(AB159))</f>
        <v>46953</v>
      </c>
      <c r="AD159" s="65">
        <f ca="1">AC159-TODAY()</f>
        <v>822</v>
      </c>
      <c r="AE159" s="15" t="str">
        <f t="shared" ca="1" si="574"/>
        <v>VIGENTE</v>
      </c>
      <c r="AF159" s="13">
        <v>45243</v>
      </c>
      <c r="AG159" s="14">
        <v>45902</v>
      </c>
      <c r="AH159" s="14">
        <f>DATE(YEAR(AG159)+2,MONTH(AG159),DAY(AG159))</f>
        <v>46632</v>
      </c>
      <c r="AI159" s="65">
        <f t="shared" ca="1" si="450"/>
        <v>501</v>
      </c>
      <c r="AJ159" s="15" t="str">
        <f t="shared" ca="1" si="399"/>
        <v>VIGENTE</v>
      </c>
      <c r="AK159" s="13">
        <v>44613</v>
      </c>
      <c r="AL159" s="14">
        <v>45937</v>
      </c>
      <c r="AM159" s="14">
        <f>DATE(YEAR(AL159)+2,MONTH(AL159),DAY(AL159))</f>
        <v>46667</v>
      </c>
      <c r="AN159" s="65">
        <f t="shared" ca="1" si="451"/>
        <v>536</v>
      </c>
      <c r="AO159" s="15" t="str">
        <f t="shared" ca="1" si="452"/>
        <v>VIGENTE</v>
      </c>
      <c r="AP159" s="13">
        <v>45258</v>
      </c>
      <c r="AQ159" s="14">
        <v>45887</v>
      </c>
      <c r="AR159" s="14">
        <f>DATE(YEAR(AQ159)+2,MONTH(AQ159),DAY(AQ159))</f>
        <v>46617</v>
      </c>
      <c r="AS159" s="65">
        <f t="shared" ca="1" si="453"/>
        <v>486</v>
      </c>
      <c r="AT159" s="15" t="str">
        <f t="shared" ca="1" si="454"/>
        <v>VIGENTE</v>
      </c>
      <c r="AU159" s="13">
        <v>44578</v>
      </c>
      <c r="AV159" s="14">
        <v>45927</v>
      </c>
      <c r="AW159" s="14">
        <f>DATE(YEAR(AV159)+2,MONTH(AV159),DAY(AV159))</f>
        <v>46657</v>
      </c>
      <c r="AX159" s="65">
        <f t="shared" ca="1" si="455"/>
        <v>526</v>
      </c>
      <c r="AY159" s="15" t="str">
        <f t="shared" ca="1" si="456"/>
        <v>VIGENTE</v>
      </c>
      <c r="AZ159" s="13">
        <v>45237</v>
      </c>
      <c r="BA159" s="14">
        <v>45901</v>
      </c>
      <c r="BB159" s="14">
        <f>DATE(YEAR(BA159)+2,MONTH(BA159),DAY(BA159))</f>
        <v>46631</v>
      </c>
      <c r="BC159" s="65">
        <f t="shared" ca="1" si="457"/>
        <v>500</v>
      </c>
      <c r="BD159" s="15" t="str">
        <f t="shared" ca="1" si="458"/>
        <v>VIGENTE</v>
      </c>
      <c r="BE159" s="13">
        <v>44585</v>
      </c>
      <c r="BF159" s="14">
        <v>45997</v>
      </c>
      <c r="BG159" s="14">
        <f>DATE(YEAR(BF159)+2,MONTH(BF159),DAY(BF159))</f>
        <v>46727</v>
      </c>
      <c r="BH159" s="65">
        <f t="shared" ca="1" si="459"/>
        <v>596</v>
      </c>
      <c r="BI159" s="15" t="str">
        <f t="shared" ca="1" si="460"/>
        <v>VIGENTE</v>
      </c>
      <c r="BJ159" s="13">
        <v>45030</v>
      </c>
      <c r="BK159" s="14">
        <v>45699</v>
      </c>
      <c r="BL159" s="14">
        <f>DATE(YEAR(BK159)+2,MONTH(BK159),DAY(BK159)-1)</f>
        <v>46428</v>
      </c>
      <c r="BM159" s="65">
        <f t="shared" ca="1" si="461"/>
        <v>297</v>
      </c>
      <c r="BN159" s="15" t="str">
        <f t="shared" ca="1" si="462"/>
        <v>VIGENTE</v>
      </c>
      <c r="BO159" s="13">
        <v>45073</v>
      </c>
      <c r="BP159" s="14">
        <v>45701</v>
      </c>
      <c r="BQ159" s="14">
        <f>DATE(YEAR(BP159)+2,MONTH(BP159),DAY(BP159)-1)</f>
        <v>46430</v>
      </c>
      <c r="BR159" s="65">
        <f t="shared" ca="1" si="463"/>
        <v>299</v>
      </c>
      <c r="BS159" s="15" t="str">
        <f t="shared" ca="1" si="464"/>
        <v>VIGENTE</v>
      </c>
      <c r="BT159" s="13">
        <v>45048</v>
      </c>
      <c r="BU159" s="14">
        <v>45695</v>
      </c>
      <c r="BV159" s="14">
        <f t="shared" si="575"/>
        <v>46424</v>
      </c>
      <c r="BW159" s="65">
        <f t="shared" ca="1" si="465"/>
        <v>293</v>
      </c>
      <c r="BX159" s="15" t="str">
        <f t="shared" ca="1" si="466"/>
        <v>VIGENTE</v>
      </c>
      <c r="BY159" s="13">
        <v>44613</v>
      </c>
      <c r="BZ159" s="14">
        <v>45944</v>
      </c>
      <c r="CA159" s="14">
        <f t="shared" si="579"/>
        <v>46674</v>
      </c>
      <c r="CB159" s="65">
        <f t="shared" ca="1" si="467"/>
        <v>543</v>
      </c>
      <c r="CC159" s="15" t="str">
        <f t="shared" ca="1" si="468"/>
        <v>VIGENTE</v>
      </c>
      <c r="CD159" s="16" t="s">
        <v>108</v>
      </c>
      <c r="CE159" s="14">
        <v>45615</v>
      </c>
      <c r="CF159" s="14">
        <v>45616</v>
      </c>
      <c r="CG159" s="14">
        <f t="shared" si="580"/>
        <v>47077</v>
      </c>
      <c r="CH159" s="65">
        <f t="shared" ca="1" si="581"/>
        <v>946</v>
      </c>
      <c r="CI159" s="15" t="str">
        <f t="shared" ca="1" si="562"/>
        <v>VIGENTE</v>
      </c>
      <c r="CJ159" s="14">
        <v>44588</v>
      </c>
      <c r="CK159" s="14">
        <v>45929</v>
      </c>
      <c r="CL159" s="14">
        <f>DATE(YEAR(CK159)+2,MONTH(CK159),DAY(CK159))</f>
        <v>46659</v>
      </c>
      <c r="CM159" s="65">
        <f t="shared" ca="1" si="469"/>
        <v>528</v>
      </c>
      <c r="CN159" s="15" t="str">
        <f t="shared" ca="1" si="470"/>
        <v>VIGENTE</v>
      </c>
      <c r="CO159" s="13">
        <v>45050</v>
      </c>
      <c r="CP159" s="14">
        <v>45684</v>
      </c>
      <c r="CQ159" s="14">
        <f t="shared" si="576"/>
        <v>46413</v>
      </c>
      <c r="CR159" s="65">
        <f t="shared" ca="1" si="471"/>
        <v>282</v>
      </c>
      <c r="CS159" s="15" t="str">
        <f t="shared" ca="1" si="472"/>
        <v>VIGENTE</v>
      </c>
      <c r="CT159" s="13">
        <v>44569</v>
      </c>
      <c r="CU159" s="14">
        <v>45905</v>
      </c>
      <c r="CV159" s="14">
        <f>DATE(YEAR(CU159)+2,MONTH(CU159),DAY(CU159))</f>
        <v>46635</v>
      </c>
      <c r="CW159" s="65">
        <f t="shared" ca="1" si="473"/>
        <v>504</v>
      </c>
      <c r="CX159" s="15" t="str">
        <f t="shared" ca="1" si="474"/>
        <v>VIGENTE</v>
      </c>
      <c r="CY159" s="13">
        <v>45665</v>
      </c>
      <c r="CZ159" s="14">
        <v>45681</v>
      </c>
      <c r="DA159" s="14">
        <f>DATE(YEAR(CZ159)+2,MONTH(CZ159),DAY(CZ159)-1)</f>
        <v>46410</v>
      </c>
      <c r="DB159" s="65">
        <f t="shared" ca="1" si="475"/>
        <v>279</v>
      </c>
      <c r="DC159" s="15" t="str">
        <f t="shared" ca="1" si="476"/>
        <v>VIGENTE</v>
      </c>
      <c r="DD159" s="13">
        <v>45244</v>
      </c>
      <c r="DE159" s="14">
        <v>45896</v>
      </c>
      <c r="DF159" s="14">
        <f>DATE(YEAR(DE159)+2,MONTH(DE159),DAY(DE159))</f>
        <v>46626</v>
      </c>
      <c r="DG159" s="65">
        <f t="shared" ca="1" si="477"/>
        <v>495</v>
      </c>
      <c r="DH159" s="15" t="str">
        <f t="shared" ca="1" si="478"/>
        <v>VIGENTE</v>
      </c>
      <c r="DI159" s="13">
        <v>45251</v>
      </c>
      <c r="DJ159" s="14">
        <v>45899</v>
      </c>
      <c r="DK159" s="14">
        <f>DATE(YEAR(DJ159)+2,MONTH(DJ159),DAY(DJ159))</f>
        <v>46629</v>
      </c>
      <c r="DL159" s="65">
        <f t="shared" ca="1" si="479"/>
        <v>498</v>
      </c>
      <c r="DM159" s="15" t="str">
        <f t="shared" ca="1" si="480"/>
        <v>VIGENTE</v>
      </c>
      <c r="DN159" s="13">
        <v>45033</v>
      </c>
      <c r="DO159" s="14">
        <v>45731</v>
      </c>
      <c r="DP159" s="14">
        <f>DATE(YEAR(DO159)+2,MONTH(DO159),DAY(DO159)-1)</f>
        <v>46460</v>
      </c>
      <c r="DQ159" s="65">
        <f t="shared" ca="1" si="481"/>
        <v>329</v>
      </c>
      <c r="DR159" s="15" t="str">
        <f t="shared" ca="1" si="482"/>
        <v>VIGENTE</v>
      </c>
      <c r="DS159" s="13">
        <v>45250</v>
      </c>
      <c r="DT159" s="14">
        <v>45885</v>
      </c>
      <c r="DU159" s="14">
        <f>DATE(YEAR(DT159)+2,MONTH(DT159),DAY(DT159))</f>
        <v>46615</v>
      </c>
      <c r="DV159" s="65">
        <f t="shared" ca="1" si="483"/>
        <v>484</v>
      </c>
      <c r="DW159" s="15" t="str">
        <f t="shared" ca="1" si="484"/>
        <v>VIGENTE</v>
      </c>
      <c r="DX159" s="13">
        <v>44572</v>
      </c>
      <c r="DY159" s="14">
        <v>45934</v>
      </c>
      <c r="DZ159" s="14">
        <f>DATE(YEAR(DY159)+2,MONTH(DY159),DAY(DY159))</f>
        <v>46664</v>
      </c>
      <c r="EA159" s="65">
        <f t="shared" ca="1" si="485"/>
        <v>533</v>
      </c>
      <c r="EB159" s="15" t="str">
        <f t="shared" ca="1" si="486"/>
        <v>VIGENTE</v>
      </c>
      <c r="EC159" s="13">
        <v>45255</v>
      </c>
      <c r="ED159" s="14">
        <v>45913</v>
      </c>
      <c r="EE159" s="14">
        <f>DATE(YEAR(ED159)+2,MONTH(ED159),DAY(ED159))</f>
        <v>46643</v>
      </c>
      <c r="EF159" s="65">
        <f t="shared" ca="1" si="487"/>
        <v>512</v>
      </c>
      <c r="EG159" s="15" t="str">
        <f t="shared" ca="1" si="488"/>
        <v>VIGENTE</v>
      </c>
      <c r="EH159" s="13">
        <v>45253</v>
      </c>
      <c r="EI159" s="13">
        <v>45909</v>
      </c>
      <c r="EJ159" s="13">
        <v>45910</v>
      </c>
      <c r="EK159" s="13">
        <v>45911</v>
      </c>
      <c r="EL159" s="14">
        <f t="shared" si="546"/>
        <v>46276</v>
      </c>
      <c r="EM159" s="65">
        <f t="shared" ca="1" si="489"/>
        <v>145</v>
      </c>
      <c r="EN159" s="15" t="str">
        <f t="shared" ca="1" si="490"/>
        <v>VIGENTE</v>
      </c>
      <c r="EO159" s="13">
        <v>44573</v>
      </c>
      <c r="EP159" s="14">
        <v>45940</v>
      </c>
      <c r="EQ159" s="14">
        <f>DATE(YEAR(EP159)+2,MONTH(EP159),DAY(EP159))</f>
        <v>46670</v>
      </c>
      <c r="ER159" s="65">
        <f t="shared" ca="1" si="491"/>
        <v>539</v>
      </c>
      <c r="ES159" s="15" t="str">
        <f t="shared" ca="1" si="492"/>
        <v>VIGENTE</v>
      </c>
      <c r="ET159" s="13">
        <v>44573</v>
      </c>
      <c r="EU159" s="14">
        <v>45922</v>
      </c>
      <c r="EV159" s="14">
        <f>DATE(YEAR(EU159)+2,MONTH(EU159),DAY(EU159))</f>
        <v>46652</v>
      </c>
      <c r="EW159" s="65">
        <f t="shared" ca="1" si="493"/>
        <v>521</v>
      </c>
      <c r="EX159" s="15" t="str">
        <f t="shared" ca="1" si="494"/>
        <v>VIGENTE</v>
      </c>
      <c r="EY159" s="13">
        <v>44615</v>
      </c>
      <c r="EZ159" s="14">
        <v>45917</v>
      </c>
      <c r="FA159" s="14">
        <f t="shared" si="582"/>
        <v>46647</v>
      </c>
      <c r="FB159" s="65">
        <f t="shared" ca="1" si="495"/>
        <v>516</v>
      </c>
      <c r="FC159" s="15" t="str">
        <f t="shared" ca="1" si="496"/>
        <v>VIGENTE</v>
      </c>
      <c r="FD159" s="13">
        <v>44615</v>
      </c>
      <c r="FE159" s="14">
        <v>45931</v>
      </c>
      <c r="FF159" s="14">
        <f t="shared" si="583"/>
        <v>46661</v>
      </c>
      <c r="FG159" s="65">
        <f t="shared" ca="1" si="497"/>
        <v>530</v>
      </c>
      <c r="FH159" s="15" t="str">
        <f t="shared" ca="1" si="498"/>
        <v>VIGENTE</v>
      </c>
      <c r="FI159" s="13">
        <v>45248</v>
      </c>
      <c r="FJ159" s="14">
        <v>45919</v>
      </c>
      <c r="FK159" s="14">
        <f t="shared" si="584"/>
        <v>46649</v>
      </c>
      <c r="FL159" s="65">
        <f t="shared" ca="1" si="499"/>
        <v>518</v>
      </c>
      <c r="FM159" s="15" t="str">
        <f t="shared" ca="1" si="500"/>
        <v>VIGENTE</v>
      </c>
      <c r="FN159" s="13">
        <v>44567</v>
      </c>
      <c r="FO159" s="14">
        <v>45933</v>
      </c>
      <c r="FP159" s="14">
        <f>DATE(YEAR(FO159)+2,MONTH(FO159),DAY(FO159))</f>
        <v>46663</v>
      </c>
      <c r="FQ159" s="65">
        <f t="shared" ca="1" si="501"/>
        <v>532</v>
      </c>
      <c r="FR159" s="15" t="str">
        <f t="shared" ca="1" si="502"/>
        <v>VIGENTE</v>
      </c>
      <c r="FS159" s="13">
        <v>45279</v>
      </c>
      <c r="FT159" s="14">
        <v>45957</v>
      </c>
      <c r="FU159" s="14">
        <f>DATE(YEAR(FT159)+2,MONTH(FT159),DAY(FT159))</f>
        <v>46687</v>
      </c>
      <c r="FV159" s="65">
        <f t="shared" ca="1" si="503"/>
        <v>556</v>
      </c>
      <c r="FW159" s="15" t="str">
        <f t="shared" ca="1" si="504"/>
        <v>VIGENTE</v>
      </c>
      <c r="FX159" s="13">
        <v>44616</v>
      </c>
      <c r="FY159" s="14">
        <v>45941</v>
      </c>
      <c r="FZ159" s="14">
        <f>DATE(YEAR(FY159)+2,MONTH(FY159),DAY(FY159))</f>
        <v>46671</v>
      </c>
      <c r="GA159" s="65">
        <f t="shared" ca="1" si="505"/>
        <v>540</v>
      </c>
      <c r="GB159" s="15" t="str">
        <f t="shared" ca="1" si="506"/>
        <v>VIGENTE</v>
      </c>
      <c r="GC159" s="13">
        <v>45222</v>
      </c>
      <c r="GD159" s="14">
        <v>45925</v>
      </c>
      <c r="GE159" s="14">
        <f>DATE(YEAR(GD159)+2,MONTH(GD159),DAY(GD159))</f>
        <v>46655</v>
      </c>
      <c r="GF159" s="65">
        <f t="shared" ca="1" si="507"/>
        <v>524</v>
      </c>
      <c r="GG159" s="15" t="str">
        <f t="shared" ca="1" si="508"/>
        <v>VIGENTE</v>
      </c>
      <c r="GH159" s="13">
        <v>45252</v>
      </c>
      <c r="GI159" s="14">
        <v>45912</v>
      </c>
      <c r="GJ159" s="14">
        <f>DATE(YEAR(GI159)+2,MONTH(GI159),DAY(GI159))</f>
        <v>46642</v>
      </c>
      <c r="GK159" s="65">
        <f t="shared" ca="1" si="509"/>
        <v>511</v>
      </c>
      <c r="GL159" s="15" t="str">
        <f t="shared" ca="1" si="510"/>
        <v>VIGENTE</v>
      </c>
      <c r="GM159" s="13">
        <v>45028</v>
      </c>
      <c r="GN159" s="14">
        <v>45687</v>
      </c>
      <c r="GO159" s="14">
        <f>DATE(YEAR(GN159)+2,MONTH(GN159),DAY(GN159)-1)</f>
        <v>46416</v>
      </c>
      <c r="GP159" s="65">
        <f t="shared" ca="1" si="511"/>
        <v>285</v>
      </c>
      <c r="GQ159" s="15" t="str">
        <f t="shared" ca="1" si="512"/>
        <v>VIGENTE</v>
      </c>
      <c r="GR159" s="14"/>
      <c r="GS159" s="14">
        <v>45017</v>
      </c>
      <c r="GT159" s="14">
        <f t="shared" si="513"/>
        <v>46844</v>
      </c>
      <c r="GU159" s="65">
        <f t="shared" ca="1" si="398"/>
        <v>713</v>
      </c>
      <c r="GV159" s="15" t="str">
        <f t="shared" ca="1" si="411"/>
        <v>VIGENTE</v>
      </c>
      <c r="GW159" s="13"/>
      <c r="GX159" s="14">
        <v>45010</v>
      </c>
      <c r="GY159" s="14">
        <f t="shared" si="514"/>
        <v>46837</v>
      </c>
      <c r="GZ159" s="65">
        <f t="shared" ca="1" si="515"/>
        <v>706</v>
      </c>
      <c r="HA159" s="15" t="str">
        <f t="shared" ca="1" si="418"/>
        <v>VIGENTE</v>
      </c>
      <c r="HB159" s="13">
        <v>44566</v>
      </c>
      <c r="HC159" s="14">
        <v>45268</v>
      </c>
      <c r="HD159" s="14">
        <f t="shared" si="516"/>
        <v>47095</v>
      </c>
      <c r="HE159" s="65">
        <f t="shared" ca="1" si="517"/>
        <v>964</v>
      </c>
      <c r="HF159" s="15" t="str">
        <f t="shared" ca="1" si="413"/>
        <v>VIGENTE</v>
      </c>
      <c r="HG159" s="16"/>
      <c r="HH159" s="14">
        <v>45094</v>
      </c>
      <c r="HI159" s="14">
        <f t="shared" si="572"/>
        <v>46921</v>
      </c>
      <c r="HJ159" s="65">
        <f t="shared" ca="1" si="573"/>
        <v>790</v>
      </c>
      <c r="HK159" s="15" t="str">
        <f t="shared" ca="1" si="419"/>
        <v>VIGENTE</v>
      </c>
      <c r="HL159" s="12"/>
      <c r="HM159" s="16"/>
      <c r="HN159" s="14"/>
      <c r="HO159" s="65"/>
      <c r="HP159" s="15" t="str">
        <f t="shared" si="437"/>
        <v>NO APLICA</v>
      </c>
      <c r="HQ159" s="12"/>
      <c r="HR159" s="12"/>
      <c r="HS159" s="14"/>
      <c r="HT159" s="12"/>
      <c r="HU159" s="15" t="str">
        <f t="shared" si="518"/>
        <v>NO APLICA</v>
      </c>
      <c r="HV159" s="12"/>
      <c r="HW159" s="16"/>
      <c r="HX159" s="14"/>
      <c r="HY159" s="65"/>
      <c r="HZ159" s="15" t="str">
        <f t="shared" si="519"/>
        <v>NO APLICA</v>
      </c>
      <c r="IA159" s="12"/>
      <c r="IB159" s="16"/>
      <c r="IC159" s="14"/>
      <c r="ID159" s="65"/>
      <c r="IE159" s="15" t="str">
        <f t="shared" si="520"/>
        <v>NO APLICA</v>
      </c>
      <c r="IF159" s="12"/>
      <c r="IG159" s="16"/>
      <c r="IH159" s="14"/>
      <c r="II159" s="65"/>
      <c r="IJ159" s="15" t="str">
        <f t="shared" si="521"/>
        <v>NO APLICA</v>
      </c>
      <c r="IK159" s="16"/>
      <c r="IL159" s="16"/>
      <c r="IM159" s="14"/>
      <c r="IN159" s="65"/>
      <c r="IO159" s="15" t="str">
        <f t="shared" si="522"/>
        <v>NO APLICA</v>
      </c>
      <c r="IP159" s="12"/>
      <c r="IQ159" s="16"/>
      <c r="IR159" s="14"/>
      <c r="IS159" s="65"/>
      <c r="IT159" s="15" t="str">
        <f t="shared" si="523"/>
        <v>NO APLICA</v>
      </c>
      <c r="IU159" s="12"/>
      <c r="IV159" s="16"/>
      <c r="IW159" s="14"/>
      <c r="IX159" s="65"/>
      <c r="IY159" s="15" t="str">
        <f t="shared" si="524"/>
        <v>NO APLICA</v>
      </c>
      <c r="IZ159" s="12"/>
      <c r="JA159" s="16"/>
      <c r="JB159" s="14"/>
      <c r="JC159" s="65"/>
      <c r="JD159" s="15" t="str">
        <f t="shared" si="525"/>
        <v>NO APLICA</v>
      </c>
      <c r="JE159" s="13"/>
      <c r="JF159" s="13"/>
      <c r="JG159" s="14"/>
      <c r="JH159" s="65"/>
      <c r="JI159" s="15" t="str">
        <f t="shared" si="526"/>
        <v>NO APLICA</v>
      </c>
      <c r="JJ159" s="16"/>
      <c r="JK159" s="16"/>
      <c r="JL159" s="16"/>
      <c r="JM159" s="15" t="str">
        <f t="shared" si="527"/>
        <v>NO APLICA</v>
      </c>
      <c r="JN159" s="16"/>
      <c r="JO159" s="16"/>
      <c r="JP159" s="16"/>
      <c r="JQ159" s="15" t="str">
        <f t="shared" si="528"/>
        <v>NO APLICA</v>
      </c>
      <c r="JR159" s="16"/>
      <c r="JS159" s="16"/>
      <c r="JT159" s="16"/>
      <c r="JU159" s="16"/>
      <c r="JV159" s="15" t="str">
        <f t="shared" si="529"/>
        <v>NO APLICA</v>
      </c>
      <c r="JW159" s="15"/>
      <c r="JX159" s="15"/>
      <c r="JY159" s="15"/>
      <c r="JZ159" s="15"/>
      <c r="KA159" s="15" t="str">
        <f t="shared" si="530"/>
        <v>NO APLICA</v>
      </c>
      <c r="KB159" s="13">
        <v>45362</v>
      </c>
      <c r="KC159" s="14">
        <f>DATE(YEAR(KB159)+5,MONTH(KB159),DAY(KB159))</f>
        <v>47188</v>
      </c>
      <c r="KD159" s="65">
        <f ca="1">KC159-TODAY()</f>
        <v>1057</v>
      </c>
      <c r="KE159" s="15" t="str">
        <f t="shared" ca="1" si="531"/>
        <v>VIGENTE</v>
      </c>
      <c r="KF159" s="12"/>
      <c r="KG159" s="14"/>
      <c r="KH159" s="65"/>
      <c r="KI159" s="15" t="str">
        <f t="shared" si="547"/>
        <v>NO APLICA</v>
      </c>
      <c r="KJ159" s="12"/>
      <c r="KK159" s="14"/>
      <c r="KL159" s="65"/>
      <c r="KM159" s="15" t="str">
        <f t="shared" si="532"/>
        <v>NO APLICA</v>
      </c>
      <c r="KN159" s="13">
        <v>45346</v>
      </c>
      <c r="KO159" s="14">
        <f>DATE(YEAR(KN159)+5,MONTH(KN159),DAY(KN159))</f>
        <v>47173</v>
      </c>
      <c r="KP159" s="65">
        <f ca="1">KO159-TODAY()</f>
        <v>1042</v>
      </c>
      <c r="KQ159" s="15" t="str">
        <f t="shared" ca="1" si="548"/>
        <v>VIGENTE</v>
      </c>
      <c r="KR159" s="12"/>
      <c r="KS159" s="16"/>
      <c r="KT159" s="14"/>
      <c r="KU159" s="65"/>
      <c r="KV159" s="15" t="str">
        <f t="shared" si="554"/>
        <v>NO APLICA</v>
      </c>
      <c r="KW159" s="14">
        <v>44608</v>
      </c>
      <c r="KX159" s="14">
        <f>DATE(YEAR(KW159)+5,MONTH(KW159),DAY(KW159))</f>
        <v>46434</v>
      </c>
      <c r="KY159" s="65">
        <f ca="1">KX159-TODAY()</f>
        <v>303</v>
      </c>
      <c r="KZ159" s="15" t="str">
        <f t="shared" ca="1" si="549"/>
        <v>VIGENTE</v>
      </c>
      <c r="LA159" s="16"/>
      <c r="LB159" s="16"/>
      <c r="LC159" s="14"/>
      <c r="LD159" s="65"/>
      <c r="LE159" s="15" t="str">
        <f t="shared" si="556"/>
        <v>NO APLICA</v>
      </c>
      <c r="LF159" s="15"/>
      <c r="LG159" s="15"/>
      <c r="LH159" s="14"/>
      <c r="LI159" s="65"/>
      <c r="LJ159" s="15" t="str">
        <f t="shared" si="555"/>
        <v>NO APLICA</v>
      </c>
      <c r="LK159" s="13">
        <v>44375</v>
      </c>
      <c r="LL159" s="14">
        <v>44377</v>
      </c>
      <c r="LM159" s="14">
        <f>DATE(YEAR(LL159)+5,MONTH(LL159),DAY(LL159))</f>
        <v>46203</v>
      </c>
      <c r="LN159" s="65">
        <f ca="1">LM159-TODAY()</f>
        <v>72</v>
      </c>
      <c r="LO159" s="15" t="str">
        <f t="shared" ca="1" si="550"/>
        <v>VIGENTE</v>
      </c>
      <c r="LP159" s="16"/>
      <c r="LQ159" s="16"/>
      <c r="LR159" s="14"/>
      <c r="LS159" s="65"/>
      <c r="LT159" s="15" t="str">
        <f t="shared" si="551"/>
        <v>NO APLICA</v>
      </c>
      <c r="LU159" s="16"/>
      <c r="LV159" s="16"/>
      <c r="LW159" s="14"/>
      <c r="LX159" s="65"/>
      <c r="LY159" s="15" t="str">
        <f t="shared" si="552"/>
        <v>NO APLICA</v>
      </c>
      <c r="LZ159" s="12"/>
      <c r="MA159" s="12"/>
      <c r="MB159" s="14"/>
      <c r="MC159" s="65"/>
      <c r="MD159" s="15" t="str">
        <f t="shared" si="534"/>
        <v>NO APLICA</v>
      </c>
      <c r="ME159" s="12"/>
      <c r="MF159" s="12"/>
      <c r="MG159" s="14"/>
      <c r="MH159" s="65"/>
      <c r="MI159" s="15" t="str">
        <f t="shared" si="535"/>
        <v>NO APLICA</v>
      </c>
      <c r="MJ159" s="12"/>
      <c r="MK159" s="14"/>
      <c r="ML159" s="65"/>
      <c r="MM159" s="15" t="str">
        <f t="shared" si="536"/>
        <v>NO APLICA</v>
      </c>
      <c r="MN159" s="12"/>
      <c r="MO159" s="14"/>
      <c r="MP159" s="12"/>
      <c r="MQ159" s="15" t="str">
        <f t="shared" si="537"/>
        <v>NO APLICA</v>
      </c>
      <c r="MR159" s="12"/>
      <c r="MS159" s="14">
        <v>44834</v>
      </c>
      <c r="MT159" s="14">
        <f>DATE(YEAR(MS159)+5,MONTH(MS159),DAY(MS159))</f>
        <v>46660</v>
      </c>
      <c r="MU159" s="65">
        <f ca="1">MT159-TODAY()</f>
        <v>529</v>
      </c>
      <c r="MV159" s="15" t="str">
        <f t="shared" ca="1" si="538"/>
        <v>VIGENTE</v>
      </c>
      <c r="MW159" s="12"/>
      <c r="MX159" s="14">
        <v>44835</v>
      </c>
      <c r="MY159" s="14">
        <f>DATE(YEAR(MX159)+5,MONTH(MX159),DAY(MX159))</f>
        <v>46661</v>
      </c>
      <c r="MZ159" s="65">
        <f ca="1">MY159-TODAY()</f>
        <v>530</v>
      </c>
      <c r="NA159" s="15" t="str">
        <f t="shared" ca="1" si="539"/>
        <v>VIGENTE</v>
      </c>
      <c r="NB159" s="12"/>
      <c r="NC159" s="14">
        <v>44751</v>
      </c>
      <c r="ND159" s="14">
        <f>DATE(YEAR(NC159)+5,MONTH(NC159),DAY(NC159))</f>
        <v>46577</v>
      </c>
      <c r="NE159" s="65">
        <f ca="1">ND159-TODAY()</f>
        <v>446</v>
      </c>
      <c r="NF159" s="15" t="str">
        <f t="shared" ca="1" si="540"/>
        <v>VIGENTE</v>
      </c>
      <c r="NG159" s="14">
        <v>45001</v>
      </c>
      <c r="NH159" s="14">
        <v>45002</v>
      </c>
      <c r="NI159" s="14">
        <f>DATE(YEAR(NH159)+5,MONTH(NH159),DAY(NH159))</f>
        <v>46829</v>
      </c>
      <c r="NJ159" s="65">
        <f ca="1">NI159-TODAY()</f>
        <v>698</v>
      </c>
      <c r="NK159" s="15" t="str">
        <f t="shared" ca="1" si="541"/>
        <v>VIGENTE</v>
      </c>
      <c r="NL159" s="14">
        <v>45102</v>
      </c>
      <c r="NM159" s="14">
        <v>45103</v>
      </c>
      <c r="NN159" s="14">
        <f>DATE(YEAR(NM159)+5,MONTH(NM159),DAY(NM159))</f>
        <v>46930</v>
      </c>
      <c r="NO159" s="65">
        <f ca="1">NN159-TODAY()</f>
        <v>799</v>
      </c>
      <c r="NP159" s="15" t="str">
        <f t="shared" ca="1" si="542"/>
        <v>VIGENTE</v>
      </c>
      <c r="NQ159" s="16"/>
      <c r="NR159" s="16"/>
      <c r="NS159" s="14"/>
      <c r="NT159" s="65"/>
      <c r="NU159" s="15" t="str">
        <f t="shared" si="543"/>
        <v>NO APLICA</v>
      </c>
      <c r="NV159" s="16"/>
      <c r="NW159" s="16"/>
      <c r="NX159" s="16"/>
      <c r="NY159" s="16"/>
      <c r="NZ159" s="15" t="str">
        <f t="shared" si="544"/>
        <v>NO APLICA</v>
      </c>
    </row>
    <row r="160" spans="1:390" ht="15.6" thickTop="1" thickBot="1" x14ac:dyDescent="0.35">
      <c r="A160" s="9">
        <v>1077</v>
      </c>
      <c r="B160" s="10" t="s">
        <v>576</v>
      </c>
      <c r="C160" s="21" t="s">
        <v>104</v>
      </c>
      <c r="D160" s="64" t="s">
        <v>206</v>
      </c>
      <c r="E160" s="15"/>
      <c r="F160" s="16"/>
      <c r="G160" s="14"/>
      <c r="H160" s="65"/>
      <c r="I160" s="15" t="str">
        <f t="shared" si="448"/>
        <v>NO APLICA</v>
      </c>
      <c r="J160" s="12"/>
      <c r="K160" s="16"/>
      <c r="L160" s="16"/>
      <c r="M160" s="65"/>
      <c r="N160" s="15" t="str">
        <f t="shared" si="449"/>
        <v>NO APLICA</v>
      </c>
      <c r="O160" s="16"/>
      <c r="P160" s="16"/>
      <c r="Q160" s="14"/>
      <c r="R160" s="65"/>
      <c r="S160" s="15" t="str">
        <f t="shared" si="545"/>
        <v>NO APLICA</v>
      </c>
      <c r="T160" s="12" t="s">
        <v>577</v>
      </c>
      <c r="U160" s="13">
        <v>44828</v>
      </c>
      <c r="V160" s="14">
        <v>44829</v>
      </c>
      <c r="W160" s="14">
        <f t="shared" si="577"/>
        <v>46655</v>
      </c>
      <c r="X160" s="65">
        <f t="shared" ca="1" si="578"/>
        <v>524</v>
      </c>
      <c r="Y160" s="15" t="str">
        <f t="shared" ca="1" si="403"/>
        <v>VIGENTE</v>
      </c>
      <c r="Z160" s="12" t="s">
        <v>578</v>
      </c>
      <c r="AA160" s="13">
        <v>44830</v>
      </c>
      <c r="AB160" s="14">
        <v>44831</v>
      </c>
      <c r="AC160" s="14">
        <f>DATE(YEAR(AB160)+5,MONTH(AB160),DAY(AB160))</f>
        <v>46657</v>
      </c>
      <c r="AD160" s="65">
        <f ca="1">AC160-TODAY()</f>
        <v>526</v>
      </c>
      <c r="AE160" s="15" t="str">
        <f t="shared" ca="1" si="574"/>
        <v>VIGENTE</v>
      </c>
      <c r="AF160" s="13">
        <v>44929</v>
      </c>
      <c r="AG160" s="13">
        <v>45589</v>
      </c>
      <c r="AH160" s="14">
        <f>DATE(YEAR(AG160)+2,MONTH(AG160),DAY(AG160)-1)</f>
        <v>46318</v>
      </c>
      <c r="AI160" s="65">
        <f t="shared" ca="1" si="450"/>
        <v>187</v>
      </c>
      <c r="AJ160" s="15" t="str">
        <f t="shared" ca="1" si="399"/>
        <v>VIGENTE</v>
      </c>
      <c r="AK160" s="13">
        <v>45307</v>
      </c>
      <c r="AL160" s="14">
        <v>45980</v>
      </c>
      <c r="AM160" s="14">
        <f>DATE(YEAR(AL160)+2,MONTH(AL160),DAY(AL160))</f>
        <v>46710</v>
      </c>
      <c r="AN160" s="65">
        <f t="shared" ca="1" si="451"/>
        <v>579</v>
      </c>
      <c r="AO160" s="15" t="str">
        <f t="shared" ca="1" si="452"/>
        <v>VIGENTE</v>
      </c>
      <c r="AP160" s="13">
        <v>45258</v>
      </c>
      <c r="AQ160" s="14">
        <v>45904</v>
      </c>
      <c r="AR160" s="14">
        <f>DATE(YEAR(AQ160)+2,MONTH(AQ160),DAY(AQ160))</f>
        <v>46634</v>
      </c>
      <c r="AS160" s="65">
        <f t="shared" ca="1" si="453"/>
        <v>503</v>
      </c>
      <c r="AT160" s="15" t="str">
        <f t="shared" ca="1" si="454"/>
        <v>VIGENTE</v>
      </c>
      <c r="AU160" s="13">
        <v>44665</v>
      </c>
      <c r="AV160" s="14">
        <v>46070</v>
      </c>
      <c r="AW160" s="14">
        <f>DATE(YEAR(AV160)+2,MONTH(AV160),DAY(AV160))</f>
        <v>46800</v>
      </c>
      <c r="AX160" s="65">
        <f t="shared" ca="1" si="455"/>
        <v>669</v>
      </c>
      <c r="AY160" s="15" t="str">
        <f t="shared" ca="1" si="456"/>
        <v>VIGENTE</v>
      </c>
      <c r="AZ160" s="13">
        <v>45075</v>
      </c>
      <c r="BA160" s="14">
        <v>45717</v>
      </c>
      <c r="BB160" s="14">
        <f>DATE(YEAR(BA160)+2,MONTH(BA160),DAY(BA160)-1)</f>
        <v>46446</v>
      </c>
      <c r="BC160" s="65">
        <f t="shared" ca="1" si="457"/>
        <v>315</v>
      </c>
      <c r="BD160" s="15" t="str">
        <f t="shared" ca="1" si="458"/>
        <v>VIGENTE</v>
      </c>
      <c r="BE160" s="13">
        <v>45302</v>
      </c>
      <c r="BF160" s="14">
        <v>45968</v>
      </c>
      <c r="BG160" s="14">
        <f>DATE(YEAR(BF160)+2,MONTH(BF160),DAY(BF160))</f>
        <v>46698</v>
      </c>
      <c r="BH160" s="65">
        <f t="shared" ca="1" si="459"/>
        <v>567</v>
      </c>
      <c r="BI160" s="15" t="str">
        <f t="shared" ca="1" si="460"/>
        <v>VIGENTE</v>
      </c>
      <c r="BJ160" s="13">
        <v>45372</v>
      </c>
      <c r="BK160" s="14">
        <v>46035</v>
      </c>
      <c r="BL160" s="14">
        <f>DATE(YEAR(BK160)+2,MONTH(BK160),DAY(BK160))</f>
        <v>46765</v>
      </c>
      <c r="BM160" s="65">
        <f t="shared" ca="1" si="461"/>
        <v>634</v>
      </c>
      <c r="BN160" s="15" t="str">
        <f t="shared" ca="1" si="462"/>
        <v>VIGENTE</v>
      </c>
      <c r="BO160" s="13">
        <v>44753</v>
      </c>
      <c r="BP160" s="14">
        <v>46069</v>
      </c>
      <c r="BQ160" s="14">
        <f>DATE(YEAR(BP160)+2,MONTH(BP160),DAY(BP160))</f>
        <v>46799</v>
      </c>
      <c r="BR160" s="65">
        <f t="shared" ca="1" si="463"/>
        <v>668</v>
      </c>
      <c r="BS160" s="15" t="str">
        <f t="shared" ca="1" si="464"/>
        <v>VIGENTE</v>
      </c>
      <c r="BT160" s="13">
        <v>44812</v>
      </c>
      <c r="BU160" s="14">
        <v>45449</v>
      </c>
      <c r="BV160" s="14">
        <f t="shared" si="575"/>
        <v>46178</v>
      </c>
      <c r="BW160" s="65">
        <f t="shared" ca="1" si="465"/>
        <v>47</v>
      </c>
      <c r="BX160" s="15" t="str">
        <f t="shared" ca="1" si="466"/>
        <v>POR VENCER</v>
      </c>
      <c r="BY160" s="13">
        <v>45300</v>
      </c>
      <c r="BZ160" s="14">
        <v>45954</v>
      </c>
      <c r="CA160" s="14">
        <f t="shared" si="579"/>
        <v>46684</v>
      </c>
      <c r="CB160" s="65">
        <f t="shared" ca="1" si="467"/>
        <v>553</v>
      </c>
      <c r="CC160" s="15" t="str">
        <f t="shared" ca="1" si="468"/>
        <v>VIGENTE</v>
      </c>
      <c r="CD160" s="16" t="s">
        <v>108</v>
      </c>
      <c r="CE160" s="14">
        <v>45261</v>
      </c>
      <c r="CF160" s="14">
        <v>45262</v>
      </c>
      <c r="CG160" s="14">
        <f t="shared" si="580"/>
        <v>46723</v>
      </c>
      <c r="CH160" s="65">
        <f t="shared" ca="1" si="581"/>
        <v>592</v>
      </c>
      <c r="CI160" s="15" t="str">
        <f t="shared" ca="1" si="562"/>
        <v>VIGENTE</v>
      </c>
      <c r="CJ160" s="14">
        <v>44881</v>
      </c>
      <c r="CK160" s="14">
        <v>45500</v>
      </c>
      <c r="CL160" s="14">
        <f>DATE(YEAR(CK160)+2,MONTH(CK160),DAY(CK160)-1)</f>
        <v>46229</v>
      </c>
      <c r="CM160" s="65">
        <f t="shared" ca="1" si="469"/>
        <v>98</v>
      </c>
      <c r="CN160" s="15" t="str">
        <f t="shared" ca="1" si="470"/>
        <v>VIGENTE</v>
      </c>
      <c r="CO160" s="13">
        <v>44900</v>
      </c>
      <c r="CP160" s="14">
        <v>45517</v>
      </c>
      <c r="CQ160" s="14">
        <f t="shared" si="576"/>
        <v>46246</v>
      </c>
      <c r="CR160" s="65">
        <f t="shared" ca="1" si="471"/>
        <v>115</v>
      </c>
      <c r="CS160" s="15" t="str">
        <f t="shared" ca="1" si="472"/>
        <v>VIGENTE</v>
      </c>
      <c r="CT160" s="13">
        <v>44958</v>
      </c>
      <c r="CU160" s="14">
        <v>45631</v>
      </c>
      <c r="CV160" s="14">
        <f>DATE(YEAR(CU160)+2,MONTH(CU160),DAY(CU160)-1)</f>
        <v>46360</v>
      </c>
      <c r="CW160" s="65">
        <f t="shared" ca="1" si="473"/>
        <v>229</v>
      </c>
      <c r="CX160" s="15" t="str">
        <f t="shared" ca="1" si="474"/>
        <v>VIGENTE</v>
      </c>
      <c r="CY160" s="13">
        <v>44995</v>
      </c>
      <c r="CZ160" s="14">
        <v>45665</v>
      </c>
      <c r="DA160" s="14">
        <f>DATE(YEAR(CZ160)+2,MONTH(CZ160),DAY(CZ160)-1)</f>
        <v>46394</v>
      </c>
      <c r="DB160" s="65">
        <f t="shared" ca="1" si="475"/>
        <v>263</v>
      </c>
      <c r="DC160" s="15" t="str">
        <f t="shared" ca="1" si="476"/>
        <v>VIGENTE</v>
      </c>
      <c r="DD160" s="13">
        <v>45036</v>
      </c>
      <c r="DE160" s="14">
        <v>45689</v>
      </c>
      <c r="DF160" s="14">
        <f>DATE(YEAR(DE160)+2,MONTH(DE160),DAY(DE160)-1)</f>
        <v>46418</v>
      </c>
      <c r="DG160" s="65">
        <f t="shared" ca="1" si="477"/>
        <v>287</v>
      </c>
      <c r="DH160" s="15" t="str">
        <f t="shared" ca="1" si="478"/>
        <v>VIGENTE</v>
      </c>
      <c r="DI160" s="13">
        <v>45080</v>
      </c>
      <c r="DJ160" s="14">
        <v>45734</v>
      </c>
      <c r="DK160" s="14">
        <f>DATE(YEAR(DJ160)+2,MONTH(DJ160),DAY(DJ160)-1)</f>
        <v>46463</v>
      </c>
      <c r="DL160" s="65">
        <f t="shared" ca="1" si="479"/>
        <v>332</v>
      </c>
      <c r="DM160" s="15" t="str">
        <f t="shared" ca="1" si="480"/>
        <v>VIGENTE</v>
      </c>
      <c r="DN160" s="13">
        <v>45316</v>
      </c>
      <c r="DO160" s="14">
        <v>45982</v>
      </c>
      <c r="DP160" s="14">
        <f>DATE(YEAR(DO160)+2,MONTH(DO160),DAY(DO160))</f>
        <v>46712</v>
      </c>
      <c r="DQ160" s="65">
        <f t="shared" ca="1" si="481"/>
        <v>581</v>
      </c>
      <c r="DR160" s="15" t="str">
        <f t="shared" ca="1" si="482"/>
        <v>VIGENTE</v>
      </c>
      <c r="DS160" s="13">
        <v>45097</v>
      </c>
      <c r="DT160" s="14">
        <v>45728</v>
      </c>
      <c r="DU160" s="14">
        <f>DATE(YEAR(DT160)+2,MONTH(DT160),DAY(DT160)-1)</f>
        <v>46457</v>
      </c>
      <c r="DV160" s="65">
        <f t="shared" ca="1" si="483"/>
        <v>326</v>
      </c>
      <c r="DW160" s="15" t="str">
        <f t="shared" ca="1" si="484"/>
        <v>VIGENTE</v>
      </c>
      <c r="DX160" s="14">
        <v>45100</v>
      </c>
      <c r="DY160" s="14">
        <v>45751</v>
      </c>
      <c r="DZ160" s="14">
        <f>DATE(YEAR(DY160)+2,MONTH(DY160),DAY(DY160)-1)</f>
        <v>46480</v>
      </c>
      <c r="EA160" s="65">
        <f t="shared" ca="1" si="485"/>
        <v>349</v>
      </c>
      <c r="EB160" s="15" t="str">
        <f t="shared" ca="1" si="486"/>
        <v>VIGENTE</v>
      </c>
      <c r="EC160" s="14">
        <v>45061</v>
      </c>
      <c r="ED160" s="14">
        <v>45674</v>
      </c>
      <c r="EE160" s="14">
        <f>DATE(YEAR(ED160)+2,MONTH(ED160),DAY(ED160)-1)</f>
        <v>46403</v>
      </c>
      <c r="EF160" s="65">
        <f t="shared" ca="1" si="487"/>
        <v>272</v>
      </c>
      <c r="EG160" s="15" t="str">
        <f t="shared" ca="1" si="488"/>
        <v>VIGENTE</v>
      </c>
      <c r="EH160" s="14">
        <v>45675</v>
      </c>
      <c r="EI160" s="14">
        <v>45806</v>
      </c>
      <c r="EJ160" s="14">
        <v>45807</v>
      </c>
      <c r="EK160" s="14">
        <v>45808</v>
      </c>
      <c r="EL160" s="14">
        <f t="shared" si="546"/>
        <v>46173</v>
      </c>
      <c r="EM160" s="65">
        <f t="shared" ca="1" si="489"/>
        <v>42</v>
      </c>
      <c r="EN160" s="15" t="str">
        <f t="shared" ca="1" si="490"/>
        <v>POR VENCER</v>
      </c>
      <c r="EO160" s="14">
        <v>45092</v>
      </c>
      <c r="EP160" s="14">
        <v>45737</v>
      </c>
      <c r="EQ160" s="14">
        <f>DATE(YEAR(EP160)+2,MONTH(EP160),DAY(EP160)-1)</f>
        <v>46466</v>
      </c>
      <c r="ER160" s="65">
        <f t="shared" ca="1" si="491"/>
        <v>335</v>
      </c>
      <c r="ES160" s="15" t="str">
        <f t="shared" ca="1" si="492"/>
        <v>VIGENTE</v>
      </c>
      <c r="ET160" s="14">
        <v>45073</v>
      </c>
      <c r="EU160" s="14">
        <v>45677</v>
      </c>
      <c r="EV160" s="14">
        <f>DATE(YEAR(EU160)+2,MONTH(EU160),DAY(EU160)-1)</f>
        <v>46406</v>
      </c>
      <c r="EW160" s="65">
        <f t="shared" ca="1" si="493"/>
        <v>275</v>
      </c>
      <c r="EX160" s="15" t="str">
        <f t="shared" ca="1" si="494"/>
        <v>VIGENTE</v>
      </c>
      <c r="EY160" s="13">
        <v>45299</v>
      </c>
      <c r="EZ160" s="14">
        <v>45964</v>
      </c>
      <c r="FA160" s="14">
        <f t="shared" si="582"/>
        <v>46694</v>
      </c>
      <c r="FB160" s="65">
        <f t="shared" ca="1" si="495"/>
        <v>563</v>
      </c>
      <c r="FC160" s="15" t="str">
        <f t="shared" ca="1" si="496"/>
        <v>VIGENTE</v>
      </c>
      <c r="FD160" s="13">
        <v>45280</v>
      </c>
      <c r="FE160" s="14">
        <v>45931</v>
      </c>
      <c r="FF160" s="14">
        <f t="shared" si="583"/>
        <v>46661</v>
      </c>
      <c r="FG160" s="65">
        <f t="shared" ca="1" si="497"/>
        <v>530</v>
      </c>
      <c r="FH160" s="15" t="str">
        <f t="shared" ca="1" si="498"/>
        <v>VIGENTE</v>
      </c>
      <c r="FI160" s="13">
        <v>45342</v>
      </c>
      <c r="FJ160" s="14">
        <v>45969</v>
      </c>
      <c r="FK160" s="14">
        <f t="shared" si="584"/>
        <v>46699</v>
      </c>
      <c r="FL160" s="65">
        <f t="shared" ca="1" si="499"/>
        <v>568</v>
      </c>
      <c r="FM160" s="15" t="str">
        <f t="shared" ca="1" si="500"/>
        <v>VIGENTE</v>
      </c>
      <c r="FN160" s="13">
        <v>45062</v>
      </c>
      <c r="FO160" s="14">
        <v>45670</v>
      </c>
      <c r="FP160" s="14">
        <f>DATE(YEAR(FO160)+2,MONTH(FO160),DAY(FO160)-1)</f>
        <v>46399</v>
      </c>
      <c r="FQ160" s="65">
        <f t="shared" ca="1" si="501"/>
        <v>268</v>
      </c>
      <c r="FR160" s="15" t="str">
        <f t="shared" ca="1" si="502"/>
        <v>VIGENTE</v>
      </c>
      <c r="FS160" s="14">
        <v>45078</v>
      </c>
      <c r="FT160" s="14">
        <v>45724</v>
      </c>
      <c r="FU160" s="14">
        <f>DATE(YEAR(FT160)+2,MONTH(FT160),DAY(FT160)-1)</f>
        <v>46453</v>
      </c>
      <c r="FV160" s="65">
        <f t="shared" ca="1" si="503"/>
        <v>322</v>
      </c>
      <c r="FW160" s="15" t="str">
        <f t="shared" ca="1" si="504"/>
        <v>VIGENTE</v>
      </c>
      <c r="FX160" s="13">
        <v>44616</v>
      </c>
      <c r="FY160" s="14">
        <v>46014</v>
      </c>
      <c r="FZ160" s="14">
        <f>DATE(YEAR(FY160)+2,MONTH(FY160),DAY(FY160))</f>
        <v>46744</v>
      </c>
      <c r="GA160" s="65">
        <f t="shared" ca="1" si="505"/>
        <v>613</v>
      </c>
      <c r="GB160" s="15" t="str">
        <f t="shared" ca="1" si="506"/>
        <v>VIGENTE</v>
      </c>
      <c r="GC160" s="14">
        <v>44923</v>
      </c>
      <c r="GD160" s="14">
        <v>45560</v>
      </c>
      <c r="GE160" s="14">
        <f>DATE(YEAR(GD160)+2,MONTH(GD160),DAY(GD160)-1)</f>
        <v>46289</v>
      </c>
      <c r="GF160" s="65">
        <f t="shared" ca="1" si="507"/>
        <v>158</v>
      </c>
      <c r="GG160" s="15" t="str">
        <f t="shared" ca="1" si="508"/>
        <v>VIGENTE</v>
      </c>
      <c r="GH160" s="13">
        <v>45082</v>
      </c>
      <c r="GI160" s="14">
        <v>45752</v>
      </c>
      <c r="GJ160" s="14">
        <f>DATE(YEAR(GI160)+2,MONTH(GI160),DAY(GI160)-1)</f>
        <v>46481</v>
      </c>
      <c r="GK160" s="65">
        <f t="shared" ca="1" si="509"/>
        <v>350</v>
      </c>
      <c r="GL160" s="15" t="str">
        <f t="shared" ca="1" si="510"/>
        <v>VIGENTE</v>
      </c>
      <c r="GM160" s="13">
        <v>45275</v>
      </c>
      <c r="GN160" s="14">
        <v>45958</v>
      </c>
      <c r="GO160" s="14">
        <f>DATE(YEAR(GN160)+2,MONTH(GN160),DAY(GN160))</f>
        <v>46688</v>
      </c>
      <c r="GP160" s="65">
        <f t="shared" ca="1" si="511"/>
        <v>557</v>
      </c>
      <c r="GQ160" s="15" t="str">
        <f t="shared" ca="1" si="512"/>
        <v>VIGENTE</v>
      </c>
      <c r="GR160" s="14"/>
      <c r="GS160" s="14">
        <v>44912</v>
      </c>
      <c r="GT160" s="14">
        <f t="shared" si="513"/>
        <v>46738</v>
      </c>
      <c r="GU160" s="65">
        <f t="shared" ca="1" si="398"/>
        <v>607</v>
      </c>
      <c r="GV160" s="15" t="str">
        <f t="shared" ca="1" si="411"/>
        <v>VIGENTE</v>
      </c>
      <c r="GW160" s="13"/>
      <c r="GX160" s="14">
        <v>44910</v>
      </c>
      <c r="GY160" s="14">
        <f t="shared" si="514"/>
        <v>46736</v>
      </c>
      <c r="GZ160" s="65">
        <f t="shared" ca="1" si="515"/>
        <v>605</v>
      </c>
      <c r="HA160" s="15" t="str">
        <f t="shared" ca="1" si="418"/>
        <v>VIGENTE</v>
      </c>
      <c r="HB160" s="12"/>
      <c r="HC160" s="14">
        <v>44911</v>
      </c>
      <c r="HD160" s="14">
        <f t="shared" si="516"/>
        <v>46737</v>
      </c>
      <c r="HE160" s="65">
        <f t="shared" ca="1" si="517"/>
        <v>606</v>
      </c>
      <c r="HF160" s="15" t="str">
        <f t="shared" ca="1" si="413"/>
        <v>VIGENTE</v>
      </c>
      <c r="HG160" s="16"/>
      <c r="HH160" s="14">
        <v>45020</v>
      </c>
      <c r="HI160" s="14">
        <f t="shared" si="572"/>
        <v>46847</v>
      </c>
      <c r="HJ160" s="65">
        <f t="shared" ca="1" si="573"/>
        <v>716</v>
      </c>
      <c r="HK160" s="15" t="str">
        <f t="shared" ca="1" si="419"/>
        <v>VIGENTE</v>
      </c>
      <c r="HL160" s="12"/>
      <c r="HM160" s="14">
        <v>45341</v>
      </c>
      <c r="HN160" s="14">
        <f>DATE(YEAR(HM160)+5,MONTH(HM160),DAY(HM160))</f>
        <v>47168</v>
      </c>
      <c r="HO160" s="65">
        <f ca="1">HN160-TODAY()</f>
        <v>1037</v>
      </c>
      <c r="HP160" s="15" t="str">
        <f t="shared" ca="1" si="437"/>
        <v>VIGENTE</v>
      </c>
      <c r="HQ160" s="12"/>
      <c r="HR160" s="13">
        <v>45374</v>
      </c>
      <c r="HS160" s="14">
        <f>DATE(YEAR(HR160)+5,MONTH(HR160),DAY(HR160))</f>
        <v>47200</v>
      </c>
      <c r="HT160" s="65">
        <f ca="1">HS160-TODAY()</f>
        <v>1069</v>
      </c>
      <c r="HU160" s="15" t="str">
        <f t="shared" ca="1" si="518"/>
        <v>VIGENTE</v>
      </c>
      <c r="HV160" s="13">
        <v>44782</v>
      </c>
      <c r="HW160" s="14">
        <v>45469</v>
      </c>
      <c r="HX160" s="14">
        <f>DATE(YEAR(HW160)+5,MONTH(HW160),DAY(HW160))</f>
        <v>47295</v>
      </c>
      <c r="HY160" s="65">
        <f ca="1">HX160-TODAY()</f>
        <v>1164</v>
      </c>
      <c r="HZ160" s="15" t="str">
        <f t="shared" ca="1" si="519"/>
        <v>VIGENTE</v>
      </c>
      <c r="IA160" s="13">
        <v>44566</v>
      </c>
      <c r="IB160" s="14">
        <v>45447</v>
      </c>
      <c r="IC160" s="14">
        <f>DATE(YEAR(IB160)+5,MONTH(IB160),DAY(IB160))</f>
        <v>47273</v>
      </c>
      <c r="ID160" s="65">
        <f ca="1">IC160-TODAY()</f>
        <v>1142</v>
      </c>
      <c r="IE160" s="15" t="str">
        <f t="shared" ca="1" si="520"/>
        <v>VIGENTE</v>
      </c>
      <c r="IF160" s="13">
        <v>44754</v>
      </c>
      <c r="IG160" s="14">
        <v>45470</v>
      </c>
      <c r="IH160" s="14">
        <f>DATE(YEAR(IG160)+5,MONTH(IG160),DAY(IG160))</f>
        <v>47296</v>
      </c>
      <c r="II160" s="65">
        <f ca="1">IH160-TODAY()</f>
        <v>1165</v>
      </c>
      <c r="IJ160" s="15" t="str">
        <f t="shared" ca="1" si="521"/>
        <v>VIGENTE</v>
      </c>
      <c r="IK160" s="14"/>
      <c r="IL160" s="14">
        <v>45452</v>
      </c>
      <c r="IM160" s="14">
        <f>DATE(YEAR(IL160)+5,MONTH(IL160),DAY(IL160))</f>
        <v>47278</v>
      </c>
      <c r="IN160" s="65">
        <f ca="1">IM160-TODAY()</f>
        <v>1147</v>
      </c>
      <c r="IO160" s="15" t="str">
        <f t="shared" ca="1" si="522"/>
        <v>VIGENTE</v>
      </c>
      <c r="IP160" s="13">
        <v>44716</v>
      </c>
      <c r="IQ160" s="14">
        <v>45453</v>
      </c>
      <c r="IR160" s="14">
        <f>DATE(YEAR(IQ160)+5,MONTH(IQ160),DAY(IQ160))</f>
        <v>47279</v>
      </c>
      <c r="IS160" s="65">
        <f ca="1">IR160-TODAY()</f>
        <v>1148</v>
      </c>
      <c r="IT160" s="15" t="str">
        <f t="shared" ca="1" si="523"/>
        <v>VIGENTE</v>
      </c>
      <c r="IU160" s="13">
        <v>44567</v>
      </c>
      <c r="IV160" s="14">
        <v>45288</v>
      </c>
      <c r="IW160" s="14">
        <f>DATE(YEAR(IV160)+5,MONTH(IV160),DAY(IV160))</f>
        <v>47115</v>
      </c>
      <c r="IX160" s="65">
        <f ca="1">IW160-TODAY()</f>
        <v>984</v>
      </c>
      <c r="IY160" s="15" t="str">
        <f t="shared" ca="1" si="524"/>
        <v>VIGENTE</v>
      </c>
      <c r="IZ160" s="13">
        <v>44566</v>
      </c>
      <c r="JA160" s="14">
        <v>45289</v>
      </c>
      <c r="JB160" s="14">
        <f>DATE(YEAR(JA160)+5,MONTH(JA160),DAY(JA160))</f>
        <v>47116</v>
      </c>
      <c r="JC160" s="65">
        <f ca="1">JB160-TODAY()</f>
        <v>985</v>
      </c>
      <c r="JD160" s="15" t="str">
        <f t="shared" ca="1" si="525"/>
        <v>VIGENTE</v>
      </c>
      <c r="JE160" s="13"/>
      <c r="JF160" s="13"/>
      <c r="JG160" s="14"/>
      <c r="JH160" s="65"/>
      <c r="JI160" s="15" t="str">
        <f t="shared" si="526"/>
        <v>NO APLICA</v>
      </c>
      <c r="JJ160" s="16"/>
      <c r="JK160" s="16"/>
      <c r="JL160" s="16"/>
      <c r="JM160" s="15" t="str">
        <f t="shared" si="527"/>
        <v>NO APLICA</v>
      </c>
      <c r="JN160" s="16"/>
      <c r="JO160" s="16"/>
      <c r="JP160" s="16"/>
      <c r="JQ160" s="15" t="str">
        <f t="shared" si="528"/>
        <v>NO APLICA</v>
      </c>
      <c r="JR160" s="16"/>
      <c r="JS160" s="16"/>
      <c r="JT160" s="16"/>
      <c r="JU160" s="16"/>
      <c r="JV160" s="15" t="str">
        <f t="shared" si="529"/>
        <v>NO APLICA</v>
      </c>
      <c r="JW160" s="15"/>
      <c r="JX160" s="13">
        <v>45948</v>
      </c>
      <c r="JY160" s="14">
        <f>DATE(YEAR(JX160)+2,MONTH(JX160),DAY(JX160))</f>
        <v>46678</v>
      </c>
      <c r="JZ160" s="65">
        <f ca="1">JY160-TODAY()</f>
        <v>547</v>
      </c>
      <c r="KA160" s="15" t="str">
        <f t="shared" ca="1" si="530"/>
        <v>VIGENTE</v>
      </c>
      <c r="KB160" s="12"/>
      <c r="KC160" s="14"/>
      <c r="KD160" s="65"/>
      <c r="KE160" s="15" t="str">
        <f t="shared" si="531"/>
        <v>NO APLICA</v>
      </c>
      <c r="KF160" s="12"/>
      <c r="KG160" s="14"/>
      <c r="KH160" s="65"/>
      <c r="KI160" s="15" t="str">
        <f t="shared" si="547"/>
        <v>NO APLICA</v>
      </c>
      <c r="KJ160" s="12"/>
      <c r="KK160" s="14"/>
      <c r="KL160" s="65"/>
      <c r="KM160" s="15" t="str">
        <f t="shared" si="532"/>
        <v>NO APLICA</v>
      </c>
      <c r="KN160" s="12"/>
      <c r="KO160" s="14"/>
      <c r="KP160" s="65"/>
      <c r="KQ160" s="15" t="str">
        <f t="shared" si="548"/>
        <v>NO APLICA</v>
      </c>
      <c r="KR160" s="13">
        <v>44655</v>
      </c>
      <c r="KS160" s="14">
        <v>44656</v>
      </c>
      <c r="KT160" s="14">
        <f>DATE(YEAR(KS160)+5,MONTH(KS160),DAY(KS160))</f>
        <v>46482</v>
      </c>
      <c r="KU160" s="65">
        <f ca="1">KT160-TODAY()</f>
        <v>351</v>
      </c>
      <c r="KV160" s="15" t="str">
        <f t="shared" ca="1" si="554"/>
        <v>VIGENTE</v>
      </c>
      <c r="KW160" s="14">
        <v>44603</v>
      </c>
      <c r="KX160" s="14">
        <f>DATE(YEAR(KW160)+5,MONTH(KW160),DAY(KW160))</f>
        <v>46429</v>
      </c>
      <c r="KY160" s="65">
        <f ca="1">KX160-TODAY()</f>
        <v>298</v>
      </c>
      <c r="KZ160" s="15" t="str">
        <f t="shared" ca="1" si="549"/>
        <v>VIGENTE</v>
      </c>
      <c r="LA160" s="14">
        <v>44494</v>
      </c>
      <c r="LB160" s="14"/>
      <c r="LC160" s="14"/>
      <c r="LD160" s="65"/>
      <c r="LE160" s="15" t="str">
        <f t="shared" si="556"/>
        <v>NO APLICA</v>
      </c>
      <c r="LF160" s="15"/>
      <c r="LG160" s="15"/>
      <c r="LH160" s="14"/>
      <c r="LI160" s="65"/>
      <c r="LJ160" s="15" t="str">
        <f t="shared" si="555"/>
        <v>NO APLICA</v>
      </c>
      <c r="LK160" s="12"/>
      <c r="LL160" s="16"/>
      <c r="LM160" s="14"/>
      <c r="LN160" s="65"/>
      <c r="LO160" s="15" t="str">
        <f t="shared" si="550"/>
        <v>NO APLICA</v>
      </c>
      <c r="LP160" s="16"/>
      <c r="LQ160" s="16"/>
      <c r="LR160" s="14"/>
      <c r="LS160" s="65"/>
      <c r="LT160" s="15" t="str">
        <f t="shared" si="551"/>
        <v>NO APLICA</v>
      </c>
      <c r="LU160" s="16"/>
      <c r="LV160" s="16"/>
      <c r="LW160" s="14"/>
      <c r="LX160" s="65"/>
      <c r="LY160" s="15" t="str">
        <f t="shared" si="552"/>
        <v>NO APLICA</v>
      </c>
      <c r="LZ160" s="12"/>
      <c r="MA160" s="12"/>
      <c r="MB160" s="14"/>
      <c r="MC160" s="65"/>
      <c r="MD160" s="15" t="str">
        <f t="shared" si="534"/>
        <v>NO APLICA</v>
      </c>
      <c r="ME160" s="12"/>
      <c r="MF160" s="12"/>
      <c r="MG160" s="14"/>
      <c r="MH160" s="65"/>
      <c r="MI160" s="15" t="str">
        <f t="shared" si="535"/>
        <v>NO APLICA</v>
      </c>
      <c r="MJ160" s="12"/>
      <c r="MK160" s="14"/>
      <c r="ML160" s="65"/>
      <c r="MM160" s="15" t="str">
        <f t="shared" si="536"/>
        <v>NO APLICA</v>
      </c>
      <c r="MN160" s="12"/>
      <c r="MO160" s="14"/>
      <c r="MP160" s="12"/>
      <c r="MQ160" s="15" t="str">
        <f t="shared" si="537"/>
        <v>NO APLICA</v>
      </c>
      <c r="MR160" s="12"/>
      <c r="MS160" s="16"/>
      <c r="MT160" s="14"/>
      <c r="MU160" s="65"/>
      <c r="MV160" s="15" t="str">
        <f t="shared" si="538"/>
        <v>NO APLICA</v>
      </c>
      <c r="MW160" s="12"/>
      <c r="MX160" s="16"/>
      <c r="MY160" s="14"/>
      <c r="MZ160" s="65"/>
      <c r="NA160" s="15" t="str">
        <f t="shared" si="539"/>
        <v>NO APLICA</v>
      </c>
      <c r="NB160" s="12"/>
      <c r="NC160" s="16"/>
      <c r="ND160" s="14"/>
      <c r="NE160" s="65"/>
      <c r="NF160" s="15" t="str">
        <f t="shared" si="540"/>
        <v>NO APLICA</v>
      </c>
      <c r="NG160" s="12"/>
      <c r="NH160" s="12"/>
      <c r="NI160" s="14"/>
      <c r="NJ160" s="65"/>
      <c r="NK160" s="15" t="str">
        <f t="shared" si="541"/>
        <v>NO APLICA</v>
      </c>
      <c r="NL160" s="12"/>
      <c r="NM160" s="12"/>
      <c r="NN160" s="14"/>
      <c r="NO160" s="12"/>
      <c r="NP160" s="15" t="str">
        <f t="shared" si="542"/>
        <v>NO APLICA</v>
      </c>
      <c r="NQ160" s="16"/>
      <c r="NR160" s="16"/>
      <c r="NS160" s="14"/>
      <c r="NT160" s="65"/>
      <c r="NU160" s="15" t="str">
        <f t="shared" si="543"/>
        <v>NO APLICA</v>
      </c>
      <c r="NV160" s="16"/>
      <c r="NW160" s="16"/>
      <c r="NX160" s="16"/>
      <c r="NY160" s="16"/>
      <c r="NZ160" s="15" t="str">
        <f t="shared" si="544"/>
        <v>NO APLICA</v>
      </c>
    </row>
    <row r="161" spans="1:390" ht="15.6" thickTop="1" thickBot="1" x14ac:dyDescent="0.35">
      <c r="A161" s="9">
        <v>562</v>
      </c>
      <c r="B161" s="10" t="s">
        <v>579</v>
      </c>
      <c r="C161" s="21" t="s">
        <v>98</v>
      </c>
      <c r="D161" s="64" t="s">
        <v>580</v>
      </c>
      <c r="E161" s="15"/>
      <c r="F161" s="16"/>
      <c r="G161" s="14"/>
      <c r="H161" s="65"/>
      <c r="I161" s="15" t="str">
        <f t="shared" si="448"/>
        <v>NO APLICA</v>
      </c>
      <c r="J161" s="15"/>
      <c r="K161" s="16"/>
      <c r="L161" s="16"/>
      <c r="M161" s="65"/>
      <c r="N161" s="15" t="str">
        <f t="shared" si="449"/>
        <v>NO APLICA</v>
      </c>
      <c r="O161" s="14">
        <v>45589</v>
      </c>
      <c r="P161" s="14">
        <v>45590</v>
      </c>
      <c r="Q161" s="14">
        <f>DATE(YEAR(P161)+2,MONTH(P161),DAY(P161)-1)</f>
        <v>46319</v>
      </c>
      <c r="R161" s="65">
        <f ca="1">Q161-TODAY()</f>
        <v>188</v>
      </c>
      <c r="S161" s="15" t="str">
        <f t="shared" ca="1" si="545"/>
        <v>VIGENTE</v>
      </c>
      <c r="T161" s="12" t="s">
        <v>581</v>
      </c>
      <c r="U161" s="13">
        <v>45308</v>
      </c>
      <c r="V161" s="14">
        <v>45309</v>
      </c>
      <c r="W161" s="14">
        <f t="shared" si="577"/>
        <v>47136</v>
      </c>
      <c r="X161" s="65">
        <f t="shared" ca="1" si="578"/>
        <v>1005</v>
      </c>
      <c r="Y161" s="15" t="str">
        <f t="shared" ca="1" si="403"/>
        <v>VIGENTE</v>
      </c>
      <c r="Z161" s="67" t="s">
        <v>582</v>
      </c>
      <c r="AA161" s="13">
        <v>45189</v>
      </c>
      <c r="AB161" s="14">
        <v>45190</v>
      </c>
      <c r="AC161" s="14">
        <f>DATE(YEAR(AB161)+5,MONTH(AB161),DAY(AB161))</f>
        <v>47017</v>
      </c>
      <c r="AD161" s="65">
        <f ca="1">AC161-TODAY()</f>
        <v>886</v>
      </c>
      <c r="AE161" s="15" t="str">
        <f t="shared" ca="1" si="574"/>
        <v>VIGENTE</v>
      </c>
      <c r="AF161" s="13">
        <v>45243</v>
      </c>
      <c r="AG161" s="14">
        <v>45902</v>
      </c>
      <c r="AH161" s="14">
        <f>DATE(YEAR(AG161)+2,MONTH(AG161),DAY(AG161))</f>
        <v>46632</v>
      </c>
      <c r="AI161" s="65">
        <f t="shared" ca="1" si="450"/>
        <v>501</v>
      </c>
      <c r="AJ161" s="15" t="str">
        <f t="shared" ca="1" si="399"/>
        <v>VIGENTE</v>
      </c>
      <c r="AK161" s="13">
        <v>45044</v>
      </c>
      <c r="AL161" s="14">
        <v>45710</v>
      </c>
      <c r="AM161" s="14">
        <f>DATE(YEAR(AL161)+2,MONTH(AL161),DAY(AL161)-1)</f>
        <v>46439</v>
      </c>
      <c r="AN161" s="65">
        <f t="shared" ca="1" si="451"/>
        <v>308</v>
      </c>
      <c r="AO161" s="15" t="str">
        <f t="shared" ca="1" si="452"/>
        <v>VIGENTE</v>
      </c>
      <c r="AP161" s="13">
        <v>44967</v>
      </c>
      <c r="AQ161" s="14">
        <v>45591</v>
      </c>
      <c r="AR161" s="14">
        <f>DATE(YEAR(AQ161)+2,MONTH(AQ161),DAY(AQ161)-1)</f>
        <v>46320</v>
      </c>
      <c r="AS161" s="65">
        <f t="shared" ca="1" si="453"/>
        <v>189</v>
      </c>
      <c r="AT161" s="15" t="str">
        <f t="shared" ca="1" si="454"/>
        <v>VIGENTE</v>
      </c>
      <c r="AU161" s="13">
        <v>45021</v>
      </c>
      <c r="AV161" s="14">
        <v>45702</v>
      </c>
      <c r="AW161" s="14">
        <f>DATE(YEAR(AV161)+2,MONTH(AV161),DAY(AV161)-1)</f>
        <v>46431</v>
      </c>
      <c r="AX161" s="65">
        <f t="shared" ca="1" si="455"/>
        <v>300</v>
      </c>
      <c r="AY161" s="15" t="str">
        <f t="shared" ca="1" si="456"/>
        <v>VIGENTE</v>
      </c>
      <c r="AZ161" s="13">
        <v>44930</v>
      </c>
      <c r="BA161" s="14">
        <v>45603</v>
      </c>
      <c r="BB161" s="14">
        <f>DATE(YEAR(BA161)+2,MONTH(BA161),DAY(BA161)-1)</f>
        <v>46332</v>
      </c>
      <c r="BC161" s="65">
        <f t="shared" ca="1" si="457"/>
        <v>201</v>
      </c>
      <c r="BD161" s="15" t="str">
        <f t="shared" ca="1" si="458"/>
        <v>VIGENTE</v>
      </c>
      <c r="BE161" s="13">
        <v>45071</v>
      </c>
      <c r="BF161" s="14">
        <v>45698</v>
      </c>
      <c r="BG161" s="14">
        <f>DATE(YEAR(BF161)+2,MONTH(BF161),DAY(BF161)-1)</f>
        <v>46427</v>
      </c>
      <c r="BH161" s="65">
        <f t="shared" ca="1" si="459"/>
        <v>296</v>
      </c>
      <c r="BI161" s="15" t="str">
        <f t="shared" ca="1" si="460"/>
        <v>VIGENTE</v>
      </c>
      <c r="BJ161" s="13">
        <v>44956</v>
      </c>
      <c r="BK161" s="14">
        <v>45600</v>
      </c>
      <c r="BL161" s="14">
        <f>DATE(YEAR(BK161)+2,MONTH(BK161),DAY(BK161)-1)</f>
        <v>46329</v>
      </c>
      <c r="BM161" s="65">
        <f t="shared" ca="1" si="461"/>
        <v>198</v>
      </c>
      <c r="BN161" s="15" t="str">
        <f t="shared" ca="1" si="462"/>
        <v>VIGENTE</v>
      </c>
      <c r="BO161" s="13">
        <v>45073</v>
      </c>
      <c r="BP161" s="14">
        <v>45701</v>
      </c>
      <c r="BQ161" s="14">
        <f>DATE(YEAR(BP161)+2,MONTH(BP161),DAY(BP161)-1)</f>
        <v>46430</v>
      </c>
      <c r="BR161" s="65">
        <f t="shared" ca="1" si="463"/>
        <v>299</v>
      </c>
      <c r="BS161" s="15" t="str">
        <f t="shared" ca="1" si="464"/>
        <v>VIGENTE</v>
      </c>
      <c r="BT161" s="13">
        <v>45034</v>
      </c>
      <c r="BU161" s="14">
        <v>45695</v>
      </c>
      <c r="BV161" s="14">
        <f t="shared" si="575"/>
        <v>46424</v>
      </c>
      <c r="BW161" s="65">
        <f t="shared" ca="1" si="465"/>
        <v>293</v>
      </c>
      <c r="BX161" s="15" t="str">
        <f t="shared" ca="1" si="466"/>
        <v>VIGENTE</v>
      </c>
      <c r="BY161" s="13">
        <v>44622</v>
      </c>
      <c r="BZ161" s="14">
        <v>45944</v>
      </c>
      <c r="CA161" s="14">
        <f t="shared" si="579"/>
        <v>46674</v>
      </c>
      <c r="CB161" s="65">
        <f t="shared" ca="1" si="467"/>
        <v>543</v>
      </c>
      <c r="CC161" s="15" t="str">
        <f t="shared" ca="1" si="468"/>
        <v>VIGENTE</v>
      </c>
      <c r="CD161" s="16" t="s">
        <v>108</v>
      </c>
      <c r="CE161" s="14">
        <v>45532</v>
      </c>
      <c r="CF161" s="14">
        <v>45533</v>
      </c>
      <c r="CG161" s="14">
        <f t="shared" si="580"/>
        <v>46994</v>
      </c>
      <c r="CH161" s="65">
        <f t="shared" ca="1" si="581"/>
        <v>863</v>
      </c>
      <c r="CI161" s="15" t="str">
        <f t="shared" ca="1" si="562"/>
        <v>VIGENTE</v>
      </c>
      <c r="CJ161" s="14">
        <v>44908</v>
      </c>
      <c r="CK161" s="14">
        <v>45601</v>
      </c>
      <c r="CL161" s="14">
        <f>DATE(YEAR(CK161)+2,MONTH(CK161),DAY(CK161)-1)</f>
        <v>46330</v>
      </c>
      <c r="CM161" s="65">
        <f t="shared" ca="1" si="469"/>
        <v>199</v>
      </c>
      <c r="CN161" s="15" t="str">
        <f t="shared" ca="1" si="470"/>
        <v>VIGENTE</v>
      </c>
      <c r="CO161" s="13">
        <v>45026</v>
      </c>
      <c r="CP161" s="14">
        <v>45684</v>
      </c>
      <c r="CQ161" s="14">
        <f t="shared" si="576"/>
        <v>46413</v>
      </c>
      <c r="CR161" s="65">
        <f t="shared" ca="1" si="471"/>
        <v>282</v>
      </c>
      <c r="CS161" s="15" t="str">
        <f t="shared" ca="1" si="472"/>
        <v>VIGENTE</v>
      </c>
      <c r="CT161" s="12">
        <v>45121</v>
      </c>
      <c r="CU161" s="14">
        <v>45727</v>
      </c>
      <c r="CV161" s="14">
        <f>DATE(YEAR(CU161)+2,MONTH(CU161),DAY(CU161)-1)</f>
        <v>46456</v>
      </c>
      <c r="CW161" s="65">
        <f t="shared" ca="1" si="473"/>
        <v>325</v>
      </c>
      <c r="CX161" s="15" t="str">
        <f t="shared" ca="1" si="474"/>
        <v>VIGENTE</v>
      </c>
      <c r="CY161" s="13" t="s">
        <v>583</v>
      </c>
      <c r="CZ161" s="14">
        <v>45665</v>
      </c>
      <c r="DA161" s="14">
        <f>DATE(YEAR(CZ161)+2,MONTH(CZ161),DAY(CZ161)-1)</f>
        <v>46394</v>
      </c>
      <c r="DB161" s="65">
        <f t="shared" ca="1" si="475"/>
        <v>263</v>
      </c>
      <c r="DC161" s="15" t="str">
        <f t="shared" ca="1" si="476"/>
        <v>VIGENTE</v>
      </c>
      <c r="DD161" s="13">
        <v>44966</v>
      </c>
      <c r="DE161" s="14">
        <v>45596</v>
      </c>
      <c r="DF161" s="14">
        <f>DATE(YEAR(DE161)+2,MONTH(DE161),DAY(DE161)-1)</f>
        <v>46325</v>
      </c>
      <c r="DG161" s="65">
        <f t="shared" ca="1" si="477"/>
        <v>194</v>
      </c>
      <c r="DH161" s="15" t="str">
        <f t="shared" ca="1" si="478"/>
        <v>VIGENTE</v>
      </c>
      <c r="DI161" s="13">
        <v>45027</v>
      </c>
      <c r="DJ161" s="14">
        <v>45696</v>
      </c>
      <c r="DK161" s="14">
        <f>DATE(YEAR(DJ161)+2,MONTH(DJ161),DAY(DJ161)-1)</f>
        <v>46425</v>
      </c>
      <c r="DL161" s="65">
        <f t="shared" ca="1" si="479"/>
        <v>294</v>
      </c>
      <c r="DM161" s="15" t="str">
        <f t="shared" ca="1" si="480"/>
        <v>VIGENTE</v>
      </c>
      <c r="DN161" s="13">
        <v>44918</v>
      </c>
      <c r="DO161" s="14">
        <v>45577</v>
      </c>
      <c r="DP161" s="14">
        <f>DATE(YEAR(DO161)+2,MONTH(DO161),DAY(DO161)-1)</f>
        <v>46306</v>
      </c>
      <c r="DQ161" s="65">
        <f t="shared" ca="1" si="481"/>
        <v>175</v>
      </c>
      <c r="DR161" s="15" t="str">
        <f t="shared" ca="1" si="482"/>
        <v>VIGENTE</v>
      </c>
      <c r="DS161" s="13">
        <v>44999</v>
      </c>
      <c r="DT161" s="14">
        <v>45685</v>
      </c>
      <c r="DU161" s="14">
        <f>DATE(YEAR(DT161)+2,MONTH(DT161),DAY(DT161)-1)</f>
        <v>46414</v>
      </c>
      <c r="DV161" s="65">
        <f t="shared" ca="1" si="483"/>
        <v>283</v>
      </c>
      <c r="DW161" s="15" t="str">
        <f t="shared" ca="1" si="484"/>
        <v>VIGENTE</v>
      </c>
      <c r="DX161" s="13">
        <v>45031</v>
      </c>
      <c r="DY161" s="14">
        <v>45663</v>
      </c>
      <c r="DZ161" s="14">
        <f>DATE(YEAR(DY161)+2,MONTH(DY161),DAY(DY161)-1)</f>
        <v>46392</v>
      </c>
      <c r="EA161" s="65">
        <f t="shared" ca="1" si="485"/>
        <v>261</v>
      </c>
      <c r="EB161" s="15" t="str">
        <f t="shared" ca="1" si="486"/>
        <v>VIGENTE</v>
      </c>
      <c r="EC161" s="13">
        <v>44940</v>
      </c>
      <c r="ED161" s="14">
        <v>45583</v>
      </c>
      <c r="EE161" s="14">
        <f>DATE(YEAR(ED161)+2,MONTH(ED161),DAY(ED161)-1)</f>
        <v>46312</v>
      </c>
      <c r="EF161" s="65">
        <f t="shared" ca="1" si="487"/>
        <v>181</v>
      </c>
      <c r="EG161" s="15" t="str">
        <f t="shared" ca="1" si="488"/>
        <v>VIGENTE</v>
      </c>
      <c r="EH161" s="13">
        <v>45000</v>
      </c>
      <c r="EI161" s="13">
        <v>46105</v>
      </c>
      <c r="EJ161" s="13">
        <v>46106</v>
      </c>
      <c r="EK161" s="13">
        <v>46107</v>
      </c>
      <c r="EL161" s="14">
        <f t="shared" si="546"/>
        <v>46472</v>
      </c>
      <c r="EM161" s="65">
        <f t="shared" ca="1" si="489"/>
        <v>341</v>
      </c>
      <c r="EN161" s="15" t="str">
        <f t="shared" ca="1" si="490"/>
        <v>VIGENTE</v>
      </c>
      <c r="EO161" s="13">
        <v>44981</v>
      </c>
      <c r="EP161" s="14">
        <v>45636</v>
      </c>
      <c r="EQ161" s="14">
        <f>DATE(YEAR(EP161)+2,MONTH(EP161),DAY(EP161)-1)</f>
        <v>46365</v>
      </c>
      <c r="ER161" s="65">
        <f t="shared" ca="1" si="491"/>
        <v>234</v>
      </c>
      <c r="ES161" s="15" t="str">
        <f t="shared" ca="1" si="492"/>
        <v>VIGENTE</v>
      </c>
      <c r="ET161" s="13">
        <v>45003</v>
      </c>
      <c r="EU161" s="14">
        <v>45623</v>
      </c>
      <c r="EV161" s="14">
        <f>DATE(YEAR(EU161)+2,MONTH(EU161),DAY(EU161)-1)</f>
        <v>46352</v>
      </c>
      <c r="EW161" s="65">
        <f t="shared" ca="1" si="493"/>
        <v>221</v>
      </c>
      <c r="EX161" s="15" t="str">
        <f t="shared" ca="1" si="494"/>
        <v>VIGENTE</v>
      </c>
      <c r="EY161" s="13">
        <v>44623</v>
      </c>
      <c r="EZ161" s="14">
        <v>45917</v>
      </c>
      <c r="FA161" s="14">
        <f t="shared" si="582"/>
        <v>46647</v>
      </c>
      <c r="FB161" s="65">
        <f t="shared" ca="1" si="495"/>
        <v>516</v>
      </c>
      <c r="FC161" s="15" t="str">
        <f t="shared" ca="1" si="496"/>
        <v>VIGENTE</v>
      </c>
      <c r="FD161" s="13">
        <v>44622</v>
      </c>
      <c r="FE161" s="14">
        <v>45931</v>
      </c>
      <c r="FF161" s="14">
        <f t="shared" si="583"/>
        <v>46661</v>
      </c>
      <c r="FG161" s="65">
        <f t="shared" ca="1" si="497"/>
        <v>530</v>
      </c>
      <c r="FH161" s="15" t="str">
        <f t="shared" ca="1" si="498"/>
        <v>VIGENTE</v>
      </c>
      <c r="FI161" s="13">
        <v>45248</v>
      </c>
      <c r="FJ161" s="14">
        <v>45919</v>
      </c>
      <c r="FK161" s="14">
        <f t="shared" si="584"/>
        <v>46649</v>
      </c>
      <c r="FL161" s="65">
        <f t="shared" ca="1" si="499"/>
        <v>518</v>
      </c>
      <c r="FM161" s="15" t="str">
        <f t="shared" ca="1" si="500"/>
        <v>VIGENTE</v>
      </c>
      <c r="FN161" s="13">
        <v>44947</v>
      </c>
      <c r="FO161" s="14">
        <v>45588</v>
      </c>
      <c r="FP161" s="14">
        <f>DATE(YEAR(FO161)+2,MONTH(FO161),DAY(FO161)-1)</f>
        <v>46317</v>
      </c>
      <c r="FQ161" s="65">
        <f t="shared" ca="1" si="501"/>
        <v>186</v>
      </c>
      <c r="FR161" s="15" t="str">
        <f t="shared" ca="1" si="502"/>
        <v>VIGENTE</v>
      </c>
      <c r="FS161" s="13">
        <v>44949</v>
      </c>
      <c r="FT161" s="14">
        <v>45586</v>
      </c>
      <c r="FU161" s="14">
        <f>DATE(YEAR(FT161)+2,MONTH(FT161),DAY(FT161)-1)</f>
        <v>46315</v>
      </c>
      <c r="FV161" s="65">
        <f t="shared" ca="1" si="503"/>
        <v>184</v>
      </c>
      <c r="FW161" s="15" t="str">
        <f t="shared" ca="1" si="504"/>
        <v>VIGENTE</v>
      </c>
      <c r="FX161" s="13">
        <v>44623</v>
      </c>
      <c r="FY161" s="14">
        <v>45941</v>
      </c>
      <c r="FZ161" s="14">
        <f>DATE(YEAR(FY161)+2,MONTH(FY161),DAY(FY161))</f>
        <v>46671</v>
      </c>
      <c r="GA161" s="65">
        <f t="shared" ca="1" si="505"/>
        <v>540</v>
      </c>
      <c r="GB161" s="15" t="str">
        <f t="shared" ca="1" si="506"/>
        <v>VIGENTE</v>
      </c>
      <c r="GC161" s="13">
        <v>44995</v>
      </c>
      <c r="GD161" s="14">
        <v>45667</v>
      </c>
      <c r="GE161" s="14">
        <f>DATE(YEAR(GD161)+2,MONTH(GD161),DAY(GD161)-1)</f>
        <v>46396</v>
      </c>
      <c r="GF161" s="65">
        <f t="shared" ca="1" si="507"/>
        <v>265</v>
      </c>
      <c r="GG161" s="15" t="str">
        <f t="shared" ca="1" si="508"/>
        <v>VIGENTE</v>
      </c>
      <c r="GH161" s="13">
        <v>44937</v>
      </c>
      <c r="GI161" s="14">
        <v>45579</v>
      </c>
      <c r="GJ161" s="14">
        <f>DATE(YEAR(GI161)+2,MONTH(GI161),DAY(GI161)-1)</f>
        <v>46308</v>
      </c>
      <c r="GK161" s="65">
        <f t="shared" ca="1" si="509"/>
        <v>177</v>
      </c>
      <c r="GL161" s="15" t="str">
        <f t="shared" ca="1" si="510"/>
        <v>VIGENTE</v>
      </c>
      <c r="GM161" s="13">
        <v>44945</v>
      </c>
      <c r="GN161" s="14">
        <v>45608</v>
      </c>
      <c r="GO161" s="14">
        <f>DATE(YEAR(GN161)+2,MONTH(GN161),DAY(GN161)-1)</f>
        <v>46337</v>
      </c>
      <c r="GP161" s="65">
        <f t="shared" ca="1" si="511"/>
        <v>206</v>
      </c>
      <c r="GQ161" s="15" t="str">
        <f t="shared" ca="1" si="512"/>
        <v>VIGENTE</v>
      </c>
      <c r="GR161" s="14"/>
      <c r="GS161" s="14">
        <v>45017</v>
      </c>
      <c r="GT161" s="14">
        <f t="shared" si="513"/>
        <v>46844</v>
      </c>
      <c r="GU161" s="65">
        <f t="shared" ca="1" si="398"/>
        <v>713</v>
      </c>
      <c r="GV161" s="15" t="str">
        <f t="shared" ca="1" si="411"/>
        <v>VIGENTE</v>
      </c>
      <c r="GW161" s="13"/>
      <c r="GX161" s="14">
        <v>44952</v>
      </c>
      <c r="GY161" s="14">
        <f t="shared" si="514"/>
        <v>46778</v>
      </c>
      <c r="GZ161" s="65">
        <f t="shared" ca="1" si="515"/>
        <v>647</v>
      </c>
      <c r="HA161" s="15" t="str">
        <f t="shared" ca="1" si="418"/>
        <v>VIGENTE</v>
      </c>
      <c r="HB161" s="13">
        <v>44566</v>
      </c>
      <c r="HC161" s="14">
        <v>45294</v>
      </c>
      <c r="HD161" s="14">
        <f t="shared" si="516"/>
        <v>47121</v>
      </c>
      <c r="HE161" s="65">
        <f t="shared" ca="1" si="517"/>
        <v>990</v>
      </c>
      <c r="HF161" s="15" t="str">
        <f t="shared" ca="1" si="413"/>
        <v>VIGENTE</v>
      </c>
      <c r="HG161" s="16"/>
      <c r="HH161" s="14">
        <v>45020</v>
      </c>
      <c r="HI161" s="14">
        <f t="shared" si="572"/>
        <v>46847</v>
      </c>
      <c r="HJ161" s="65">
        <f t="shared" ca="1" si="573"/>
        <v>716</v>
      </c>
      <c r="HK161" s="15" t="str">
        <f t="shared" ca="1" si="419"/>
        <v>VIGENTE</v>
      </c>
      <c r="HL161" s="12"/>
      <c r="HM161" s="16"/>
      <c r="HN161" s="14"/>
      <c r="HO161" s="65"/>
      <c r="HP161" s="15" t="str">
        <f t="shared" si="437"/>
        <v>NO APLICA</v>
      </c>
      <c r="HQ161" s="12"/>
      <c r="HR161" s="15"/>
      <c r="HS161" s="14"/>
      <c r="HT161" s="15"/>
      <c r="HU161" s="15" t="str">
        <f t="shared" si="518"/>
        <v>NO APLICA</v>
      </c>
      <c r="HV161" s="12"/>
      <c r="HW161" s="16"/>
      <c r="HX161" s="14"/>
      <c r="HY161" s="65"/>
      <c r="HZ161" s="15" t="str">
        <f t="shared" si="519"/>
        <v>NO APLICA</v>
      </c>
      <c r="IA161" s="12"/>
      <c r="IB161" s="16"/>
      <c r="IC161" s="14"/>
      <c r="ID161" s="65"/>
      <c r="IE161" s="15" t="str">
        <f t="shared" si="520"/>
        <v>NO APLICA</v>
      </c>
      <c r="IF161" s="12"/>
      <c r="IG161" s="16"/>
      <c r="IH161" s="14"/>
      <c r="II161" s="65"/>
      <c r="IJ161" s="15" t="str">
        <f t="shared" si="521"/>
        <v>NO APLICA</v>
      </c>
      <c r="IK161" s="16"/>
      <c r="IL161" s="16"/>
      <c r="IM161" s="14"/>
      <c r="IN161" s="65"/>
      <c r="IO161" s="15" t="str">
        <f t="shared" si="522"/>
        <v>NO APLICA</v>
      </c>
      <c r="IP161" s="12"/>
      <c r="IQ161" s="16"/>
      <c r="IR161" s="14"/>
      <c r="IS161" s="65"/>
      <c r="IT161" s="15" t="str">
        <f t="shared" si="523"/>
        <v>NO APLICA</v>
      </c>
      <c r="IU161" s="12"/>
      <c r="IV161" s="16"/>
      <c r="IW161" s="14"/>
      <c r="IX161" s="65"/>
      <c r="IY161" s="15" t="str">
        <f t="shared" si="524"/>
        <v>NO APLICA</v>
      </c>
      <c r="IZ161" s="12"/>
      <c r="JA161" s="16"/>
      <c r="JB161" s="14"/>
      <c r="JC161" s="65"/>
      <c r="JD161" s="15" t="str">
        <f t="shared" si="525"/>
        <v>NO APLICA</v>
      </c>
      <c r="JE161" s="13"/>
      <c r="JF161" s="13"/>
      <c r="JG161" s="14"/>
      <c r="JH161" s="65"/>
      <c r="JI161" s="15" t="str">
        <f t="shared" si="526"/>
        <v>NO APLICA</v>
      </c>
      <c r="JJ161" s="16"/>
      <c r="JK161" s="16"/>
      <c r="JL161" s="16"/>
      <c r="JM161" s="15" t="str">
        <f t="shared" si="527"/>
        <v>NO APLICA</v>
      </c>
      <c r="JN161" s="16"/>
      <c r="JO161" s="16"/>
      <c r="JP161" s="16"/>
      <c r="JQ161" s="15" t="str">
        <f t="shared" si="528"/>
        <v>NO APLICA</v>
      </c>
      <c r="JR161" s="16"/>
      <c r="JS161" s="16"/>
      <c r="JT161" s="16"/>
      <c r="JU161" s="16"/>
      <c r="JV161" s="15" t="str">
        <f t="shared" si="529"/>
        <v>NO APLICA</v>
      </c>
      <c r="JW161" s="15"/>
      <c r="JX161" s="15"/>
      <c r="JY161" s="15"/>
      <c r="JZ161" s="15"/>
      <c r="KA161" s="15" t="str">
        <f t="shared" si="530"/>
        <v>NO APLICA</v>
      </c>
      <c r="KB161" s="15"/>
      <c r="KC161" s="14"/>
      <c r="KD161" s="65"/>
      <c r="KE161" s="15" t="str">
        <f t="shared" si="531"/>
        <v>NO APLICA</v>
      </c>
      <c r="KF161" s="15"/>
      <c r="KG161" s="14"/>
      <c r="KH161" s="65"/>
      <c r="KI161" s="15" t="str">
        <f t="shared" si="547"/>
        <v>NO APLICA</v>
      </c>
      <c r="KJ161" s="15"/>
      <c r="KK161" s="14"/>
      <c r="KL161" s="65"/>
      <c r="KM161" s="15" t="str">
        <f t="shared" si="532"/>
        <v>NO APLICA</v>
      </c>
      <c r="KN161" s="13">
        <v>45346</v>
      </c>
      <c r="KO161" s="14">
        <f>DATE(YEAR(KN161)+5,MONTH(KN161),DAY(KN161))</f>
        <v>47173</v>
      </c>
      <c r="KP161" s="65">
        <f ca="1">KO161-TODAY()</f>
        <v>1042</v>
      </c>
      <c r="KQ161" s="15" t="str">
        <f t="shared" ca="1" si="548"/>
        <v>VIGENTE</v>
      </c>
      <c r="KR161" s="13">
        <v>44657</v>
      </c>
      <c r="KS161" s="14">
        <v>44658</v>
      </c>
      <c r="KT161" s="14">
        <f>DATE(YEAR(KS161)+5,MONTH(KS161),DAY(KS161))</f>
        <v>46484</v>
      </c>
      <c r="KU161" s="65">
        <f ca="1">KT161-TODAY()</f>
        <v>353</v>
      </c>
      <c r="KV161" s="15" t="str">
        <f t="shared" ca="1" si="554"/>
        <v>VIGENTE</v>
      </c>
      <c r="KW161" s="14">
        <v>44603</v>
      </c>
      <c r="KX161" s="14">
        <f>DATE(YEAR(KW161)+5,MONTH(KW161),DAY(KW161))</f>
        <v>46429</v>
      </c>
      <c r="KY161" s="65">
        <f ca="1">KX161-TODAY()</f>
        <v>298</v>
      </c>
      <c r="KZ161" s="15" t="str">
        <f t="shared" ca="1" si="549"/>
        <v>VIGENTE</v>
      </c>
      <c r="LA161" s="16"/>
      <c r="LB161" s="16"/>
      <c r="LC161" s="14"/>
      <c r="LD161" s="65"/>
      <c r="LE161" s="15" t="str">
        <f t="shared" si="556"/>
        <v>NO APLICA</v>
      </c>
      <c r="LF161" s="15"/>
      <c r="LG161" s="15"/>
      <c r="LH161" s="15"/>
      <c r="LI161" s="15"/>
      <c r="LJ161" s="15" t="str">
        <f t="shared" si="555"/>
        <v>NO APLICA</v>
      </c>
      <c r="LK161" s="15"/>
      <c r="LL161" s="16"/>
      <c r="LM161" s="14"/>
      <c r="LN161" s="65"/>
      <c r="LO161" s="15" t="str">
        <f t="shared" si="550"/>
        <v>NO APLICA</v>
      </c>
      <c r="LP161" s="16"/>
      <c r="LQ161" s="16"/>
      <c r="LR161" s="14"/>
      <c r="LS161" s="65"/>
      <c r="LT161" s="15" t="str">
        <f t="shared" si="551"/>
        <v>NO APLICA</v>
      </c>
      <c r="LU161" s="16"/>
      <c r="LV161" s="16"/>
      <c r="LW161" s="14"/>
      <c r="LX161" s="65"/>
      <c r="LY161" s="15" t="str">
        <f t="shared" si="552"/>
        <v>NO APLICA</v>
      </c>
      <c r="LZ161" s="15"/>
      <c r="MA161" s="15"/>
      <c r="MB161" s="14"/>
      <c r="MC161" s="65"/>
      <c r="MD161" s="15" t="str">
        <f t="shared" si="534"/>
        <v>NO APLICA</v>
      </c>
      <c r="ME161" s="15"/>
      <c r="MF161" s="15"/>
      <c r="MG161" s="14"/>
      <c r="MH161" s="65"/>
      <c r="MI161" s="15" t="str">
        <f t="shared" si="535"/>
        <v>NO APLICA</v>
      </c>
      <c r="MJ161" s="15"/>
      <c r="MK161" s="14"/>
      <c r="ML161" s="65"/>
      <c r="MM161" s="15" t="str">
        <f t="shared" si="536"/>
        <v>NO APLICA</v>
      </c>
      <c r="MN161" s="15"/>
      <c r="MO161" s="14"/>
      <c r="MP161" s="15"/>
      <c r="MQ161" s="15" t="str">
        <f t="shared" si="537"/>
        <v>NO APLICA</v>
      </c>
      <c r="MR161" s="15"/>
      <c r="MS161" s="16"/>
      <c r="MT161" s="14"/>
      <c r="MU161" s="65"/>
      <c r="MV161" s="15" t="str">
        <f t="shared" si="538"/>
        <v>NO APLICA</v>
      </c>
      <c r="MW161" s="15"/>
      <c r="MX161" s="16"/>
      <c r="MY161" s="14"/>
      <c r="MZ161" s="65"/>
      <c r="NA161" s="15" t="str">
        <f t="shared" si="539"/>
        <v>NO APLICA</v>
      </c>
      <c r="NB161" s="15"/>
      <c r="NC161" s="16"/>
      <c r="ND161" s="14"/>
      <c r="NE161" s="65"/>
      <c r="NF161" s="15" t="str">
        <f t="shared" si="540"/>
        <v>NO APLICA</v>
      </c>
      <c r="NG161" s="15"/>
      <c r="NH161" s="15"/>
      <c r="NI161" s="15"/>
      <c r="NJ161" s="15"/>
      <c r="NK161" s="15" t="str">
        <f t="shared" si="541"/>
        <v>NO APLICA</v>
      </c>
      <c r="NL161" s="15"/>
      <c r="NM161" s="15"/>
      <c r="NN161" s="15"/>
      <c r="NO161" s="15"/>
      <c r="NP161" s="15" t="str">
        <f t="shared" si="542"/>
        <v>NO APLICA</v>
      </c>
      <c r="NQ161" s="16"/>
      <c r="NR161" s="16"/>
      <c r="NS161" s="14"/>
      <c r="NT161" s="65"/>
      <c r="NU161" s="15" t="str">
        <f t="shared" si="543"/>
        <v>NO APLICA</v>
      </c>
      <c r="NV161" s="16"/>
      <c r="NW161" s="16"/>
      <c r="NX161" s="16"/>
      <c r="NY161" s="16"/>
      <c r="NZ161" s="15" t="str">
        <f t="shared" si="544"/>
        <v>NO APLICA</v>
      </c>
    </row>
    <row r="162" spans="1:390" ht="15.6" thickTop="1" thickBot="1" x14ac:dyDescent="0.35">
      <c r="A162" s="9">
        <v>1108</v>
      </c>
      <c r="B162" s="10" t="s">
        <v>584</v>
      </c>
      <c r="C162" s="21" t="s">
        <v>151</v>
      </c>
      <c r="D162" s="64" t="s">
        <v>165</v>
      </c>
      <c r="E162" s="13">
        <v>46057</v>
      </c>
      <c r="F162" s="14">
        <v>46058</v>
      </c>
      <c r="G162" s="14">
        <f>DATE(YEAR(F162)+2,MONTH(F162),DAY(F162))</f>
        <v>46788</v>
      </c>
      <c r="H162" s="65">
        <f ca="1">G162-TODAY()</f>
        <v>657</v>
      </c>
      <c r="I162" s="15" t="str">
        <f t="shared" ca="1" si="448"/>
        <v>VIGENTE</v>
      </c>
      <c r="J162" s="15"/>
      <c r="K162" s="16"/>
      <c r="L162" s="16"/>
      <c r="M162" s="65"/>
      <c r="N162" s="15" t="str">
        <f t="shared" si="449"/>
        <v>NO APLICA</v>
      </c>
      <c r="O162" s="16"/>
      <c r="P162" s="16"/>
      <c r="Q162" s="14"/>
      <c r="R162" s="65"/>
      <c r="S162" s="15" t="str">
        <f t="shared" si="545"/>
        <v>NO APLICA</v>
      </c>
      <c r="T162" s="12" t="s">
        <v>585</v>
      </c>
      <c r="U162" s="13">
        <v>44785</v>
      </c>
      <c r="V162" s="14">
        <v>44786</v>
      </c>
      <c r="W162" s="14">
        <f t="shared" si="577"/>
        <v>46612</v>
      </c>
      <c r="X162" s="65">
        <f t="shared" ca="1" si="578"/>
        <v>481</v>
      </c>
      <c r="Y162" s="15" t="str">
        <f t="shared" ca="1" si="403"/>
        <v>VIGENTE</v>
      </c>
      <c r="Z162" s="12"/>
      <c r="AA162" s="12"/>
      <c r="AB162" s="16"/>
      <c r="AC162" s="14"/>
      <c r="AD162" s="65"/>
      <c r="AE162" s="15" t="str">
        <f t="shared" si="574"/>
        <v>NO APLICA</v>
      </c>
      <c r="AF162" s="13">
        <v>45243</v>
      </c>
      <c r="AG162" s="14">
        <v>45902</v>
      </c>
      <c r="AH162" s="14">
        <f>DATE(YEAR(AG162)+2,MONTH(AG162),DAY(AG162))</f>
        <v>46632</v>
      </c>
      <c r="AI162" s="65">
        <f t="shared" ca="1" si="450"/>
        <v>501</v>
      </c>
      <c r="AJ162" s="15" t="str">
        <f t="shared" ca="1" si="399"/>
        <v>VIGENTE</v>
      </c>
      <c r="AK162" s="13">
        <v>45236</v>
      </c>
      <c r="AL162" s="14">
        <v>45903</v>
      </c>
      <c r="AM162" s="14">
        <f>DATE(YEAR(AL162)+2,MONTH(AL162),DAY(AL162))</f>
        <v>46633</v>
      </c>
      <c r="AN162" s="65">
        <f t="shared" ca="1" si="451"/>
        <v>502</v>
      </c>
      <c r="AO162" s="15" t="str">
        <f t="shared" ca="1" si="452"/>
        <v>VIGENTE</v>
      </c>
      <c r="AP162" s="13">
        <v>45298</v>
      </c>
      <c r="AQ162" s="14">
        <v>45967</v>
      </c>
      <c r="AR162" s="14">
        <f>DATE(YEAR(AQ162)+2,MONTH(AQ162),DAY(AQ162))</f>
        <v>46697</v>
      </c>
      <c r="AS162" s="65">
        <f t="shared" ca="1" si="453"/>
        <v>566</v>
      </c>
      <c r="AT162" s="15" t="str">
        <f t="shared" ca="1" si="454"/>
        <v>VIGENTE</v>
      </c>
      <c r="AU162" s="13">
        <v>44652</v>
      </c>
      <c r="AV162" s="14">
        <v>45927</v>
      </c>
      <c r="AW162" s="14">
        <f>DATE(YEAR(AV162)+2,MONTH(AV162),DAY(AV162))</f>
        <v>46657</v>
      </c>
      <c r="AX162" s="65">
        <f t="shared" ca="1" si="455"/>
        <v>526</v>
      </c>
      <c r="AY162" s="15" t="str">
        <f t="shared" ca="1" si="456"/>
        <v>VIGENTE</v>
      </c>
      <c r="AZ162" s="13">
        <v>45093</v>
      </c>
      <c r="BA162" s="14">
        <v>45717</v>
      </c>
      <c r="BB162" s="14">
        <f>DATE(YEAR(BA162)+2,MONTH(BA162),DAY(BA162)-1)</f>
        <v>46446</v>
      </c>
      <c r="BC162" s="65">
        <f t="shared" ca="1" si="457"/>
        <v>315</v>
      </c>
      <c r="BD162" s="15" t="str">
        <f t="shared" ca="1" si="458"/>
        <v>VIGENTE</v>
      </c>
      <c r="BE162" s="13">
        <v>45050</v>
      </c>
      <c r="BF162" s="14">
        <v>45698</v>
      </c>
      <c r="BG162" s="14">
        <f>DATE(YEAR(BF162)+2,MONTH(BF162),DAY(BF162)-1)</f>
        <v>46427</v>
      </c>
      <c r="BH162" s="65">
        <f t="shared" ca="1" si="459"/>
        <v>296</v>
      </c>
      <c r="BI162" s="15" t="str">
        <f t="shared" ca="1" si="460"/>
        <v>VIGENTE</v>
      </c>
      <c r="BJ162" s="13">
        <v>44987</v>
      </c>
      <c r="BK162" s="14">
        <v>45699</v>
      </c>
      <c r="BL162" s="14">
        <f>DATE(YEAR(BK162)+2,MONTH(BK162),DAY(BK162)-1)</f>
        <v>46428</v>
      </c>
      <c r="BM162" s="65">
        <f t="shared" ca="1" si="461"/>
        <v>297</v>
      </c>
      <c r="BN162" s="15" t="str">
        <f t="shared" ca="1" si="462"/>
        <v>VIGENTE</v>
      </c>
      <c r="BO162" s="13">
        <v>45073</v>
      </c>
      <c r="BP162" s="14">
        <v>45701</v>
      </c>
      <c r="BQ162" s="14">
        <f>DATE(YEAR(BP162)+2,MONTH(BP162),DAY(BP162)-1)</f>
        <v>46430</v>
      </c>
      <c r="BR162" s="65">
        <f t="shared" ca="1" si="463"/>
        <v>299</v>
      </c>
      <c r="BS162" s="15" t="str">
        <f t="shared" ca="1" si="464"/>
        <v>VIGENTE</v>
      </c>
      <c r="BT162" s="13">
        <v>44810</v>
      </c>
      <c r="BU162" s="14">
        <v>45455</v>
      </c>
      <c r="BV162" s="14">
        <f t="shared" si="575"/>
        <v>46184</v>
      </c>
      <c r="BW162" s="65">
        <f t="shared" ca="1" si="465"/>
        <v>53</v>
      </c>
      <c r="BX162" s="15" t="str">
        <f t="shared" ca="1" si="466"/>
        <v>POR VENCER</v>
      </c>
      <c r="BY162" s="13">
        <v>44606</v>
      </c>
      <c r="BZ162" s="14">
        <v>45911</v>
      </c>
      <c r="CA162" s="14">
        <f t="shared" si="579"/>
        <v>46641</v>
      </c>
      <c r="CB162" s="65">
        <f t="shared" ca="1" si="467"/>
        <v>510</v>
      </c>
      <c r="CC162" s="15" t="str">
        <f t="shared" ca="1" si="468"/>
        <v>VIGENTE</v>
      </c>
      <c r="CD162" s="16" t="s">
        <v>108</v>
      </c>
      <c r="CE162" s="14">
        <v>45615</v>
      </c>
      <c r="CF162" s="14">
        <v>45616</v>
      </c>
      <c r="CG162" s="14">
        <f t="shared" si="580"/>
        <v>47077</v>
      </c>
      <c r="CH162" s="65">
        <f t="shared" ca="1" si="581"/>
        <v>946</v>
      </c>
      <c r="CI162" s="15" t="str">
        <f t="shared" ca="1" si="562"/>
        <v>VIGENTE</v>
      </c>
      <c r="CJ162" s="14">
        <v>44874</v>
      </c>
      <c r="CK162" s="14">
        <v>45504</v>
      </c>
      <c r="CL162" s="14">
        <f>DATE(YEAR(CK162)+2,MONTH(CK162),DAY(CK162)-1)</f>
        <v>46233</v>
      </c>
      <c r="CM162" s="65">
        <f t="shared" ca="1" si="469"/>
        <v>102</v>
      </c>
      <c r="CN162" s="15" t="str">
        <f t="shared" ca="1" si="470"/>
        <v>VIGENTE</v>
      </c>
      <c r="CO162" s="13">
        <v>44900</v>
      </c>
      <c r="CP162" s="14">
        <v>45513</v>
      </c>
      <c r="CQ162" s="14">
        <f t="shared" si="576"/>
        <v>46242</v>
      </c>
      <c r="CR162" s="65">
        <f t="shared" ca="1" si="471"/>
        <v>111</v>
      </c>
      <c r="CS162" s="15" t="str">
        <f t="shared" ca="1" si="472"/>
        <v>VIGENTE</v>
      </c>
      <c r="CT162" s="13">
        <v>44651</v>
      </c>
      <c r="CU162" s="14">
        <v>46043</v>
      </c>
      <c r="CV162" s="14">
        <f>DATE(YEAR(CU162)+2,MONTH(CU162),DAY(CU162))</f>
        <v>46773</v>
      </c>
      <c r="CW162" s="65">
        <f t="shared" ca="1" si="473"/>
        <v>642</v>
      </c>
      <c r="CX162" s="15" t="str">
        <f t="shared" ca="1" si="474"/>
        <v>VIGENTE</v>
      </c>
      <c r="CY162" s="13">
        <v>44653</v>
      </c>
      <c r="CZ162" s="14">
        <v>46000</v>
      </c>
      <c r="DA162" s="14">
        <f>DATE(YEAR(CZ162)+2,MONTH(CZ162),DAY(CZ162))</f>
        <v>46730</v>
      </c>
      <c r="DB162" s="65">
        <f t="shared" ca="1" si="475"/>
        <v>599</v>
      </c>
      <c r="DC162" s="15" t="str">
        <f t="shared" ca="1" si="476"/>
        <v>VIGENTE</v>
      </c>
      <c r="DD162" s="13">
        <v>45020</v>
      </c>
      <c r="DE162" s="14">
        <v>45689</v>
      </c>
      <c r="DF162" s="14">
        <f>DATE(YEAR(DE162)+2,MONTH(DE162),DAY(DE162)-1)</f>
        <v>46418</v>
      </c>
      <c r="DG162" s="65">
        <f t="shared" ca="1" si="477"/>
        <v>287</v>
      </c>
      <c r="DH162" s="15" t="str">
        <f t="shared" ca="1" si="478"/>
        <v>VIGENTE</v>
      </c>
      <c r="DI162" s="13">
        <v>44653</v>
      </c>
      <c r="DJ162" s="14">
        <v>45834</v>
      </c>
      <c r="DK162" s="14">
        <f>DATE(YEAR(DJ162)+2,MONTH(DJ162),DAY(DJ162))</f>
        <v>46564</v>
      </c>
      <c r="DL162" s="65">
        <f t="shared" ca="1" si="479"/>
        <v>433</v>
      </c>
      <c r="DM162" s="15" t="str">
        <f t="shared" ca="1" si="480"/>
        <v>VIGENTE</v>
      </c>
      <c r="DN162" s="13">
        <v>44650</v>
      </c>
      <c r="DO162" s="14">
        <v>45982</v>
      </c>
      <c r="DP162" s="14">
        <f>DATE(YEAR(DO162)+2,MONTH(DO162),DAY(DO162))</f>
        <v>46712</v>
      </c>
      <c r="DQ162" s="65">
        <f t="shared" ca="1" si="481"/>
        <v>581</v>
      </c>
      <c r="DR162" s="15" t="str">
        <f t="shared" ca="1" si="482"/>
        <v>VIGENTE</v>
      </c>
      <c r="DS162" s="13">
        <v>45066</v>
      </c>
      <c r="DT162" s="14">
        <v>45685</v>
      </c>
      <c r="DU162" s="14">
        <f>DATE(YEAR(DT162)+2,MONTH(DT162),DAY(DT162)-1)</f>
        <v>46414</v>
      </c>
      <c r="DV162" s="65">
        <f t="shared" ca="1" si="483"/>
        <v>283</v>
      </c>
      <c r="DW162" s="15" t="str">
        <f t="shared" ca="1" si="484"/>
        <v>VIGENTE</v>
      </c>
      <c r="DX162" s="13">
        <v>45089</v>
      </c>
      <c r="DY162" s="14">
        <v>45751</v>
      </c>
      <c r="DZ162" s="14">
        <f>DATE(YEAR(DY162)+2,MONTH(DY162),DAY(DY162)-1)</f>
        <v>46480</v>
      </c>
      <c r="EA162" s="65">
        <f t="shared" ca="1" si="485"/>
        <v>349</v>
      </c>
      <c r="EB162" s="15" t="str">
        <f t="shared" ca="1" si="486"/>
        <v>VIGENTE</v>
      </c>
      <c r="EC162" s="13">
        <v>45090</v>
      </c>
      <c r="ED162" s="14">
        <v>45715</v>
      </c>
      <c r="EE162" s="14">
        <f>DATE(YEAR(ED162)+2,MONTH(ED162),DAY(ED162)-1)</f>
        <v>46444</v>
      </c>
      <c r="EF162" s="65">
        <f t="shared" ca="1" si="487"/>
        <v>313</v>
      </c>
      <c r="EG162" s="15" t="str">
        <f t="shared" ca="1" si="488"/>
        <v>VIGENTE</v>
      </c>
      <c r="EH162" s="13">
        <v>45097</v>
      </c>
      <c r="EI162" s="13">
        <v>46083</v>
      </c>
      <c r="EJ162" s="13">
        <v>46084</v>
      </c>
      <c r="EK162" s="13">
        <v>46085</v>
      </c>
      <c r="EL162" s="14">
        <f t="shared" si="546"/>
        <v>46450</v>
      </c>
      <c r="EM162" s="65">
        <f t="shared" ca="1" si="489"/>
        <v>319</v>
      </c>
      <c r="EN162" s="15" t="str">
        <f t="shared" ca="1" si="490"/>
        <v>VIGENTE</v>
      </c>
      <c r="EO162" s="13">
        <v>45083</v>
      </c>
      <c r="EP162" s="14">
        <v>45754</v>
      </c>
      <c r="EQ162" s="14">
        <f>DATE(YEAR(EP162)+2,MONTH(EP162),DAY(EP162)-1)</f>
        <v>46483</v>
      </c>
      <c r="ER162" s="65">
        <f t="shared" ca="1" si="491"/>
        <v>352</v>
      </c>
      <c r="ES162" s="15" t="str">
        <f t="shared" ca="1" si="492"/>
        <v>VIGENTE</v>
      </c>
      <c r="ET162" s="12">
        <v>45096</v>
      </c>
      <c r="EU162" s="14">
        <v>45755</v>
      </c>
      <c r="EV162" s="14">
        <f>DATE(YEAR(EU162)+2,MONTH(EU162),DAY(EU162)-1)</f>
        <v>46484</v>
      </c>
      <c r="EW162" s="65">
        <f t="shared" ca="1" si="493"/>
        <v>353</v>
      </c>
      <c r="EX162" s="15" t="str">
        <f t="shared" ca="1" si="494"/>
        <v>VIGENTE</v>
      </c>
      <c r="EY162" s="13">
        <v>44608</v>
      </c>
      <c r="EZ162" s="14">
        <v>45917</v>
      </c>
      <c r="FA162" s="14">
        <f t="shared" si="582"/>
        <v>46647</v>
      </c>
      <c r="FB162" s="65">
        <f t="shared" ca="1" si="495"/>
        <v>516</v>
      </c>
      <c r="FC162" s="15" t="str">
        <f t="shared" ca="1" si="496"/>
        <v>VIGENTE</v>
      </c>
      <c r="FD162" s="13">
        <v>45241</v>
      </c>
      <c r="FE162" s="14">
        <v>45951</v>
      </c>
      <c r="FF162" s="14">
        <f t="shared" si="583"/>
        <v>46681</v>
      </c>
      <c r="FG162" s="65">
        <f t="shared" ca="1" si="497"/>
        <v>550</v>
      </c>
      <c r="FH162" s="15" t="str">
        <f t="shared" ca="1" si="498"/>
        <v>VIGENTE</v>
      </c>
      <c r="FI162" s="13">
        <v>45176</v>
      </c>
      <c r="FJ162" s="14">
        <v>45832</v>
      </c>
      <c r="FK162" s="14">
        <f t="shared" si="584"/>
        <v>46562</v>
      </c>
      <c r="FL162" s="65">
        <f t="shared" ca="1" si="499"/>
        <v>431</v>
      </c>
      <c r="FM162" s="15" t="str">
        <f t="shared" ca="1" si="500"/>
        <v>VIGENTE</v>
      </c>
      <c r="FN162" s="13">
        <v>45049</v>
      </c>
      <c r="FO162" s="14">
        <v>45670</v>
      </c>
      <c r="FP162" s="14">
        <f>DATE(YEAR(FO162)+2,MONTH(FO162),DAY(FO162)-1)</f>
        <v>46399</v>
      </c>
      <c r="FQ162" s="65">
        <f t="shared" ca="1" si="501"/>
        <v>268</v>
      </c>
      <c r="FR162" s="15" t="str">
        <f t="shared" ca="1" si="502"/>
        <v>VIGENTE</v>
      </c>
      <c r="FS162" s="13">
        <v>45078</v>
      </c>
      <c r="FT162" s="14">
        <v>45747</v>
      </c>
      <c r="FU162" s="14">
        <f>DATE(YEAR(FT162)+2,MONTH(FT162),DAY(FT162)-1)</f>
        <v>46476</v>
      </c>
      <c r="FV162" s="65">
        <f t="shared" ca="1" si="503"/>
        <v>345</v>
      </c>
      <c r="FW162" s="15" t="str">
        <f t="shared" ca="1" si="504"/>
        <v>VIGENTE</v>
      </c>
      <c r="FX162" s="14">
        <v>44924</v>
      </c>
      <c r="FY162" s="14">
        <v>45574</v>
      </c>
      <c r="FZ162" s="14">
        <f>DATE(YEAR(FY162)+2,MONTH(FY162),DAY(FY162)-1)</f>
        <v>46303</v>
      </c>
      <c r="GA162" s="65">
        <f t="shared" ca="1" si="505"/>
        <v>172</v>
      </c>
      <c r="GB162" s="15" t="str">
        <f t="shared" ca="1" si="506"/>
        <v>VIGENTE</v>
      </c>
      <c r="GC162" s="13">
        <v>45088</v>
      </c>
      <c r="GD162" s="14">
        <v>45722</v>
      </c>
      <c r="GE162" s="14">
        <f>DATE(YEAR(GD162)+2,MONTH(GD162),DAY(GD162)-1)</f>
        <v>46451</v>
      </c>
      <c r="GF162" s="65">
        <f t="shared" ca="1" si="507"/>
        <v>320</v>
      </c>
      <c r="GG162" s="15" t="str">
        <f t="shared" ca="1" si="508"/>
        <v>VIGENTE</v>
      </c>
      <c r="GH162" s="13">
        <v>45094</v>
      </c>
      <c r="GI162" s="14">
        <v>45729</v>
      </c>
      <c r="GJ162" s="14">
        <f>DATE(YEAR(GI162)+2,MONTH(GI162),DAY(GI162)-1)</f>
        <v>46458</v>
      </c>
      <c r="GK162" s="65">
        <f t="shared" ca="1" si="509"/>
        <v>327</v>
      </c>
      <c r="GL162" s="15" t="str">
        <f t="shared" ca="1" si="510"/>
        <v>VIGENTE</v>
      </c>
      <c r="GM162" s="13">
        <v>45182</v>
      </c>
      <c r="GN162" s="14">
        <v>45848</v>
      </c>
      <c r="GO162" s="14">
        <f>DATE(YEAR(GN162)+2,MONTH(GN162),DAY(GN162))</f>
        <v>46578</v>
      </c>
      <c r="GP162" s="65">
        <f t="shared" ca="1" si="511"/>
        <v>447</v>
      </c>
      <c r="GQ162" s="15" t="str">
        <f t="shared" ca="1" si="512"/>
        <v>VIGENTE</v>
      </c>
      <c r="GR162" s="14">
        <v>44758</v>
      </c>
      <c r="GS162" s="14">
        <v>45468</v>
      </c>
      <c r="GT162" s="14">
        <f t="shared" si="513"/>
        <v>47294</v>
      </c>
      <c r="GU162" s="65">
        <f t="shared" ca="1" si="398"/>
        <v>1163</v>
      </c>
      <c r="GV162" s="15" t="str">
        <f t="shared" ca="1" si="411"/>
        <v>VIGENTE</v>
      </c>
      <c r="GW162" s="13"/>
      <c r="GX162" s="14">
        <v>45010</v>
      </c>
      <c r="GY162" s="14">
        <f t="shared" si="514"/>
        <v>46837</v>
      </c>
      <c r="GZ162" s="65">
        <f t="shared" ca="1" si="515"/>
        <v>706</v>
      </c>
      <c r="HA162" s="15" t="str">
        <f t="shared" ca="1" si="418"/>
        <v>VIGENTE</v>
      </c>
      <c r="HB162" s="13">
        <v>44530</v>
      </c>
      <c r="HC162" s="14">
        <v>45251</v>
      </c>
      <c r="HD162" s="14">
        <f t="shared" si="516"/>
        <v>47078</v>
      </c>
      <c r="HE162" s="65">
        <f t="shared" ca="1" si="517"/>
        <v>947</v>
      </c>
      <c r="HF162" s="15" t="str">
        <f t="shared" ca="1" si="413"/>
        <v>VIGENTE</v>
      </c>
      <c r="HG162" s="16"/>
      <c r="HH162" s="16"/>
      <c r="HI162" s="14"/>
      <c r="HJ162" s="65"/>
      <c r="HK162" s="15" t="str">
        <f t="shared" si="419"/>
        <v>NO APLICA</v>
      </c>
      <c r="HL162" s="12"/>
      <c r="HM162" s="16"/>
      <c r="HN162" s="14"/>
      <c r="HO162" s="65"/>
      <c r="HP162" s="15" t="str">
        <f t="shared" si="437"/>
        <v>NO APLICA</v>
      </c>
      <c r="HQ162" s="12"/>
      <c r="HR162" s="12"/>
      <c r="HS162" s="14"/>
      <c r="HT162" s="12"/>
      <c r="HU162" s="15" t="str">
        <f t="shared" si="518"/>
        <v>NO APLICA</v>
      </c>
      <c r="HV162" s="12"/>
      <c r="HW162" s="16"/>
      <c r="HX162" s="14"/>
      <c r="HY162" s="65"/>
      <c r="HZ162" s="15" t="str">
        <f t="shared" si="519"/>
        <v>NO APLICA</v>
      </c>
      <c r="IA162" s="12"/>
      <c r="IB162" s="16"/>
      <c r="IC162" s="14"/>
      <c r="ID162" s="65"/>
      <c r="IE162" s="15" t="str">
        <f t="shared" si="520"/>
        <v>NO APLICA</v>
      </c>
      <c r="IF162" s="12"/>
      <c r="IG162" s="16"/>
      <c r="IH162" s="14"/>
      <c r="II162" s="65"/>
      <c r="IJ162" s="15" t="str">
        <f t="shared" si="521"/>
        <v>NO APLICA</v>
      </c>
      <c r="IK162" s="16"/>
      <c r="IL162" s="16"/>
      <c r="IM162" s="14"/>
      <c r="IN162" s="65"/>
      <c r="IO162" s="15" t="str">
        <f t="shared" si="522"/>
        <v>NO APLICA</v>
      </c>
      <c r="IP162" s="12"/>
      <c r="IQ162" s="16"/>
      <c r="IR162" s="14"/>
      <c r="IS162" s="65"/>
      <c r="IT162" s="15" t="str">
        <f t="shared" si="523"/>
        <v>NO APLICA</v>
      </c>
      <c r="IU162" s="12"/>
      <c r="IV162" s="16"/>
      <c r="IW162" s="14"/>
      <c r="IX162" s="65"/>
      <c r="IY162" s="15" t="str">
        <f t="shared" si="524"/>
        <v>NO APLICA</v>
      </c>
      <c r="IZ162" s="12"/>
      <c r="JA162" s="16"/>
      <c r="JB162" s="14"/>
      <c r="JC162" s="65"/>
      <c r="JD162" s="15" t="str">
        <f t="shared" si="525"/>
        <v>NO APLICA</v>
      </c>
      <c r="JE162" s="13"/>
      <c r="JF162" s="13"/>
      <c r="JG162" s="14"/>
      <c r="JH162" s="65"/>
      <c r="JI162" s="15" t="str">
        <f t="shared" si="526"/>
        <v>NO APLICA</v>
      </c>
      <c r="JJ162" s="16"/>
      <c r="JK162" s="16"/>
      <c r="JL162" s="16"/>
      <c r="JM162" s="15" t="str">
        <f t="shared" si="527"/>
        <v>NO APLICA</v>
      </c>
      <c r="JN162" s="16"/>
      <c r="JO162" s="16"/>
      <c r="JP162" s="16"/>
      <c r="JQ162" s="15" t="str">
        <f t="shared" si="528"/>
        <v>NO APLICA</v>
      </c>
      <c r="JR162" s="16"/>
      <c r="JS162" s="16"/>
      <c r="JT162" s="16"/>
      <c r="JU162" s="16"/>
      <c r="JV162" s="15" t="str">
        <f t="shared" si="529"/>
        <v>NO APLICA</v>
      </c>
      <c r="JW162" s="15"/>
      <c r="JX162" s="15"/>
      <c r="JY162" s="15"/>
      <c r="JZ162" s="15"/>
      <c r="KA162" s="15" t="str">
        <f t="shared" si="530"/>
        <v>NO APLICA</v>
      </c>
      <c r="KB162" s="12"/>
      <c r="KC162" s="14"/>
      <c r="KD162" s="65"/>
      <c r="KE162" s="15" t="str">
        <f t="shared" si="531"/>
        <v>NO APLICA</v>
      </c>
      <c r="KF162" s="12"/>
      <c r="KG162" s="14"/>
      <c r="KH162" s="65"/>
      <c r="KI162" s="15" t="str">
        <f t="shared" si="547"/>
        <v>NO APLICA</v>
      </c>
      <c r="KJ162" s="12"/>
      <c r="KK162" s="14"/>
      <c r="KL162" s="65"/>
      <c r="KM162" s="15" t="str">
        <f t="shared" si="532"/>
        <v>NO APLICA</v>
      </c>
      <c r="KN162" s="13">
        <v>45346</v>
      </c>
      <c r="KO162" s="14">
        <f>DATE(YEAR(KN162)+5,MONTH(KN162),DAY(KN162))</f>
        <v>47173</v>
      </c>
      <c r="KP162" s="65">
        <f ca="1">KO162-TODAY()</f>
        <v>1042</v>
      </c>
      <c r="KQ162" s="15" t="str">
        <f t="shared" ca="1" si="548"/>
        <v>VIGENTE</v>
      </c>
      <c r="KR162" s="12"/>
      <c r="KS162" s="16"/>
      <c r="KT162" s="14"/>
      <c r="KU162" s="65"/>
      <c r="KV162" s="15" t="str">
        <f t="shared" si="554"/>
        <v>NO APLICA</v>
      </c>
      <c r="KW162" s="16"/>
      <c r="KX162" s="14"/>
      <c r="KY162" s="65"/>
      <c r="KZ162" s="15" t="str">
        <f t="shared" si="549"/>
        <v>NO APLICA</v>
      </c>
      <c r="LA162" s="16"/>
      <c r="LB162" s="16"/>
      <c r="LC162" s="14"/>
      <c r="LD162" s="65"/>
      <c r="LE162" s="15" t="str">
        <f t="shared" si="556"/>
        <v>NO APLICA</v>
      </c>
      <c r="LF162" s="15"/>
      <c r="LG162" s="15"/>
      <c r="LH162" s="14"/>
      <c r="LI162" s="65"/>
      <c r="LJ162" s="15" t="str">
        <f t="shared" si="555"/>
        <v>NO APLICA</v>
      </c>
      <c r="LK162" s="12"/>
      <c r="LL162" s="16"/>
      <c r="LM162" s="14"/>
      <c r="LN162" s="65"/>
      <c r="LO162" s="15" t="str">
        <f t="shared" si="550"/>
        <v>NO APLICA</v>
      </c>
      <c r="LP162" s="16"/>
      <c r="LQ162" s="16"/>
      <c r="LR162" s="14"/>
      <c r="LS162" s="65"/>
      <c r="LT162" s="15" t="str">
        <f t="shared" si="551"/>
        <v>NO APLICA</v>
      </c>
      <c r="LU162" s="16"/>
      <c r="LV162" s="16"/>
      <c r="LW162" s="14"/>
      <c r="LX162" s="65"/>
      <c r="LY162" s="15" t="str">
        <f t="shared" si="552"/>
        <v>NO APLICA</v>
      </c>
      <c r="LZ162" s="12"/>
      <c r="MA162" s="12"/>
      <c r="MB162" s="14"/>
      <c r="MC162" s="65"/>
      <c r="MD162" s="15" t="str">
        <f t="shared" si="534"/>
        <v>NO APLICA</v>
      </c>
      <c r="ME162" s="12"/>
      <c r="MF162" s="12"/>
      <c r="MG162" s="14"/>
      <c r="MH162" s="65"/>
      <c r="MI162" s="15" t="str">
        <f t="shared" si="535"/>
        <v>NO APLICA</v>
      </c>
      <c r="MJ162" s="12"/>
      <c r="MK162" s="14"/>
      <c r="ML162" s="65"/>
      <c r="MM162" s="15" t="str">
        <f t="shared" si="536"/>
        <v>NO APLICA</v>
      </c>
      <c r="MN162" s="12"/>
      <c r="MO162" s="14"/>
      <c r="MP162" s="12"/>
      <c r="MQ162" s="15" t="str">
        <f t="shared" si="537"/>
        <v>NO APLICA</v>
      </c>
      <c r="MR162" s="12"/>
      <c r="MS162" s="16"/>
      <c r="MT162" s="14"/>
      <c r="MU162" s="65"/>
      <c r="MV162" s="15" t="str">
        <f t="shared" si="538"/>
        <v>NO APLICA</v>
      </c>
      <c r="MW162" s="12"/>
      <c r="MX162" s="16"/>
      <c r="MY162" s="14"/>
      <c r="MZ162" s="65"/>
      <c r="NA162" s="15" t="str">
        <f t="shared" si="539"/>
        <v>NO APLICA</v>
      </c>
      <c r="NB162" s="12"/>
      <c r="NC162" s="16"/>
      <c r="ND162" s="14"/>
      <c r="NE162" s="65"/>
      <c r="NF162" s="15" t="str">
        <f t="shared" si="540"/>
        <v>NO APLICA</v>
      </c>
      <c r="NG162" s="12"/>
      <c r="NH162" s="12"/>
      <c r="NI162" s="14"/>
      <c r="NJ162" s="65"/>
      <c r="NK162" s="15" t="str">
        <f t="shared" si="541"/>
        <v>NO APLICA</v>
      </c>
      <c r="NL162" s="12"/>
      <c r="NM162" s="12"/>
      <c r="NN162" s="14"/>
      <c r="NO162" s="12"/>
      <c r="NP162" s="15" t="str">
        <f t="shared" si="542"/>
        <v>NO APLICA</v>
      </c>
      <c r="NQ162" s="16"/>
      <c r="NR162" s="16"/>
      <c r="NS162" s="14"/>
      <c r="NT162" s="65"/>
      <c r="NU162" s="15" t="str">
        <f t="shared" si="543"/>
        <v>NO APLICA</v>
      </c>
      <c r="NV162" s="16"/>
      <c r="NW162" s="16"/>
      <c r="NX162" s="16"/>
      <c r="NY162" s="16"/>
      <c r="NZ162" s="15" t="str">
        <f t="shared" si="544"/>
        <v>NO APLICA</v>
      </c>
    </row>
    <row r="163" spans="1:390" ht="15.6" thickTop="1" thickBot="1" x14ac:dyDescent="0.35">
      <c r="A163" s="11">
        <v>1698</v>
      </c>
      <c r="B163" s="10" t="s">
        <v>586</v>
      </c>
      <c r="C163" s="21" t="s">
        <v>104</v>
      </c>
      <c r="D163" s="64" t="s">
        <v>110</v>
      </c>
      <c r="E163" s="15"/>
      <c r="F163" s="16"/>
      <c r="G163" s="14"/>
      <c r="H163" s="65"/>
      <c r="I163" s="15" t="str">
        <f t="shared" si="448"/>
        <v>NO APLICA</v>
      </c>
      <c r="J163" s="15"/>
      <c r="K163" s="16"/>
      <c r="L163" s="16"/>
      <c r="M163" s="65"/>
      <c r="N163" s="15" t="str">
        <f t="shared" si="449"/>
        <v>NO APLICA</v>
      </c>
      <c r="O163" s="14">
        <v>45208</v>
      </c>
      <c r="P163" s="14"/>
      <c r="Q163" s="14"/>
      <c r="R163" s="65"/>
      <c r="S163" s="15" t="str">
        <f t="shared" si="545"/>
        <v>NO APLICA</v>
      </c>
      <c r="T163" s="12" t="s">
        <v>587</v>
      </c>
      <c r="U163" s="13">
        <v>45155</v>
      </c>
      <c r="V163" s="14">
        <v>45156</v>
      </c>
      <c r="W163" s="14">
        <f t="shared" si="577"/>
        <v>46983</v>
      </c>
      <c r="X163" s="65">
        <f t="shared" ca="1" si="578"/>
        <v>852</v>
      </c>
      <c r="Y163" s="15" t="str">
        <f t="shared" ca="1" si="403"/>
        <v>VIGENTE</v>
      </c>
      <c r="Z163" s="12" t="s">
        <v>588</v>
      </c>
      <c r="AA163" s="13">
        <v>45161</v>
      </c>
      <c r="AB163" s="14">
        <v>45162</v>
      </c>
      <c r="AC163" s="14">
        <f>DATE(YEAR(AB163)+5,MONTH(AB163),DAY(AB163))</f>
        <v>46989</v>
      </c>
      <c r="AD163" s="65">
        <f ca="1">AC163-TODAY()</f>
        <v>858</v>
      </c>
      <c r="AE163" s="15" t="str">
        <f t="shared" ca="1" si="574"/>
        <v>VIGENTE</v>
      </c>
      <c r="AF163" s="13">
        <v>45314</v>
      </c>
      <c r="AG163" s="14">
        <v>46006</v>
      </c>
      <c r="AH163" s="14">
        <f>DATE(YEAR(AG163)+2,MONTH(AG163),DAY(AG163))</f>
        <v>46736</v>
      </c>
      <c r="AI163" s="65">
        <f t="shared" ca="1" si="450"/>
        <v>605</v>
      </c>
      <c r="AJ163" s="15" t="str">
        <f t="shared" ca="1" si="399"/>
        <v>VIGENTE</v>
      </c>
      <c r="AK163" s="13">
        <v>45269</v>
      </c>
      <c r="AL163" s="14">
        <v>45926</v>
      </c>
      <c r="AM163" s="14">
        <f>DATE(YEAR(AL163)+2,MONTH(AL163),DAY(AL163))</f>
        <v>46656</v>
      </c>
      <c r="AN163" s="65">
        <f t="shared" ca="1" si="451"/>
        <v>525</v>
      </c>
      <c r="AO163" s="15" t="str">
        <f t="shared" ca="1" si="452"/>
        <v>VIGENTE</v>
      </c>
      <c r="AP163" s="13">
        <v>45258</v>
      </c>
      <c r="AQ163" s="14">
        <v>45904</v>
      </c>
      <c r="AR163" s="14">
        <f>DATE(YEAR(AQ163)+2,MONTH(AQ163),DAY(AQ163))</f>
        <v>46634</v>
      </c>
      <c r="AS163" s="65">
        <f t="shared" ca="1" si="453"/>
        <v>503</v>
      </c>
      <c r="AT163" s="15" t="str">
        <f t="shared" ca="1" si="454"/>
        <v>VIGENTE</v>
      </c>
      <c r="AU163" s="13">
        <v>45323</v>
      </c>
      <c r="AV163" s="14">
        <v>45972</v>
      </c>
      <c r="AW163" s="14">
        <f>DATE(YEAR(AV163)+2,MONTH(AV163),DAY(AV163))</f>
        <v>46702</v>
      </c>
      <c r="AX163" s="65">
        <f t="shared" ca="1" si="455"/>
        <v>571</v>
      </c>
      <c r="AY163" s="15" t="str">
        <f t="shared" ca="1" si="456"/>
        <v>VIGENTE</v>
      </c>
      <c r="AZ163" s="13"/>
      <c r="BA163" s="14">
        <v>45943</v>
      </c>
      <c r="BB163" s="14">
        <f>DATE(YEAR(BA163)+2,MONTH(BA163),DAY(BA163))</f>
        <v>46673</v>
      </c>
      <c r="BC163" s="65">
        <f t="shared" ca="1" si="457"/>
        <v>542</v>
      </c>
      <c r="BD163" s="15" t="str">
        <f t="shared" ca="1" si="458"/>
        <v>VIGENTE</v>
      </c>
      <c r="BE163" s="13">
        <v>45177</v>
      </c>
      <c r="BF163" s="14">
        <v>45842</v>
      </c>
      <c r="BG163" s="14">
        <f>DATE(YEAR(BF163)+2,MONTH(BF163),DAY(BF163))</f>
        <v>46572</v>
      </c>
      <c r="BH163" s="65">
        <f t="shared" ca="1" si="459"/>
        <v>441</v>
      </c>
      <c r="BI163" s="15" t="str">
        <f t="shared" ca="1" si="460"/>
        <v>VIGENTE</v>
      </c>
      <c r="BJ163" s="13">
        <v>45306</v>
      </c>
      <c r="BK163" s="14">
        <v>45976</v>
      </c>
      <c r="BL163" s="14">
        <f>DATE(YEAR(BK163)+2,MONTH(BK163),DAY(BK163))</f>
        <v>46706</v>
      </c>
      <c r="BM163" s="65">
        <f t="shared" ca="1" si="461"/>
        <v>575</v>
      </c>
      <c r="BN163" s="15" t="str">
        <f t="shared" ca="1" si="462"/>
        <v>VIGENTE</v>
      </c>
      <c r="BO163" s="13">
        <v>45190</v>
      </c>
      <c r="BP163" s="14">
        <v>45841</v>
      </c>
      <c r="BQ163" s="14">
        <f>DATE(YEAR(BP163)+2,MONTH(BP163),DAY(BP163))</f>
        <v>46571</v>
      </c>
      <c r="BR163" s="65">
        <f t="shared" ca="1" si="463"/>
        <v>440</v>
      </c>
      <c r="BS163" s="15" t="str">
        <f t="shared" ca="1" si="464"/>
        <v>VIGENTE</v>
      </c>
      <c r="BT163" s="12"/>
      <c r="BU163" s="14">
        <v>45950</v>
      </c>
      <c r="BV163" s="14">
        <f>DATE(YEAR(BU163)+2,MONTH(BU163),DAY(BU163))</f>
        <v>46680</v>
      </c>
      <c r="BW163" s="65">
        <f t="shared" ca="1" si="465"/>
        <v>549</v>
      </c>
      <c r="BX163" s="15" t="str">
        <f t="shared" ca="1" si="466"/>
        <v>VIGENTE</v>
      </c>
      <c r="BY163" s="13">
        <v>45218</v>
      </c>
      <c r="BZ163" s="14">
        <v>45894</v>
      </c>
      <c r="CA163" s="14">
        <f t="shared" si="579"/>
        <v>46624</v>
      </c>
      <c r="CB163" s="65">
        <f t="shared" ca="1" si="467"/>
        <v>493</v>
      </c>
      <c r="CC163" s="15" t="str">
        <f t="shared" ca="1" si="468"/>
        <v>VIGENTE</v>
      </c>
      <c r="CD163" s="16" t="s">
        <v>108</v>
      </c>
      <c r="CE163" s="14">
        <v>45163</v>
      </c>
      <c r="CF163" s="14">
        <v>45164</v>
      </c>
      <c r="CG163" s="14">
        <f t="shared" si="580"/>
        <v>46625</v>
      </c>
      <c r="CH163" s="65">
        <f t="shared" ca="1" si="581"/>
        <v>494</v>
      </c>
      <c r="CI163" s="15" t="str">
        <f t="shared" ca="1" si="562"/>
        <v>VIGENTE</v>
      </c>
      <c r="CJ163" s="16"/>
      <c r="CK163" s="14">
        <v>45929</v>
      </c>
      <c r="CL163" s="14">
        <f>DATE(YEAR(CK163)+2,MONTH(CK163),DAY(CK163))</f>
        <v>46659</v>
      </c>
      <c r="CM163" s="65">
        <f t="shared" ca="1" si="469"/>
        <v>528</v>
      </c>
      <c r="CN163" s="15" t="str">
        <f t="shared" ca="1" si="470"/>
        <v>VIGENTE</v>
      </c>
      <c r="CO163" s="13">
        <v>45246</v>
      </c>
      <c r="CP163" s="14">
        <v>45898</v>
      </c>
      <c r="CQ163" s="14">
        <f>DATE(YEAR(CP163)+2,MONTH(CP163),DAY(CP163))</f>
        <v>46628</v>
      </c>
      <c r="CR163" s="65">
        <f t="shared" ca="1" si="471"/>
        <v>497</v>
      </c>
      <c r="CS163" s="15" t="str">
        <f t="shared" ca="1" si="472"/>
        <v>VIGENTE</v>
      </c>
      <c r="CT163" s="13">
        <v>45287</v>
      </c>
      <c r="CU163" s="14">
        <v>45965</v>
      </c>
      <c r="CV163" s="14">
        <f>DATE(YEAR(CU163)+2,MONTH(CU163),DAY(CU163))</f>
        <v>46695</v>
      </c>
      <c r="CW163" s="65">
        <f t="shared" ca="1" si="473"/>
        <v>564</v>
      </c>
      <c r="CX163" s="15" t="str">
        <f t="shared" ca="1" si="474"/>
        <v>VIGENTE</v>
      </c>
      <c r="CY163" s="13"/>
      <c r="CZ163" s="14">
        <v>46000</v>
      </c>
      <c r="DA163" s="14">
        <f>DATE(YEAR(CZ163)+2,MONTH(CZ163),DAY(CZ163))</f>
        <v>46730</v>
      </c>
      <c r="DB163" s="65">
        <f t="shared" ca="1" si="475"/>
        <v>599</v>
      </c>
      <c r="DC163" s="15" t="str">
        <f t="shared" ca="1" si="476"/>
        <v>VIGENTE</v>
      </c>
      <c r="DD163" s="13">
        <v>45181</v>
      </c>
      <c r="DE163" s="14">
        <v>45836</v>
      </c>
      <c r="DF163" s="14">
        <f>DATE(YEAR(DE163)+2,MONTH(DE163),DAY(DE163))</f>
        <v>46566</v>
      </c>
      <c r="DG163" s="65">
        <f t="shared" ca="1" si="477"/>
        <v>435</v>
      </c>
      <c r="DH163" s="15" t="str">
        <f t="shared" ca="1" si="478"/>
        <v>VIGENTE</v>
      </c>
      <c r="DI163" s="13">
        <v>45167</v>
      </c>
      <c r="DJ163" s="14">
        <v>45779</v>
      </c>
      <c r="DK163" s="14">
        <f>DATE(YEAR(DJ163)+2,MONTH(DJ163),DAY(DJ163))</f>
        <v>46509</v>
      </c>
      <c r="DL163" s="65">
        <f t="shared" ca="1" si="479"/>
        <v>378</v>
      </c>
      <c r="DM163" s="15" t="str">
        <f t="shared" ca="1" si="480"/>
        <v>VIGENTE</v>
      </c>
      <c r="DN163" s="13">
        <v>45325</v>
      </c>
      <c r="DO163" s="14">
        <v>45982</v>
      </c>
      <c r="DP163" s="14">
        <f>DATE(YEAR(DO163)+2,MONTH(DO163),DAY(DO163))</f>
        <v>46712</v>
      </c>
      <c r="DQ163" s="65">
        <f t="shared" ca="1" si="481"/>
        <v>581</v>
      </c>
      <c r="DR163" s="15" t="str">
        <f t="shared" ca="1" si="482"/>
        <v>VIGENTE</v>
      </c>
      <c r="DS163" s="14">
        <v>45336</v>
      </c>
      <c r="DT163" s="14">
        <v>46018</v>
      </c>
      <c r="DU163" s="14">
        <f>DATE(YEAR(DT163)+2,MONTH(DT163),DAY(DT163))</f>
        <v>46748</v>
      </c>
      <c r="DV163" s="65">
        <f t="shared" ca="1" si="483"/>
        <v>617</v>
      </c>
      <c r="DW163" s="15" t="str">
        <f t="shared" ca="1" si="484"/>
        <v>VIGENTE</v>
      </c>
      <c r="DX163" s="13">
        <v>45260</v>
      </c>
      <c r="DY163" s="14">
        <v>45915</v>
      </c>
      <c r="DZ163" s="14">
        <f>DATE(YEAR(DY163)+2,MONTH(DY163),DAY(DY163))</f>
        <v>46645</v>
      </c>
      <c r="EA163" s="65">
        <f t="shared" ca="1" si="485"/>
        <v>514</v>
      </c>
      <c r="EB163" s="15" t="str">
        <f t="shared" ca="1" si="486"/>
        <v>VIGENTE</v>
      </c>
      <c r="EC163" s="13">
        <v>45255</v>
      </c>
      <c r="ED163" s="14">
        <v>45913</v>
      </c>
      <c r="EE163" s="14">
        <f>DATE(YEAR(ED163)+2,MONTH(ED163),DAY(ED163))</f>
        <v>46643</v>
      </c>
      <c r="EF163" s="65">
        <f t="shared" ca="1" si="487"/>
        <v>512</v>
      </c>
      <c r="EG163" s="15" t="str">
        <f t="shared" ca="1" si="488"/>
        <v>VIGENTE</v>
      </c>
      <c r="EH163" s="13">
        <v>45253</v>
      </c>
      <c r="EI163" s="13">
        <v>45810</v>
      </c>
      <c r="EJ163" s="13">
        <v>45811</v>
      </c>
      <c r="EK163" s="14">
        <v>45812</v>
      </c>
      <c r="EL163" s="14">
        <f t="shared" si="546"/>
        <v>46177</v>
      </c>
      <c r="EM163" s="65">
        <f t="shared" ca="1" si="489"/>
        <v>46</v>
      </c>
      <c r="EN163" s="15" t="str">
        <f t="shared" ca="1" si="490"/>
        <v>POR VENCER</v>
      </c>
      <c r="EO163" s="13"/>
      <c r="EP163" s="14">
        <v>45940</v>
      </c>
      <c r="EQ163" s="14">
        <f>DATE(YEAR(EP163)+2,MONTH(EP163),DAY(EP163))</f>
        <v>46670</v>
      </c>
      <c r="ER163" s="65">
        <f t="shared" ca="1" si="491"/>
        <v>539</v>
      </c>
      <c r="ES163" s="15" t="str">
        <f t="shared" ca="1" si="492"/>
        <v>VIGENTE</v>
      </c>
      <c r="ET163" s="13">
        <v>45178</v>
      </c>
      <c r="EU163" s="14">
        <v>45824</v>
      </c>
      <c r="EV163" s="14">
        <f>DATE(YEAR(EU163)+2,MONTH(EU163),DAY(EU163))</f>
        <v>46554</v>
      </c>
      <c r="EW163" s="65">
        <f t="shared" ca="1" si="493"/>
        <v>423</v>
      </c>
      <c r="EX163" s="15" t="str">
        <f t="shared" ca="1" si="494"/>
        <v>VIGENTE</v>
      </c>
      <c r="EY163" s="12"/>
      <c r="EZ163" s="14">
        <v>45953</v>
      </c>
      <c r="FA163" s="14">
        <f t="shared" si="582"/>
        <v>46683</v>
      </c>
      <c r="FB163" s="65">
        <f t="shared" ca="1" si="495"/>
        <v>552</v>
      </c>
      <c r="FC163" s="15" t="str">
        <f t="shared" ca="1" si="496"/>
        <v>VIGENTE</v>
      </c>
      <c r="FD163" s="13">
        <v>45280</v>
      </c>
      <c r="FE163" s="14">
        <v>45931</v>
      </c>
      <c r="FF163" s="14">
        <f t="shared" si="583"/>
        <v>46661</v>
      </c>
      <c r="FG163" s="65">
        <f t="shared" ca="1" si="497"/>
        <v>530</v>
      </c>
      <c r="FH163" s="15" t="str">
        <f t="shared" ca="1" si="498"/>
        <v>VIGENTE</v>
      </c>
      <c r="FI163" s="13">
        <v>45330</v>
      </c>
      <c r="FJ163" s="14">
        <v>45969</v>
      </c>
      <c r="FK163" s="14">
        <f t="shared" si="584"/>
        <v>46699</v>
      </c>
      <c r="FL163" s="65">
        <f t="shared" ca="1" si="499"/>
        <v>568</v>
      </c>
      <c r="FM163" s="15" t="str">
        <f t="shared" ca="1" si="500"/>
        <v>VIGENTE</v>
      </c>
      <c r="FN163" s="13"/>
      <c r="FO163" s="14">
        <v>45933</v>
      </c>
      <c r="FP163" s="14">
        <f>DATE(YEAR(FO163)+2,MONTH(FO163),DAY(FO163))</f>
        <v>46663</v>
      </c>
      <c r="FQ163" s="65">
        <f t="shared" ca="1" si="501"/>
        <v>532</v>
      </c>
      <c r="FR163" s="15" t="str">
        <f t="shared" ca="1" si="502"/>
        <v>VIGENTE</v>
      </c>
      <c r="FS163" s="13">
        <v>45304</v>
      </c>
      <c r="FT163" s="14">
        <v>45957</v>
      </c>
      <c r="FU163" s="14">
        <f>DATE(YEAR(FT163)+2,MONTH(FT163),DAY(FT163))</f>
        <v>46687</v>
      </c>
      <c r="FV163" s="65">
        <f t="shared" ca="1" si="503"/>
        <v>556</v>
      </c>
      <c r="FW163" s="15" t="str">
        <f t="shared" ca="1" si="504"/>
        <v>VIGENTE</v>
      </c>
      <c r="FX163" s="13"/>
      <c r="FY163" s="14">
        <v>45993</v>
      </c>
      <c r="FZ163" s="14">
        <f>DATE(YEAR(FY163)+2,MONTH(FY163),DAY(FY163))</f>
        <v>46723</v>
      </c>
      <c r="GA163" s="65">
        <f t="shared" ca="1" si="505"/>
        <v>592</v>
      </c>
      <c r="GB163" s="15" t="str">
        <f t="shared" ca="1" si="506"/>
        <v>VIGENTE</v>
      </c>
      <c r="GC163" s="13"/>
      <c r="GD163" s="14">
        <v>45925</v>
      </c>
      <c r="GE163" s="14">
        <f>DATE(YEAR(GD163)+2,MONTH(GD163),DAY(GD163))</f>
        <v>46655</v>
      </c>
      <c r="GF163" s="65">
        <f t="shared" ca="1" si="507"/>
        <v>524</v>
      </c>
      <c r="GG163" s="15" t="str">
        <f t="shared" ca="1" si="508"/>
        <v>VIGENTE</v>
      </c>
      <c r="GH163" s="13">
        <v>45332</v>
      </c>
      <c r="GI163" s="14">
        <v>45960</v>
      </c>
      <c r="GJ163" s="14">
        <f>DATE(YEAR(GI163)+2,MONTH(GI163),DAY(GI163))</f>
        <v>46690</v>
      </c>
      <c r="GK163" s="65">
        <f t="shared" ca="1" si="509"/>
        <v>559</v>
      </c>
      <c r="GL163" s="15" t="str">
        <f t="shared" ca="1" si="510"/>
        <v>VIGENTE</v>
      </c>
      <c r="GM163" s="13">
        <v>45247</v>
      </c>
      <c r="GN163" s="14">
        <v>45923</v>
      </c>
      <c r="GO163" s="14">
        <f>DATE(YEAR(GN163)+2,MONTH(GN163),DAY(GN163))</f>
        <v>46653</v>
      </c>
      <c r="GP163" s="65">
        <f t="shared" ca="1" si="511"/>
        <v>522</v>
      </c>
      <c r="GQ163" s="15" t="str">
        <f t="shared" ca="1" si="512"/>
        <v>VIGENTE</v>
      </c>
      <c r="GR163" s="14"/>
      <c r="GS163" s="14">
        <v>45265</v>
      </c>
      <c r="GT163" s="14">
        <f t="shared" si="513"/>
        <v>47092</v>
      </c>
      <c r="GU163" s="65">
        <f t="shared" ca="1" si="398"/>
        <v>961</v>
      </c>
      <c r="GV163" s="15" t="str">
        <f t="shared" ca="1" si="411"/>
        <v>VIGENTE</v>
      </c>
      <c r="GW163" s="13"/>
      <c r="GX163" s="14">
        <v>45245</v>
      </c>
      <c r="GY163" s="14">
        <f t="shared" si="514"/>
        <v>47072</v>
      </c>
      <c r="GZ163" s="65">
        <f t="shared" ca="1" si="515"/>
        <v>941</v>
      </c>
      <c r="HA163" s="15" t="str">
        <f t="shared" ca="1" si="418"/>
        <v>VIGENTE</v>
      </c>
      <c r="HB163" s="12"/>
      <c r="HC163" s="14">
        <v>45249</v>
      </c>
      <c r="HD163" s="14">
        <f t="shared" si="516"/>
        <v>47076</v>
      </c>
      <c r="HE163" s="65">
        <f t="shared" ca="1" si="517"/>
        <v>945</v>
      </c>
      <c r="HF163" s="15" t="str">
        <f t="shared" ca="1" si="413"/>
        <v>VIGENTE</v>
      </c>
      <c r="HG163" s="16"/>
      <c r="HH163" s="14">
        <v>45222</v>
      </c>
      <c r="HI163" s="14">
        <f>DATE(YEAR(HH163)+5,MONTH(HH163),DAY(HH163))</f>
        <v>47049</v>
      </c>
      <c r="HJ163" s="65">
        <f ca="1">HI163-TODAY()</f>
        <v>918</v>
      </c>
      <c r="HK163" s="15" t="str">
        <f t="shared" ca="1" si="419"/>
        <v>VIGENTE</v>
      </c>
      <c r="HL163" s="12"/>
      <c r="HM163" s="16"/>
      <c r="HN163" s="14"/>
      <c r="HO163" s="65"/>
      <c r="HP163" s="15" t="str">
        <f t="shared" si="437"/>
        <v>NO APLICA</v>
      </c>
      <c r="HQ163" s="12"/>
      <c r="HR163" s="12"/>
      <c r="HS163" s="14"/>
      <c r="HT163" s="12"/>
      <c r="HU163" s="15" t="str">
        <f t="shared" si="518"/>
        <v>NO APLICA</v>
      </c>
      <c r="HV163" s="12"/>
      <c r="HW163" s="16"/>
      <c r="HX163" s="14"/>
      <c r="HY163" s="65"/>
      <c r="HZ163" s="15" t="str">
        <f t="shared" si="519"/>
        <v>NO APLICA</v>
      </c>
      <c r="IA163" s="12"/>
      <c r="IB163" s="16"/>
      <c r="IC163" s="14"/>
      <c r="ID163" s="65"/>
      <c r="IE163" s="15" t="str">
        <f t="shared" si="520"/>
        <v>NO APLICA</v>
      </c>
      <c r="IF163" s="12"/>
      <c r="IG163" s="16"/>
      <c r="IH163" s="14"/>
      <c r="II163" s="65"/>
      <c r="IJ163" s="15" t="str">
        <f t="shared" si="521"/>
        <v>NO APLICA</v>
      </c>
      <c r="IK163" s="16"/>
      <c r="IL163" s="16"/>
      <c r="IM163" s="14"/>
      <c r="IN163" s="65"/>
      <c r="IO163" s="15" t="str">
        <f t="shared" si="522"/>
        <v>NO APLICA</v>
      </c>
      <c r="IP163" s="12"/>
      <c r="IQ163" s="16"/>
      <c r="IR163" s="14"/>
      <c r="IS163" s="65"/>
      <c r="IT163" s="15" t="str">
        <f t="shared" si="523"/>
        <v>NO APLICA</v>
      </c>
      <c r="IU163" s="12"/>
      <c r="IV163" s="16"/>
      <c r="IW163" s="14"/>
      <c r="IX163" s="65"/>
      <c r="IY163" s="15" t="str">
        <f t="shared" si="524"/>
        <v>NO APLICA</v>
      </c>
      <c r="IZ163" s="12"/>
      <c r="JA163" s="16"/>
      <c r="JB163" s="14"/>
      <c r="JC163" s="65"/>
      <c r="JD163" s="15" t="str">
        <f t="shared" si="525"/>
        <v>NO APLICA</v>
      </c>
      <c r="JE163" s="13"/>
      <c r="JF163" s="13"/>
      <c r="JG163" s="14"/>
      <c r="JH163" s="65"/>
      <c r="JI163" s="15" t="str">
        <f t="shared" si="526"/>
        <v>NO APLICA</v>
      </c>
      <c r="JJ163" s="16"/>
      <c r="JK163" s="16"/>
      <c r="JL163" s="16"/>
      <c r="JM163" s="15" t="str">
        <f t="shared" si="527"/>
        <v>NO APLICA</v>
      </c>
      <c r="JN163" s="16"/>
      <c r="JO163" s="16"/>
      <c r="JP163" s="16"/>
      <c r="JQ163" s="15" t="str">
        <f t="shared" si="528"/>
        <v>NO APLICA</v>
      </c>
      <c r="JR163" s="16"/>
      <c r="JS163" s="16"/>
      <c r="JT163" s="16"/>
      <c r="JU163" s="16"/>
      <c r="JV163" s="15" t="str">
        <f t="shared" si="529"/>
        <v>NO APLICA</v>
      </c>
      <c r="JW163" s="15"/>
      <c r="JX163" s="15"/>
      <c r="JY163" s="15"/>
      <c r="JZ163" s="15"/>
      <c r="KA163" s="15" t="str">
        <f t="shared" si="530"/>
        <v>NO APLICA</v>
      </c>
      <c r="KB163" s="12"/>
      <c r="KC163" s="14"/>
      <c r="KD163" s="65"/>
      <c r="KE163" s="15" t="str">
        <f t="shared" si="531"/>
        <v>NO APLICA</v>
      </c>
      <c r="KF163" s="12"/>
      <c r="KG163" s="14"/>
      <c r="KH163" s="65"/>
      <c r="KI163" s="15" t="str">
        <f t="shared" si="547"/>
        <v>NO APLICA</v>
      </c>
      <c r="KJ163" s="12"/>
      <c r="KK163" s="14"/>
      <c r="KL163" s="65"/>
      <c r="KM163" s="15" t="str">
        <f t="shared" si="532"/>
        <v>NO APLICA</v>
      </c>
      <c r="KN163" s="12"/>
      <c r="KO163" s="14"/>
      <c r="KP163" s="65"/>
      <c r="KQ163" s="15" t="str">
        <f t="shared" si="548"/>
        <v>NO APLICA</v>
      </c>
      <c r="KR163" s="12"/>
      <c r="KS163" s="16"/>
      <c r="KT163" s="14"/>
      <c r="KU163" s="65"/>
      <c r="KV163" s="15" t="str">
        <f t="shared" si="554"/>
        <v>NO APLICA</v>
      </c>
      <c r="KW163" s="16"/>
      <c r="KX163" s="14"/>
      <c r="KY163" s="65"/>
      <c r="KZ163" s="15" t="str">
        <f t="shared" si="549"/>
        <v>NO APLICA</v>
      </c>
      <c r="LA163" s="16"/>
      <c r="LB163" s="14">
        <v>45615</v>
      </c>
      <c r="LC163" s="14">
        <f>DATE(YEAR(LB163)+2,MONTH(LB163),DAY(LB163))</f>
        <v>46345</v>
      </c>
      <c r="LD163" s="65">
        <f ca="1">LC163-TODAY()</f>
        <v>214</v>
      </c>
      <c r="LE163" s="15" t="str">
        <f t="shared" ca="1" si="556"/>
        <v>VIGENTE</v>
      </c>
      <c r="LF163" s="15"/>
      <c r="LG163" s="15"/>
      <c r="LH163" s="15"/>
      <c r="LI163" s="15"/>
      <c r="LJ163" s="15" t="str">
        <f t="shared" si="555"/>
        <v>NO APLICA</v>
      </c>
      <c r="LK163" s="12"/>
      <c r="LL163" s="16"/>
      <c r="LM163" s="14"/>
      <c r="LN163" s="65"/>
      <c r="LO163" s="15" t="str">
        <f t="shared" si="550"/>
        <v>NO APLICA</v>
      </c>
      <c r="LP163" s="16"/>
      <c r="LQ163" s="16"/>
      <c r="LR163" s="14"/>
      <c r="LS163" s="65"/>
      <c r="LT163" s="15" t="str">
        <f t="shared" si="551"/>
        <v>NO APLICA</v>
      </c>
      <c r="LU163" s="16"/>
      <c r="LV163" s="16"/>
      <c r="LW163" s="14"/>
      <c r="LX163" s="65"/>
      <c r="LY163" s="15" t="str">
        <f t="shared" si="552"/>
        <v>NO APLICA</v>
      </c>
      <c r="LZ163" s="12"/>
      <c r="MA163" s="12"/>
      <c r="MB163" s="14"/>
      <c r="MC163" s="65"/>
      <c r="MD163" s="15" t="str">
        <f t="shared" si="534"/>
        <v>NO APLICA</v>
      </c>
      <c r="ME163" s="12"/>
      <c r="MF163" s="12"/>
      <c r="MG163" s="14"/>
      <c r="MH163" s="65"/>
      <c r="MI163" s="15" t="str">
        <f t="shared" si="535"/>
        <v>NO APLICA</v>
      </c>
      <c r="MJ163" s="12"/>
      <c r="MK163" s="14"/>
      <c r="ML163" s="65"/>
      <c r="MM163" s="15" t="str">
        <f t="shared" si="536"/>
        <v>NO APLICA</v>
      </c>
      <c r="MN163" s="12"/>
      <c r="MO163" s="14"/>
      <c r="MP163" s="12"/>
      <c r="MQ163" s="15" t="str">
        <f t="shared" si="537"/>
        <v>NO APLICA</v>
      </c>
      <c r="MR163" s="12"/>
      <c r="MS163" s="16"/>
      <c r="MT163" s="14"/>
      <c r="MU163" s="65"/>
      <c r="MV163" s="15" t="str">
        <f t="shared" si="538"/>
        <v>NO APLICA</v>
      </c>
      <c r="MW163" s="12"/>
      <c r="MX163" s="16"/>
      <c r="MY163" s="14"/>
      <c r="MZ163" s="65"/>
      <c r="NA163" s="15" t="str">
        <f t="shared" si="539"/>
        <v>NO APLICA</v>
      </c>
      <c r="NB163" s="12"/>
      <c r="NC163" s="16"/>
      <c r="ND163" s="14"/>
      <c r="NE163" s="65"/>
      <c r="NF163" s="15" t="str">
        <f t="shared" si="540"/>
        <v>NO APLICA</v>
      </c>
      <c r="NG163" s="12"/>
      <c r="NH163" s="12"/>
      <c r="NI163" s="14"/>
      <c r="NJ163" s="65"/>
      <c r="NK163" s="15" t="str">
        <f t="shared" si="541"/>
        <v>NO APLICA</v>
      </c>
      <c r="NL163" s="12"/>
      <c r="NM163" s="12"/>
      <c r="NN163" s="14"/>
      <c r="NO163" s="12"/>
      <c r="NP163" s="15" t="str">
        <f t="shared" si="542"/>
        <v>NO APLICA</v>
      </c>
      <c r="NQ163" s="16"/>
      <c r="NR163" s="16"/>
      <c r="NS163" s="14"/>
      <c r="NT163" s="65"/>
      <c r="NU163" s="15" t="str">
        <f t="shared" si="543"/>
        <v>NO APLICA</v>
      </c>
      <c r="NV163" s="16"/>
      <c r="NW163" s="16"/>
      <c r="NX163" s="16"/>
      <c r="NY163" s="16"/>
      <c r="NZ163" s="15" t="str">
        <f t="shared" si="544"/>
        <v>NO APLICA</v>
      </c>
    </row>
    <row r="164" spans="1:390" ht="15.6" thickTop="1" thickBot="1" x14ac:dyDescent="0.35">
      <c r="A164" s="9">
        <v>1300</v>
      </c>
      <c r="B164" s="10" t="s">
        <v>589</v>
      </c>
      <c r="C164" s="21" t="s">
        <v>151</v>
      </c>
      <c r="D164" s="64" t="s">
        <v>188</v>
      </c>
      <c r="E164" s="13">
        <v>46059</v>
      </c>
      <c r="F164" s="14">
        <v>46060</v>
      </c>
      <c r="G164" s="14">
        <f>DATE(YEAR(F164)+2,MONTH(F164),DAY(F164))</f>
        <v>46790</v>
      </c>
      <c r="H164" s="65">
        <f ca="1">G164-TODAY()</f>
        <v>659</v>
      </c>
      <c r="I164" s="15" t="str">
        <f t="shared" ca="1" si="448"/>
        <v>VIGENTE</v>
      </c>
      <c r="J164" s="13"/>
      <c r="K164" s="14"/>
      <c r="L164" s="16"/>
      <c r="M164" s="65"/>
      <c r="N164" s="15" t="str">
        <f t="shared" si="449"/>
        <v>NO APLICA</v>
      </c>
      <c r="O164" s="14"/>
      <c r="P164" s="14"/>
      <c r="Q164" s="14"/>
      <c r="R164" s="65"/>
      <c r="S164" s="15" t="str">
        <f t="shared" si="545"/>
        <v>NO APLICA</v>
      </c>
      <c r="T164" s="12" t="s">
        <v>590</v>
      </c>
      <c r="U164" s="13">
        <v>46068</v>
      </c>
      <c r="V164" s="14">
        <v>46069</v>
      </c>
      <c r="W164" s="14">
        <f t="shared" si="577"/>
        <v>47895</v>
      </c>
      <c r="X164" s="65">
        <f t="shared" ca="1" si="578"/>
        <v>1764</v>
      </c>
      <c r="Y164" s="15" t="str">
        <f t="shared" ca="1" si="403"/>
        <v>VIGENTE</v>
      </c>
      <c r="Z164" s="12"/>
      <c r="AA164" s="12"/>
      <c r="AB164" s="16"/>
      <c r="AC164" s="14"/>
      <c r="AD164" s="65"/>
      <c r="AE164" s="15" t="str">
        <f t="shared" si="574"/>
        <v>NO APLICA</v>
      </c>
      <c r="AF164" s="13">
        <v>45334</v>
      </c>
      <c r="AG164" s="14">
        <v>46002</v>
      </c>
      <c r="AH164" s="14">
        <f>DATE(YEAR(AG164)+2,MONTH(AG164),DAY(AG164))</f>
        <v>46732</v>
      </c>
      <c r="AI164" s="65">
        <f t="shared" ca="1" si="450"/>
        <v>601</v>
      </c>
      <c r="AJ164" s="15" t="str">
        <f t="shared" ca="1" si="399"/>
        <v>VIGENTE</v>
      </c>
      <c r="AK164" s="13">
        <v>44613</v>
      </c>
      <c r="AL164" s="14">
        <v>45903</v>
      </c>
      <c r="AM164" s="14">
        <f>DATE(YEAR(AL164)+2,MONTH(AL164),DAY(AL164))</f>
        <v>46633</v>
      </c>
      <c r="AN164" s="65">
        <f t="shared" ca="1" si="451"/>
        <v>502</v>
      </c>
      <c r="AO164" s="15" t="str">
        <f t="shared" ca="1" si="452"/>
        <v>VIGENTE</v>
      </c>
      <c r="AP164" s="13">
        <v>45258</v>
      </c>
      <c r="AQ164" s="14">
        <v>45887</v>
      </c>
      <c r="AR164" s="14">
        <f>DATE(YEAR(AQ164)+2,MONTH(AQ164),DAY(AQ164))</f>
        <v>46617</v>
      </c>
      <c r="AS164" s="65">
        <f t="shared" ca="1" si="453"/>
        <v>486</v>
      </c>
      <c r="AT164" s="15" t="str">
        <f t="shared" ca="1" si="454"/>
        <v>VIGENTE</v>
      </c>
      <c r="AU164" s="13">
        <v>44671</v>
      </c>
      <c r="AV164" s="14">
        <v>45927</v>
      </c>
      <c r="AW164" s="14">
        <f>DATE(YEAR(AV164)+2,MONTH(AV164),DAY(AV164))</f>
        <v>46657</v>
      </c>
      <c r="AX164" s="65">
        <f t="shared" ca="1" si="455"/>
        <v>526</v>
      </c>
      <c r="AY164" s="15" t="str">
        <f t="shared" ca="1" si="456"/>
        <v>VIGENTE</v>
      </c>
      <c r="AZ164" s="13">
        <v>45093</v>
      </c>
      <c r="BA164" s="14">
        <v>45773</v>
      </c>
      <c r="BB164" s="14">
        <f>DATE(YEAR(BA164)+2,MONTH(BA164),DAY(BA164))</f>
        <v>46503</v>
      </c>
      <c r="BC164" s="65">
        <f t="shared" ca="1" si="457"/>
        <v>372</v>
      </c>
      <c r="BD164" s="15" t="str">
        <f t="shared" ca="1" si="458"/>
        <v>VIGENTE</v>
      </c>
      <c r="BE164" s="13">
        <v>45052</v>
      </c>
      <c r="BF164" s="14">
        <v>45698</v>
      </c>
      <c r="BG164" s="14">
        <f>DATE(YEAR(BF164)+2,MONTH(BF164),DAY(BF164)-1)</f>
        <v>46427</v>
      </c>
      <c r="BH164" s="65">
        <f t="shared" ca="1" si="459"/>
        <v>296</v>
      </c>
      <c r="BI164" s="15" t="str">
        <f t="shared" ca="1" si="460"/>
        <v>VIGENTE</v>
      </c>
      <c r="BJ164" s="13">
        <v>44974</v>
      </c>
      <c r="BK164" s="14">
        <v>45600</v>
      </c>
      <c r="BL164" s="14">
        <f>DATE(YEAR(BK164)+2,MONTH(BK164),DAY(BK164)-1)</f>
        <v>46329</v>
      </c>
      <c r="BM164" s="65">
        <f t="shared" ca="1" si="461"/>
        <v>198</v>
      </c>
      <c r="BN164" s="15" t="str">
        <f t="shared" ca="1" si="462"/>
        <v>VIGENTE</v>
      </c>
      <c r="BO164" s="13">
        <v>45031</v>
      </c>
      <c r="BP164" s="14">
        <v>45701</v>
      </c>
      <c r="BQ164" s="14">
        <f>DATE(YEAR(BP164)+2,MONTH(BP164),DAY(BP164)-1)</f>
        <v>46430</v>
      </c>
      <c r="BR164" s="65">
        <f t="shared" ca="1" si="463"/>
        <v>299</v>
      </c>
      <c r="BS164" s="15" t="str">
        <f t="shared" ca="1" si="464"/>
        <v>VIGENTE</v>
      </c>
      <c r="BT164" s="13">
        <v>44953</v>
      </c>
      <c r="BU164" s="14">
        <v>45568</v>
      </c>
      <c r="BV164" s="14">
        <f>DATE(YEAR(BU164)+2,MONTH(BU164),DAY(BU164)-1)</f>
        <v>46297</v>
      </c>
      <c r="BW164" s="65">
        <f t="shared" ca="1" si="465"/>
        <v>166</v>
      </c>
      <c r="BX164" s="15" t="str">
        <f t="shared" ca="1" si="466"/>
        <v>VIGENTE</v>
      </c>
      <c r="BY164" s="13">
        <v>45285</v>
      </c>
      <c r="BZ164" s="14">
        <v>45979</v>
      </c>
      <c r="CA164" s="14">
        <f t="shared" si="579"/>
        <v>46709</v>
      </c>
      <c r="CB164" s="65">
        <f t="shared" ca="1" si="467"/>
        <v>578</v>
      </c>
      <c r="CC164" s="15" t="str">
        <f t="shared" ca="1" si="468"/>
        <v>VIGENTE</v>
      </c>
      <c r="CD164" s="16" t="s">
        <v>102</v>
      </c>
      <c r="CE164" s="14">
        <v>45722</v>
      </c>
      <c r="CF164" s="14">
        <v>45723</v>
      </c>
      <c r="CG164" s="14">
        <f t="shared" si="580"/>
        <v>47184</v>
      </c>
      <c r="CH164" s="65">
        <f t="shared" ca="1" si="581"/>
        <v>1053</v>
      </c>
      <c r="CI164" s="15" t="str">
        <f t="shared" ca="1" si="562"/>
        <v>VIGENTE</v>
      </c>
      <c r="CJ164" s="14">
        <v>45051</v>
      </c>
      <c r="CK164" s="14">
        <v>45688</v>
      </c>
      <c r="CL164" s="14">
        <f>DATE(YEAR(CK164)+2,MONTH(CK164),DAY(CK164)-1)</f>
        <v>46417</v>
      </c>
      <c r="CM164" s="65">
        <f t="shared" ca="1" si="469"/>
        <v>286</v>
      </c>
      <c r="CN164" s="15" t="str">
        <f t="shared" ca="1" si="470"/>
        <v>VIGENTE</v>
      </c>
      <c r="CO164" s="13">
        <v>45026</v>
      </c>
      <c r="CP164" s="14">
        <v>45684</v>
      </c>
      <c r="CQ164" s="14">
        <f>DATE(YEAR(CP164)+2,MONTH(CP164),DAY(CP164)-1)</f>
        <v>46413</v>
      </c>
      <c r="CR164" s="65">
        <f t="shared" ca="1" si="471"/>
        <v>282</v>
      </c>
      <c r="CS164" s="15" t="str">
        <f t="shared" ca="1" si="472"/>
        <v>VIGENTE</v>
      </c>
      <c r="CT164" s="13">
        <v>44670</v>
      </c>
      <c r="CU164" s="14">
        <v>45905</v>
      </c>
      <c r="CV164" s="14">
        <f>DATE(YEAR(CU164)+2,MONTH(CU164),DAY(CU164))</f>
        <v>46635</v>
      </c>
      <c r="CW164" s="65">
        <f t="shared" ca="1" si="473"/>
        <v>504</v>
      </c>
      <c r="CX164" s="15" t="str">
        <f t="shared" ca="1" si="474"/>
        <v>VIGENTE</v>
      </c>
      <c r="CY164" s="13">
        <v>45171</v>
      </c>
      <c r="CZ164" s="14">
        <v>45835</v>
      </c>
      <c r="DA164" s="14">
        <f>DATE(YEAR(CZ164)+2,MONTH(CZ164),DAY(CZ164))</f>
        <v>46565</v>
      </c>
      <c r="DB164" s="65">
        <f t="shared" ca="1" si="475"/>
        <v>434</v>
      </c>
      <c r="DC164" s="15" t="str">
        <f t="shared" ca="1" si="476"/>
        <v>VIGENTE</v>
      </c>
      <c r="DD164" s="13">
        <v>45083</v>
      </c>
      <c r="DE164" s="14">
        <v>45761</v>
      </c>
      <c r="DF164" s="14">
        <f>DATE(YEAR(DE164)+2,MONTH(DE164),DAY(DE164))</f>
        <v>46491</v>
      </c>
      <c r="DG164" s="65">
        <f t="shared" ca="1" si="477"/>
        <v>360</v>
      </c>
      <c r="DH164" s="15" t="str">
        <f t="shared" ca="1" si="478"/>
        <v>VIGENTE</v>
      </c>
      <c r="DI164" s="13">
        <v>45251</v>
      </c>
      <c r="DJ164" s="14">
        <v>45955</v>
      </c>
      <c r="DK164" s="14">
        <f>DATE(YEAR(DJ164)+2,MONTH(DJ164),DAY(DJ164))</f>
        <v>46685</v>
      </c>
      <c r="DL164" s="65">
        <f t="shared" ca="1" si="479"/>
        <v>554</v>
      </c>
      <c r="DM164" s="15" t="str">
        <f t="shared" ca="1" si="480"/>
        <v>VIGENTE</v>
      </c>
      <c r="DN164" s="13">
        <v>45345</v>
      </c>
      <c r="DO164" s="14">
        <v>45982</v>
      </c>
      <c r="DP164" s="14">
        <f>DATE(YEAR(DO164)+2,MONTH(DO164),DAY(DO164))</f>
        <v>46712</v>
      </c>
      <c r="DQ164" s="65">
        <f t="shared" ca="1" si="481"/>
        <v>581</v>
      </c>
      <c r="DR164" s="15" t="str">
        <f t="shared" ca="1" si="482"/>
        <v>VIGENTE</v>
      </c>
      <c r="DS164" s="13">
        <v>45096</v>
      </c>
      <c r="DT164" s="14">
        <v>45770</v>
      </c>
      <c r="DU164" s="14">
        <f>DATE(YEAR(DT164)+2,MONTH(DT164),DAY(DT164))</f>
        <v>46500</v>
      </c>
      <c r="DV164" s="65">
        <f t="shared" ca="1" si="483"/>
        <v>369</v>
      </c>
      <c r="DW164" s="15" t="str">
        <f t="shared" ca="1" si="484"/>
        <v>VIGENTE</v>
      </c>
      <c r="DX164" s="13">
        <v>45071</v>
      </c>
      <c r="DY164" s="14">
        <v>45751</v>
      </c>
      <c r="DZ164" s="14">
        <f t="shared" ref="DZ164:DZ170" si="585">DATE(YEAR(DY164)+2,MONTH(DY164),DAY(DY164)-1)</f>
        <v>46480</v>
      </c>
      <c r="EA164" s="65">
        <f t="shared" ca="1" si="485"/>
        <v>349</v>
      </c>
      <c r="EB164" s="15" t="str">
        <f t="shared" ca="1" si="486"/>
        <v>VIGENTE</v>
      </c>
      <c r="EC164" s="13">
        <v>45040</v>
      </c>
      <c r="ED164" s="14">
        <v>45674</v>
      </c>
      <c r="EE164" s="14">
        <f>DATE(YEAR(ED164)+2,MONTH(ED164),DAY(ED164)-1)</f>
        <v>46403</v>
      </c>
      <c r="EF164" s="65">
        <f t="shared" ca="1" si="487"/>
        <v>272</v>
      </c>
      <c r="EG164" s="15" t="str">
        <f t="shared" ca="1" si="488"/>
        <v>VIGENTE</v>
      </c>
      <c r="EH164" s="13">
        <v>44928</v>
      </c>
      <c r="EI164" s="13">
        <v>46083</v>
      </c>
      <c r="EJ164" s="13">
        <v>46084</v>
      </c>
      <c r="EK164" s="13">
        <v>46085</v>
      </c>
      <c r="EL164" s="14">
        <f t="shared" si="546"/>
        <v>46450</v>
      </c>
      <c r="EM164" s="65">
        <f t="shared" ca="1" si="489"/>
        <v>319</v>
      </c>
      <c r="EN164" s="15" t="str">
        <f t="shared" ca="1" si="490"/>
        <v>VIGENTE</v>
      </c>
      <c r="EO164" s="13">
        <v>45059</v>
      </c>
      <c r="EP164" s="14">
        <v>45671</v>
      </c>
      <c r="EQ164" s="14">
        <f>DATE(YEAR(EP164)+2,MONTH(EP164),DAY(EP164)-1)</f>
        <v>46400</v>
      </c>
      <c r="ER164" s="65">
        <f t="shared" ca="1" si="491"/>
        <v>269</v>
      </c>
      <c r="ES164" s="15" t="str">
        <f t="shared" ca="1" si="492"/>
        <v>VIGENTE</v>
      </c>
      <c r="ET164" s="13">
        <v>45043</v>
      </c>
      <c r="EU164" s="14">
        <v>45677</v>
      </c>
      <c r="EV164" s="14">
        <f>DATE(YEAR(EU164)+2,MONTH(EU164),DAY(EU164)-1)</f>
        <v>46406</v>
      </c>
      <c r="EW164" s="65">
        <f t="shared" ca="1" si="493"/>
        <v>275</v>
      </c>
      <c r="EX164" s="15" t="str">
        <f t="shared" ca="1" si="494"/>
        <v>VIGENTE</v>
      </c>
      <c r="EY164" s="13">
        <v>44615</v>
      </c>
      <c r="EZ164" s="14">
        <v>45917</v>
      </c>
      <c r="FA164" s="14">
        <f t="shared" si="582"/>
        <v>46647</v>
      </c>
      <c r="FB164" s="65">
        <f t="shared" ca="1" si="495"/>
        <v>516</v>
      </c>
      <c r="FC164" s="15" t="str">
        <f t="shared" ca="1" si="496"/>
        <v>VIGENTE</v>
      </c>
      <c r="FD164" s="13">
        <v>44615</v>
      </c>
      <c r="FE164" s="14">
        <v>45931</v>
      </c>
      <c r="FF164" s="14">
        <f t="shared" si="583"/>
        <v>46661</v>
      </c>
      <c r="FG164" s="65">
        <f t="shared" ca="1" si="497"/>
        <v>530</v>
      </c>
      <c r="FH164" s="15" t="str">
        <f t="shared" ca="1" si="498"/>
        <v>VIGENTE</v>
      </c>
      <c r="FI164" s="13">
        <v>45330</v>
      </c>
      <c r="FJ164" s="14">
        <v>45962</v>
      </c>
      <c r="FK164" s="14">
        <f t="shared" si="584"/>
        <v>46692</v>
      </c>
      <c r="FL164" s="65">
        <f t="shared" ca="1" si="499"/>
        <v>561</v>
      </c>
      <c r="FM164" s="15" t="str">
        <f t="shared" ca="1" si="500"/>
        <v>VIGENTE</v>
      </c>
      <c r="FN164" s="13">
        <v>45084</v>
      </c>
      <c r="FO164" s="14">
        <v>45738</v>
      </c>
      <c r="FP164" s="14">
        <f>DATE(YEAR(FO164)+2,MONTH(FO164),DAY(FO164)-1)</f>
        <v>46467</v>
      </c>
      <c r="FQ164" s="65">
        <f t="shared" ca="1" si="501"/>
        <v>336</v>
      </c>
      <c r="FR164" s="15" t="str">
        <f t="shared" ca="1" si="502"/>
        <v>VIGENTE</v>
      </c>
      <c r="FS164" s="13">
        <v>45078</v>
      </c>
      <c r="FT164" s="14">
        <v>45747</v>
      </c>
      <c r="FU164" s="14">
        <f>DATE(YEAR(FT164)+2,MONTH(FT164),DAY(FT164)-1)</f>
        <v>46476</v>
      </c>
      <c r="FV164" s="65">
        <f t="shared" ca="1" si="503"/>
        <v>345</v>
      </c>
      <c r="FW164" s="15" t="str">
        <f t="shared" ca="1" si="504"/>
        <v>VIGENTE</v>
      </c>
      <c r="FX164" s="13">
        <v>44616</v>
      </c>
      <c r="FY164" s="14">
        <v>45993</v>
      </c>
      <c r="FZ164" s="14">
        <f>DATE(YEAR(FY164)+2,MONTH(FY164),DAY(FY164))</f>
        <v>46723</v>
      </c>
      <c r="GA164" s="65">
        <f t="shared" ca="1" si="505"/>
        <v>592</v>
      </c>
      <c r="GB164" s="15" t="str">
        <f t="shared" ca="1" si="506"/>
        <v>VIGENTE</v>
      </c>
      <c r="GC164" s="13">
        <v>45036</v>
      </c>
      <c r="GD164" s="14">
        <v>45715</v>
      </c>
      <c r="GE164" s="14">
        <f>DATE(YEAR(GD164)+2,MONTH(GD164),DAY(GD164)-1)</f>
        <v>46444</v>
      </c>
      <c r="GF164" s="65">
        <f t="shared" ca="1" si="507"/>
        <v>313</v>
      </c>
      <c r="GG164" s="15" t="str">
        <f t="shared" ca="1" si="508"/>
        <v>VIGENTE</v>
      </c>
      <c r="GH164" s="13">
        <v>45082</v>
      </c>
      <c r="GI164" s="14">
        <v>45731</v>
      </c>
      <c r="GJ164" s="14">
        <f>DATE(YEAR(GI164)+2,MONTH(GI164),DAY(GI164)-1)</f>
        <v>46460</v>
      </c>
      <c r="GK164" s="65">
        <f t="shared" ca="1" si="509"/>
        <v>329</v>
      </c>
      <c r="GL164" s="15" t="str">
        <f t="shared" ca="1" si="510"/>
        <v>VIGENTE</v>
      </c>
      <c r="GM164" s="13">
        <v>45033</v>
      </c>
      <c r="GN164" s="14">
        <v>45687</v>
      </c>
      <c r="GO164" s="14">
        <f>DATE(YEAR(GN164)+2,MONTH(GN164),DAY(GN164)-1)</f>
        <v>46416</v>
      </c>
      <c r="GP164" s="65">
        <f t="shared" ca="1" si="511"/>
        <v>285</v>
      </c>
      <c r="GQ164" s="15" t="str">
        <f t="shared" ca="1" si="512"/>
        <v>VIGENTE</v>
      </c>
      <c r="GR164" s="14"/>
      <c r="GS164" s="14">
        <v>45072</v>
      </c>
      <c r="GT164" s="14">
        <f t="shared" si="513"/>
        <v>46899</v>
      </c>
      <c r="GU164" s="65">
        <f t="shared" ca="1" si="398"/>
        <v>768</v>
      </c>
      <c r="GV164" s="15" t="str">
        <f t="shared" ca="1" si="411"/>
        <v>VIGENTE</v>
      </c>
      <c r="GW164" s="13"/>
      <c r="GX164" s="14">
        <v>45010</v>
      </c>
      <c r="GY164" s="14">
        <f t="shared" si="514"/>
        <v>46837</v>
      </c>
      <c r="GZ164" s="65">
        <f t="shared" ca="1" si="515"/>
        <v>706</v>
      </c>
      <c r="HA164" s="15" t="str">
        <f t="shared" ca="1" si="418"/>
        <v>VIGENTE</v>
      </c>
      <c r="HB164" s="12"/>
      <c r="HC164" s="14">
        <v>45073</v>
      </c>
      <c r="HD164" s="14">
        <f t="shared" si="516"/>
        <v>46900</v>
      </c>
      <c r="HE164" s="65">
        <f t="shared" ca="1" si="517"/>
        <v>769</v>
      </c>
      <c r="HF164" s="15" t="str">
        <f t="shared" ca="1" si="413"/>
        <v>VIGENTE</v>
      </c>
      <c r="HG164" s="16"/>
      <c r="HH164" s="16"/>
      <c r="HI164" s="14"/>
      <c r="HJ164" s="65"/>
      <c r="HK164" s="15" t="str">
        <f t="shared" si="419"/>
        <v>NO APLICA</v>
      </c>
      <c r="HL164" s="12"/>
      <c r="HM164" s="16"/>
      <c r="HN164" s="14"/>
      <c r="HO164" s="65"/>
      <c r="HP164" s="15" t="str">
        <f t="shared" si="437"/>
        <v>NO APLICA</v>
      </c>
      <c r="HQ164" s="12"/>
      <c r="HR164" s="12"/>
      <c r="HS164" s="14"/>
      <c r="HT164" s="12"/>
      <c r="HU164" s="15" t="str">
        <f t="shared" si="518"/>
        <v>NO APLICA</v>
      </c>
      <c r="HV164" s="12"/>
      <c r="HW164" s="16"/>
      <c r="HX164" s="14"/>
      <c r="HY164" s="65"/>
      <c r="HZ164" s="15" t="str">
        <f t="shared" si="519"/>
        <v>NO APLICA</v>
      </c>
      <c r="IA164" s="12"/>
      <c r="IB164" s="16"/>
      <c r="IC164" s="14"/>
      <c r="ID164" s="65"/>
      <c r="IE164" s="15" t="str">
        <f t="shared" si="520"/>
        <v>NO APLICA</v>
      </c>
      <c r="IF164" s="12"/>
      <c r="IG164" s="16"/>
      <c r="IH164" s="14"/>
      <c r="II164" s="65"/>
      <c r="IJ164" s="15" t="str">
        <f t="shared" si="521"/>
        <v>NO APLICA</v>
      </c>
      <c r="IK164" s="16"/>
      <c r="IL164" s="16"/>
      <c r="IM164" s="14"/>
      <c r="IN164" s="65"/>
      <c r="IO164" s="15" t="str">
        <f t="shared" si="522"/>
        <v>NO APLICA</v>
      </c>
      <c r="IP164" s="12"/>
      <c r="IQ164" s="16"/>
      <c r="IR164" s="14"/>
      <c r="IS164" s="65"/>
      <c r="IT164" s="15" t="str">
        <f t="shared" si="523"/>
        <v>NO APLICA</v>
      </c>
      <c r="IU164" s="12"/>
      <c r="IV164" s="16"/>
      <c r="IW164" s="14"/>
      <c r="IX164" s="65"/>
      <c r="IY164" s="15" t="str">
        <f t="shared" si="524"/>
        <v>NO APLICA</v>
      </c>
      <c r="IZ164" s="12"/>
      <c r="JA164" s="16"/>
      <c r="JB164" s="14"/>
      <c r="JC164" s="65"/>
      <c r="JD164" s="15" t="str">
        <f t="shared" si="525"/>
        <v>NO APLICA</v>
      </c>
      <c r="JE164" s="13"/>
      <c r="JF164" s="13"/>
      <c r="JG164" s="14"/>
      <c r="JH164" s="65"/>
      <c r="JI164" s="15" t="str">
        <f t="shared" si="526"/>
        <v>NO APLICA</v>
      </c>
      <c r="JJ164" s="16"/>
      <c r="JK164" s="16"/>
      <c r="JL164" s="16"/>
      <c r="JM164" s="15" t="str">
        <f t="shared" si="527"/>
        <v>NO APLICA</v>
      </c>
      <c r="JN164" s="16"/>
      <c r="JO164" s="16"/>
      <c r="JP164" s="16"/>
      <c r="JQ164" s="15" t="str">
        <f t="shared" si="528"/>
        <v>NO APLICA</v>
      </c>
      <c r="JR164" s="16"/>
      <c r="JS164" s="16"/>
      <c r="JT164" s="16"/>
      <c r="JU164" s="16"/>
      <c r="JV164" s="15" t="str">
        <f t="shared" si="529"/>
        <v>NO APLICA</v>
      </c>
      <c r="JW164" s="15"/>
      <c r="JX164" s="15"/>
      <c r="JY164" s="15"/>
      <c r="JZ164" s="15"/>
      <c r="KA164" s="15" t="str">
        <f t="shared" si="530"/>
        <v>NO APLICA</v>
      </c>
      <c r="KB164" s="12"/>
      <c r="KC164" s="14"/>
      <c r="KD164" s="65"/>
      <c r="KE164" s="15" t="str">
        <f t="shared" si="531"/>
        <v>NO APLICA</v>
      </c>
      <c r="KF164" s="12"/>
      <c r="KG164" s="14"/>
      <c r="KH164" s="65"/>
      <c r="KI164" s="15" t="str">
        <f t="shared" si="547"/>
        <v>NO APLICA</v>
      </c>
      <c r="KJ164" s="12"/>
      <c r="KK164" s="14"/>
      <c r="KL164" s="65"/>
      <c r="KM164" s="15" t="str">
        <f t="shared" si="532"/>
        <v>NO APLICA</v>
      </c>
      <c r="KN164" s="12"/>
      <c r="KO164" s="14"/>
      <c r="KP164" s="65"/>
      <c r="KQ164" s="15" t="str">
        <f t="shared" si="548"/>
        <v>NO APLICA</v>
      </c>
      <c r="KR164" s="12"/>
      <c r="KS164" s="16"/>
      <c r="KT164" s="14"/>
      <c r="KU164" s="65"/>
      <c r="KV164" s="15" t="str">
        <f t="shared" si="554"/>
        <v>NO APLICA</v>
      </c>
      <c r="KW164" s="16"/>
      <c r="KX164" s="14"/>
      <c r="KY164" s="65"/>
      <c r="KZ164" s="15" t="str">
        <f t="shared" si="549"/>
        <v>NO APLICA</v>
      </c>
      <c r="LA164" s="16"/>
      <c r="LB164" s="16"/>
      <c r="LC164" s="14"/>
      <c r="LD164" s="65"/>
      <c r="LE164" s="15" t="str">
        <f t="shared" si="556"/>
        <v>NO APLICA</v>
      </c>
      <c r="LF164" s="15"/>
      <c r="LG164" s="15"/>
      <c r="LH164" s="15"/>
      <c r="LI164" s="15"/>
      <c r="LJ164" s="15" t="str">
        <f t="shared" si="555"/>
        <v>NO APLICA</v>
      </c>
      <c r="LK164" s="12"/>
      <c r="LL164" s="16"/>
      <c r="LM164" s="14"/>
      <c r="LN164" s="65"/>
      <c r="LO164" s="15" t="str">
        <f t="shared" si="550"/>
        <v>NO APLICA</v>
      </c>
      <c r="LP164" s="16"/>
      <c r="LQ164" s="16"/>
      <c r="LR164" s="14"/>
      <c r="LS164" s="65"/>
      <c r="LT164" s="15" t="str">
        <f t="shared" si="551"/>
        <v>NO APLICA</v>
      </c>
      <c r="LU164" s="16"/>
      <c r="LV164" s="16"/>
      <c r="LW164" s="14"/>
      <c r="LX164" s="65"/>
      <c r="LY164" s="15" t="str">
        <f t="shared" si="552"/>
        <v>NO APLICA</v>
      </c>
      <c r="LZ164" s="12"/>
      <c r="MA164" s="12"/>
      <c r="MB164" s="14"/>
      <c r="MC164" s="12"/>
      <c r="MD164" s="15" t="str">
        <f t="shared" si="534"/>
        <v>NO APLICA</v>
      </c>
      <c r="ME164" s="12"/>
      <c r="MF164" s="12"/>
      <c r="MG164" s="14"/>
      <c r="MH164" s="65"/>
      <c r="MI164" s="15" t="str">
        <f t="shared" si="535"/>
        <v>NO APLICA</v>
      </c>
      <c r="MJ164" s="12"/>
      <c r="MK164" s="14"/>
      <c r="ML164" s="65"/>
      <c r="MM164" s="15" t="str">
        <f t="shared" si="536"/>
        <v>NO APLICA</v>
      </c>
      <c r="MN164" s="12"/>
      <c r="MO164" s="14"/>
      <c r="MP164" s="12"/>
      <c r="MQ164" s="15" t="str">
        <f t="shared" si="537"/>
        <v>NO APLICA</v>
      </c>
      <c r="MR164" s="12"/>
      <c r="MS164" s="16"/>
      <c r="MT164" s="14"/>
      <c r="MU164" s="65"/>
      <c r="MV164" s="15" t="str">
        <f t="shared" si="538"/>
        <v>NO APLICA</v>
      </c>
      <c r="MW164" s="12"/>
      <c r="MX164" s="16"/>
      <c r="MY164" s="14"/>
      <c r="MZ164" s="65"/>
      <c r="NA164" s="15" t="str">
        <f t="shared" si="539"/>
        <v>NO APLICA</v>
      </c>
      <c r="NB164" s="12"/>
      <c r="NC164" s="16"/>
      <c r="ND164" s="14"/>
      <c r="NE164" s="65"/>
      <c r="NF164" s="15" t="str">
        <f t="shared" si="540"/>
        <v>NO APLICA</v>
      </c>
      <c r="NG164" s="12"/>
      <c r="NH164" s="12"/>
      <c r="NI164" s="14"/>
      <c r="NJ164" s="12"/>
      <c r="NK164" s="15" t="str">
        <f t="shared" si="541"/>
        <v>NO APLICA</v>
      </c>
      <c r="NL164" s="12"/>
      <c r="NM164" s="12"/>
      <c r="NN164" s="14"/>
      <c r="NO164" s="12"/>
      <c r="NP164" s="15" t="str">
        <f t="shared" si="542"/>
        <v>NO APLICA</v>
      </c>
      <c r="NQ164" s="16"/>
      <c r="NR164" s="16"/>
      <c r="NS164" s="14"/>
      <c r="NT164" s="65"/>
      <c r="NU164" s="15" t="str">
        <f t="shared" si="543"/>
        <v>NO APLICA</v>
      </c>
      <c r="NV164" s="16"/>
      <c r="NW164" s="16"/>
      <c r="NX164" s="16"/>
      <c r="NY164" s="16"/>
      <c r="NZ164" s="15" t="str">
        <f t="shared" si="544"/>
        <v>NO APLICA</v>
      </c>
    </row>
    <row r="165" spans="1:390" ht="15.6" thickTop="1" thickBot="1" x14ac:dyDescent="0.35">
      <c r="A165" s="9">
        <v>321</v>
      </c>
      <c r="B165" s="10" t="s">
        <v>591</v>
      </c>
      <c r="C165" s="21" t="s">
        <v>104</v>
      </c>
      <c r="D165" s="64" t="s">
        <v>110</v>
      </c>
      <c r="E165" s="15"/>
      <c r="F165" s="16"/>
      <c r="G165" s="14"/>
      <c r="H165" s="65"/>
      <c r="I165" s="15" t="str">
        <f t="shared" si="448"/>
        <v>NO APLICA</v>
      </c>
      <c r="J165" s="15"/>
      <c r="K165" s="16"/>
      <c r="L165" s="16"/>
      <c r="M165" s="65"/>
      <c r="N165" s="15" t="str">
        <f t="shared" si="449"/>
        <v>NO APLICA</v>
      </c>
      <c r="O165" s="16"/>
      <c r="P165" s="16"/>
      <c r="Q165" s="14"/>
      <c r="R165" s="65"/>
      <c r="S165" s="15" t="str">
        <f t="shared" si="545"/>
        <v>NO APLICA</v>
      </c>
      <c r="T165" s="12" t="s">
        <v>592</v>
      </c>
      <c r="U165" s="13">
        <v>45499</v>
      </c>
      <c r="V165" s="14">
        <v>45500</v>
      </c>
      <c r="W165" s="14">
        <f t="shared" si="577"/>
        <v>47326</v>
      </c>
      <c r="X165" s="65">
        <f t="shared" ca="1" si="578"/>
        <v>1195</v>
      </c>
      <c r="Y165" s="15" t="str">
        <f t="shared" ca="1" si="403"/>
        <v>VIGENTE</v>
      </c>
      <c r="Z165" s="12" t="s">
        <v>593</v>
      </c>
      <c r="AA165" s="13">
        <v>44578</v>
      </c>
      <c r="AB165" s="14">
        <v>44579</v>
      </c>
      <c r="AC165" s="14">
        <f t="shared" ref="AC165:AC170" si="586">DATE(YEAR(AB165)+5,MONTH(AB165),DAY(AB165))</f>
        <v>46405</v>
      </c>
      <c r="AD165" s="65">
        <f t="shared" ref="AD165:AD170" ca="1" si="587">AC165-TODAY()</f>
        <v>274</v>
      </c>
      <c r="AE165" s="15" t="str">
        <f t="shared" ca="1" si="574"/>
        <v>VIGENTE</v>
      </c>
      <c r="AF165" s="13">
        <v>44938</v>
      </c>
      <c r="AG165" s="13">
        <v>45594</v>
      </c>
      <c r="AH165" s="14">
        <f>DATE(YEAR(AG165)+2,MONTH(AG165),DAY(AG165)-1)</f>
        <v>46323</v>
      </c>
      <c r="AI165" s="65">
        <f t="shared" ca="1" si="450"/>
        <v>192</v>
      </c>
      <c r="AJ165" s="15" t="str">
        <f t="shared" ca="1" si="399"/>
        <v>VIGENTE</v>
      </c>
      <c r="AK165" s="13">
        <v>45269</v>
      </c>
      <c r="AL165" s="14">
        <v>45926</v>
      </c>
      <c r="AM165" s="14">
        <f>DATE(YEAR(AL165)+2,MONTH(AL165),DAY(AL165))</f>
        <v>46656</v>
      </c>
      <c r="AN165" s="65">
        <f t="shared" ca="1" si="451"/>
        <v>525</v>
      </c>
      <c r="AO165" s="15" t="str">
        <f t="shared" ca="1" si="452"/>
        <v>VIGENTE</v>
      </c>
      <c r="AP165" s="13">
        <v>45258</v>
      </c>
      <c r="AQ165" s="14">
        <v>45904</v>
      </c>
      <c r="AR165" s="14">
        <f>DATE(YEAR(AQ165)+2,MONTH(AQ165),DAY(AQ165))</f>
        <v>46634</v>
      </c>
      <c r="AS165" s="65">
        <f t="shared" ca="1" si="453"/>
        <v>503</v>
      </c>
      <c r="AT165" s="15" t="str">
        <f t="shared" ca="1" si="454"/>
        <v>VIGENTE</v>
      </c>
      <c r="AU165" s="13">
        <v>44662</v>
      </c>
      <c r="AV165" s="14">
        <v>45952</v>
      </c>
      <c r="AW165" s="14">
        <f>DATE(YEAR(AV165)+2,MONTH(AV165),DAY(AV165))</f>
        <v>46682</v>
      </c>
      <c r="AX165" s="65">
        <f t="shared" ca="1" si="455"/>
        <v>551</v>
      </c>
      <c r="AY165" s="15" t="str">
        <f t="shared" ca="1" si="456"/>
        <v>VIGENTE</v>
      </c>
      <c r="AZ165" s="13">
        <v>45375</v>
      </c>
      <c r="BA165" s="14">
        <v>46041</v>
      </c>
      <c r="BB165" s="14">
        <f>DATE(YEAR(BA165)+2,MONTH(BA165),DAY(BA165))</f>
        <v>46771</v>
      </c>
      <c r="BC165" s="65">
        <f t="shared" ca="1" si="457"/>
        <v>640</v>
      </c>
      <c r="BD165" s="15" t="str">
        <f t="shared" ca="1" si="458"/>
        <v>VIGENTE</v>
      </c>
      <c r="BE165" s="13">
        <v>44734</v>
      </c>
      <c r="BF165" s="14">
        <v>45987</v>
      </c>
      <c r="BG165" s="14">
        <f>DATE(YEAR(BF165)+2,MONTH(BF165),DAY(BF165))</f>
        <v>46717</v>
      </c>
      <c r="BH165" s="65">
        <f t="shared" ca="1" si="459"/>
        <v>586</v>
      </c>
      <c r="BI165" s="15" t="str">
        <f t="shared" ca="1" si="460"/>
        <v>VIGENTE</v>
      </c>
      <c r="BJ165" s="13">
        <v>45348</v>
      </c>
      <c r="BK165" s="14">
        <v>46017</v>
      </c>
      <c r="BL165" s="14">
        <f>DATE(YEAR(BK165)+2,MONTH(BK165),DAY(BK165))</f>
        <v>46747</v>
      </c>
      <c r="BM165" s="65">
        <f t="shared" ca="1" si="461"/>
        <v>616</v>
      </c>
      <c r="BN165" s="15" t="str">
        <f t="shared" ca="1" si="462"/>
        <v>VIGENTE</v>
      </c>
      <c r="BO165" s="13">
        <v>44747</v>
      </c>
      <c r="BP165" s="14">
        <v>46069</v>
      </c>
      <c r="BQ165" s="14">
        <f>DATE(YEAR(BP165)+2,MONTH(BP165),DAY(BP165))</f>
        <v>46799</v>
      </c>
      <c r="BR165" s="65">
        <f t="shared" ca="1" si="463"/>
        <v>668</v>
      </c>
      <c r="BS165" s="15" t="str">
        <f t="shared" ca="1" si="464"/>
        <v>VIGENTE</v>
      </c>
      <c r="BT165" s="13">
        <v>44733</v>
      </c>
      <c r="BU165" s="14">
        <v>45449</v>
      </c>
      <c r="BV165" s="14">
        <f>DATE(YEAR(BU165)+2,MONTH(BU165),DAY(BU165)-1)</f>
        <v>46178</v>
      </c>
      <c r="BW165" s="65">
        <f t="shared" ca="1" si="465"/>
        <v>47</v>
      </c>
      <c r="BX165" s="15" t="str">
        <f t="shared" ca="1" si="466"/>
        <v>POR VENCER</v>
      </c>
      <c r="BY165" s="13">
        <v>44634</v>
      </c>
      <c r="BZ165" s="14">
        <v>45944</v>
      </c>
      <c r="CA165" s="14">
        <f t="shared" si="579"/>
        <v>46674</v>
      </c>
      <c r="CB165" s="65">
        <f t="shared" ca="1" si="467"/>
        <v>543</v>
      </c>
      <c r="CC165" s="15" t="str">
        <f t="shared" ca="1" si="468"/>
        <v>VIGENTE</v>
      </c>
      <c r="CD165" s="16" t="s">
        <v>108</v>
      </c>
      <c r="CE165" s="14">
        <v>45300</v>
      </c>
      <c r="CF165" s="14">
        <v>45301</v>
      </c>
      <c r="CG165" s="14">
        <f t="shared" si="580"/>
        <v>46762</v>
      </c>
      <c r="CH165" s="65">
        <f t="shared" ca="1" si="581"/>
        <v>631</v>
      </c>
      <c r="CI165" s="15" t="str">
        <f t="shared" ca="1" si="562"/>
        <v>VIGENTE</v>
      </c>
      <c r="CJ165" s="14">
        <v>45249</v>
      </c>
      <c r="CK165" s="14">
        <v>45895</v>
      </c>
      <c r="CL165" s="14">
        <f>DATE(YEAR(CK165)+2,MONTH(CK165),DAY(CK165))</f>
        <v>46625</v>
      </c>
      <c r="CM165" s="65">
        <f t="shared" ca="1" si="469"/>
        <v>494</v>
      </c>
      <c r="CN165" s="15" t="str">
        <f t="shared" ca="1" si="470"/>
        <v>VIGENTE</v>
      </c>
      <c r="CO165" s="13">
        <v>45379</v>
      </c>
      <c r="CP165" s="14">
        <v>46038</v>
      </c>
      <c r="CQ165" s="14">
        <f>DATE(YEAR(CP165)+2,MONTH(CP165),DAY(CP165))</f>
        <v>46768</v>
      </c>
      <c r="CR165" s="65">
        <f t="shared" ca="1" si="471"/>
        <v>637</v>
      </c>
      <c r="CS165" s="15" t="str">
        <f t="shared" ca="1" si="472"/>
        <v>VIGENTE</v>
      </c>
      <c r="CT165" s="13">
        <v>44961</v>
      </c>
      <c r="CU165" s="14">
        <v>45639</v>
      </c>
      <c r="CV165" s="14">
        <f>DATE(YEAR(CU165)+2,MONTH(CU165),DAY(CU165)-1)</f>
        <v>46368</v>
      </c>
      <c r="CW165" s="65">
        <f t="shared" ca="1" si="473"/>
        <v>237</v>
      </c>
      <c r="CX165" s="15" t="str">
        <f t="shared" ca="1" si="474"/>
        <v>VIGENTE</v>
      </c>
      <c r="CY165" s="13">
        <v>44993</v>
      </c>
      <c r="CZ165" s="14">
        <v>45661</v>
      </c>
      <c r="DA165" s="14">
        <f>DATE(YEAR(CZ165)+2,MONTH(CZ165),DAY(CZ165)-1)</f>
        <v>46390</v>
      </c>
      <c r="DB165" s="65">
        <f t="shared" ca="1" si="475"/>
        <v>259</v>
      </c>
      <c r="DC165" s="15" t="str">
        <f t="shared" ca="1" si="476"/>
        <v>VIGENTE</v>
      </c>
      <c r="DD165" s="13">
        <v>45019</v>
      </c>
      <c r="DE165" s="14">
        <v>45689</v>
      </c>
      <c r="DF165" s="14">
        <f>DATE(YEAR(DE165)+2,MONTH(DE165),DAY(DE165)-1)</f>
        <v>46418</v>
      </c>
      <c r="DG165" s="65">
        <f t="shared" ca="1" si="477"/>
        <v>287</v>
      </c>
      <c r="DH165" s="15" t="str">
        <f t="shared" ca="1" si="478"/>
        <v>VIGENTE</v>
      </c>
      <c r="DI165" s="13">
        <v>45386</v>
      </c>
      <c r="DJ165" s="14">
        <v>46029</v>
      </c>
      <c r="DK165" s="14">
        <f>DATE(YEAR(DJ165)+2,MONTH(DJ165),DAY(DJ165))</f>
        <v>46759</v>
      </c>
      <c r="DL165" s="65">
        <f t="shared" ca="1" si="479"/>
        <v>628</v>
      </c>
      <c r="DM165" s="15" t="str">
        <f t="shared" ca="1" si="480"/>
        <v>VIGENTE</v>
      </c>
      <c r="DN165" s="13">
        <v>44697</v>
      </c>
      <c r="DO165" s="14">
        <v>46008</v>
      </c>
      <c r="DP165" s="14">
        <f>DATE(YEAR(DO165)+2,MONTH(DO165),DAY(DO165))</f>
        <v>46738</v>
      </c>
      <c r="DQ165" s="65">
        <f t="shared" ca="1" si="481"/>
        <v>607</v>
      </c>
      <c r="DR165" s="15" t="str">
        <f t="shared" ca="1" si="482"/>
        <v>VIGENTE</v>
      </c>
      <c r="DS165" s="13">
        <v>44734</v>
      </c>
      <c r="DT165" s="14">
        <v>46053</v>
      </c>
      <c r="DU165" s="14">
        <f>DATE(YEAR(DT165)+2,MONTH(DT165),DAY(DT165))</f>
        <v>46783</v>
      </c>
      <c r="DV165" s="65">
        <f t="shared" ca="1" si="483"/>
        <v>652</v>
      </c>
      <c r="DW165" s="15" t="str">
        <f t="shared" ca="1" si="484"/>
        <v>VIGENTE</v>
      </c>
      <c r="DX165" s="13">
        <v>44992</v>
      </c>
      <c r="DY165" s="14">
        <v>45663</v>
      </c>
      <c r="DZ165" s="14">
        <f t="shared" si="585"/>
        <v>46392</v>
      </c>
      <c r="EA165" s="65">
        <f t="shared" ca="1" si="485"/>
        <v>261</v>
      </c>
      <c r="EB165" s="15" t="str">
        <f t="shared" ca="1" si="486"/>
        <v>VIGENTE</v>
      </c>
      <c r="EC165" s="13">
        <v>44994</v>
      </c>
      <c r="ED165" s="14">
        <v>45674</v>
      </c>
      <c r="EE165" s="14">
        <f>DATE(YEAR(ED165)+2,MONTH(ED165),DAY(ED165)-1)</f>
        <v>46403</v>
      </c>
      <c r="EF165" s="65">
        <f t="shared" ca="1" si="487"/>
        <v>272</v>
      </c>
      <c r="EG165" s="15" t="str">
        <f t="shared" ca="1" si="488"/>
        <v>VIGENTE</v>
      </c>
      <c r="EH165" s="13">
        <v>45380</v>
      </c>
      <c r="EI165" s="13">
        <v>45810</v>
      </c>
      <c r="EJ165" s="13">
        <v>45811</v>
      </c>
      <c r="EK165" s="14">
        <v>45812</v>
      </c>
      <c r="EL165" s="14">
        <f t="shared" si="546"/>
        <v>46177</v>
      </c>
      <c r="EM165" s="65">
        <f t="shared" ca="1" si="489"/>
        <v>46</v>
      </c>
      <c r="EN165" s="15" t="str">
        <f t="shared" ca="1" si="490"/>
        <v>POR VENCER</v>
      </c>
      <c r="EO165" s="13">
        <v>44999</v>
      </c>
      <c r="EP165" s="14">
        <v>45660</v>
      </c>
      <c r="EQ165" s="14">
        <f>DATE(YEAR(EP165)+2,MONTH(EP165),DAY(EP165)-1)</f>
        <v>46389</v>
      </c>
      <c r="ER165" s="65">
        <f t="shared" ca="1" si="491"/>
        <v>258</v>
      </c>
      <c r="ES165" s="15" t="str">
        <f t="shared" ca="1" si="492"/>
        <v>VIGENTE</v>
      </c>
      <c r="ET165" s="13">
        <v>45411</v>
      </c>
      <c r="EU165" s="14">
        <v>46042</v>
      </c>
      <c r="EV165" s="14">
        <f>DATE(YEAR(EU165)+2,MONTH(EU165),DAY(EU165))</f>
        <v>46772</v>
      </c>
      <c r="EW165" s="65">
        <f t="shared" ca="1" si="493"/>
        <v>641</v>
      </c>
      <c r="EX165" s="15" t="str">
        <f t="shared" ca="1" si="494"/>
        <v>VIGENTE</v>
      </c>
      <c r="EY165" s="13">
        <v>44636</v>
      </c>
      <c r="EZ165" s="14">
        <v>45953</v>
      </c>
      <c r="FA165" s="14">
        <f t="shared" si="582"/>
        <v>46683</v>
      </c>
      <c r="FB165" s="65">
        <f t="shared" ca="1" si="495"/>
        <v>552</v>
      </c>
      <c r="FC165" s="15" t="str">
        <f t="shared" ca="1" si="496"/>
        <v>VIGENTE</v>
      </c>
      <c r="FD165" s="13">
        <v>44636</v>
      </c>
      <c r="FE165" s="14">
        <v>45988</v>
      </c>
      <c r="FF165" s="14">
        <f t="shared" si="583"/>
        <v>46718</v>
      </c>
      <c r="FG165" s="65">
        <f t="shared" ca="1" si="497"/>
        <v>587</v>
      </c>
      <c r="FH165" s="15" t="str">
        <f t="shared" ca="1" si="498"/>
        <v>VIGENTE</v>
      </c>
      <c r="FI165" s="13">
        <v>44637</v>
      </c>
      <c r="FJ165" s="14">
        <v>45992</v>
      </c>
      <c r="FK165" s="14">
        <f t="shared" si="584"/>
        <v>46722</v>
      </c>
      <c r="FL165" s="65">
        <f t="shared" ca="1" si="499"/>
        <v>591</v>
      </c>
      <c r="FM165" s="15" t="str">
        <f t="shared" ca="1" si="500"/>
        <v>VIGENTE</v>
      </c>
      <c r="FN165" s="13">
        <v>45002</v>
      </c>
      <c r="FO165" s="14">
        <v>45670</v>
      </c>
      <c r="FP165" s="14">
        <f>DATE(YEAR(FO165)+2,MONTH(FO165),DAY(FO165)-1)</f>
        <v>46399</v>
      </c>
      <c r="FQ165" s="65">
        <f t="shared" ca="1" si="501"/>
        <v>268</v>
      </c>
      <c r="FR165" s="15" t="str">
        <f t="shared" ca="1" si="502"/>
        <v>VIGENTE</v>
      </c>
      <c r="FS165" s="13">
        <v>45014</v>
      </c>
      <c r="FT165" s="14">
        <v>45664</v>
      </c>
      <c r="FU165" s="14">
        <f>DATE(YEAR(FT165)+2,MONTH(FT165),DAY(FT165)-1)</f>
        <v>46393</v>
      </c>
      <c r="FV165" s="65">
        <f t="shared" ca="1" si="503"/>
        <v>262</v>
      </c>
      <c r="FW165" s="15" t="str">
        <f t="shared" ca="1" si="504"/>
        <v>VIGENTE</v>
      </c>
      <c r="FX165" s="13">
        <v>44637</v>
      </c>
      <c r="FY165" s="14">
        <v>46014</v>
      </c>
      <c r="FZ165" s="14">
        <f>DATE(YEAR(FY165)+2,MONTH(FY165),DAY(FY165))</f>
        <v>46744</v>
      </c>
      <c r="GA165" s="65">
        <f t="shared" ca="1" si="505"/>
        <v>613</v>
      </c>
      <c r="GB165" s="15" t="str">
        <f t="shared" ca="1" si="506"/>
        <v>VIGENTE</v>
      </c>
      <c r="GC165" s="13">
        <v>44735</v>
      </c>
      <c r="GD165" s="14">
        <v>46073</v>
      </c>
      <c r="GE165" s="14">
        <f>DATE(YEAR(GD165)+2,MONTH(GD165),DAY(GD165))</f>
        <v>46803</v>
      </c>
      <c r="GF165" s="65">
        <f t="shared" ca="1" si="507"/>
        <v>672</v>
      </c>
      <c r="GG165" s="15" t="str">
        <f t="shared" ca="1" si="508"/>
        <v>VIGENTE</v>
      </c>
      <c r="GH165" s="13">
        <v>44939</v>
      </c>
      <c r="GI165" s="14">
        <v>45579</v>
      </c>
      <c r="GJ165" s="14">
        <f>DATE(YEAR(GI165)+2,MONTH(GI165),DAY(GI165)-1)</f>
        <v>46308</v>
      </c>
      <c r="GK165" s="65">
        <f t="shared" ca="1" si="509"/>
        <v>177</v>
      </c>
      <c r="GL165" s="15" t="str">
        <f t="shared" ca="1" si="510"/>
        <v>VIGENTE</v>
      </c>
      <c r="GM165" s="13">
        <v>45275</v>
      </c>
      <c r="GN165" s="14">
        <v>45945</v>
      </c>
      <c r="GO165" s="14">
        <f>DATE(YEAR(GN165)+2,MONTH(GN165),DAY(GN165))</f>
        <v>46675</v>
      </c>
      <c r="GP165" s="65">
        <f t="shared" ca="1" si="511"/>
        <v>544</v>
      </c>
      <c r="GQ165" s="15" t="str">
        <f t="shared" ca="1" si="512"/>
        <v>VIGENTE</v>
      </c>
      <c r="GR165" s="14">
        <v>44571</v>
      </c>
      <c r="GS165" s="14">
        <v>45283</v>
      </c>
      <c r="GT165" s="14">
        <f t="shared" si="513"/>
        <v>47110</v>
      </c>
      <c r="GU165" s="65">
        <f t="shared" ca="1" si="398"/>
        <v>979</v>
      </c>
      <c r="GV165" s="15" t="str">
        <f t="shared" ca="1" si="411"/>
        <v>VIGENTE</v>
      </c>
      <c r="GW165" s="13">
        <v>44571</v>
      </c>
      <c r="GX165" s="14">
        <v>45252</v>
      </c>
      <c r="GY165" s="14">
        <f t="shared" si="514"/>
        <v>47079</v>
      </c>
      <c r="GZ165" s="65">
        <f t="shared" ca="1" si="515"/>
        <v>948</v>
      </c>
      <c r="HA165" s="15" t="str">
        <f t="shared" ca="1" si="418"/>
        <v>VIGENTE</v>
      </c>
      <c r="HB165" s="13">
        <v>44565</v>
      </c>
      <c r="HC165" s="14">
        <v>45185</v>
      </c>
      <c r="HD165" s="14">
        <f t="shared" si="516"/>
        <v>47012</v>
      </c>
      <c r="HE165" s="65">
        <f t="shared" ca="1" si="517"/>
        <v>881</v>
      </c>
      <c r="HF165" s="15" t="str">
        <f t="shared" ca="1" si="413"/>
        <v>VIGENTE</v>
      </c>
      <c r="HG165" s="16"/>
      <c r="HH165" s="14">
        <v>44879</v>
      </c>
      <c r="HI165" s="14">
        <f t="shared" ref="HI165:HI170" si="588">DATE(YEAR(HH165)+5,MONTH(HH165),DAY(HH165))</f>
        <v>46705</v>
      </c>
      <c r="HJ165" s="65">
        <f t="shared" ref="HJ165:HJ170" ca="1" si="589">HI165-TODAY()</f>
        <v>574</v>
      </c>
      <c r="HK165" s="15" t="str">
        <f t="shared" ca="1" si="419"/>
        <v>VIGENTE</v>
      </c>
      <c r="HL165" s="13">
        <v>44629</v>
      </c>
      <c r="HM165" s="14">
        <v>45370</v>
      </c>
      <c r="HN165" s="14">
        <f>DATE(YEAR(HM165)+5,MONTH(HM165),DAY(HM165))</f>
        <v>47196</v>
      </c>
      <c r="HO165" s="65">
        <f ca="1">HN165-TODAY()</f>
        <v>1065</v>
      </c>
      <c r="HP165" s="15" t="str">
        <f t="shared" ca="1" si="437"/>
        <v>VIGENTE</v>
      </c>
      <c r="HQ165" s="12"/>
      <c r="HR165" s="13">
        <v>45374</v>
      </c>
      <c r="HS165" s="14">
        <f>DATE(YEAR(HR165)+5,MONTH(HR165),DAY(HR165))</f>
        <v>47200</v>
      </c>
      <c r="HT165" s="65">
        <f ca="1">HS165-TODAY()</f>
        <v>1069</v>
      </c>
      <c r="HU165" s="15" t="str">
        <f t="shared" ca="1" si="518"/>
        <v>VIGENTE</v>
      </c>
      <c r="HV165" s="13">
        <v>44782</v>
      </c>
      <c r="HW165" s="14">
        <v>45420</v>
      </c>
      <c r="HX165" s="14">
        <f>DATE(YEAR(HW165)+5,MONTH(HW165),DAY(HW165))</f>
        <v>47246</v>
      </c>
      <c r="HY165" s="65">
        <f ca="1">HX165-TODAY()</f>
        <v>1115</v>
      </c>
      <c r="HZ165" s="15" t="str">
        <f t="shared" ca="1" si="519"/>
        <v>VIGENTE</v>
      </c>
      <c r="IA165" s="13">
        <v>44781</v>
      </c>
      <c r="IB165" s="14">
        <v>45428</v>
      </c>
      <c r="IC165" s="14">
        <f>DATE(YEAR(IB165)+5,MONTH(IB165),DAY(IB165))</f>
        <v>47254</v>
      </c>
      <c r="ID165" s="65">
        <f ca="1">IC165-TODAY()</f>
        <v>1123</v>
      </c>
      <c r="IE165" s="15" t="str">
        <f t="shared" ca="1" si="520"/>
        <v>VIGENTE</v>
      </c>
      <c r="IF165" s="13">
        <v>44792</v>
      </c>
      <c r="IG165" s="14">
        <v>45444</v>
      </c>
      <c r="IH165" s="14">
        <f>DATE(YEAR(IG165)+5,MONTH(IG165),DAY(IG165))</f>
        <v>47270</v>
      </c>
      <c r="II165" s="65">
        <f ca="1">IH165-TODAY()</f>
        <v>1139</v>
      </c>
      <c r="IJ165" s="15" t="str">
        <f t="shared" ca="1" si="521"/>
        <v>VIGENTE</v>
      </c>
      <c r="IK165" s="14">
        <v>44559</v>
      </c>
      <c r="IL165" s="14">
        <v>45276</v>
      </c>
      <c r="IM165" s="14">
        <f>DATE(YEAR(IL165)+5,MONTH(IL165),DAY(IL165))</f>
        <v>47103</v>
      </c>
      <c r="IN165" s="65">
        <f ca="1">IM165-TODAY()</f>
        <v>972</v>
      </c>
      <c r="IO165" s="15" t="str">
        <f t="shared" ca="1" si="522"/>
        <v>VIGENTE</v>
      </c>
      <c r="IP165" s="13">
        <v>44559</v>
      </c>
      <c r="IQ165" s="14">
        <v>45259</v>
      </c>
      <c r="IR165" s="14">
        <f>DATE(YEAR(IQ165)+5,MONTH(IQ165),DAY(IQ165))</f>
        <v>47086</v>
      </c>
      <c r="IS165" s="65">
        <f ca="1">IR165-TODAY()</f>
        <v>955</v>
      </c>
      <c r="IT165" s="15" t="str">
        <f t="shared" ca="1" si="523"/>
        <v>VIGENTE</v>
      </c>
      <c r="IU165" s="13">
        <v>44792</v>
      </c>
      <c r="IV165" s="14">
        <v>45385</v>
      </c>
      <c r="IW165" s="14">
        <f>DATE(YEAR(IV165)+5,MONTH(IV165),DAY(IV165))</f>
        <v>47211</v>
      </c>
      <c r="IX165" s="65">
        <f ca="1">IW165-TODAY()</f>
        <v>1080</v>
      </c>
      <c r="IY165" s="15" t="str">
        <f t="shared" ca="1" si="524"/>
        <v>VIGENTE</v>
      </c>
      <c r="IZ165" s="13">
        <v>44781</v>
      </c>
      <c r="JA165" s="14">
        <v>45374</v>
      </c>
      <c r="JB165" s="14">
        <f>DATE(YEAR(JA165)+5,MONTH(JA165),DAY(JA165))</f>
        <v>47200</v>
      </c>
      <c r="JC165" s="65">
        <f ca="1">JB165-TODAY()</f>
        <v>1069</v>
      </c>
      <c r="JD165" s="15" t="str">
        <f t="shared" ca="1" si="525"/>
        <v>VIGENTE</v>
      </c>
      <c r="JE165" s="13"/>
      <c r="JF165" s="13"/>
      <c r="JG165" s="14"/>
      <c r="JH165" s="65"/>
      <c r="JI165" s="15" t="str">
        <f t="shared" si="526"/>
        <v>NO APLICA</v>
      </c>
      <c r="JJ165" s="16"/>
      <c r="JK165" s="16"/>
      <c r="JL165" s="16"/>
      <c r="JM165" s="15" t="str">
        <f t="shared" si="527"/>
        <v>NO APLICA</v>
      </c>
      <c r="JN165" s="16"/>
      <c r="JO165" s="16"/>
      <c r="JP165" s="16"/>
      <c r="JQ165" s="15" t="str">
        <f t="shared" si="528"/>
        <v>NO APLICA</v>
      </c>
      <c r="JR165" s="16"/>
      <c r="JS165" s="16"/>
      <c r="JT165" s="16"/>
      <c r="JU165" s="16"/>
      <c r="JV165" s="15" t="str">
        <f t="shared" si="529"/>
        <v>NO APLICA</v>
      </c>
      <c r="JW165" s="15"/>
      <c r="JX165" s="15"/>
      <c r="JY165" s="15"/>
      <c r="JZ165" s="15"/>
      <c r="KA165" s="15" t="str">
        <f t="shared" si="530"/>
        <v>NO APLICA</v>
      </c>
      <c r="KB165" s="15"/>
      <c r="KC165" s="14"/>
      <c r="KD165" s="65"/>
      <c r="KE165" s="15" t="str">
        <f t="shared" si="531"/>
        <v>NO APLICA</v>
      </c>
      <c r="KF165" s="15"/>
      <c r="KG165" s="14"/>
      <c r="KH165" s="65"/>
      <c r="KI165" s="15" t="str">
        <f t="shared" si="547"/>
        <v>NO APLICA</v>
      </c>
      <c r="KJ165" s="15"/>
      <c r="KK165" s="14"/>
      <c r="KL165" s="65"/>
      <c r="KM165" s="15" t="str">
        <f t="shared" si="532"/>
        <v>NO APLICA</v>
      </c>
      <c r="KN165" s="13">
        <v>45346</v>
      </c>
      <c r="KO165" s="14">
        <f>DATE(YEAR(KN165)+5,MONTH(KN165),DAY(KN165))</f>
        <v>47173</v>
      </c>
      <c r="KP165" s="65">
        <f ca="1">KO165-TODAY()</f>
        <v>1042</v>
      </c>
      <c r="KQ165" s="15" t="str">
        <f t="shared" ca="1" si="548"/>
        <v>VIGENTE</v>
      </c>
      <c r="KR165" s="12"/>
      <c r="KS165" s="16"/>
      <c r="KT165" s="14"/>
      <c r="KU165" s="65"/>
      <c r="KV165" s="15" t="str">
        <f t="shared" si="554"/>
        <v>NO APLICA</v>
      </c>
      <c r="KW165" s="14">
        <v>44608</v>
      </c>
      <c r="KX165" s="14">
        <f>DATE(YEAR(KW165)+5,MONTH(KW165),DAY(KW165))</f>
        <v>46434</v>
      </c>
      <c r="KY165" s="65">
        <f ca="1">KX165-TODAY()</f>
        <v>303</v>
      </c>
      <c r="KZ165" s="15" t="str">
        <f t="shared" ca="1" si="549"/>
        <v>VIGENTE</v>
      </c>
      <c r="LA165" s="16"/>
      <c r="LB165" s="16"/>
      <c r="LC165" s="14"/>
      <c r="LD165" s="65"/>
      <c r="LE165" s="15" t="str">
        <f t="shared" si="556"/>
        <v>NO APLICA</v>
      </c>
      <c r="LF165" s="15"/>
      <c r="LG165" s="15"/>
      <c r="LH165" s="14"/>
      <c r="LI165" s="65"/>
      <c r="LJ165" s="15" t="str">
        <f t="shared" si="555"/>
        <v>NO APLICA</v>
      </c>
      <c r="LK165" s="15"/>
      <c r="LL165" s="16"/>
      <c r="LM165" s="14"/>
      <c r="LN165" s="65"/>
      <c r="LO165" s="15" t="str">
        <f t="shared" si="550"/>
        <v>NO APLICA</v>
      </c>
      <c r="LP165" s="14">
        <v>44984</v>
      </c>
      <c r="LQ165" s="14">
        <v>44986</v>
      </c>
      <c r="LR165" s="14">
        <f>DATE(YEAR(LQ165)+5,MONTH(LQ165),DAY(LQ165))</f>
        <v>46813</v>
      </c>
      <c r="LS165" s="65">
        <f ca="1">LR165-TODAY()</f>
        <v>682</v>
      </c>
      <c r="LT165" s="15" t="str">
        <f t="shared" ca="1" si="551"/>
        <v>VIGENTE</v>
      </c>
      <c r="LU165" s="14">
        <v>44987</v>
      </c>
      <c r="LV165" s="14">
        <v>44988</v>
      </c>
      <c r="LW165" s="14">
        <f>DATE(YEAR(LV165)+5,MONTH(LV165),DAY(LV165))</f>
        <v>46815</v>
      </c>
      <c r="LX165" s="65">
        <f ca="1">LW165-TODAY()</f>
        <v>684</v>
      </c>
      <c r="LY165" s="15" t="str">
        <f t="shared" ca="1" si="552"/>
        <v>VIGENTE</v>
      </c>
      <c r="LZ165" s="15"/>
      <c r="MA165" s="15"/>
      <c r="MB165" s="14"/>
      <c r="MC165" s="65"/>
      <c r="MD165" s="15" t="str">
        <f t="shared" si="534"/>
        <v>NO APLICA</v>
      </c>
      <c r="ME165" s="15"/>
      <c r="MF165" s="15"/>
      <c r="MG165" s="14"/>
      <c r="MH165" s="65"/>
      <c r="MI165" s="15" t="str">
        <f t="shared" si="535"/>
        <v>NO APLICA</v>
      </c>
      <c r="MJ165" s="15"/>
      <c r="MK165" s="14"/>
      <c r="ML165" s="65"/>
      <c r="MM165" s="15" t="str">
        <f t="shared" si="536"/>
        <v>NO APLICA</v>
      </c>
      <c r="MN165" s="15"/>
      <c r="MO165" s="14"/>
      <c r="MP165" s="15"/>
      <c r="MQ165" s="15" t="str">
        <f t="shared" si="537"/>
        <v>NO APLICA</v>
      </c>
      <c r="MR165" s="15"/>
      <c r="MS165" s="16"/>
      <c r="MT165" s="14"/>
      <c r="MU165" s="65"/>
      <c r="MV165" s="15" t="str">
        <f t="shared" si="538"/>
        <v>NO APLICA</v>
      </c>
      <c r="MW165" s="15"/>
      <c r="MX165" s="16"/>
      <c r="MY165" s="14"/>
      <c r="MZ165" s="65"/>
      <c r="NA165" s="15" t="str">
        <f t="shared" si="539"/>
        <v>NO APLICA</v>
      </c>
      <c r="NB165" s="15"/>
      <c r="NC165" s="16"/>
      <c r="ND165" s="14"/>
      <c r="NE165" s="65"/>
      <c r="NF165" s="15" t="str">
        <f t="shared" si="540"/>
        <v>NO APLICA</v>
      </c>
      <c r="NG165" s="15"/>
      <c r="NH165" s="15"/>
      <c r="NI165" s="15"/>
      <c r="NJ165" s="15"/>
      <c r="NK165" s="15" t="str">
        <f t="shared" si="541"/>
        <v>NO APLICA</v>
      </c>
      <c r="NL165" s="15"/>
      <c r="NM165" s="15"/>
      <c r="NN165" s="15"/>
      <c r="NO165" s="15"/>
      <c r="NP165" s="15" t="str">
        <f t="shared" si="542"/>
        <v>NO APLICA</v>
      </c>
      <c r="NQ165" s="16"/>
      <c r="NR165" s="16"/>
      <c r="NS165" s="16"/>
      <c r="NT165" s="16"/>
      <c r="NU165" s="15" t="str">
        <f t="shared" si="543"/>
        <v>NO APLICA</v>
      </c>
      <c r="NV165" s="16"/>
      <c r="NW165" s="16"/>
      <c r="NX165" s="16"/>
      <c r="NY165" s="16"/>
      <c r="NZ165" s="15" t="str">
        <f t="shared" si="544"/>
        <v>NO APLICA</v>
      </c>
    </row>
    <row r="166" spans="1:390" ht="15.6" thickTop="1" thickBot="1" x14ac:dyDescent="0.35">
      <c r="A166" s="11">
        <v>1631</v>
      </c>
      <c r="B166" s="10" t="s">
        <v>594</v>
      </c>
      <c r="C166" s="21" t="s">
        <v>98</v>
      </c>
      <c r="D166" s="64" t="s">
        <v>595</v>
      </c>
      <c r="E166" s="15"/>
      <c r="F166" s="16"/>
      <c r="G166" s="14"/>
      <c r="H166" s="65"/>
      <c r="I166" s="15" t="str">
        <f t="shared" si="448"/>
        <v>NO APLICA</v>
      </c>
      <c r="J166" s="15"/>
      <c r="K166" s="16"/>
      <c r="L166" s="16"/>
      <c r="M166" s="65"/>
      <c r="N166" s="15" t="str">
        <f t="shared" si="449"/>
        <v>NO APLICA</v>
      </c>
      <c r="O166" s="14">
        <v>45757</v>
      </c>
      <c r="P166" s="14">
        <v>45758</v>
      </c>
      <c r="Q166" s="14">
        <f>DATE(YEAR(P166)+2,MONTH(P166),DAY(P166)-1)</f>
        <v>46487</v>
      </c>
      <c r="R166" s="65">
        <f ca="1">Q166-TODAY()</f>
        <v>356</v>
      </c>
      <c r="S166" s="15" t="str">
        <f t="shared" ca="1" si="545"/>
        <v>VIGENTE</v>
      </c>
      <c r="T166" s="12" t="s">
        <v>596</v>
      </c>
      <c r="U166" s="13">
        <v>44687</v>
      </c>
      <c r="V166" s="14">
        <v>44688</v>
      </c>
      <c r="W166" s="14">
        <f t="shared" si="577"/>
        <v>46514</v>
      </c>
      <c r="X166" s="65">
        <f t="shared" ca="1" si="578"/>
        <v>383</v>
      </c>
      <c r="Y166" s="15" t="str">
        <f t="shared" ca="1" si="403"/>
        <v>VIGENTE</v>
      </c>
      <c r="Z166" s="12" t="s">
        <v>597</v>
      </c>
      <c r="AA166" s="13">
        <v>45189</v>
      </c>
      <c r="AB166" s="14">
        <v>45190</v>
      </c>
      <c r="AC166" s="14">
        <f t="shared" si="586"/>
        <v>47017</v>
      </c>
      <c r="AD166" s="65">
        <f t="shared" ca="1" si="587"/>
        <v>886</v>
      </c>
      <c r="AE166" s="15" t="str">
        <f t="shared" ca="1" si="574"/>
        <v>VIGENTE</v>
      </c>
      <c r="AF166" s="13">
        <v>44869</v>
      </c>
      <c r="AG166" s="14">
        <v>45512</v>
      </c>
      <c r="AH166" s="14">
        <f>DATE(YEAR(AG166)+2,MONTH(AG166),DAY(AG166)-1)</f>
        <v>46241</v>
      </c>
      <c r="AI166" s="65">
        <f t="shared" ca="1" si="450"/>
        <v>110</v>
      </c>
      <c r="AJ166" s="15" t="str">
        <f t="shared" ca="1" si="399"/>
        <v>VIGENTE</v>
      </c>
      <c r="AK166" s="13">
        <v>44882</v>
      </c>
      <c r="AL166" s="14">
        <v>45490</v>
      </c>
      <c r="AM166" s="14">
        <f>DATE(YEAR(AL166)+2,MONTH(AL166),DAY(AL166)-1)</f>
        <v>46219</v>
      </c>
      <c r="AN166" s="65">
        <f t="shared" ca="1" si="451"/>
        <v>88</v>
      </c>
      <c r="AO166" s="15" t="str">
        <f t="shared" ca="1" si="452"/>
        <v>POR VENCER</v>
      </c>
      <c r="AP166" s="13">
        <v>44912</v>
      </c>
      <c r="AQ166" s="14">
        <v>45505</v>
      </c>
      <c r="AR166" s="14">
        <f>DATE(YEAR(AQ166)+2,MONTH(AQ166),DAY(AQ166)-1)</f>
        <v>46234</v>
      </c>
      <c r="AS166" s="65">
        <f t="shared" ca="1" si="453"/>
        <v>103</v>
      </c>
      <c r="AT166" s="15" t="str">
        <f t="shared" ca="1" si="454"/>
        <v>VIGENTE</v>
      </c>
      <c r="AU166" s="13">
        <v>44879</v>
      </c>
      <c r="AV166" s="14">
        <v>45514</v>
      </c>
      <c r="AW166" s="14">
        <f>DATE(YEAR(AV166)+2,MONTH(AV166),DAY(AV166)-1)</f>
        <v>46243</v>
      </c>
      <c r="AX166" s="65">
        <f t="shared" ca="1" si="455"/>
        <v>112</v>
      </c>
      <c r="AY166" s="15" t="str">
        <f t="shared" ca="1" si="456"/>
        <v>VIGENTE</v>
      </c>
      <c r="AZ166" s="13">
        <v>44930</v>
      </c>
      <c r="BA166" s="14">
        <v>45603</v>
      </c>
      <c r="BB166" s="14">
        <f>DATE(YEAR(BA166)+2,MONTH(BA166),DAY(BA166)-1)</f>
        <v>46332</v>
      </c>
      <c r="BC166" s="65">
        <f t="shared" ca="1" si="457"/>
        <v>201</v>
      </c>
      <c r="BD166" s="15" t="str">
        <f t="shared" ca="1" si="458"/>
        <v>VIGENTE</v>
      </c>
      <c r="BE166" s="13">
        <v>44886</v>
      </c>
      <c r="BF166" s="14">
        <v>45488</v>
      </c>
      <c r="BG166" s="14">
        <f>DATE(YEAR(BF166)+2,MONTH(BF166),DAY(BF166)-1)</f>
        <v>46217</v>
      </c>
      <c r="BH166" s="65">
        <f t="shared" ca="1" si="459"/>
        <v>86</v>
      </c>
      <c r="BI166" s="15" t="str">
        <f t="shared" ca="1" si="460"/>
        <v>POR VENCER</v>
      </c>
      <c r="BJ166" s="13">
        <v>44795</v>
      </c>
      <c r="BK166" s="14">
        <v>46051</v>
      </c>
      <c r="BL166" s="14">
        <f>DATE(YEAR(BK166)+2,MONTH(BK166),DAY(BK166))</f>
        <v>46781</v>
      </c>
      <c r="BM166" s="65">
        <f t="shared" ca="1" si="461"/>
        <v>650</v>
      </c>
      <c r="BN166" s="15" t="str">
        <f t="shared" ca="1" si="462"/>
        <v>VIGENTE</v>
      </c>
      <c r="BO166" s="13">
        <v>44798</v>
      </c>
      <c r="BP166" s="14">
        <v>46050</v>
      </c>
      <c r="BQ166" s="14">
        <f>DATE(YEAR(BP166)+2,MONTH(BP166),DAY(BP166))</f>
        <v>46780</v>
      </c>
      <c r="BR166" s="65">
        <f t="shared" ca="1" si="463"/>
        <v>649</v>
      </c>
      <c r="BS166" s="15" t="str">
        <f t="shared" ca="1" si="464"/>
        <v>VIGENTE</v>
      </c>
      <c r="BT166" s="13">
        <v>44874</v>
      </c>
      <c r="BU166" s="14">
        <v>45484</v>
      </c>
      <c r="BV166" s="14">
        <f>DATE(YEAR(BU166)+2,MONTH(BU166),DAY(BU166)-1)</f>
        <v>46213</v>
      </c>
      <c r="BW166" s="65">
        <f t="shared" ca="1" si="465"/>
        <v>82</v>
      </c>
      <c r="BX166" s="15" t="str">
        <f t="shared" ca="1" si="466"/>
        <v>POR VENCER</v>
      </c>
      <c r="BY166" s="13">
        <v>44907</v>
      </c>
      <c r="BZ166" s="14">
        <v>45546</v>
      </c>
      <c r="CA166" s="14">
        <f>DATE(YEAR(BZ166)+2,MONTH(BZ166),DAY(BZ166)-1)</f>
        <v>46275</v>
      </c>
      <c r="CB166" s="65">
        <f t="shared" ca="1" si="467"/>
        <v>144</v>
      </c>
      <c r="CC166" s="15" t="str">
        <f t="shared" ca="1" si="468"/>
        <v>VIGENTE</v>
      </c>
      <c r="CD166" s="16" t="s">
        <v>102</v>
      </c>
      <c r="CE166" s="14">
        <v>45827</v>
      </c>
      <c r="CF166" s="14">
        <v>45828</v>
      </c>
      <c r="CG166" s="14">
        <f t="shared" si="580"/>
        <v>47289</v>
      </c>
      <c r="CH166" s="65">
        <f t="shared" ca="1" si="581"/>
        <v>1158</v>
      </c>
      <c r="CI166" s="15" t="str">
        <f t="shared" ca="1" si="562"/>
        <v>VIGENTE</v>
      </c>
      <c r="CJ166" s="14">
        <v>44908</v>
      </c>
      <c r="CK166" s="14">
        <v>45511</v>
      </c>
      <c r="CL166" s="14">
        <f>DATE(YEAR(CK166)+2,MONTH(CK166),DAY(CK166)-1)</f>
        <v>46240</v>
      </c>
      <c r="CM166" s="65">
        <f t="shared" ca="1" si="469"/>
        <v>109</v>
      </c>
      <c r="CN166" s="15" t="str">
        <f t="shared" ca="1" si="470"/>
        <v>VIGENTE</v>
      </c>
      <c r="CO166" s="13">
        <v>44970</v>
      </c>
      <c r="CP166" s="14">
        <v>45688</v>
      </c>
      <c r="CQ166" s="14">
        <f>DATE(YEAR(CP166)+2,MONTH(CP166),DAY(CP166)-1)</f>
        <v>46417</v>
      </c>
      <c r="CR166" s="65">
        <f t="shared" ca="1" si="471"/>
        <v>286</v>
      </c>
      <c r="CS166" s="15" t="str">
        <f t="shared" ca="1" si="472"/>
        <v>VIGENTE</v>
      </c>
      <c r="CT166" s="13">
        <v>45086</v>
      </c>
      <c r="CU166" s="14">
        <v>45727</v>
      </c>
      <c r="CV166" s="14">
        <f>DATE(YEAR(CU166)+2,MONTH(CU166),DAY(CU166)-1)</f>
        <v>46456</v>
      </c>
      <c r="CW166" s="65">
        <f t="shared" ca="1" si="473"/>
        <v>325</v>
      </c>
      <c r="CX166" s="15" t="str">
        <f t="shared" ca="1" si="474"/>
        <v>VIGENTE</v>
      </c>
      <c r="CY166" s="13">
        <v>45057</v>
      </c>
      <c r="CZ166" s="14">
        <v>45665</v>
      </c>
      <c r="DA166" s="14">
        <f>DATE(YEAR(CZ166)+2,MONTH(CZ166),DAY(CZ166)-1)</f>
        <v>46394</v>
      </c>
      <c r="DB166" s="65">
        <f t="shared" ca="1" si="475"/>
        <v>263</v>
      </c>
      <c r="DC166" s="15" t="str">
        <f t="shared" ca="1" si="476"/>
        <v>VIGENTE</v>
      </c>
      <c r="DD166" s="13">
        <v>45417</v>
      </c>
      <c r="DE166" s="14">
        <v>46066</v>
      </c>
      <c r="DF166" s="14">
        <f>DATE(YEAR(DE166)+2,MONTH(DE166),DAY(DE166))</f>
        <v>46796</v>
      </c>
      <c r="DG166" s="65">
        <f t="shared" ca="1" si="477"/>
        <v>665</v>
      </c>
      <c r="DH166" s="15" t="str">
        <f t="shared" ca="1" si="478"/>
        <v>VIGENTE</v>
      </c>
      <c r="DI166" s="13">
        <v>44877</v>
      </c>
      <c r="DJ166" s="14">
        <v>45509</v>
      </c>
      <c r="DK166" s="14">
        <f>DATE(YEAR(DJ166)+2,MONTH(DJ166),DAY(DJ166)-1)</f>
        <v>46238</v>
      </c>
      <c r="DL166" s="65">
        <f t="shared" ca="1" si="479"/>
        <v>107</v>
      </c>
      <c r="DM166" s="15" t="str">
        <f t="shared" ca="1" si="480"/>
        <v>VIGENTE</v>
      </c>
      <c r="DN166" s="13">
        <v>45033</v>
      </c>
      <c r="DO166" s="14">
        <v>45731</v>
      </c>
      <c r="DP166" s="14">
        <f>DATE(YEAR(DO166)+2,MONTH(DO166),DAY(DO166)-1)</f>
        <v>46460</v>
      </c>
      <c r="DQ166" s="65">
        <f t="shared" ca="1" si="481"/>
        <v>329</v>
      </c>
      <c r="DR166" s="15" t="str">
        <f t="shared" ca="1" si="482"/>
        <v>VIGENTE</v>
      </c>
      <c r="DS166" s="13">
        <v>44935</v>
      </c>
      <c r="DT166" s="14">
        <v>45608</v>
      </c>
      <c r="DU166" s="14">
        <f>DATE(YEAR(DT166)+2,MONTH(DT166),DAY(DT166)-1)</f>
        <v>46337</v>
      </c>
      <c r="DV166" s="65">
        <f t="shared" ca="1" si="483"/>
        <v>206</v>
      </c>
      <c r="DW166" s="15" t="str">
        <f t="shared" ca="1" si="484"/>
        <v>VIGENTE</v>
      </c>
      <c r="DX166" s="13">
        <v>44931</v>
      </c>
      <c r="DY166" s="14">
        <v>45582</v>
      </c>
      <c r="DZ166" s="14">
        <f t="shared" si="585"/>
        <v>46311</v>
      </c>
      <c r="EA166" s="65">
        <f t="shared" ca="1" si="485"/>
        <v>180</v>
      </c>
      <c r="EB166" s="15" t="str">
        <f t="shared" ca="1" si="486"/>
        <v>VIGENTE</v>
      </c>
      <c r="EC166" s="13">
        <v>44982</v>
      </c>
      <c r="ED166" s="14">
        <v>45602</v>
      </c>
      <c r="EE166" s="14">
        <f>DATE(YEAR(ED166)+2,MONTH(ED166),DAY(ED166)-1)</f>
        <v>46331</v>
      </c>
      <c r="EF166" s="65">
        <f t="shared" ca="1" si="487"/>
        <v>200</v>
      </c>
      <c r="EG166" s="15" t="str">
        <f t="shared" ca="1" si="488"/>
        <v>VIGENTE</v>
      </c>
      <c r="EH166" s="13">
        <v>44889</v>
      </c>
      <c r="EI166" s="13">
        <v>46105</v>
      </c>
      <c r="EJ166" s="13">
        <v>46106</v>
      </c>
      <c r="EK166" s="13">
        <v>46107</v>
      </c>
      <c r="EL166" s="14">
        <f t="shared" si="546"/>
        <v>46472</v>
      </c>
      <c r="EM166" s="65">
        <f t="shared" ca="1" si="489"/>
        <v>341</v>
      </c>
      <c r="EN166" s="15" t="str">
        <f t="shared" ca="1" si="490"/>
        <v>VIGENTE</v>
      </c>
      <c r="EO166" s="13">
        <v>44796</v>
      </c>
      <c r="EP166" s="14">
        <v>46100</v>
      </c>
      <c r="EQ166" s="14">
        <f>DATE(YEAR(EP166)+2,MONTH(EP166),DAY(EP166))</f>
        <v>46831</v>
      </c>
      <c r="ER166" s="65">
        <f t="shared" ca="1" si="491"/>
        <v>700</v>
      </c>
      <c r="ES166" s="15" t="str">
        <f t="shared" ca="1" si="492"/>
        <v>VIGENTE</v>
      </c>
      <c r="ET166" s="13">
        <v>44929</v>
      </c>
      <c r="EU166" s="14">
        <v>45575</v>
      </c>
      <c r="EV166" s="14">
        <f>DATE(YEAR(EU166)+2,MONTH(EU166),DAY(EU166)-1)</f>
        <v>46304</v>
      </c>
      <c r="EW166" s="65">
        <f t="shared" ca="1" si="493"/>
        <v>173</v>
      </c>
      <c r="EX166" s="15" t="str">
        <f t="shared" ca="1" si="494"/>
        <v>VIGENTE</v>
      </c>
      <c r="EY166" s="13">
        <v>44917</v>
      </c>
      <c r="EZ166" s="14">
        <v>45610</v>
      </c>
      <c r="FA166" s="14">
        <f>DATE(YEAR(EZ166)+2,MONTH(EZ166),DAY(EZ166)-1)</f>
        <v>46339</v>
      </c>
      <c r="FB166" s="65">
        <f t="shared" ca="1" si="495"/>
        <v>208</v>
      </c>
      <c r="FC166" s="15" t="str">
        <f t="shared" ca="1" si="496"/>
        <v>VIGENTE</v>
      </c>
      <c r="FD166" s="13">
        <v>44936</v>
      </c>
      <c r="FE166" s="14">
        <v>45611</v>
      </c>
      <c r="FF166" s="14">
        <f>DATE(YEAR(FE166)+2,MONTH(FE166),DAY(FE166)-1)</f>
        <v>46340</v>
      </c>
      <c r="FG166" s="65">
        <f t="shared" ca="1" si="497"/>
        <v>209</v>
      </c>
      <c r="FH166" s="15" t="str">
        <f t="shared" ca="1" si="498"/>
        <v>VIGENTE</v>
      </c>
      <c r="FI166" s="13">
        <v>44884</v>
      </c>
      <c r="FJ166" s="14">
        <v>45506</v>
      </c>
      <c r="FK166" s="14">
        <f>DATE(YEAR(FJ166)+2,MONTH(FJ166),DAY(FJ166)-1)</f>
        <v>46235</v>
      </c>
      <c r="FL166" s="65">
        <f t="shared" ca="1" si="499"/>
        <v>104</v>
      </c>
      <c r="FM166" s="15" t="str">
        <f t="shared" ca="1" si="500"/>
        <v>VIGENTE</v>
      </c>
      <c r="FN166" s="13">
        <v>44672</v>
      </c>
      <c r="FO166" s="14">
        <v>45933</v>
      </c>
      <c r="FP166" s="14">
        <f>DATE(YEAR(FO166)+2,MONTH(FO166),DAY(FO166))</f>
        <v>46663</v>
      </c>
      <c r="FQ166" s="65">
        <f t="shared" ca="1" si="501"/>
        <v>532</v>
      </c>
      <c r="FR166" s="15" t="str">
        <f t="shared" ca="1" si="502"/>
        <v>VIGENTE</v>
      </c>
      <c r="FS166" s="13">
        <v>44797</v>
      </c>
      <c r="FT166" s="14">
        <v>46077</v>
      </c>
      <c r="FU166" s="14">
        <f>DATE(YEAR(FT166)+2,MONTH(FT166),DAY(FT166))</f>
        <v>46807</v>
      </c>
      <c r="FV166" s="65">
        <f t="shared" ca="1" si="503"/>
        <v>676</v>
      </c>
      <c r="FW166" s="15" t="str">
        <f t="shared" ca="1" si="504"/>
        <v>VIGENTE</v>
      </c>
      <c r="FX166" s="13">
        <v>45028</v>
      </c>
      <c r="FY166" s="14">
        <v>45700</v>
      </c>
      <c r="FZ166" s="14">
        <f>DATE(YEAR(FY166)+2,MONTH(FY166),DAY(FY166)-1)</f>
        <v>46429</v>
      </c>
      <c r="GA166" s="65">
        <f t="shared" ca="1" si="505"/>
        <v>298</v>
      </c>
      <c r="GB166" s="15" t="str">
        <f t="shared" ca="1" si="506"/>
        <v>VIGENTE</v>
      </c>
      <c r="GC166" s="13">
        <v>44922</v>
      </c>
      <c r="GD166" s="14">
        <v>45595</v>
      </c>
      <c r="GE166" s="14">
        <f>DATE(YEAR(GD166)+2,MONTH(GD166),DAY(GD166)-1)</f>
        <v>46324</v>
      </c>
      <c r="GF166" s="65">
        <f t="shared" ca="1" si="507"/>
        <v>193</v>
      </c>
      <c r="GG166" s="15" t="str">
        <f t="shared" ca="1" si="508"/>
        <v>VIGENTE</v>
      </c>
      <c r="GH166" s="13">
        <v>44796</v>
      </c>
      <c r="GI166" s="14">
        <v>46092</v>
      </c>
      <c r="GJ166" s="14">
        <f>DATE(YEAR(GI166)+2,MONTH(GI166),DAY(GI166))</f>
        <v>46823</v>
      </c>
      <c r="GK166" s="65">
        <f t="shared" ca="1" si="509"/>
        <v>692</v>
      </c>
      <c r="GL166" s="15" t="str">
        <f t="shared" ca="1" si="510"/>
        <v>VIGENTE</v>
      </c>
      <c r="GM166" s="13">
        <v>44875</v>
      </c>
      <c r="GN166" s="14">
        <v>45567</v>
      </c>
      <c r="GO166" s="14">
        <f>DATE(YEAR(GN166)+2,MONTH(GN166),DAY(GN166)-1)</f>
        <v>46296</v>
      </c>
      <c r="GP166" s="65">
        <f t="shared" ca="1" si="511"/>
        <v>165</v>
      </c>
      <c r="GQ166" s="15" t="str">
        <f t="shared" ca="1" si="512"/>
        <v>VIGENTE</v>
      </c>
      <c r="GR166" s="14">
        <v>44873</v>
      </c>
      <c r="GS166" s="14">
        <v>45495</v>
      </c>
      <c r="GT166" s="14">
        <f t="shared" si="513"/>
        <v>47321</v>
      </c>
      <c r="GU166" s="65">
        <f t="shared" ca="1" si="398"/>
        <v>1190</v>
      </c>
      <c r="GV166" s="15" t="str">
        <f t="shared" ca="1" si="411"/>
        <v>VIGENTE</v>
      </c>
      <c r="GW166" s="13"/>
      <c r="GX166" s="14">
        <v>44910</v>
      </c>
      <c r="GY166" s="14">
        <f t="shared" si="514"/>
        <v>46736</v>
      </c>
      <c r="GZ166" s="65">
        <f t="shared" ca="1" si="515"/>
        <v>605</v>
      </c>
      <c r="HA166" s="15" t="str">
        <f t="shared" ca="1" si="418"/>
        <v>VIGENTE</v>
      </c>
      <c r="HB166" s="12"/>
      <c r="HC166" s="14">
        <v>44883</v>
      </c>
      <c r="HD166" s="14">
        <f t="shared" si="516"/>
        <v>46709</v>
      </c>
      <c r="HE166" s="65">
        <f t="shared" ca="1" si="517"/>
        <v>578</v>
      </c>
      <c r="HF166" s="15" t="str">
        <f t="shared" ca="1" si="413"/>
        <v>VIGENTE</v>
      </c>
      <c r="HG166" s="16"/>
      <c r="HH166" s="14">
        <v>44876</v>
      </c>
      <c r="HI166" s="14">
        <f t="shared" si="588"/>
        <v>46702</v>
      </c>
      <c r="HJ166" s="65">
        <f t="shared" ca="1" si="589"/>
        <v>571</v>
      </c>
      <c r="HK166" s="15" t="str">
        <f t="shared" ca="1" si="419"/>
        <v>VIGENTE</v>
      </c>
      <c r="HL166" s="12"/>
      <c r="HM166" s="16"/>
      <c r="HN166" s="14"/>
      <c r="HO166" s="65"/>
      <c r="HP166" s="15" t="str">
        <f t="shared" si="437"/>
        <v>NO APLICA</v>
      </c>
      <c r="HQ166" s="12"/>
      <c r="HR166" s="12"/>
      <c r="HS166" s="14"/>
      <c r="HT166" s="12"/>
      <c r="HU166" s="15" t="str">
        <f t="shared" si="518"/>
        <v>NO APLICA</v>
      </c>
      <c r="HV166" s="12"/>
      <c r="HW166" s="16"/>
      <c r="HX166" s="14"/>
      <c r="HY166" s="65"/>
      <c r="HZ166" s="15" t="str">
        <f t="shared" si="519"/>
        <v>NO APLICA</v>
      </c>
      <c r="IA166" s="12"/>
      <c r="IB166" s="16"/>
      <c r="IC166" s="14"/>
      <c r="ID166" s="65"/>
      <c r="IE166" s="15" t="str">
        <f t="shared" si="520"/>
        <v>NO APLICA</v>
      </c>
      <c r="IF166" s="12"/>
      <c r="IG166" s="16"/>
      <c r="IH166" s="14"/>
      <c r="II166" s="65"/>
      <c r="IJ166" s="15" t="str">
        <f t="shared" si="521"/>
        <v>NO APLICA</v>
      </c>
      <c r="IK166" s="16"/>
      <c r="IL166" s="16"/>
      <c r="IM166" s="14"/>
      <c r="IN166" s="65"/>
      <c r="IO166" s="15" t="str">
        <f t="shared" si="522"/>
        <v>NO APLICA</v>
      </c>
      <c r="IP166" s="12"/>
      <c r="IQ166" s="16"/>
      <c r="IR166" s="14"/>
      <c r="IS166" s="65"/>
      <c r="IT166" s="15" t="str">
        <f t="shared" si="523"/>
        <v>NO APLICA</v>
      </c>
      <c r="IU166" s="12"/>
      <c r="IV166" s="16"/>
      <c r="IW166" s="14"/>
      <c r="IX166" s="65"/>
      <c r="IY166" s="15" t="str">
        <f t="shared" si="524"/>
        <v>NO APLICA</v>
      </c>
      <c r="IZ166" s="12"/>
      <c r="JA166" s="16"/>
      <c r="JB166" s="14"/>
      <c r="JC166" s="65"/>
      <c r="JD166" s="15" t="str">
        <f t="shared" si="525"/>
        <v>NO APLICA</v>
      </c>
      <c r="JE166" s="13"/>
      <c r="JF166" s="13"/>
      <c r="JG166" s="14"/>
      <c r="JH166" s="65"/>
      <c r="JI166" s="15" t="str">
        <f t="shared" si="526"/>
        <v>NO APLICA</v>
      </c>
      <c r="JJ166" s="16"/>
      <c r="JK166" s="16"/>
      <c r="JL166" s="16"/>
      <c r="JM166" s="15" t="str">
        <f t="shared" si="527"/>
        <v>NO APLICA</v>
      </c>
      <c r="JN166" s="16"/>
      <c r="JO166" s="16"/>
      <c r="JP166" s="16"/>
      <c r="JQ166" s="15" t="str">
        <f t="shared" si="528"/>
        <v>NO APLICA</v>
      </c>
      <c r="JR166" s="16"/>
      <c r="JS166" s="16"/>
      <c r="JT166" s="16"/>
      <c r="JU166" s="16"/>
      <c r="JV166" s="15" t="str">
        <f t="shared" si="529"/>
        <v>NO APLICA</v>
      </c>
      <c r="JW166" s="15"/>
      <c r="JX166" s="15"/>
      <c r="JY166" s="15"/>
      <c r="JZ166" s="15"/>
      <c r="KA166" s="15" t="str">
        <f t="shared" si="530"/>
        <v>NO APLICA</v>
      </c>
      <c r="KB166" s="12"/>
      <c r="KC166" s="14"/>
      <c r="KD166" s="65"/>
      <c r="KE166" s="15" t="str">
        <f t="shared" si="531"/>
        <v>NO APLICA</v>
      </c>
      <c r="KF166" s="12"/>
      <c r="KG166" s="14"/>
      <c r="KH166" s="65"/>
      <c r="KI166" s="15" t="str">
        <f t="shared" si="547"/>
        <v>NO APLICA</v>
      </c>
      <c r="KJ166" s="13">
        <v>45364</v>
      </c>
      <c r="KK166" s="14">
        <f>DATE(YEAR(KJ166)+5,MONTH(KJ166),DAY(KJ166))</f>
        <v>47190</v>
      </c>
      <c r="KL166" s="65">
        <f ca="1">KK166-TODAY()</f>
        <v>1059</v>
      </c>
      <c r="KM166" s="15" t="str">
        <f t="shared" ca="1" si="532"/>
        <v>VIGENTE</v>
      </c>
      <c r="KN166" s="13">
        <v>45346</v>
      </c>
      <c r="KO166" s="14">
        <f>DATE(YEAR(KN166)+5,MONTH(KN166),DAY(KN166))</f>
        <v>47173</v>
      </c>
      <c r="KP166" s="65">
        <f ca="1">KO166-TODAY()</f>
        <v>1042</v>
      </c>
      <c r="KQ166" s="15" t="str">
        <f t="shared" ca="1" si="548"/>
        <v>VIGENTE</v>
      </c>
      <c r="KR166" s="12"/>
      <c r="KS166" s="16"/>
      <c r="KT166" s="14"/>
      <c r="KU166" s="65"/>
      <c r="KV166" s="15" t="str">
        <f t="shared" si="554"/>
        <v>NO APLICA</v>
      </c>
      <c r="KW166" s="16"/>
      <c r="KX166" s="14"/>
      <c r="KY166" s="65"/>
      <c r="KZ166" s="15" t="str">
        <f t="shared" si="549"/>
        <v>NO APLICA</v>
      </c>
      <c r="LA166" s="14">
        <v>44681</v>
      </c>
      <c r="LB166" s="14"/>
      <c r="LC166" s="14"/>
      <c r="LD166" s="65"/>
      <c r="LE166" s="15" t="str">
        <f>IF(LD166&gt;=61,"VIGENTE",IF(LD166&gt;=1,"POR VENCER",IF(LD166&lt;=-1,"VENCIDA",IF(LD166=0,"NO APLICA"))))</f>
        <v>NO APLICA</v>
      </c>
      <c r="LF166" s="15"/>
      <c r="LG166" s="15"/>
      <c r="LH166" s="15"/>
      <c r="LI166" s="15"/>
      <c r="LJ166" s="15" t="str">
        <f t="shared" si="555"/>
        <v>NO APLICA</v>
      </c>
      <c r="LK166" s="12"/>
      <c r="LL166" s="16"/>
      <c r="LM166" s="14"/>
      <c r="LN166" s="65"/>
      <c r="LO166" s="15" t="str">
        <f t="shared" si="550"/>
        <v>NO APLICA</v>
      </c>
      <c r="LP166" s="14">
        <v>44984</v>
      </c>
      <c r="LQ166" s="14">
        <v>44986</v>
      </c>
      <c r="LR166" s="14">
        <f>DATE(YEAR(LQ166)+5,MONTH(LQ166),DAY(LQ166))</f>
        <v>46813</v>
      </c>
      <c r="LS166" s="65">
        <f ca="1">LR166-TODAY()</f>
        <v>682</v>
      </c>
      <c r="LT166" s="15" t="str">
        <f t="shared" ca="1" si="551"/>
        <v>VIGENTE</v>
      </c>
      <c r="LU166" s="14">
        <v>44987</v>
      </c>
      <c r="LV166" s="14">
        <v>44988</v>
      </c>
      <c r="LW166" s="14">
        <f>DATE(YEAR(LV166)+5,MONTH(LV166),DAY(LV166))</f>
        <v>46815</v>
      </c>
      <c r="LX166" s="65">
        <f ca="1">LW166-TODAY()</f>
        <v>684</v>
      </c>
      <c r="LY166" s="15" t="str">
        <f t="shared" ca="1" si="552"/>
        <v>VIGENTE</v>
      </c>
      <c r="LZ166" s="13">
        <v>44998</v>
      </c>
      <c r="MA166" s="13">
        <v>44998</v>
      </c>
      <c r="MB166" s="14">
        <f>DATE(YEAR(MA166)+5,MONTH(MA166),DAY(MA166))</f>
        <v>46825</v>
      </c>
      <c r="MC166" s="65">
        <f ca="1">MB166-TODAY()</f>
        <v>694</v>
      </c>
      <c r="MD166" s="15" t="str">
        <f t="shared" ca="1" si="534"/>
        <v>VIGENTE</v>
      </c>
      <c r="ME166" s="13">
        <v>45229</v>
      </c>
      <c r="MF166" s="13">
        <v>45231</v>
      </c>
      <c r="MG166" s="14">
        <f>DATE(YEAR(MF166)+5,MONTH(MF166),DAY(MF166))</f>
        <v>47058</v>
      </c>
      <c r="MH166" s="65">
        <f ca="1">MG166-TODAY()</f>
        <v>927</v>
      </c>
      <c r="MI166" s="15" t="str">
        <f t="shared" ca="1" si="535"/>
        <v>VIGENTE</v>
      </c>
      <c r="MJ166" s="12"/>
      <c r="MK166" s="14"/>
      <c r="ML166" s="65"/>
      <c r="MM166" s="15" t="str">
        <f t="shared" si="536"/>
        <v>NO APLICA</v>
      </c>
      <c r="MN166" s="12"/>
      <c r="MO166" s="14"/>
      <c r="MP166" s="12"/>
      <c r="MQ166" s="15" t="str">
        <f t="shared" si="537"/>
        <v>NO APLICA</v>
      </c>
      <c r="MR166" s="12"/>
      <c r="MS166" s="16"/>
      <c r="MT166" s="14"/>
      <c r="MU166" s="65"/>
      <c r="MV166" s="15" t="str">
        <f t="shared" si="538"/>
        <v>NO APLICA</v>
      </c>
      <c r="MW166" s="12"/>
      <c r="MX166" s="16"/>
      <c r="MY166" s="14"/>
      <c r="MZ166" s="65"/>
      <c r="NA166" s="15" t="str">
        <f t="shared" si="539"/>
        <v>NO APLICA</v>
      </c>
      <c r="NB166" s="12"/>
      <c r="NC166" s="16"/>
      <c r="ND166" s="14"/>
      <c r="NE166" s="65"/>
      <c r="NF166" s="15" t="str">
        <f t="shared" si="540"/>
        <v>NO APLICA</v>
      </c>
      <c r="NG166" s="13">
        <v>45001</v>
      </c>
      <c r="NH166" s="13">
        <v>45002</v>
      </c>
      <c r="NI166" s="14">
        <f>DATE(YEAR(NH166)+5,MONTH(NH166),DAY(NH166))</f>
        <v>46829</v>
      </c>
      <c r="NJ166" s="65">
        <f ca="1">NI166-TODAY()</f>
        <v>698</v>
      </c>
      <c r="NK166" s="15" t="str">
        <f t="shared" ca="1" si="541"/>
        <v>VIGENTE</v>
      </c>
      <c r="NL166" s="12"/>
      <c r="NM166" s="12"/>
      <c r="NN166" s="14"/>
      <c r="NO166" s="12"/>
      <c r="NP166" s="15" t="str">
        <f t="shared" si="542"/>
        <v>NO APLICA</v>
      </c>
      <c r="NQ166" s="16"/>
      <c r="NR166" s="16"/>
      <c r="NS166" s="14"/>
      <c r="NT166" s="65"/>
      <c r="NU166" s="15" t="str">
        <f t="shared" si="543"/>
        <v>NO APLICA</v>
      </c>
      <c r="NV166" s="16"/>
      <c r="NW166" s="16"/>
      <c r="NX166" s="16"/>
      <c r="NY166" s="16"/>
      <c r="NZ166" s="15" t="str">
        <f t="shared" si="544"/>
        <v>NO APLICA</v>
      </c>
    </row>
    <row r="167" spans="1:390" ht="15.6" thickTop="1" thickBot="1" x14ac:dyDescent="0.35">
      <c r="A167" s="9">
        <v>1199</v>
      </c>
      <c r="B167" s="10" t="s">
        <v>598</v>
      </c>
      <c r="C167" s="21" t="s">
        <v>98</v>
      </c>
      <c r="D167" s="64" t="s">
        <v>599</v>
      </c>
      <c r="E167" s="15"/>
      <c r="F167" s="16"/>
      <c r="G167" s="14"/>
      <c r="H167" s="65"/>
      <c r="I167" s="15" t="str">
        <f t="shared" si="448"/>
        <v>NO APLICA</v>
      </c>
      <c r="J167" s="15"/>
      <c r="K167" s="16"/>
      <c r="L167" s="16"/>
      <c r="M167" s="65"/>
      <c r="N167" s="15" t="str">
        <f t="shared" si="449"/>
        <v>NO APLICA</v>
      </c>
      <c r="O167" s="14">
        <v>45589</v>
      </c>
      <c r="P167" s="14">
        <v>45590</v>
      </c>
      <c r="Q167" s="14">
        <f>DATE(YEAR(P167)+2,MONTH(P167),DAY(P167)-1)</f>
        <v>46319</v>
      </c>
      <c r="R167" s="65">
        <f ca="1">Q167-TODAY()</f>
        <v>188</v>
      </c>
      <c r="S167" s="15" t="str">
        <f t="shared" ca="1" si="545"/>
        <v>VIGENTE</v>
      </c>
      <c r="T167" s="12" t="s">
        <v>600</v>
      </c>
      <c r="U167" s="13">
        <v>45497</v>
      </c>
      <c r="V167" s="14">
        <v>45498</v>
      </c>
      <c r="W167" s="14">
        <f t="shared" si="577"/>
        <v>47324</v>
      </c>
      <c r="X167" s="65">
        <f t="shared" ca="1" si="578"/>
        <v>1193</v>
      </c>
      <c r="Y167" s="15" t="str">
        <f t="shared" ca="1" si="403"/>
        <v>VIGENTE</v>
      </c>
      <c r="Z167" s="12" t="s">
        <v>601</v>
      </c>
      <c r="AA167" s="13">
        <v>45112</v>
      </c>
      <c r="AB167" s="14">
        <v>45113</v>
      </c>
      <c r="AC167" s="14">
        <f t="shared" si="586"/>
        <v>46940</v>
      </c>
      <c r="AD167" s="65">
        <f t="shared" ca="1" si="587"/>
        <v>809</v>
      </c>
      <c r="AE167" s="15" t="str">
        <f t="shared" ca="1" si="574"/>
        <v>VIGENTE</v>
      </c>
      <c r="AF167" s="13">
        <v>45243</v>
      </c>
      <c r="AG167" s="14">
        <v>45902</v>
      </c>
      <c r="AH167" s="14">
        <f>DATE(YEAR(AG167)+2,MONTH(AG167),DAY(AG167))</f>
        <v>46632</v>
      </c>
      <c r="AI167" s="65">
        <f t="shared" ca="1" si="450"/>
        <v>501</v>
      </c>
      <c r="AJ167" s="15" t="str">
        <f t="shared" ca="1" si="399"/>
        <v>VIGENTE</v>
      </c>
      <c r="AK167" s="13">
        <v>44613</v>
      </c>
      <c r="AL167" s="14">
        <v>45937</v>
      </c>
      <c r="AM167" s="14">
        <f>DATE(YEAR(AL167)+2,MONTH(AL167),DAY(AL167))</f>
        <v>46667</v>
      </c>
      <c r="AN167" s="65">
        <f t="shared" ca="1" si="451"/>
        <v>536</v>
      </c>
      <c r="AO167" s="15" t="str">
        <f t="shared" ca="1" si="452"/>
        <v>VIGENTE</v>
      </c>
      <c r="AP167" s="12">
        <v>45091</v>
      </c>
      <c r="AQ167" s="14">
        <v>45740</v>
      </c>
      <c r="AR167" s="14">
        <f>DATE(YEAR(AQ167)+2,MONTH(AQ167),DAY(AQ167)-1)</f>
        <v>46469</v>
      </c>
      <c r="AS167" s="65">
        <f t="shared" ca="1" si="453"/>
        <v>338</v>
      </c>
      <c r="AT167" s="15" t="str">
        <f t="shared" ca="1" si="454"/>
        <v>VIGENTE</v>
      </c>
      <c r="AU167" s="13">
        <v>45072</v>
      </c>
      <c r="AV167" s="14">
        <v>45765</v>
      </c>
      <c r="AW167" s="14">
        <f>DATE(YEAR(AV167)+2,MONTH(AV167),DAY(AV167))</f>
        <v>46495</v>
      </c>
      <c r="AX167" s="65">
        <f t="shared" ca="1" si="455"/>
        <v>364</v>
      </c>
      <c r="AY167" s="15" t="str">
        <f t="shared" ca="1" si="456"/>
        <v>VIGENTE</v>
      </c>
      <c r="AZ167" s="13">
        <v>45075</v>
      </c>
      <c r="BA167" s="14">
        <v>45717</v>
      </c>
      <c r="BB167" s="14">
        <f>DATE(YEAR(BA167)+2,MONTH(BA167),DAY(BA167)-1)</f>
        <v>46446</v>
      </c>
      <c r="BC167" s="65">
        <f t="shared" ca="1" si="457"/>
        <v>315</v>
      </c>
      <c r="BD167" s="15" t="str">
        <f t="shared" ca="1" si="458"/>
        <v>VIGENTE</v>
      </c>
      <c r="BE167" s="12">
        <v>45071</v>
      </c>
      <c r="BF167" s="14">
        <v>45762</v>
      </c>
      <c r="BG167" s="14">
        <f>DATE(YEAR(BF167)+2,MONTH(BF167),DAY(BF167))</f>
        <v>46492</v>
      </c>
      <c r="BH167" s="65">
        <f t="shared" ca="1" si="459"/>
        <v>361</v>
      </c>
      <c r="BI167" s="15" t="str">
        <f t="shared" ca="1" si="460"/>
        <v>VIGENTE</v>
      </c>
      <c r="BJ167" s="13">
        <v>45030</v>
      </c>
      <c r="BK167" s="14">
        <v>45759</v>
      </c>
      <c r="BL167" s="14">
        <f>DATE(YEAR(BK167)+2,MONTH(BK167),DAY(BK167)-1)</f>
        <v>46488</v>
      </c>
      <c r="BM167" s="65">
        <f t="shared" ca="1" si="461"/>
        <v>357</v>
      </c>
      <c r="BN167" s="15" t="str">
        <f t="shared" ca="1" si="462"/>
        <v>VIGENTE</v>
      </c>
      <c r="BO167" s="13">
        <v>45073</v>
      </c>
      <c r="BP167" s="14">
        <v>45772</v>
      </c>
      <c r="BQ167" s="14">
        <f>DATE(YEAR(BP167)+2,MONTH(BP167),DAY(BP167))</f>
        <v>46502</v>
      </c>
      <c r="BR167" s="65">
        <f t="shared" ca="1" si="463"/>
        <v>371</v>
      </c>
      <c r="BS167" s="15" t="str">
        <f t="shared" ca="1" si="464"/>
        <v>VIGENTE</v>
      </c>
      <c r="BT167" s="13">
        <v>45034</v>
      </c>
      <c r="BU167" s="14">
        <v>45736</v>
      </c>
      <c r="BV167" s="14">
        <f>DATE(YEAR(BU167)+2,MONTH(BU167),DAY(BU167)-1)</f>
        <v>46465</v>
      </c>
      <c r="BW167" s="65">
        <f t="shared" ca="1" si="465"/>
        <v>334</v>
      </c>
      <c r="BX167" s="15" t="str">
        <f t="shared" ca="1" si="466"/>
        <v>VIGENTE</v>
      </c>
      <c r="BY167" s="13">
        <v>44613</v>
      </c>
      <c r="BZ167" s="14">
        <v>45944</v>
      </c>
      <c r="CA167" s="14">
        <f>DATE(YEAR(BZ167)+2,MONTH(BZ167),DAY(BZ167))</f>
        <v>46674</v>
      </c>
      <c r="CB167" s="65">
        <f t="shared" ca="1" si="467"/>
        <v>543</v>
      </c>
      <c r="CC167" s="15" t="str">
        <f t="shared" ca="1" si="468"/>
        <v>VIGENTE</v>
      </c>
      <c r="CD167" s="16" t="s">
        <v>523</v>
      </c>
      <c r="CE167" s="14">
        <v>45103</v>
      </c>
      <c r="CF167" s="14">
        <v>45104</v>
      </c>
      <c r="CG167" s="14">
        <f t="shared" si="580"/>
        <v>46565</v>
      </c>
      <c r="CH167" s="65">
        <f t="shared" ca="1" si="581"/>
        <v>434</v>
      </c>
      <c r="CI167" s="15" t="str">
        <f t="shared" ca="1" si="562"/>
        <v>VIGENTE</v>
      </c>
      <c r="CJ167" s="14">
        <v>45051</v>
      </c>
      <c r="CK167" s="14">
        <v>45723</v>
      </c>
      <c r="CL167" s="14">
        <f>DATE(YEAR(CK167)+2,MONTH(CK167),DAY(CK167)-1)</f>
        <v>46452</v>
      </c>
      <c r="CM167" s="65">
        <f t="shared" ca="1" si="469"/>
        <v>321</v>
      </c>
      <c r="CN167" s="15" t="str">
        <f t="shared" ca="1" si="470"/>
        <v>VIGENTE</v>
      </c>
      <c r="CO167" s="13">
        <v>45077</v>
      </c>
      <c r="CP167" s="14">
        <v>45726</v>
      </c>
      <c r="CQ167" s="14">
        <f>DATE(YEAR(CP167)+2,MONTH(CP167),DAY(CP167)-1)</f>
        <v>46455</v>
      </c>
      <c r="CR167" s="65">
        <f t="shared" ca="1" si="471"/>
        <v>324</v>
      </c>
      <c r="CS167" s="15" t="str">
        <f t="shared" ca="1" si="472"/>
        <v>VIGENTE</v>
      </c>
      <c r="CT167" s="13">
        <v>44964</v>
      </c>
      <c r="CU167" s="14">
        <v>45639</v>
      </c>
      <c r="CV167" s="14">
        <f>DATE(YEAR(CU167)+2,MONTH(CU167),DAY(CU167)-1)</f>
        <v>46368</v>
      </c>
      <c r="CW167" s="65">
        <f t="shared" ca="1" si="473"/>
        <v>237</v>
      </c>
      <c r="CX167" s="15" t="str">
        <f t="shared" ca="1" si="474"/>
        <v>VIGENTE</v>
      </c>
      <c r="CY167" s="13">
        <v>44991</v>
      </c>
      <c r="CZ167" s="14">
        <v>45665</v>
      </c>
      <c r="DA167" s="14">
        <f>DATE(YEAR(CZ167)+2,MONTH(CZ167),DAY(CZ167)-1)</f>
        <v>46394</v>
      </c>
      <c r="DB167" s="65">
        <f t="shared" ca="1" si="475"/>
        <v>263</v>
      </c>
      <c r="DC167" s="15" t="str">
        <f t="shared" ca="1" si="476"/>
        <v>VIGENTE</v>
      </c>
      <c r="DD167" s="13">
        <v>45079</v>
      </c>
      <c r="DE167" s="14">
        <v>45761</v>
      </c>
      <c r="DF167" s="14">
        <f>DATE(YEAR(DE167)+2,MONTH(DE167),DAY(DE167))</f>
        <v>46491</v>
      </c>
      <c r="DG167" s="65">
        <f t="shared" ca="1" si="477"/>
        <v>360</v>
      </c>
      <c r="DH167" s="15" t="str">
        <f t="shared" ca="1" si="478"/>
        <v>VIGENTE</v>
      </c>
      <c r="DI167" s="12">
        <v>45080</v>
      </c>
      <c r="DJ167" s="14">
        <v>45734</v>
      </c>
      <c r="DK167" s="14">
        <f>DATE(YEAR(DJ167)+2,MONTH(DJ167),DAY(DJ167)-1)</f>
        <v>46463</v>
      </c>
      <c r="DL167" s="65">
        <f t="shared" ca="1" si="479"/>
        <v>332</v>
      </c>
      <c r="DM167" s="15" t="str">
        <f t="shared" ca="1" si="480"/>
        <v>VIGENTE</v>
      </c>
      <c r="DN167" s="13">
        <v>44918</v>
      </c>
      <c r="DO167" s="14">
        <v>45577</v>
      </c>
      <c r="DP167" s="14">
        <f>DATE(YEAR(DO167)+2,MONTH(DO167),DAY(DO167)-1)</f>
        <v>46306</v>
      </c>
      <c r="DQ167" s="65">
        <f t="shared" ca="1" si="481"/>
        <v>175</v>
      </c>
      <c r="DR167" s="15" t="str">
        <f t="shared" ca="1" si="482"/>
        <v>VIGENTE</v>
      </c>
      <c r="DS167" s="13">
        <v>44950</v>
      </c>
      <c r="DT167" s="14">
        <v>45608</v>
      </c>
      <c r="DU167" s="14">
        <f>DATE(YEAR(DT167)+2,MONTH(DT167),DAY(DT167)-1)</f>
        <v>46337</v>
      </c>
      <c r="DV167" s="65">
        <f t="shared" ca="1" si="483"/>
        <v>206</v>
      </c>
      <c r="DW167" s="15" t="str">
        <f t="shared" ca="1" si="484"/>
        <v>VIGENTE</v>
      </c>
      <c r="DX167" s="13">
        <v>45031</v>
      </c>
      <c r="DY167" s="14">
        <v>45663</v>
      </c>
      <c r="DZ167" s="14">
        <f t="shared" si="585"/>
        <v>46392</v>
      </c>
      <c r="EA167" s="65">
        <f t="shared" ca="1" si="485"/>
        <v>261</v>
      </c>
      <c r="EB167" s="15" t="str">
        <f t="shared" ca="1" si="486"/>
        <v>VIGENTE</v>
      </c>
      <c r="EC167" s="13">
        <v>45040</v>
      </c>
      <c r="ED167" s="14">
        <v>45768</v>
      </c>
      <c r="EE167" s="14">
        <f>DATE(YEAR(ED167)+2,MONTH(ED167),DAY(ED167))</f>
        <v>46498</v>
      </c>
      <c r="EF167" s="65">
        <f t="shared" ca="1" si="487"/>
        <v>367</v>
      </c>
      <c r="EG167" s="15" t="str">
        <f t="shared" ca="1" si="488"/>
        <v>VIGENTE</v>
      </c>
      <c r="EH167" s="13">
        <v>45748</v>
      </c>
      <c r="EI167" s="13">
        <v>46058</v>
      </c>
      <c r="EJ167" s="13">
        <v>46059</v>
      </c>
      <c r="EK167" s="13">
        <v>46060</v>
      </c>
      <c r="EL167" s="14">
        <f t="shared" si="546"/>
        <v>46425</v>
      </c>
      <c r="EM167" s="65">
        <f t="shared" ca="1" si="489"/>
        <v>294</v>
      </c>
      <c r="EN167" s="15" t="str">
        <f t="shared" ca="1" si="490"/>
        <v>VIGENTE</v>
      </c>
      <c r="EO167" s="13">
        <v>45076</v>
      </c>
      <c r="EP167" s="14">
        <v>45737</v>
      </c>
      <c r="EQ167" s="14">
        <f>DATE(YEAR(EP167)+2,MONTH(EP167),DAY(EP167)-1)</f>
        <v>46466</v>
      </c>
      <c r="ER167" s="65">
        <f t="shared" ca="1" si="491"/>
        <v>335</v>
      </c>
      <c r="ES167" s="15" t="str">
        <f t="shared" ca="1" si="492"/>
        <v>VIGENTE</v>
      </c>
      <c r="ET167" s="12">
        <v>45043</v>
      </c>
      <c r="EU167" s="14">
        <v>45749</v>
      </c>
      <c r="EV167" s="14">
        <f>DATE(YEAR(EU167)+2,MONTH(EU167),DAY(EU167)-1)</f>
        <v>46478</v>
      </c>
      <c r="EW167" s="65">
        <f t="shared" ca="1" si="493"/>
        <v>347</v>
      </c>
      <c r="EX167" s="15" t="str">
        <f t="shared" ca="1" si="494"/>
        <v>VIGENTE</v>
      </c>
      <c r="EY167" s="13">
        <v>44615</v>
      </c>
      <c r="EZ167" s="14">
        <v>45953</v>
      </c>
      <c r="FA167" s="14">
        <f>DATE(YEAR(EZ167)+2,MONTH(EZ167),DAY(EZ167))</f>
        <v>46683</v>
      </c>
      <c r="FB167" s="65">
        <f t="shared" ca="1" si="495"/>
        <v>552</v>
      </c>
      <c r="FC167" s="15" t="str">
        <f t="shared" ca="1" si="496"/>
        <v>VIGENTE</v>
      </c>
      <c r="FD167" s="13">
        <v>44615</v>
      </c>
      <c r="FE167" s="14">
        <v>45931</v>
      </c>
      <c r="FF167" s="14">
        <f>DATE(YEAR(FE167)+2,MONTH(FE167),DAY(FE167))</f>
        <v>46661</v>
      </c>
      <c r="FG167" s="65">
        <f t="shared" ca="1" si="497"/>
        <v>530</v>
      </c>
      <c r="FH167" s="15" t="str">
        <f t="shared" ca="1" si="498"/>
        <v>VIGENTE</v>
      </c>
      <c r="FI167" s="13">
        <v>44616</v>
      </c>
      <c r="FJ167" s="14">
        <v>45932</v>
      </c>
      <c r="FK167" s="14">
        <f>DATE(YEAR(FJ167)+2,MONTH(FJ167),DAY(FJ167))</f>
        <v>46662</v>
      </c>
      <c r="FL167" s="65">
        <f t="shared" ca="1" si="499"/>
        <v>531</v>
      </c>
      <c r="FM167" s="15" t="str">
        <f t="shared" ca="1" si="500"/>
        <v>VIGENTE</v>
      </c>
      <c r="FN167" s="13">
        <v>45055</v>
      </c>
      <c r="FO167" s="14">
        <v>45670</v>
      </c>
      <c r="FP167" s="14">
        <f>DATE(YEAR(FO167)+2,MONTH(FO167),DAY(FO167)-1)</f>
        <v>46399</v>
      </c>
      <c r="FQ167" s="65">
        <f t="shared" ca="1" si="501"/>
        <v>268</v>
      </c>
      <c r="FR167" s="15" t="str">
        <f t="shared" ca="1" si="502"/>
        <v>VIGENTE</v>
      </c>
      <c r="FS167" s="13">
        <v>45078</v>
      </c>
      <c r="FT167" s="14">
        <v>45724</v>
      </c>
      <c r="FU167" s="14">
        <f>DATE(YEAR(FT167)+2,MONTH(FT167),DAY(FT167)-1)</f>
        <v>46453</v>
      </c>
      <c r="FV167" s="65">
        <f t="shared" ca="1" si="503"/>
        <v>322</v>
      </c>
      <c r="FW167" s="15" t="str">
        <f t="shared" ca="1" si="504"/>
        <v>VIGENTE</v>
      </c>
      <c r="FX167" s="13">
        <v>44616</v>
      </c>
      <c r="FY167" s="14">
        <v>45941</v>
      </c>
      <c r="FZ167" s="14">
        <f>DATE(YEAR(FY167)+2,MONTH(FY167),DAY(FY167))</f>
        <v>46671</v>
      </c>
      <c r="GA167" s="65">
        <f t="shared" ca="1" si="505"/>
        <v>540</v>
      </c>
      <c r="GB167" s="15" t="str">
        <f t="shared" ca="1" si="506"/>
        <v>VIGENTE</v>
      </c>
      <c r="GC167" s="13">
        <v>45057</v>
      </c>
      <c r="GD167" s="14">
        <v>45667</v>
      </c>
      <c r="GE167" s="14">
        <f>DATE(YEAR(GD167)+2,MONTH(GD167),DAY(GD167)-1)</f>
        <v>46396</v>
      </c>
      <c r="GF167" s="65">
        <f t="shared" ca="1" si="507"/>
        <v>265</v>
      </c>
      <c r="GG167" s="15" t="str">
        <f t="shared" ca="1" si="508"/>
        <v>VIGENTE</v>
      </c>
      <c r="GH167" s="13">
        <v>45082</v>
      </c>
      <c r="GI167" s="14">
        <v>45731</v>
      </c>
      <c r="GJ167" s="14">
        <f>DATE(YEAR(GI167)+2,MONTH(GI167),DAY(GI167)-1)</f>
        <v>46460</v>
      </c>
      <c r="GK167" s="65">
        <f t="shared" ca="1" si="509"/>
        <v>329</v>
      </c>
      <c r="GL167" s="15" t="str">
        <f t="shared" ca="1" si="510"/>
        <v>VIGENTE</v>
      </c>
      <c r="GM167" s="13">
        <v>44915</v>
      </c>
      <c r="GN167" s="14">
        <v>45567</v>
      </c>
      <c r="GO167" s="14">
        <f>DATE(YEAR(GN167)+2,MONTH(GN167),DAY(GN167)-1)</f>
        <v>46296</v>
      </c>
      <c r="GP167" s="65">
        <f t="shared" ca="1" si="511"/>
        <v>165</v>
      </c>
      <c r="GQ167" s="15" t="str">
        <f t="shared" ca="1" si="512"/>
        <v>VIGENTE</v>
      </c>
      <c r="GR167" s="14"/>
      <c r="GS167" s="14">
        <v>44912</v>
      </c>
      <c r="GT167" s="14">
        <f t="shared" si="513"/>
        <v>46738</v>
      </c>
      <c r="GU167" s="65">
        <f t="shared" ca="1" si="398"/>
        <v>607</v>
      </c>
      <c r="GV167" s="15" t="str">
        <f t="shared" ca="1" si="411"/>
        <v>VIGENTE</v>
      </c>
      <c r="GW167" s="13"/>
      <c r="GX167" s="14">
        <v>44936</v>
      </c>
      <c r="GY167" s="14">
        <f t="shared" si="514"/>
        <v>46762</v>
      </c>
      <c r="GZ167" s="65">
        <f t="shared" ca="1" si="515"/>
        <v>631</v>
      </c>
      <c r="HA167" s="15" t="str">
        <f t="shared" ca="1" si="418"/>
        <v>VIGENTE</v>
      </c>
      <c r="HB167" s="12"/>
      <c r="HC167" s="14">
        <v>44911</v>
      </c>
      <c r="HD167" s="14">
        <f t="shared" si="516"/>
        <v>46737</v>
      </c>
      <c r="HE167" s="65">
        <f t="shared" ca="1" si="517"/>
        <v>606</v>
      </c>
      <c r="HF167" s="15" t="str">
        <f t="shared" ca="1" si="413"/>
        <v>VIGENTE</v>
      </c>
      <c r="HG167" s="16"/>
      <c r="HH167" s="14">
        <v>44921</v>
      </c>
      <c r="HI167" s="14">
        <f t="shared" si="588"/>
        <v>46747</v>
      </c>
      <c r="HJ167" s="65">
        <f t="shared" ca="1" si="589"/>
        <v>616</v>
      </c>
      <c r="HK167" s="15" t="str">
        <f t="shared" ca="1" si="419"/>
        <v>VIGENTE</v>
      </c>
      <c r="HL167" s="12"/>
      <c r="HM167" s="16"/>
      <c r="HN167" s="14"/>
      <c r="HO167" s="65"/>
      <c r="HP167" s="15" t="str">
        <f t="shared" si="437"/>
        <v>NO APLICA</v>
      </c>
      <c r="HQ167" s="12"/>
      <c r="HR167" s="12"/>
      <c r="HS167" s="14"/>
      <c r="HT167" s="12"/>
      <c r="HU167" s="15" t="str">
        <f t="shared" si="518"/>
        <v>NO APLICA</v>
      </c>
      <c r="HV167" s="12"/>
      <c r="HW167" s="14">
        <v>44931</v>
      </c>
      <c r="HX167" s="14">
        <f>DATE(YEAR(HW167)+5,MONTH(HW167),DAY(HW167))</f>
        <v>46757</v>
      </c>
      <c r="HY167" s="65">
        <f ca="1">HX167-TODAY()</f>
        <v>626</v>
      </c>
      <c r="HZ167" s="15" t="str">
        <f t="shared" ca="1" si="519"/>
        <v>VIGENTE</v>
      </c>
      <c r="IA167" s="12"/>
      <c r="IB167" s="14">
        <v>44953</v>
      </c>
      <c r="IC167" s="14">
        <f>DATE(YEAR(IB167)+5,MONTH(IB167),DAY(IB167))</f>
        <v>46779</v>
      </c>
      <c r="ID167" s="65">
        <f ca="1">IC167-TODAY()</f>
        <v>648</v>
      </c>
      <c r="IE167" s="15" t="str">
        <f t="shared" ca="1" si="520"/>
        <v>VIGENTE</v>
      </c>
      <c r="IF167" s="12"/>
      <c r="IG167" s="14">
        <v>44949</v>
      </c>
      <c r="IH167" s="14">
        <f>DATE(YEAR(IG167)+5,MONTH(IG167),DAY(IG167))</f>
        <v>46775</v>
      </c>
      <c r="II167" s="65">
        <f ca="1">IH167-TODAY()</f>
        <v>644</v>
      </c>
      <c r="IJ167" s="15" t="str">
        <f t="shared" ca="1" si="521"/>
        <v>VIGENTE</v>
      </c>
      <c r="IK167" s="16"/>
      <c r="IL167" s="14">
        <v>44942</v>
      </c>
      <c r="IM167" s="14">
        <f>DATE(YEAR(IL167)+5,MONTH(IL167),DAY(IL167))</f>
        <v>46768</v>
      </c>
      <c r="IN167" s="65">
        <f ca="1">IM167-TODAY()</f>
        <v>637</v>
      </c>
      <c r="IO167" s="15" t="str">
        <f t="shared" ca="1" si="522"/>
        <v>VIGENTE</v>
      </c>
      <c r="IP167" s="12"/>
      <c r="IQ167" s="14">
        <v>44945</v>
      </c>
      <c r="IR167" s="14">
        <f>DATE(YEAR(IQ167)+5,MONTH(IQ167),DAY(IQ167))</f>
        <v>46771</v>
      </c>
      <c r="IS167" s="65">
        <f ca="1">IR167-TODAY()</f>
        <v>640</v>
      </c>
      <c r="IT167" s="15" t="str">
        <f t="shared" ca="1" si="523"/>
        <v>VIGENTE</v>
      </c>
      <c r="IU167" s="12"/>
      <c r="IV167" s="14">
        <v>44956</v>
      </c>
      <c r="IW167" s="14">
        <f>DATE(YEAR(IV167)+5,MONTH(IV167),DAY(IV167))</f>
        <v>46782</v>
      </c>
      <c r="IX167" s="65">
        <f ca="1">IW167-TODAY()</f>
        <v>651</v>
      </c>
      <c r="IY167" s="15" t="str">
        <f t="shared" ca="1" si="524"/>
        <v>VIGENTE</v>
      </c>
      <c r="IZ167" s="12"/>
      <c r="JA167" s="14">
        <v>44944</v>
      </c>
      <c r="JB167" s="14">
        <f>DATE(YEAR(JA167)+5,MONTH(JA167),DAY(JA167))</f>
        <v>46770</v>
      </c>
      <c r="JC167" s="65">
        <f ca="1">JB167-TODAY()</f>
        <v>639</v>
      </c>
      <c r="JD167" s="15" t="str">
        <f t="shared" ca="1" si="525"/>
        <v>VIGENTE</v>
      </c>
      <c r="JE167" s="13"/>
      <c r="JF167" s="13"/>
      <c r="JG167" s="14"/>
      <c r="JH167" s="65"/>
      <c r="JI167" s="15" t="str">
        <f t="shared" si="526"/>
        <v>NO APLICA</v>
      </c>
      <c r="JJ167" s="16"/>
      <c r="JK167" s="16"/>
      <c r="JL167" s="16"/>
      <c r="JM167" s="15" t="str">
        <f t="shared" si="527"/>
        <v>NO APLICA</v>
      </c>
      <c r="JN167" s="16"/>
      <c r="JO167" s="16"/>
      <c r="JP167" s="16"/>
      <c r="JQ167" s="15" t="str">
        <f t="shared" si="528"/>
        <v>NO APLICA</v>
      </c>
      <c r="JR167" s="16"/>
      <c r="JS167" s="16"/>
      <c r="JT167" s="16"/>
      <c r="JU167" s="16"/>
      <c r="JV167" s="15" t="str">
        <f t="shared" si="529"/>
        <v>NO APLICA</v>
      </c>
      <c r="JW167" s="15"/>
      <c r="JX167" s="15"/>
      <c r="JY167" s="15"/>
      <c r="JZ167" s="15"/>
      <c r="KA167" s="15" t="str">
        <f t="shared" si="530"/>
        <v>NO APLICA</v>
      </c>
      <c r="KB167" s="12"/>
      <c r="KC167" s="14"/>
      <c r="KD167" s="65"/>
      <c r="KE167" s="15" t="str">
        <f t="shared" si="531"/>
        <v>NO APLICA</v>
      </c>
      <c r="KF167" s="13">
        <v>45328</v>
      </c>
      <c r="KG167" s="14">
        <f>DATE(YEAR(KF167)+5,MONTH(KF167),DAY(KF167)-1)</f>
        <v>47154</v>
      </c>
      <c r="KH167" s="65">
        <f ca="1">KG167-TODAY()</f>
        <v>1023</v>
      </c>
      <c r="KI167" s="15" t="str">
        <f t="shared" ca="1" si="547"/>
        <v>VIGENTE</v>
      </c>
      <c r="KJ167" s="12"/>
      <c r="KK167" s="14"/>
      <c r="KL167" s="65"/>
      <c r="KM167" s="15" t="str">
        <f t="shared" si="532"/>
        <v>NO APLICA</v>
      </c>
      <c r="KN167" s="12"/>
      <c r="KO167" s="14"/>
      <c r="KP167" s="65"/>
      <c r="KQ167" s="15" t="str">
        <f t="shared" si="548"/>
        <v>NO APLICA</v>
      </c>
      <c r="KR167" s="12"/>
      <c r="KS167" s="16"/>
      <c r="KT167" s="14"/>
      <c r="KU167" s="65"/>
      <c r="KV167" s="15" t="str">
        <f t="shared" si="554"/>
        <v>NO APLICA</v>
      </c>
      <c r="KW167" s="14">
        <v>44603</v>
      </c>
      <c r="KX167" s="14">
        <f>DATE(YEAR(KW167)+5,MONTH(KW167),DAY(KW167))</f>
        <v>46429</v>
      </c>
      <c r="KY167" s="65">
        <f ca="1">KX167-TODAY()</f>
        <v>298</v>
      </c>
      <c r="KZ167" s="15" t="str">
        <f t="shared" ca="1" si="549"/>
        <v>VIGENTE</v>
      </c>
      <c r="LA167" s="14">
        <v>44489</v>
      </c>
      <c r="LB167" s="14"/>
      <c r="LC167" s="14"/>
      <c r="LD167" s="65"/>
      <c r="LE167" s="15" t="str">
        <f t="shared" ref="LE167:LE230" si="590">IF(LD167&gt;=61,"VIGENTE",IF(LD167&gt;=1,"POR VENCER",IF(LD167&lt;=-1,"VENCIDA",IF(LB167=0,"NO APLICA"))))</f>
        <v>NO APLICA</v>
      </c>
      <c r="LF167" s="15"/>
      <c r="LG167" s="15"/>
      <c r="LH167" s="15"/>
      <c r="LI167" s="15"/>
      <c r="LJ167" s="15" t="str">
        <f t="shared" si="555"/>
        <v>NO APLICA</v>
      </c>
      <c r="LK167" s="12"/>
      <c r="LL167" s="16"/>
      <c r="LM167" s="14"/>
      <c r="LN167" s="65"/>
      <c r="LO167" s="15" t="str">
        <f t="shared" si="550"/>
        <v>NO APLICA</v>
      </c>
      <c r="LP167" s="16"/>
      <c r="LQ167" s="16"/>
      <c r="LR167" s="14"/>
      <c r="LS167" s="65"/>
      <c r="LT167" s="15" t="str">
        <f t="shared" si="551"/>
        <v>NO APLICA</v>
      </c>
      <c r="LU167" s="16"/>
      <c r="LV167" s="16"/>
      <c r="LW167" s="14"/>
      <c r="LX167" s="65"/>
      <c r="LY167" s="15" t="str">
        <f t="shared" si="552"/>
        <v>NO APLICA</v>
      </c>
      <c r="LZ167" s="12"/>
      <c r="MA167" s="12"/>
      <c r="MB167" s="14"/>
      <c r="MC167" s="65"/>
      <c r="MD167" s="15" t="str">
        <f t="shared" si="534"/>
        <v>NO APLICA</v>
      </c>
      <c r="ME167" s="12"/>
      <c r="MF167" s="12"/>
      <c r="MG167" s="14"/>
      <c r="MH167" s="65"/>
      <c r="MI167" s="15" t="str">
        <f t="shared" si="535"/>
        <v>NO APLICA</v>
      </c>
      <c r="MJ167" s="12"/>
      <c r="MK167" s="14"/>
      <c r="ML167" s="65"/>
      <c r="MM167" s="15" t="str">
        <f t="shared" si="536"/>
        <v>NO APLICA</v>
      </c>
      <c r="MN167" s="12"/>
      <c r="MO167" s="14"/>
      <c r="MP167" s="12"/>
      <c r="MQ167" s="15" t="str">
        <f t="shared" si="537"/>
        <v>NO APLICA</v>
      </c>
      <c r="MR167" s="12"/>
      <c r="MS167" s="16"/>
      <c r="MT167" s="14"/>
      <c r="MU167" s="65"/>
      <c r="MV167" s="15" t="str">
        <f t="shared" si="538"/>
        <v>NO APLICA</v>
      </c>
      <c r="MW167" s="12"/>
      <c r="MX167" s="16"/>
      <c r="MY167" s="14"/>
      <c r="MZ167" s="65"/>
      <c r="NA167" s="15" t="str">
        <f t="shared" si="539"/>
        <v>NO APLICA</v>
      </c>
      <c r="NB167" s="12"/>
      <c r="NC167" s="16"/>
      <c r="ND167" s="14"/>
      <c r="NE167" s="65"/>
      <c r="NF167" s="15" t="str">
        <f t="shared" si="540"/>
        <v>NO APLICA</v>
      </c>
      <c r="NG167" s="12"/>
      <c r="NH167" s="12"/>
      <c r="NI167" s="14"/>
      <c r="NJ167" s="12"/>
      <c r="NK167" s="15" t="str">
        <f t="shared" si="541"/>
        <v>NO APLICA</v>
      </c>
      <c r="NL167" s="12"/>
      <c r="NM167" s="12"/>
      <c r="NN167" s="14"/>
      <c r="NO167" s="12"/>
      <c r="NP167" s="15" t="str">
        <f t="shared" si="542"/>
        <v>NO APLICA</v>
      </c>
      <c r="NQ167" s="16"/>
      <c r="NR167" s="16"/>
      <c r="NS167" s="14"/>
      <c r="NT167" s="65"/>
      <c r="NU167" s="15" t="str">
        <f t="shared" si="543"/>
        <v>NO APLICA</v>
      </c>
      <c r="NV167" s="16"/>
      <c r="NW167" s="16"/>
      <c r="NX167" s="16"/>
      <c r="NY167" s="16"/>
      <c r="NZ167" s="15" t="str">
        <f t="shared" si="544"/>
        <v>NO APLICA</v>
      </c>
    </row>
    <row r="168" spans="1:390" ht="15.6" thickTop="1" thickBot="1" x14ac:dyDescent="0.35">
      <c r="A168" s="11">
        <v>1346</v>
      </c>
      <c r="B168" s="10" t="s">
        <v>602</v>
      </c>
      <c r="C168" s="21" t="s">
        <v>104</v>
      </c>
      <c r="D168" s="64" t="s">
        <v>110</v>
      </c>
      <c r="E168" s="15"/>
      <c r="F168" s="16"/>
      <c r="G168" s="14"/>
      <c r="H168" s="65"/>
      <c r="I168" s="15" t="str">
        <f t="shared" si="448"/>
        <v>NO APLICA</v>
      </c>
      <c r="J168" s="15"/>
      <c r="K168" s="16"/>
      <c r="L168" s="16"/>
      <c r="M168" s="65"/>
      <c r="N168" s="15" t="str">
        <f t="shared" si="449"/>
        <v>NO APLICA</v>
      </c>
      <c r="O168" s="16"/>
      <c r="P168" s="16"/>
      <c r="Q168" s="14"/>
      <c r="R168" s="65"/>
      <c r="S168" s="15" t="str">
        <f t="shared" si="545"/>
        <v>NO APLICA</v>
      </c>
      <c r="T168" s="12" t="s">
        <v>603</v>
      </c>
      <c r="U168" s="13">
        <v>45040</v>
      </c>
      <c r="V168" s="14">
        <v>45041</v>
      </c>
      <c r="W168" s="14">
        <f t="shared" si="577"/>
        <v>46868</v>
      </c>
      <c r="X168" s="65">
        <f t="shared" ca="1" si="578"/>
        <v>737</v>
      </c>
      <c r="Y168" s="15" t="str">
        <f t="shared" ca="1" si="403"/>
        <v>VIGENTE</v>
      </c>
      <c r="Z168" s="12" t="s">
        <v>604</v>
      </c>
      <c r="AA168" s="13">
        <v>45151</v>
      </c>
      <c r="AB168" s="13">
        <v>45152</v>
      </c>
      <c r="AC168" s="14">
        <f t="shared" si="586"/>
        <v>46979</v>
      </c>
      <c r="AD168" s="65">
        <f t="shared" ca="1" si="587"/>
        <v>848</v>
      </c>
      <c r="AE168" s="15" t="str">
        <f t="shared" ca="1" si="574"/>
        <v>VIGENTE</v>
      </c>
      <c r="AF168" s="13">
        <v>45037</v>
      </c>
      <c r="AG168" s="14">
        <v>45680</v>
      </c>
      <c r="AH168" s="14">
        <f>DATE(YEAR(AG168)+2,MONTH(AG168),DAY(AG168)-1)</f>
        <v>46409</v>
      </c>
      <c r="AI168" s="65">
        <f t="shared" ca="1" si="450"/>
        <v>278</v>
      </c>
      <c r="AJ168" s="15" t="str">
        <f t="shared" ca="1" si="399"/>
        <v>VIGENTE</v>
      </c>
      <c r="AK168" s="13">
        <v>45044</v>
      </c>
      <c r="AL168" s="14">
        <v>45710</v>
      </c>
      <c r="AM168" s="14">
        <f>DATE(YEAR(AL168)+2,MONTH(AL168),DAY(AL168)-1)</f>
        <v>46439</v>
      </c>
      <c r="AN168" s="65">
        <f t="shared" ca="1" si="451"/>
        <v>308</v>
      </c>
      <c r="AO168" s="15" t="str">
        <f t="shared" ca="1" si="452"/>
        <v>VIGENTE</v>
      </c>
      <c r="AP168" s="13">
        <v>45056</v>
      </c>
      <c r="AQ168" s="14">
        <v>45703</v>
      </c>
      <c r="AR168" s="14">
        <f>DATE(YEAR(AQ168)+2,MONTH(AQ168),DAY(AQ168)-1)</f>
        <v>46432</v>
      </c>
      <c r="AS168" s="65">
        <f t="shared" ca="1" si="453"/>
        <v>301</v>
      </c>
      <c r="AT168" s="15" t="str">
        <f t="shared" ca="1" si="454"/>
        <v>VIGENTE</v>
      </c>
      <c r="AU168" s="13">
        <v>45072</v>
      </c>
      <c r="AV168" s="14">
        <v>45702</v>
      </c>
      <c r="AW168" s="14">
        <f>DATE(YEAR(AV168)+2,MONTH(AV168),DAY(AV168)-1)</f>
        <v>46431</v>
      </c>
      <c r="AX168" s="65">
        <f t="shared" ca="1" si="455"/>
        <v>300</v>
      </c>
      <c r="AY168" s="15" t="str">
        <f t="shared" ca="1" si="456"/>
        <v>VIGENTE</v>
      </c>
      <c r="AZ168" s="13">
        <v>45122</v>
      </c>
      <c r="BA168" s="14">
        <v>45742</v>
      </c>
      <c r="BB168" s="14">
        <f>DATE(YEAR(BA168)+2,MONTH(BA168),DAY(BA168)-1)</f>
        <v>46471</v>
      </c>
      <c r="BC168" s="65">
        <f t="shared" ca="1" si="457"/>
        <v>340</v>
      </c>
      <c r="BD168" s="15" t="str">
        <f t="shared" ca="1" si="458"/>
        <v>VIGENTE</v>
      </c>
      <c r="BE168" s="13">
        <v>45052</v>
      </c>
      <c r="BF168" s="14">
        <v>45698</v>
      </c>
      <c r="BG168" s="14">
        <f>DATE(YEAR(BF168)+2,MONTH(BF168),DAY(BF168)-1)</f>
        <v>46427</v>
      </c>
      <c r="BH168" s="65">
        <f t="shared" ca="1" si="459"/>
        <v>296</v>
      </c>
      <c r="BI168" s="15" t="str">
        <f t="shared" ca="1" si="460"/>
        <v>VIGENTE</v>
      </c>
      <c r="BJ168" s="13">
        <v>45030</v>
      </c>
      <c r="BK168" s="14">
        <v>45699</v>
      </c>
      <c r="BL168" s="14">
        <f>DATE(YEAR(BK168)+2,MONTH(BK168),DAY(BK168)-1)</f>
        <v>46428</v>
      </c>
      <c r="BM168" s="65">
        <f t="shared" ca="1" si="461"/>
        <v>297</v>
      </c>
      <c r="BN168" s="15" t="str">
        <f t="shared" ca="1" si="462"/>
        <v>VIGENTE</v>
      </c>
      <c r="BO168" s="13">
        <v>45031</v>
      </c>
      <c r="BP168" s="14">
        <v>45701</v>
      </c>
      <c r="BQ168" s="14">
        <f>DATE(YEAR(BP168)+2,MONTH(BP168),DAY(BP168)-1)</f>
        <v>46430</v>
      </c>
      <c r="BR168" s="65">
        <f t="shared" ca="1" si="463"/>
        <v>299</v>
      </c>
      <c r="BS168" s="15" t="str">
        <f t="shared" ca="1" si="464"/>
        <v>VIGENTE</v>
      </c>
      <c r="BT168" s="13">
        <v>45063</v>
      </c>
      <c r="BU168" s="14">
        <v>45695</v>
      </c>
      <c r="BV168" s="14">
        <f>DATE(YEAR(BU168)+2,MONTH(BU168),DAY(BU168)-1)</f>
        <v>46424</v>
      </c>
      <c r="BW168" s="65">
        <f t="shared" ca="1" si="465"/>
        <v>293</v>
      </c>
      <c r="BX168" s="15" t="str">
        <f t="shared" ca="1" si="466"/>
        <v>VIGENTE</v>
      </c>
      <c r="BY168" s="13">
        <v>45034</v>
      </c>
      <c r="BZ168" s="14">
        <v>45730</v>
      </c>
      <c r="CA168" s="14">
        <f>DATE(YEAR(BZ168)+2,MONTH(BZ168),DAY(BZ168)-1)</f>
        <v>46459</v>
      </c>
      <c r="CB168" s="65">
        <f t="shared" ca="1" si="467"/>
        <v>328</v>
      </c>
      <c r="CC168" s="15" t="str">
        <f t="shared" ca="1" si="468"/>
        <v>VIGENTE</v>
      </c>
      <c r="CD168" s="16" t="s">
        <v>108</v>
      </c>
      <c r="CE168" s="14">
        <v>45240</v>
      </c>
      <c r="CF168" s="14">
        <v>45241</v>
      </c>
      <c r="CG168" s="14">
        <f t="shared" si="580"/>
        <v>46702</v>
      </c>
      <c r="CH168" s="65">
        <f t="shared" ca="1" si="581"/>
        <v>571</v>
      </c>
      <c r="CI168" s="15" t="str">
        <f t="shared" ca="1" si="562"/>
        <v>VIGENTE</v>
      </c>
      <c r="CJ168" s="14">
        <v>45051</v>
      </c>
      <c r="CK168" s="14">
        <v>45688</v>
      </c>
      <c r="CL168" s="14">
        <f>DATE(YEAR(CK168)+2,MONTH(CK168),DAY(CK168)-1)</f>
        <v>46417</v>
      </c>
      <c r="CM168" s="65">
        <f t="shared" ca="1" si="469"/>
        <v>286</v>
      </c>
      <c r="CN168" s="15" t="str">
        <f t="shared" ca="1" si="470"/>
        <v>VIGENTE</v>
      </c>
      <c r="CO168" s="13">
        <v>45050</v>
      </c>
      <c r="CP168" s="14">
        <v>45684</v>
      </c>
      <c r="CQ168" s="14">
        <f>DATE(YEAR(CP168)+2,MONTH(CP168),DAY(CP168)-1)</f>
        <v>46413</v>
      </c>
      <c r="CR168" s="65">
        <f t="shared" ca="1" si="471"/>
        <v>282</v>
      </c>
      <c r="CS168" s="15" t="str">
        <f t="shared" ca="1" si="472"/>
        <v>VIGENTE</v>
      </c>
      <c r="CT168" s="13">
        <v>45086</v>
      </c>
      <c r="CU168" s="14">
        <v>45727</v>
      </c>
      <c r="CV168" s="14">
        <f>DATE(YEAR(CU168)+2,MONTH(CU168),DAY(CU168)-1)</f>
        <v>46456</v>
      </c>
      <c r="CW168" s="65">
        <f t="shared" ca="1" si="473"/>
        <v>325</v>
      </c>
      <c r="CX168" s="15" t="str">
        <f t="shared" ca="1" si="474"/>
        <v>VIGENTE</v>
      </c>
      <c r="CY168" s="13">
        <v>45057</v>
      </c>
      <c r="CZ168" s="14">
        <v>45681</v>
      </c>
      <c r="DA168" s="14">
        <f>DATE(YEAR(CZ168)+2,MONTH(CZ168),DAY(CZ168)-1)</f>
        <v>46410</v>
      </c>
      <c r="DB168" s="65">
        <f t="shared" ca="1" si="475"/>
        <v>279</v>
      </c>
      <c r="DC168" s="15" t="str">
        <f t="shared" ca="1" si="476"/>
        <v>VIGENTE</v>
      </c>
      <c r="DD168" s="13">
        <v>45019</v>
      </c>
      <c r="DE168" s="14">
        <v>45689</v>
      </c>
      <c r="DF168" s="14">
        <f>DATE(YEAR(DE168)+2,MONTH(DE168),DAY(DE168)-1)</f>
        <v>46418</v>
      </c>
      <c r="DG168" s="65">
        <f t="shared" ca="1" si="477"/>
        <v>287</v>
      </c>
      <c r="DH168" s="15" t="str">
        <f t="shared" ca="1" si="478"/>
        <v>VIGENTE</v>
      </c>
      <c r="DI168" s="13">
        <v>45038</v>
      </c>
      <c r="DJ168" s="14">
        <v>45696</v>
      </c>
      <c r="DK168" s="14">
        <f>DATE(YEAR(DJ168)+2,MONTH(DJ168),DAY(DJ168)-1)</f>
        <v>46425</v>
      </c>
      <c r="DL168" s="65">
        <f t="shared" ca="1" si="479"/>
        <v>294</v>
      </c>
      <c r="DM168" s="15" t="str">
        <f t="shared" ca="1" si="480"/>
        <v>VIGENTE</v>
      </c>
      <c r="DN168" s="13">
        <v>45025</v>
      </c>
      <c r="DO168" s="14">
        <v>45731</v>
      </c>
      <c r="DP168" s="14">
        <f>DATE(YEAR(DO168)+2,MONTH(DO168),DAY(DO168)-1)</f>
        <v>46460</v>
      </c>
      <c r="DQ168" s="65">
        <f t="shared" ca="1" si="481"/>
        <v>329</v>
      </c>
      <c r="DR168" s="15" t="str">
        <f t="shared" ca="1" si="482"/>
        <v>VIGENTE</v>
      </c>
      <c r="DS168" s="13">
        <v>45066</v>
      </c>
      <c r="DT168" s="14">
        <v>45685</v>
      </c>
      <c r="DU168" s="14">
        <f>DATE(YEAR(DT168)+2,MONTH(DT168),DAY(DT168)-1)</f>
        <v>46414</v>
      </c>
      <c r="DV168" s="65">
        <f t="shared" ca="1" si="483"/>
        <v>283</v>
      </c>
      <c r="DW168" s="15" t="str">
        <f t="shared" ca="1" si="484"/>
        <v>VIGENTE</v>
      </c>
      <c r="DX168" s="13">
        <v>45017</v>
      </c>
      <c r="DY168" s="14">
        <v>45663</v>
      </c>
      <c r="DZ168" s="14">
        <f t="shared" si="585"/>
        <v>46392</v>
      </c>
      <c r="EA168" s="65">
        <f t="shared" ca="1" si="485"/>
        <v>261</v>
      </c>
      <c r="EB168" s="15" t="str">
        <f t="shared" ca="1" si="486"/>
        <v>VIGENTE</v>
      </c>
      <c r="EC168" s="13">
        <v>45101</v>
      </c>
      <c r="ED168" s="14">
        <v>45768</v>
      </c>
      <c r="EE168" s="14">
        <f>DATE(YEAR(ED168)+2,MONTH(ED168),DAY(ED168))</f>
        <v>46498</v>
      </c>
      <c r="EF168" s="65">
        <f t="shared" ca="1" si="487"/>
        <v>367</v>
      </c>
      <c r="EG168" s="15" t="str">
        <f t="shared" ca="1" si="488"/>
        <v>VIGENTE</v>
      </c>
      <c r="EH168" s="13">
        <v>45750</v>
      </c>
      <c r="EI168" s="13">
        <v>46083</v>
      </c>
      <c r="EJ168" s="13">
        <v>46084</v>
      </c>
      <c r="EK168" s="13">
        <v>46085</v>
      </c>
      <c r="EL168" s="14">
        <f t="shared" si="546"/>
        <v>46450</v>
      </c>
      <c r="EM168" s="65">
        <f t="shared" ca="1" si="489"/>
        <v>319</v>
      </c>
      <c r="EN168" s="15" t="str">
        <f t="shared" ca="1" si="490"/>
        <v>VIGENTE</v>
      </c>
      <c r="EO168" s="13">
        <v>45042</v>
      </c>
      <c r="EP168" s="14">
        <v>45671</v>
      </c>
      <c r="EQ168" s="14">
        <f>DATE(YEAR(EP168)+2,MONTH(EP168),DAY(EP168)-1)</f>
        <v>46400</v>
      </c>
      <c r="ER168" s="65">
        <f t="shared" ca="1" si="491"/>
        <v>269</v>
      </c>
      <c r="ES168" s="15" t="str">
        <f t="shared" ca="1" si="492"/>
        <v>VIGENTE</v>
      </c>
      <c r="ET168" s="13">
        <v>45043</v>
      </c>
      <c r="EU168" s="14">
        <v>45677</v>
      </c>
      <c r="EV168" s="14">
        <f>DATE(YEAR(EU168)+2,MONTH(EU168),DAY(EU168)-1)</f>
        <v>46406</v>
      </c>
      <c r="EW168" s="65">
        <f t="shared" ca="1" si="493"/>
        <v>275</v>
      </c>
      <c r="EX168" s="15" t="str">
        <f t="shared" ca="1" si="494"/>
        <v>VIGENTE</v>
      </c>
      <c r="EY168" s="13">
        <v>45035</v>
      </c>
      <c r="EZ168" s="14">
        <v>45694</v>
      </c>
      <c r="FA168" s="14">
        <f>DATE(YEAR(EZ168)+2,MONTH(EZ168),DAY(EZ168)-1)</f>
        <v>46423</v>
      </c>
      <c r="FB168" s="65">
        <f t="shared" ca="1" si="495"/>
        <v>292</v>
      </c>
      <c r="FC168" s="15" t="str">
        <f t="shared" ca="1" si="496"/>
        <v>VIGENTE</v>
      </c>
      <c r="FD168" s="13">
        <v>45009</v>
      </c>
      <c r="FE168" s="14">
        <v>45666</v>
      </c>
      <c r="FF168" s="14">
        <f>DATE(YEAR(FE168)+2,MONTH(FE168),DAY(FE168)-1)</f>
        <v>46395</v>
      </c>
      <c r="FG168" s="65">
        <f t="shared" ca="1" si="497"/>
        <v>264</v>
      </c>
      <c r="FH168" s="15" t="str">
        <f t="shared" ca="1" si="498"/>
        <v>VIGENTE</v>
      </c>
      <c r="FI168" s="13">
        <v>45045</v>
      </c>
      <c r="FJ168" s="14">
        <v>45668</v>
      </c>
      <c r="FK168" s="14">
        <f>DATE(YEAR(FJ168)+2,MONTH(FJ168),DAY(FJ168)-1)</f>
        <v>46397</v>
      </c>
      <c r="FL168" s="65">
        <f t="shared" ca="1" si="499"/>
        <v>266</v>
      </c>
      <c r="FM168" s="15" t="str">
        <f t="shared" ca="1" si="500"/>
        <v>VIGENTE</v>
      </c>
      <c r="FN168" s="13">
        <v>45055</v>
      </c>
      <c r="FO168" s="14">
        <v>45686</v>
      </c>
      <c r="FP168" s="14">
        <f>DATE(YEAR(FO168)+2,MONTH(FO168),DAY(FO168)-1)</f>
        <v>46415</v>
      </c>
      <c r="FQ168" s="65">
        <f t="shared" ca="1" si="501"/>
        <v>284</v>
      </c>
      <c r="FR168" s="15" t="str">
        <f t="shared" ca="1" si="502"/>
        <v>VIGENTE</v>
      </c>
      <c r="FS168" s="13">
        <v>45014</v>
      </c>
      <c r="FT168" s="14">
        <v>45664</v>
      </c>
      <c r="FU168" s="14">
        <f>DATE(YEAR(FT168)+2,MONTH(FT168),DAY(FT168)-1)</f>
        <v>46393</v>
      </c>
      <c r="FV168" s="65">
        <f t="shared" ca="1" si="503"/>
        <v>262</v>
      </c>
      <c r="FW168" s="15" t="str">
        <f t="shared" ca="1" si="504"/>
        <v>VIGENTE</v>
      </c>
      <c r="FX168" s="13">
        <v>45028</v>
      </c>
      <c r="FY168" s="14">
        <v>45700</v>
      </c>
      <c r="FZ168" s="14">
        <f>DATE(YEAR(FY168)+2,MONTH(FY168),DAY(FY168)-1)</f>
        <v>46429</v>
      </c>
      <c r="GA168" s="65">
        <f t="shared" ca="1" si="505"/>
        <v>298</v>
      </c>
      <c r="GB168" s="15" t="str">
        <f t="shared" ca="1" si="506"/>
        <v>VIGENTE</v>
      </c>
      <c r="GC168" s="13">
        <v>45049</v>
      </c>
      <c r="GD168" s="14">
        <v>45667</v>
      </c>
      <c r="GE168" s="14">
        <f>DATE(YEAR(GD168)+2,MONTH(GD168),DAY(GD168)-1)</f>
        <v>46396</v>
      </c>
      <c r="GF168" s="65">
        <f t="shared" ca="1" si="507"/>
        <v>265</v>
      </c>
      <c r="GG168" s="15" t="str">
        <f t="shared" ca="1" si="508"/>
        <v>VIGENTE</v>
      </c>
      <c r="GH168" s="13">
        <v>45022</v>
      </c>
      <c r="GI168" s="14">
        <v>45672</v>
      </c>
      <c r="GJ168" s="14">
        <f>DATE(YEAR(GI168)+2,MONTH(GI168),DAY(GI168)-1)</f>
        <v>46401</v>
      </c>
      <c r="GK168" s="65">
        <f t="shared" ca="1" si="509"/>
        <v>270</v>
      </c>
      <c r="GL168" s="15" t="str">
        <f t="shared" ca="1" si="510"/>
        <v>VIGENTE</v>
      </c>
      <c r="GM168" s="13">
        <v>45024</v>
      </c>
      <c r="GN168" s="14">
        <v>45687</v>
      </c>
      <c r="GO168" s="14">
        <f>DATE(YEAR(GN168)+2,MONTH(GN168),DAY(GN168)-1)</f>
        <v>46416</v>
      </c>
      <c r="GP168" s="65">
        <f t="shared" ca="1" si="511"/>
        <v>285</v>
      </c>
      <c r="GQ168" s="15" t="str">
        <f t="shared" ca="1" si="512"/>
        <v>VIGENTE</v>
      </c>
      <c r="GR168" s="14"/>
      <c r="GS168" s="14">
        <v>45048</v>
      </c>
      <c r="GT168" s="14">
        <f t="shared" si="513"/>
        <v>46875</v>
      </c>
      <c r="GU168" s="65">
        <f t="shared" ca="1" si="398"/>
        <v>744</v>
      </c>
      <c r="GV168" s="15" t="str">
        <f t="shared" ca="1" si="411"/>
        <v>VIGENTE</v>
      </c>
      <c r="GW168" s="13"/>
      <c r="GX168" s="14">
        <v>45010</v>
      </c>
      <c r="GY168" s="14">
        <f t="shared" si="514"/>
        <v>46837</v>
      </c>
      <c r="GZ168" s="65">
        <f t="shared" ca="1" si="515"/>
        <v>706</v>
      </c>
      <c r="HA168" s="15" t="str">
        <f t="shared" ca="1" si="418"/>
        <v>VIGENTE</v>
      </c>
      <c r="HB168" s="12"/>
      <c r="HC168" s="14">
        <v>45073</v>
      </c>
      <c r="HD168" s="14">
        <f t="shared" si="516"/>
        <v>46900</v>
      </c>
      <c r="HE168" s="65">
        <f t="shared" ca="1" si="517"/>
        <v>769</v>
      </c>
      <c r="HF168" s="15" t="str">
        <f t="shared" ca="1" si="413"/>
        <v>VIGENTE</v>
      </c>
      <c r="HG168" s="16"/>
      <c r="HH168" s="14">
        <v>45020</v>
      </c>
      <c r="HI168" s="14">
        <f t="shared" si="588"/>
        <v>46847</v>
      </c>
      <c r="HJ168" s="65">
        <f t="shared" ca="1" si="589"/>
        <v>716</v>
      </c>
      <c r="HK168" s="15" t="str">
        <f t="shared" ca="1" si="419"/>
        <v>VIGENTE</v>
      </c>
      <c r="HL168" s="12"/>
      <c r="HM168" s="16"/>
      <c r="HN168" s="14"/>
      <c r="HO168" s="65"/>
      <c r="HP168" s="15" t="str">
        <f t="shared" si="437"/>
        <v>NO APLICA</v>
      </c>
      <c r="HQ168" s="12"/>
      <c r="HR168" s="12"/>
      <c r="HS168" s="14"/>
      <c r="HT168" s="12"/>
      <c r="HU168" s="15" t="str">
        <f t="shared" si="518"/>
        <v>NO APLICA</v>
      </c>
      <c r="HV168" s="12"/>
      <c r="HW168" s="14">
        <v>45193</v>
      </c>
      <c r="HX168" s="14">
        <f>DATE(YEAR(HW168)+5,MONTH(HW168),DAY(HW168))</f>
        <v>47020</v>
      </c>
      <c r="HY168" s="65">
        <f ca="1">HX168-TODAY()</f>
        <v>889</v>
      </c>
      <c r="HZ168" s="15" t="str">
        <f t="shared" ca="1" si="519"/>
        <v>VIGENTE</v>
      </c>
      <c r="IA168" s="12"/>
      <c r="IB168" s="14">
        <v>45194</v>
      </c>
      <c r="IC168" s="14">
        <f>DATE(YEAR(IB168)+5,MONTH(IB168),DAY(IB168))</f>
        <v>47021</v>
      </c>
      <c r="ID168" s="65">
        <f ca="1">IC168-TODAY()</f>
        <v>890</v>
      </c>
      <c r="IE168" s="15" t="str">
        <f t="shared" ca="1" si="520"/>
        <v>VIGENTE</v>
      </c>
      <c r="IF168" s="12"/>
      <c r="IG168" s="14">
        <v>45173</v>
      </c>
      <c r="IH168" s="14">
        <f>DATE(YEAR(IG168)+5,MONTH(IG168),DAY(IG168))</f>
        <v>47000</v>
      </c>
      <c r="II168" s="65">
        <f ca="1">IH168-TODAY()</f>
        <v>869</v>
      </c>
      <c r="IJ168" s="15" t="str">
        <f t="shared" ca="1" si="521"/>
        <v>VIGENTE</v>
      </c>
      <c r="IK168" s="16"/>
      <c r="IL168" s="14">
        <v>45201</v>
      </c>
      <c r="IM168" s="14">
        <f>DATE(YEAR(IL168)+5,MONTH(IL168),DAY(IL168))</f>
        <v>47028</v>
      </c>
      <c r="IN168" s="65">
        <f ca="1">IM168-TODAY()</f>
        <v>897</v>
      </c>
      <c r="IO168" s="15" t="str">
        <f t="shared" ca="1" si="522"/>
        <v>VIGENTE</v>
      </c>
      <c r="IP168" s="12"/>
      <c r="IQ168" s="14">
        <v>45164</v>
      </c>
      <c r="IR168" s="14">
        <f>DATE(YEAR(IQ168)+5,MONTH(IQ168),DAY(IQ168))</f>
        <v>46991</v>
      </c>
      <c r="IS168" s="65">
        <f ca="1">IR168-TODAY()</f>
        <v>860</v>
      </c>
      <c r="IT168" s="15" t="str">
        <f t="shared" ca="1" si="523"/>
        <v>VIGENTE</v>
      </c>
      <c r="IU168" s="12"/>
      <c r="IV168" s="14">
        <v>45191</v>
      </c>
      <c r="IW168" s="14">
        <f>DATE(YEAR(IV168)+5,MONTH(IV168),DAY(IV168))</f>
        <v>47018</v>
      </c>
      <c r="IX168" s="65">
        <f ca="1">IW168-TODAY()</f>
        <v>887</v>
      </c>
      <c r="IY168" s="15" t="str">
        <f t="shared" ca="1" si="524"/>
        <v>VIGENTE</v>
      </c>
      <c r="IZ168" s="12"/>
      <c r="JA168" s="14">
        <v>45206</v>
      </c>
      <c r="JB168" s="14">
        <f>DATE(YEAR(JA168)+5,MONTH(JA168),DAY(JA168))</f>
        <v>47033</v>
      </c>
      <c r="JC168" s="65">
        <f ca="1">JB168-TODAY()</f>
        <v>902</v>
      </c>
      <c r="JD168" s="15" t="str">
        <f t="shared" ca="1" si="525"/>
        <v>VIGENTE</v>
      </c>
      <c r="JE168" s="13"/>
      <c r="JF168" s="13"/>
      <c r="JG168" s="14"/>
      <c r="JH168" s="65"/>
      <c r="JI168" s="15" t="str">
        <f t="shared" si="526"/>
        <v>NO APLICA</v>
      </c>
      <c r="JJ168" s="16"/>
      <c r="JK168" s="16"/>
      <c r="JL168" s="16"/>
      <c r="JM168" s="15" t="str">
        <f t="shared" si="527"/>
        <v>NO APLICA</v>
      </c>
      <c r="JN168" s="16"/>
      <c r="JO168" s="16"/>
      <c r="JP168" s="16"/>
      <c r="JQ168" s="15" t="str">
        <f t="shared" si="528"/>
        <v>NO APLICA</v>
      </c>
      <c r="JR168" s="16"/>
      <c r="JS168" s="16"/>
      <c r="JT168" s="16"/>
      <c r="JU168" s="16"/>
      <c r="JV168" s="15" t="str">
        <f t="shared" si="529"/>
        <v>NO APLICA</v>
      </c>
      <c r="JW168" s="15"/>
      <c r="JX168" s="15"/>
      <c r="JY168" s="15"/>
      <c r="JZ168" s="15"/>
      <c r="KA168" s="15" t="str">
        <f t="shared" si="530"/>
        <v>NO APLICA</v>
      </c>
      <c r="KB168" s="12"/>
      <c r="KC168" s="14"/>
      <c r="KD168" s="65"/>
      <c r="KE168" s="15" t="str">
        <f t="shared" si="531"/>
        <v>NO APLICA</v>
      </c>
      <c r="KF168" s="12"/>
      <c r="KG168" s="14"/>
      <c r="KH168" s="65"/>
      <c r="KI168" s="15" t="str">
        <f t="shared" si="547"/>
        <v>NO APLICA</v>
      </c>
      <c r="KJ168" s="12"/>
      <c r="KK168" s="14"/>
      <c r="KL168" s="65"/>
      <c r="KM168" s="15" t="str">
        <f t="shared" si="532"/>
        <v>NO APLICA</v>
      </c>
      <c r="KN168" s="13">
        <v>45346</v>
      </c>
      <c r="KO168" s="14">
        <f>DATE(YEAR(KN168)+5,MONTH(KN168),DAY(KN168))</f>
        <v>47173</v>
      </c>
      <c r="KP168" s="65">
        <f ca="1">KO168-TODAY()</f>
        <v>1042</v>
      </c>
      <c r="KQ168" s="15" t="str">
        <f t="shared" ca="1" si="548"/>
        <v>VIGENTE</v>
      </c>
      <c r="KR168" s="12"/>
      <c r="KS168" s="16"/>
      <c r="KT168" s="14"/>
      <c r="KU168" s="65"/>
      <c r="KV168" s="15" t="str">
        <f t="shared" si="554"/>
        <v>NO APLICA</v>
      </c>
      <c r="KW168" s="16"/>
      <c r="KX168" s="14"/>
      <c r="KY168" s="65"/>
      <c r="KZ168" s="15" t="str">
        <f t="shared" si="549"/>
        <v>NO APLICA</v>
      </c>
      <c r="LA168" s="16"/>
      <c r="LB168" s="14">
        <v>45611</v>
      </c>
      <c r="LC168" s="14">
        <f>DATE(YEAR(LB168)+2,MONTH(LB168),DAY(LB168))</f>
        <v>46341</v>
      </c>
      <c r="LD168" s="65">
        <f ca="1">LC168-TODAY()</f>
        <v>210</v>
      </c>
      <c r="LE168" s="15" t="str">
        <f t="shared" ca="1" si="590"/>
        <v>VIGENTE</v>
      </c>
      <c r="LF168" s="15"/>
      <c r="LG168" s="15"/>
      <c r="LH168" s="15"/>
      <c r="LI168" s="15"/>
      <c r="LJ168" s="15" t="str">
        <f t="shared" si="555"/>
        <v>NO APLICA</v>
      </c>
      <c r="LK168" s="12"/>
      <c r="LL168" s="16"/>
      <c r="LM168" s="14"/>
      <c r="LN168" s="65"/>
      <c r="LO168" s="15" t="str">
        <f t="shared" si="550"/>
        <v>NO APLICA</v>
      </c>
      <c r="LP168" s="16"/>
      <c r="LQ168" s="16"/>
      <c r="LR168" s="14"/>
      <c r="LS168" s="65"/>
      <c r="LT168" s="15" t="str">
        <f t="shared" si="551"/>
        <v>NO APLICA</v>
      </c>
      <c r="LU168" s="16"/>
      <c r="LV168" s="16"/>
      <c r="LW168" s="14"/>
      <c r="LX168" s="65"/>
      <c r="LY168" s="15" t="str">
        <f t="shared" si="552"/>
        <v>NO APLICA</v>
      </c>
      <c r="LZ168" s="13">
        <v>44998</v>
      </c>
      <c r="MA168" s="14">
        <v>44998</v>
      </c>
      <c r="MB168" s="14">
        <f>DATE(YEAR(MA168)+5,MONTH(MA168),DAY(MA168))</f>
        <v>46825</v>
      </c>
      <c r="MC168" s="65">
        <f ca="1">MB168-TODAY()</f>
        <v>694</v>
      </c>
      <c r="MD168" s="15" t="str">
        <f t="shared" ca="1" si="534"/>
        <v>VIGENTE</v>
      </c>
      <c r="ME168" s="12"/>
      <c r="MF168" s="12"/>
      <c r="MG168" s="14"/>
      <c r="MH168" s="65"/>
      <c r="MI168" s="15" t="str">
        <f t="shared" si="535"/>
        <v>NO APLICA</v>
      </c>
      <c r="MJ168" s="12"/>
      <c r="MK168" s="14"/>
      <c r="ML168" s="65"/>
      <c r="MM168" s="15" t="str">
        <f t="shared" si="536"/>
        <v>NO APLICA</v>
      </c>
      <c r="MN168" s="12"/>
      <c r="MO168" s="14"/>
      <c r="MP168" s="12"/>
      <c r="MQ168" s="15" t="str">
        <f t="shared" si="537"/>
        <v>NO APLICA</v>
      </c>
      <c r="MR168" s="12"/>
      <c r="MS168" s="16"/>
      <c r="MT168" s="14"/>
      <c r="MU168" s="65"/>
      <c r="MV168" s="15" t="str">
        <f t="shared" si="538"/>
        <v>NO APLICA</v>
      </c>
      <c r="MW168" s="12"/>
      <c r="MX168" s="16"/>
      <c r="MY168" s="14"/>
      <c r="MZ168" s="65"/>
      <c r="NA168" s="15" t="str">
        <f t="shared" si="539"/>
        <v>NO APLICA</v>
      </c>
      <c r="NB168" s="12"/>
      <c r="NC168" s="16"/>
      <c r="ND168" s="14"/>
      <c r="NE168" s="65"/>
      <c r="NF168" s="15" t="str">
        <f t="shared" si="540"/>
        <v>NO APLICA</v>
      </c>
      <c r="NG168" s="12"/>
      <c r="NH168" s="12"/>
      <c r="NI168" s="14"/>
      <c r="NJ168" s="12"/>
      <c r="NK168" s="15" t="str">
        <f t="shared" si="541"/>
        <v>NO APLICA</v>
      </c>
      <c r="NL168" s="12"/>
      <c r="NM168" s="12"/>
      <c r="NN168" s="14"/>
      <c r="NO168" s="12"/>
      <c r="NP168" s="15" t="str">
        <f t="shared" si="542"/>
        <v>NO APLICA</v>
      </c>
      <c r="NQ168" s="16"/>
      <c r="NR168" s="16"/>
      <c r="NS168" s="14"/>
      <c r="NT168" s="65"/>
      <c r="NU168" s="15" t="str">
        <f t="shared" si="543"/>
        <v>NO APLICA</v>
      </c>
      <c r="NV168" s="16"/>
      <c r="NW168" s="16"/>
      <c r="NX168" s="16"/>
      <c r="NY168" s="16"/>
      <c r="NZ168" s="15" t="str">
        <f t="shared" si="544"/>
        <v>NO APLICA</v>
      </c>
    </row>
    <row r="169" spans="1:390" ht="15.6" thickTop="1" thickBot="1" x14ac:dyDescent="0.35">
      <c r="A169" s="9">
        <v>1608</v>
      </c>
      <c r="B169" s="10" t="s">
        <v>605</v>
      </c>
      <c r="C169" s="21" t="s">
        <v>98</v>
      </c>
      <c r="D169" s="64" t="s">
        <v>99</v>
      </c>
      <c r="E169" s="15"/>
      <c r="F169" s="16"/>
      <c r="G169" s="14"/>
      <c r="H169" s="65"/>
      <c r="I169" s="15" t="str">
        <f t="shared" si="448"/>
        <v>NO APLICA</v>
      </c>
      <c r="J169" s="12"/>
      <c r="K169" s="16"/>
      <c r="L169" s="16"/>
      <c r="M169" s="65"/>
      <c r="N169" s="15" t="str">
        <f t="shared" si="449"/>
        <v>NO APLICA</v>
      </c>
      <c r="O169" s="14">
        <v>45596</v>
      </c>
      <c r="P169" s="14">
        <v>45597</v>
      </c>
      <c r="Q169" s="14">
        <f>DATE(YEAR(P169)+2,MONTH(P169),DAY(P169)-1)</f>
        <v>46326</v>
      </c>
      <c r="R169" s="65">
        <f ca="1">Q169-TODAY()</f>
        <v>195</v>
      </c>
      <c r="S169" s="15" t="str">
        <f t="shared" ca="1" si="545"/>
        <v>VIGENTE</v>
      </c>
      <c r="T169" s="16" t="s">
        <v>606</v>
      </c>
      <c r="U169" s="13">
        <v>44700</v>
      </c>
      <c r="V169" s="14">
        <v>44701</v>
      </c>
      <c r="W169" s="14">
        <f t="shared" si="577"/>
        <v>46527</v>
      </c>
      <c r="X169" s="65">
        <f t="shared" ca="1" si="578"/>
        <v>396</v>
      </c>
      <c r="Y169" s="15" t="str">
        <f t="shared" ca="1" si="403"/>
        <v>VIGENTE</v>
      </c>
      <c r="Z169" s="12" t="s">
        <v>607</v>
      </c>
      <c r="AA169" s="13">
        <v>45189</v>
      </c>
      <c r="AB169" s="14">
        <v>45190</v>
      </c>
      <c r="AC169" s="14">
        <f t="shared" si="586"/>
        <v>47017</v>
      </c>
      <c r="AD169" s="65">
        <f t="shared" ca="1" si="587"/>
        <v>886</v>
      </c>
      <c r="AE169" s="15" t="str">
        <f t="shared" ca="1" si="574"/>
        <v>VIGENTE</v>
      </c>
      <c r="AF169" s="13">
        <v>44946</v>
      </c>
      <c r="AG169" s="14">
        <v>45609</v>
      </c>
      <c r="AH169" s="14">
        <f>DATE(YEAR(AG169)+2,MONTH(AG169),DAY(AG169)-1)</f>
        <v>46338</v>
      </c>
      <c r="AI169" s="65">
        <f t="shared" ca="1" si="450"/>
        <v>207</v>
      </c>
      <c r="AJ169" s="15" t="str">
        <f t="shared" ca="1" si="399"/>
        <v>VIGENTE</v>
      </c>
      <c r="AK169" s="13">
        <v>45044</v>
      </c>
      <c r="AL169" s="14">
        <v>45710</v>
      </c>
      <c r="AM169" s="14">
        <f>DATE(YEAR(AL169)+2,MONTH(AL169),DAY(AL169)-1)</f>
        <v>46439</v>
      </c>
      <c r="AN169" s="65">
        <f t="shared" ca="1" si="451"/>
        <v>308</v>
      </c>
      <c r="AO169" s="15" t="str">
        <f t="shared" ca="1" si="452"/>
        <v>VIGENTE</v>
      </c>
      <c r="AP169" s="13">
        <v>45326</v>
      </c>
      <c r="AQ169" s="14">
        <v>45989</v>
      </c>
      <c r="AR169" s="14">
        <f>DATE(YEAR(AQ169)+2,MONTH(AQ169),DAY(AQ169))</f>
        <v>46719</v>
      </c>
      <c r="AS169" s="65">
        <f t="shared" ca="1" si="453"/>
        <v>588</v>
      </c>
      <c r="AT169" s="15" t="str">
        <f t="shared" ca="1" si="454"/>
        <v>VIGENTE</v>
      </c>
      <c r="AU169" s="13">
        <v>45323</v>
      </c>
      <c r="AV169" s="14">
        <v>45972</v>
      </c>
      <c r="AW169" s="14">
        <f>DATE(YEAR(AV169)+2,MONTH(AV169),DAY(AV169))</f>
        <v>46702</v>
      </c>
      <c r="AX169" s="65">
        <f t="shared" ca="1" si="455"/>
        <v>571</v>
      </c>
      <c r="AY169" s="15" t="str">
        <f t="shared" ca="1" si="456"/>
        <v>VIGENTE</v>
      </c>
      <c r="AZ169" s="13">
        <v>45387</v>
      </c>
      <c r="BA169" s="14">
        <v>46041</v>
      </c>
      <c r="BB169" s="14">
        <f>DATE(YEAR(BA169)+2,MONTH(BA169),DAY(BA169))</f>
        <v>46771</v>
      </c>
      <c r="BC169" s="65">
        <f t="shared" ca="1" si="457"/>
        <v>640</v>
      </c>
      <c r="BD169" s="15" t="str">
        <f t="shared" ca="1" si="458"/>
        <v>VIGENTE</v>
      </c>
      <c r="BE169" s="13">
        <v>45399</v>
      </c>
      <c r="BF169" s="14">
        <v>46027</v>
      </c>
      <c r="BG169" s="14">
        <f>DATE(YEAR(BF169)+2,MONTH(BF169),DAY(BF169))</f>
        <v>46757</v>
      </c>
      <c r="BH169" s="65">
        <f t="shared" ca="1" si="459"/>
        <v>626</v>
      </c>
      <c r="BI169" s="15" t="str">
        <f t="shared" ca="1" si="460"/>
        <v>VIGENTE</v>
      </c>
      <c r="BJ169" s="13">
        <v>44956</v>
      </c>
      <c r="BK169" s="14">
        <v>45600</v>
      </c>
      <c r="BL169" s="14">
        <f>DATE(YEAR(BK169)+2,MONTH(BK169),DAY(BK169)-1)</f>
        <v>46329</v>
      </c>
      <c r="BM169" s="65">
        <f t="shared" ca="1" si="461"/>
        <v>198</v>
      </c>
      <c r="BN169" s="15" t="str">
        <f t="shared" ca="1" si="462"/>
        <v>VIGENTE</v>
      </c>
      <c r="BO169" s="13">
        <v>45073</v>
      </c>
      <c r="BP169" s="14">
        <v>45701</v>
      </c>
      <c r="BQ169" s="14">
        <f>DATE(YEAR(BP169)+2,MONTH(BP169),DAY(BP169)-1)</f>
        <v>46430</v>
      </c>
      <c r="BR169" s="65">
        <f t="shared" ca="1" si="463"/>
        <v>299</v>
      </c>
      <c r="BS169" s="15" t="str">
        <f t="shared" ca="1" si="464"/>
        <v>VIGENTE</v>
      </c>
      <c r="BT169" s="13">
        <v>44624</v>
      </c>
      <c r="BU169" s="14">
        <v>45950</v>
      </c>
      <c r="BV169" s="14">
        <f>DATE(YEAR(BU169)+2,MONTH(BU169),DAY(BU169))</f>
        <v>46680</v>
      </c>
      <c r="BW169" s="65">
        <f t="shared" ca="1" si="465"/>
        <v>549</v>
      </c>
      <c r="BX169" s="15" t="str">
        <f t="shared" ca="1" si="466"/>
        <v>VIGENTE</v>
      </c>
      <c r="BY169" s="13">
        <v>45063</v>
      </c>
      <c r="BZ169" s="14">
        <v>45730</v>
      </c>
      <c r="CA169" s="14">
        <f>DATE(YEAR(BZ169)+2,MONTH(BZ169),DAY(BZ169)-1)</f>
        <v>46459</v>
      </c>
      <c r="CB169" s="65">
        <f t="shared" ca="1" si="467"/>
        <v>328</v>
      </c>
      <c r="CC169" s="15" t="str">
        <f t="shared" ca="1" si="468"/>
        <v>VIGENTE</v>
      </c>
      <c r="CD169" s="16" t="s">
        <v>102</v>
      </c>
      <c r="CE169" s="14">
        <v>45831</v>
      </c>
      <c r="CF169" s="14">
        <v>45832</v>
      </c>
      <c r="CG169" s="14">
        <f t="shared" si="580"/>
        <v>47293</v>
      </c>
      <c r="CH169" s="65">
        <f t="shared" ca="1" si="581"/>
        <v>1162</v>
      </c>
      <c r="CI169" s="15" t="str">
        <f t="shared" ca="1" si="562"/>
        <v>VIGENTE</v>
      </c>
      <c r="CJ169" s="14">
        <v>45085</v>
      </c>
      <c r="CK169" s="14">
        <v>45723</v>
      </c>
      <c r="CL169" s="14">
        <f>DATE(YEAR(CK169)+2,MONTH(CK169),DAY(CK169)-1)</f>
        <v>46452</v>
      </c>
      <c r="CM169" s="65">
        <f t="shared" ca="1" si="469"/>
        <v>321</v>
      </c>
      <c r="CN169" s="15" t="str">
        <f t="shared" ca="1" si="470"/>
        <v>VIGENTE</v>
      </c>
      <c r="CO169" s="13">
        <v>45050</v>
      </c>
      <c r="CP169" s="14">
        <v>45684</v>
      </c>
      <c r="CQ169" s="14">
        <f>DATE(YEAR(CP169)+2,MONTH(CP169),DAY(CP169)-1)</f>
        <v>46413</v>
      </c>
      <c r="CR169" s="65">
        <f t="shared" ca="1" si="471"/>
        <v>282</v>
      </c>
      <c r="CS169" s="15" t="str">
        <f t="shared" ca="1" si="472"/>
        <v>VIGENTE</v>
      </c>
      <c r="CT169" s="13">
        <v>44679</v>
      </c>
      <c r="CU169" s="14">
        <v>45905</v>
      </c>
      <c r="CV169" s="14">
        <f>DATE(YEAR(CU169)+2,MONTH(CU169),DAY(CU169))</f>
        <v>46635</v>
      </c>
      <c r="CW169" s="65">
        <f t="shared" ca="1" si="473"/>
        <v>504</v>
      </c>
      <c r="CX169" s="15" t="str">
        <f t="shared" ca="1" si="474"/>
        <v>VIGENTE</v>
      </c>
      <c r="CY169" s="13">
        <v>44681</v>
      </c>
      <c r="CZ169" s="14">
        <v>46000</v>
      </c>
      <c r="DA169" s="14">
        <f>DATE(YEAR(CZ169)+2,MONTH(CZ169),DAY(CZ169))</f>
        <v>46730</v>
      </c>
      <c r="DB169" s="65">
        <f t="shared" ca="1" si="475"/>
        <v>599</v>
      </c>
      <c r="DC169" s="15" t="str">
        <f t="shared" ca="1" si="476"/>
        <v>VIGENTE</v>
      </c>
      <c r="DD169" s="13">
        <v>45023</v>
      </c>
      <c r="DE169" s="14">
        <v>45689</v>
      </c>
      <c r="DF169" s="14">
        <f>DATE(YEAR(DE169)+2,MONTH(DE169),DAY(DE169)-1)</f>
        <v>46418</v>
      </c>
      <c r="DG169" s="65">
        <f t="shared" ca="1" si="477"/>
        <v>287</v>
      </c>
      <c r="DH169" s="15" t="str">
        <f t="shared" ca="1" si="478"/>
        <v>VIGENTE</v>
      </c>
      <c r="DI169" s="13">
        <v>45312</v>
      </c>
      <c r="DJ169" s="14">
        <v>45975</v>
      </c>
      <c r="DK169" s="14">
        <f>DATE(YEAR(DJ169)+2,MONTH(DJ169),DAY(DJ169))</f>
        <v>46705</v>
      </c>
      <c r="DL169" s="65">
        <f t="shared" ca="1" si="479"/>
        <v>574</v>
      </c>
      <c r="DM169" s="15" t="str">
        <f t="shared" ca="1" si="480"/>
        <v>VIGENTE</v>
      </c>
      <c r="DN169" s="13">
        <v>44678</v>
      </c>
      <c r="DO169" s="14">
        <v>46007</v>
      </c>
      <c r="DP169" s="14">
        <f>DATE(YEAR(DO169)+2,MONTH(DO169),DAY(DO169))</f>
        <v>46737</v>
      </c>
      <c r="DQ169" s="65">
        <f t="shared" ca="1" si="481"/>
        <v>606</v>
      </c>
      <c r="DR169" s="15" t="str">
        <f t="shared" ca="1" si="482"/>
        <v>VIGENTE</v>
      </c>
      <c r="DS169" s="13">
        <v>44714</v>
      </c>
      <c r="DT169" s="14">
        <v>46053</v>
      </c>
      <c r="DU169" s="14">
        <f>DATE(YEAR(DT169)+2,MONTH(DT169),DAY(DT169))</f>
        <v>46783</v>
      </c>
      <c r="DV169" s="65">
        <f t="shared" ca="1" si="483"/>
        <v>652</v>
      </c>
      <c r="DW169" s="15" t="str">
        <f t="shared" ca="1" si="484"/>
        <v>VIGENTE</v>
      </c>
      <c r="DX169" s="13">
        <v>45064</v>
      </c>
      <c r="DY169" s="14">
        <v>45682</v>
      </c>
      <c r="DZ169" s="14">
        <f t="shared" si="585"/>
        <v>46411</v>
      </c>
      <c r="EA169" s="65">
        <f t="shared" ca="1" si="485"/>
        <v>280</v>
      </c>
      <c r="EB169" s="15" t="str">
        <f t="shared" ca="1" si="486"/>
        <v>VIGENTE</v>
      </c>
      <c r="EC169" s="13">
        <v>45070</v>
      </c>
      <c r="ED169" s="14">
        <v>45674</v>
      </c>
      <c r="EE169" s="14">
        <f>DATE(YEAR(ED169)+2,MONTH(ED169),DAY(ED169)-1)</f>
        <v>46403</v>
      </c>
      <c r="EF169" s="65">
        <f t="shared" ca="1" si="487"/>
        <v>272</v>
      </c>
      <c r="EG169" s="15" t="str">
        <f t="shared" ca="1" si="488"/>
        <v>VIGENTE</v>
      </c>
      <c r="EH169" s="13">
        <v>45748</v>
      </c>
      <c r="EI169" s="13">
        <v>46058</v>
      </c>
      <c r="EJ169" s="13">
        <v>46059</v>
      </c>
      <c r="EK169" s="13">
        <v>46060</v>
      </c>
      <c r="EL169" s="14">
        <f t="shared" si="546"/>
        <v>46425</v>
      </c>
      <c r="EM169" s="65">
        <f t="shared" ca="1" si="489"/>
        <v>294</v>
      </c>
      <c r="EN169" s="15" t="str">
        <f t="shared" ca="1" si="490"/>
        <v>VIGENTE</v>
      </c>
      <c r="EO169" s="13">
        <v>44985</v>
      </c>
      <c r="EP169" s="14">
        <v>45636</v>
      </c>
      <c r="EQ169" s="14">
        <f>DATE(YEAR(EP169)+2,MONTH(EP169),DAY(EP169)-1)</f>
        <v>46365</v>
      </c>
      <c r="ER169" s="65">
        <f t="shared" ca="1" si="491"/>
        <v>234</v>
      </c>
      <c r="ES169" s="15" t="str">
        <f t="shared" ca="1" si="492"/>
        <v>VIGENTE</v>
      </c>
      <c r="ET169" s="13">
        <v>44713</v>
      </c>
      <c r="EU169" s="14">
        <v>45999</v>
      </c>
      <c r="EV169" s="14">
        <f>DATE(YEAR(EU169)+2,MONTH(EU169),DAY(EU169))</f>
        <v>46729</v>
      </c>
      <c r="EW169" s="65">
        <f t="shared" ca="1" si="493"/>
        <v>598</v>
      </c>
      <c r="EX169" s="15" t="str">
        <f t="shared" ca="1" si="494"/>
        <v>VIGENTE</v>
      </c>
      <c r="EY169" s="13">
        <v>45010</v>
      </c>
      <c r="EZ169" s="14">
        <v>45694</v>
      </c>
      <c r="FA169" s="14">
        <f>DATE(YEAR(EZ169)+2,MONTH(EZ169),DAY(EZ169)-1)</f>
        <v>46423</v>
      </c>
      <c r="FB169" s="65">
        <f t="shared" ca="1" si="495"/>
        <v>292</v>
      </c>
      <c r="FC169" s="15" t="str">
        <f t="shared" ca="1" si="496"/>
        <v>VIGENTE</v>
      </c>
      <c r="FD169" s="13">
        <v>45056</v>
      </c>
      <c r="FE169" s="14">
        <v>45666</v>
      </c>
      <c r="FF169" s="14">
        <f>DATE(YEAR(FE169)+2,MONTH(FE169),DAY(FE169)-1)</f>
        <v>46395</v>
      </c>
      <c r="FG169" s="65">
        <f t="shared" ca="1" si="497"/>
        <v>264</v>
      </c>
      <c r="FH169" s="15" t="str">
        <f t="shared" ca="1" si="498"/>
        <v>VIGENTE</v>
      </c>
      <c r="FI169" s="13">
        <v>45045</v>
      </c>
      <c r="FJ169" s="14">
        <v>45668</v>
      </c>
      <c r="FK169" s="14">
        <f>DATE(YEAR(FJ169)+2,MONTH(FJ169),DAY(FJ169)-1)</f>
        <v>46397</v>
      </c>
      <c r="FL169" s="65">
        <f t="shared" ca="1" si="499"/>
        <v>266</v>
      </c>
      <c r="FM169" s="15" t="str">
        <f t="shared" ca="1" si="500"/>
        <v>VIGENTE</v>
      </c>
      <c r="FN169" s="13">
        <v>45084</v>
      </c>
      <c r="FO169" s="14">
        <v>45771</v>
      </c>
      <c r="FP169" s="14">
        <f>DATE(YEAR(FO169)+2,MONTH(FO169),DAY(FO169))</f>
        <v>46501</v>
      </c>
      <c r="FQ169" s="65">
        <f t="shared" ca="1" si="501"/>
        <v>370</v>
      </c>
      <c r="FR169" s="15" t="str">
        <f t="shared" ca="1" si="502"/>
        <v>VIGENTE</v>
      </c>
      <c r="FS169" s="13">
        <v>45005</v>
      </c>
      <c r="FT169" s="14">
        <v>45664</v>
      </c>
      <c r="FU169" s="14">
        <f>DATE(YEAR(FT169)+2,MONTH(FT169),DAY(FT169)-1)</f>
        <v>46393</v>
      </c>
      <c r="FV169" s="65">
        <f t="shared" ca="1" si="503"/>
        <v>262</v>
      </c>
      <c r="FW169" s="15" t="str">
        <f t="shared" ca="1" si="504"/>
        <v>VIGENTE</v>
      </c>
      <c r="FX169" s="13">
        <v>44943</v>
      </c>
      <c r="FY169" s="14">
        <v>45587</v>
      </c>
      <c r="FZ169" s="14">
        <f>DATE(YEAR(FY169)+2,MONTH(FY169),DAY(FY169)-1)</f>
        <v>46316</v>
      </c>
      <c r="GA169" s="65">
        <f t="shared" ca="1" si="505"/>
        <v>185</v>
      </c>
      <c r="GB169" s="15" t="str">
        <f t="shared" ca="1" si="506"/>
        <v>VIGENTE</v>
      </c>
      <c r="GC169" s="13">
        <v>44595</v>
      </c>
      <c r="GD169" s="14">
        <v>45925</v>
      </c>
      <c r="GE169" s="14">
        <f>DATE(YEAR(GD169)+2,MONTH(GD169),DAY(GD169))</f>
        <v>46655</v>
      </c>
      <c r="GF169" s="65">
        <f t="shared" ca="1" si="507"/>
        <v>524</v>
      </c>
      <c r="GG169" s="15" t="str">
        <f t="shared" ca="1" si="508"/>
        <v>VIGENTE</v>
      </c>
      <c r="GH169" s="13">
        <v>44937</v>
      </c>
      <c r="GI169" s="14">
        <v>45579</v>
      </c>
      <c r="GJ169" s="14">
        <f>DATE(YEAR(GI169)+2,MONTH(GI169),DAY(GI169)-1)</f>
        <v>46308</v>
      </c>
      <c r="GK169" s="65">
        <f t="shared" ca="1" si="509"/>
        <v>177</v>
      </c>
      <c r="GL169" s="15" t="str">
        <f t="shared" ca="1" si="510"/>
        <v>VIGENTE</v>
      </c>
      <c r="GM169" s="13">
        <v>44945</v>
      </c>
      <c r="GN169" s="14">
        <v>45608</v>
      </c>
      <c r="GO169" s="14">
        <f>DATE(YEAR(GN169)+2,MONTH(GN169),DAY(GN169)-1)</f>
        <v>46337</v>
      </c>
      <c r="GP169" s="65">
        <f t="shared" ca="1" si="511"/>
        <v>206</v>
      </c>
      <c r="GQ169" s="15" t="str">
        <f t="shared" ca="1" si="512"/>
        <v>VIGENTE</v>
      </c>
      <c r="GR169" s="14"/>
      <c r="GS169" s="14">
        <v>45017</v>
      </c>
      <c r="GT169" s="14">
        <f t="shared" si="513"/>
        <v>46844</v>
      </c>
      <c r="GU169" s="65">
        <f t="shared" ca="1" si="398"/>
        <v>713</v>
      </c>
      <c r="GV169" s="15" t="str">
        <f t="shared" ca="1" si="411"/>
        <v>VIGENTE</v>
      </c>
      <c r="GW169" s="13"/>
      <c r="GX169" s="14">
        <v>44952</v>
      </c>
      <c r="GY169" s="14">
        <f t="shared" si="514"/>
        <v>46778</v>
      </c>
      <c r="GZ169" s="65">
        <f t="shared" ca="1" si="515"/>
        <v>647</v>
      </c>
      <c r="HA169" s="15" t="str">
        <f t="shared" ca="1" si="418"/>
        <v>VIGENTE</v>
      </c>
      <c r="HB169" s="12"/>
      <c r="HC169" s="14">
        <v>45016</v>
      </c>
      <c r="HD169" s="14">
        <f t="shared" si="516"/>
        <v>46843</v>
      </c>
      <c r="HE169" s="65">
        <f t="shared" ca="1" si="517"/>
        <v>712</v>
      </c>
      <c r="HF169" s="15" t="str">
        <f t="shared" ca="1" si="413"/>
        <v>VIGENTE</v>
      </c>
      <c r="HG169" s="16"/>
      <c r="HH169" s="14">
        <v>45115</v>
      </c>
      <c r="HI169" s="14">
        <f t="shared" si="588"/>
        <v>46942</v>
      </c>
      <c r="HJ169" s="65">
        <f t="shared" ca="1" si="589"/>
        <v>811</v>
      </c>
      <c r="HK169" s="15" t="str">
        <f t="shared" ca="1" si="419"/>
        <v>VIGENTE</v>
      </c>
      <c r="HL169" s="12"/>
      <c r="HM169" s="16"/>
      <c r="HN169" s="14"/>
      <c r="HO169" s="65"/>
      <c r="HP169" s="15" t="str">
        <f t="shared" si="437"/>
        <v>NO APLICA</v>
      </c>
      <c r="HQ169" s="12"/>
      <c r="HR169" s="12"/>
      <c r="HS169" s="14"/>
      <c r="HT169" s="12"/>
      <c r="HU169" s="15" t="str">
        <f t="shared" si="518"/>
        <v>NO APLICA</v>
      </c>
      <c r="HV169" s="12"/>
      <c r="HW169" s="16"/>
      <c r="HX169" s="14"/>
      <c r="HY169" s="65"/>
      <c r="HZ169" s="15" t="str">
        <f t="shared" si="519"/>
        <v>NO APLICA</v>
      </c>
      <c r="IA169" s="12"/>
      <c r="IB169" s="16"/>
      <c r="IC169" s="14"/>
      <c r="ID169" s="65"/>
      <c r="IE169" s="15" t="str">
        <f t="shared" si="520"/>
        <v>NO APLICA</v>
      </c>
      <c r="IF169" s="12"/>
      <c r="IG169" s="16"/>
      <c r="IH169" s="14"/>
      <c r="II169" s="65"/>
      <c r="IJ169" s="15" t="str">
        <f t="shared" si="521"/>
        <v>NO APLICA</v>
      </c>
      <c r="IK169" s="16"/>
      <c r="IL169" s="16"/>
      <c r="IM169" s="14"/>
      <c r="IN169" s="65"/>
      <c r="IO169" s="15" t="str">
        <f t="shared" si="522"/>
        <v>NO APLICA</v>
      </c>
      <c r="IP169" s="12"/>
      <c r="IQ169" s="16"/>
      <c r="IR169" s="14"/>
      <c r="IS169" s="65"/>
      <c r="IT169" s="15" t="str">
        <f t="shared" si="523"/>
        <v>NO APLICA</v>
      </c>
      <c r="IU169" s="12"/>
      <c r="IV169" s="16"/>
      <c r="IW169" s="14"/>
      <c r="IX169" s="65"/>
      <c r="IY169" s="15" t="str">
        <f t="shared" si="524"/>
        <v>NO APLICA</v>
      </c>
      <c r="IZ169" s="12"/>
      <c r="JA169" s="16"/>
      <c r="JB169" s="14"/>
      <c r="JC169" s="65"/>
      <c r="JD169" s="15" t="str">
        <f t="shared" si="525"/>
        <v>NO APLICA</v>
      </c>
      <c r="JE169" s="13"/>
      <c r="JF169" s="13"/>
      <c r="JG169" s="14"/>
      <c r="JH169" s="65"/>
      <c r="JI169" s="15" t="str">
        <f t="shared" si="526"/>
        <v>NO APLICA</v>
      </c>
      <c r="JJ169" s="16"/>
      <c r="JK169" s="16"/>
      <c r="JL169" s="16"/>
      <c r="JM169" s="15" t="str">
        <f t="shared" si="527"/>
        <v>NO APLICA</v>
      </c>
      <c r="JN169" s="16"/>
      <c r="JO169" s="16"/>
      <c r="JP169" s="16"/>
      <c r="JQ169" s="15" t="str">
        <f t="shared" si="528"/>
        <v>NO APLICA</v>
      </c>
      <c r="JR169" s="16"/>
      <c r="JS169" s="16"/>
      <c r="JT169" s="16"/>
      <c r="JU169" s="16"/>
      <c r="JV169" s="15" t="str">
        <f t="shared" si="529"/>
        <v>NO APLICA</v>
      </c>
      <c r="JW169" s="15"/>
      <c r="JX169" s="15"/>
      <c r="JY169" s="15"/>
      <c r="JZ169" s="15"/>
      <c r="KA169" s="15" t="str">
        <f t="shared" si="530"/>
        <v>NO APLICA</v>
      </c>
      <c r="KB169" s="12"/>
      <c r="KC169" s="14"/>
      <c r="KD169" s="65"/>
      <c r="KE169" s="15" t="str">
        <f t="shared" si="531"/>
        <v>NO APLICA</v>
      </c>
      <c r="KF169" s="12"/>
      <c r="KG169" s="14"/>
      <c r="KH169" s="65"/>
      <c r="KI169" s="15" t="str">
        <f t="shared" si="547"/>
        <v>NO APLICA</v>
      </c>
      <c r="KJ169" s="12"/>
      <c r="KK169" s="14"/>
      <c r="KL169" s="65"/>
      <c r="KM169" s="15" t="str">
        <f t="shared" si="532"/>
        <v>NO APLICA</v>
      </c>
      <c r="KN169" s="13">
        <v>45346</v>
      </c>
      <c r="KO169" s="14">
        <f>DATE(YEAR(KN169)+5,MONTH(KN169),DAY(KN169))</f>
        <v>47173</v>
      </c>
      <c r="KP169" s="65">
        <f ca="1">KO169-TODAY()</f>
        <v>1042</v>
      </c>
      <c r="KQ169" s="15" t="str">
        <f t="shared" ca="1" si="548"/>
        <v>VIGENTE</v>
      </c>
      <c r="KR169" s="12"/>
      <c r="KS169" s="16"/>
      <c r="KT169" s="14"/>
      <c r="KU169" s="65"/>
      <c r="KV169" s="15" t="str">
        <f t="shared" si="554"/>
        <v>NO APLICA</v>
      </c>
      <c r="KW169" s="16"/>
      <c r="KX169" s="14"/>
      <c r="KY169" s="65"/>
      <c r="KZ169" s="15" t="str">
        <f t="shared" si="549"/>
        <v>NO APLICA</v>
      </c>
      <c r="LA169" s="16"/>
      <c r="LB169" s="16"/>
      <c r="LC169" s="14"/>
      <c r="LD169" s="65"/>
      <c r="LE169" s="15" t="str">
        <f t="shared" si="590"/>
        <v>NO APLICA</v>
      </c>
      <c r="LF169" s="15"/>
      <c r="LG169" s="15"/>
      <c r="LH169" s="14"/>
      <c r="LI169" s="65"/>
      <c r="LJ169" s="15" t="str">
        <f t="shared" si="555"/>
        <v>NO APLICA</v>
      </c>
      <c r="LK169" s="12"/>
      <c r="LL169" s="16"/>
      <c r="LM169" s="14"/>
      <c r="LN169" s="65"/>
      <c r="LO169" s="15" t="str">
        <f t="shared" si="550"/>
        <v>NO APLICA</v>
      </c>
      <c r="LP169" s="16"/>
      <c r="LQ169" s="16"/>
      <c r="LR169" s="14"/>
      <c r="LS169" s="65"/>
      <c r="LT169" s="15" t="str">
        <f t="shared" si="551"/>
        <v>NO APLICA</v>
      </c>
      <c r="LU169" s="16"/>
      <c r="LV169" s="16"/>
      <c r="LW169" s="14"/>
      <c r="LX169" s="65"/>
      <c r="LY169" s="15" t="str">
        <f t="shared" si="552"/>
        <v>NO APLICA</v>
      </c>
      <c r="LZ169" s="12"/>
      <c r="MA169" s="12"/>
      <c r="MB169" s="14"/>
      <c r="MC169" s="65"/>
      <c r="MD169" s="15" t="str">
        <f t="shared" si="534"/>
        <v>NO APLICA</v>
      </c>
      <c r="ME169" s="12"/>
      <c r="MF169" s="12"/>
      <c r="MG169" s="14"/>
      <c r="MH169" s="65"/>
      <c r="MI169" s="15" t="str">
        <f t="shared" si="535"/>
        <v>NO APLICA</v>
      </c>
      <c r="MJ169" s="12"/>
      <c r="MK169" s="14"/>
      <c r="ML169" s="65"/>
      <c r="MM169" s="15" t="str">
        <f t="shared" si="536"/>
        <v>NO APLICA</v>
      </c>
      <c r="MN169" s="12"/>
      <c r="MO169" s="14"/>
      <c r="MP169" s="12"/>
      <c r="MQ169" s="15" t="str">
        <f t="shared" si="537"/>
        <v>NO APLICA</v>
      </c>
      <c r="MR169" s="12"/>
      <c r="MS169" s="16"/>
      <c r="MT169" s="14"/>
      <c r="MU169" s="65"/>
      <c r="MV169" s="15" t="str">
        <f t="shared" si="538"/>
        <v>NO APLICA</v>
      </c>
      <c r="MW169" s="12"/>
      <c r="MX169" s="16"/>
      <c r="MY169" s="14"/>
      <c r="MZ169" s="65"/>
      <c r="NA169" s="15" t="str">
        <f t="shared" si="539"/>
        <v>NO APLICA</v>
      </c>
      <c r="NB169" s="12"/>
      <c r="NC169" s="16"/>
      <c r="ND169" s="14"/>
      <c r="NE169" s="65"/>
      <c r="NF169" s="15" t="str">
        <f t="shared" si="540"/>
        <v>NO APLICA</v>
      </c>
      <c r="NG169" s="12"/>
      <c r="NH169" s="12"/>
      <c r="NI169" s="14"/>
      <c r="NJ169" s="65"/>
      <c r="NK169" s="15" t="str">
        <f t="shared" si="541"/>
        <v>NO APLICA</v>
      </c>
      <c r="NL169" s="12"/>
      <c r="NM169" s="12"/>
      <c r="NN169" s="14"/>
      <c r="NO169" s="12"/>
      <c r="NP169" s="15" t="str">
        <f t="shared" si="542"/>
        <v>NO APLICA</v>
      </c>
      <c r="NQ169" s="16"/>
      <c r="NR169" s="16"/>
      <c r="NS169" s="14"/>
      <c r="NT169" s="65"/>
      <c r="NU169" s="15" t="str">
        <f t="shared" si="543"/>
        <v>NO APLICA</v>
      </c>
      <c r="NV169" s="16"/>
      <c r="NW169" s="16"/>
      <c r="NX169" s="16"/>
      <c r="NY169" s="16"/>
      <c r="NZ169" s="15" t="str">
        <f t="shared" si="544"/>
        <v>NO APLICA</v>
      </c>
    </row>
    <row r="170" spans="1:390" ht="15.6" thickTop="1" thickBot="1" x14ac:dyDescent="0.35">
      <c r="A170" s="11">
        <v>1637</v>
      </c>
      <c r="B170" s="10" t="s">
        <v>608</v>
      </c>
      <c r="C170" s="21" t="s">
        <v>98</v>
      </c>
      <c r="D170" s="64" t="s">
        <v>118</v>
      </c>
      <c r="E170" s="15"/>
      <c r="F170" s="16"/>
      <c r="G170" s="14"/>
      <c r="H170" s="65"/>
      <c r="I170" s="15" t="str">
        <f t="shared" si="448"/>
        <v>NO APLICA</v>
      </c>
      <c r="J170" s="12"/>
      <c r="K170" s="16"/>
      <c r="L170" s="16"/>
      <c r="M170" s="65"/>
      <c r="N170" s="15" t="str">
        <f t="shared" si="449"/>
        <v>NO APLICA</v>
      </c>
      <c r="O170" s="14">
        <v>45582</v>
      </c>
      <c r="P170" s="14">
        <v>45583</v>
      </c>
      <c r="Q170" s="14">
        <f>DATE(YEAR(P170)+2,MONTH(P170),DAY(P170)-1)</f>
        <v>46312</v>
      </c>
      <c r="R170" s="65">
        <f ca="1">Q170-TODAY()</f>
        <v>181</v>
      </c>
      <c r="S170" s="15" t="str">
        <f t="shared" ca="1" si="545"/>
        <v>VIGENTE</v>
      </c>
      <c r="T170" s="12" t="s">
        <v>609</v>
      </c>
      <c r="U170" s="13">
        <v>44917</v>
      </c>
      <c r="V170" s="14">
        <v>44918</v>
      </c>
      <c r="W170" s="14">
        <f t="shared" si="577"/>
        <v>46744</v>
      </c>
      <c r="X170" s="65">
        <f t="shared" ca="1" si="578"/>
        <v>613</v>
      </c>
      <c r="Y170" s="15" t="str">
        <f t="shared" ca="1" si="403"/>
        <v>VIGENTE</v>
      </c>
      <c r="Z170" s="12" t="s">
        <v>610</v>
      </c>
      <c r="AA170" s="13">
        <v>45191</v>
      </c>
      <c r="AB170" s="14">
        <v>45192</v>
      </c>
      <c r="AC170" s="14">
        <f t="shared" si="586"/>
        <v>47019</v>
      </c>
      <c r="AD170" s="65">
        <f t="shared" ca="1" si="587"/>
        <v>888</v>
      </c>
      <c r="AE170" s="15" t="str">
        <f t="shared" ca="1" si="574"/>
        <v>VIGENTE</v>
      </c>
      <c r="AF170" s="13">
        <v>45037</v>
      </c>
      <c r="AG170" s="14">
        <v>45680</v>
      </c>
      <c r="AH170" s="14">
        <f>DATE(YEAR(AG170)+2,MONTH(AG170),DAY(AG170)-1)</f>
        <v>46409</v>
      </c>
      <c r="AI170" s="65">
        <f t="shared" ca="1" si="450"/>
        <v>278</v>
      </c>
      <c r="AJ170" s="15" t="str">
        <f t="shared" ca="1" si="399"/>
        <v>VIGENTE</v>
      </c>
      <c r="AK170" s="13">
        <v>44882</v>
      </c>
      <c r="AL170" s="14">
        <v>45490</v>
      </c>
      <c r="AM170" s="14">
        <f>DATE(YEAR(AL170)+2,MONTH(AL170),DAY(AL170)-1)</f>
        <v>46219</v>
      </c>
      <c r="AN170" s="65">
        <f t="shared" ca="1" si="451"/>
        <v>88</v>
      </c>
      <c r="AO170" s="15" t="str">
        <f t="shared" ca="1" si="452"/>
        <v>POR VENCER</v>
      </c>
      <c r="AP170" s="13">
        <v>44891</v>
      </c>
      <c r="AQ170" s="14">
        <v>45505</v>
      </c>
      <c r="AR170" s="14">
        <f>DATE(YEAR(AQ170)+2,MONTH(AQ170),DAY(AQ170)-1)</f>
        <v>46234</v>
      </c>
      <c r="AS170" s="65">
        <f t="shared" ca="1" si="453"/>
        <v>103</v>
      </c>
      <c r="AT170" s="15" t="str">
        <f t="shared" ca="1" si="454"/>
        <v>VIGENTE</v>
      </c>
      <c r="AU170" s="13">
        <v>44893</v>
      </c>
      <c r="AV170" s="14">
        <v>45514</v>
      </c>
      <c r="AW170" s="14">
        <f>DATE(YEAR(AV170)+2,MONTH(AV170),DAY(AV170)-1)</f>
        <v>46243</v>
      </c>
      <c r="AX170" s="65">
        <f t="shared" ca="1" si="455"/>
        <v>112</v>
      </c>
      <c r="AY170" s="15" t="str">
        <f t="shared" ca="1" si="456"/>
        <v>VIGENTE</v>
      </c>
      <c r="AZ170" s="13">
        <v>44894</v>
      </c>
      <c r="BA170" s="14">
        <v>45515</v>
      </c>
      <c r="BB170" s="14">
        <f>DATE(YEAR(BA170)+2,MONTH(BA170),DAY(BA170)-1)</f>
        <v>46244</v>
      </c>
      <c r="BC170" s="65">
        <f t="shared" ca="1" si="457"/>
        <v>113</v>
      </c>
      <c r="BD170" s="15" t="str">
        <f t="shared" ca="1" si="458"/>
        <v>VIGENTE</v>
      </c>
      <c r="BE170" s="13">
        <v>45071</v>
      </c>
      <c r="BF170" s="14">
        <v>45698</v>
      </c>
      <c r="BG170" s="14">
        <f>DATE(YEAR(BF170)+2,MONTH(BF170),DAY(BF170)-1)</f>
        <v>46427</v>
      </c>
      <c r="BH170" s="65">
        <f t="shared" ca="1" si="459"/>
        <v>296</v>
      </c>
      <c r="BI170" s="15" t="str">
        <f t="shared" ca="1" si="460"/>
        <v>VIGENTE</v>
      </c>
      <c r="BJ170" s="13">
        <v>44974</v>
      </c>
      <c r="BK170" s="14">
        <v>45570</v>
      </c>
      <c r="BL170" s="14">
        <f>DATE(YEAR(BK170)+2,MONTH(BK170),DAY(BK170)-1)</f>
        <v>46299</v>
      </c>
      <c r="BM170" s="65">
        <f t="shared" ca="1" si="461"/>
        <v>168</v>
      </c>
      <c r="BN170" s="15" t="str">
        <f t="shared" ca="1" si="462"/>
        <v>VIGENTE</v>
      </c>
      <c r="BO170" s="13">
        <v>44951</v>
      </c>
      <c r="BP170" s="14">
        <v>45604</v>
      </c>
      <c r="BQ170" s="14">
        <f>DATE(YEAR(BP170)+2,MONTH(BP170),DAY(BP170)-1)</f>
        <v>46333</v>
      </c>
      <c r="BR170" s="65">
        <f t="shared" ca="1" si="463"/>
        <v>202</v>
      </c>
      <c r="BS170" s="15" t="str">
        <f t="shared" ca="1" si="464"/>
        <v>VIGENTE</v>
      </c>
      <c r="BT170" s="13">
        <v>45034</v>
      </c>
      <c r="BU170" s="14">
        <v>45695</v>
      </c>
      <c r="BV170" s="14">
        <f>DATE(YEAR(BU170)+2,MONTH(BU170),DAY(BU170)-1)</f>
        <v>46424</v>
      </c>
      <c r="BW170" s="65">
        <f t="shared" ca="1" si="465"/>
        <v>293</v>
      </c>
      <c r="BX170" s="15" t="str">
        <f t="shared" ca="1" si="466"/>
        <v>VIGENTE</v>
      </c>
      <c r="BY170" s="13">
        <v>44960</v>
      </c>
      <c r="BZ170" s="14">
        <v>45600</v>
      </c>
      <c r="CA170" s="14">
        <f>DATE(YEAR(BZ170)+2,MONTH(BZ170),DAY(BZ170)-1)</f>
        <v>46329</v>
      </c>
      <c r="CB170" s="65">
        <f t="shared" ca="1" si="467"/>
        <v>198</v>
      </c>
      <c r="CC170" s="15" t="str">
        <f t="shared" ca="1" si="468"/>
        <v>VIGENTE</v>
      </c>
      <c r="CD170" s="16" t="s">
        <v>102</v>
      </c>
      <c r="CE170" s="14">
        <v>45827</v>
      </c>
      <c r="CF170" s="14">
        <v>45828</v>
      </c>
      <c r="CG170" s="14">
        <f t="shared" si="580"/>
        <v>47289</v>
      </c>
      <c r="CH170" s="65">
        <f t="shared" ca="1" si="581"/>
        <v>1158</v>
      </c>
      <c r="CI170" s="15" t="str">
        <f t="shared" ca="1" si="562"/>
        <v>VIGENTE</v>
      </c>
      <c r="CJ170" s="14">
        <v>44908</v>
      </c>
      <c r="CK170" s="14">
        <v>45511</v>
      </c>
      <c r="CL170" s="14">
        <f>DATE(YEAR(CK170)+2,MONTH(CK170),DAY(CK170)-1)</f>
        <v>46240</v>
      </c>
      <c r="CM170" s="65">
        <f t="shared" ca="1" si="469"/>
        <v>109</v>
      </c>
      <c r="CN170" s="15" t="str">
        <f t="shared" ca="1" si="470"/>
        <v>VIGENTE</v>
      </c>
      <c r="CO170" s="13">
        <v>44909</v>
      </c>
      <c r="CP170" s="14">
        <v>45517</v>
      </c>
      <c r="CQ170" s="14">
        <f>DATE(YEAR(CP170)+2,MONTH(CP170),DAY(CP170)-1)</f>
        <v>46246</v>
      </c>
      <c r="CR170" s="65">
        <f t="shared" ca="1" si="471"/>
        <v>115</v>
      </c>
      <c r="CS170" s="15" t="str">
        <f t="shared" ca="1" si="472"/>
        <v>VIGENTE</v>
      </c>
      <c r="CT170" s="13">
        <v>44980</v>
      </c>
      <c r="CU170" s="14">
        <v>45624</v>
      </c>
      <c r="CV170" s="14">
        <f>DATE(YEAR(CU170)+2,MONTH(CU170),DAY(CU170)-1)</f>
        <v>46353</v>
      </c>
      <c r="CW170" s="65">
        <f t="shared" ca="1" si="473"/>
        <v>222</v>
      </c>
      <c r="CX170" s="15" t="str">
        <f t="shared" ca="1" si="474"/>
        <v>VIGENTE</v>
      </c>
      <c r="CY170" s="13">
        <v>45057</v>
      </c>
      <c r="CZ170" s="14">
        <v>45665</v>
      </c>
      <c r="DA170" s="14">
        <f>DATE(YEAR(CZ170)+2,MONTH(CZ170),DAY(CZ170)-1)</f>
        <v>46394</v>
      </c>
      <c r="DB170" s="65">
        <f t="shared" ca="1" si="475"/>
        <v>263</v>
      </c>
      <c r="DC170" s="15" t="str">
        <f t="shared" ca="1" si="476"/>
        <v>VIGENTE</v>
      </c>
      <c r="DD170" s="13">
        <v>45079</v>
      </c>
      <c r="DE170" s="14">
        <v>45761</v>
      </c>
      <c r="DF170" s="14">
        <f>DATE(YEAR(DE170)+2,MONTH(DE170),DAY(DE170))</f>
        <v>46491</v>
      </c>
      <c r="DG170" s="65">
        <f t="shared" ca="1" si="477"/>
        <v>360</v>
      </c>
      <c r="DH170" s="15" t="str">
        <f t="shared" ca="1" si="478"/>
        <v>VIGENTE</v>
      </c>
      <c r="DI170" s="13">
        <v>44914</v>
      </c>
      <c r="DJ170" s="14">
        <v>45580</v>
      </c>
      <c r="DK170" s="14">
        <f>DATE(YEAR(DJ170)+2,MONTH(DJ170),DAY(DJ170)-1)</f>
        <v>46309</v>
      </c>
      <c r="DL170" s="65">
        <f t="shared" ca="1" si="479"/>
        <v>178</v>
      </c>
      <c r="DM170" s="15" t="str">
        <f t="shared" ca="1" si="480"/>
        <v>VIGENTE</v>
      </c>
      <c r="DN170" s="13">
        <v>44895</v>
      </c>
      <c r="DO170" s="14">
        <v>45520</v>
      </c>
      <c r="DP170" s="14">
        <f>DATE(YEAR(DO170)+2,MONTH(DO170),DAY(DO170)-1)</f>
        <v>46249</v>
      </c>
      <c r="DQ170" s="65">
        <f t="shared" ca="1" si="481"/>
        <v>118</v>
      </c>
      <c r="DR170" s="15" t="str">
        <f t="shared" ca="1" si="482"/>
        <v>VIGENTE</v>
      </c>
      <c r="DS170" s="13">
        <v>44950</v>
      </c>
      <c r="DT170" s="14">
        <v>45608</v>
      </c>
      <c r="DU170" s="14">
        <f>DATE(YEAR(DT170)+2,MONTH(DT170),DAY(DT170)-1)</f>
        <v>46337</v>
      </c>
      <c r="DV170" s="65">
        <f t="shared" ca="1" si="483"/>
        <v>206</v>
      </c>
      <c r="DW170" s="15" t="str">
        <f t="shared" ca="1" si="484"/>
        <v>VIGENTE</v>
      </c>
      <c r="DX170" s="13">
        <v>44992</v>
      </c>
      <c r="DY170" s="14">
        <v>45663</v>
      </c>
      <c r="DZ170" s="14">
        <f t="shared" si="585"/>
        <v>46392</v>
      </c>
      <c r="EA170" s="65">
        <f t="shared" ca="1" si="485"/>
        <v>261</v>
      </c>
      <c r="EB170" s="15" t="str">
        <f t="shared" ca="1" si="486"/>
        <v>VIGENTE</v>
      </c>
      <c r="EC170" s="13">
        <v>44940</v>
      </c>
      <c r="ED170" s="14">
        <v>45602</v>
      </c>
      <c r="EE170" s="14">
        <f>DATE(YEAR(ED170)+2,MONTH(ED170),DAY(ED170)-1)</f>
        <v>46331</v>
      </c>
      <c r="EF170" s="65">
        <f t="shared" ca="1" si="487"/>
        <v>200</v>
      </c>
      <c r="EG170" s="15" t="str">
        <f t="shared" ca="1" si="488"/>
        <v>VIGENTE</v>
      </c>
      <c r="EH170" s="13">
        <v>45000</v>
      </c>
      <c r="EI170" s="13">
        <v>46105</v>
      </c>
      <c r="EJ170" s="13">
        <v>46106</v>
      </c>
      <c r="EK170" s="13">
        <v>46107</v>
      </c>
      <c r="EL170" s="14">
        <f t="shared" si="546"/>
        <v>46472</v>
      </c>
      <c r="EM170" s="65">
        <f t="shared" ca="1" si="489"/>
        <v>341</v>
      </c>
      <c r="EN170" s="15" t="str">
        <f t="shared" ca="1" si="490"/>
        <v>VIGENTE</v>
      </c>
      <c r="EO170" s="13">
        <v>44985</v>
      </c>
      <c r="EP170" s="14">
        <v>45636</v>
      </c>
      <c r="EQ170" s="14">
        <f>DATE(YEAR(EP170)+2,MONTH(EP170),DAY(EP170)-1)</f>
        <v>46365</v>
      </c>
      <c r="ER170" s="65">
        <f t="shared" ca="1" si="491"/>
        <v>234</v>
      </c>
      <c r="ES170" s="15" t="str">
        <f t="shared" ca="1" si="492"/>
        <v>VIGENTE</v>
      </c>
      <c r="ET170" s="13">
        <v>45003</v>
      </c>
      <c r="EU170" s="14">
        <v>45623</v>
      </c>
      <c r="EV170" s="14">
        <f>DATE(YEAR(EU170)+2,MONTH(EU170),DAY(EU170)-1)</f>
        <v>46352</v>
      </c>
      <c r="EW170" s="65">
        <f t="shared" ca="1" si="493"/>
        <v>221</v>
      </c>
      <c r="EX170" s="15" t="str">
        <f t="shared" ca="1" si="494"/>
        <v>VIGENTE</v>
      </c>
      <c r="EY170" s="13">
        <v>45010</v>
      </c>
      <c r="EZ170" s="14">
        <v>45694</v>
      </c>
      <c r="FA170" s="14">
        <f>DATE(YEAR(EZ170)+2,MONTH(EZ170),DAY(EZ170)-1)</f>
        <v>46423</v>
      </c>
      <c r="FB170" s="65">
        <f t="shared" ca="1" si="495"/>
        <v>292</v>
      </c>
      <c r="FC170" s="15" t="str">
        <f t="shared" ca="1" si="496"/>
        <v>VIGENTE</v>
      </c>
      <c r="FD170" s="13">
        <v>45009</v>
      </c>
      <c r="FE170" s="14">
        <v>45666</v>
      </c>
      <c r="FF170" s="14">
        <f>DATE(YEAR(FE170)+2,MONTH(FE170),DAY(FE170)-1)</f>
        <v>46395</v>
      </c>
      <c r="FG170" s="65">
        <f t="shared" ca="1" si="497"/>
        <v>264</v>
      </c>
      <c r="FH170" s="15" t="str">
        <f t="shared" ca="1" si="498"/>
        <v>VIGENTE</v>
      </c>
      <c r="FI170" s="13">
        <v>45045</v>
      </c>
      <c r="FJ170" s="14">
        <v>45668</v>
      </c>
      <c r="FK170" s="14">
        <f>DATE(YEAR(FJ170)+2,MONTH(FJ170),DAY(FJ170)-1)</f>
        <v>46397</v>
      </c>
      <c r="FL170" s="65">
        <f t="shared" ca="1" si="499"/>
        <v>266</v>
      </c>
      <c r="FM170" s="15" t="str">
        <f t="shared" ca="1" si="500"/>
        <v>VIGENTE</v>
      </c>
      <c r="FN170" s="13">
        <v>45002</v>
      </c>
      <c r="FO170" s="14">
        <v>45670</v>
      </c>
      <c r="FP170" s="14">
        <f>DATE(YEAR(FO170)+2,MONTH(FO170),DAY(FO170)-1)</f>
        <v>46399</v>
      </c>
      <c r="FQ170" s="65">
        <f t="shared" ca="1" si="501"/>
        <v>268</v>
      </c>
      <c r="FR170" s="15" t="str">
        <f t="shared" ca="1" si="502"/>
        <v>VIGENTE</v>
      </c>
      <c r="FS170" s="13">
        <v>44954</v>
      </c>
      <c r="FT170" s="14">
        <v>45605</v>
      </c>
      <c r="FU170" s="14">
        <f>DATE(YEAR(FT170)+2,MONTH(FT170),DAY(FT170)-1)</f>
        <v>46334</v>
      </c>
      <c r="FV170" s="65">
        <f t="shared" ca="1" si="503"/>
        <v>203</v>
      </c>
      <c r="FW170" s="15" t="str">
        <f t="shared" ca="1" si="504"/>
        <v>VIGENTE</v>
      </c>
      <c r="FX170" s="13">
        <v>44924</v>
      </c>
      <c r="FY170" s="14">
        <v>45587</v>
      </c>
      <c r="FZ170" s="14">
        <f>DATE(YEAR(FY170)+2,MONTH(FY170),DAY(FY170)-1)</f>
        <v>46316</v>
      </c>
      <c r="GA170" s="65">
        <f t="shared" ca="1" si="505"/>
        <v>185</v>
      </c>
      <c r="GB170" s="15" t="str">
        <f t="shared" ca="1" si="506"/>
        <v>VIGENTE</v>
      </c>
      <c r="GC170" s="13">
        <v>44922</v>
      </c>
      <c r="GD170" s="14">
        <v>45595</v>
      </c>
      <c r="GE170" s="14">
        <f>DATE(YEAR(GD170)+2,MONTH(GD170),DAY(GD170)-1)</f>
        <v>46324</v>
      </c>
      <c r="GF170" s="65">
        <f t="shared" ca="1" si="507"/>
        <v>193</v>
      </c>
      <c r="GG170" s="15" t="str">
        <f t="shared" ca="1" si="508"/>
        <v>VIGENTE</v>
      </c>
      <c r="GH170" s="13">
        <v>44996</v>
      </c>
      <c r="GI170" s="14">
        <v>45672</v>
      </c>
      <c r="GJ170" s="14">
        <f>DATE(YEAR(GI170)+2,MONTH(GI170),DAY(GI170)-1)</f>
        <v>46401</v>
      </c>
      <c r="GK170" s="65">
        <f t="shared" ca="1" si="509"/>
        <v>270</v>
      </c>
      <c r="GL170" s="15" t="str">
        <f t="shared" ca="1" si="510"/>
        <v>VIGENTE</v>
      </c>
      <c r="GM170" s="13">
        <v>45024</v>
      </c>
      <c r="GN170" s="14">
        <v>45687</v>
      </c>
      <c r="GO170" s="14">
        <f>DATE(YEAR(GN170)+2,MONTH(GN170),DAY(GN170)-1)</f>
        <v>46416</v>
      </c>
      <c r="GP170" s="65">
        <f t="shared" ca="1" si="511"/>
        <v>285</v>
      </c>
      <c r="GQ170" s="15" t="str">
        <f t="shared" ca="1" si="512"/>
        <v>VIGENTE</v>
      </c>
      <c r="GR170" s="14"/>
      <c r="GS170" s="14">
        <v>44952</v>
      </c>
      <c r="GT170" s="14">
        <f t="shared" si="513"/>
        <v>46778</v>
      </c>
      <c r="GU170" s="65">
        <f t="shared" ref="GU170:GU190" ca="1" si="591">GT170-TODAY()</f>
        <v>647</v>
      </c>
      <c r="GV170" s="15" t="str">
        <f t="shared" ca="1" si="411"/>
        <v>VIGENTE</v>
      </c>
      <c r="GW170" s="13"/>
      <c r="GX170" s="14">
        <v>45006</v>
      </c>
      <c r="GY170" s="14">
        <f t="shared" si="514"/>
        <v>46833</v>
      </c>
      <c r="GZ170" s="65">
        <f t="shared" ca="1" si="515"/>
        <v>702</v>
      </c>
      <c r="HA170" s="15" t="str">
        <f t="shared" ca="1" si="418"/>
        <v>VIGENTE</v>
      </c>
      <c r="HB170" s="12"/>
      <c r="HC170" s="14">
        <v>45016</v>
      </c>
      <c r="HD170" s="14">
        <f t="shared" si="516"/>
        <v>46843</v>
      </c>
      <c r="HE170" s="65">
        <f t="shared" ca="1" si="517"/>
        <v>712</v>
      </c>
      <c r="HF170" s="15" t="str">
        <f t="shared" ca="1" si="413"/>
        <v>VIGENTE</v>
      </c>
      <c r="HG170" s="16"/>
      <c r="HH170" s="14">
        <v>45020</v>
      </c>
      <c r="HI170" s="14">
        <f t="shared" si="588"/>
        <v>46847</v>
      </c>
      <c r="HJ170" s="65">
        <f t="shared" ca="1" si="589"/>
        <v>716</v>
      </c>
      <c r="HK170" s="15" t="str">
        <f t="shared" ca="1" si="419"/>
        <v>VIGENTE</v>
      </c>
      <c r="HL170" s="12"/>
      <c r="HM170" s="16"/>
      <c r="HN170" s="14"/>
      <c r="HO170" s="65"/>
      <c r="HP170" s="15" t="str">
        <f t="shared" si="437"/>
        <v>NO APLICA</v>
      </c>
      <c r="HQ170" s="12"/>
      <c r="HR170" s="12"/>
      <c r="HS170" s="14"/>
      <c r="HT170" s="12"/>
      <c r="HU170" s="15" t="str">
        <f t="shared" si="518"/>
        <v>NO APLICA</v>
      </c>
      <c r="HV170" s="12"/>
      <c r="HW170" s="16"/>
      <c r="HX170" s="14"/>
      <c r="HY170" s="65"/>
      <c r="HZ170" s="15" t="str">
        <f t="shared" si="519"/>
        <v>NO APLICA</v>
      </c>
      <c r="IA170" s="12"/>
      <c r="IB170" s="16"/>
      <c r="IC170" s="14"/>
      <c r="ID170" s="65"/>
      <c r="IE170" s="15" t="str">
        <f t="shared" si="520"/>
        <v>NO APLICA</v>
      </c>
      <c r="IF170" s="12"/>
      <c r="IG170" s="16"/>
      <c r="IH170" s="14"/>
      <c r="II170" s="65"/>
      <c r="IJ170" s="15" t="str">
        <f t="shared" si="521"/>
        <v>NO APLICA</v>
      </c>
      <c r="IK170" s="16"/>
      <c r="IL170" s="16"/>
      <c r="IM170" s="14"/>
      <c r="IN170" s="65"/>
      <c r="IO170" s="15" t="str">
        <f t="shared" si="522"/>
        <v>NO APLICA</v>
      </c>
      <c r="IP170" s="12"/>
      <c r="IQ170" s="16"/>
      <c r="IR170" s="14"/>
      <c r="IS170" s="65"/>
      <c r="IT170" s="15" t="str">
        <f t="shared" si="523"/>
        <v>NO APLICA</v>
      </c>
      <c r="IU170" s="12"/>
      <c r="IV170" s="16"/>
      <c r="IW170" s="14"/>
      <c r="IX170" s="65"/>
      <c r="IY170" s="15" t="str">
        <f t="shared" si="524"/>
        <v>NO APLICA</v>
      </c>
      <c r="IZ170" s="12"/>
      <c r="JA170" s="16"/>
      <c r="JB170" s="14"/>
      <c r="JC170" s="65"/>
      <c r="JD170" s="15" t="str">
        <f t="shared" si="525"/>
        <v>NO APLICA</v>
      </c>
      <c r="JE170" s="13"/>
      <c r="JF170" s="13"/>
      <c r="JG170" s="14"/>
      <c r="JH170" s="65"/>
      <c r="JI170" s="15" t="str">
        <f t="shared" si="526"/>
        <v>NO APLICA</v>
      </c>
      <c r="JJ170" s="16"/>
      <c r="JK170" s="16"/>
      <c r="JL170" s="16"/>
      <c r="JM170" s="15" t="str">
        <f t="shared" si="527"/>
        <v>NO APLICA</v>
      </c>
      <c r="JN170" s="16"/>
      <c r="JO170" s="16"/>
      <c r="JP170" s="16"/>
      <c r="JQ170" s="15" t="str">
        <f t="shared" si="528"/>
        <v>NO APLICA</v>
      </c>
      <c r="JR170" s="16"/>
      <c r="JS170" s="16"/>
      <c r="JT170" s="16"/>
      <c r="JU170" s="16"/>
      <c r="JV170" s="15" t="str">
        <f t="shared" si="529"/>
        <v>NO APLICA</v>
      </c>
      <c r="JW170" s="15"/>
      <c r="JX170" s="15"/>
      <c r="JY170" s="15"/>
      <c r="JZ170" s="15"/>
      <c r="KA170" s="15" t="str">
        <f t="shared" si="530"/>
        <v>NO APLICA</v>
      </c>
      <c r="KB170" s="12"/>
      <c r="KC170" s="14"/>
      <c r="KD170" s="65"/>
      <c r="KE170" s="15" t="str">
        <f t="shared" si="531"/>
        <v>NO APLICA</v>
      </c>
      <c r="KF170" s="12"/>
      <c r="KG170" s="14"/>
      <c r="KH170" s="65"/>
      <c r="KI170" s="15" t="str">
        <f t="shared" si="547"/>
        <v>NO APLICA</v>
      </c>
      <c r="KJ170" s="12"/>
      <c r="KK170" s="14"/>
      <c r="KL170" s="65"/>
      <c r="KM170" s="15" t="str">
        <f t="shared" si="532"/>
        <v>NO APLICA</v>
      </c>
      <c r="KN170" s="12"/>
      <c r="KO170" s="14"/>
      <c r="KP170" s="65"/>
      <c r="KQ170" s="15" t="str">
        <f t="shared" si="548"/>
        <v>NO APLICA</v>
      </c>
      <c r="KR170" s="12"/>
      <c r="KS170" s="16"/>
      <c r="KT170" s="14"/>
      <c r="KU170" s="65"/>
      <c r="KV170" s="15" t="str">
        <f t="shared" si="554"/>
        <v>NO APLICA</v>
      </c>
      <c r="KW170" s="16"/>
      <c r="KX170" s="14"/>
      <c r="KY170" s="65"/>
      <c r="KZ170" s="15" t="str">
        <f t="shared" si="549"/>
        <v>NO APLICA</v>
      </c>
      <c r="LA170" s="16"/>
      <c r="LB170" s="16"/>
      <c r="LC170" s="14"/>
      <c r="LD170" s="65"/>
      <c r="LE170" s="15" t="str">
        <f t="shared" si="590"/>
        <v>NO APLICA</v>
      </c>
      <c r="LF170" s="15"/>
      <c r="LG170" s="15"/>
      <c r="LH170" s="14"/>
      <c r="LI170" s="65"/>
      <c r="LJ170" s="15" t="str">
        <f t="shared" si="555"/>
        <v>NO APLICA</v>
      </c>
      <c r="LK170" s="12"/>
      <c r="LL170" s="16"/>
      <c r="LM170" s="14"/>
      <c r="LN170" s="65"/>
      <c r="LO170" s="15" t="str">
        <f t="shared" si="550"/>
        <v>NO APLICA</v>
      </c>
      <c r="LP170" s="16"/>
      <c r="LQ170" s="16"/>
      <c r="LR170" s="14"/>
      <c r="LS170" s="65"/>
      <c r="LT170" s="15" t="str">
        <f t="shared" si="551"/>
        <v>NO APLICA</v>
      </c>
      <c r="LU170" s="16"/>
      <c r="LV170" s="16"/>
      <c r="LW170" s="14"/>
      <c r="LX170" s="65"/>
      <c r="LY170" s="15" t="str">
        <f t="shared" si="552"/>
        <v>NO APLICA</v>
      </c>
      <c r="LZ170" s="12"/>
      <c r="MA170" s="12"/>
      <c r="MB170" s="14"/>
      <c r="MC170" s="65"/>
      <c r="MD170" s="15" t="str">
        <f t="shared" si="534"/>
        <v>NO APLICA</v>
      </c>
      <c r="ME170" s="12"/>
      <c r="MF170" s="12"/>
      <c r="MG170" s="14"/>
      <c r="MH170" s="65"/>
      <c r="MI170" s="15" t="str">
        <f t="shared" si="535"/>
        <v>NO APLICA</v>
      </c>
      <c r="MJ170" s="12"/>
      <c r="MK170" s="14"/>
      <c r="ML170" s="65"/>
      <c r="MM170" s="15" t="str">
        <f t="shared" si="536"/>
        <v>NO APLICA</v>
      </c>
      <c r="MN170" s="12"/>
      <c r="MO170" s="14"/>
      <c r="MP170" s="12"/>
      <c r="MQ170" s="15" t="str">
        <f t="shared" si="537"/>
        <v>NO APLICA</v>
      </c>
      <c r="MR170" s="12"/>
      <c r="MS170" s="16"/>
      <c r="MT170" s="14"/>
      <c r="MU170" s="65"/>
      <c r="MV170" s="15" t="str">
        <f t="shared" si="538"/>
        <v>NO APLICA</v>
      </c>
      <c r="MW170" s="12"/>
      <c r="MX170" s="16"/>
      <c r="MY170" s="14"/>
      <c r="MZ170" s="65"/>
      <c r="NA170" s="15" t="str">
        <f t="shared" si="539"/>
        <v>NO APLICA</v>
      </c>
      <c r="NB170" s="12"/>
      <c r="NC170" s="16"/>
      <c r="ND170" s="14"/>
      <c r="NE170" s="65"/>
      <c r="NF170" s="15" t="str">
        <f t="shared" si="540"/>
        <v>NO APLICA</v>
      </c>
      <c r="NG170" s="12"/>
      <c r="NH170" s="12"/>
      <c r="NI170" s="14"/>
      <c r="NJ170" s="65"/>
      <c r="NK170" s="15" t="str">
        <f t="shared" si="541"/>
        <v>NO APLICA</v>
      </c>
      <c r="NL170" s="12"/>
      <c r="NM170" s="12"/>
      <c r="NN170" s="14"/>
      <c r="NO170" s="12"/>
      <c r="NP170" s="15" t="str">
        <f t="shared" si="542"/>
        <v>NO APLICA</v>
      </c>
      <c r="NQ170" s="16"/>
      <c r="NR170" s="14">
        <v>45320</v>
      </c>
      <c r="NS170" s="14">
        <f>DATE(YEAR(NR170)+2,MONTH(NR170),DAY(NR170))</f>
        <v>46051</v>
      </c>
      <c r="NT170" s="65">
        <f ca="1">NS170-TODAY()</f>
        <v>-80</v>
      </c>
      <c r="NU170" s="15" t="str">
        <f t="shared" ca="1" si="543"/>
        <v>VENCIDA</v>
      </c>
      <c r="NV170" s="16"/>
      <c r="NW170" s="16"/>
      <c r="NX170" s="16"/>
      <c r="NY170" s="16"/>
      <c r="NZ170" s="15" t="str">
        <f t="shared" si="544"/>
        <v>NO APLICA</v>
      </c>
    </row>
    <row r="171" spans="1:390" ht="15.6" thickTop="1" thickBot="1" x14ac:dyDescent="0.35">
      <c r="A171" s="11">
        <v>1663</v>
      </c>
      <c r="B171" s="10" t="s">
        <v>611</v>
      </c>
      <c r="C171" s="21" t="s">
        <v>151</v>
      </c>
      <c r="D171" s="64" t="s">
        <v>216</v>
      </c>
      <c r="E171" s="15"/>
      <c r="F171" s="16"/>
      <c r="G171" s="14"/>
      <c r="H171" s="65"/>
      <c r="I171" s="15" t="str">
        <f t="shared" si="448"/>
        <v>NO APLICA</v>
      </c>
      <c r="J171" s="15"/>
      <c r="K171" s="16"/>
      <c r="L171" s="16"/>
      <c r="M171" s="65"/>
      <c r="N171" s="15" t="str">
        <f t="shared" si="449"/>
        <v>NO APLICA</v>
      </c>
      <c r="O171" s="16"/>
      <c r="P171" s="16"/>
      <c r="Q171" s="14"/>
      <c r="R171" s="65"/>
      <c r="S171" s="15" t="str">
        <f t="shared" si="545"/>
        <v>NO APLICA</v>
      </c>
      <c r="T171" s="12" t="s">
        <v>612</v>
      </c>
      <c r="U171" s="13">
        <v>44943</v>
      </c>
      <c r="V171" s="14">
        <v>44944</v>
      </c>
      <c r="W171" s="14">
        <f t="shared" si="577"/>
        <v>46770</v>
      </c>
      <c r="X171" s="65">
        <f t="shared" ca="1" si="578"/>
        <v>639</v>
      </c>
      <c r="Y171" s="15" t="str">
        <f t="shared" ca="1" si="403"/>
        <v>VIGENTE</v>
      </c>
      <c r="Z171" s="12"/>
      <c r="AA171" s="12"/>
      <c r="AB171" s="16"/>
      <c r="AC171" s="14"/>
      <c r="AD171" s="65"/>
      <c r="AE171" s="15" t="str">
        <f t="shared" si="574"/>
        <v>NO APLICA</v>
      </c>
      <c r="AF171" s="12"/>
      <c r="AG171" s="14">
        <v>45892</v>
      </c>
      <c r="AH171" s="14">
        <f>DATE(YEAR(AG171)+2,MONTH(AG171),DAY(AG171))</f>
        <v>46622</v>
      </c>
      <c r="AI171" s="65">
        <f t="shared" ca="1" si="450"/>
        <v>491</v>
      </c>
      <c r="AJ171" s="15" t="str">
        <f t="shared" ref="AJ171:AJ229" ca="1" si="592">IF(AI171&gt;=91,"VIGENTE",IF(AI171&gt;=1,"POR VENCER",IF(AI171&lt;=-1,"VENCIDA",IF(AG171=0,"NO APLICA"))))</f>
        <v>VIGENTE</v>
      </c>
      <c r="AK171" s="13">
        <v>45286</v>
      </c>
      <c r="AL171" s="14">
        <v>45980</v>
      </c>
      <c r="AM171" s="14">
        <f>DATE(YEAR(AL171)+2,MONTH(AL171),DAY(AL171))</f>
        <v>46710</v>
      </c>
      <c r="AN171" s="65">
        <f t="shared" ca="1" si="451"/>
        <v>579</v>
      </c>
      <c r="AO171" s="15" t="str">
        <f t="shared" ca="1" si="452"/>
        <v>VIGENTE</v>
      </c>
      <c r="AP171" s="13">
        <v>45298</v>
      </c>
      <c r="AQ171" s="14">
        <v>45989</v>
      </c>
      <c r="AR171" s="14">
        <f>DATE(YEAR(AQ171)+2,MONTH(AQ171),DAY(AQ171))</f>
        <v>46719</v>
      </c>
      <c r="AS171" s="65">
        <f t="shared" ca="1" si="453"/>
        <v>588</v>
      </c>
      <c r="AT171" s="15" t="str">
        <f t="shared" ca="1" si="454"/>
        <v>VIGENTE</v>
      </c>
      <c r="AU171" s="13">
        <v>45323</v>
      </c>
      <c r="AV171" s="14">
        <v>45975</v>
      </c>
      <c r="AW171" s="14">
        <f>DATE(YEAR(AV171)+2,MONTH(AV171),DAY(AV171))</f>
        <v>46705</v>
      </c>
      <c r="AX171" s="65">
        <f t="shared" ca="1" si="455"/>
        <v>574</v>
      </c>
      <c r="AY171" s="15" t="str">
        <f t="shared" ca="1" si="456"/>
        <v>VIGENTE</v>
      </c>
      <c r="AZ171" s="13"/>
      <c r="BA171" s="14">
        <v>45943</v>
      </c>
      <c r="BB171" s="14">
        <f>DATE(YEAR(BA171)+2,MONTH(BA171),DAY(BA171))</f>
        <v>46673</v>
      </c>
      <c r="BC171" s="65">
        <f t="shared" ca="1" si="457"/>
        <v>542</v>
      </c>
      <c r="BD171" s="15" t="str">
        <f t="shared" ca="1" si="458"/>
        <v>VIGENTE</v>
      </c>
      <c r="BE171" s="12"/>
      <c r="BF171" s="14">
        <v>45997</v>
      </c>
      <c r="BG171" s="14">
        <f>DATE(YEAR(BF171)+2,MONTH(BF171),DAY(BF171))</f>
        <v>46727</v>
      </c>
      <c r="BH171" s="65">
        <f t="shared" ca="1" si="459"/>
        <v>596</v>
      </c>
      <c r="BI171" s="15" t="str">
        <f t="shared" ca="1" si="460"/>
        <v>VIGENTE</v>
      </c>
      <c r="BJ171" s="13">
        <v>45306</v>
      </c>
      <c r="BK171" s="14">
        <v>45976</v>
      </c>
      <c r="BL171" s="14">
        <f>DATE(YEAR(BK171)+2,MONTH(BK171),DAY(BK171))</f>
        <v>46706</v>
      </c>
      <c r="BM171" s="65">
        <f t="shared" ca="1" si="461"/>
        <v>575</v>
      </c>
      <c r="BN171" s="15" t="str">
        <f t="shared" ca="1" si="462"/>
        <v>VIGENTE</v>
      </c>
      <c r="BO171" s="13"/>
      <c r="BP171" s="14">
        <v>45988</v>
      </c>
      <c r="BQ171" s="14">
        <f>DATE(YEAR(BP171)+2,MONTH(BP171),DAY(BP171))</f>
        <v>46718</v>
      </c>
      <c r="BR171" s="65">
        <f t="shared" ca="1" si="463"/>
        <v>587</v>
      </c>
      <c r="BS171" s="15" t="str">
        <f t="shared" ca="1" si="464"/>
        <v>VIGENTE</v>
      </c>
      <c r="BT171" s="13">
        <v>45283</v>
      </c>
      <c r="BU171" s="14">
        <v>45961</v>
      </c>
      <c r="BV171" s="14">
        <f>DATE(YEAR(BU171)+2,MONTH(BU171),DAY(BU171)-1)</f>
        <v>46690</v>
      </c>
      <c r="BW171" s="65">
        <f t="shared" ca="1" si="465"/>
        <v>559</v>
      </c>
      <c r="BX171" s="15" t="str">
        <f t="shared" ca="1" si="466"/>
        <v>VIGENTE</v>
      </c>
      <c r="BY171" s="12"/>
      <c r="BZ171" s="14">
        <v>45944</v>
      </c>
      <c r="CA171" s="14">
        <f>DATE(YEAR(BZ171)+2,MONTH(BZ171),DAY(BZ171))</f>
        <v>46674</v>
      </c>
      <c r="CB171" s="65">
        <f t="shared" ca="1" si="467"/>
        <v>543</v>
      </c>
      <c r="CC171" s="15" t="str">
        <f t="shared" ca="1" si="468"/>
        <v>VIGENTE</v>
      </c>
      <c r="CD171" s="16" t="s">
        <v>102</v>
      </c>
      <c r="CE171" s="14">
        <v>45827</v>
      </c>
      <c r="CF171" s="14">
        <v>45828</v>
      </c>
      <c r="CG171" s="14">
        <f t="shared" si="580"/>
        <v>47289</v>
      </c>
      <c r="CH171" s="65">
        <f t="shared" ca="1" si="581"/>
        <v>1158</v>
      </c>
      <c r="CI171" s="15" t="str">
        <f t="shared" ca="1" si="562"/>
        <v>VIGENTE</v>
      </c>
      <c r="CJ171" s="16"/>
      <c r="CK171" s="14">
        <v>45929</v>
      </c>
      <c r="CL171" s="14">
        <f>DATE(YEAR(CK171)+2,MONTH(CK171),DAY(CK171))</f>
        <v>46659</v>
      </c>
      <c r="CM171" s="65">
        <f t="shared" ca="1" si="469"/>
        <v>528</v>
      </c>
      <c r="CN171" s="15" t="str">
        <f t="shared" ca="1" si="470"/>
        <v>VIGENTE</v>
      </c>
      <c r="CO171" s="13">
        <v>45305</v>
      </c>
      <c r="CP171" s="14">
        <v>45994</v>
      </c>
      <c r="CQ171" s="14">
        <f>DATE(YEAR(CP171)+2,MONTH(CP171),DAY(CP171))</f>
        <v>46724</v>
      </c>
      <c r="CR171" s="65">
        <f t="shared" ca="1" si="471"/>
        <v>593</v>
      </c>
      <c r="CS171" s="15" t="str">
        <f t="shared" ca="1" si="472"/>
        <v>VIGENTE</v>
      </c>
      <c r="CT171" s="13">
        <v>45287</v>
      </c>
      <c r="CU171" s="14">
        <v>45965</v>
      </c>
      <c r="CV171" s="14">
        <f>DATE(YEAR(CU171)+2,MONTH(CU171),DAY(CU171))</f>
        <v>46695</v>
      </c>
      <c r="CW171" s="65">
        <f t="shared" ca="1" si="473"/>
        <v>564</v>
      </c>
      <c r="CX171" s="15" t="str">
        <f t="shared" ca="1" si="474"/>
        <v>VIGENTE</v>
      </c>
      <c r="CY171" s="13"/>
      <c r="CZ171" s="14">
        <v>45924</v>
      </c>
      <c r="DA171" s="14">
        <f>DATE(YEAR(CZ171)+2,MONTH(CZ171),DAY(CZ171))</f>
        <v>46654</v>
      </c>
      <c r="DB171" s="65">
        <f t="shared" ca="1" si="475"/>
        <v>523</v>
      </c>
      <c r="DC171" s="15" t="str">
        <f t="shared" ca="1" si="476"/>
        <v>VIGENTE</v>
      </c>
      <c r="DD171" s="13">
        <v>45328</v>
      </c>
      <c r="DE171" s="14">
        <v>45996</v>
      </c>
      <c r="DF171" s="14">
        <f>DATE(YEAR(DE171)+2,MONTH(DE171),DAY(DE171))</f>
        <v>46726</v>
      </c>
      <c r="DG171" s="65">
        <f t="shared" ca="1" si="477"/>
        <v>595</v>
      </c>
      <c r="DH171" s="15" t="str">
        <f t="shared" ca="1" si="478"/>
        <v>VIGENTE</v>
      </c>
      <c r="DI171" s="13">
        <v>45208</v>
      </c>
      <c r="DJ171" s="14">
        <v>45899</v>
      </c>
      <c r="DK171" s="14">
        <f>DATE(YEAR(DJ171)+2,MONTH(DJ171),DAY(DJ171))</f>
        <v>46629</v>
      </c>
      <c r="DL171" s="65">
        <f t="shared" ca="1" si="479"/>
        <v>498</v>
      </c>
      <c r="DM171" s="15" t="str">
        <f t="shared" ca="1" si="480"/>
        <v>VIGENTE</v>
      </c>
      <c r="DN171" s="13">
        <v>45316</v>
      </c>
      <c r="DO171" s="14">
        <v>45982</v>
      </c>
      <c r="DP171" s="14">
        <f>DATE(YEAR(DO171)+2,MONTH(DO171),DAY(DO171))</f>
        <v>46712</v>
      </c>
      <c r="DQ171" s="65">
        <f t="shared" ca="1" si="481"/>
        <v>581</v>
      </c>
      <c r="DR171" s="15" t="str">
        <f t="shared" ca="1" si="482"/>
        <v>VIGENTE</v>
      </c>
      <c r="DS171" s="13">
        <v>45250</v>
      </c>
      <c r="DT171" s="14">
        <v>45885</v>
      </c>
      <c r="DU171" s="14">
        <f>DATE(YEAR(DT171)+2,MONTH(DT171),DAY(DT171))</f>
        <v>46615</v>
      </c>
      <c r="DV171" s="65">
        <f t="shared" ca="1" si="483"/>
        <v>484</v>
      </c>
      <c r="DW171" s="15" t="str">
        <f t="shared" ca="1" si="484"/>
        <v>VIGENTE</v>
      </c>
      <c r="DX171" s="13">
        <v>45267</v>
      </c>
      <c r="DY171" s="14">
        <v>45915</v>
      </c>
      <c r="DZ171" s="14">
        <f>DATE(YEAR(DY171)+2,MONTH(DY171),DAY(DY171))</f>
        <v>46645</v>
      </c>
      <c r="EA171" s="65">
        <f t="shared" ca="1" si="485"/>
        <v>514</v>
      </c>
      <c r="EB171" s="15" t="str">
        <f t="shared" ca="1" si="486"/>
        <v>VIGENTE</v>
      </c>
      <c r="EC171" s="13">
        <v>45255</v>
      </c>
      <c r="ED171" s="14">
        <v>45913</v>
      </c>
      <c r="EE171" s="14">
        <f>DATE(YEAR(ED171)+2,MONTH(ED171),DAY(ED171))</f>
        <v>46643</v>
      </c>
      <c r="EF171" s="65">
        <f t="shared" ca="1" si="487"/>
        <v>512</v>
      </c>
      <c r="EG171" s="15" t="str">
        <f t="shared" ca="1" si="488"/>
        <v>VIGENTE</v>
      </c>
      <c r="EH171" s="13">
        <v>45229</v>
      </c>
      <c r="EI171" s="13">
        <v>45909</v>
      </c>
      <c r="EJ171" s="13">
        <v>45910</v>
      </c>
      <c r="EK171" s="13">
        <v>45911</v>
      </c>
      <c r="EL171" s="14">
        <f t="shared" si="546"/>
        <v>46276</v>
      </c>
      <c r="EM171" s="65">
        <f t="shared" ca="1" si="489"/>
        <v>145</v>
      </c>
      <c r="EN171" s="15" t="str">
        <f t="shared" ca="1" si="490"/>
        <v>VIGENTE</v>
      </c>
      <c r="EO171" s="13">
        <v>45207</v>
      </c>
      <c r="EP171" s="14">
        <v>45840</v>
      </c>
      <c r="EQ171" s="14">
        <f>DATE(YEAR(EP171)+2,MONTH(EP171),DAY(EP171))</f>
        <v>46570</v>
      </c>
      <c r="ER171" s="65">
        <f t="shared" ca="1" si="491"/>
        <v>439</v>
      </c>
      <c r="ES171" s="15" t="str">
        <f t="shared" ca="1" si="492"/>
        <v>VIGENTE</v>
      </c>
      <c r="ET171" s="12"/>
      <c r="EU171" s="14">
        <v>45922</v>
      </c>
      <c r="EV171" s="14">
        <f>DATE(YEAR(EU171)+2,MONTH(EU171),DAY(EU171))</f>
        <v>46652</v>
      </c>
      <c r="EW171" s="65">
        <f t="shared" ca="1" si="493"/>
        <v>521</v>
      </c>
      <c r="EX171" s="15" t="str">
        <f t="shared" ca="1" si="494"/>
        <v>VIGENTE</v>
      </c>
      <c r="EY171" s="12"/>
      <c r="EZ171" s="14">
        <v>45917</v>
      </c>
      <c r="FA171" s="14">
        <f>DATE(YEAR(EZ171)+2,MONTH(EZ171),DAY(EZ171))</f>
        <v>46647</v>
      </c>
      <c r="FB171" s="65">
        <f t="shared" ca="1" si="495"/>
        <v>516</v>
      </c>
      <c r="FC171" s="15" t="str">
        <f t="shared" ca="1" si="496"/>
        <v>VIGENTE</v>
      </c>
      <c r="FD171" s="12"/>
      <c r="FE171" s="14">
        <v>45931</v>
      </c>
      <c r="FF171" s="14">
        <f>DATE(YEAR(FE171)+2,MONTH(FE171),DAY(FE171))</f>
        <v>46661</v>
      </c>
      <c r="FG171" s="65">
        <f t="shared" ca="1" si="497"/>
        <v>530</v>
      </c>
      <c r="FH171" s="15" t="str">
        <f t="shared" ca="1" si="498"/>
        <v>VIGENTE</v>
      </c>
      <c r="FI171" s="12"/>
      <c r="FJ171" s="14">
        <v>45932</v>
      </c>
      <c r="FK171" s="14">
        <f>DATE(YEAR(FJ171)+2,MONTH(FJ171),DAY(FJ171))</f>
        <v>46662</v>
      </c>
      <c r="FL171" s="65">
        <f t="shared" ca="1" si="499"/>
        <v>531</v>
      </c>
      <c r="FM171" s="15" t="str">
        <f t="shared" ca="1" si="500"/>
        <v>VIGENTE</v>
      </c>
      <c r="FN171" s="13"/>
      <c r="FO171" s="14">
        <v>45933</v>
      </c>
      <c r="FP171" s="14">
        <f>DATE(YEAR(FO171)+2,MONTH(FO171),DAY(FO171))</f>
        <v>46663</v>
      </c>
      <c r="FQ171" s="65">
        <f t="shared" ca="1" si="501"/>
        <v>532</v>
      </c>
      <c r="FR171" s="15" t="str">
        <f t="shared" ca="1" si="502"/>
        <v>VIGENTE</v>
      </c>
      <c r="FS171" s="13">
        <v>45279</v>
      </c>
      <c r="FT171" s="14">
        <v>45957</v>
      </c>
      <c r="FU171" s="14">
        <f>DATE(YEAR(FT171)+2,MONTH(FT171),DAY(FT171))</f>
        <v>46687</v>
      </c>
      <c r="FV171" s="65">
        <f t="shared" ca="1" si="503"/>
        <v>556</v>
      </c>
      <c r="FW171" s="15" t="str">
        <f t="shared" ca="1" si="504"/>
        <v>VIGENTE</v>
      </c>
      <c r="FX171" s="13"/>
      <c r="FY171" s="14">
        <v>45941</v>
      </c>
      <c r="FZ171" s="14">
        <f>DATE(YEAR(FY171)+2,MONTH(FY171),DAY(FY171))</f>
        <v>46671</v>
      </c>
      <c r="GA171" s="65">
        <f t="shared" ca="1" si="505"/>
        <v>540</v>
      </c>
      <c r="GB171" s="15" t="str">
        <f t="shared" ca="1" si="506"/>
        <v>VIGENTE</v>
      </c>
      <c r="GC171" s="13">
        <v>45202</v>
      </c>
      <c r="GD171" s="14">
        <v>45874</v>
      </c>
      <c r="GE171" s="14">
        <f>DATE(YEAR(GD171)+2,MONTH(GD171),DAY(GD171))</f>
        <v>46604</v>
      </c>
      <c r="GF171" s="65">
        <f t="shared" ca="1" si="507"/>
        <v>473</v>
      </c>
      <c r="GG171" s="15" t="str">
        <f t="shared" ca="1" si="508"/>
        <v>VIGENTE</v>
      </c>
      <c r="GH171" s="13"/>
      <c r="GI171" s="14">
        <v>45912</v>
      </c>
      <c r="GJ171" s="14">
        <f>DATE(YEAR(GI171)+2,MONTH(GI171),DAY(GI171))</f>
        <v>46642</v>
      </c>
      <c r="GK171" s="65">
        <f t="shared" ca="1" si="509"/>
        <v>511</v>
      </c>
      <c r="GL171" s="15" t="str">
        <f t="shared" ca="1" si="510"/>
        <v>VIGENTE</v>
      </c>
      <c r="GM171" s="13"/>
      <c r="GN171" s="14">
        <v>45945</v>
      </c>
      <c r="GO171" s="14">
        <f>DATE(YEAR(GN171)+2,MONTH(GN171),DAY(GN171))</f>
        <v>46675</v>
      </c>
      <c r="GP171" s="65">
        <f t="shared" ca="1" si="511"/>
        <v>544</v>
      </c>
      <c r="GQ171" s="15" t="str">
        <f t="shared" ca="1" si="512"/>
        <v>VIGENTE</v>
      </c>
      <c r="GR171" s="14"/>
      <c r="GS171" s="14">
        <v>45299</v>
      </c>
      <c r="GT171" s="14">
        <f t="shared" si="513"/>
        <v>47126</v>
      </c>
      <c r="GU171" s="65">
        <f t="shared" ca="1" si="591"/>
        <v>995</v>
      </c>
      <c r="GV171" s="15" t="str">
        <f t="shared" ca="1" si="411"/>
        <v>VIGENTE</v>
      </c>
      <c r="GW171" s="13"/>
      <c r="GX171" s="14">
        <v>45329</v>
      </c>
      <c r="GY171" s="14">
        <f t="shared" si="514"/>
        <v>47156</v>
      </c>
      <c r="GZ171" s="65">
        <f t="shared" ca="1" si="515"/>
        <v>1025</v>
      </c>
      <c r="HA171" s="15" t="str">
        <f t="shared" ca="1" si="418"/>
        <v>VIGENTE</v>
      </c>
      <c r="HB171" s="12"/>
      <c r="HC171" s="14">
        <v>45268</v>
      </c>
      <c r="HD171" s="14">
        <f t="shared" si="516"/>
        <v>47095</v>
      </c>
      <c r="HE171" s="65">
        <f t="shared" ca="1" si="517"/>
        <v>964</v>
      </c>
      <c r="HF171" s="15" t="str">
        <f t="shared" ca="1" si="413"/>
        <v>VIGENTE</v>
      </c>
      <c r="HG171" s="16"/>
      <c r="HH171" s="16"/>
      <c r="HI171" s="14"/>
      <c r="HJ171" s="65"/>
      <c r="HK171" s="15" t="str">
        <f t="shared" si="419"/>
        <v>NO APLICA</v>
      </c>
      <c r="HL171" s="12"/>
      <c r="HM171" s="16"/>
      <c r="HN171" s="14"/>
      <c r="HO171" s="65"/>
      <c r="HP171" s="15" t="str">
        <f t="shared" si="437"/>
        <v>NO APLICA</v>
      </c>
      <c r="HQ171" s="12"/>
      <c r="HR171" s="12"/>
      <c r="HS171" s="14"/>
      <c r="HT171" s="12"/>
      <c r="HU171" s="15" t="str">
        <f t="shared" si="518"/>
        <v>NO APLICA</v>
      </c>
      <c r="HV171" s="12"/>
      <c r="HW171" s="16"/>
      <c r="HX171" s="14"/>
      <c r="HY171" s="65"/>
      <c r="HZ171" s="15" t="str">
        <f t="shared" si="519"/>
        <v>NO APLICA</v>
      </c>
      <c r="IA171" s="12"/>
      <c r="IB171" s="16"/>
      <c r="IC171" s="14"/>
      <c r="ID171" s="65"/>
      <c r="IE171" s="15" t="str">
        <f t="shared" si="520"/>
        <v>NO APLICA</v>
      </c>
      <c r="IF171" s="12"/>
      <c r="IG171" s="16"/>
      <c r="IH171" s="14"/>
      <c r="II171" s="65"/>
      <c r="IJ171" s="15" t="str">
        <f t="shared" si="521"/>
        <v>NO APLICA</v>
      </c>
      <c r="IK171" s="16"/>
      <c r="IL171" s="16"/>
      <c r="IM171" s="14"/>
      <c r="IN171" s="65"/>
      <c r="IO171" s="15" t="str">
        <f t="shared" si="522"/>
        <v>NO APLICA</v>
      </c>
      <c r="IP171" s="12"/>
      <c r="IQ171" s="16"/>
      <c r="IR171" s="14"/>
      <c r="IS171" s="65"/>
      <c r="IT171" s="15" t="str">
        <f t="shared" si="523"/>
        <v>NO APLICA</v>
      </c>
      <c r="IU171" s="12"/>
      <c r="IV171" s="16"/>
      <c r="IW171" s="14"/>
      <c r="IX171" s="65"/>
      <c r="IY171" s="15" t="str">
        <f t="shared" si="524"/>
        <v>NO APLICA</v>
      </c>
      <c r="IZ171" s="12"/>
      <c r="JA171" s="16"/>
      <c r="JB171" s="14"/>
      <c r="JC171" s="65"/>
      <c r="JD171" s="15" t="str">
        <f t="shared" si="525"/>
        <v>NO APLICA</v>
      </c>
      <c r="JE171" s="13"/>
      <c r="JF171" s="13"/>
      <c r="JG171" s="14"/>
      <c r="JH171" s="65"/>
      <c r="JI171" s="15" t="str">
        <f t="shared" si="526"/>
        <v>NO APLICA</v>
      </c>
      <c r="JJ171" s="16"/>
      <c r="JK171" s="16"/>
      <c r="JL171" s="16"/>
      <c r="JM171" s="15" t="str">
        <f t="shared" si="527"/>
        <v>NO APLICA</v>
      </c>
      <c r="JN171" s="16"/>
      <c r="JO171" s="16"/>
      <c r="JP171" s="16"/>
      <c r="JQ171" s="15" t="str">
        <f t="shared" si="528"/>
        <v>NO APLICA</v>
      </c>
      <c r="JR171" s="16"/>
      <c r="JS171" s="16"/>
      <c r="JT171" s="16"/>
      <c r="JU171" s="16"/>
      <c r="JV171" s="15" t="str">
        <f t="shared" si="529"/>
        <v>NO APLICA</v>
      </c>
      <c r="JW171" s="15"/>
      <c r="JX171" s="13">
        <v>45948</v>
      </c>
      <c r="JY171" s="14">
        <f>DATE(YEAR(JX171)+2,MONTH(JX171),DAY(JX171))</f>
        <v>46678</v>
      </c>
      <c r="JZ171" s="65">
        <f ca="1">JY171-TODAY()</f>
        <v>547</v>
      </c>
      <c r="KA171" s="15" t="str">
        <f t="shared" ca="1" si="530"/>
        <v>VIGENTE</v>
      </c>
      <c r="KB171" s="12"/>
      <c r="KC171" s="14"/>
      <c r="KD171" s="65"/>
      <c r="KE171" s="15" t="str">
        <f t="shared" si="531"/>
        <v>NO APLICA</v>
      </c>
      <c r="KF171" s="12"/>
      <c r="KG171" s="14"/>
      <c r="KH171" s="65"/>
      <c r="KI171" s="15" t="str">
        <f t="shared" si="547"/>
        <v>NO APLICA</v>
      </c>
      <c r="KJ171" s="12"/>
      <c r="KK171" s="14"/>
      <c r="KL171" s="65"/>
      <c r="KM171" s="15" t="str">
        <f t="shared" si="532"/>
        <v>NO APLICA</v>
      </c>
      <c r="KN171" s="12"/>
      <c r="KO171" s="14"/>
      <c r="KP171" s="65"/>
      <c r="KQ171" s="15" t="str">
        <f t="shared" si="548"/>
        <v>NO APLICA</v>
      </c>
      <c r="KR171" s="12"/>
      <c r="KS171" s="16"/>
      <c r="KT171" s="14"/>
      <c r="KU171" s="65"/>
      <c r="KV171" s="15" t="str">
        <f t="shared" si="554"/>
        <v>NO APLICA</v>
      </c>
      <c r="KW171" s="16"/>
      <c r="KX171" s="14"/>
      <c r="KY171" s="65"/>
      <c r="KZ171" s="15" t="str">
        <f t="shared" si="549"/>
        <v>NO APLICA</v>
      </c>
      <c r="LA171" s="16"/>
      <c r="LB171" s="16"/>
      <c r="LC171" s="14"/>
      <c r="LD171" s="65"/>
      <c r="LE171" s="15" t="str">
        <f t="shared" si="590"/>
        <v>NO APLICA</v>
      </c>
      <c r="LF171" s="15"/>
      <c r="LG171" s="15"/>
      <c r="LH171" s="14"/>
      <c r="LI171" s="65"/>
      <c r="LJ171" s="15" t="str">
        <f t="shared" si="555"/>
        <v>NO APLICA</v>
      </c>
      <c r="LK171" s="12"/>
      <c r="LL171" s="16"/>
      <c r="LM171" s="14"/>
      <c r="LN171" s="65"/>
      <c r="LO171" s="15" t="str">
        <f t="shared" si="550"/>
        <v>NO APLICA</v>
      </c>
      <c r="LP171" s="16"/>
      <c r="LQ171" s="16"/>
      <c r="LR171" s="14"/>
      <c r="LS171" s="65"/>
      <c r="LT171" s="15" t="str">
        <f t="shared" si="551"/>
        <v>NO APLICA</v>
      </c>
      <c r="LU171" s="16"/>
      <c r="LV171" s="16"/>
      <c r="LW171" s="14"/>
      <c r="LX171" s="65"/>
      <c r="LY171" s="15" t="str">
        <f t="shared" si="552"/>
        <v>NO APLICA</v>
      </c>
      <c r="LZ171" s="12"/>
      <c r="MA171" s="12"/>
      <c r="MB171" s="14"/>
      <c r="MC171" s="65"/>
      <c r="MD171" s="15" t="str">
        <f t="shared" si="534"/>
        <v>NO APLICA</v>
      </c>
      <c r="ME171" s="12"/>
      <c r="MF171" s="12"/>
      <c r="MG171" s="14"/>
      <c r="MH171" s="65"/>
      <c r="MI171" s="15" t="str">
        <f t="shared" si="535"/>
        <v>NO APLICA</v>
      </c>
      <c r="MJ171" s="12"/>
      <c r="MK171" s="14"/>
      <c r="ML171" s="65"/>
      <c r="MM171" s="15" t="str">
        <f t="shared" si="536"/>
        <v>NO APLICA</v>
      </c>
      <c r="MN171" s="12"/>
      <c r="MO171" s="14"/>
      <c r="MP171" s="12"/>
      <c r="MQ171" s="15" t="str">
        <f t="shared" si="537"/>
        <v>NO APLICA</v>
      </c>
      <c r="MR171" s="12"/>
      <c r="MS171" s="16"/>
      <c r="MT171" s="14"/>
      <c r="MU171" s="65"/>
      <c r="MV171" s="15" t="str">
        <f t="shared" si="538"/>
        <v>NO APLICA</v>
      </c>
      <c r="MW171" s="12"/>
      <c r="MX171" s="16"/>
      <c r="MY171" s="14"/>
      <c r="MZ171" s="65"/>
      <c r="NA171" s="15" t="str">
        <f t="shared" si="539"/>
        <v>NO APLICA</v>
      </c>
      <c r="NB171" s="12"/>
      <c r="NC171" s="16"/>
      <c r="ND171" s="14"/>
      <c r="NE171" s="65"/>
      <c r="NF171" s="15" t="str">
        <f t="shared" si="540"/>
        <v>NO APLICA</v>
      </c>
      <c r="NG171" s="12"/>
      <c r="NH171" s="12"/>
      <c r="NI171" s="14"/>
      <c r="NJ171" s="65"/>
      <c r="NK171" s="15" t="str">
        <f t="shared" si="541"/>
        <v>NO APLICA</v>
      </c>
      <c r="NL171" s="12"/>
      <c r="NM171" s="12"/>
      <c r="NN171" s="14"/>
      <c r="NO171" s="12"/>
      <c r="NP171" s="15" t="str">
        <f t="shared" si="542"/>
        <v>NO APLICA</v>
      </c>
      <c r="NQ171" s="16"/>
      <c r="NR171" s="16"/>
      <c r="NS171" s="14"/>
      <c r="NT171" s="65"/>
      <c r="NU171" s="15" t="str">
        <f t="shared" si="543"/>
        <v>NO APLICA</v>
      </c>
      <c r="NV171" s="16"/>
      <c r="NW171" s="16"/>
      <c r="NX171" s="16"/>
      <c r="NY171" s="16"/>
      <c r="NZ171" s="15" t="str">
        <f t="shared" si="544"/>
        <v>NO APLICA</v>
      </c>
    </row>
    <row r="172" spans="1:390" ht="15.6" thickTop="1" thickBot="1" x14ac:dyDescent="0.35">
      <c r="A172" s="9">
        <v>1050</v>
      </c>
      <c r="B172" s="10" t="s">
        <v>613</v>
      </c>
      <c r="C172" s="21" t="s">
        <v>98</v>
      </c>
      <c r="D172" s="64" t="s">
        <v>202</v>
      </c>
      <c r="E172" s="15"/>
      <c r="F172" s="16"/>
      <c r="G172" s="14"/>
      <c r="H172" s="65"/>
      <c r="I172" s="15" t="str">
        <f t="shared" si="448"/>
        <v>NO APLICA</v>
      </c>
      <c r="J172" s="13">
        <v>46019</v>
      </c>
      <c r="K172" s="14">
        <v>46081</v>
      </c>
      <c r="L172" s="14">
        <f>DATE(YEAR(K172),MONTH(K172)+6,DAY(K172)-3)</f>
        <v>46259</v>
      </c>
      <c r="M172" s="65">
        <f ca="1">L172-TODAY()</f>
        <v>128</v>
      </c>
      <c r="N172" s="15" t="str">
        <f t="shared" ca="1" si="449"/>
        <v>VIGENTE</v>
      </c>
      <c r="O172" s="14">
        <v>45603</v>
      </c>
      <c r="P172" s="14">
        <v>45604</v>
      </c>
      <c r="Q172" s="14">
        <f>DATE(YEAR(P172)+2,MONTH(P172),DAY(P172)-1)</f>
        <v>46333</v>
      </c>
      <c r="R172" s="65">
        <f ca="1">Q172-TODAY()</f>
        <v>202</v>
      </c>
      <c r="S172" s="15" t="str">
        <f t="shared" ca="1" si="545"/>
        <v>VIGENTE</v>
      </c>
      <c r="T172" s="12" t="s">
        <v>614</v>
      </c>
      <c r="U172" s="13">
        <v>45077</v>
      </c>
      <c r="V172" s="14">
        <v>45078</v>
      </c>
      <c r="W172" s="14">
        <f t="shared" si="577"/>
        <v>46905</v>
      </c>
      <c r="X172" s="65">
        <f t="shared" ca="1" si="578"/>
        <v>774</v>
      </c>
      <c r="Y172" s="15" t="str">
        <f t="shared" ca="1" si="403"/>
        <v>VIGENTE</v>
      </c>
      <c r="Z172" s="12" t="s">
        <v>615</v>
      </c>
      <c r="AA172" s="13">
        <v>45189</v>
      </c>
      <c r="AB172" s="14">
        <v>45190</v>
      </c>
      <c r="AC172" s="14">
        <f>DATE(YEAR(AB172)+5,MONTH(AB172),DAY(AB172))</f>
        <v>47017</v>
      </c>
      <c r="AD172" s="65">
        <f ca="1">AC172-TODAY()</f>
        <v>886</v>
      </c>
      <c r="AE172" s="15" t="str">
        <f t="shared" ca="1" si="574"/>
        <v>VIGENTE</v>
      </c>
      <c r="AF172" s="13">
        <v>44628</v>
      </c>
      <c r="AG172" s="14">
        <v>45936</v>
      </c>
      <c r="AH172" s="14">
        <f>DATE(YEAR(AG172)+2,MONTH(AG172),DAY(AG172))</f>
        <v>46666</v>
      </c>
      <c r="AI172" s="65">
        <f t="shared" ca="1" si="450"/>
        <v>535</v>
      </c>
      <c r="AJ172" s="15" t="str">
        <f t="shared" ca="1" si="592"/>
        <v>VIGENTE</v>
      </c>
      <c r="AK172" s="13">
        <v>44627</v>
      </c>
      <c r="AL172" s="14">
        <v>45937</v>
      </c>
      <c r="AM172" s="14">
        <f>DATE(YEAR(AL172)+2,MONTH(AL172),DAY(AL172))</f>
        <v>46667</v>
      </c>
      <c r="AN172" s="65">
        <f t="shared" ca="1" si="451"/>
        <v>536</v>
      </c>
      <c r="AO172" s="15" t="str">
        <f t="shared" ca="1" si="452"/>
        <v>VIGENTE</v>
      </c>
      <c r="AP172" s="13">
        <v>45357</v>
      </c>
      <c r="AQ172" s="14">
        <v>45989</v>
      </c>
      <c r="AR172" s="14">
        <f>DATE(YEAR(AQ172)+2,MONTH(AQ172),DAY(AQ172))</f>
        <v>46719</v>
      </c>
      <c r="AS172" s="65">
        <f t="shared" ca="1" si="453"/>
        <v>588</v>
      </c>
      <c r="AT172" s="15" t="str">
        <f t="shared" ca="1" si="454"/>
        <v>VIGENTE</v>
      </c>
      <c r="AU172" s="13">
        <v>45323</v>
      </c>
      <c r="AV172" s="14">
        <v>45972</v>
      </c>
      <c r="AW172" s="14">
        <f>DATE(YEAR(AV172)+2,MONTH(AV172),DAY(AV172))</f>
        <v>46702</v>
      </c>
      <c r="AX172" s="65">
        <f t="shared" ca="1" si="455"/>
        <v>571</v>
      </c>
      <c r="AY172" s="15" t="str">
        <f t="shared" ca="1" si="456"/>
        <v>VIGENTE</v>
      </c>
      <c r="AZ172" s="13">
        <v>45387</v>
      </c>
      <c r="BA172" s="14">
        <v>46041</v>
      </c>
      <c r="BB172" s="14">
        <f>DATE(YEAR(BA172)+2,MONTH(BA172),DAY(BA172))</f>
        <v>46771</v>
      </c>
      <c r="BC172" s="65">
        <f t="shared" ca="1" si="457"/>
        <v>640</v>
      </c>
      <c r="BD172" s="15" t="str">
        <f t="shared" ca="1" si="458"/>
        <v>VIGENTE</v>
      </c>
      <c r="BE172" s="13">
        <v>45399</v>
      </c>
      <c r="BF172" s="14">
        <v>46027</v>
      </c>
      <c r="BG172" s="14">
        <f>DATE(YEAR(BF172)+2,MONTH(BF172),DAY(BF172))</f>
        <v>46757</v>
      </c>
      <c r="BH172" s="65">
        <f t="shared" ca="1" si="459"/>
        <v>626</v>
      </c>
      <c r="BI172" s="15" t="str">
        <f t="shared" ca="1" si="460"/>
        <v>VIGENTE</v>
      </c>
      <c r="BJ172" s="13">
        <v>45389</v>
      </c>
      <c r="BK172" s="14">
        <v>46035</v>
      </c>
      <c r="BL172" s="14">
        <f>DATE(YEAR(BK172)+2,MONTH(BK172),DAY(BK172))</f>
        <v>46765</v>
      </c>
      <c r="BM172" s="65">
        <f t="shared" ca="1" si="461"/>
        <v>634</v>
      </c>
      <c r="BN172" s="15" t="str">
        <f t="shared" ca="1" si="462"/>
        <v>VIGENTE</v>
      </c>
      <c r="BO172" s="13">
        <v>44749</v>
      </c>
      <c r="BP172" s="14">
        <v>46050</v>
      </c>
      <c r="BQ172" s="14">
        <f>DATE(YEAR(BP172)+2,MONTH(BP172),DAY(BP172))</f>
        <v>46780</v>
      </c>
      <c r="BR172" s="65">
        <f t="shared" ca="1" si="463"/>
        <v>649</v>
      </c>
      <c r="BS172" s="15" t="str">
        <f t="shared" ca="1" si="464"/>
        <v>VIGENTE</v>
      </c>
      <c r="BT172" s="13">
        <v>44723</v>
      </c>
      <c r="BU172" s="14">
        <v>46063</v>
      </c>
      <c r="BV172" s="14">
        <f>DATE(YEAR(BU172)+2,MONTH(BU172),DAY(BU172))</f>
        <v>46793</v>
      </c>
      <c r="BW172" s="65">
        <f t="shared" ca="1" si="465"/>
        <v>662</v>
      </c>
      <c r="BX172" s="15" t="str">
        <f t="shared" ca="1" si="466"/>
        <v>VIGENTE</v>
      </c>
      <c r="BY172" s="13">
        <v>44629</v>
      </c>
      <c r="BZ172" s="14">
        <v>45944</v>
      </c>
      <c r="CA172" s="14">
        <f>DATE(YEAR(BZ172)+2,MONTH(BZ172),DAY(BZ172))</f>
        <v>46674</v>
      </c>
      <c r="CB172" s="65">
        <f t="shared" ca="1" si="467"/>
        <v>543</v>
      </c>
      <c r="CC172" s="15" t="str">
        <f t="shared" ca="1" si="468"/>
        <v>VIGENTE</v>
      </c>
      <c r="CD172" s="16" t="s">
        <v>108</v>
      </c>
      <c r="CE172" s="14">
        <v>45392</v>
      </c>
      <c r="CF172" s="14">
        <v>45393</v>
      </c>
      <c r="CG172" s="14">
        <f t="shared" si="580"/>
        <v>46854</v>
      </c>
      <c r="CH172" s="65">
        <f t="shared" ca="1" si="581"/>
        <v>723</v>
      </c>
      <c r="CI172" s="15" t="str">
        <f t="shared" ca="1" si="562"/>
        <v>VIGENTE</v>
      </c>
      <c r="CJ172" s="16">
        <v>45103</v>
      </c>
      <c r="CK172" s="14">
        <v>45724</v>
      </c>
      <c r="CL172" s="14">
        <f>DATE(YEAR(CK172)+2,MONTH(CK172),DAY(CK172)-1)</f>
        <v>46453</v>
      </c>
      <c r="CM172" s="65">
        <f t="shared" ca="1" si="469"/>
        <v>322</v>
      </c>
      <c r="CN172" s="15" t="str">
        <f t="shared" ca="1" si="470"/>
        <v>VIGENTE</v>
      </c>
      <c r="CO172" s="13">
        <v>45087</v>
      </c>
      <c r="CP172" s="14">
        <v>45726</v>
      </c>
      <c r="CQ172" s="14">
        <f>DATE(YEAR(CP172)+2,MONTH(CP172),DAY(CP172)-1)</f>
        <v>46455</v>
      </c>
      <c r="CR172" s="65">
        <f t="shared" ca="1" si="471"/>
        <v>324</v>
      </c>
      <c r="CS172" s="15" t="str">
        <f t="shared" ca="1" si="472"/>
        <v>VIGENTE</v>
      </c>
      <c r="CT172" s="13">
        <v>44698</v>
      </c>
      <c r="CU172" s="14">
        <v>45905</v>
      </c>
      <c r="CV172" s="14">
        <f>DATE(YEAR(CU172)+2,MONTH(CU172),DAY(CU172))</f>
        <v>46635</v>
      </c>
      <c r="CW172" s="65">
        <f t="shared" ca="1" si="473"/>
        <v>504</v>
      </c>
      <c r="CX172" s="15" t="str">
        <f t="shared" ca="1" si="474"/>
        <v>VIGENTE</v>
      </c>
      <c r="CY172" s="13">
        <v>44702</v>
      </c>
      <c r="CZ172" s="14">
        <v>46000</v>
      </c>
      <c r="DA172" s="14">
        <f>DATE(YEAR(CZ172)+2,MONTH(CZ172),DAY(CZ172))</f>
        <v>46730</v>
      </c>
      <c r="DB172" s="65">
        <f t="shared" ca="1" si="475"/>
        <v>599</v>
      </c>
      <c r="DC172" s="15" t="str">
        <f t="shared" ca="1" si="476"/>
        <v>VIGENTE</v>
      </c>
      <c r="DD172" s="13">
        <v>45023</v>
      </c>
      <c r="DE172" s="14">
        <v>45689</v>
      </c>
      <c r="DF172" s="14">
        <f>DATE(YEAR(DE172)+2,MONTH(DE172),DAY(DE172)-1)</f>
        <v>46418</v>
      </c>
      <c r="DG172" s="65">
        <f t="shared" ca="1" si="477"/>
        <v>287</v>
      </c>
      <c r="DH172" s="15" t="str">
        <f t="shared" ca="1" si="478"/>
        <v>VIGENTE</v>
      </c>
      <c r="DI172" s="13">
        <v>45312</v>
      </c>
      <c r="DJ172" s="14">
        <v>45975</v>
      </c>
      <c r="DK172" s="14">
        <f>DATE(YEAR(DJ172)+2,MONTH(DJ172),DAY(DJ172))</f>
        <v>46705</v>
      </c>
      <c r="DL172" s="65">
        <f t="shared" ca="1" si="479"/>
        <v>574</v>
      </c>
      <c r="DM172" s="15" t="str">
        <f t="shared" ca="1" si="480"/>
        <v>VIGENTE</v>
      </c>
      <c r="DN172" s="13">
        <v>45345</v>
      </c>
      <c r="DO172" s="14">
        <v>45982</v>
      </c>
      <c r="DP172" s="14">
        <f>DATE(YEAR(DO172)+2,MONTH(DO172),DAY(DO172))</f>
        <v>46712</v>
      </c>
      <c r="DQ172" s="65">
        <f t="shared" ca="1" si="481"/>
        <v>581</v>
      </c>
      <c r="DR172" s="15" t="str">
        <f t="shared" ca="1" si="482"/>
        <v>VIGENTE</v>
      </c>
      <c r="DS172" s="13">
        <v>44719</v>
      </c>
      <c r="DT172" s="14">
        <v>46053</v>
      </c>
      <c r="DU172" s="14">
        <f>DATE(YEAR(DT172)+2,MONTH(DT172),DAY(DT172))</f>
        <v>46783</v>
      </c>
      <c r="DV172" s="65">
        <f t="shared" ca="1" si="483"/>
        <v>652</v>
      </c>
      <c r="DW172" s="15" t="str">
        <f t="shared" ca="1" si="484"/>
        <v>VIGENTE</v>
      </c>
      <c r="DX172" s="13">
        <v>45071</v>
      </c>
      <c r="DY172" s="14">
        <v>45682</v>
      </c>
      <c r="DZ172" s="14">
        <f>DATE(YEAR(DY172)+2,MONTH(DY172),DAY(DY172)-1)</f>
        <v>46411</v>
      </c>
      <c r="EA172" s="65">
        <f t="shared" ca="1" si="485"/>
        <v>280</v>
      </c>
      <c r="EB172" s="15" t="str">
        <f t="shared" ca="1" si="486"/>
        <v>VIGENTE</v>
      </c>
      <c r="EC172" s="13">
        <v>45090</v>
      </c>
      <c r="ED172" s="14">
        <v>45730</v>
      </c>
      <c r="EE172" s="14">
        <f>DATE(YEAR(ED172)+2,MONTH(ED172),DAY(ED172)-1)</f>
        <v>46459</v>
      </c>
      <c r="EF172" s="65">
        <f t="shared" ca="1" si="487"/>
        <v>328</v>
      </c>
      <c r="EG172" s="15" t="str">
        <f t="shared" ca="1" si="488"/>
        <v>VIGENTE</v>
      </c>
      <c r="EH172" s="13">
        <v>45097</v>
      </c>
      <c r="EI172" s="13">
        <v>46013</v>
      </c>
      <c r="EJ172" s="13">
        <v>46014</v>
      </c>
      <c r="EK172" s="13">
        <v>46015</v>
      </c>
      <c r="EL172" s="14">
        <f t="shared" si="546"/>
        <v>46380</v>
      </c>
      <c r="EM172" s="65">
        <f t="shared" ca="1" si="489"/>
        <v>249</v>
      </c>
      <c r="EN172" s="15" t="str">
        <f t="shared" ca="1" si="490"/>
        <v>VIGENTE</v>
      </c>
      <c r="EO172" s="13">
        <v>45070</v>
      </c>
      <c r="EP172" s="14">
        <v>45671</v>
      </c>
      <c r="EQ172" s="14">
        <f>DATE(YEAR(EP172)+2,MONTH(EP172),DAY(EP172)-1)</f>
        <v>46400</v>
      </c>
      <c r="ER172" s="65">
        <f t="shared" ca="1" si="491"/>
        <v>269</v>
      </c>
      <c r="ES172" s="15" t="str">
        <f t="shared" ca="1" si="492"/>
        <v>VIGENTE</v>
      </c>
      <c r="ET172" s="13">
        <v>44718</v>
      </c>
      <c r="EU172" s="14">
        <v>46094</v>
      </c>
      <c r="EV172" s="14">
        <f>DATE(YEAR(EU172)+2,MONTH(EU172),DAY(EU172))</f>
        <v>46825</v>
      </c>
      <c r="EW172" s="65">
        <f t="shared" ca="1" si="493"/>
        <v>694</v>
      </c>
      <c r="EX172" s="15" t="str">
        <f t="shared" ca="1" si="494"/>
        <v>VIGENTE</v>
      </c>
      <c r="EY172" s="13">
        <v>44630</v>
      </c>
      <c r="EZ172" s="14">
        <v>45917</v>
      </c>
      <c r="FA172" s="14">
        <f>DATE(YEAR(EZ172)+2,MONTH(EZ172),DAY(EZ172))</f>
        <v>46647</v>
      </c>
      <c r="FB172" s="65">
        <f t="shared" ca="1" si="495"/>
        <v>516</v>
      </c>
      <c r="FC172" s="15" t="str">
        <f t="shared" ca="1" si="496"/>
        <v>VIGENTE</v>
      </c>
      <c r="FD172" s="13">
        <v>44629</v>
      </c>
      <c r="FE172" s="14">
        <v>45931</v>
      </c>
      <c r="FF172" s="14">
        <f>DATE(YEAR(FE172)+2,MONTH(FE172),DAY(FE172))</f>
        <v>46661</v>
      </c>
      <c r="FG172" s="65">
        <f t="shared" ca="1" si="497"/>
        <v>530</v>
      </c>
      <c r="FH172" s="15" t="str">
        <f t="shared" ca="1" si="498"/>
        <v>VIGENTE</v>
      </c>
      <c r="FI172" s="13">
        <v>45248</v>
      </c>
      <c r="FJ172" s="14">
        <v>45919</v>
      </c>
      <c r="FK172" s="14">
        <f>DATE(YEAR(FJ172)+2,MONTH(FJ172),DAY(FJ172))</f>
        <v>46649</v>
      </c>
      <c r="FL172" s="65">
        <f t="shared" ca="1" si="499"/>
        <v>518</v>
      </c>
      <c r="FM172" s="15" t="str">
        <f t="shared" ca="1" si="500"/>
        <v>VIGENTE</v>
      </c>
      <c r="FN172" s="13">
        <v>45084</v>
      </c>
      <c r="FO172" s="14">
        <v>45719</v>
      </c>
      <c r="FP172" s="14">
        <f>DATE(YEAR(FO172)+2,MONTH(FO172),DAY(FO172)-1)</f>
        <v>46448</v>
      </c>
      <c r="FQ172" s="65">
        <f t="shared" ca="1" si="501"/>
        <v>317</v>
      </c>
      <c r="FR172" s="15" t="str">
        <f t="shared" ca="1" si="502"/>
        <v>VIGENTE</v>
      </c>
      <c r="FS172" s="13">
        <v>45069</v>
      </c>
      <c r="FT172" s="14">
        <v>45678</v>
      </c>
      <c r="FU172" s="14">
        <f>DATE(YEAR(FT172)+2,MONTH(FT172),DAY(FT172)-1)</f>
        <v>46407</v>
      </c>
      <c r="FV172" s="65">
        <f t="shared" ca="1" si="503"/>
        <v>276</v>
      </c>
      <c r="FW172" s="15" t="str">
        <f t="shared" ca="1" si="504"/>
        <v>VIGENTE</v>
      </c>
      <c r="FX172" s="13">
        <v>45281</v>
      </c>
      <c r="FY172" s="14">
        <v>45961</v>
      </c>
      <c r="FZ172" s="14">
        <f>DATE(YEAR(FY172)+2,MONTH(FY172),DAY(FY172))</f>
        <v>46691</v>
      </c>
      <c r="GA172" s="65">
        <f t="shared" ca="1" si="505"/>
        <v>560</v>
      </c>
      <c r="GB172" s="15" t="str">
        <f t="shared" ca="1" si="506"/>
        <v>VIGENTE</v>
      </c>
      <c r="GC172" s="13">
        <v>45396</v>
      </c>
      <c r="GD172" s="14">
        <v>46030</v>
      </c>
      <c r="GE172" s="14">
        <f>DATE(YEAR(GD172)+2,MONTH(GD172),DAY(GD172))</f>
        <v>46760</v>
      </c>
      <c r="GF172" s="65">
        <f t="shared" ca="1" si="507"/>
        <v>629</v>
      </c>
      <c r="GG172" s="15" t="str">
        <f t="shared" ca="1" si="508"/>
        <v>VIGENTE</v>
      </c>
      <c r="GH172" s="13">
        <v>45082</v>
      </c>
      <c r="GI172" s="14">
        <v>45731</v>
      </c>
      <c r="GJ172" s="14">
        <f>DATE(YEAR(GI172)+2,MONTH(GI172),DAY(GI172)-1)</f>
        <v>46460</v>
      </c>
      <c r="GK172" s="65">
        <f t="shared" ca="1" si="509"/>
        <v>329</v>
      </c>
      <c r="GL172" s="15" t="str">
        <f t="shared" ca="1" si="510"/>
        <v>VIGENTE</v>
      </c>
      <c r="GM172" s="13">
        <v>44569</v>
      </c>
      <c r="GN172" s="14">
        <v>45945</v>
      </c>
      <c r="GO172" s="14">
        <f>DATE(YEAR(GN172)+2,MONTH(GN172),DAY(GN172))</f>
        <v>46675</v>
      </c>
      <c r="GP172" s="65">
        <f t="shared" ca="1" si="511"/>
        <v>544</v>
      </c>
      <c r="GQ172" s="15" t="str">
        <f t="shared" ca="1" si="512"/>
        <v>VIGENTE</v>
      </c>
      <c r="GR172" s="14">
        <v>44784</v>
      </c>
      <c r="GS172" s="14">
        <v>45459</v>
      </c>
      <c r="GT172" s="14">
        <f t="shared" si="513"/>
        <v>47285</v>
      </c>
      <c r="GU172" s="65">
        <f t="shared" ca="1" si="591"/>
        <v>1154</v>
      </c>
      <c r="GV172" s="15" t="str">
        <f t="shared" ca="1" si="411"/>
        <v>VIGENTE</v>
      </c>
      <c r="GW172" s="13">
        <v>44785</v>
      </c>
      <c r="GX172" s="14">
        <v>45478</v>
      </c>
      <c r="GY172" s="14">
        <f t="shared" si="514"/>
        <v>47304</v>
      </c>
      <c r="GZ172" s="65">
        <f t="shared" ca="1" si="515"/>
        <v>1173</v>
      </c>
      <c r="HA172" s="15" t="str">
        <f t="shared" ca="1" si="418"/>
        <v>VIGENTE</v>
      </c>
      <c r="HB172" s="13">
        <v>44784</v>
      </c>
      <c r="HC172" s="14">
        <v>45454</v>
      </c>
      <c r="HD172" s="14">
        <f t="shared" si="516"/>
        <v>47280</v>
      </c>
      <c r="HE172" s="65">
        <f t="shared" ca="1" si="517"/>
        <v>1149</v>
      </c>
      <c r="HF172" s="15" t="str">
        <f t="shared" ca="1" si="413"/>
        <v>VIGENTE</v>
      </c>
      <c r="HG172" s="16"/>
      <c r="HH172" s="14">
        <v>45496</v>
      </c>
      <c r="HI172" s="14">
        <f t="shared" ref="HI172:HI177" si="593">DATE(YEAR(HH172)+5,MONTH(HH172),DAY(HH172))</f>
        <v>47322</v>
      </c>
      <c r="HJ172" s="65">
        <f t="shared" ref="HJ172:HJ177" ca="1" si="594">HI172-TODAY()</f>
        <v>1191</v>
      </c>
      <c r="HK172" s="15" t="str">
        <f t="shared" ca="1" si="419"/>
        <v>VIGENTE</v>
      </c>
      <c r="HL172" s="12"/>
      <c r="HM172" s="16"/>
      <c r="HN172" s="14"/>
      <c r="HO172" s="65"/>
      <c r="HP172" s="15" t="str">
        <f t="shared" si="437"/>
        <v>NO APLICA</v>
      </c>
      <c r="HQ172" s="12"/>
      <c r="HR172" s="12"/>
      <c r="HS172" s="14"/>
      <c r="HT172" s="12"/>
      <c r="HU172" s="15" t="str">
        <f t="shared" si="518"/>
        <v>NO APLICA</v>
      </c>
      <c r="HV172" s="12"/>
      <c r="HW172" s="16"/>
      <c r="HX172" s="14"/>
      <c r="HY172" s="65"/>
      <c r="HZ172" s="15" t="str">
        <f t="shared" si="519"/>
        <v>NO APLICA</v>
      </c>
      <c r="IA172" s="12"/>
      <c r="IB172" s="16"/>
      <c r="IC172" s="14"/>
      <c r="ID172" s="65"/>
      <c r="IE172" s="15" t="str">
        <f t="shared" si="520"/>
        <v>NO APLICA</v>
      </c>
      <c r="IF172" s="12"/>
      <c r="IG172" s="16"/>
      <c r="IH172" s="14"/>
      <c r="II172" s="65"/>
      <c r="IJ172" s="15" t="str">
        <f t="shared" si="521"/>
        <v>NO APLICA</v>
      </c>
      <c r="IK172" s="16"/>
      <c r="IL172" s="16"/>
      <c r="IM172" s="14"/>
      <c r="IN172" s="65"/>
      <c r="IO172" s="15" t="str">
        <f t="shared" si="522"/>
        <v>NO APLICA</v>
      </c>
      <c r="IP172" s="12"/>
      <c r="IQ172" s="16"/>
      <c r="IR172" s="14"/>
      <c r="IS172" s="65"/>
      <c r="IT172" s="15" t="str">
        <f t="shared" si="523"/>
        <v>NO APLICA</v>
      </c>
      <c r="IU172" s="12"/>
      <c r="IV172" s="16"/>
      <c r="IW172" s="14"/>
      <c r="IX172" s="65"/>
      <c r="IY172" s="15" t="str">
        <f t="shared" si="524"/>
        <v>NO APLICA</v>
      </c>
      <c r="IZ172" s="12"/>
      <c r="JA172" s="16"/>
      <c r="JB172" s="14"/>
      <c r="JC172" s="65"/>
      <c r="JD172" s="15" t="str">
        <f t="shared" si="525"/>
        <v>NO APLICA</v>
      </c>
      <c r="JE172" s="13"/>
      <c r="JF172" s="13"/>
      <c r="JG172" s="14"/>
      <c r="JH172" s="65"/>
      <c r="JI172" s="15" t="str">
        <f t="shared" si="526"/>
        <v>NO APLICA</v>
      </c>
      <c r="JJ172" s="16"/>
      <c r="JK172" s="16"/>
      <c r="JL172" s="16"/>
      <c r="JM172" s="15" t="str">
        <f t="shared" si="527"/>
        <v>NO APLICA</v>
      </c>
      <c r="JN172" s="16"/>
      <c r="JO172" s="16"/>
      <c r="JP172" s="16"/>
      <c r="JQ172" s="15" t="str">
        <f t="shared" si="528"/>
        <v>NO APLICA</v>
      </c>
      <c r="JR172" s="16"/>
      <c r="JS172" s="16"/>
      <c r="JT172" s="16"/>
      <c r="JU172" s="16"/>
      <c r="JV172" s="15" t="str">
        <f t="shared" si="529"/>
        <v>NO APLICA</v>
      </c>
      <c r="JW172" s="15"/>
      <c r="JX172" s="15"/>
      <c r="JY172" s="15"/>
      <c r="JZ172" s="15"/>
      <c r="KA172" s="15" t="str">
        <f t="shared" si="530"/>
        <v>NO APLICA</v>
      </c>
      <c r="KB172" s="12"/>
      <c r="KC172" s="14"/>
      <c r="KD172" s="65"/>
      <c r="KE172" s="15" t="str">
        <f t="shared" si="531"/>
        <v>NO APLICA</v>
      </c>
      <c r="KF172" s="12"/>
      <c r="KG172" s="14"/>
      <c r="KH172" s="65"/>
      <c r="KI172" s="15" t="str">
        <f t="shared" si="547"/>
        <v>NO APLICA</v>
      </c>
      <c r="KJ172" s="12"/>
      <c r="KK172" s="14"/>
      <c r="KL172" s="65"/>
      <c r="KM172" s="15" t="str">
        <f t="shared" si="532"/>
        <v>NO APLICA</v>
      </c>
      <c r="KN172" s="12"/>
      <c r="KO172" s="14"/>
      <c r="KP172" s="65"/>
      <c r="KQ172" s="15" t="str">
        <f t="shared" si="548"/>
        <v>NO APLICA</v>
      </c>
      <c r="KR172" s="12"/>
      <c r="KS172" s="16"/>
      <c r="KT172" s="14"/>
      <c r="KU172" s="65"/>
      <c r="KV172" s="15" t="str">
        <f t="shared" si="554"/>
        <v>NO APLICA</v>
      </c>
      <c r="KW172" s="14">
        <v>44607</v>
      </c>
      <c r="KX172" s="14">
        <f>DATE(YEAR(KW172)+5,MONTH(KW172),DAY(KW172))</f>
        <v>46433</v>
      </c>
      <c r="KY172" s="65">
        <f ca="1">KX172-TODAY()</f>
        <v>302</v>
      </c>
      <c r="KZ172" s="15" t="str">
        <f t="shared" ca="1" si="549"/>
        <v>VIGENTE</v>
      </c>
      <c r="LA172" s="14">
        <v>44489</v>
      </c>
      <c r="LB172" s="14">
        <v>45516</v>
      </c>
      <c r="LC172" s="14">
        <f>DATE(YEAR(LB172)+2,MONTH(LB172),DAY(LB172))</f>
        <v>46246</v>
      </c>
      <c r="LD172" s="65">
        <f ca="1">LC172-TODAY()</f>
        <v>115</v>
      </c>
      <c r="LE172" s="15" t="str">
        <f t="shared" ca="1" si="590"/>
        <v>VIGENTE</v>
      </c>
      <c r="LF172" s="15"/>
      <c r="LG172" s="15"/>
      <c r="LH172" s="14"/>
      <c r="LI172" s="65"/>
      <c r="LJ172" s="15" t="str">
        <f t="shared" si="555"/>
        <v>NO APLICA</v>
      </c>
      <c r="LK172" s="12"/>
      <c r="LL172" s="16"/>
      <c r="LM172" s="14"/>
      <c r="LN172" s="65"/>
      <c r="LO172" s="15" t="str">
        <f t="shared" si="550"/>
        <v>NO APLICA</v>
      </c>
      <c r="LP172" s="16"/>
      <c r="LQ172" s="16"/>
      <c r="LR172" s="14"/>
      <c r="LS172" s="65"/>
      <c r="LT172" s="15" t="str">
        <f t="shared" si="551"/>
        <v>NO APLICA</v>
      </c>
      <c r="LU172" s="16"/>
      <c r="LV172" s="16"/>
      <c r="LW172" s="14"/>
      <c r="LX172" s="65"/>
      <c r="LY172" s="15" t="str">
        <f t="shared" si="552"/>
        <v>NO APLICA</v>
      </c>
      <c r="LZ172" s="12"/>
      <c r="MA172" s="12"/>
      <c r="MB172" s="14"/>
      <c r="MC172" s="65"/>
      <c r="MD172" s="15" t="str">
        <f t="shared" si="534"/>
        <v>NO APLICA</v>
      </c>
      <c r="ME172" s="12"/>
      <c r="MF172" s="12"/>
      <c r="MG172" s="14"/>
      <c r="MH172" s="65"/>
      <c r="MI172" s="15" t="str">
        <f t="shared" si="535"/>
        <v>NO APLICA</v>
      </c>
      <c r="MJ172" s="12"/>
      <c r="MK172" s="14"/>
      <c r="ML172" s="65"/>
      <c r="MM172" s="15" t="str">
        <f t="shared" si="536"/>
        <v>NO APLICA</v>
      </c>
      <c r="MN172" s="12"/>
      <c r="MO172" s="14"/>
      <c r="MP172" s="12"/>
      <c r="MQ172" s="15" t="str">
        <f t="shared" si="537"/>
        <v>NO APLICA</v>
      </c>
      <c r="MR172" s="12"/>
      <c r="MS172" s="16"/>
      <c r="MT172" s="14"/>
      <c r="MU172" s="65"/>
      <c r="MV172" s="15" t="str">
        <f t="shared" si="538"/>
        <v>NO APLICA</v>
      </c>
      <c r="MW172" s="12"/>
      <c r="MX172" s="16"/>
      <c r="MY172" s="14"/>
      <c r="MZ172" s="65"/>
      <c r="NA172" s="15" t="str">
        <f t="shared" si="539"/>
        <v>NO APLICA</v>
      </c>
      <c r="NB172" s="12"/>
      <c r="NC172" s="16"/>
      <c r="ND172" s="14"/>
      <c r="NE172" s="65"/>
      <c r="NF172" s="15" t="str">
        <f t="shared" si="540"/>
        <v>NO APLICA</v>
      </c>
      <c r="NG172" s="12"/>
      <c r="NH172" s="12"/>
      <c r="NI172" s="14"/>
      <c r="NJ172" s="65"/>
      <c r="NK172" s="15" t="str">
        <f t="shared" si="541"/>
        <v>NO APLICA</v>
      </c>
      <c r="NL172" s="12"/>
      <c r="NM172" s="12"/>
      <c r="NN172" s="12"/>
      <c r="NO172" s="12"/>
      <c r="NP172" s="15" t="str">
        <f t="shared" si="542"/>
        <v>NO APLICA</v>
      </c>
      <c r="NQ172" s="16"/>
      <c r="NR172" s="16"/>
      <c r="NS172" s="14"/>
      <c r="NT172" s="65"/>
      <c r="NU172" s="15" t="str">
        <f t="shared" si="543"/>
        <v>NO APLICA</v>
      </c>
      <c r="NV172" s="16"/>
      <c r="NW172" s="16"/>
      <c r="NX172" s="16"/>
      <c r="NY172" s="16"/>
      <c r="NZ172" s="15" t="str">
        <f t="shared" si="544"/>
        <v>NO APLICA</v>
      </c>
    </row>
    <row r="173" spans="1:390" ht="15.6" thickTop="1" thickBot="1" x14ac:dyDescent="0.35">
      <c r="A173" s="9">
        <v>1510</v>
      </c>
      <c r="B173" s="10" t="s">
        <v>616</v>
      </c>
      <c r="C173" s="21" t="s">
        <v>104</v>
      </c>
      <c r="D173" s="64" t="s">
        <v>114</v>
      </c>
      <c r="E173" s="15"/>
      <c r="F173" s="16"/>
      <c r="G173" s="14"/>
      <c r="H173" s="65"/>
      <c r="I173" s="15" t="str">
        <f t="shared" si="448"/>
        <v>NO APLICA</v>
      </c>
      <c r="J173" s="15"/>
      <c r="K173" s="16"/>
      <c r="L173" s="16"/>
      <c r="M173" s="65"/>
      <c r="N173" s="15" t="str">
        <f t="shared" si="449"/>
        <v>NO APLICA</v>
      </c>
      <c r="O173" s="16"/>
      <c r="P173" s="16"/>
      <c r="Q173" s="14"/>
      <c r="R173" s="65"/>
      <c r="S173" s="15" t="str">
        <f t="shared" si="545"/>
        <v>NO APLICA</v>
      </c>
      <c r="T173" s="12" t="s">
        <v>617</v>
      </c>
      <c r="U173" s="13">
        <v>44837</v>
      </c>
      <c r="V173" s="14">
        <v>44838</v>
      </c>
      <c r="W173" s="14">
        <f t="shared" si="577"/>
        <v>46664</v>
      </c>
      <c r="X173" s="65">
        <f t="shared" ca="1" si="578"/>
        <v>533</v>
      </c>
      <c r="Y173" s="15" t="str">
        <f t="shared" ref="Y173:Y231" ca="1" si="595">IF(X173&gt;=90,"VIGENTE",IF(X173&gt;=1,"POR VENCER",IF(X173&lt;=-1,"VENCIDA",IF(V173=0,"NO APLICA"))))</f>
        <v>VIGENTE</v>
      </c>
      <c r="Z173" s="12" t="s">
        <v>618</v>
      </c>
      <c r="AA173" s="14">
        <v>44823</v>
      </c>
      <c r="AB173" s="14">
        <v>44824</v>
      </c>
      <c r="AC173" s="14">
        <f>DATE(YEAR(AB173)+5,MONTH(AB173),DAY(AB173))</f>
        <v>46650</v>
      </c>
      <c r="AD173" s="65">
        <f ca="1">AC173-TODAY()</f>
        <v>519</v>
      </c>
      <c r="AE173" s="15" t="str">
        <f t="shared" ca="1" si="574"/>
        <v>VIGENTE</v>
      </c>
      <c r="AF173" s="14">
        <v>44935</v>
      </c>
      <c r="AG173" s="14">
        <v>45594</v>
      </c>
      <c r="AH173" s="14">
        <f>DATE(YEAR(AG173)+2,MONTH(AG173),DAY(AG173)-1)</f>
        <v>46323</v>
      </c>
      <c r="AI173" s="65">
        <f t="shared" ca="1" si="450"/>
        <v>192</v>
      </c>
      <c r="AJ173" s="15" t="str">
        <f t="shared" ca="1" si="592"/>
        <v>VIGENTE</v>
      </c>
      <c r="AK173" s="13">
        <v>45269</v>
      </c>
      <c r="AL173" s="14">
        <v>45926</v>
      </c>
      <c r="AM173" s="14">
        <f>DATE(YEAR(AL173)+2,MONTH(AL173),DAY(AL173))</f>
        <v>46656</v>
      </c>
      <c r="AN173" s="65">
        <f t="shared" ca="1" si="451"/>
        <v>525</v>
      </c>
      <c r="AO173" s="15" t="str">
        <f t="shared" ca="1" si="452"/>
        <v>VIGENTE</v>
      </c>
      <c r="AP173" s="13">
        <v>45206</v>
      </c>
      <c r="AQ173" s="14">
        <v>45845</v>
      </c>
      <c r="AR173" s="14">
        <f>DATE(YEAR(AQ173)+2,MONTH(AQ173),DAY(AQ173))</f>
        <v>46575</v>
      </c>
      <c r="AS173" s="65">
        <f t="shared" ca="1" si="453"/>
        <v>444</v>
      </c>
      <c r="AT173" s="15" t="str">
        <f t="shared" ca="1" si="454"/>
        <v>VIGENTE</v>
      </c>
      <c r="AU173" s="13">
        <v>45323</v>
      </c>
      <c r="AV173" s="14">
        <v>45975</v>
      </c>
      <c r="AW173" s="14">
        <f>DATE(YEAR(AV173)+2,MONTH(AV173),DAY(AV173))</f>
        <v>46705</v>
      </c>
      <c r="AX173" s="65">
        <f t="shared" ca="1" si="455"/>
        <v>574</v>
      </c>
      <c r="AY173" s="15" t="str">
        <f t="shared" ca="1" si="456"/>
        <v>VIGENTE</v>
      </c>
      <c r="AZ173" s="13">
        <v>44732</v>
      </c>
      <c r="BA173" s="14">
        <v>46071</v>
      </c>
      <c r="BB173" s="14">
        <f>DATE(YEAR(BA173)+2,MONTH(BA173),DAY(BA173))</f>
        <v>46801</v>
      </c>
      <c r="BC173" s="65">
        <f t="shared" ca="1" si="457"/>
        <v>670</v>
      </c>
      <c r="BD173" s="15" t="str">
        <f t="shared" ca="1" si="458"/>
        <v>VIGENTE</v>
      </c>
      <c r="BE173" s="13">
        <v>44734</v>
      </c>
      <c r="BF173" s="14">
        <v>46067</v>
      </c>
      <c r="BG173" s="14">
        <f>DATE(YEAR(BF173)+2,MONTH(BF173),DAY(BF173))</f>
        <v>46797</v>
      </c>
      <c r="BH173" s="65">
        <f t="shared" ca="1" si="459"/>
        <v>666</v>
      </c>
      <c r="BI173" s="15" t="str">
        <f t="shared" ca="1" si="460"/>
        <v>VIGENTE</v>
      </c>
      <c r="BJ173" s="13">
        <v>45372</v>
      </c>
      <c r="BK173" s="14">
        <v>46048</v>
      </c>
      <c r="BL173" s="14">
        <f>DATE(YEAR(BK173)+2,MONTH(BK173),DAY(BK173))</f>
        <v>46778</v>
      </c>
      <c r="BM173" s="65">
        <f t="shared" ca="1" si="461"/>
        <v>647</v>
      </c>
      <c r="BN173" s="15" t="str">
        <f t="shared" ca="1" si="462"/>
        <v>VIGENTE</v>
      </c>
      <c r="BO173" s="13">
        <v>44746</v>
      </c>
      <c r="BP173" s="14">
        <v>46069</v>
      </c>
      <c r="BQ173" s="14">
        <f>DATE(YEAR(BP173)+2,MONTH(BP173),DAY(BP173))</f>
        <v>46799</v>
      </c>
      <c r="BR173" s="65">
        <f t="shared" ca="1" si="463"/>
        <v>668</v>
      </c>
      <c r="BS173" s="15" t="str">
        <f t="shared" ca="1" si="464"/>
        <v>VIGENTE</v>
      </c>
      <c r="BT173" s="13">
        <v>44733</v>
      </c>
      <c r="BU173" s="14">
        <v>46063</v>
      </c>
      <c r="BV173" s="14">
        <f>DATE(YEAR(BU173)+2,MONTH(BU173),DAY(BU173))</f>
        <v>46793</v>
      </c>
      <c r="BW173" s="65">
        <f t="shared" ca="1" si="465"/>
        <v>662</v>
      </c>
      <c r="BX173" s="15" t="str">
        <f t="shared" ca="1" si="466"/>
        <v>VIGENTE</v>
      </c>
      <c r="BY173" s="13">
        <v>45272</v>
      </c>
      <c r="BZ173" s="14">
        <v>45974</v>
      </c>
      <c r="CA173" s="14">
        <f>DATE(YEAR(BZ173)+2,MONTH(BZ173),DAY(BZ173))</f>
        <v>46704</v>
      </c>
      <c r="CB173" s="65">
        <f t="shared" ca="1" si="467"/>
        <v>573</v>
      </c>
      <c r="CC173" s="15" t="str">
        <f t="shared" ca="1" si="468"/>
        <v>VIGENTE</v>
      </c>
      <c r="CD173" s="16" t="s">
        <v>108</v>
      </c>
      <c r="CE173" s="14">
        <v>45226</v>
      </c>
      <c r="CF173" s="14">
        <v>45227</v>
      </c>
      <c r="CG173" s="14">
        <f t="shared" si="580"/>
        <v>46688</v>
      </c>
      <c r="CH173" s="65">
        <f t="shared" ca="1" si="581"/>
        <v>557</v>
      </c>
      <c r="CI173" s="15" t="str">
        <f t="shared" ca="1" si="562"/>
        <v>VIGENTE</v>
      </c>
      <c r="CJ173" s="14">
        <v>44873</v>
      </c>
      <c r="CK173" s="14">
        <v>45511</v>
      </c>
      <c r="CL173" s="14">
        <f>DATE(YEAR(CK173)+2,MONTH(CK173),DAY(CK173)-1)</f>
        <v>46240</v>
      </c>
      <c r="CM173" s="65">
        <f t="shared" ca="1" si="469"/>
        <v>109</v>
      </c>
      <c r="CN173" s="15" t="str">
        <f t="shared" ca="1" si="470"/>
        <v>VIGENTE</v>
      </c>
      <c r="CO173" s="13">
        <v>44900</v>
      </c>
      <c r="CP173" s="14">
        <v>45517</v>
      </c>
      <c r="CQ173" s="14">
        <f>DATE(YEAR(CP173)+2,MONTH(CP173),DAY(CP173)-1)</f>
        <v>46246</v>
      </c>
      <c r="CR173" s="65">
        <f t="shared" ca="1" si="471"/>
        <v>115</v>
      </c>
      <c r="CS173" s="15" t="str">
        <f t="shared" ca="1" si="472"/>
        <v>VIGENTE</v>
      </c>
      <c r="CT173" s="13">
        <v>44975</v>
      </c>
      <c r="CU173" s="14">
        <v>45645</v>
      </c>
      <c r="CV173" s="14">
        <f>DATE(YEAR(CU173)+2,MONTH(CU173),DAY(CU173)-1)</f>
        <v>46374</v>
      </c>
      <c r="CW173" s="65">
        <f t="shared" ca="1" si="473"/>
        <v>243</v>
      </c>
      <c r="CX173" s="15" t="str">
        <f t="shared" ca="1" si="474"/>
        <v>VIGENTE</v>
      </c>
      <c r="CY173" s="14">
        <v>44995</v>
      </c>
      <c r="CZ173" s="14">
        <v>45665</v>
      </c>
      <c r="DA173" s="14">
        <f>DATE(YEAR(CZ173)+2,MONTH(CZ173),DAY(CZ173)-1)</f>
        <v>46394</v>
      </c>
      <c r="DB173" s="65">
        <f t="shared" ca="1" si="475"/>
        <v>263</v>
      </c>
      <c r="DC173" s="15" t="str">
        <f t="shared" ca="1" si="476"/>
        <v>VIGENTE</v>
      </c>
      <c r="DD173" s="13">
        <v>45023</v>
      </c>
      <c r="DE173" s="14">
        <v>45689</v>
      </c>
      <c r="DF173" s="14">
        <f>DATE(YEAR(DE173)+2,MONTH(DE173),DAY(DE173)-1)</f>
        <v>46418</v>
      </c>
      <c r="DG173" s="65">
        <f t="shared" ca="1" si="477"/>
        <v>287</v>
      </c>
      <c r="DH173" s="15" t="str">
        <f t="shared" ca="1" si="478"/>
        <v>VIGENTE</v>
      </c>
      <c r="DI173" s="13">
        <v>45058</v>
      </c>
      <c r="DJ173" s="14">
        <v>45696</v>
      </c>
      <c r="DK173" s="14">
        <f>DATE(YEAR(DJ173)+2,MONTH(DJ173),DAY(DJ173)-1)</f>
        <v>46425</v>
      </c>
      <c r="DL173" s="65">
        <f t="shared" ca="1" si="479"/>
        <v>294</v>
      </c>
      <c r="DM173" s="15" t="str">
        <f t="shared" ca="1" si="480"/>
        <v>VIGENTE</v>
      </c>
      <c r="DN173" s="14">
        <v>45325</v>
      </c>
      <c r="DO173" s="14">
        <v>45982</v>
      </c>
      <c r="DP173" s="14">
        <f>DATE(YEAR(DO173)+2,MONTH(DO173),DAY(DO173))</f>
        <v>46712</v>
      </c>
      <c r="DQ173" s="65">
        <f t="shared" ca="1" si="481"/>
        <v>581</v>
      </c>
      <c r="DR173" s="15" t="str">
        <f t="shared" ca="1" si="482"/>
        <v>VIGENTE</v>
      </c>
      <c r="DS173" s="13">
        <v>44734</v>
      </c>
      <c r="DT173" s="14">
        <v>46053</v>
      </c>
      <c r="DU173" s="14">
        <f>DATE(YEAR(DT173)+2,MONTH(DT173),DAY(DT173))</f>
        <v>46783</v>
      </c>
      <c r="DV173" s="65">
        <f t="shared" ca="1" si="483"/>
        <v>652</v>
      </c>
      <c r="DW173" s="15" t="str">
        <f t="shared" ca="1" si="484"/>
        <v>VIGENTE</v>
      </c>
      <c r="DX173" s="13">
        <v>45017</v>
      </c>
      <c r="DY173" s="14">
        <v>45682</v>
      </c>
      <c r="DZ173" s="14">
        <f>DATE(YEAR(DY173)+2,MONTH(DY173),DAY(DY173)-1)</f>
        <v>46411</v>
      </c>
      <c r="EA173" s="65">
        <f t="shared" ca="1" si="485"/>
        <v>280</v>
      </c>
      <c r="EB173" s="15" t="str">
        <f t="shared" ca="1" si="486"/>
        <v>VIGENTE</v>
      </c>
      <c r="EC173" s="13">
        <v>45051</v>
      </c>
      <c r="ED173" s="14">
        <v>45674</v>
      </c>
      <c r="EE173" s="14">
        <f>DATE(YEAR(ED173)+2,MONTH(ED173),DAY(ED173)-1)</f>
        <v>46403</v>
      </c>
      <c r="EF173" s="65">
        <f t="shared" ca="1" si="487"/>
        <v>272</v>
      </c>
      <c r="EG173" s="15" t="str">
        <f t="shared" ca="1" si="488"/>
        <v>VIGENTE</v>
      </c>
      <c r="EH173" s="13">
        <v>45675</v>
      </c>
      <c r="EI173" s="13">
        <v>45806</v>
      </c>
      <c r="EJ173" s="13">
        <v>45807</v>
      </c>
      <c r="EK173" s="14">
        <v>45808</v>
      </c>
      <c r="EL173" s="14">
        <f t="shared" si="546"/>
        <v>46173</v>
      </c>
      <c r="EM173" s="65">
        <f t="shared" ca="1" si="489"/>
        <v>42</v>
      </c>
      <c r="EN173" s="15" t="str">
        <f t="shared" ca="1" si="490"/>
        <v>POR VENCER</v>
      </c>
      <c r="EO173" s="13">
        <v>45059</v>
      </c>
      <c r="EP173" s="14">
        <v>45671</v>
      </c>
      <c r="EQ173" s="14">
        <f>DATE(YEAR(EP173)+2,MONTH(EP173),DAY(EP173)-1)</f>
        <v>46400</v>
      </c>
      <c r="ER173" s="65">
        <f t="shared" ca="1" si="491"/>
        <v>269</v>
      </c>
      <c r="ES173" s="15" t="str">
        <f t="shared" ca="1" si="492"/>
        <v>VIGENTE</v>
      </c>
      <c r="ET173" s="13">
        <v>45370</v>
      </c>
      <c r="EU173" s="14">
        <v>46062</v>
      </c>
      <c r="EV173" s="14">
        <f>DATE(YEAR(EU173)+2,MONTH(EU173),DAY(EU173))</f>
        <v>46792</v>
      </c>
      <c r="EW173" s="65">
        <f t="shared" ca="1" si="493"/>
        <v>661</v>
      </c>
      <c r="EX173" s="15" t="str">
        <f t="shared" ca="1" si="494"/>
        <v>VIGENTE</v>
      </c>
      <c r="EY173" s="13">
        <v>45271</v>
      </c>
      <c r="EZ173" s="14">
        <v>45964</v>
      </c>
      <c r="FA173" s="14">
        <f>DATE(YEAR(EZ173)+2,MONTH(EZ173),DAY(EZ173))</f>
        <v>46694</v>
      </c>
      <c r="FB173" s="65">
        <f t="shared" ca="1" si="495"/>
        <v>563</v>
      </c>
      <c r="FC173" s="15" t="str">
        <f t="shared" ca="1" si="496"/>
        <v>VIGENTE</v>
      </c>
      <c r="FD173" s="13">
        <v>45280</v>
      </c>
      <c r="FE173" s="14">
        <v>45931</v>
      </c>
      <c r="FF173" s="14">
        <f>DATE(YEAR(FE173)+2,MONTH(FE173),DAY(FE173))</f>
        <v>46661</v>
      </c>
      <c r="FG173" s="65">
        <f t="shared" ca="1" si="497"/>
        <v>530</v>
      </c>
      <c r="FH173" s="15" t="str">
        <f t="shared" ca="1" si="498"/>
        <v>VIGENTE</v>
      </c>
      <c r="FI173" s="13">
        <v>45282</v>
      </c>
      <c r="FJ173" s="14">
        <v>45969</v>
      </c>
      <c r="FK173" s="14">
        <f>DATE(YEAR(FJ173)+2,MONTH(FJ173),DAY(FJ173))</f>
        <v>46699</v>
      </c>
      <c r="FL173" s="65">
        <f t="shared" ca="1" si="499"/>
        <v>568</v>
      </c>
      <c r="FM173" s="15" t="str">
        <f t="shared" ca="1" si="500"/>
        <v>VIGENTE</v>
      </c>
      <c r="FN173" s="13">
        <v>45049</v>
      </c>
      <c r="FO173" s="14">
        <v>45686</v>
      </c>
      <c r="FP173" s="14">
        <f>DATE(YEAR(FO173)+2,MONTH(FO173),DAY(FO173)-1)</f>
        <v>46415</v>
      </c>
      <c r="FQ173" s="65">
        <f t="shared" ca="1" si="501"/>
        <v>284</v>
      </c>
      <c r="FR173" s="15" t="str">
        <f t="shared" ca="1" si="502"/>
        <v>VIGENTE</v>
      </c>
      <c r="FS173" s="13">
        <v>45018</v>
      </c>
      <c r="FT173" s="14">
        <v>45664</v>
      </c>
      <c r="FU173" s="14">
        <f>DATE(YEAR(FT173)+2,MONTH(FT173),DAY(FT173)-1)</f>
        <v>46393</v>
      </c>
      <c r="FV173" s="65">
        <f t="shared" ca="1" si="503"/>
        <v>262</v>
      </c>
      <c r="FW173" s="15" t="str">
        <f t="shared" ca="1" si="504"/>
        <v>VIGENTE</v>
      </c>
      <c r="FX173" s="13">
        <v>44596</v>
      </c>
      <c r="FY173" s="14">
        <v>45941</v>
      </c>
      <c r="FZ173" s="14">
        <f>DATE(YEAR(FY173)+2,MONTH(FY173),DAY(FY173))</f>
        <v>46671</v>
      </c>
      <c r="GA173" s="65">
        <f t="shared" ca="1" si="505"/>
        <v>540</v>
      </c>
      <c r="GB173" s="15" t="str">
        <f t="shared" ca="1" si="506"/>
        <v>VIGENTE</v>
      </c>
      <c r="GC173" s="13">
        <v>44735</v>
      </c>
      <c r="GD173" s="14">
        <v>46073</v>
      </c>
      <c r="GE173" s="14">
        <f>DATE(YEAR(GD173)+2,MONTH(GD173),DAY(GD173))</f>
        <v>46803</v>
      </c>
      <c r="GF173" s="65">
        <f t="shared" ca="1" si="507"/>
        <v>672</v>
      </c>
      <c r="GG173" s="15" t="str">
        <f t="shared" ca="1" si="508"/>
        <v>VIGENTE</v>
      </c>
      <c r="GH173" s="13">
        <v>44996</v>
      </c>
      <c r="GI173" s="14">
        <v>45672</v>
      </c>
      <c r="GJ173" s="14">
        <f>DATE(YEAR(GI173)+2,MONTH(GI173),DAY(GI173)-1)</f>
        <v>46401</v>
      </c>
      <c r="GK173" s="65">
        <f t="shared" ca="1" si="509"/>
        <v>270</v>
      </c>
      <c r="GL173" s="15" t="str">
        <f t="shared" ca="1" si="510"/>
        <v>VIGENTE</v>
      </c>
      <c r="GM173" s="14">
        <v>45275</v>
      </c>
      <c r="GN173" s="14">
        <v>45945</v>
      </c>
      <c r="GO173" s="14">
        <f>DATE(YEAR(GN173)+2,MONTH(GN173),DAY(GN173))</f>
        <v>46675</v>
      </c>
      <c r="GP173" s="65">
        <f t="shared" ca="1" si="511"/>
        <v>544</v>
      </c>
      <c r="GQ173" s="15" t="str">
        <f t="shared" ca="1" si="512"/>
        <v>VIGENTE</v>
      </c>
      <c r="GR173" s="14"/>
      <c r="GS173" s="14">
        <v>45048</v>
      </c>
      <c r="GT173" s="14">
        <f t="shared" si="513"/>
        <v>46875</v>
      </c>
      <c r="GU173" s="65">
        <f t="shared" ca="1" si="591"/>
        <v>744</v>
      </c>
      <c r="GV173" s="15" t="str">
        <f t="shared" ref="GV173:GV174" ca="1" si="596">IF(GU173&gt;=91,"VIGENTE",IF(GU173&gt;=1,"POR VENCER",IF(GU173&lt;=-1,"VENCIDA",IF(GS173=0,"NO APLICA"))))</f>
        <v>VIGENTE</v>
      </c>
      <c r="GW173" s="13"/>
      <c r="GX173" s="14">
        <v>45010</v>
      </c>
      <c r="GY173" s="14">
        <f t="shared" si="514"/>
        <v>46837</v>
      </c>
      <c r="GZ173" s="65">
        <f t="shared" ca="1" si="515"/>
        <v>706</v>
      </c>
      <c r="HA173" s="15" t="str">
        <f t="shared" ca="1" si="418"/>
        <v>VIGENTE</v>
      </c>
      <c r="HB173" s="12"/>
      <c r="HC173" s="14">
        <v>45073</v>
      </c>
      <c r="HD173" s="14">
        <f t="shared" si="516"/>
        <v>46900</v>
      </c>
      <c r="HE173" s="65">
        <f t="shared" ca="1" si="517"/>
        <v>769</v>
      </c>
      <c r="HF173" s="15" t="str">
        <f t="shared" ref="HF173:HF174" ca="1" si="597">IF(HE173&gt;=91,"VIGENTE",IF(HE173&gt;=1,"POR VENCER",IF(HE173&lt;=-1,"VENCIDA",IF(HC173=0,"NO APLICA"))))</f>
        <v>VIGENTE</v>
      </c>
      <c r="HG173" s="16"/>
      <c r="HH173" s="14">
        <v>45115</v>
      </c>
      <c r="HI173" s="14">
        <f t="shared" si="593"/>
        <v>46942</v>
      </c>
      <c r="HJ173" s="65">
        <f t="shared" ca="1" si="594"/>
        <v>811</v>
      </c>
      <c r="HK173" s="15" t="str">
        <f t="shared" ca="1" si="419"/>
        <v>VIGENTE</v>
      </c>
      <c r="HL173" s="13">
        <v>44628</v>
      </c>
      <c r="HM173" s="14">
        <v>45341</v>
      </c>
      <c r="HN173" s="14">
        <f>DATE(YEAR(HM173)+5,MONTH(HM173),DAY(HM173))</f>
        <v>47168</v>
      </c>
      <c r="HO173" s="65">
        <f ca="1">HN173-TODAY()</f>
        <v>1037</v>
      </c>
      <c r="HP173" s="15" t="str">
        <f t="shared" ca="1" si="437"/>
        <v>VIGENTE</v>
      </c>
      <c r="HQ173" s="12"/>
      <c r="HR173" s="13">
        <v>45374</v>
      </c>
      <c r="HS173" s="14">
        <f>DATE(YEAR(HR173)+5,MONTH(HR173),DAY(HR173))</f>
        <v>47200</v>
      </c>
      <c r="HT173" s="65">
        <f ca="1">HS173-TODAY()</f>
        <v>1069</v>
      </c>
      <c r="HU173" s="15" t="str">
        <f t="shared" ca="1" si="518"/>
        <v>VIGENTE</v>
      </c>
      <c r="HV173" s="13">
        <v>44560</v>
      </c>
      <c r="HW173" s="14">
        <v>45274</v>
      </c>
      <c r="HX173" s="14">
        <f>DATE(YEAR(HW173)+5,MONTH(HW173),DAY(HW173))</f>
        <v>47101</v>
      </c>
      <c r="HY173" s="65">
        <f ca="1">HX173-TODAY()</f>
        <v>970</v>
      </c>
      <c r="HZ173" s="15" t="str">
        <f t="shared" ca="1" si="519"/>
        <v>VIGENTE</v>
      </c>
      <c r="IA173" s="13">
        <v>44557</v>
      </c>
      <c r="IB173" s="14">
        <v>45270</v>
      </c>
      <c r="IC173" s="14">
        <f>DATE(YEAR(IB173)+5,MONTH(IB173),DAY(IB173))</f>
        <v>47097</v>
      </c>
      <c r="ID173" s="65">
        <f ca="1">IC173-TODAY()</f>
        <v>966</v>
      </c>
      <c r="IE173" s="15" t="str">
        <f t="shared" ca="1" si="520"/>
        <v>VIGENTE</v>
      </c>
      <c r="IF173" s="13">
        <v>44558</v>
      </c>
      <c r="IG173" s="14">
        <v>45192</v>
      </c>
      <c r="IH173" s="14">
        <f>DATE(YEAR(IG173)+5,MONTH(IG173),DAY(IG173))</f>
        <v>47019</v>
      </c>
      <c r="II173" s="65">
        <f ca="1">IH173-TODAY()</f>
        <v>888</v>
      </c>
      <c r="IJ173" s="15" t="str">
        <f t="shared" ca="1" si="521"/>
        <v>VIGENTE</v>
      </c>
      <c r="IK173" s="14">
        <v>44559</v>
      </c>
      <c r="IL173" s="14">
        <v>45266</v>
      </c>
      <c r="IM173" s="14">
        <f>DATE(YEAR(IL173)+5,MONTH(IL173),DAY(IL173))</f>
        <v>47093</v>
      </c>
      <c r="IN173" s="65">
        <f ca="1">IM173-TODAY()</f>
        <v>962</v>
      </c>
      <c r="IO173" s="15" t="str">
        <f t="shared" ca="1" si="522"/>
        <v>VIGENTE</v>
      </c>
      <c r="IP173" s="13">
        <v>44559</v>
      </c>
      <c r="IQ173" s="14">
        <v>45273</v>
      </c>
      <c r="IR173" s="14">
        <f>DATE(YEAR(IQ173)+5,MONTH(IQ173),DAY(IQ173))</f>
        <v>47100</v>
      </c>
      <c r="IS173" s="65">
        <f ca="1">IR173-TODAY()</f>
        <v>969</v>
      </c>
      <c r="IT173" s="15" t="str">
        <f t="shared" ca="1" si="523"/>
        <v>VIGENTE</v>
      </c>
      <c r="IU173" s="13">
        <v>44558</v>
      </c>
      <c r="IV173" s="14">
        <v>45191</v>
      </c>
      <c r="IW173" s="14">
        <f>DATE(YEAR(IV173)+5,MONTH(IV173),DAY(IV173))</f>
        <v>47018</v>
      </c>
      <c r="IX173" s="65">
        <f ca="1">IW173-TODAY()</f>
        <v>887</v>
      </c>
      <c r="IY173" s="15" t="str">
        <f t="shared" ca="1" si="524"/>
        <v>VIGENTE</v>
      </c>
      <c r="IZ173" s="13">
        <v>44557</v>
      </c>
      <c r="JA173" s="14">
        <v>45189</v>
      </c>
      <c r="JB173" s="14">
        <f>DATE(YEAR(JA173)+5,MONTH(JA173),DAY(JA173))</f>
        <v>47016</v>
      </c>
      <c r="JC173" s="65">
        <f ca="1">JB173-TODAY()</f>
        <v>885</v>
      </c>
      <c r="JD173" s="15" t="str">
        <f t="shared" ca="1" si="525"/>
        <v>VIGENTE</v>
      </c>
      <c r="JE173" s="13">
        <v>45635</v>
      </c>
      <c r="JF173" s="13">
        <v>45636</v>
      </c>
      <c r="JG173" s="14">
        <f>DATE(YEAR(JF173)+5,MONTH(JF173),DAY(JF173))</f>
        <v>47462</v>
      </c>
      <c r="JH173" s="65">
        <f ca="1">JG173-TODAY()</f>
        <v>1331</v>
      </c>
      <c r="JI173" s="15" t="str">
        <f t="shared" ca="1" si="526"/>
        <v>VIGENTE</v>
      </c>
      <c r="JJ173" s="14">
        <v>45644</v>
      </c>
      <c r="JK173" s="14">
        <f>DATE(YEAR(JJ173)+5,MONTH(JJ173),DAY(JJ173))</f>
        <v>47470</v>
      </c>
      <c r="JL173" s="65">
        <f ca="1">JK173-TODAY()</f>
        <v>1339</v>
      </c>
      <c r="JM173" s="15" t="str">
        <f t="shared" ca="1" si="527"/>
        <v>VIGENTE</v>
      </c>
      <c r="JN173" s="14">
        <v>45647</v>
      </c>
      <c r="JO173" s="14">
        <f>DATE(YEAR(JN173)+5,MONTH(JN173),DAY(JN173))</f>
        <v>47473</v>
      </c>
      <c r="JP173" s="65">
        <f ca="1">JO173-TODAY()</f>
        <v>1342</v>
      </c>
      <c r="JQ173" s="15" t="str">
        <f t="shared" ca="1" si="528"/>
        <v>VIGENTE</v>
      </c>
      <c r="JR173" s="14">
        <v>45642</v>
      </c>
      <c r="JS173" s="14">
        <v>45643</v>
      </c>
      <c r="JT173" s="14">
        <f>DATE(YEAR(JS173)+5,MONTH(JS173),DAY(JS173))</f>
        <v>47469</v>
      </c>
      <c r="JU173" s="65">
        <f ca="1">JT173-TODAY()</f>
        <v>1338</v>
      </c>
      <c r="JV173" s="15" t="str">
        <f t="shared" ca="1" si="529"/>
        <v>VIGENTE</v>
      </c>
      <c r="JW173" s="15"/>
      <c r="JX173" s="15"/>
      <c r="JY173" s="15"/>
      <c r="JZ173" s="15"/>
      <c r="KA173" s="15" t="str">
        <f t="shared" si="530"/>
        <v>NO APLICA</v>
      </c>
      <c r="KB173" s="12"/>
      <c r="KC173" s="14"/>
      <c r="KD173" s="65"/>
      <c r="KE173" s="15" t="str">
        <f t="shared" si="531"/>
        <v>NO APLICA</v>
      </c>
      <c r="KF173" s="12"/>
      <c r="KG173" s="14"/>
      <c r="KH173" s="65"/>
      <c r="KI173" s="15" t="str">
        <f t="shared" si="547"/>
        <v>NO APLICA</v>
      </c>
      <c r="KJ173" s="12"/>
      <c r="KK173" s="14"/>
      <c r="KL173" s="65"/>
      <c r="KM173" s="15" t="str">
        <f t="shared" si="532"/>
        <v>NO APLICA</v>
      </c>
      <c r="KN173" s="12"/>
      <c r="KO173" s="14"/>
      <c r="KP173" s="65"/>
      <c r="KQ173" s="15" t="str">
        <f t="shared" si="548"/>
        <v>NO APLICA</v>
      </c>
      <c r="KR173" s="13">
        <v>44648</v>
      </c>
      <c r="KS173" s="14">
        <v>44649</v>
      </c>
      <c r="KT173" s="14">
        <f>DATE(YEAR(KS173)+5,MONTH(KS173),DAY(KS173))</f>
        <v>46475</v>
      </c>
      <c r="KU173" s="65">
        <f ca="1">KT173-TODAY()</f>
        <v>344</v>
      </c>
      <c r="KV173" s="15" t="str">
        <f t="shared" ca="1" si="554"/>
        <v>VIGENTE</v>
      </c>
      <c r="KW173" s="16"/>
      <c r="KX173" s="14"/>
      <c r="KY173" s="65"/>
      <c r="KZ173" s="15" t="str">
        <f t="shared" si="549"/>
        <v>NO APLICA</v>
      </c>
      <c r="LA173" s="16"/>
      <c r="LB173" s="14">
        <v>45615</v>
      </c>
      <c r="LC173" s="14">
        <f>DATE(YEAR(LB173)+2,MONTH(LB173),DAY(LB173))</f>
        <v>46345</v>
      </c>
      <c r="LD173" s="65">
        <f ca="1">LC173-TODAY()</f>
        <v>214</v>
      </c>
      <c r="LE173" s="15" t="str">
        <f t="shared" ca="1" si="590"/>
        <v>VIGENTE</v>
      </c>
      <c r="LF173" s="15"/>
      <c r="LG173" s="15"/>
      <c r="LH173" s="15"/>
      <c r="LI173" s="15"/>
      <c r="LJ173" s="15" t="str">
        <f t="shared" si="555"/>
        <v>NO APLICA</v>
      </c>
      <c r="LK173" s="12"/>
      <c r="LL173" s="16"/>
      <c r="LM173" s="14"/>
      <c r="LN173" s="65"/>
      <c r="LO173" s="15" t="str">
        <f t="shared" si="550"/>
        <v>NO APLICA</v>
      </c>
      <c r="LP173" s="14">
        <v>44984</v>
      </c>
      <c r="LQ173" s="14">
        <v>44986</v>
      </c>
      <c r="LR173" s="14">
        <f>DATE(YEAR(LQ173)+5,MONTH(LQ173),DAY(LQ173))</f>
        <v>46813</v>
      </c>
      <c r="LS173" s="65">
        <f ca="1">LR173-TODAY()</f>
        <v>682</v>
      </c>
      <c r="LT173" s="15" t="str">
        <f t="shared" ca="1" si="551"/>
        <v>VIGENTE</v>
      </c>
      <c r="LU173" s="14">
        <v>44987</v>
      </c>
      <c r="LV173" s="14">
        <v>44988</v>
      </c>
      <c r="LW173" s="14">
        <f>DATE(YEAR(LV173)+5,MONTH(LV173),DAY(LV173))</f>
        <v>46815</v>
      </c>
      <c r="LX173" s="65">
        <f ca="1">LW173-TODAY()</f>
        <v>684</v>
      </c>
      <c r="LY173" s="15" t="str">
        <f t="shared" ca="1" si="552"/>
        <v>VIGENTE</v>
      </c>
      <c r="LZ173" s="12"/>
      <c r="MA173" s="12"/>
      <c r="MB173" s="14"/>
      <c r="MC173" s="65"/>
      <c r="MD173" s="15" t="str">
        <f t="shared" si="534"/>
        <v>NO APLICA</v>
      </c>
      <c r="ME173" s="12"/>
      <c r="MF173" s="12"/>
      <c r="MG173" s="14"/>
      <c r="MH173" s="65"/>
      <c r="MI173" s="15" t="str">
        <f t="shared" si="535"/>
        <v>NO APLICA</v>
      </c>
      <c r="MJ173" s="12"/>
      <c r="MK173" s="14"/>
      <c r="ML173" s="65"/>
      <c r="MM173" s="15" t="str">
        <f t="shared" si="536"/>
        <v>NO APLICA</v>
      </c>
      <c r="MN173" s="12"/>
      <c r="MO173" s="14"/>
      <c r="MP173" s="12"/>
      <c r="MQ173" s="15" t="str">
        <f t="shared" si="537"/>
        <v>NO APLICA</v>
      </c>
      <c r="MR173" s="12"/>
      <c r="MS173" s="16"/>
      <c r="MT173" s="14"/>
      <c r="MU173" s="65"/>
      <c r="MV173" s="15" t="str">
        <f t="shared" si="538"/>
        <v>NO APLICA</v>
      </c>
      <c r="MW173" s="12"/>
      <c r="MX173" s="16"/>
      <c r="MY173" s="14"/>
      <c r="MZ173" s="65"/>
      <c r="NA173" s="15" t="str">
        <f t="shared" si="539"/>
        <v>NO APLICA</v>
      </c>
      <c r="NB173" s="12"/>
      <c r="NC173" s="16"/>
      <c r="ND173" s="14"/>
      <c r="NE173" s="65"/>
      <c r="NF173" s="15" t="str">
        <f t="shared" si="540"/>
        <v>NO APLICA</v>
      </c>
      <c r="NG173" s="12"/>
      <c r="NH173" s="12"/>
      <c r="NI173" s="14"/>
      <c r="NJ173" s="12"/>
      <c r="NK173" s="15" t="str">
        <f t="shared" si="541"/>
        <v>NO APLICA</v>
      </c>
      <c r="NL173" s="12"/>
      <c r="NM173" s="12"/>
      <c r="NN173" s="14"/>
      <c r="NO173" s="12"/>
      <c r="NP173" s="15" t="str">
        <f t="shared" si="542"/>
        <v>NO APLICA</v>
      </c>
      <c r="NQ173" s="16"/>
      <c r="NR173" s="16"/>
      <c r="NS173" s="14"/>
      <c r="NT173" s="65"/>
      <c r="NU173" s="15" t="str">
        <f t="shared" si="543"/>
        <v>NO APLICA</v>
      </c>
      <c r="NV173" s="16"/>
      <c r="NW173" s="16"/>
      <c r="NX173" s="16"/>
      <c r="NY173" s="16"/>
      <c r="NZ173" s="15" t="str">
        <f t="shared" si="544"/>
        <v>NO APLICA</v>
      </c>
    </row>
    <row r="174" spans="1:390" ht="15.6" thickTop="1" thickBot="1" x14ac:dyDescent="0.35">
      <c r="A174" s="11">
        <v>1731</v>
      </c>
      <c r="B174" s="10" t="s">
        <v>619</v>
      </c>
      <c r="C174" s="21" t="s">
        <v>104</v>
      </c>
      <c r="D174" s="64" t="s">
        <v>110</v>
      </c>
      <c r="E174" s="16"/>
      <c r="F174" s="16"/>
      <c r="G174" s="16"/>
      <c r="H174" s="16"/>
      <c r="I174" s="15" t="str">
        <f t="shared" si="448"/>
        <v>NO APLICA</v>
      </c>
      <c r="J174" s="16"/>
      <c r="K174" s="16"/>
      <c r="L174" s="16"/>
      <c r="M174" s="16"/>
      <c r="N174" s="15" t="str">
        <f t="shared" si="449"/>
        <v>NO APLICA</v>
      </c>
      <c r="O174" s="16"/>
      <c r="P174" s="16"/>
      <c r="Q174" s="16"/>
      <c r="R174" s="16"/>
      <c r="S174" s="15" t="str">
        <f t="shared" si="545"/>
        <v>NO APLICA</v>
      </c>
      <c r="T174" s="16" t="s">
        <v>620</v>
      </c>
      <c r="U174" s="14">
        <v>45188</v>
      </c>
      <c r="V174" s="14">
        <v>45189</v>
      </c>
      <c r="W174" s="14">
        <f t="shared" si="577"/>
        <v>47016</v>
      </c>
      <c r="X174" s="65">
        <f t="shared" ca="1" si="578"/>
        <v>885</v>
      </c>
      <c r="Y174" s="15" t="str">
        <f t="shared" ca="1" si="595"/>
        <v>VIGENTE</v>
      </c>
      <c r="Z174" s="16" t="s">
        <v>621</v>
      </c>
      <c r="AA174" s="14">
        <v>45186</v>
      </c>
      <c r="AB174" s="14">
        <v>45187</v>
      </c>
      <c r="AC174" s="14">
        <f>DATE(YEAR(AB174)+5,MONTH(AB174),DAY(AB174))</f>
        <v>47014</v>
      </c>
      <c r="AD174" s="65">
        <f ca="1">AC174-TODAY()</f>
        <v>883</v>
      </c>
      <c r="AE174" s="15" t="str">
        <f t="shared" ca="1" si="574"/>
        <v>VIGENTE</v>
      </c>
      <c r="AF174" s="14">
        <v>45334</v>
      </c>
      <c r="AG174" s="14">
        <v>46006</v>
      </c>
      <c r="AH174" s="14">
        <f>DATE(YEAR(AG174)+2,MONTH(AG174),DAY(AG174))</f>
        <v>46736</v>
      </c>
      <c r="AI174" s="65">
        <f t="shared" ca="1" si="450"/>
        <v>605</v>
      </c>
      <c r="AJ174" s="15" t="str">
        <f t="shared" ca="1" si="592"/>
        <v>VIGENTE</v>
      </c>
      <c r="AK174" s="16"/>
      <c r="AL174" s="14">
        <v>46062</v>
      </c>
      <c r="AM174" s="14">
        <f>DATE(YEAR(AL174)+2,MONTH(AL174),DAY(AL174))</f>
        <v>46792</v>
      </c>
      <c r="AN174" s="65">
        <f t="shared" ca="1" si="451"/>
        <v>661</v>
      </c>
      <c r="AO174" s="15" t="str">
        <f t="shared" ca="1" si="452"/>
        <v>VIGENTE</v>
      </c>
      <c r="AP174" s="14">
        <v>45357</v>
      </c>
      <c r="AQ174" s="14">
        <v>45989</v>
      </c>
      <c r="AR174" s="14">
        <f>DATE(YEAR(AQ174)+2,MONTH(AQ174),DAY(AQ174))</f>
        <v>46719</v>
      </c>
      <c r="AS174" s="65">
        <f t="shared" ca="1" si="453"/>
        <v>588</v>
      </c>
      <c r="AT174" s="15" t="str">
        <f t="shared" ca="1" si="454"/>
        <v>VIGENTE</v>
      </c>
      <c r="AU174" s="16"/>
      <c r="AV174" s="14">
        <v>46070</v>
      </c>
      <c r="AW174" s="14">
        <f>DATE(YEAR(AV174)+2,MONTH(AV174),DAY(AV174))</f>
        <v>46800</v>
      </c>
      <c r="AX174" s="65">
        <f t="shared" ca="1" si="455"/>
        <v>669</v>
      </c>
      <c r="AY174" s="15" t="str">
        <f t="shared" ca="1" si="456"/>
        <v>VIGENTE</v>
      </c>
      <c r="AZ174" s="14"/>
      <c r="BA174" s="14">
        <v>46071</v>
      </c>
      <c r="BB174" s="14">
        <f>DATE(YEAR(BA174)+2,MONTH(BA174),DAY(BA174))</f>
        <v>46801</v>
      </c>
      <c r="BC174" s="65">
        <f t="shared" ca="1" si="457"/>
        <v>670</v>
      </c>
      <c r="BD174" s="15" t="str">
        <f t="shared" ca="1" si="458"/>
        <v>VIGENTE</v>
      </c>
      <c r="BE174" s="16"/>
      <c r="BF174" s="14">
        <v>45987</v>
      </c>
      <c r="BG174" s="14">
        <f>DATE(YEAR(BF174)+2,MONTH(BF174),DAY(BF174))</f>
        <v>46717</v>
      </c>
      <c r="BH174" s="65">
        <f t="shared" ca="1" si="459"/>
        <v>586</v>
      </c>
      <c r="BI174" s="15" t="str">
        <f t="shared" ca="1" si="460"/>
        <v>VIGENTE</v>
      </c>
      <c r="BJ174" s="14">
        <v>45372</v>
      </c>
      <c r="BK174" s="14">
        <v>46035</v>
      </c>
      <c r="BL174" s="14">
        <f>DATE(YEAR(BK174)+2,MONTH(BK174),DAY(BK174))</f>
        <v>46765</v>
      </c>
      <c r="BM174" s="65">
        <f t="shared" ca="1" si="461"/>
        <v>634</v>
      </c>
      <c r="BN174" s="15" t="str">
        <f t="shared" ca="1" si="462"/>
        <v>VIGENTE</v>
      </c>
      <c r="BO174" s="14"/>
      <c r="BP174" s="14">
        <v>45988</v>
      </c>
      <c r="BQ174" s="14">
        <f>DATE(YEAR(BP174)+2,MONTH(BP174),DAY(BP174))</f>
        <v>46718</v>
      </c>
      <c r="BR174" s="65">
        <f t="shared" ca="1" si="463"/>
        <v>587</v>
      </c>
      <c r="BS174" s="15" t="str">
        <f t="shared" ca="1" si="464"/>
        <v>VIGENTE</v>
      </c>
      <c r="BT174" s="13">
        <v>45362</v>
      </c>
      <c r="BU174" s="14">
        <v>46031</v>
      </c>
      <c r="BV174" s="14">
        <f>DATE(YEAR(BU174)+2,MONTH(BU174),DAY(BU174))</f>
        <v>46761</v>
      </c>
      <c r="BW174" s="65">
        <f t="shared" ca="1" si="465"/>
        <v>630</v>
      </c>
      <c r="BX174" s="15" t="str">
        <f t="shared" ca="1" si="466"/>
        <v>VIGENTE</v>
      </c>
      <c r="BY174" s="14">
        <v>45344</v>
      </c>
      <c r="BZ174" s="14">
        <v>45954</v>
      </c>
      <c r="CA174" s="14">
        <f>DATE(YEAR(BZ174)+2,MONTH(BZ174),DAY(BZ174))</f>
        <v>46684</v>
      </c>
      <c r="CB174" s="65">
        <f t="shared" ca="1" si="467"/>
        <v>553</v>
      </c>
      <c r="CC174" s="15" t="str">
        <f t="shared" ca="1" si="468"/>
        <v>VIGENTE</v>
      </c>
      <c r="CD174" s="16" t="s">
        <v>108</v>
      </c>
      <c r="CE174" s="14">
        <v>45345</v>
      </c>
      <c r="CF174" s="14">
        <v>45346</v>
      </c>
      <c r="CG174" s="14">
        <f t="shared" si="580"/>
        <v>46807</v>
      </c>
      <c r="CH174" s="65">
        <f t="shared" ca="1" si="581"/>
        <v>676</v>
      </c>
      <c r="CI174" s="15" t="str">
        <f t="shared" ca="1" si="562"/>
        <v>VIGENTE</v>
      </c>
      <c r="CJ174" s="14">
        <v>45363</v>
      </c>
      <c r="CK174" s="14">
        <v>46020</v>
      </c>
      <c r="CL174" s="14">
        <f>DATE(YEAR(CK174)+2,MONTH(CK174),DAY(CK174))</f>
        <v>46750</v>
      </c>
      <c r="CM174" s="65">
        <f t="shared" ca="1" si="469"/>
        <v>619</v>
      </c>
      <c r="CN174" s="15" t="str">
        <f t="shared" ca="1" si="470"/>
        <v>VIGENTE</v>
      </c>
      <c r="CO174" s="14">
        <v>45428</v>
      </c>
      <c r="CP174" s="14">
        <v>46101</v>
      </c>
      <c r="CQ174" s="14">
        <f>DATE(YEAR(CP174)+2,MONTH(CP174),DAY(CP174))</f>
        <v>46832</v>
      </c>
      <c r="CR174" s="65">
        <f t="shared" ca="1" si="471"/>
        <v>701</v>
      </c>
      <c r="CS174" s="15" t="str">
        <f t="shared" ca="1" si="472"/>
        <v>VIGENTE</v>
      </c>
      <c r="CT174" s="14">
        <v>45361</v>
      </c>
      <c r="CU174" s="14">
        <v>46069</v>
      </c>
      <c r="CV174" s="14">
        <f>DATE(YEAR(CU174)+2,MONTH(CU174),DAY(CU174))</f>
        <v>46799</v>
      </c>
      <c r="CW174" s="65">
        <f t="shared" ca="1" si="473"/>
        <v>668</v>
      </c>
      <c r="CX174" s="15" t="str">
        <f t="shared" ca="1" si="474"/>
        <v>VIGENTE</v>
      </c>
      <c r="CY174" s="14"/>
      <c r="CZ174" s="14">
        <v>46046</v>
      </c>
      <c r="DA174" s="14">
        <f>DATE(YEAR(CZ174)+2,MONTH(CZ174),DAY(CZ174))</f>
        <v>46776</v>
      </c>
      <c r="DB174" s="65">
        <f t="shared" ca="1" si="475"/>
        <v>645</v>
      </c>
      <c r="DC174" s="15" t="str">
        <f t="shared" ca="1" si="476"/>
        <v>VIGENTE</v>
      </c>
      <c r="DD174" s="14">
        <v>45365</v>
      </c>
      <c r="DE174" s="14">
        <v>46045</v>
      </c>
      <c r="DF174" s="14">
        <f>DATE(YEAR(DE174)+2,MONTH(DE174),DAY(DE174))</f>
        <v>46775</v>
      </c>
      <c r="DG174" s="65">
        <f t="shared" ca="1" si="477"/>
        <v>644</v>
      </c>
      <c r="DH174" s="15" t="str">
        <f t="shared" ca="1" si="478"/>
        <v>VIGENTE</v>
      </c>
      <c r="DI174" s="16"/>
      <c r="DJ174" s="14">
        <v>46073</v>
      </c>
      <c r="DK174" s="14">
        <f>DATE(YEAR(DJ174)+2,MONTH(DJ174),DAY(DJ174))</f>
        <v>46803</v>
      </c>
      <c r="DL174" s="65">
        <f t="shared" ca="1" si="479"/>
        <v>672</v>
      </c>
      <c r="DM174" s="15" t="str">
        <f t="shared" ca="1" si="480"/>
        <v>VIGENTE</v>
      </c>
      <c r="DN174" s="14"/>
      <c r="DO174" s="14">
        <v>46007</v>
      </c>
      <c r="DP174" s="14">
        <f>DATE(YEAR(DO174)+2,MONTH(DO174),DAY(DO174))</f>
        <v>46737</v>
      </c>
      <c r="DQ174" s="65">
        <f t="shared" ca="1" si="481"/>
        <v>606</v>
      </c>
      <c r="DR174" s="15" t="str">
        <f t="shared" ca="1" si="482"/>
        <v>VIGENTE</v>
      </c>
      <c r="DS174" s="14">
        <v>45336</v>
      </c>
      <c r="DT174" s="14">
        <v>46018</v>
      </c>
      <c r="DU174" s="14">
        <f>DATE(YEAR(DT174)+2,MONTH(DT174),DAY(DT174))</f>
        <v>46748</v>
      </c>
      <c r="DV174" s="65">
        <f t="shared" ca="1" si="483"/>
        <v>617</v>
      </c>
      <c r="DW174" s="15" t="str">
        <f t="shared" ca="1" si="484"/>
        <v>VIGENTE</v>
      </c>
      <c r="DX174" s="14">
        <v>45432</v>
      </c>
      <c r="DY174" s="14">
        <v>46099</v>
      </c>
      <c r="DZ174" s="14">
        <f>DATE(YEAR(DY174)+2,MONTH(DY174),DAY(DY174))</f>
        <v>46830</v>
      </c>
      <c r="EA174" s="65">
        <f t="shared" ca="1" si="485"/>
        <v>699</v>
      </c>
      <c r="EB174" s="15" t="str">
        <f t="shared" ca="1" si="486"/>
        <v>VIGENTE</v>
      </c>
      <c r="EC174" s="14">
        <v>45341</v>
      </c>
      <c r="ED174" s="14">
        <v>45994</v>
      </c>
      <c r="EE174" s="14">
        <f>DATE(YEAR(ED174)+2,MONTH(ED174),DAY(ED174))</f>
        <v>46724</v>
      </c>
      <c r="EF174" s="65">
        <f t="shared" ca="1" si="487"/>
        <v>593</v>
      </c>
      <c r="EG174" s="15" t="str">
        <f t="shared" ca="1" si="488"/>
        <v>VIGENTE</v>
      </c>
      <c r="EH174" s="13">
        <v>45423</v>
      </c>
      <c r="EI174" s="13">
        <v>46083</v>
      </c>
      <c r="EJ174" s="13">
        <v>46084</v>
      </c>
      <c r="EK174" s="13">
        <v>46085</v>
      </c>
      <c r="EL174" s="14">
        <f t="shared" si="546"/>
        <v>46450</v>
      </c>
      <c r="EM174" s="65">
        <f t="shared" ca="1" si="489"/>
        <v>319</v>
      </c>
      <c r="EN174" s="15" t="str">
        <f t="shared" ca="1" si="490"/>
        <v>VIGENTE</v>
      </c>
      <c r="EO174" s="14">
        <v>45337</v>
      </c>
      <c r="EP174" s="14">
        <v>45995</v>
      </c>
      <c r="EQ174" s="14">
        <f>DATE(YEAR(EP174)+2,MONTH(EP174),DAY(EP174))</f>
        <v>46725</v>
      </c>
      <c r="ER174" s="65">
        <f t="shared" ca="1" si="491"/>
        <v>594</v>
      </c>
      <c r="ES174" s="15" t="str">
        <f t="shared" ca="1" si="492"/>
        <v>VIGENTE</v>
      </c>
      <c r="ET174" s="16"/>
      <c r="EU174" s="14">
        <v>45999</v>
      </c>
      <c r="EV174" s="14">
        <f>DATE(YEAR(EU174)+2,MONTH(EU174),DAY(EU174))</f>
        <v>46729</v>
      </c>
      <c r="EW174" s="65">
        <f t="shared" ca="1" si="493"/>
        <v>598</v>
      </c>
      <c r="EX174" s="15" t="str">
        <f t="shared" ca="1" si="494"/>
        <v>VIGENTE</v>
      </c>
      <c r="EY174" s="14">
        <v>45373</v>
      </c>
      <c r="EZ174" s="14">
        <v>46037</v>
      </c>
      <c r="FA174" s="14">
        <f>DATE(YEAR(EZ174)+2,MONTH(EZ174),DAY(EZ174))</f>
        <v>46767</v>
      </c>
      <c r="FB174" s="65">
        <f t="shared" ca="1" si="495"/>
        <v>636</v>
      </c>
      <c r="FC174" s="15" t="str">
        <f t="shared" ca="1" si="496"/>
        <v>VIGENTE</v>
      </c>
      <c r="FD174" s="16"/>
      <c r="FE174" s="14">
        <v>46091</v>
      </c>
      <c r="FF174" s="14">
        <f>DATE(YEAR(FE174)+2,MONTH(FE174),DAY(FE174))</f>
        <v>46822</v>
      </c>
      <c r="FG174" s="65">
        <f t="shared" ca="1" si="497"/>
        <v>691</v>
      </c>
      <c r="FH174" s="15" t="str">
        <f t="shared" ca="1" si="498"/>
        <v>VIGENTE</v>
      </c>
      <c r="FI174" s="16"/>
      <c r="FJ174" s="14">
        <v>45992</v>
      </c>
      <c r="FK174" s="14">
        <f>DATE(YEAR(FJ174)+2,MONTH(FJ174),DAY(FJ174))</f>
        <v>46722</v>
      </c>
      <c r="FL174" s="65">
        <f t="shared" ca="1" si="499"/>
        <v>591</v>
      </c>
      <c r="FM174" s="15" t="str">
        <f t="shared" ca="1" si="500"/>
        <v>VIGENTE</v>
      </c>
      <c r="FN174" s="14"/>
      <c r="FO174" s="14">
        <v>46102</v>
      </c>
      <c r="FP174" s="14">
        <f>DATE(YEAR(FO174)+2,MONTH(FO174),DAY(FO174))</f>
        <v>46833</v>
      </c>
      <c r="FQ174" s="65">
        <f t="shared" ca="1" si="501"/>
        <v>702</v>
      </c>
      <c r="FR174" s="15" t="str">
        <f t="shared" ca="1" si="502"/>
        <v>VIGENTE</v>
      </c>
      <c r="FS174" s="14">
        <v>45358</v>
      </c>
      <c r="FT174" s="14">
        <v>46034</v>
      </c>
      <c r="FU174" s="14">
        <f>DATE(YEAR(FT174)+2,MONTH(FT174),DAY(FT174))</f>
        <v>46764</v>
      </c>
      <c r="FV174" s="65">
        <f t="shared" ca="1" si="503"/>
        <v>633</v>
      </c>
      <c r="FW174" s="15" t="str">
        <f t="shared" ca="1" si="504"/>
        <v>VIGENTE</v>
      </c>
      <c r="FX174" s="14"/>
      <c r="FY174" s="14">
        <v>46014</v>
      </c>
      <c r="FZ174" s="14">
        <f>DATE(YEAR(FY174)+2,MONTH(FY174),DAY(FY174))</f>
        <v>46744</v>
      </c>
      <c r="GA174" s="65">
        <f t="shared" ca="1" si="505"/>
        <v>613</v>
      </c>
      <c r="GB174" s="15" t="str">
        <f t="shared" ca="1" si="506"/>
        <v>VIGENTE</v>
      </c>
      <c r="GC174" s="14">
        <v>45371</v>
      </c>
      <c r="GD174" s="14">
        <v>46030</v>
      </c>
      <c r="GE174" s="14">
        <f>DATE(YEAR(GD174)+2,MONTH(GD174),DAY(GD174))</f>
        <v>46760</v>
      </c>
      <c r="GF174" s="65">
        <f t="shared" ca="1" si="507"/>
        <v>629</v>
      </c>
      <c r="GG174" s="15" t="str">
        <f t="shared" ca="1" si="508"/>
        <v>VIGENTE</v>
      </c>
      <c r="GH174" s="14"/>
      <c r="GI174" s="14">
        <v>46079</v>
      </c>
      <c r="GJ174" s="14">
        <f>DATE(YEAR(GI174)+2,MONTH(GI174),DAY(GI174))</f>
        <v>46809</v>
      </c>
      <c r="GK174" s="65">
        <f t="shared" ca="1" si="509"/>
        <v>678</v>
      </c>
      <c r="GL174" s="15" t="str">
        <f t="shared" ca="1" si="510"/>
        <v>VIGENTE</v>
      </c>
      <c r="GM174" s="13">
        <v>45368</v>
      </c>
      <c r="GN174" s="14">
        <v>46044</v>
      </c>
      <c r="GO174" s="14">
        <f>DATE(YEAR(GN174)+2,MONTH(GN174),DAY(GN174))</f>
        <v>46774</v>
      </c>
      <c r="GP174" s="65">
        <f t="shared" ca="1" si="511"/>
        <v>643</v>
      </c>
      <c r="GQ174" s="15" t="str">
        <f t="shared" ca="1" si="512"/>
        <v>VIGENTE</v>
      </c>
      <c r="GR174" s="14"/>
      <c r="GS174" s="14">
        <v>45367</v>
      </c>
      <c r="GT174" s="14">
        <f t="shared" si="513"/>
        <v>47193</v>
      </c>
      <c r="GU174" s="65">
        <f t="shared" ca="1" si="591"/>
        <v>1062</v>
      </c>
      <c r="GV174" s="15" t="str">
        <f t="shared" ca="1" si="596"/>
        <v>VIGENTE</v>
      </c>
      <c r="GW174" s="14"/>
      <c r="GX174" s="14">
        <v>45342</v>
      </c>
      <c r="GY174" s="14">
        <f t="shared" si="514"/>
        <v>47169</v>
      </c>
      <c r="GZ174" s="65">
        <f t="shared" ca="1" si="515"/>
        <v>1038</v>
      </c>
      <c r="HA174" s="15" t="str">
        <f t="shared" ca="1" si="418"/>
        <v>VIGENTE</v>
      </c>
      <c r="HB174" s="16"/>
      <c r="HC174" s="14">
        <v>45348</v>
      </c>
      <c r="HD174" s="14">
        <f t="shared" si="516"/>
        <v>47175</v>
      </c>
      <c r="HE174" s="65">
        <f t="shared" ca="1" si="517"/>
        <v>1044</v>
      </c>
      <c r="HF174" s="15" t="str">
        <f t="shared" ca="1" si="597"/>
        <v>VIGENTE</v>
      </c>
      <c r="HG174" s="16"/>
      <c r="HH174" s="14">
        <v>45404</v>
      </c>
      <c r="HI174" s="14">
        <f t="shared" si="593"/>
        <v>47230</v>
      </c>
      <c r="HJ174" s="65">
        <f t="shared" ca="1" si="594"/>
        <v>1099</v>
      </c>
      <c r="HK174" s="15" t="str">
        <f t="shared" ca="1" si="419"/>
        <v>VIGENTE</v>
      </c>
      <c r="HL174" s="16"/>
      <c r="HM174" s="16"/>
      <c r="HN174" s="14"/>
      <c r="HO174" s="65"/>
      <c r="HP174" s="15" t="str">
        <f t="shared" si="437"/>
        <v>NO APLICA</v>
      </c>
      <c r="HQ174" s="12"/>
      <c r="HR174" s="12"/>
      <c r="HS174" s="14"/>
      <c r="HT174" s="12"/>
      <c r="HU174" s="15" t="str">
        <f t="shared" si="518"/>
        <v>NO APLICA</v>
      </c>
      <c r="HV174" s="16"/>
      <c r="HW174" s="14">
        <v>45359</v>
      </c>
      <c r="HX174" s="14">
        <f>DATE(YEAR(HW174)+5,MONTH(HW174),DAY(HW174))</f>
        <v>47185</v>
      </c>
      <c r="HY174" s="65">
        <f ca="1">HX174-TODAY()</f>
        <v>1054</v>
      </c>
      <c r="HZ174" s="15" t="str">
        <f t="shared" ca="1" si="519"/>
        <v>VIGENTE</v>
      </c>
      <c r="IA174" s="16"/>
      <c r="IB174" s="14">
        <v>45360</v>
      </c>
      <c r="IC174" s="14">
        <f>DATE(YEAR(IB174)+5,MONTH(IB174),DAY(IB174))</f>
        <v>47186</v>
      </c>
      <c r="ID174" s="65">
        <f ca="1">IC174-TODAY()</f>
        <v>1055</v>
      </c>
      <c r="IE174" s="15" t="str">
        <f t="shared" ca="1" si="520"/>
        <v>VIGENTE</v>
      </c>
      <c r="IF174" s="16"/>
      <c r="IG174" s="16"/>
      <c r="IH174" s="14"/>
      <c r="II174" s="65"/>
      <c r="IJ174" s="15" t="str">
        <f t="shared" si="521"/>
        <v>NO APLICA</v>
      </c>
      <c r="IK174" s="16"/>
      <c r="IL174" s="14">
        <v>45399</v>
      </c>
      <c r="IM174" s="14">
        <f>DATE(YEAR(IL174)+5,MONTH(IL174),DAY(IL174))</f>
        <v>47225</v>
      </c>
      <c r="IN174" s="65">
        <f ca="1">IM174-TODAY()</f>
        <v>1094</v>
      </c>
      <c r="IO174" s="15" t="str">
        <f t="shared" ca="1" si="522"/>
        <v>VIGENTE</v>
      </c>
      <c r="IP174" s="16"/>
      <c r="IQ174" s="14">
        <v>45349</v>
      </c>
      <c r="IR174" s="14">
        <f>DATE(YEAR(IQ174)+5,MONTH(IQ174),DAY(IQ174))</f>
        <v>47176</v>
      </c>
      <c r="IS174" s="65">
        <f ca="1">IR174-TODAY()</f>
        <v>1045</v>
      </c>
      <c r="IT174" s="15" t="str">
        <f t="shared" ca="1" si="523"/>
        <v>VIGENTE</v>
      </c>
      <c r="IU174" s="16"/>
      <c r="IV174" s="14">
        <v>45338</v>
      </c>
      <c r="IW174" s="14">
        <f>DATE(YEAR(IV174)+5,MONTH(IV174),DAY(IV174))</f>
        <v>47165</v>
      </c>
      <c r="IX174" s="65">
        <f ca="1">IW174-TODAY()</f>
        <v>1034</v>
      </c>
      <c r="IY174" s="15" t="str">
        <f t="shared" ca="1" si="524"/>
        <v>VIGENTE</v>
      </c>
      <c r="IZ174" s="16"/>
      <c r="JA174" s="14">
        <v>45339</v>
      </c>
      <c r="JB174" s="14">
        <f>DATE(YEAR(JA174)+5,MONTH(JA174),DAY(JA174))</f>
        <v>47166</v>
      </c>
      <c r="JC174" s="65">
        <f ca="1">JB174-TODAY()</f>
        <v>1035</v>
      </c>
      <c r="JD174" s="15" t="str">
        <f t="shared" ca="1" si="525"/>
        <v>VIGENTE</v>
      </c>
      <c r="JE174" s="13"/>
      <c r="JF174" s="13"/>
      <c r="JG174" s="14"/>
      <c r="JH174" s="65"/>
      <c r="JI174" s="15" t="str">
        <f t="shared" si="526"/>
        <v>NO APLICA</v>
      </c>
      <c r="JJ174" s="16"/>
      <c r="JK174" s="16"/>
      <c r="JL174" s="16"/>
      <c r="JM174" s="15" t="str">
        <f t="shared" si="527"/>
        <v>NO APLICA</v>
      </c>
      <c r="JN174" s="16"/>
      <c r="JO174" s="16"/>
      <c r="JP174" s="16"/>
      <c r="JQ174" s="15" t="str">
        <f t="shared" si="528"/>
        <v>NO APLICA</v>
      </c>
      <c r="JR174" s="16"/>
      <c r="JS174" s="16"/>
      <c r="JT174" s="16"/>
      <c r="JU174" s="16"/>
      <c r="JV174" s="15" t="str">
        <f t="shared" si="529"/>
        <v>NO APLICA</v>
      </c>
      <c r="JW174" s="15"/>
      <c r="JX174" s="15"/>
      <c r="JY174" s="15"/>
      <c r="JZ174" s="15"/>
      <c r="KA174" s="15" t="str">
        <f t="shared" si="530"/>
        <v>NO APLICA</v>
      </c>
      <c r="KB174" s="12"/>
      <c r="KC174" s="14"/>
      <c r="KD174" s="65"/>
      <c r="KE174" s="15" t="str">
        <f t="shared" si="531"/>
        <v>NO APLICA</v>
      </c>
      <c r="KF174" s="16"/>
      <c r="KG174" s="14"/>
      <c r="KH174" s="65"/>
      <c r="KI174" s="15" t="str">
        <f t="shared" si="547"/>
        <v>NO APLICA</v>
      </c>
      <c r="KJ174" s="12"/>
      <c r="KK174" s="14"/>
      <c r="KL174" s="65"/>
      <c r="KM174" s="15" t="str">
        <f t="shared" si="532"/>
        <v>NO APLICA</v>
      </c>
      <c r="KN174" s="13">
        <v>45346</v>
      </c>
      <c r="KO174" s="14">
        <f>DATE(YEAR(KN174)+5,MONTH(KN174),DAY(KN174))</f>
        <v>47173</v>
      </c>
      <c r="KP174" s="65">
        <f ca="1">KO174-TODAY()</f>
        <v>1042</v>
      </c>
      <c r="KQ174" s="15" t="str">
        <f t="shared" ca="1" si="548"/>
        <v>VIGENTE</v>
      </c>
      <c r="KR174" s="16"/>
      <c r="KS174" s="16"/>
      <c r="KT174" s="14"/>
      <c r="KU174" s="16"/>
      <c r="KV174" s="15" t="str">
        <f t="shared" si="554"/>
        <v>NO APLICA</v>
      </c>
      <c r="KW174" s="16"/>
      <c r="KX174" s="14"/>
      <c r="KY174" s="16"/>
      <c r="KZ174" s="15" t="str">
        <f t="shared" si="549"/>
        <v>NO APLICA</v>
      </c>
      <c r="LA174" s="16"/>
      <c r="LB174" s="16"/>
      <c r="LC174" s="16"/>
      <c r="LD174" s="16"/>
      <c r="LE174" s="15" t="str">
        <f t="shared" si="590"/>
        <v>NO APLICA</v>
      </c>
      <c r="LF174" s="15"/>
      <c r="LG174" s="15"/>
      <c r="LH174" s="14"/>
      <c r="LI174" s="65"/>
      <c r="LJ174" s="15" t="str">
        <f t="shared" si="555"/>
        <v>NO APLICA</v>
      </c>
      <c r="LK174" s="16"/>
      <c r="LL174" s="16"/>
      <c r="LM174" s="14"/>
      <c r="LN174" s="65"/>
      <c r="LO174" s="15" t="str">
        <f t="shared" si="550"/>
        <v>NO APLICA</v>
      </c>
      <c r="LP174" s="16"/>
      <c r="LQ174" s="16"/>
      <c r="LR174" s="14"/>
      <c r="LS174" s="16"/>
      <c r="LT174" s="15" t="str">
        <f t="shared" si="551"/>
        <v>NO APLICA</v>
      </c>
      <c r="LU174" s="16"/>
      <c r="LV174" s="16"/>
      <c r="LW174" s="14"/>
      <c r="LX174" s="16"/>
      <c r="LY174" s="15" t="str">
        <f t="shared" si="552"/>
        <v>NO APLICA</v>
      </c>
      <c r="LZ174" s="16"/>
      <c r="MA174" s="16"/>
      <c r="MB174" s="14"/>
      <c r="MC174" s="16"/>
      <c r="MD174" s="15" t="str">
        <f t="shared" si="534"/>
        <v>NO APLICA</v>
      </c>
      <c r="ME174" s="16"/>
      <c r="MF174" s="16"/>
      <c r="MG174" s="14"/>
      <c r="MH174" s="16"/>
      <c r="MI174" s="15" t="str">
        <f t="shared" si="535"/>
        <v>NO APLICA</v>
      </c>
      <c r="MJ174" s="16"/>
      <c r="MK174" s="14"/>
      <c r="ML174" s="16"/>
      <c r="MM174" s="15" t="str">
        <f t="shared" si="536"/>
        <v>NO APLICA</v>
      </c>
      <c r="MN174" s="16"/>
      <c r="MO174" s="16"/>
      <c r="MP174" s="16"/>
      <c r="MQ174" s="15" t="str">
        <f t="shared" si="537"/>
        <v>NO APLICA</v>
      </c>
      <c r="MR174" s="16"/>
      <c r="MS174" s="16"/>
      <c r="MT174" s="14"/>
      <c r="MU174" s="16"/>
      <c r="MV174" s="15" t="str">
        <f t="shared" si="538"/>
        <v>NO APLICA</v>
      </c>
      <c r="MW174" s="16"/>
      <c r="MX174" s="16"/>
      <c r="MY174" s="14"/>
      <c r="MZ174" s="16"/>
      <c r="NA174" s="15" t="str">
        <f t="shared" si="539"/>
        <v>NO APLICA</v>
      </c>
      <c r="NB174" s="16"/>
      <c r="NC174" s="16"/>
      <c r="ND174" s="14"/>
      <c r="NE174" s="16"/>
      <c r="NF174" s="15" t="str">
        <f t="shared" si="540"/>
        <v>NO APLICA</v>
      </c>
      <c r="NG174" s="16"/>
      <c r="NH174" s="16"/>
      <c r="NI174" s="14"/>
      <c r="NJ174" s="16"/>
      <c r="NK174" s="15" t="str">
        <f t="shared" si="541"/>
        <v>NO APLICA</v>
      </c>
      <c r="NL174" s="16"/>
      <c r="NM174" s="16"/>
      <c r="NN174" s="14"/>
      <c r="NO174" s="16"/>
      <c r="NP174" s="15" t="str">
        <f t="shared" si="542"/>
        <v>NO APLICA</v>
      </c>
      <c r="NQ174" s="16"/>
      <c r="NR174" s="16"/>
      <c r="NS174" s="14"/>
      <c r="NT174" s="65"/>
      <c r="NU174" s="15" t="str">
        <f t="shared" si="543"/>
        <v>NO APLICA</v>
      </c>
      <c r="NV174" s="16"/>
      <c r="NW174" s="16"/>
      <c r="NX174" s="16"/>
      <c r="NY174" s="16"/>
      <c r="NZ174" s="15" t="str">
        <f t="shared" si="544"/>
        <v>NO APLICA</v>
      </c>
    </row>
    <row r="175" spans="1:390" ht="15.6" thickTop="1" thickBot="1" x14ac:dyDescent="0.35">
      <c r="A175" s="9">
        <v>1118</v>
      </c>
      <c r="B175" s="10" t="s">
        <v>622</v>
      </c>
      <c r="C175" s="21" t="s">
        <v>104</v>
      </c>
      <c r="D175" s="64" t="s">
        <v>110</v>
      </c>
      <c r="E175" s="16"/>
      <c r="F175" s="16"/>
      <c r="G175" s="16"/>
      <c r="H175" s="16"/>
      <c r="I175" s="15" t="str">
        <f t="shared" si="448"/>
        <v>NO APLICA</v>
      </c>
      <c r="J175" s="16"/>
      <c r="K175" s="16"/>
      <c r="L175" s="16"/>
      <c r="M175" s="16"/>
      <c r="N175" s="15" t="str">
        <f t="shared" si="449"/>
        <v>NO APLICA</v>
      </c>
      <c r="O175" s="14">
        <v>45821</v>
      </c>
      <c r="P175" s="14">
        <v>45822</v>
      </c>
      <c r="Q175" s="14">
        <f>DATE(YEAR(P175)+2,MONTH(P175),DAY(P175)-1)</f>
        <v>46551</v>
      </c>
      <c r="R175" s="65">
        <f ca="1">Q175-TODAY()</f>
        <v>420</v>
      </c>
      <c r="S175" s="15" t="str">
        <f t="shared" ca="1" si="545"/>
        <v>VIGENTE</v>
      </c>
      <c r="T175" s="16" t="s">
        <v>623</v>
      </c>
      <c r="U175" s="14">
        <v>45692</v>
      </c>
      <c r="V175" s="14">
        <v>45693</v>
      </c>
      <c r="W175" s="14">
        <f t="shared" si="577"/>
        <v>47519</v>
      </c>
      <c r="X175" s="65">
        <f t="shared" ca="1" si="578"/>
        <v>1388</v>
      </c>
      <c r="Y175" s="15" t="str">
        <f t="shared" ca="1" si="595"/>
        <v>VIGENTE</v>
      </c>
      <c r="Z175" s="16"/>
      <c r="AA175" s="16"/>
      <c r="AB175" s="16"/>
      <c r="AC175" s="14"/>
      <c r="AD175" s="65"/>
      <c r="AE175" s="68" t="str">
        <f>IF(AD175&gt;=91,"VIGENTE",IF(AD175&gt;=1,"POR VENCER",IF(AD175&lt;=-1,"VENCIDA",IF(AB175=0,"PENDIENTE"))))</f>
        <v>PENDIENTE</v>
      </c>
      <c r="AF175" s="16"/>
      <c r="AG175" s="14">
        <v>45609</v>
      </c>
      <c r="AH175" s="14">
        <f>DATE(YEAR(AG175)+2,MONTH(AG175),DAY(AG175)-1)</f>
        <v>46338</v>
      </c>
      <c r="AI175" s="65">
        <f t="shared" ca="1" si="450"/>
        <v>207</v>
      </c>
      <c r="AJ175" s="15" t="str">
        <f t="shared" ca="1" si="592"/>
        <v>VIGENTE</v>
      </c>
      <c r="AK175" s="16"/>
      <c r="AL175" s="14">
        <v>45602</v>
      </c>
      <c r="AM175" s="14">
        <f>DATE(YEAR(AL175)+2,MONTH(AL175),DAY(AL175)-1)</f>
        <v>46331</v>
      </c>
      <c r="AN175" s="65">
        <f t="shared" ca="1" si="451"/>
        <v>200</v>
      </c>
      <c r="AO175" s="15" t="str">
        <f t="shared" ca="1" si="452"/>
        <v>VIGENTE</v>
      </c>
      <c r="AP175" s="16"/>
      <c r="AQ175" s="14">
        <v>45640</v>
      </c>
      <c r="AR175" s="14">
        <f>DATE(YEAR(AQ175)+2,MONTH(AQ175),DAY(AQ175)-1)</f>
        <v>46369</v>
      </c>
      <c r="AS175" s="65">
        <f t="shared" ca="1" si="453"/>
        <v>238</v>
      </c>
      <c r="AT175" s="15" t="str">
        <f t="shared" ca="1" si="454"/>
        <v>VIGENTE</v>
      </c>
      <c r="AU175" s="16"/>
      <c r="AV175" s="14">
        <v>45644</v>
      </c>
      <c r="AW175" s="14">
        <f>DATE(YEAR(AV175)+2,MONTH(AV175),DAY(AV175)-1)</f>
        <v>46373</v>
      </c>
      <c r="AX175" s="65">
        <f t="shared" ca="1" si="455"/>
        <v>242</v>
      </c>
      <c r="AY175" s="15" t="str">
        <f t="shared" ca="1" si="456"/>
        <v>VIGENTE</v>
      </c>
      <c r="AZ175" s="14"/>
      <c r="BA175" s="14">
        <v>45603</v>
      </c>
      <c r="BB175" s="14">
        <f>DATE(YEAR(BA175)+2,MONTH(BA175),DAY(BA175)-1)</f>
        <v>46332</v>
      </c>
      <c r="BC175" s="65">
        <f t="shared" ca="1" si="457"/>
        <v>201</v>
      </c>
      <c r="BD175" s="15" t="str">
        <f t="shared" ca="1" si="458"/>
        <v>VIGENTE</v>
      </c>
      <c r="BE175" s="16"/>
      <c r="BF175" s="14">
        <v>45643</v>
      </c>
      <c r="BG175" s="14">
        <f>DATE(YEAR(BF175)+2,MONTH(BF175),DAY(BF175)-1)</f>
        <v>46372</v>
      </c>
      <c r="BH175" s="65">
        <f t="shared" ca="1" si="459"/>
        <v>241</v>
      </c>
      <c r="BI175" s="15" t="str">
        <f t="shared" ca="1" si="460"/>
        <v>VIGENTE</v>
      </c>
      <c r="BJ175" s="14"/>
      <c r="BK175" s="14">
        <v>45699</v>
      </c>
      <c r="BL175" s="14">
        <f>DATE(YEAR(BK175)+2,MONTH(BK175),DAY(BK175)-1)</f>
        <v>46428</v>
      </c>
      <c r="BM175" s="65">
        <f t="shared" ca="1" si="461"/>
        <v>297</v>
      </c>
      <c r="BN175" s="15" t="str">
        <f t="shared" ca="1" si="462"/>
        <v>VIGENTE</v>
      </c>
      <c r="BO175" s="14"/>
      <c r="BP175" s="14">
        <v>45701</v>
      </c>
      <c r="BQ175" s="14">
        <f>DATE(YEAR(BP175)+2,MONTH(BP175),DAY(BP175)-1)</f>
        <v>46430</v>
      </c>
      <c r="BR175" s="65">
        <f t="shared" ca="1" si="463"/>
        <v>299</v>
      </c>
      <c r="BS175" s="15" t="str">
        <f t="shared" ca="1" si="464"/>
        <v>VIGENTE</v>
      </c>
      <c r="BT175" s="16"/>
      <c r="BU175" s="14">
        <v>45695</v>
      </c>
      <c r="BV175" s="14">
        <f>DATE(YEAR(BU175)+2,MONTH(BU175),DAY(BU175)-1)</f>
        <v>46424</v>
      </c>
      <c r="BW175" s="65">
        <f t="shared" ca="1" si="465"/>
        <v>293</v>
      </c>
      <c r="BX175" s="15" t="str">
        <f t="shared" ca="1" si="466"/>
        <v>VIGENTE</v>
      </c>
      <c r="BY175" s="16"/>
      <c r="BZ175" s="14">
        <v>45730</v>
      </c>
      <c r="CA175" s="14">
        <f>DATE(YEAR(BZ175)+2,MONTH(BZ175),DAY(BZ175)-1)</f>
        <v>46459</v>
      </c>
      <c r="CB175" s="65">
        <f t="shared" ca="1" si="467"/>
        <v>328</v>
      </c>
      <c r="CC175" s="15" t="str">
        <f t="shared" ca="1" si="468"/>
        <v>VIGENTE</v>
      </c>
      <c r="CD175" s="16" t="s">
        <v>102</v>
      </c>
      <c r="CE175" s="14">
        <v>45722</v>
      </c>
      <c r="CF175" s="14">
        <v>45723</v>
      </c>
      <c r="CG175" s="14">
        <f t="shared" si="580"/>
        <v>47184</v>
      </c>
      <c r="CH175" s="65">
        <f t="shared" ca="1" si="581"/>
        <v>1053</v>
      </c>
      <c r="CI175" s="15" t="str">
        <f t="shared" ca="1" si="562"/>
        <v>VIGENTE</v>
      </c>
      <c r="CJ175" s="16"/>
      <c r="CK175" s="14">
        <v>45688</v>
      </c>
      <c r="CL175" s="14">
        <f>DATE(YEAR(CK175)+2,MONTH(CK175),DAY(CK175)-1)</f>
        <v>46417</v>
      </c>
      <c r="CM175" s="65">
        <f t="shared" ca="1" si="469"/>
        <v>286</v>
      </c>
      <c r="CN175" s="15" t="str">
        <f t="shared" ca="1" si="470"/>
        <v>VIGENTE</v>
      </c>
      <c r="CO175" s="16"/>
      <c r="CP175" s="14">
        <v>45684</v>
      </c>
      <c r="CQ175" s="14">
        <f>DATE(YEAR(CP175)+2,MONTH(CP175),DAY(CP175)-1)</f>
        <v>46413</v>
      </c>
      <c r="CR175" s="65">
        <f t="shared" ca="1" si="471"/>
        <v>282</v>
      </c>
      <c r="CS175" s="15" t="str">
        <f t="shared" ca="1" si="472"/>
        <v>VIGENTE</v>
      </c>
      <c r="CT175" s="16"/>
      <c r="CU175" s="14">
        <v>45639</v>
      </c>
      <c r="CV175" s="14">
        <f>DATE(YEAR(CU175)+2,MONTH(CU175),DAY(CU175)-1)</f>
        <v>46368</v>
      </c>
      <c r="CW175" s="65">
        <f t="shared" ca="1" si="473"/>
        <v>237</v>
      </c>
      <c r="CX175" s="15" t="str">
        <f t="shared" ca="1" si="474"/>
        <v>VIGENTE</v>
      </c>
      <c r="CY175" s="14"/>
      <c r="CZ175" s="14">
        <v>45646</v>
      </c>
      <c r="DA175" s="14">
        <f>DATE(YEAR(CZ175)+2,MONTH(CZ175),DAY(CZ175)-1)</f>
        <v>46375</v>
      </c>
      <c r="DB175" s="65">
        <f t="shared" ca="1" si="475"/>
        <v>244</v>
      </c>
      <c r="DC175" s="15" t="str">
        <f t="shared" ca="1" si="476"/>
        <v>VIGENTE</v>
      </c>
      <c r="DD175" s="14"/>
      <c r="DE175" s="14">
        <v>45689</v>
      </c>
      <c r="DF175" s="14">
        <f>DATE(YEAR(DE175)+2,MONTH(DE175),DAY(DE175)-1)</f>
        <v>46418</v>
      </c>
      <c r="DG175" s="65">
        <f t="shared" ca="1" si="477"/>
        <v>287</v>
      </c>
      <c r="DH175" s="15" t="str">
        <f t="shared" ca="1" si="478"/>
        <v>VIGENTE</v>
      </c>
      <c r="DI175" s="16"/>
      <c r="DJ175" s="14">
        <v>45696</v>
      </c>
      <c r="DK175" s="14">
        <f>DATE(YEAR(DJ175)+2,MONTH(DJ175),DAY(DJ175)-1)</f>
        <v>46425</v>
      </c>
      <c r="DL175" s="65">
        <f t="shared" ca="1" si="479"/>
        <v>294</v>
      </c>
      <c r="DM175" s="15" t="str">
        <f t="shared" ca="1" si="480"/>
        <v>VIGENTE</v>
      </c>
      <c r="DN175" s="14"/>
      <c r="DO175" s="14">
        <v>45731</v>
      </c>
      <c r="DP175" s="14">
        <f>DATE(YEAR(DO175)+2,MONTH(DO175),DAY(DO175)-1)</f>
        <v>46460</v>
      </c>
      <c r="DQ175" s="65">
        <f t="shared" ca="1" si="481"/>
        <v>329</v>
      </c>
      <c r="DR175" s="15" t="str">
        <f t="shared" ca="1" si="482"/>
        <v>VIGENTE</v>
      </c>
      <c r="DS175" s="16"/>
      <c r="DT175" s="14">
        <v>45619</v>
      </c>
      <c r="DU175" s="14">
        <f>DATE(YEAR(DT175)+2,MONTH(DT175),DAY(DT175)-1)</f>
        <v>46348</v>
      </c>
      <c r="DV175" s="65">
        <f t="shared" ca="1" si="483"/>
        <v>217</v>
      </c>
      <c r="DW175" s="15" t="str">
        <f t="shared" ca="1" si="484"/>
        <v>VIGENTE</v>
      </c>
      <c r="DX175" s="14"/>
      <c r="DY175" s="14">
        <v>45663</v>
      </c>
      <c r="DZ175" s="14">
        <f>DATE(YEAR(DY175)+2,MONTH(DY175),DAY(DY175)-1)</f>
        <v>46392</v>
      </c>
      <c r="EA175" s="65">
        <f t="shared" ca="1" si="485"/>
        <v>261</v>
      </c>
      <c r="EB175" s="15" t="str">
        <f t="shared" ca="1" si="486"/>
        <v>VIGENTE</v>
      </c>
      <c r="EC175" s="14"/>
      <c r="ED175" s="14">
        <v>45642</v>
      </c>
      <c r="EE175" s="14">
        <f>DATE(YEAR(ED175)+2,MONTH(ED175),DAY(ED175)-1)</f>
        <v>46371</v>
      </c>
      <c r="EF175" s="65">
        <f t="shared" ca="1" si="487"/>
        <v>240</v>
      </c>
      <c r="EG175" s="15" t="str">
        <f t="shared" ca="1" si="488"/>
        <v>VIGENTE</v>
      </c>
      <c r="EH175" s="14">
        <v>45675</v>
      </c>
      <c r="EI175" s="14">
        <v>45810</v>
      </c>
      <c r="EJ175" s="14">
        <v>45811</v>
      </c>
      <c r="EK175" s="14">
        <v>45812</v>
      </c>
      <c r="EL175" s="14">
        <f t="shared" si="546"/>
        <v>46177</v>
      </c>
      <c r="EM175" s="65">
        <f t="shared" ca="1" si="489"/>
        <v>46</v>
      </c>
      <c r="EN175" s="15" t="str">
        <f t="shared" ca="1" si="490"/>
        <v>POR VENCER</v>
      </c>
      <c r="EO175" s="14"/>
      <c r="EP175" s="14">
        <v>45612</v>
      </c>
      <c r="EQ175" s="14">
        <f>DATE(YEAR(EP175)+2,MONTH(EP175),DAY(EP175)-1)</f>
        <v>46341</v>
      </c>
      <c r="ER175" s="65">
        <f t="shared" ca="1" si="491"/>
        <v>210</v>
      </c>
      <c r="ES175" s="15" t="str">
        <f t="shared" ca="1" si="492"/>
        <v>VIGENTE</v>
      </c>
      <c r="ET175" s="16"/>
      <c r="EU175" s="14">
        <v>45677</v>
      </c>
      <c r="EV175" s="14">
        <f>DATE(YEAR(EU175)+2,MONTH(EU175),DAY(EU175)-1)</f>
        <v>46406</v>
      </c>
      <c r="EW175" s="65">
        <f t="shared" ca="1" si="493"/>
        <v>275</v>
      </c>
      <c r="EX175" s="15" t="str">
        <f t="shared" ca="1" si="494"/>
        <v>VIGENTE</v>
      </c>
      <c r="EY175" s="16"/>
      <c r="EZ175" s="14">
        <v>45610</v>
      </c>
      <c r="FA175" s="14">
        <f>DATE(YEAR(EZ175)+2,MONTH(EZ175),DAY(EZ175)-1)</f>
        <v>46339</v>
      </c>
      <c r="FB175" s="65">
        <f t="shared" ca="1" si="495"/>
        <v>208</v>
      </c>
      <c r="FC175" s="15" t="str">
        <f t="shared" ca="1" si="496"/>
        <v>VIGENTE</v>
      </c>
      <c r="FD175" s="16"/>
      <c r="FE175" s="14">
        <v>45611</v>
      </c>
      <c r="FF175" s="14">
        <f>DATE(YEAR(FE175)+2,MONTH(FE175),DAY(FE175)-1)</f>
        <v>46340</v>
      </c>
      <c r="FG175" s="65">
        <f t="shared" ca="1" si="497"/>
        <v>209</v>
      </c>
      <c r="FH175" s="15" t="str">
        <f t="shared" ca="1" si="498"/>
        <v>VIGENTE</v>
      </c>
      <c r="FI175" s="16"/>
      <c r="FJ175" s="14">
        <v>45668</v>
      </c>
      <c r="FK175" s="14">
        <f>DATE(YEAR(FJ175)+2,MONTH(FJ175),DAY(FJ175)-1)</f>
        <v>46397</v>
      </c>
      <c r="FL175" s="65">
        <f t="shared" ca="1" si="499"/>
        <v>266</v>
      </c>
      <c r="FM175" s="15" t="str">
        <f t="shared" ca="1" si="500"/>
        <v>VIGENTE</v>
      </c>
      <c r="FN175" s="14"/>
      <c r="FO175" s="14">
        <v>45637</v>
      </c>
      <c r="FP175" s="14">
        <f>DATE(YEAR(FO175)+2,MONTH(FO175),DAY(FO175)-1)</f>
        <v>46366</v>
      </c>
      <c r="FQ175" s="65">
        <f t="shared" ca="1" si="501"/>
        <v>235</v>
      </c>
      <c r="FR175" s="15" t="str">
        <f t="shared" ca="1" si="502"/>
        <v>VIGENTE</v>
      </c>
      <c r="FS175" s="14"/>
      <c r="FT175" s="14">
        <v>45605</v>
      </c>
      <c r="FU175" s="14">
        <f>DATE(YEAR(FT175)+2,MONTH(FT175),DAY(FT175)-1)</f>
        <v>46334</v>
      </c>
      <c r="FV175" s="65">
        <f t="shared" ca="1" si="503"/>
        <v>203</v>
      </c>
      <c r="FW175" s="15" t="str">
        <f t="shared" ca="1" si="504"/>
        <v>VIGENTE</v>
      </c>
      <c r="FX175" s="14"/>
      <c r="FY175" s="14">
        <v>45700</v>
      </c>
      <c r="FZ175" s="14">
        <f>DATE(YEAR(FY175)+2,MONTH(FY175),DAY(FY175)-1)</f>
        <v>46429</v>
      </c>
      <c r="GA175" s="65">
        <f t="shared" ca="1" si="505"/>
        <v>298</v>
      </c>
      <c r="GB175" s="15" t="str">
        <f t="shared" ca="1" si="506"/>
        <v>VIGENTE</v>
      </c>
      <c r="GC175" s="14"/>
      <c r="GD175" s="14">
        <v>45626</v>
      </c>
      <c r="GE175" s="14">
        <f>DATE(YEAR(GD175)+2,MONTH(GD175),DAY(GD175)-1)</f>
        <v>46355</v>
      </c>
      <c r="GF175" s="65">
        <f t="shared" ca="1" si="507"/>
        <v>224</v>
      </c>
      <c r="GG175" s="15" t="str">
        <f t="shared" ca="1" si="508"/>
        <v>VIGENTE</v>
      </c>
      <c r="GH175" s="14"/>
      <c r="GI175" s="14">
        <v>45672</v>
      </c>
      <c r="GJ175" s="14">
        <f>DATE(YEAR(GI175)+2,MONTH(GI175),DAY(GI175)-1)</f>
        <v>46401</v>
      </c>
      <c r="GK175" s="65">
        <f t="shared" ca="1" si="509"/>
        <v>270</v>
      </c>
      <c r="GL175" s="15" t="str">
        <f t="shared" ca="1" si="510"/>
        <v>VIGENTE</v>
      </c>
      <c r="GM175" s="14"/>
      <c r="GN175" s="14">
        <v>45608</v>
      </c>
      <c r="GO175" s="14">
        <f>DATE(YEAR(GN175)+2,MONTH(GN175),DAY(GN175)-1)</f>
        <v>46337</v>
      </c>
      <c r="GP175" s="65">
        <f t="shared" ca="1" si="511"/>
        <v>206</v>
      </c>
      <c r="GQ175" s="15" t="str">
        <f t="shared" ca="1" si="512"/>
        <v>VIGENTE</v>
      </c>
      <c r="GR175" s="14"/>
      <c r="GS175" s="16"/>
      <c r="GT175" s="14">
        <f t="shared" si="513"/>
        <v>1827</v>
      </c>
      <c r="GU175" s="65">
        <f t="shared" ca="1" si="591"/>
        <v>-44304</v>
      </c>
      <c r="GV175" s="15" t="str">
        <f ca="1">IF(GU175&gt;=61,"VIGENTE",IF(GU175&gt;=1,"POR VENCER",IF(GU175&lt;=-1,"PROGRAMAR",IF(GS175=0,"NO APLICA"))))</f>
        <v>PROGRAMAR</v>
      </c>
      <c r="GW175" s="14"/>
      <c r="GX175" s="16"/>
      <c r="GY175" s="14">
        <f t="shared" si="514"/>
        <v>1827</v>
      </c>
      <c r="GZ175" s="65">
        <f t="shared" ca="1" si="515"/>
        <v>-44304</v>
      </c>
      <c r="HA175" s="15" t="str">
        <f ca="1">IF(GZ175&gt;=61,"VIGENTE",IF(GZ175&gt;=1,"POR VENCER",IF(GZ175&lt;=-1,"PROGRAMAR",IF(GX175=0,"NO APLICA"))))</f>
        <v>PROGRAMAR</v>
      </c>
      <c r="HB175" s="16"/>
      <c r="HC175" s="16"/>
      <c r="HD175" s="14">
        <f t="shared" si="516"/>
        <v>1827</v>
      </c>
      <c r="HE175" s="65">
        <f t="shared" ca="1" si="517"/>
        <v>-44304</v>
      </c>
      <c r="HF175" s="15" t="str">
        <f ca="1">IF(HE175&gt;=61,"VIGENTE",IF(HE175&gt;=1,"POR VENCER",IF(HE175&lt;=-1,"PROGRAMAR",IF(HC175=0,"NO APLICA"))))</f>
        <v>PROGRAMAR</v>
      </c>
      <c r="HG175" s="16"/>
      <c r="HH175" s="16"/>
      <c r="HI175" s="14">
        <f t="shared" si="593"/>
        <v>1827</v>
      </c>
      <c r="HJ175" s="65">
        <f t="shared" ca="1" si="594"/>
        <v>-44304</v>
      </c>
      <c r="HK175" s="15" t="str">
        <f ca="1">IF(HJ175&gt;=61,"VIGENTE",IF(HJ175&gt;=1,"POR VENCER",IF(HJ175&lt;=-1,"PROGRAMAR",IF(HH175=0,"NO APLICA"))))</f>
        <v>PROGRAMAR</v>
      </c>
      <c r="HL175" s="16"/>
      <c r="HM175" s="16"/>
      <c r="HN175" s="16"/>
      <c r="HO175" s="16"/>
      <c r="HP175" s="15" t="str">
        <f t="shared" si="437"/>
        <v>NO APLICA</v>
      </c>
      <c r="HQ175" s="16"/>
      <c r="HR175" s="16"/>
      <c r="HS175" s="16"/>
      <c r="HT175" s="16"/>
      <c r="HU175" s="15" t="str">
        <f t="shared" si="518"/>
        <v>NO APLICA</v>
      </c>
      <c r="HV175" s="16"/>
      <c r="HW175" s="16"/>
      <c r="HX175" s="16"/>
      <c r="HY175" s="16"/>
      <c r="HZ175" s="15" t="str">
        <f t="shared" si="519"/>
        <v>NO APLICA</v>
      </c>
      <c r="IA175" s="16"/>
      <c r="IB175" s="16"/>
      <c r="IC175" s="16"/>
      <c r="ID175" s="16"/>
      <c r="IE175" s="15" t="str">
        <f t="shared" si="520"/>
        <v>NO APLICA</v>
      </c>
      <c r="IF175" s="16"/>
      <c r="IG175" s="16"/>
      <c r="IH175" s="16"/>
      <c r="II175" s="16"/>
      <c r="IJ175" s="15" t="str">
        <f t="shared" si="521"/>
        <v>NO APLICA</v>
      </c>
      <c r="IK175" s="16"/>
      <c r="IL175" s="16"/>
      <c r="IM175" s="16"/>
      <c r="IN175" s="16"/>
      <c r="IO175" s="15" t="str">
        <f t="shared" si="522"/>
        <v>NO APLICA</v>
      </c>
      <c r="IP175" s="16"/>
      <c r="IQ175" s="16"/>
      <c r="IR175" s="16"/>
      <c r="IS175" s="16"/>
      <c r="IT175" s="15" t="str">
        <f t="shared" si="523"/>
        <v>NO APLICA</v>
      </c>
      <c r="IU175" s="16"/>
      <c r="IV175" s="16"/>
      <c r="IW175" s="16"/>
      <c r="IX175" s="16"/>
      <c r="IY175" s="15" t="str">
        <f t="shared" si="524"/>
        <v>NO APLICA</v>
      </c>
      <c r="IZ175" s="16"/>
      <c r="JA175" s="16"/>
      <c r="JB175" s="16"/>
      <c r="JC175" s="16"/>
      <c r="JD175" s="15" t="str">
        <f t="shared" si="525"/>
        <v>NO APLICA</v>
      </c>
      <c r="JE175" s="16"/>
      <c r="JF175" s="16"/>
      <c r="JG175" s="16"/>
      <c r="JH175" s="16"/>
      <c r="JI175" s="15" t="str">
        <f t="shared" si="526"/>
        <v>NO APLICA</v>
      </c>
      <c r="JJ175" s="16"/>
      <c r="JK175" s="16"/>
      <c r="JL175" s="16"/>
      <c r="JM175" s="15" t="str">
        <f t="shared" si="527"/>
        <v>NO APLICA</v>
      </c>
      <c r="JN175" s="16"/>
      <c r="JO175" s="16"/>
      <c r="JP175" s="16"/>
      <c r="JQ175" s="15" t="str">
        <f t="shared" si="528"/>
        <v>NO APLICA</v>
      </c>
      <c r="JR175" s="16"/>
      <c r="JS175" s="16"/>
      <c r="JT175" s="16"/>
      <c r="JU175" s="16"/>
      <c r="JV175" s="15" t="str">
        <f t="shared" si="529"/>
        <v>NO APLICA</v>
      </c>
      <c r="JW175" s="15"/>
      <c r="JX175" s="15"/>
      <c r="JY175" s="15"/>
      <c r="JZ175" s="15"/>
      <c r="KA175" s="15" t="str">
        <f t="shared" si="530"/>
        <v>NO APLICA</v>
      </c>
      <c r="KB175" s="16"/>
      <c r="KC175" s="16"/>
      <c r="KD175" s="16"/>
      <c r="KE175" s="15" t="str">
        <f t="shared" si="531"/>
        <v>NO APLICA</v>
      </c>
      <c r="KF175" s="16"/>
      <c r="KG175" s="16"/>
      <c r="KH175" s="16"/>
      <c r="KI175" s="15" t="str">
        <f t="shared" si="547"/>
        <v>NO APLICA</v>
      </c>
      <c r="KJ175" s="16"/>
      <c r="KK175" s="16"/>
      <c r="KL175" s="16"/>
      <c r="KM175" s="15" t="str">
        <f t="shared" si="532"/>
        <v>NO APLICA</v>
      </c>
      <c r="KN175" s="16"/>
      <c r="KO175" s="16"/>
      <c r="KP175" s="16"/>
      <c r="KQ175" s="15" t="str">
        <f t="shared" si="548"/>
        <v>NO APLICA</v>
      </c>
      <c r="KR175" s="16"/>
      <c r="KS175" s="16"/>
      <c r="KT175" s="16"/>
      <c r="KU175" s="16"/>
      <c r="KV175" s="15" t="str">
        <f t="shared" si="554"/>
        <v>NO APLICA</v>
      </c>
      <c r="KW175" s="16"/>
      <c r="KX175" s="16"/>
      <c r="KY175" s="16"/>
      <c r="KZ175" s="15" t="str">
        <f t="shared" si="549"/>
        <v>NO APLICA</v>
      </c>
      <c r="LA175" s="16"/>
      <c r="LB175" s="16"/>
      <c r="LC175" s="16"/>
      <c r="LD175" s="16"/>
      <c r="LE175" s="15" t="str">
        <f t="shared" si="590"/>
        <v>NO APLICA</v>
      </c>
      <c r="LF175" s="15"/>
      <c r="LG175" s="15"/>
      <c r="LH175" s="15"/>
      <c r="LI175" s="15"/>
      <c r="LJ175" s="15" t="str">
        <f t="shared" si="555"/>
        <v>NO APLICA</v>
      </c>
      <c r="LK175" s="16"/>
      <c r="LL175" s="16"/>
      <c r="LM175" s="16"/>
      <c r="LN175" s="16"/>
      <c r="LO175" s="15" t="str">
        <f t="shared" si="550"/>
        <v>NO APLICA</v>
      </c>
      <c r="LP175" s="16"/>
      <c r="LQ175" s="16"/>
      <c r="LR175" s="16"/>
      <c r="LS175" s="16"/>
      <c r="LT175" s="15" t="str">
        <f t="shared" si="551"/>
        <v>NO APLICA</v>
      </c>
      <c r="LU175" s="16"/>
      <c r="LV175" s="16"/>
      <c r="LW175" s="16"/>
      <c r="LX175" s="16"/>
      <c r="LY175" s="15" t="str">
        <f t="shared" si="552"/>
        <v>NO APLICA</v>
      </c>
      <c r="LZ175" s="16"/>
      <c r="MA175" s="16"/>
      <c r="MB175" s="16"/>
      <c r="MC175" s="16"/>
      <c r="MD175" s="15" t="str">
        <f t="shared" si="534"/>
        <v>NO APLICA</v>
      </c>
      <c r="ME175" s="16"/>
      <c r="MF175" s="16"/>
      <c r="MG175" s="16"/>
      <c r="MH175" s="16"/>
      <c r="MI175" s="15" t="str">
        <f t="shared" si="535"/>
        <v>NO APLICA</v>
      </c>
      <c r="MJ175" s="16"/>
      <c r="MK175" s="16"/>
      <c r="ML175" s="16"/>
      <c r="MM175" s="15" t="str">
        <f t="shared" si="536"/>
        <v>NO APLICA</v>
      </c>
      <c r="MN175" s="16"/>
      <c r="MO175" s="16"/>
      <c r="MP175" s="16"/>
      <c r="MQ175" s="15" t="str">
        <f t="shared" si="537"/>
        <v>NO APLICA</v>
      </c>
      <c r="MR175" s="16"/>
      <c r="MS175" s="16"/>
      <c r="MT175" s="16"/>
      <c r="MU175" s="16"/>
      <c r="MV175" s="15" t="str">
        <f t="shared" si="538"/>
        <v>NO APLICA</v>
      </c>
      <c r="MW175" s="16"/>
      <c r="MX175" s="16"/>
      <c r="MY175" s="16"/>
      <c r="MZ175" s="16"/>
      <c r="NA175" s="15" t="str">
        <f t="shared" si="539"/>
        <v>NO APLICA</v>
      </c>
      <c r="NB175" s="16"/>
      <c r="NC175" s="16"/>
      <c r="ND175" s="16"/>
      <c r="NE175" s="16"/>
      <c r="NF175" s="15" t="str">
        <f t="shared" si="540"/>
        <v>NO APLICA</v>
      </c>
      <c r="NG175" s="16"/>
      <c r="NH175" s="16"/>
      <c r="NI175" s="16"/>
      <c r="NJ175" s="16"/>
      <c r="NK175" s="15" t="str">
        <f t="shared" si="541"/>
        <v>NO APLICA</v>
      </c>
      <c r="NL175" s="16"/>
      <c r="NM175" s="16"/>
      <c r="NN175" s="16"/>
      <c r="NO175" s="16"/>
      <c r="NP175" s="15" t="str">
        <f t="shared" si="542"/>
        <v>NO APLICA</v>
      </c>
      <c r="NQ175" s="16"/>
      <c r="NR175" s="16"/>
      <c r="NS175" s="16"/>
      <c r="NT175" s="16"/>
      <c r="NU175" s="15" t="str">
        <f t="shared" si="543"/>
        <v>NO APLICA</v>
      </c>
      <c r="NV175" s="16"/>
      <c r="NW175" s="16"/>
      <c r="NX175" s="16"/>
      <c r="NY175" s="16"/>
      <c r="NZ175" s="15" t="str">
        <f t="shared" si="544"/>
        <v>NO APLICA</v>
      </c>
    </row>
    <row r="176" spans="1:390" ht="15.6" thickTop="1" thickBot="1" x14ac:dyDescent="0.35">
      <c r="A176" s="11">
        <v>1728</v>
      </c>
      <c r="B176" s="10" t="s">
        <v>624</v>
      </c>
      <c r="C176" s="21" t="s">
        <v>104</v>
      </c>
      <c r="D176" s="64" t="s">
        <v>110</v>
      </c>
      <c r="E176" s="16"/>
      <c r="F176" s="16"/>
      <c r="G176" s="16"/>
      <c r="H176" s="16"/>
      <c r="I176" s="15" t="str">
        <f t="shared" si="448"/>
        <v>NO APLICA</v>
      </c>
      <c r="J176" s="16"/>
      <c r="K176" s="16"/>
      <c r="L176" s="16"/>
      <c r="M176" s="16"/>
      <c r="N176" s="15" t="str">
        <f t="shared" si="449"/>
        <v>NO APLICA</v>
      </c>
      <c r="O176" s="18"/>
      <c r="P176" s="18"/>
      <c r="Q176" s="18"/>
      <c r="R176" s="18"/>
      <c r="S176" s="15" t="str">
        <f t="shared" si="545"/>
        <v>NO APLICA</v>
      </c>
      <c r="T176" s="16" t="s">
        <v>625</v>
      </c>
      <c r="U176" s="14">
        <v>45260</v>
      </c>
      <c r="V176" s="14">
        <v>45261</v>
      </c>
      <c r="W176" s="14">
        <f t="shared" si="577"/>
        <v>47088</v>
      </c>
      <c r="X176" s="65">
        <f t="shared" ca="1" si="578"/>
        <v>957</v>
      </c>
      <c r="Y176" s="15" t="str">
        <f t="shared" ca="1" si="595"/>
        <v>VIGENTE</v>
      </c>
      <c r="Z176" s="16" t="s">
        <v>626</v>
      </c>
      <c r="AA176" s="13">
        <v>45463</v>
      </c>
      <c r="AB176" s="14">
        <v>45464</v>
      </c>
      <c r="AC176" s="14">
        <f>DATE(YEAR(AB176)+5,MONTH(AB176),DAY(AB176))</f>
        <v>47290</v>
      </c>
      <c r="AD176" s="65">
        <f ca="1">AC176-TODAY()</f>
        <v>1159</v>
      </c>
      <c r="AE176" s="15" t="str">
        <f t="shared" ref="AE176:AE238" ca="1" si="598">IF(AD176&gt;=91,"VIGENTE",IF(AD176&gt;=1,"POR VENCER",IF(AD176&lt;=-1,"VENCIDA",IF(AB176=0,"NO APLICA"))))</f>
        <v>VIGENTE</v>
      </c>
      <c r="AF176" s="14">
        <v>45334</v>
      </c>
      <c r="AG176" s="14">
        <v>46006</v>
      </c>
      <c r="AH176" s="14">
        <f>DATE(YEAR(AG176)+2,MONTH(AG176),DAY(AG176))</f>
        <v>46736</v>
      </c>
      <c r="AI176" s="65">
        <f t="shared" ca="1" si="450"/>
        <v>605</v>
      </c>
      <c r="AJ176" s="15" t="str">
        <f t="shared" ca="1" si="592"/>
        <v>VIGENTE</v>
      </c>
      <c r="AK176" s="16"/>
      <c r="AL176" s="14">
        <v>46062</v>
      </c>
      <c r="AM176" s="14">
        <f>DATE(YEAR(AL176)+2,MONTH(AL176),DAY(AL176))</f>
        <v>46792</v>
      </c>
      <c r="AN176" s="65">
        <f t="shared" ca="1" si="451"/>
        <v>661</v>
      </c>
      <c r="AO176" s="15" t="str">
        <f t="shared" ca="1" si="452"/>
        <v>VIGENTE</v>
      </c>
      <c r="AP176" s="16"/>
      <c r="AQ176" s="14">
        <v>46048</v>
      </c>
      <c r="AR176" s="14">
        <f t="shared" ref="AR176:AR182" si="599">DATE(YEAR(AQ176)+2,MONTH(AQ176),DAY(AQ176))</f>
        <v>46778</v>
      </c>
      <c r="AS176" s="65">
        <f t="shared" ca="1" si="453"/>
        <v>647</v>
      </c>
      <c r="AT176" s="15" t="str">
        <f t="shared" ca="1" si="454"/>
        <v>VIGENTE</v>
      </c>
      <c r="AU176" s="16"/>
      <c r="AV176" s="14">
        <v>46070</v>
      </c>
      <c r="AW176" s="14">
        <f>DATE(YEAR(AV176)+2,MONTH(AV176),DAY(AV176))</f>
        <v>46800</v>
      </c>
      <c r="AX176" s="65">
        <f t="shared" ca="1" si="455"/>
        <v>669</v>
      </c>
      <c r="AY176" s="15" t="str">
        <f t="shared" ca="1" si="456"/>
        <v>VIGENTE</v>
      </c>
      <c r="AZ176" s="13">
        <v>45387</v>
      </c>
      <c r="BA176" s="14">
        <v>46041</v>
      </c>
      <c r="BB176" s="14">
        <f>DATE(YEAR(BA176)+2,MONTH(BA176),DAY(BA176))</f>
        <v>46771</v>
      </c>
      <c r="BC176" s="65">
        <f t="shared" ca="1" si="457"/>
        <v>640</v>
      </c>
      <c r="BD176" s="15" t="str">
        <f t="shared" ca="1" si="458"/>
        <v>VIGENTE</v>
      </c>
      <c r="BE176" s="16"/>
      <c r="BF176" s="14">
        <v>46067</v>
      </c>
      <c r="BG176" s="14">
        <f>DATE(YEAR(BF176)+2,MONTH(BF176),DAY(BF176))</f>
        <v>46797</v>
      </c>
      <c r="BH176" s="65">
        <f t="shared" ca="1" si="459"/>
        <v>666</v>
      </c>
      <c r="BI176" s="15" t="str">
        <f t="shared" ca="1" si="460"/>
        <v>VIGENTE</v>
      </c>
      <c r="BJ176" s="14">
        <v>45372</v>
      </c>
      <c r="BK176" s="14">
        <v>46035</v>
      </c>
      <c r="BL176" s="14">
        <f>DATE(YEAR(BK176)+2,MONTH(BK176),DAY(BK176))</f>
        <v>46765</v>
      </c>
      <c r="BM176" s="65">
        <f t="shared" ca="1" si="461"/>
        <v>634</v>
      </c>
      <c r="BN176" s="15" t="str">
        <f t="shared" ca="1" si="462"/>
        <v>VIGENTE</v>
      </c>
      <c r="BO176" s="14"/>
      <c r="BP176" s="14">
        <v>46050</v>
      </c>
      <c r="BQ176" s="14">
        <f>DATE(YEAR(BP176)+2,MONTH(BP176),DAY(BP176))</f>
        <v>46780</v>
      </c>
      <c r="BR176" s="65">
        <f t="shared" ca="1" si="463"/>
        <v>649</v>
      </c>
      <c r="BS176" s="15" t="str">
        <f t="shared" ca="1" si="464"/>
        <v>VIGENTE</v>
      </c>
      <c r="BT176" s="13">
        <v>45362</v>
      </c>
      <c r="BU176" s="14">
        <v>46031</v>
      </c>
      <c r="BV176" s="14">
        <f>DATE(YEAR(BU176)+2,MONTH(BU176),DAY(BU176))</f>
        <v>46761</v>
      </c>
      <c r="BW176" s="65">
        <f t="shared" ca="1" si="465"/>
        <v>630</v>
      </c>
      <c r="BX176" s="15" t="str">
        <f t="shared" ca="1" si="466"/>
        <v>VIGENTE</v>
      </c>
      <c r="BY176" s="14">
        <v>45435</v>
      </c>
      <c r="BZ176" s="14">
        <v>46095</v>
      </c>
      <c r="CA176" s="14">
        <f>DATE(YEAR(BZ176)+2,MONTH(BZ176),DAY(BZ176))</f>
        <v>46826</v>
      </c>
      <c r="CB176" s="65">
        <f t="shared" ca="1" si="467"/>
        <v>695</v>
      </c>
      <c r="CC176" s="15" t="str">
        <f t="shared" ca="1" si="468"/>
        <v>VIGENTE</v>
      </c>
      <c r="CD176" s="16" t="s">
        <v>108</v>
      </c>
      <c r="CE176" s="14">
        <v>45345</v>
      </c>
      <c r="CF176" s="14">
        <v>45346</v>
      </c>
      <c r="CG176" s="14">
        <f t="shared" si="580"/>
        <v>46807</v>
      </c>
      <c r="CH176" s="65">
        <f t="shared" ca="1" si="581"/>
        <v>676</v>
      </c>
      <c r="CI176" s="15" t="str">
        <f t="shared" ca="1" si="562"/>
        <v>VIGENTE</v>
      </c>
      <c r="CJ176" s="14">
        <v>45363</v>
      </c>
      <c r="CK176" s="14">
        <v>46018</v>
      </c>
      <c r="CL176" s="14">
        <f>DATE(YEAR(CK176)+2,MONTH(CK176),DAY(CK176))</f>
        <v>46748</v>
      </c>
      <c r="CM176" s="65">
        <f t="shared" ca="1" si="469"/>
        <v>617</v>
      </c>
      <c r="CN176" s="15" t="str">
        <f t="shared" ca="1" si="470"/>
        <v>VIGENTE</v>
      </c>
      <c r="CO176" s="14">
        <v>45428</v>
      </c>
      <c r="CP176" s="14">
        <v>46101</v>
      </c>
      <c r="CQ176" s="14">
        <f>DATE(YEAR(CP176)+2,MONTH(CP176),DAY(CP176))</f>
        <v>46832</v>
      </c>
      <c r="CR176" s="65">
        <f t="shared" ca="1" si="471"/>
        <v>701</v>
      </c>
      <c r="CS176" s="15" t="str">
        <f t="shared" ca="1" si="472"/>
        <v>VIGENTE</v>
      </c>
      <c r="CT176" s="14">
        <v>45361</v>
      </c>
      <c r="CU176" s="14">
        <v>46043</v>
      </c>
      <c r="CV176" s="14">
        <f>DATE(YEAR(CU176)+2,MONTH(CU176),DAY(CU176))</f>
        <v>46773</v>
      </c>
      <c r="CW176" s="65">
        <f t="shared" ca="1" si="473"/>
        <v>642</v>
      </c>
      <c r="CX176" s="15" t="str">
        <f t="shared" ca="1" si="474"/>
        <v>VIGENTE</v>
      </c>
      <c r="CY176" s="14">
        <v>45422</v>
      </c>
      <c r="CZ176" s="14">
        <v>46098</v>
      </c>
      <c r="DA176" s="14">
        <f>DATE(YEAR(CZ176)+2,MONTH(CZ176),DAY(CZ176))</f>
        <v>46829</v>
      </c>
      <c r="DB176" s="65">
        <f t="shared" ca="1" si="475"/>
        <v>698</v>
      </c>
      <c r="DC176" s="15" t="str">
        <f t="shared" ca="1" si="476"/>
        <v>VIGENTE</v>
      </c>
      <c r="DD176" s="14">
        <v>45365</v>
      </c>
      <c r="DE176" s="14">
        <v>46045</v>
      </c>
      <c r="DF176" s="14">
        <f>DATE(YEAR(DE176)+2,MONTH(DE176),DAY(DE176))</f>
        <v>46775</v>
      </c>
      <c r="DG176" s="65">
        <f t="shared" ca="1" si="477"/>
        <v>644</v>
      </c>
      <c r="DH176" s="15" t="str">
        <f t="shared" ca="1" si="478"/>
        <v>VIGENTE</v>
      </c>
      <c r="DI176" s="16"/>
      <c r="DJ176" s="14">
        <v>46073</v>
      </c>
      <c r="DK176" s="14">
        <f>DATE(YEAR(DJ176)+2,MONTH(DJ176),DAY(DJ176))</f>
        <v>46803</v>
      </c>
      <c r="DL176" s="65">
        <f t="shared" ca="1" si="479"/>
        <v>672</v>
      </c>
      <c r="DM176" s="15" t="str">
        <f t="shared" ca="1" si="480"/>
        <v>VIGENTE</v>
      </c>
      <c r="DN176" s="14"/>
      <c r="DO176" s="14">
        <v>46046</v>
      </c>
      <c r="DP176" s="14">
        <f>DATE(YEAR(DO176)+2,MONTH(DO176),DAY(DO176))</f>
        <v>46776</v>
      </c>
      <c r="DQ176" s="65">
        <f t="shared" ca="1" si="481"/>
        <v>645</v>
      </c>
      <c r="DR176" s="15" t="str">
        <f t="shared" ca="1" si="482"/>
        <v>VIGENTE</v>
      </c>
      <c r="DS176" s="16"/>
      <c r="DT176" s="14">
        <v>46072</v>
      </c>
      <c r="DU176" s="14">
        <f>DATE(YEAR(DT176)+2,MONTH(DT176),DAY(DT176))</f>
        <v>46802</v>
      </c>
      <c r="DV176" s="65">
        <f t="shared" ca="1" si="483"/>
        <v>671</v>
      </c>
      <c r="DW176" s="15" t="str">
        <f t="shared" ca="1" si="484"/>
        <v>VIGENTE</v>
      </c>
      <c r="DX176" s="14">
        <v>45432</v>
      </c>
      <c r="DY176" s="14">
        <v>46099</v>
      </c>
      <c r="DZ176" s="14">
        <f>DATE(YEAR(DY176)+2,MONTH(DY176),DAY(DY176))</f>
        <v>46830</v>
      </c>
      <c r="EA176" s="65">
        <f t="shared" ca="1" si="485"/>
        <v>699</v>
      </c>
      <c r="EB176" s="15" t="str">
        <f t="shared" ca="1" si="486"/>
        <v>VIGENTE</v>
      </c>
      <c r="EC176" s="14">
        <v>45424</v>
      </c>
      <c r="ED176" s="14">
        <v>46104</v>
      </c>
      <c r="EE176" s="14">
        <f>DATE(YEAR(ED176)+2,MONTH(ED176),DAY(ED176))</f>
        <v>46835</v>
      </c>
      <c r="EF176" s="65">
        <f t="shared" ca="1" si="487"/>
        <v>704</v>
      </c>
      <c r="EG176" s="15" t="str">
        <f t="shared" ca="1" si="488"/>
        <v>VIGENTE</v>
      </c>
      <c r="EH176" s="14">
        <v>45423</v>
      </c>
      <c r="EI176" s="14">
        <v>45806</v>
      </c>
      <c r="EJ176" s="14">
        <v>45807</v>
      </c>
      <c r="EK176" s="14">
        <v>45808</v>
      </c>
      <c r="EL176" s="14">
        <f t="shared" si="546"/>
        <v>46173</v>
      </c>
      <c r="EM176" s="65">
        <f t="shared" ca="1" si="489"/>
        <v>42</v>
      </c>
      <c r="EN176" s="15" t="str">
        <f t="shared" ca="1" si="490"/>
        <v>POR VENCER</v>
      </c>
      <c r="EO176" s="14"/>
      <c r="EP176" s="14">
        <v>46100</v>
      </c>
      <c r="EQ176" s="14">
        <f>DATE(YEAR(EP176)+2,MONTH(EP176),DAY(EP176))</f>
        <v>46831</v>
      </c>
      <c r="ER176" s="65">
        <f t="shared" ca="1" si="491"/>
        <v>700</v>
      </c>
      <c r="ES176" s="15" t="str">
        <f t="shared" ca="1" si="492"/>
        <v>VIGENTE</v>
      </c>
      <c r="ET176" s="16"/>
      <c r="EU176" s="14">
        <v>45999</v>
      </c>
      <c r="EV176" s="14">
        <f>DATE(YEAR(EU176)+2,MONTH(EU176),DAY(EU176))</f>
        <v>46729</v>
      </c>
      <c r="EW176" s="65">
        <f t="shared" ca="1" si="493"/>
        <v>598</v>
      </c>
      <c r="EX176" s="15" t="str">
        <f t="shared" ca="1" si="494"/>
        <v>VIGENTE</v>
      </c>
      <c r="EY176" s="14">
        <v>45233</v>
      </c>
      <c r="EZ176" s="14">
        <v>45917</v>
      </c>
      <c r="FA176" s="14">
        <f t="shared" ref="FA176:FA185" si="600">DATE(YEAR(EZ176)+2,MONTH(EZ176),DAY(EZ176))</f>
        <v>46647</v>
      </c>
      <c r="FB176" s="65">
        <f t="shared" ca="1" si="495"/>
        <v>516</v>
      </c>
      <c r="FC176" s="15" t="str">
        <f t="shared" ca="1" si="496"/>
        <v>VIGENTE</v>
      </c>
      <c r="FD176" s="16"/>
      <c r="FE176" s="14">
        <v>46091</v>
      </c>
      <c r="FF176" s="14">
        <f>DATE(YEAR(FE176)+2,MONTH(FE176),DAY(FE176))</f>
        <v>46822</v>
      </c>
      <c r="FG176" s="65">
        <f t="shared" ca="1" si="497"/>
        <v>691</v>
      </c>
      <c r="FH176" s="15" t="str">
        <f t="shared" ca="1" si="498"/>
        <v>VIGENTE</v>
      </c>
      <c r="FI176" s="16"/>
      <c r="FJ176" s="14">
        <v>45992</v>
      </c>
      <c r="FK176" s="14">
        <f>DATE(YEAR(FJ176)+2,MONTH(FJ176),DAY(FJ176))</f>
        <v>46722</v>
      </c>
      <c r="FL176" s="65">
        <f t="shared" ca="1" si="499"/>
        <v>591</v>
      </c>
      <c r="FM176" s="15" t="str">
        <f t="shared" ca="1" si="500"/>
        <v>VIGENTE</v>
      </c>
      <c r="FN176" s="14">
        <v>45231</v>
      </c>
      <c r="FO176" s="14">
        <v>45920</v>
      </c>
      <c r="FP176" s="14">
        <f>DATE(YEAR(FO176)+2,MONTH(FO176),DAY(FO176))</f>
        <v>46650</v>
      </c>
      <c r="FQ176" s="65">
        <f t="shared" ca="1" si="501"/>
        <v>519</v>
      </c>
      <c r="FR176" s="15" t="str">
        <f t="shared" ca="1" si="502"/>
        <v>VIGENTE</v>
      </c>
      <c r="FS176" s="14">
        <v>45376</v>
      </c>
      <c r="FT176" s="14">
        <v>46034</v>
      </c>
      <c r="FU176" s="14">
        <f>DATE(YEAR(FT176)+2,MONTH(FT176),DAY(FT176))</f>
        <v>46764</v>
      </c>
      <c r="FV176" s="65">
        <f t="shared" ca="1" si="503"/>
        <v>633</v>
      </c>
      <c r="FW176" s="15" t="str">
        <f t="shared" ca="1" si="504"/>
        <v>VIGENTE</v>
      </c>
      <c r="FX176" s="14"/>
      <c r="FY176" s="14">
        <v>46014</v>
      </c>
      <c r="FZ176" s="14">
        <f>DATE(YEAR(FY176)+2,MONTH(FY176),DAY(FY176))</f>
        <v>46744</v>
      </c>
      <c r="GA176" s="65">
        <f t="shared" ca="1" si="505"/>
        <v>613</v>
      </c>
      <c r="GB176" s="15" t="str">
        <f t="shared" ca="1" si="506"/>
        <v>VIGENTE</v>
      </c>
      <c r="GC176" s="14">
        <v>45396</v>
      </c>
      <c r="GD176" s="14">
        <v>46030</v>
      </c>
      <c r="GE176" s="14">
        <f>DATE(YEAR(GD176)+2,MONTH(GD176),DAY(GD176))</f>
        <v>46760</v>
      </c>
      <c r="GF176" s="65">
        <f t="shared" ca="1" si="507"/>
        <v>629</v>
      </c>
      <c r="GG176" s="15" t="str">
        <f t="shared" ca="1" si="508"/>
        <v>VIGENTE</v>
      </c>
      <c r="GH176" s="14">
        <v>45391</v>
      </c>
      <c r="GI176" s="14">
        <v>46036</v>
      </c>
      <c r="GJ176" s="14">
        <f>DATE(YEAR(GI176)+2,MONTH(GI176),DAY(GI176))</f>
        <v>46766</v>
      </c>
      <c r="GK176" s="65">
        <f t="shared" ca="1" si="509"/>
        <v>635</v>
      </c>
      <c r="GL176" s="15" t="str">
        <f t="shared" ca="1" si="510"/>
        <v>VIGENTE</v>
      </c>
      <c r="GM176" s="14">
        <v>45248</v>
      </c>
      <c r="GN176" s="14">
        <v>45923</v>
      </c>
      <c r="GO176" s="14">
        <f>DATE(YEAR(GN176)+2,MONTH(GN176),DAY(GN176))</f>
        <v>46653</v>
      </c>
      <c r="GP176" s="65">
        <f t="shared" ca="1" si="511"/>
        <v>522</v>
      </c>
      <c r="GQ176" s="15" t="str">
        <f t="shared" ca="1" si="512"/>
        <v>VIGENTE</v>
      </c>
      <c r="GR176" s="14"/>
      <c r="GS176" s="14">
        <v>45367</v>
      </c>
      <c r="GT176" s="14">
        <f t="shared" si="513"/>
        <v>47193</v>
      </c>
      <c r="GU176" s="65">
        <f t="shared" ca="1" si="591"/>
        <v>1062</v>
      </c>
      <c r="GV176" s="15" t="str">
        <f t="shared" ref="GV176:GV238" ca="1" si="601">IF(GU176&gt;=91,"VIGENTE",IF(GU176&gt;=1,"POR VENCER",IF(GU176&lt;=-1,"VENCIDA",IF(GS176=0,"NO APLICA"))))</f>
        <v>VIGENTE</v>
      </c>
      <c r="GW176" s="14"/>
      <c r="GX176" s="14">
        <v>45389</v>
      </c>
      <c r="GY176" s="14">
        <f t="shared" si="514"/>
        <v>47215</v>
      </c>
      <c r="GZ176" s="65">
        <f t="shared" ca="1" si="515"/>
        <v>1084</v>
      </c>
      <c r="HA176" s="15" t="str">
        <f t="shared" ref="HA176:HA238" ca="1" si="602">IF(GZ176&gt;=91,"VIGENTE",IF(GZ176&gt;=1,"POR VENCER",IF(GZ176&lt;=-1,"VENCIDA",IF(GX176=0,"NO APLICA"))))</f>
        <v>VIGENTE</v>
      </c>
      <c r="HB176" s="16"/>
      <c r="HC176" s="14">
        <v>45348</v>
      </c>
      <c r="HD176" s="14">
        <f t="shared" si="516"/>
        <v>47175</v>
      </c>
      <c r="HE176" s="65">
        <f t="shared" ca="1" si="517"/>
        <v>1044</v>
      </c>
      <c r="HF176" s="15" t="str">
        <f t="shared" ref="HF176:HF238" ca="1" si="603">IF(HE176&gt;=91,"VIGENTE",IF(HE176&gt;=1,"POR VENCER",IF(HE176&lt;=-1,"VENCIDA",IF(HC176=0,"NO APLICA"))))</f>
        <v>VIGENTE</v>
      </c>
      <c r="HG176" s="16"/>
      <c r="HH176" s="14">
        <v>45392</v>
      </c>
      <c r="HI176" s="14">
        <f t="shared" si="593"/>
        <v>47218</v>
      </c>
      <c r="HJ176" s="65">
        <f t="shared" ca="1" si="594"/>
        <v>1087</v>
      </c>
      <c r="HK176" s="15" t="str">
        <f t="shared" ref="HK176:HK189" ca="1" si="604">IF(HJ176&gt;=61,"VIGENTE",IF(HJ176&gt;=1,"POR VENCER",IF(HJ176&lt;=-1,"VENCIDA",IF(HH176=0,"NO APLICA"))))</f>
        <v>VIGENTE</v>
      </c>
      <c r="HL176" s="16"/>
      <c r="HM176" s="16"/>
      <c r="HN176" s="14"/>
      <c r="HO176" s="65"/>
      <c r="HP176" s="15" t="str">
        <f t="shared" si="437"/>
        <v>NO APLICA</v>
      </c>
      <c r="HQ176" s="12"/>
      <c r="HR176" s="12"/>
      <c r="HS176" s="14"/>
      <c r="HT176" s="12"/>
      <c r="HU176" s="15" t="str">
        <f t="shared" si="518"/>
        <v>NO APLICA</v>
      </c>
      <c r="HV176" s="16"/>
      <c r="HW176" s="16"/>
      <c r="HX176" s="14"/>
      <c r="HY176" s="65"/>
      <c r="HZ176" s="15" t="str">
        <f t="shared" si="519"/>
        <v>NO APLICA</v>
      </c>
      <c r="IA176" s="16"/>
      <c r="IB176" s="16"/>
      <c r="IC176" s="14"/>
      <c r="ID176" s="65"/>
      <c r="IE176" s="15" t="str">
        <f t="shared" si="520"/>
        <v>NO APLICA</v>
      </c>
      <c r="IF176" s="16"/>
      <c r="IG176" s="16"/>
      <c r="IH176" s="14"/>
      <c r="II176" s="65"/>
      <c r="IJ176" s="15" t="str">
        <f t="shared" si="521"/>
        <v>NO APLICA</v>
      </c>
      <c r="IK176" s="16"/>
      <c r="IL176" s="16"/>
      <c r="IM176" s="14"/>
      <c r="IN176" s="16"/>
      <c r="IO176" s="15" t="str">
        <f t="shared" si="522"/>
        <v>NO APLICA</v>
      </c>
      <c r="IP176" s="16"/>
      <c r="IQ176" s="16"/>
      <c r="IR176" s="14"/>
      <c r="IS176" s="65"/>
      <c r="IT176" s="15" t="str">
        <f t="shared" si="523"/>
        <v>NO APLICA</v>
      </c>
      <c r="IU176" s="16"/>
      <c r="IV176" s="16"/>
      <c r="IW176" s="14"/>
      <c r="IX176" s="65"/>
      <c r="IY176" s="15" t="str">
        <f t="shared" si="524"/>
        <v>NO APLICA</v>
      </c>
      <c r="IZ176" s="16"/>
      <c r="JA176" s="16"/>
      <c r="JB176" s="14"/>
      <c r="JC176" s="65"/>
      <c r="JD176" s="15" t="str">
        <f t="shared" si="525"/>
        <v>NO APLICA</v>
      </c>
      <c r="JE176" s="13"/>
      <c r="JF176" s="13"/>
      <c r="JG176" s="14"/>
      <c r="JH176" s="65"/>
      <c r="JI176" s="15" t="str">
        <f t="shared" si="526"/>
        <v>NO APLICA</v>
      </c>
      <c r="JJ176" s="16"/>
      <c r="JK176" s="16"/>
      <c r="JL176" s="16"/>
      <c r="JM176" s="15" t="str">
        <f t="shared" si="527"/>
        <v>NO APLICA</v>
      </c>
      <c r="JN176" s="16"/>
      <c r="JO176" s="16"/>
      <c r="JP176" s="16"/>
      <c r="JQ176" s="15" t="str">
        <f t="shared" si="528"/>
        <v>NO APLICA</v>
      </c>
      <c r="JR176" s="16"/>
      <c r="JS176" s="16"/>
      <c r="JT176" s="16"/>
      <c r="JU176" s="16"/>
      <c r="JV176" s="15" t="str">
        <f t="shared" si="529"/>
        <v>NO APLICA</v>
      </c>
      <c r="JW176" s="15"/>
      <c r="JX176" s="15"/>
      <c r="JY176" s="15"/>
      <c r="JZ176" s="15"/>
      <c r="KA176" s="15" t="str">
        <f t="shared" si="530"/>
        <v>NO APLICA</v>
      </c>
      <c r="KB176" s="12"/>
      <c r="KC176" s="14"/>
      <c r="KD176" s="65"/>
      <c r="KE176" s="15" t="str">
        <f t="shared" si="531"/>
        <v>NO APLICA</v>
      </c>
      <c r="KF176" s="12"/>
      <c r="KG176" s="14"/>
      <c r="KH176" s="65"/>
      <c r="KI176" s="15" t="str">
        <f t="shared" si="547"/>
        <v>NO APLICA</v>
      </c>
      <c r="KJ176" s="12"/>
      <c r="KK176" s="14"/>
      <c r="KL176" s="65"/>
      <c r="KM176" s="15" t="str">
        <f t="shared" si="532"/>
        <v>NO APLICA</v>
      </c>
      <c r="KN176" s="13">
        <v>45346</v>
      </c>
      <c r="KO176" s="14">
        <f>DATE(YEAR(KN176)+5,MONTH(KN176),DAY(KN176))</f>
        <v>47173</v>
      </c>
      <c r="KP176" s="65">
        <f ca="1">KO176-TODAY()</f>
        <v>1042</v>
      </c>
      <c r="KQ176" s="15" t="str">
        <f t="shared" ca="1" si="548"/>
        <v>VIGENTE</v>
      </c>
      <c r="KR176" s="16"/>
      <c r="KS176" s="16"/>
      <c r="KT176" s="14"/>
      <c r="KU176" s="16"/>
      <c r="KV176" s="15" t="str">
        <f t="shared" si="554"/>
        <v>NO APLICA</v>
      </c>
      <c r="KW176" s="16"/>
      <c r="KX176" s="14"/>
      <c r="KY176" s="16"/>
      <c r="KZ176" s="15" t="str">
        <f t="shared" si="549"/>
        <v>NO APLICA</v>
      </c>
      <c r="LA176" s="16"/>
      <c r="LB176" s="16"/>
      <c r="LC176" s="16"/>
      <c r="LD176" s="16"/>
      <c r="LE176" s="15" t="str">
        <f t="shared" si="590"/>
        <v>NO APLICA</v>
      </c>
      <c r="LF176" s="15"/>
      <c r="LG176" s="15"/>
      <c r="LH176" s="14"/>
      <c r="LI176" s="65"/>
      <c r="LJ176" s="15" t="str">
        <f t="shared" si="555"/>
        <v>NO APLICA</v>
      </c>
      <c r="LK176" s="16"/>
      <c r="LL176" s="16"/>
      <c r="LM176" s="14"/>
      <c r="LN176" s="65"/>
      <c r="LO176" s="15" t="str">
        <f t="shared" si="550"/>
        <v>NO APLICA</v>
      </c>
      <c r="LP176" s="16"/>
      <c r="LQ176" s="16"/>
      <c r="LR176" s="14"/>
      <c r="LS176" s="16"/>
      <c r="LT176" s="15" t="str">
        <f t="shared" si="551"/>
        <v>NO APLICA</v>
      </c>
      <c r="LU176" s="16"/>
      <c r="LV176" s="16"/>
      <c r="LW176" s="14"/>
      <c r="LX176" s="16"/>
      <c r="LY176" s="15" t="str">
        <f t="shared" si="552"/>
        <v>NO APLICA</v>
      </c>
      <c r="LZ176" s="16"/>
      <c r="MA176" s="16"/>
      <c r="MB176" s="14"/>
      <c r="MC176" s="16"/>
      <c r="MD176" s="15" t="str">
        <f t="shared" si="534"/>
        <v>NO APLICA</v>
      </c>
      <c r="ME176" s="16"/>
      <c r="MF176" s="16"/>
      <c r="MG176" s="14"/>
      <c r="MH176" s="16"/>
      <c r="MI176" s="15" t="str">
        <f t="shared" si="535"/>
        <v>NO APLICA</v>
      </c>
      <c r="MJ176" s="16"/>
      <c r="MK176" s="14"/>
      <c r="ML176" s="16"/>
      <c r="MM176" s="15" t="str">
        <f t="shared" si="536"/>
        <v>NO APLICA</v>
      </c>
      <c r="MN176" s="16"/>
      <c r="MO176" s="16"/>
      <c r="MP176" s="16"/>
      <c r="MQ176" s="15" t="str">
        <f t="shared" si="537"/>
        <v>NO APLICA</v>
      </c>
      <c r="MR176" s="16"/>
      <c r="MS176" s="16"/>
      <c r="MT176" s="14"/>
      <c r="MU176" s="16"/>
      <c r="MV176" s="15" t="str">
        <f t="shared" si="538"/>
        <v>NO APLICA</v>
      </c>
      <c r="MW176" s="16"/>
      <c r="MX176" s="16"/>
      <c r="MY176" s="14"/>
      <c r="MZ176" s="16"/>
      <c r="NA176" s="15" t="str">
        <f t="shared" si="539"/>
        <v>NO APLICA</v>
      </c>
      <c r="NB176" s="16"/>
      <c r="NC176" s="16"/>
      <c r="ND176" s="14"/>
      <c r="NE176" s="16"/>
      <c r="NF176" s="15" t="str">
        <f t="shared" si="540"/>
        <v>NO APLICA</v>
      </c>
      <c r="NG176" s="16"/>
      <c r="NH176" s="16"/>
      <c r="NI176" s="14"/>
      <c r="NJ176" s="16"/>
      <c r="NK176" s="15" t="str">
        <f t="shared" si="541"/>
        <v>NO APLICA</v>
      </c>
      <c r="NL176" s="16"/>
      <c r="NM176" s="16"/>
      <c r="NN176" s="14"/>
      <c r="NO176" s="16"/>
      <c r="NP176" s="15" t="str">
        <f t="shared" si="542"/>
        <v>NO APLICA</v>
      </c>
      <c r="NQ176" s="16"/>
      <c r="NR176" s="16"/>
      <c r="NS176" s="14"/>
      <c r="NT176" s="65"/>
      <c r="NU176" s="15" t="str">
        <f t="shared" si="543"/>
        <v>NO APLICA</v>
      </c>
      <c r="NV176" s="16"/>
      <c r="NW176" s="16"/>
      <c r="NX176" s="16"/>
      <c r="NY176" s="16"/>
      <c r="NZ176" s="15" t="str">
        <f t="shared" si="544"/>
        <v>NO APLICA</v>
      </c>
    </row>
    <row r="177" spans="1:390" ht="15.6" thickTop="1" thickBot="1" x14ac:dyDescent="0.35">
      <c r="A177" s="9">
        <v>653</v>
      </c>
      <c r="B177" s="10" t="s">
        <v>627</v>
      </c>
      <c r="C177" s="21" t="s">
        <v>104</v>
      </c>
      <c r="D177" s="64" t="s">
        <v>168</v>
      </c>
      <c r="E177" s="15"/>
      <c r="F177" s="16"/>
      <c r="G177" s="14"/>
      <c r="H177" s="65"/>
      <c r="I177" s="15" t="str">
        <f t="shared" si="448"/>
        <v>NO APLICA</v>
      </c>
      <c r="J177" s="15"/>
      <c r="K177" s="16"/>
      <c r="L177" s="16"/>
      <c r="M177" s="65"/>
      <c r="N177" s="15" t="str">
        <f t="shared" si="449"/>
        <v>NO APLICA</v>
      </c>
      <c r="O177" s="16"/>
      <c r="P177" s="16"/>
      <c r="Q177" s="14"/>
      <c r="R177" s="65"/>
      <c r="S177" s="15" t="str">
        <f t="shared" si="545"/>
        <v>NO APLICA</v>
      </c>
      <c r="T177" s="12" t="s">
        <v>628</v>
      </c>
      <c r="U177" s="13">
        <v>45215</v>
      </c>
      <c r="V177" s="14">
        <v>45216</v>
      </c>
      <c r="W177" s="14">
        <f t="shared" si="577"/>
        <v>47043</v>
      </c>
      <c r="X177" s="65">
        <f t="shared" ca="1" si="578"/>
        <v>912</v>
      </c>
      <c r="Y177" s="15" t="str">
        <f t="shared" ca="1" si="595"/>
        <v>VIGENTE</v>
      </c>
      <c r="Z177" s="12" t="s">
        <v>629</v>
      </c>
      <c r="AA177" s="13">
        <v>44827</v>
      </c>
      <c r="AB177" s="14">
        <v>44828</v>
      </c>
      <c r="AC177" s="14">
        <f>DATE(YEAR(AB177)+5,MONTH(AB177),DAY(AB177))</f>
        <v>46654</v>
      </c>
      <c r="AD177" s="65">
        <f ca="1">AC177-TODAY()</f>
        <v>523</v>
      </c>
      <c r="AE177" s="15" t="str">
        <f t="shared" ca="1" si="598"/>
        <v>VIGENTE</v>
      </c>
      <c r="AF177" s="13">
        <v>44929</v>
      </c>
      <c r="AG177" s="13">
        <v>45589</v>
      </c>
      <c r="AH177" s="14">
        <f>DATE(YEAR(AG177)+2,MONTH(AG177),DAY(AG177)-1)</f>
        <v>46318</v>
      </c>
      <c r="AI177" s="65">
        <f t="shared" ca="1" si="450"/>
        <v>187</v>
      </c>
      <c r="AJ177" s="15" t="str">
        <f t="shared" ca="1" si="592"/>
        <v>VIGENTE</v>
      </c>
      <c r="AK177" s="13">
        <v>44643</v>
      </c>
      <c r="AL177" s="14">
        <v>45937</v>
      </c>
      <c r="AM177" s="14">
        <f>DATE(YEAR(AL177)+2,MONTH(AL177),DAY(AL177))</f>
        <v>46667</v>
      </c>
      <c r="AN177" s="65">
        <f t="shared" ca="1" si="451"/>
        <v>536</v>
      </c>
      <c r="AO177" s="15" t="str">
        <f t="shared" ca="1" si="452"/>
        <v>VIGENTE</v>
      </c>
      <c r="AP177" s="13">
        <v>45258</v>
      </c>
      <c r="AQ177" s="14">
        <v>45887</v>
      </c>
      <c r="AR177" s="14">
        <f t="shared" si="599"/>
        <v>46617</v>
      </c>
      <c r="AS177" s="65">
        <f t="shared" ca="1" si="453"/>
        <v>486</v>
      </c>
      <c r="AT177" s="15" t="str">
        <f t="shared" ca="1" si="454"/>
        <v>VIGENTE</v>
      </c>
      <c r="AU177" s="13">
        <v>44664</v>
      </c>
      <c r="AV177" s="14">
        <v>45990</v>
      </c>
      <c r="AW177" s="14">
        <f>DATE(YEAR(AV177)+2,MONTH(AV177),DAY(AV177))</f>
        <v>46720</v>
      </c>
      <c r="AX177" s="65">
        <f t="shared" ca="1" si="455"/>
        <v>589</v>
      </c>
      <c r="AY177" s="15" t="str">
        <f t="shared" ca="1" si="456"/>
        <v>VIGENTE</v>
      </c>
      <c r="AZ177" s="13">
        <v>44894</v>
      </c>
      <c r="BA177" s="14">
        <v>45515</v>
      </c>
      <c r="BB177" s="14">
        <f>DATE(YEAR(BA177)+2,MONTH(BA177),DAY(BA177)-1)</f>
        <v>46244</v>
      </c>
      <c r="BC177" s="65">
        <f t="shared" ca="1" si="457"/>
        <v>113</v>
      </c>
      <c r="BD177" s="15" t="str">
        <f t="shared" ca="1" si="458"/>
        <v>VIGENTE</v>
      </c>
      <c r="BE177" s="13">
        <v>45382</v>
      </c>
      <c r="BF177" s="14">
        <v>46027</v>
      </c>
      <c r="BG177" s="14">
        <f>DATE(YEAR(BF177)+2,MONTH(BF177),DAY(BF177))</f>
        <v>46757</v>
      </c>
      <c r="BH177" s="65">
        <f t="shared" ca="1" si="459"/>
        <v>626</v>
      </c>
      <c r="BI177" s="15" t="str">
        <f t="shared" ca="1" si="460"/>
        <v>VIGENTE</v>
      </c>
      <c r="BJ177" s="13">
        <v>44722</v>
      </c>
      <c r="BK177" s="14">
        <v>45477</v>
      </c>
      <c r="BL177" s="14">
        <f>DATE(YEAR(BK177)+2,MONTH(BK177),DAY(BK177)-1)</f>
        <v>46206</v>
      </c>
      <c r="BM177" s="65">
        <f t="shared" ca="1" si="461"/>
        <v>75</v>
      </c>
      <c r="BN177" s="15" t="str">
        <f t="shared" ca="1" si="462"/>
        <v>POR VENCER</v>
      </c>
      <c r="BO177" s="13">
        <v>44750</v>
      </c>
      <c r="BP177" s="14">
        <v>45447</v>
      </c>
      <c r="BQ177" s="14">
        <f>DATE(YEAR(BP177)+2,MONTH(BP177),DAY(BP177)-1)</f>
        <v>46176</v>
      </c>
      <c r="BR177" s="65">
        <f t="shared" ca="1" si="463"/>
        <v>45</v>
      </c>
      <c r="BS177" s="15" t="str">
        <f t="shared" ca="1" si="464"/>
        <v>POR VENCER</v>
      </c>
      <c r="BT177" s="13">
        <v>45203</v>
      </c>
      <c r="BU177" s="14">
        <v>45871</v>
      </c>
      <c r="BV177" s="14">
        <f>DATE(YEAR(BU177)+2,MONTH(BU177),DAY(BU177))</f>
        <v>46601</v>
      </c>
      <c r="BW177" s="65">
        <f t="shared" ca="1" si="465"/>
        <v>470</v>
      </c>
      <c r="BX177" s="15" t="str">
        <f t="shared" ca="1" si="466"/>
        <v>VIGENTE</v>
      </c>
      <c r="BY177" s="13">
        <v>44643</v>
      </c>
      <c r="BZ177" s="14">
        <v>45944</v>
      </c>
      <c r="CA177" s="14">
        <f>DATE(YEAR(BZ177)+2,MONTH(BZ177),DAY(BZ177))</f>
        <v>46674</v>
      </c>
      <c r="CB177" s="65">
        <f t="shared" ca="1" si="467"/>
        <v>543</v>
      </c>
      <c r="CC177" s="15" t="str">
        <f t="shared" ca="1" si="468"/>
        <v>VIGENTE</v>
      </c>
      <c r="CD177" s="16" t="s">
        <v>108</v>
      </c>
      <c r="CE177" s="14">
        <v>45226</v>
      </c>
      <c r="CF177" s="14">
        <v>45227</v>
      </c>
      <c r="CG177" s="14">
        <f t="shared" si="580"/>
        <v>46688</v>
      </c>
      <c r="CH177" s="65">
        <f t="shared" ca="1" si="581"/>
        <v>557</v>
      </c>
      <c r="CI177" s="15" t="str">
        <f t="shared" ca="1" si="562"/>
        <v>VIGENTE</v>
      </c>
      <c r="CJ177" s="14">
        <v>45249</v>
      </c>
      <c r="CK177" s="14">
        <v>45895</v>
      </c>
      <c r="CL177" s="14">
        <f>DATE(YEAR(CK177)+2,MONTH(CK177),DAY(CK177))</f>
        <v>46625</v>
      </c>
      <c r="CM177" s="65">
        <f t="shared" ca="1" si="469"/>
        <v>494</v>
      </c>
      <c r="CN177" s="15" t="str">
        <f t="shared" ca="1" si="470"/>
        <v>VIGENTE</v>
      </c>
      <c r="CO177" s="13">
        <v>45246</v>
      </c>
      <c r="CP177" s="14">
        <v>45898</v>
      </c>
      <c r="CQ177" s="14">
        <f>DATE(YEAR(CP177)+2,MONTH(CP177),DAY(CP177))</f>
        <v>46628</v>
      </c>
      <c r="CR177" s="65">
        <f t="shared" ca="1" si="471"/>
        <v>497</v>
      </c>
      <c r="CS177" s="15" t="str">
        <f t="shared" ca="1" si="472"/>
        <v>VIGENTE</v>
      </c>
      <c r="CT177" s="13">
        <v>44975</v>
      </c>
      <c r="CU177" s="14">
        <v>45645</v>
      </c>
      <c r="CV177" s="14">
        <f>DATE(YEAR(CU177)+2,MONTH(CU177),DAY(CU177)-1)</f>
        <v>46374</v>
      </c>
      <c r="CW177" s="65">
        <f t="shared" ca="1" si="473"/>
        <v>243</v>
      </c>
      <c r="CX177" s="15" t="str">
        <f t="shared" ca="1" si="474"/>
        <v>VIGENTE</v>
      </c>
      <c r="CY177" s="13">
        <v>44995</v>
      </c>
      <c r="CZ177" s="14">
        <v>45661</v>
      </c>
      <c r="DA177" s="14">
        <f>DATE(YEAR(CZ177)+2,MONTH(CZ177),DAY(CZ177)-1)</f>
        <v>46390</v>
      </c>
      <c r="DB177" s="65">
        <f t="shared" ca="1" si="475"/>
        <v>259</v>
      </c>
      <c r="DC177" s="15" t="str">
        <f t="shared" ca="1" si="476"/>
        <v>VIGENTE</v>
      </c>
      <c r="DD177" s="13">
        <v>45037</v>
      </c>
      <c r="DE177" s="14">
        <v>45689</v>
      </c>
      <c r="DF177" s="14">
        <f>DATE(YEAR(DE177)+2,MONTH(DE177),DAY(DE177)-1)</f>
        <v>46418</v>
      </c>
      <c r="DG177" s="65">
        <f t="shared" ca="1" si="477"/>
        <v>287</v>
      </c>
      <c r="DH177" s="15" t="str">
        <f t="shared" ca="1" si="478"/>
        <v>VIGENTE</v>
      </c>
      <c r="DI177" s="13">
        <v>45312</v>
      </c>
      <c r="DJ177" s="14">
        <v>45955</v>
      </c>
      <c r="DK177" s="14">
        <f>DATE(YEAR(DJ177)+2,MONTH(DJ177),DAY(DJ177))</f>
        <v>46685</v>
      </c>
      <c r="DL177" s="65">
        <f t="shared" ca="1" si="479"/>
        <v>554</v>
      </c>
      <c r="DM177" s="15" t="str">
        <f t="shared" ca="1" si="480"/>
        <v>VIGENTE</v>
      </c>
      <c r="DN177" s="13">
        <v>45345</v>
      </c>
      <c r="DO177" s="14">
        <v>45982</v>
      </c>
      <c r="DP177" s="14">
        <f>DATE(YEAR(DO177)+2,MONTH(DO177),DAY(DO177))</f>
        <v>46712</v>
      </c>
      <c r="DQ177" s="65">
        <f t="shared" ca="1" si="481"/>
        <v>581</v>
      </c>
      <c r="DR177" s="15" t="str">
        <f t="shared" ca="1" si="482"/>
        <v>VIGENTE</v>
      </c>
      <c r="DS177" s="13">
        <v>45250</v>
      </c>
      <c r="DT177" s="14">
        <v>45918</v>
      </c>
      <c r="DU177" s="14">
        <f>DATE(YEAR(DT177)+2,MONTH(DT177),DAY(DT177))</f>
        <v>46648</v>
      </c>
      <c r="DV177" s="65">
        <f t="shared" ca="1" si="483"/>
        <v>517</v>
      </c>
      <c r="DW177" s="15" t="str">
        <f t="shared" ca="1" si="484"/>
        <v>VIGENTE</v>
      </c>
      <c r="DX177" s="13">
        <v>45254</v>
      </c>
      <c r="DY177" s="14">
        <v>45915</v>
      </c>
      <c r="DZ177" s="14">
        <f>DATE(YEAR(DY177)+2,MONTH(DY177),DAY(DY177))</f>
        <v>46645</v>
      </c>
      <c r="EA177" s="65">
        <f t="shared" ca="1" si="485"/>
        <v>514</v>
      </c>
      <c r="EB177" s="15" t="str">
        <f t="shared" ca="1" si="486"/>
        <v>VIGENTE</v>
      </c>
      <c r="EC177" s="13">
        <v>45225</v>
      </c>
      <c r="ED177" s="14">
        <v>45883</v>
      </c>
      <c r="EE177" s="14">
        <f>DATE(YEAR(ED177)+2,MONTH(ED177),DAY(ED177))</f>
        <v>46613</v>
      </c>
      <c r="EF177" s="65">
        <f t="shared" ca="1" si="487"/>
        <v>482</v>
      </c>
      <c r="EG177" s="15" t="str">
        <f t="shared" ca="1" si="488"/>
        <v>VIGENTE</v>
      </c>
      <c r="EH177" s="14">
        <v>45229</v>
      </c>
      <c r="EI177" s="13">
        <v>46000</v>
      </c>
      <c r="EJ177" s="13">
        <v>46001</v>
      </c>
      <c r="EK177" s="13">
        <v>46002</v>
      </c>
      <c r="EL177" s="14">
        <f t="shared" si="546"/>
        <v>46367</v>
      </c>
      <c r="EM177" s="65">
        <f t="shared" ca="1" si="489"/>
        <v>236</v>
      </c>
      <c r="EN177" s="15" t="str">
        <f t="shared" ca="1" si="490"/>
        <v>VIGENTE</v>
      </c>
      <c r="EO177" s="13">
        <v>44603</v>
      </c>
      <c r="EP177" s="14">
        <v>45940</v>
      </c>
      <c r="EQ177" s="14">
        <f>DATE(YEAR(EP177)+2,MONTH(EP177),DAY(EP177))</f>
        <v>46670</v>
      </c>
      <c r="ER177" s="65">
        <f t="shared" ca="1" si="491"/>
        <v>539</v>
      </c>
      <c r="ES177" s="15" t="str">
        <f t="shared" ca="1" si="492"/>
        <v>VIGENTE</v>
      </c>
      <c r="ET177" s="13">
        <v>45193</v>
      </c>
      <c r="EU177" s="14">
        <v>45824</v>
      </c>
      <c r="EV177" s="14">
        <f>DATE(YEAR(EU177)+2,MONTH(EU177),DAY(EU177))</f>
        <v>46554</v>
      </c>
      <c r="EW177" s="65">
        <f t="shared" ca="1" si="493"/>
        <v>423</v>
      </c>
      <c r="EX177" s="15" t="str">
        <f t="shared" ca="1" si="494"/>
        <v>VIGENTE</v>
      </c>
      <c r="EY177" s="13">
        <v>45219</v>
      </c>
      <c r="EZ177" s="14">
        <v>45917</v>
      </c>
      <c r="FA177" s="14">
        <f t="shared" si="600"/>
        <v>46647</v>
      </c>
      <c r="FB177" s="65">
        <f t="shared" ca="1" si="495"/>
        <v>516</v>
      </c>
      <c r="FC177" s="15" t="str">
        <f t="shared" ca="1" si="496"/>
        <v>VIGENTE</v>
      </c>
      <c r="FD177" s="13">
        <v>45223</v>
      </c>
      <c r="FE177" s="14">
        <v>45922</v>
      </c>
      <c r="FF177" s="14">
        <f>DATE(YEAR(FE177)+2,MONTH(FE177),DAY(FE177))</f>
        <v>46652</v>
      </c>
      <c r="FG177" s="65">
        <f t="shared" ca="1" si="497"/>
        <v>521</v>
      </c>
      <c r="FH177" s="15" t="str">
        <f t="shared" ca="1" si="498"/>
        <v>VIGENTE</v>
      </c>
      <c r="FI177" s="13">
        <v>45248</v>
      </c>
      <c r="FJ177" s="14">
        <v>45919</v>
      </c>
      <c r="FK177" s="14">
        <f>DATE(YEAR(FJ177)+2,MONTH(FJ177),DAY(FJ177))</f>
        <v>46649</v>
      </c>
      <c r="FL177" s="65">
        <f t="shared" ca="1" si="499"/>
        <v>518</v>
      </c>
      <c r="FM177" s="15" t="str">
        <f t="shared" ca="1" si="500"/>
        <v>VIGENTE</v>
      </c>
      <c r="FN177" s="13">
        <v>45276</v>
      </c>
      <c r="FO177" s="14">
        <v>45964</v>
      </c>
      <c r="FP177" s="14">
        <f>DATE(YEAR(FO177)+2,MONTH(FO177),DAY(FO177))</f>
        <v>46694</v>
      </c>
      <c r="FQ177" s="65">
        <f t="shared" ca="1" si="501"/>
        <v>563</v>
      </c>
      <c r="FR177" s="15" t="str">
        <f t="shared" ca="1" si="502"/>
        <v>VIGENTE</v>
      </c>
      <c r="FS177" s="13">
        <v>45199</v>
      </c>
      <c r="FT177" s="14">
        <v>45846</v>
      </c>
      <c r="FU177" s="14">
        <f>DATE(YEAR(FT177)+2,MONTH(FT177),DAY(FT177))</f>
        <v>46576</v>
      </c>
      <c r="FV177" s="65">
        <f t="shared" ca="1" si="503"/>
        <v>445</v>
      </c>
      <c r="FW177" s="15" t="str">
        <f t="shared" ca="1" si="504"/>
        <v>VIGENTE</v>
      </c>
      <c r="FX177" s="13">
        <v>45230</v>
      </c>
      <c r="FY177" s="14">
        <v>45908</v>
      </c>
      <c r="FZ177" s="14">
        <f>DATE(YEAR(FY177)+2,MONTH(FY177),DAY(FY177))</f>
        <v>46638</v>
      </c>
      <c r="GA177" s="65">
        <f t="shared" ca="1" si="505"/>
        <v>507</v>
      </c>
      <c r="GB177" s="15" t="str">
        <f t="shared" ca="1" si="506"/>
        <v>VIGENTE</v>
      </c>
      <c r="GC177" s="13">
        <v>45202</v>
      </c>
      <c r="GD177" s="14">
        <v>45874</v>
      </c>
      <c r="GE177" s="14">
        <f>DATE(YEAR(GD177)+2,MONTH(GD177),DAY(GD177))</f>
        <v>46604</v>
      </c>
      <c r="GF177" s="65">
        <f t="shared" ca="1" si="507"/>
        <v>473</v>
      </c>
      <c r="GG177" s="15" t="str">
        <f t="shared" ca="1" si="508"/>
        <v>VIGENTE</v>
      </c>
      <c r="GH177" s="13">
        <v>45270</v>
      </c>
      <c r="GI177" s="14">
        <v>45960</v>
      </c>
      <c r="GJ177" s="14">
        <f>DATE(YEAR(GI177)+2,MONTH(GI177),DAY(GI177))</f>
        <v>46690</v>
      </c>
      <c r="GK177" s="65">
        <f t="shared" ca="1" si="509"/>
        <v>559</v>
      </c>
      <c r="GL177" s="15" t="str">
        <f t="shared" ca="1" si="510"/>
        <v>VIGENTE</v>
      </c>
      <c r="GM177" s="13">
        <v>44569</v>
      </c>
      <c r="GN177" s="14">
        <v>45945</v>
      </c>
      <c r="GO177" s="14">
        <f>DATE(YEAR(GN177)+2,MONTH(GN177),DAY(GN177))</f>
        <v>46675</v>
      </c>
      <c r="GP177" s="65">
        <f t="shared" ca="1" si="511"/>
        <v>544</v>
      </c>
      <c r="GQ177" s="15" t="str">
        <f t="shared" ca="1" si="512"/>
        <v>VIGENTE</v>
      </c>
      <c r="GR177" s="14">
        <v>44572</v>
      </c>
      <c r="GS177" s="14">
        <v>45224</v>
      </c>
      <c r="GT177" s="14">
        <f t="shared" si="513"/>
        <v>47051</v>
      </c>
      <c r="GU177" s="65">
        <f t="shared" ca="1" si="591"/>
        <v>920</v>
      </c>
      <c r="GV177" s="15" t="str">
        <f t="shared" ca="1" si="601"/>
        <v>VIGENTE</v>
      </c>
      <c r="GW177" s="13">
        <v>44574</v>
      </c>
      <c r="GX177" s="14">
        <v>45200</v>
      </c>
      <c r="GY177" s="14">
        <f t="shared" si="514"/>
        <v>47027</v>
      </c>
      <c r="GZ177" s="65">
        <f t="shared" ca="1" si="515"/>
        <v>896</v>
      </c>
      <c r="HA177" s="15" t="str">
        <f t="shared" ca="1" si="602"/>
        <v>VIGENTE</v>
      </c>
      <c r="HB177" s="13">
        <v>44566</v>
      </c>
      <c r="HC177" s="14">
        <v>45232</v>
      </c>
      <c r="HD177" s="14">
        <f t="shared" si="516"/>
        <v>47059</v>
      </c>
      <c r="HE177" s="65">
        <f t="shared" ca="1" si="517"/>
        <v>928</v>
      </c>
      <c r="HF177" s="15" t="str">
        <f t="shared" ca="1" si="603"/>
        <v>VIGENTE</v>
      </c>
      <c r="HG177" s="16"/>
      <c r="HH177" s="14">
        <v>44862</v>
      </c>
      <c r="HI177" s="14">
        <f t="shared" si="593"/>
        <v>46688</v>
      </c>
      <c r="HJ177" s="65">
        <f t="shared" ca="1" si="594"/>
        <v>557</v>
      </c>
      <c r="HK177" s="15" t="str">
        <f t="shared" ca="1" si="604"/>
        <v>VIGENTE</v>
      </c>
      <c r="HL177" s="12"/>
      <c r="HM177" s="16"/>
      <c r="HN177" s="14"/>
      <c r="HO177" s="65"/>
      <c r="HP177" s="15" t="str">
        <f t="shared" si="437"/>
        <v>NO APLICA</v>
      </c>
      <c r="HQ177" s="12"/>
      <c r="HR177" s="15"/>
      <c r="HS177" s="14"/>
      <c r="HT177" s="15"/>
      <c r="HU177" s="15" t="str">
        <f t="shared" si="518"/>
        <v>NO APLICA</v>
      </c>
      <c r="HV177" s="13">
        <v>44589</v>
      </c>
      <c r="HW177" s="14">
        <v>45260</v>
      </c>
      <c r="HX177" s="14">
        <f>DATE(YEAR(HW177)+5,MONTH(HW177),DAY(HW177))</f>
        <v>47087</v>
      </c>
      <c r="HY177" s="65">
        <f ca="1">HX177-TODAY()</f>
        <v>956</v>
      </c>
      <c r="HZ177" s="15" t="str">
        <f t="shared" ca="1" si="519"/>
        <v>VIGENTE</v>
      </c>
      <c r="IA177" s="13">
        <v>44765</v>
      </c>
      <c r="IB177" s="14">
        <v>45428</v>
      </c>
      <c r="IC177" s="14">
        <f>DATE(YEAR(IB177)+5,MONTH(IB177),DAY(IB177))</f>
        <v>47254</v>
      </c>
      <c r="ID177" s="65">
        <f ca="1">IC177-TODAY()</f>
        <v>1123</v>
      </c>
      <c r="IE177" s="15" t="str">
        <f t="shared" ca="1" si="520"/>
        <v>VIGENTE</v>
      </c>
      <c r="IF177" s="13">
        <v>44764</v>
      </c>
      <c r="IG177" s="14">
        <v>45470</v>
      </c>
      <c r="IH177" s="14">
        <f>DATE(YEAR(IG177)+5,MONTH(IG177),DAY(IG177))</f>
        <v>47296</v>
      </c>
      <c r="II177" s="65">
        <f ca="1">IH177-TODAY()</f>
        <v>1165</v>
      </c>
      <c r="IJ177" s="15" t="str">
        <f t="shared" ca="1" si="521"/>
        <v>VIGENTE</v>
      </c>
      <c r="IK177" s="14">
        <v>44753</v>
      </c>
      <c r="IL177" s="14">
        <v>45429</v>
      </c>
      <c r="IM177" s="14">
        <f>DATE(YEAR(IL177)+5,MONTH(IL177),DAY(IL177))</f>
        <v>47255</v>
      </c>
      <c r="IN177" s="65">
        <f ca="1">IM177-TODAY()</f>
        <v>1124</v>
      </c>
      <c r="IO177" s="15" t="str">
        <f t="shared" ca="1" si="522"/>
        <v>VIGENTE</v>
      </c>
      <c r="IP177" s="13">
        <v>37460</v>
      </c>
      <c r="IQ177" s="14">
        <v>45460</v>
      </c>
      <c r="IR177" s="14">
        <f>DATE(YEAR(IQ177)+5,MONTH(IQ177),DAY(IQ177))</f>
        <v>47286</v>
      </c>
      <c r="IS177" s="65">
        <f ca="1">IR177-TODAY()</f>
        <v>1155</v>
      </c>
      <c r="IT177" s="15" t="str">
        <f t="shared" ca="1" si="523"/>
        <v>VIGENTE</v>
      </c>
      <c r="IU177" s="13">
        <v>44764</v>
      </c>
      <c r="IV177" s="14">
        <v>45435</v>
      </c>
      <c r="IW177" s="14">
        <f>DATE(YEAR(IV177)+5,MONTH(IV177),DAY(IV177))</f>
        <v>47261</v>
      </c>
      <c r="IX177" s="65">
        <f ca="1">IW177-TODAY()</f>
        <v>1130</v>
      </c>
      <c r="IY177" s="15" t="str">
        <f t="shared" ca="1" si="524"/>
        <v>VIGENTE</v>
      </c>
      <c r="IZ177" s="13">
        <v>44753</v>
      </c>
      <c r="JA177" s="14">
        <v>45461</v>
      </c>
      <c r="JB177" s="14">
        <f>DATE(YEAR(JA177)+5,MONTH(JA177),DAY(JA177))</f>
        <v>47287</v>
      </c>
      <c r="JC177" s="65">
        <f ca="1">JB177-TODAY()</f>
        <v>1156</v>
      </c>
      <c r="JD177" s="15" t="str">
        <f t="shared" ca="1" si="525"/>
        <v>VIGENTE</v>
      </c>
      <c r="JE177" s="13"/>
      <c r="JF177" s="13"/>
      <c r="JG177" s="14"/>
      <c r="JH177" s="65"/>
      <c r="JI177" s="15" t="str">
        <f t="shared" si="526"/>
        <v>NO APLICA</v>
      </c>
      <c r="JJ177" s="16"/>
      <c r="JK177" s="16"/>
      <c r="JL177" s="16"/>
      <c r="JM177" s="15" t="str">
        <f t="shared" si="527"/>
        <v>NO APLICA</v>
      </c>
      <c r="JN177" s="16"/>
      <c r="JO177" s="16"/>
      <c r="JP177" s="16"/>
      <c r="JQ177" s="15" t="str">
        <f t="shared" si="528"/>
        <v>NO APLICA</v>
      </c>
      <c r="JR177" s="16"/>
      <c r="JS177" s="16"/>
      <c r="JT177" s="16"/>
      <c r="JU177" s="16"/>
      <c r="JV177" s="15" t="str">
        <f t="shared" si="529"/>
        <v>NO APLICA</v>
      </c>
      <c r="JW177" s="15"/>
      <c r="JX177" s="13">
        <v>45948</v>
      </c>
      <c r="JY177" s="14">
        <f>DATE(YEAR(JX177)+2,MONTH(JX177),DAY(JX177))</f>
        <v>46678</v>
      </c>
      <c r="JZ177" s="65">
        <f ca="1">JY177-TODAY()</f>
        <v>547</v>
      </c>
      <c r="KA177" s="15" t="str">
        <f t="shared" ca="1" si="530"/>
        <v>VIGENTE</v>
      </c>
      <c r="KB177" s="15"/>
      <c r="KC177" s="14"/>
      <c r="KD177" s="65"/>
      <c r="KE177" s="15" t="str">
        <f t="shared" si="531"/>
        <v>NO APLICA</v>
      </c>
      <c r="KF177" s="15"/>
      <c r="KG177" s="14"/>
      <c r="KH177" s="65"/>
      <c r="KI177" s="15" t="str">
        <f t="shared" si="547"/>
        <v>NO APLICA</v>
      </c>
      <c r="KJ177" s="15"/>
      <c r="KK177" s="14"/>
      <c r="KL177" s="65"/>
      <c r="KM177" s="15" t="str">
        <f t="shared" si="532"/>
        <v>NO APLICA</v>
      </c>
      <c r="KN177" s="12"/>
      <c r="KO177" s="14"/>
      <c r="KP177" s="65"/>
      <c r="KQ177" s="15" t="str">
        <f t="shared" si="548"/>
        <v>NO APLICA</v>
      </c>
      <c r="KR177" s="13">
        <v>44657</v>
      </c>
      <c r="KS177" s="14">
        <v>44658</v>
      </c>
      <c r="KT177" s="14">
        <f>DATE(YEAR(KS177)+5,MONTH(KS177),DAY(KS177))</f>
        <v>46484</v>
      </c>
      <c r="KU177" s="65">
        <f ca="1">KT177-TODAY()</f>
        <v>353</v>
      </c>
      <c r="KV177" s="15" t="str">
        <f t="shared" ca="1" si="554"/>
        <v>VIGENTE</v>
      </c>
      <c r="KW177" s="16"/>
      <c r="KX177" s="14"/>
      <c r="KY177" s="65"/>
      <c r="KZ177" s="15" t="str">
        <f t="shared" si="549"/>
        <v>NO APLICA</v>
      </c>
      <c r="LA177" s="16"/>
      <c r="LB177" s="14">
        <v>45527</v>
      </c>
      <c r="LC177" s="14">
        <f>DATE(YEAR(LB177)+2,MONTH(LB177),DAY(LB177))</f>
        <v>46257</v>
      </c>
      <c r="LD177" s="65">
        <f ca="1">LC177-TODAY()</f>
        <v>126</v>
      </c>
      <c r="LE177" s="15" t="str">
        <f t="shared" ca="1" si="590"/>
        <v>VIGENTE</v>
      </c>
      <c r="LF177" s="15"/>
      <c r="LG177" s="15"/>
      <c r="LH177" s="14"/>
      <c r="LI177" s="65"/>
      <c r="LJ177" s="15" t="str">
        <f t="shared" si="555"/>
        <v>NO APLICA</v>
      </c>
      <c r="LK177" s="15"/>
      <c r="LL177" s="16"/>
      <c r="LM177" s="14"/>
      <c r="LN177" s="65"/>
      <c r="LO177" s="15" t="str">
        <f t="shared" si="550"/>
        <v>NO APLICA</v>
      </c>
      <c r="LP177" s="16"/>
      <c r="LQ177" s="16"/>
      <c r="LR177" s="14"/>
      <c r="LS177" s="65"/>
      <c r="LT177" s="15" t="str">
        <f t="shared" si="551"/>
        <v>NO APLICA</v>
      </c>
      <c r="LU177" s="16"/>
      <c r="LV177" s="16"/>
      <c r="LW177" s="14"/>
      <c r="LX177" s="65"/>
      <c r="LY177" s="15" t="str">
        <f t="shared" si="552"/>
        <v>NO APLICA</v>
      </c>
      <c r="LZ177" s="15"/>
      <c r="MA177" s="15"/>
      <c r="MB177" s="14"/>
      <c r="MC177" s="65"/>
      <c r="MD177" s="15" t="str">
        <f t="shared" si="534"/>
        <v>NO APLICA</v>
      </c>
      <c r="ME177" s="15"/>
      <c r="MF177" s="15"/>
      <c r="MG177" s="14"/>
      <c r="MH177" s="65"/>
      <c r="MI177" s="15" t="str">
        <f t="shared" si="535"/>
        <v>NO APLICA</v>
      </c>
      <c r="MJ177" s="15"/>
      <c r="MK177" s="14"/>
      <c r="ML177" s="65"/>
      <c r="MM177" s="15" t="str">
        <f t="shared" si="536"/>
        <v>NO APLICA</v>
      </c>
      <c r="MN177" s="15"/>
      <c r="MO177" s="14"/>
      <c r="MP177" s="15"/>
      <c r="MQ177" s="15" t="str">
        <f t="shared" si="537"/>
        <v>NO APLICA</v>
      </c>
      <c r="MR177" s="15"/>
      <c r="MS177" s="16"/>
      <c r="MT177" s="14"/>
      <c r="MU177" s="65"/>
      <c r="MV177" s="15" t="str">
        <f t="shared" si="538"/>
        <v>NO APLICA</v>
      </c>
      <c r="MW177" s="15"/>
      <c r="MX177" s="16"/>
      <c r="MY177" s="14"/>
      <c r="MZ177" s="65"/>
      <c r="NA177" s="15" t="str">
        <f t="shared" si="539"/>
        <v>NO APLICA</v>
      </c>
      <c r="NB177" s="15"/>
      <c r="NC177" s="16"/>
      <c r="ND177" s="14"/>
      <c r="NE177" s="65"/>
      <c r="NF177" s="15" t="str">
        <f t="shared" si="540"/>
        <v>NO APLICA</v>
      </c>
      <c r="NG177" s="15"/>
      <c r="NH177" s="15"/>
      <c r="NI177" s="14"/>
      <c r="NJ177" s="65"/>
      <c r="NK177" s="15" t="str">
        <f t="shared" si="541"/>
        <v>NO APLICA</v>
      </c>
      <c r="NL177" s="15"/>
      <c r="NM177" s="15"/>
      <c r="NN177" s="15"/>
      <c r="NO177" s="15"/>
      <c r="NP177" s="15" t="str">
        <f t="shared" si="542"/>
        <v>NO APLICA</v>
      </c>
      <c r="NQ177" s="16"/>
      <c r="NR177" s="16"/>
      <c r="NS177" s="14"/>
      <c r="NT177" s="65"/>
      <c r="NU177" s="15" t="str">
        <f t="shared" si="543"/>
        <v>NO APLICA</v>
      </c>
      <c r="NV177" s="16"/>
      <c r="NW177" s="16"/>
      <c r="NX177" s="16"/>
      <c r="NY177" s="16"/>
      <c r="NZ177" s="15" t="str">
        <f t="shared" si="544"/>
        <v>NO APLICA</v>
      </c>
    </row>
    <row r="178" spans="1:390" ht="15.6" thickTop="1" thickBot="1" x14ac:dyDescent="0.35">
      <c r="A178" s="9">
        <v>1057</v>
      </c>
      <c r="B178" s="10" t="s">
        <v>630</v>
      </c>
      <c r="C178" s="21" t="s">
        <v>151</v>
      </c>
      <c r="D178" s="64" t="s">
        <v>165</v>
      </c>
      <c r="E178" s="13">
        <v>46057</v>
      </c>
      <c r="F178" s="14">
        <v>46058</v>
      </c>
      <c r="G178" s="14">
        <f>DATE(YEAR(F178)+2,MONTH(F178),DAY(F178))</f>
        <v>46788</v>
      </c>
      <c r="H178" s="65">
        <f ca="1">G178-TODAY()</f>
        <v>657</v>
      </c>
      <c r="I178" s="15" t="str">
        <f t="shared" ca="1" si="448"/>
        <v>VIGENTE</v>
      </c>
      <c r="J178" s="12"/>
      <c r="K178" s="16"/>
      <c r="L178" s="16"/>
      <c r="M178" s="65"/>
      <c r="N178" s="15" t="str">
        <f t="shared" si="449"/>
        <v>NO APLICA</v>
      </c>
      <c r="O178" s="16"/>
      <c r="P178" s="16"/>
      <c r="Q178" s="14"/>
      <c r="R178" s="65"/>
      <c r="S178" s="15" t="str">
        <f t="shared" si="545"/>
        <v>NO APLICA</v>
      </c>
      <c r="T178" s="12" t="s">
        <v>631</v>
      </c>
      <c r="U178" s="13">
        <v>45734</v>
      </c>
      <c r="V178" s="14">
        <v>45735</v>
      </c>
      <c r="W178" s="14">
        <f t="shared" si="577"/>
        <v>47561</v>
      </c>
      <c r="X178" s="65">
        <f t="shared" ca="1" si="578"/>
        <v>1430</v>
      </c>
      <c r="Y178" s="15" t="str">
        <f t="shared" ca="1" si="595"/>
        <v>VIGENTE</v>
      </c>
      <c r="Z178" s="12"/>
      <c r="AA178" s="12"/>
      <c r="AB178" s="16"/>
      <c r="AC178" s="14"/>
      <c r="AD178" s="65"/>
      <c r="AE178" s="15" t="str">
        <f t="shared" si="598"/>
        <v>NO APLICA</v>
      </c>
      <c r="AF178" s="13">
        <v>45243</v>
      </c>
      <c r="AG178" s="14">
        <v>45902</v>
      </c>
      <c r="AH178" s="14">
        <f>DATE(YEAR(AG178)+2,MONTH(AG178),DAY(AG178))</f>
        <v>46632</v>
      </c>
      <c r="AI178" s="65">
        <f t="shared" ca="1" si="450"/>
        <v>501</v>
      </c>
      <c r="AJ178" s="15" t="str">
        <f t="shared" ca="1" si="592"/>
        <v>VIGENTE</v>
      </c>
      <c r="AK178" s="13">
        <v>44594</v>
      </c>
      <c r="AL178" s="14">
        <v>45926</v>
      </c>
      <c r="AM178" s="14">
        <f>DATE(YEAR(AL178)+2,MONTH(AL178),DAY(AL178))</f>
        <v>46656</v>
      </c>
      <c r="AN178" s="65">
        <f t="shared" ca="1" si="451"/>
        <v>525</v>
      </c>
      <c r="AO178" s="15" t="str">
        <f t="shared" ca="1" si="452"/>
        <v>VIGENTE</v>
      </c>
      <c r="AP178" s="13">
        <v>44671</v>
      </c>
      <c r="AQ178" s="14">
        <v>45904</v>
      </c>
      <c r="AR178" s="14">
        <f t="shared" si="599"/>
        <v>46634</v>
      </c>
      <c r="AS178" s="65">
        <f t="shared" ca="1" si="453"/>
        <v>503</v>
      </c>
      <c r="AT178" s="15" t="str">
        <f t="shared" ca="1" si="454"/>
        <v>VIGENTE</v>
      </c>
      <c r="AU178" s="13">
        <v>44671</v>
      </c>
      <c r="AV178" s="14">
        <v>45906</v>
      </c>
      <c r="AW178" s="14">
        <f>DATE(YEAR(AV178)+2,MONTH(AV178),DAY(AV178))</f>
        <v>46636</v>
      </c>
      <c r="AX178" s="65">
        <f t="shared" ca="1" si="455"/>
        <v>505</v>
      </c>
      <c r="AY178" s="15" t="str">
        <f t="shared" ca="1" si="456"/>
        <v>VIGENTE</v>
      </c>
      <c r="AZ178" s="13">
        <v>45075</v>
      </c>
      <c r="BA178" s="14">
        <v>45717</v>
      </c>
      <c r="BB178" s="14">
        <f>DATE(YEAR(BA178)+2,MONTH(BA178),DAY(BA178)-1)</f>
        <v>46446</v>
      </c>
      <c r="BC178" s="65">
        <f t="shared" ca="1" si="457"/>
        <v>315</v>
      </c>
      <c r="BD178" s="15" t="str">
        <f t="shared" ca="1" si="458"/>
        <v>VIGENTE</v>
      </c>
      <c r="BE178" s="13">
        <v>44904</v>
      </c>
      <c r="BF178" s="14">
        <v>45531</v>
      </c>
      <c r="BG178" s="14">
        <f>DATE(YEAR(BF178)+2,MONTH(BF178),DAY(BF178)-1)</f>
        <v>46260</v>
      </c>
      <c r="BH178" s="65">
        <f t="shared" ca="1" si="459"/>
        <v>129</v>
      </c>
      <c r="BI178" s="15" t="str">
        <f t="shared" ca="1" si="460"/>
        <v>VIGENTE</v>
      </c>
      <c r="BJ178" s="13">
        <v>44956</v>
      </c>
      <c r="BK178" s="14">
        <v>45570</v>
      </c>
      <c r="BL178" s="14">
        <f>DATE(YEAR(BK178)+2,MONTH(BK178),DAY(BK178)-1)</f>
        <v>46299</v>
      </c>
      <c r="BM178" s="65">
        <f t="shared" ca="1" si="461"/>
        <v>168</v>
      </c>
      <c r="BN178" s="15" t="str">
        <f t="shared" ca="1" si="462"/>
        <v>VIGENTE</v>
      </c>
      <c r="BO178" s="13">
        <v>45073</v>
      </c>
      <c r="BP178" s="14">
        <v>45701</v>
      </c>
      <c r="BQ178" s="14">
        <f>DATE(YEAR(BP178)+2,MONTH(BP178),DAY(BP178)-1)</f>
        <v>46430</v>
      </c>
      <c r="BR178" s="65">
        <f t="shared" ca="1" si="463"/>
        <v>299</v>
      </c>
      <c r="BS178" s="15" t="str">
        <f t="shared" ca="1" si="464"/>
        <v>VIGENTE</v>
      </c>
      <c r="BT178" s="13">
        <v>45048</v>
      </c>
      <c r="BU178" s="14">
        <v>45695</v>
      </c>
      <c r="BV178" s="14">
        <f>DATE(YEAR(BU178)+2,MONTH(BU178),DAY(BU178)-1)</f>
        <v>46424</v>
      </c>
      <c r="BW178" s="65">
        <f t="shared" ca="1" si="465"/>
        <v>293</v>
      </c>
      <c r="BX178" s="15" t="str">
        <f t="shared" ca="1" si="466"/>
        <v>VIGENTE</v>
      </c>
      <c r="BY178" s="13">
        <v>44594</v>
      </c>
      <c r="BZ178" s="14">
        <v>45911</v>
      </c>
      <c r="CA178" s="14">
        <f>DATE(YEAR(BZ178)+2,MONTH(BZ178),DAY(BZ178))</f>
        <v>46641</v>
      </c>
      <c r="CB178" s="65">
        <f t="shared" ca="1" si="467"/>
        <v>510</v>
      </c>
      <c r="CC178" s="15" t="str">
        <f t="shared" ca="1" si="468"/>
        <v>VIGENTE</v>
      </c>
      <c r="CD178" s="16" t="s">
        <v>108</v>
      </c>
      <c r="CE178" s="14">
        <v>45528</v>
      </c>
      <c r="CF178" s="14">
        <v>45529</v>
      </c>
      <c r="CG178" s="14">
        <f t="shared" si="580"/>
        <v>46990</v>
      </c>
      <c r="CH178" s="65">
        <f t="shared" ca="1" si="581"/>
        <v>859</v>
      </c>
      <c r="CI178" s="15" t="str">
        <f t="shared" ca="1" si="562"/>
        <v>VIGENTE</v>
      </c>
      <c r="CJ178" s="14">
        <v>45006</v>
      </c>
      <c r="CK178" s="14">
        <v>45688</v>
      </c>
      <c r="CL178" s="14">
        <f>DATE(YEAR(CK178)+2,MONTH(CK178),DAY(CK178)-1)</f>
        <v>46417</v>
      </c>
      <c r="CM178" s="65">
        <f t="shared" ca="1" si="469"/>
        <v>286</v>
      </c>
      <c r="CN178" s="15" t="str">
        <f t="shared" ca="1" si="470"/>
        <v>VIGENTE</v>
      </c>
      <c r="CO178" s="13">
        <v>45087</v>
      </c>
      <c r="CP178" s="14">
        <v>45769</v>
      </c>
      <c r="CQ178" s="14">
        <f>DATE(YEAR(CP178)+2,MONTH(CP178),DAY(CP178))</f>
        <v>46499</v>
      </c>
      <c r="CR178" s="65">
        <f t="shared" ca="1" si="471"/>
        <v>368</v>
      </c>
      <c r="CS178" s="15" t="str">
        <f t="shared" ca="1" si="472"/>
        <v>VIGENTE</v>
      </c>
      <c r="CT178" s="13">
        <v>45309</v>
      </c>
      <c r="CU178" s="14">
        <v>45965</v>
      </c>
      <c r="CV178" s="14">
        <f>DATE(YEAR(CU178)+2,MONTH(CU178),DAY(CU178))</f>
        <v>46695</v>
      </c>
      <c r="CW178" s="65">
        <f t="shared" ca="1" si="473"/>
        <v>564</v>
      </c>
      <c r="CX178" s="15" t="str">
        <f t="shared" ca="1" si="474"/>
        <v>VIGENTE</v>
      </c>
      <c r="CY178" s="13">
        <v>44643</v>
      </c>
      <c r="CZ178" s="14">
        <v>45924</v>
      </c>
      <c r="DA178" s="14">
        <f>DATE(YEAR(CZ178)+2,MONTH(CZ178),DAY(CZ178))</f>
        <v>46654</v>
      </c>
      <c r="DB178" s="65">
        <f t="shared" ca="1" si="475"/>
        <v>523</v>
      </c>
      <c r="DC178" s="15" t="str">
        <f t="shared" ca="1" si="476"/>
        <v>VIGENTE</v>
      </c>
      <c r="DD178" s="13">
        <v>45037</v>
      </c>
      <c r="DE178" s="14">
        <v>45689</v>
      </c>
      <c r="DF178" s="14">
        <f>DATE(YEAR(DE178)+2,MONTH(DE178),DAY(DE178)-1)</f>
        <v>46418</v>
      </c>
      <c r="DG178" s="65">
        <f t="shared" ca="1" si="477"/>
        <v>287</v>
      </c>
      <c r="DH178" s="15" t="str">
        <f t="shared" ca="1" si="478"/>
        <v>VIGENTE</v>
      </c>
      <c r="DI178" s="13">
        <v>44642</v>
      </c>
      <c r="DJ178" s="14">
        <v>45975</v>
      </c>
      <c r="DK178" s="14">
        <f>DATE(YEAR(DJ178)+2,MONTH(DJ178),DAY(DJ178))</f>
        <v>46705</v>
      </c>
      <c r="DL178" s="65">
        <f t="shared" ca="1" si="479"/>
        <v>574</v>
      </c>
      <c r="DM178" s="15" t="str">
        <f t="shared" ca="1" si="480"/>
        <v>VIGENTE</v>
      </c>
      <c r="DN178" s="13">
        <v>45345</v>
      </c>
      <c r="DO178" s="14">
        <v>45982</v>
      </c>
      <c r="DP178" s="14">
        <f>DATE(YEAR(DO178)+2,MONTH(DO178),DAY(DO178))</f>
        <v>46712</v>
      </c>
      <c r="DQ178" s="65">
        <f t="shared" ca="1" si="481"/>
        <v>581</v>
      </c>
      <c r="DR178" s="15" t="str">
        <f t="shared" ca="1" si="482"/>
        <v>VIGENTE</v>
      </c>
      <c r="DS178" s="13">
        <v>45019</v>
      </c>
      <c r="DT178" s="14">
        <v>45685</v>
      </c>
      <c r="DU178" s="14">
        <f>DATE(YEAR(DT178)+2,MONTH(DT178),DAY(DT178)-1)</f>
        <v>46414</v>
      </c>
      <c r="DV178" s="65">
        <f t="shared" ca="1" si="483"/>
        <v>283</v>
      </c>
      <c r="DW178" s="15" t="str">
        <f t="shared" ca="1" si="484"/>
        <v>VIGENTE</v>
      </c>
      <c r="DX178" s="13">
        <v>45064</v>
      </c>
      <c r="DY178" s="14">
        <v>45663</v>
      </c>
      <c r="DZ178" s="14">
        <f>DATE(YEAR(DY178)+2,MONTH(DY178),DAY(DY178)-1)</f>
        <v>46392</v>
      </c>
      <c r="EA178" s="65">
        <f t="shared" ca="1" si="485"/>
        <v>261</v>
      </c>
      <c r="EB178" s="15" t="str">
        <f t="shared" ca="1" si="486"/>
        <v>VIGENTE</v>
      </c>
      <c r="EC178" s="13">
        <v>45040</v>
      </c>
      <c r="ED178" s="14">
        <v>45674</v>
      </c>
      <c r="EE178" s="14">
        <f>DATE(YEAR(ED178)+2,MONTH(ED178),DAY(ED178)-1)</f>
        <v>46403</v>
      </c>
      <c r="EF178" s="65">
        <f t="shared" ca="1" si="487"/>
        <v>272</v>
      </c>
      <c r="EG178" s="15" t="str">
        <f t="shared" ca="1" si="488"/>
        <v>VIGENTE</v>
      </c>
      <c r="EH178" s="13">
        <v>45012</v>
      </c>
      <c r="EI178" s="13">
        <v>46083</v>
      </c>
      <c r="EJ178" s="13">
        <v>46084</v>
      </c>
      <c r="EK178" s="13">
        <v>46085</v>
      </c>
      <c r="EL178" s="14">
        <f t="shared" si="546"/>
        <v>46450</v>
      </c>
      <c r="EM178" s="65">
        <f t="shared" ca="1" si="489"/>
        <v>319</v>
      </c>
      <c r="EN178" s="15" t="str">
        <f t="shared" ca="1" si="490"/>
        <v>VIGENTE</v>
      </c>
      <c r="EO178" s="13">
        <v>45076</v>
      </c>
      <c r="EP178" s="14">
        <v>45705</v>
      </c>
      <c r="EQ178" s="14">
        <f>DATE(YEAR(EP178)+2,MONTH(EP178),DAY(EP178)-1)</f>
        <v>46434</v>
      </c>
      <c r="ER178" s="65">
        <f t="shared" ca="1" si="491"/>
        <v>303</v>
      </c>
      <c r="ES178" s="15" t="str">
        <f t="shared" ca="1" si="492"/>
        <v>VIGENTE</v>
      </c>
      <c r="ET178" s="13">
        <v>45096</v>
      </c>
      <c r="EU178" s="14">
        <v>45749</v>
      </c>
      <c r="EV178" s="14">
        <f>DATE(YEAR(EU178)+2,MONTH(EU178),DAY(EU178)-1)</f>
        <v>46478</v>
      </c>
      <c r="EW178" s="65">
        <f t="shared" ca="1" si="493"/>
        <v>347</v>
      </c>
      <c r="EX178" s="15" t="str">
        <f t="shared" ca="1" si="494"/>
        <v>VIGENTE</v>
      </c>
      <c r="EY178" s="13">
        <v>44595</v>
      </c>
      <c r="EZ178" s="14">
        <v>45917</v>
      </c>
      <c r="FA178" s="14">
        <f t="shared" si="600"/>
        <v>46647</v>
      </c>
      <c r="FB178" s="65">
        <f t="shared" ca="1" si="495"/>
        <v>516</v>
      </c>
      <c r="FC178" s="15" t="str">
        <f t="shared" ca="1" si="496"/>
        <v>VIGENTE</v>
      </c>
      <c r="FD178" s="13">
        <v>44595</v>
      </c>
      <c r="FE178" s="14">
        <v>45931</v>
      </c>
      <c r="FF178" s="14">
        <f>DATE(YEAR(FE178)+2,MONTH(FE178),DAY(FE178))</f>
        <v>46661</v>
      </c>
      <c r="FG178" s="65">
        <f t="shared" ca="1" si="497"/>
        <v>530</v>
      </c>
      <c r="FH178" s="15" t="str">
        <f t="shared" ca="1" si="498"/>
        <v>VIGENTE</v>
      </c>
      <c r="FI178" s="13">
        <v>44596</v>
      </c>
      <c r="FJ178" s="14">
        <v>45932</v>
      </c>
      <c r="FK178" s="14">
        <f>DATE(YEAR(FJ178)+2,MONTH(FJ178),DAY(FJ178))</f>
        <v>46662</v>
      </c>
      <c r="FL178" s="65">
        <f t="shared" ca="1" si="499"/>
        <v>531</v>
      </c>
      <c r="FM178" s="15" t="str">
        <f t="shared" ca="1" si="500"/>
        <v>VIGENTE</v>
      </c>
      <c r="FN178" s="13">
        <v>45062</v>
      </c>
      <c r="FO178" s="14">
        <v>45670</v>
      </c>
      <c r="FP178" s="14">
        <f>DATE(YEAR(FO178)+2,MONTH(FO178),DAY(FO178)-1)</f>
        <v>46399</v>
      </c>
      <c r="FQ178" s="65">
        <f t="shared" ca="1" si="501"/>
        <v>268</v>
      </c>
      <c r="FR178" s="15" t="str">
        <f t="shared" ca="1" si="502"/>
        <v>VIGENTE</v>
      </c>
      <c r="FS178" s="13">
        <v>45041</v>
      </c>
      <c r="FT178" s="14">
        <v>45664</v>
      </c>
      <c r="FU178" s="14">
        <f>DATE(YEAR(FT178)+2,MONTH(FT178),DAY(FT178)-1)</f>
        <v>46393</v>
      </c>
      <c r="FV178" s="65">
        <f t="shared" ca="1" si="503"/>
        <v>262</v>
      </c>
      <c r="FW178" s="15" t="str">
        <f t="shared" ca="1" si="504"/>
        <v>VIGENTE</v>
      </c>
      <c r="FX178" s="13">
        <v>44596</v>
      </c>
      <c r="FY178" s="14">
        <v>45993</v>
      </c>
      <c r="FZ178" s="14">
        <f>DATE(YEAR(FY178)+2,MONTH(FY178),DAY(FY178))</f>
        <v>46723</v>
      </c>
      <c r="GA178" s="65">
        <f t="shared" ca="1" si="505"/>
        <v>592</v>
      </c>
      <c r="GB178" s="15" t="str">
        <f t="shared" ca="1" si="506"/>
        <v>VIGENTE</v>
      </c>
      <c r="GC178" s="13">
        <v>44995</v>
      </c>
      <c r="GD178" s="14">
        <v>45667</v>
      </c>
      <c r="GE178" s="14">
        <f>DATE(YEAR(GD178)+2,MONTH(GD178),DAY(GD178)-1)</f>
        <v>46396</v>
      </c>
      <c r="GF178" s="65">
        <f t="shared" ca="1" si="507"/>
        <v>265</v>
      </c>
      <c r="GG178" s="15" t="str">
        <f t="shared" ca="1" si="508"/>
        <v>VIGENTE</v>
      </c>
      <c r="GH178" s="13">
        <v>45022</v>
      </c>
      <c r="GI178" s="14">
        <v>45672</v>
      </c>
      <c r="GJ178" s="14">
        <f>DATE(YEAR(GI178)+2,MONTH(GI178),DAY(GI178)-1)</f>
        <v>46401</v>
      </c>
      <c r="GK178" s="65">
        <f t="shared" ca="1" si="509"/>
        <v>270</v>
      </c>
      <c r="GL178" s="15" t="str">
        <f t="shared" ca="1" si="510"/>
        <v>VIGENTE</v>
      </c>
      <c r="GM178" s="13">
        <v>44915</v>
      </c>
      <c r="GN178" s="14">
        <v>45608</v>
      </c>
      <c r="GO178" s="14">
        <f>DATE(YEAR(GN178)+2,MONTH(GN178),DAY(GN178)-1)</f>
        <v>46337</v>
      </c>
      <c r="GP178" s="65">
        <f t="shared" ca="1" si="511"/>
        <v>206</v>
      </c>
      <c r="GQ178" s="15" t="str">
        <f t="shared" ca="1" si="512"/>
        <v>VIGENTE</v>
      </c>
      <c r="GR178" s="14"/>
      <c r="GS178" s="14">
        <v>44912</v>
      </c>
      <c r="GT178" s="14">
        <f t="shared" si="513"/>
        <v>46738</v>
      </c>
      <c r="GU178" s="65">
        <f t="shared" ca="1" si="591"/>
        <v>607</v>
      </c>
      <c r="GV178" s="15" t="str">
        <f t="shared" ca="1" si="601"/>
        <v>VIGENTE</v>
      </c>
      <c r="GW178" s="13"/>
      <c r="GX178" s="14">
        <v>44984</v>
      </c>
      <c r="GY178" s="14">
        <f t="shared" si="514"/>
        <v>46810</v>
      </c>
      <c r="GZ178" s="65">
        <f t="shared" ca="1" si="515"/>
        <v>679</v>
      </c>
      <c r="HA178" s="15" t="str">
        <f t="shared" ca="1" si="602"/>
        <v>VIGENTE</v>
      </c>
      <c r="HB178" s="13">
        <v>44531</v>
      </c>
      <c r="HC178" s="14">
        <v>45174</v>
      </c>
      <c r="HD178" s="14">
        <f t="shared" si="516"/>
        <v>47001</v>
      </c>
      <c r="HE178" s="65">
        <f t="shared" ca="1" si="517"/>
        <v>870</v>
      </c>
      <c r="HF178" s="15" t="str">
        <f t="shared" ca="1" si="603"/>
        <v>VIGENTE</v>
      </c>
      <c r="HG178" s="16"/>
      <c r="HH178" s="16"/>
      <c r="HI178" s="14"/>
      <c r="HJ178" s="65"/>
      <c r="HK178" s="15" t="str">
        <f t="shared" si="604"/>
        <v>NO APLICA</v>
      </c>
      <c r="HL178" s="12"/>
      <c r="HM178" s="16"/>
      <c r="HN178" s="14"/>
      <c r="HO178" s="65"/>
      <c r="HP178" s="15" t="str">
        <f t="shared" si="437"/>
        <v>NO APLICA</v>
      </c>
      <c r="HQ178" s="12"/>
      <c r="HR178" s="12"/>
      <c r="HS178" s="14"/>
      <c r="HT178" s="12"/>
      <c r="HU178" s="15" t="str">
        <f t="shared" si="518"/>
        <v>NO APLICA</v>
      </c>
      <c r="HV178" s="12"/>
      <c r="HW178" s="16"/>
      <c r="HX178" s="14"/>
      <c r="HY178" s="65"/>
      <c r="HZ178" s="15" t="str">
        <f t="shared" si="519"/>
        <v>NO APLICA</v>
      </c>
      <c r="IA178" s="12"/>
      <c r="IB178" s="16"/>
      <c r="IC178" s="14"/>
      <c r="ID178" s="65"/>
      <c r="IE178" s="15" t="str">
        <f t="shared" si="520"/>
        <v>NO APLICA</v>
      </c>
      <c r="IF178" s="12"/>
      <c r="IG178" s="16"/>
      <c r="IH178" s="14"/>
      <c r="II178" s="65"/>
      <c r="IJ178" s="15" t="str">
        <f t="shared" si="521"/>
        <v>NO APLICA</v>
      </c>
      <c r="IK178" s="16"/>
      <c r="IL178" s="16"/>
      <c r="IM178" s="14"/>
      <c r="IN178" s="65"/>
      <c r="IO178" s="15" t="str">
        <f t="shared" si="522"/>
        <v>NO APLICA</v>
      </c>
      <c r="IP178" s="12"/>
      <c r="IQ178" s="16"/>
      <c r="IR178" s="14"/>
      <c r="IS178" s="65"/>
      <c r="IT178" s="15" t="str">
        <f t="shared" si="523"/>
        <v>NO APLICA</v>
      </c>
      <c r="IU178" s="12"/>
      <c r="IV178" s="16"/>
      <c r="IW178" s="14"/>
      <c r="IX178" s="65"/>
      <c r="IY178" s="15" t="str">
        <f t="shared" si="524"/>
        <v>NO APLICA</v>
      </c>
      <c r="IZ178" s="12"/>
      <c r="JA178" s="16"/>
      <c r="JB178" s="14"/>
      <c r="JC178" s="65"/>
      <c r="JD178" s="15" t="str">
        <f t="shared" si="525"/>
        <v>NO APLICA</v>
      </c>
      <c r="JE178" s="13"/>
      <c r="JF178" s="13"/>
      <c r="JG178" s="14"/>
      <c r="JH178" s="65"/>
      <c r="JI178" s="15" t="str">
        <f t="shared" si="526"/>
        <v>NO APLICA</v>
      </c>
      <c r="JJ178" s="16"/>
      <c r="JK178" s="16"/>
      <c r="JL178" s="16"/>
      <c r="JM178" s="15" t="str">
        <f t="shared" si="527"/>
        <v>NO APLICA</v>
      </c>
      <c r="JN178" s="16"/>
      <c r="JO178" s="16"/>
      <c r="JP178" s="16"/>
      <c r="JQ178" s="15" t="str">
        <f t="shared" si="528"/>
        <v>NO APLICA</v>
      </c>
      <c r="JR178" s="16"/>
      <c r="JS178" s="16"/>
      <c r="JT178" s="16"/>
      <c r="JU178" s="16"/>
      <c r="JV178" s="15" t="str">
        <f t="shared" si="529"/>
        <v>NO APLICA</v>
      </c>
      <c r="JW178" s="15"/>
      <c r="JX178" s="13">
        <v>45948</v>
      </c>
      <c r="JY178" s="14">
        <f>DATE(YEAR(JX178)+2,MONTH(JX178),DAY(JX178))</f>
        <v>46678</v>
      </c>
      <c r="JZ178" s="65">
        <f ca="1">JY178-TODAY()</f>
        <v>547</v>
      </c>
      <c r="KA178" s="15" t="str">
        <f t="shared" ca="1" si="530"/>
        <v>VIGENTE</v>
      </c>
      <c r="KB178" s="12"/>
      <c r="KC178" s="14"/>
      <c r="KD178" s="65"/>
      <c r="KE178" s="15" t="str">
        <f t="shared" si="531"/>
        <v>NO APLICA</v>
      </c>
      <c r="KF178" s="12"/>
      <c r="KG178" s="14"/>
      <c r="KH178" s="65"/>
      <c r="KI178" s="15" t="str">
        <f t="shared" si="547"/>
        <v>NO APLICA</v>
      </c>
      <c r="KJ178" s="12"/>
      <c r="KK178" s="14"/>
      <c r="KL178" s="65"/>
      <c r="KM178" s="15" t="str">
        <f t="shared" si="532"/>
        <v>NO APLICA</v>
      </c>
      <c r="KN178" s="12"/>
      <c r="KO178" s="14"/>
      <c r="KP178" s="65"/>
      <c r="KQ178" s="15" t="str">
        <f t="shared" si="548"/>
        <v>NO APLICA</v>
      </c>
      <c r="KR178" s="12"/>
      <c r="KS178" s="16"/>
      <c r="KT178" s="14"/>
      <c r="KU178" s="65"/>
      <c r="KV178" s="15" t="str">
        <f t="shared" si="554"/>
        <v>NO APLICA</v>
      </c>
      <c r="KW178" s="16"/>
      <c r="KX178" s="14"/>
      <c r="KY178" s="65"/>
      <c r="KZ178" s="15" t="str">
        <f t="shared" si="549"/>
        <v>NO APLICA</v>
      </c>
      <c r="LA178" s="16"/>
      <c r="LB178" s="16"/>
      <c r="LC178" s="14"/>
      <c r="LD178" s="65"/>
      <c r="LE178" s="15" t="str">
        <f t="shared" si="590"/>
        <v>NO APLICA</v>
      </c>
      <c r="LF178" s="15"/>
      <c r="LG178" s="15"/>
      <c r="LH178" s="14"/>
      <c r="LI178" s="65"/>
      <c r="LJ178" s="15" t="str">
        <f t="shared" si="555"/>
        <v>NO APLICA</v>
      </c>
      <c r="LK178" s="12"/>
      <c r="LL178" s="16"/>
      <c r="LM178" s="14"/>
      <c r="LN178" s="65"/>
      <c r="LO178" s="15" t="str">
        <f t="shared" si="550"/>
        <v>NO APLICA</v>
      </c>
      <c r="LP178" s="16"/>
      <c r="LQ178" s="16"/>
      <c r="LR178" s="14"/>
      <c r="LS178" s="65"/>
      <c r="LT178" s="15" t="str">
        <f t="shared" si="551"/>
        <v>NO APLICA</v>
      </c>
      <c r="LU178" s="16"/>
      <c r="LV178" s="16"/>
      <c r="LW178" s="14"/>
      <c r="LX178" s="65"/>
      <c r="LY178" s="15" t="str">
        <f t="shared" si="552"/>
        <v>NO APLICA</v>
      </c>
      <c r="LZ178" s="12"/>
      <c r="MA178" s="12"/>
      <c r="MB178" s="14"/>
      <c r="MC178" s="65"/>
      <c r="MD178" s="15" t="str">
        <f t="shared" si="534"/>
        <v>NO APLICA</v>
      </c>
      <c r="ME178" s="12"/>
      <c r="MF178" s="12"/>
      <c r="MG178" s="14"/>
      <c r="MH178" s="65"/>
      <c r="MI178" s="15" t="str">
        <f t="shared" si="535"/>
        <v>NO APLICA</v>
      </c>
      <c r="MJ178" s="12"/>
      <c r="MK178" s="14"/>
      <c r="ML178" s="65"/>
      <c r="MM178" s="15" t="str">
        <f t="shared" si="536"/>
        <v>NO APLICA</v>
      </c>
      <c r="MN178" s="12"/>
      <c r="MO178" s="14"/>
      <c r="MP178" s="12"/>
      <c r="MQ178" s="15" t="str">
        <f t="shared" si="537"/>
        <v>NO APLICA</v>
      </c>
      <c r="MR178" s="12"/>
      <c r="MS178" s="16"/>
      <c r="MT178" s="14"/>
      <c r="MU178" s="65"/>
      <c r="MV178" s="15" t="str">
        <f t="shared" si="538"/>
        <v>NO APLICA</v>
      </c>
      <c r="MW178" s="12"/>
      <c r="MX178" s="16"/>
      <c r="MY178" s="14"/>
      <c r="MZ178" s="65"/>
      <c r="NA178" s="15" t="str">
        <f t="shared" si="539"/>
        <v>NO APLICA</v>
      </c>
      <c r="NB178" s="12"/>
      <c r="NC178" s="16"/>
      <c r="ND178" s="14"/>
      <c r="NE178" s="65"/>
      <c r="NF178" s="15" t="str">
        <f t="shared" si="540"/>
        <v>NO APLICA</v>
      </c>
      <c r="NG178" s="12"/>
      <c r="NH178" s="12"/>
      <c r="NI178" s="14"/>
      <c r="NJ178" s="65"/>
      <c r="NK178" s="15" t="str">
        <f t="shared" si="541"/>
        <v>NO APLICA</v>
      </c>
      <c r="NL178" s="12"/>
      <c r="NM178" s="12"/>
      <c r="NN178" s="12"/>
      <c r="NO178" s="12"/>
      <c r="NP178" s="15" t="str">
        <f t="shared" si="542"/>
        <v>NO APLICA</v>
      </c>
      <c r="NQ178" s="16"/>
      <c r="NR178" s="16"/>
      <c r="NS178" s="14"/>
      <c r="NT178" s="65"/>
      <c r="NU178" s="15" t="str">
        <f t="shared" si="543"/>
        <v>NO APLICA</v>
      </c>
      <c r="NV178" s="16"/>
      <c r="NW178" s="16"/>
      <c r="NX178" s="16"/>
      <c r="NY178" s="16"/>
      <c r="NZ178" s="15" t="str">
        <f t="shared" si="544"/>
        <v>NO APLICA</v>
      </c>
    </row>
    <row r="179" spans="1:390" ht="15.6" thickTop="1" thickBot="1" x14ac:dyDescent="0.35">
      <c r="A179" s="11">
        <v>1241</v>
      </c>
      <c r="B179" s="10" t="s">
        <v>632</v>
      </c>
      <c r="C179" s="21" t="s">
        <v>104</v>
      </c>
      <c r="D179" s="64" t="s">
        <v>110</v>
      </c>
      <c r="E179" s="16"/>
      <c r="F179" s="16"/>
      <c r="G179" s="16"/>
      <c r="H179" s="16"/>
      <c r="I179" s="15" t="str">
        <f t="shared" si="448"/>
        <v>NO APLICA</v>
      </c>
      <c r="J179" s="16"/>
      <c r="K179" s="16"/>
      <c r="L179" s="16"/>
      <c r="M179" s="16"/>
      <c r="N179" s="15" t="str">
        <f t="shared" si="449"/>
        <v>NO APLICA</v>
      </c>
      <c r="O179" s="16"/>
      <c r="P179" s="16"/>
      <c r="Q179" s="16"/>
      <c r="R179" s="16"/>
      <c r="S179" s="15" t="str">
        <f t="shared" si="545"/>
        <v>NO APLICA</v>
      </c>
      <c r="T179" s="16" t="s">
        <v>633</v>
      </c>
      <c r="U179" s="14">
        <v>45425</v>
      </c>
      <c r="V179" s="14">
        <v>45426</v>
      </c>
      <c r="W179" s="14">
        <f t="shared" si="577"/>
        <v>47252</v>
      </c>
      <c r="X179" s="65">
        <f t="shared" ca="1" si="578"/>
        <v>1121</v>
      </c>
      <c r="Y179" s="15" t="str">
        <f t="shared" ca="1" si="595"/>
        <v>VIGENTE</v>
      </c>
      <c r="Z179" s="16" t="s">
        <v>634</v>
      </c>
      <c r="AA179" s="13">
        <v>45463</v>
      </c>
      <c r="AB179" s="14">
        <v>45464</v>
      </c>
      <c r="AC179" s="14">
        <f>DATE(YEAR(AB179)+5,MONTH(AB179),DAY(AB179))</f>
        <v>47290</v>
      </c>
      <c r="AD179" s="65">
        <f t="shared" ref="AD179:AD188" ca="1" si="605">AC179-TODAY()</f>
        <v>1159</v>
      </c>
      <c r="AE179" s="15" t="str">
        <f t="shared" ca="1" si="598"/>
        <v>VIGENTE</v>
      </c>
      <c r="AF179" s="16"/>
      <c r="AG179" s="14">
        <v>45512</v>
      </c>
      <c r="AH179" s="14">
        <f>DATE(YEAR(AG179)+2,MONTH(AG179),DAY(AG179)-1)</f>
        <v>46241</v>
      </c>
      <c r="AI179" s="65">
        <f t="shared" ca="1" si="450"/>
        <v>110</v>
      </c>
      <c r="AJ179" s="15" t="str">
        <f t="shared" ca="1" si="592"/>
        <v>VIGENTE</v>
      </c>
      <c r="AK179" s="14">
        <v>45446</v>
      </c>
      <c r="AL179" s="14">
        <v>46084</v>
      </c>
      <c r="AM179" s="14">
        <f>DATE(YEAR(AL179)+2,MONTH(AL179),DAY(AL179))</f>
        <v>46815</v>
      </c>
      <c r="AN179" s="65">
        <f t="shared" ca="1" si="451"/>
        <v>684</v>
      </c>
      <c r="AO179" s="15" t="str">
        <f t="shared" ca="1" si="452"/>
        <v>VIGENTE</v>
      </c>
      <c r="AP179" s="16"/>
      <c r="AQ179" s="14">
        <v>46048</v>
      </c>
      <c r="AR179" s="14">
        <f t="shared" si="599"/>
        <v>46778</v>
      </c>
      <c r="AS179" s="65">
        <f t="shared" ca="1" si="453"/>
        <v>647</v>
      </c>
      <c r="AT179" s="15" t="str">
        <f t="shared" ca="1" si="454"/>
        <v>VIGENTE</v>
      </c>
      <c r="AU179" s="16"/>
      <c r="AV179" s="14">
        <v>45523</v>
      </c>
      <c r="AW179" s="14">
        <f>DATE(YEAR(AV179)+2,MONTH(AV179),DAY(AV179)-1)</f>
        <v>46252</v>
      </c>
      <c r="AX179" s="65">
        <f t="shared" ca="1" si="455"/>
        <v>121</v>
      </c>
      <c r="AY179" s="15" t="str">
        <f t="shared" ca="1" si="456"/>
        <v>VIGENTE</v>
      </c>
      <c r="AZ179" s="14"/>
      <c r="BA179" s="14">
        <v>46071</v>
      </c>
      <c r="BB179" s="14">
        <f>DATE(YEAR(BA179)+2,MONTH(BA179),DAY(BA179))</f>
        <v>46801</v>
      </c>
      <c r="BC179" s="65">
        <f t="shared" ca="1" si="457"/>
        <v>670</v>
      </c>
      <c r="BD179" s="15" t="str">
        <f t="shared" ca="1" si="458"/>
        <v>VIGENTE</v>
      </c>
      <c r="BE179" s="16"/>
      <c r="BF179" s="14">
        <v>46067</v>
      </c>
      <c r="BG179" s="14">
        <f t="shared" ref="BG179:BG185" si="606">DATE(YEAR(BF179)+2,MONTH(BF179),DAY(BF179))</f>
        <v>46797</v>
      </c>
      <c r="BH179" s="65">
        <f t="shared" ca="1" si="459"/>
        <v>666</v>
      </c>
      <c r="BI179" s="15" t="str">
        <f t="shared" ca="1" si="460"/>
        <v>VIGENTE</v>
      </c>
      <c r="BJ179" s="14">
        <v>45444</v>
      </c>
      <c r="BK179" s="14">
        <v>46090</v>
      </c>
      <c r="BL179" s="14">
        <f>DATE(YEAR(BK179)+2,MONTH(BK179),DAY(BK179))</f>
        <v>46821</v>
      </c>
      <c r="BM179" s="65">
        <f t="shared" ca="1" si="461"/>
        <v>690</v>
      </c>
      <c r="BN179" s="15" t="str">
        <f t="shared" ca="1" si="462"/>
        <v>VIGENTE</v>
      </c>
      <c r="BO179" s="14"/>
      <c r="BP179" s="14">
        <v>45447</v>
      </c>
      <c r="BQ179" s="14">
        <f>DATE(YEAR(BP179)+2,MONTH(BP179),DAY(BP179)-1)</f>
        <v>46176</v>
      </c>
      <c r="BR179" s="65">
        <f t="shared" ca="1" si="463"/>
        <v>45</v>
      </c>
      <c r="BS179" s="15" t="str">
        <f t="shared" ca="1" si="464"/>
        <v>POR VENCER</v>
      </c>
      <c r="BT179" s="16"/>
      <c r="BU179" s="14">
        <v>45449</v>
      </c>
      <c r="BV179" s="14">
        <f>DATE(YEAR(BU179)+2,MONTH(BU179),DAY(BU179)-1)</f>
        <v>46178</v>
      </c>
      <c r="BW179" s="65">
        <f t="shared" ca="1" si="465"/>
        <v>47</v>
      </c>
      <c r="BX179" s="15" t="str">
        <f t="shared" ca="1" si="466"/>
        <v>POR VENCER</v>
      </c>
      <c r="BY179" s="16"/>
      <c r="BZ179" s="14">
        <v>46065</v>
      </c>
      <c r="CA179" s="14">
        <f>DATE(YEAR(BZ179)+2,MONTH(BZ179),DAY(BZ179))</f>
        <v>46795</v>
      </c>
      <c r="CB179" s="65">
        <f t="shared" ca="1" si="467"/>
        <v>664</v>
      </c>
      <c r="CC179" s="15" t="str">
        <f t="shared" ca="1" si="468"/>
        <v>VIGENTE</v>
      </c>
      <c r="CD179" s="16" t="s">
        <v>108</v>
      </c>
      <c r="CE179" s="14">
        <v>45454</v>
      </c>
      <c r="CF179" s="14">
        <v>45455</v>
      </c>
      <c r="CG179" s="14">
        <f t="shared" si="580"/>
        <v>46916</v>
      </c>
      <c r="CH179" s="65">
        <f t="shared" ca="1" si="581"/>
        <v>785</v>
      </c>
      <c r="CI179" s="15" t="str">
        <f t="shared" ca="1" si="562"/>
        <v>VIGENTE</v>
      </c>
      <c r="CJ179" s="16"/>
      <c r="CK179" s="14">
        <v>45452</v>
      </c>
      <c r="CL179" s="14">
        <f>DATE(YEAR(CK179)+2,MONTH(CK179),DAY(CK179)-1)</f>
        <v>46181</v>
      </c>
      <c r="CM179" s="65">
        <f t="shared" ca="1" si="469"/>
        <v>50</v>
      </c>
      <c r="CN179" s="15" t="str">
        <f t="shared" ca="1" si="470"/>
        <v>POR VENCER</v>
      </c>
      <c r="CO179" s="14">
        <v>45428</v>
      </c>
      <c r="CP179" s="14">
        <v>46101</v>
      </c>
      <c r="CQ179" s="14">
        <f>DATE(YEAR(CP179)+2,MONTH(CP179),DAY(CP179))</f>
        <v>46832</v>
      </c>
      <c r="CR179" s="65">
        <f t="shared" ca="1" si="471"/>
        <v>701</v>
      </c>
      <c r="CS179" s="15" t="str">
        <f t="shared" ca="1" si="472"/>
        <v>VIGENTE</v>
      </c>
      <c r="CT179" s="14">
        <v>45440</v>
      </c>
      <c r="CU179" s="14">
        <v>46081</v>
      </c>
      <c r="CV179" s="14">
        <f>DATE(YEAR(CU179)+2,MONTH(CU179),DAY(CU179))</f>
        <v>46811</v>
      </c>
      <c r="CW179" s="65">
        <f t="shared" ca="1" si="473"/>
        <v>680</v>
      </c>
      <c r="CX179" s="15" t="str">
        <f t="shared" ca="1" si="474"/>
        <v>VIGENTE</v>
      </c>
      <c r="CY179" s="14">
        <v>45422</v>
      </c>
      <c r="CZ179" s="14">
        <v>46098</v>
      </c>
      <c r="DA179" s="14">
        <f>DATE(YEAR(CZ179)+2,MONTH(CZ179),DAY(CZ179))</f>
        <v>46829</v>
      </c>
      <c r="DB179" s="65">
        <f t="shared" ca="1" si="475"/>
        <v>698</v>
      </c>
      <c r="DC179" s="15" t="str">
        <f t="shared" ca="1" si="476"/>
        <v>VIGENTE</v>
      </c>
      <c r="DD179" s="14"/>
      <c r="DE179" s="14">
        <v>45535</v>
      </c>
      <c r="DF179" s="14">
        <f>DATE(YEAR(DE179)+2,MONTH(DE179),DAY(DE179)-1)</f>
        <v>46264</v>
      </c>
      <c r="DG179" s="65">
        <f t="shared" ca="1" si="477"/>
        <v>133</v>
      </c>
      <c r="DH179" s="15" t="str">
        <f t="shared" ca="1" si="478"/>
        <v>VIGENTE</v>
      </c>
      <c r="DI179" s="16"/>
      <c r="DJ179" s="14">
        <v>45451</v>
      </c>
      <c r="DK179" s="14">
        <f>DATE(YEAR(DJ179)+2,MONTH(DJ179),DAY(DJ179)-1)</f>
        <v>46180</v>
      </c>
      <c r="DL179" s="65">
        <f t="shared" ca="1" si="479"/>
        <v>49</v>
      </c>
      <c r="DM179" s="15" t="str">
        <f t="shared" ca="1" si="480"/>
        <v>POR VENCER</v>
      </c>
      <c r="DN179" s="14"/>
      <c r="DO179" s="14">
        <v>45486</v>
      </c>
      <c r="DP179" s="14">
        <f>DATE(YEAR(DO179)+2,MONTH(DO179),DAY(DO179)-1)</f>
        <v>46215</v>
      </c>
      <c r="DQ179" s="65">
        <f t="shared" ca="1" si="481"/>
        <v>84</v>
      </c>
      <c r="DR179" s="15" t="str">
        <f t="shared" ca="1" si="482"/>
        <v>POR VENCER</v>
      </c>
      <c r="DS179" s="16"/>
      <c r="DT179" s="14">
        <v>46053</v>
      </c>
      <c r="DU179" s="14">
        <f>DATE(YEAR(DT179)+2,MONTH(DT179),DAY(DT179))</f>
        <v>46783</v>
      </c>
      <c r="DV179" s="65">
        <f t="shared" ca="1" si="483"/>
        <v>652</v>
      </c>
      <c r="DW179" s="15" t="str">
        <f t="shared" ca="1" si="484"/>
        <v>VIGENTE</v>
      </c>
      <c r="DX179" s="14">
        <v>45432</v>
      </c>
      <c r="DY179" s="14">
        <v>46099</v>
      </c>
      <c r="DZ179" s="14">
        <f>DATE(YEAR(DY179)+2,MONTH(DY179),DAY(DY179))</f>
        <v>46830</v>
      </c>
      <c r="EA179" s="65">
        <f t="shared" ca="1" si="485"/>
        <v>699</v>
      </c>
      <c r="EB179" s="15" t="str">
        <f t="shared" ca="1" si="486"/>
        <v>VIGENTE</v>
      </c>
      <c r="EC179" s="14">
        <v>45424</v>
      </c>
      <c r="ED179" s="14">
        <v>46104</v>
      </c>
      <c r="EE179" s="14">
        <f>DATE(YEAR(ED179)+2,MONTH(ED179),DAY(ED179))</f>
        <v>46835</v>
      </c>
      <c r="EF179" s="65">
        <f t="shared" ca="1" si="487"/>
        <v>704</v>
      </c>
      <c r="EG179" s="15" t="str">
        <f t="shared" ca="1" si="488"/>
        <v>VIGENTE</v>
      </c>
      <c r="EH179" s="14">
        <v>45423</v>
      </c>
      <c r="EI179" s="14">
        <v>45810</v>
      </c>
      <c r="EJ179" s="14">
        <v>45811</v>
      </c>
      <c r="EK179" s="14">
        <v>45812</v>
      </c>
      <c r="EL179" s="14">
        <f t="shared" si="546"/>
        <v>46177</v>
      </c>
      <c r="EM179" s="65">
        <f t="shared" ca="1" si="489"/>
        <v>46</v>
      </c>
      <c r="EN179" s="15" t="str">
        <f t="shared" ca="1" si="490"/>
        <v>POR VENCER</v>
      </c>
      <c r="EO179" s="14"/>
      <c r="EP179" s="14">
        <v>46100</v>
      </c>
      <c r="EQ179" s="14">
        <f>DATE(YEAR(EP179)+2,MONTH(EP179),DAY(EP179))</f>
        <v>46831</v>
      </c>
      <c r="ER179" s="65">
        <f t="shared" ca="1" si="491"/>
        <v>700</v>
      </c>
      <c r="ES179" s="15" t="str">
        <f t="shared" ca="1" si="492"/>
        <v>VIGENTE</v>
      </c>
      <c r="ET179" s="16"/>
      <c r="EU179" s="14">
        <v>46094</v>
      </c>
      <c r="EV179" s="14">
        <f>DATE(YEAR(EU179)+2,MONTH(EU179),DAY(EU179))</f>
        <v>46825</v>
      </c>
      <c r="EW179" s="65">
        <f t="shared" ca="1" si="493"/>
        <v>694</v>
      </c>
      <c r="EX179" s="15" t="str">
        <f t="shared" ca="1" si="494"/>
        <v>VIGENTE</v>
      </c>
      <c r="EY179" s="14">
        <v>45436</v>
      </c>
      <c r="EZ179" s="14">
        <v>46063</v>
      </c>
      <c r="FA179" s="14">
        <f t="shared" si="600"/>
        <v>46793</v>
      </c>
      <c r="FB179" s="65">
        <f t="shared" ca="1" si="495"/>
        <v>662</v>
      </c>
      <c r="FC179" s="15" t="str">
        <f t="shared" ca="1" si="496"/>
        <v>VIGENTE</v>
      </c>
      <c r="FD179" s="16"/>
      <c r="FE179" s="14">
        <v>45482</v>
      </c>
      <c r="FF179" s="14">
        <f>DATE(YEAR(FE179)+2,MONTH(FE179),DAY(FE179)-1)</f>
        <v>46211</v>
      </c>
      <c r="FG179" s="65">
        <f t="shared" ca="1" si="497"/>
        <v>80</v>
      </c>
      <c r="FH179" s="15" t="str">
        <f t="shared" ca="1" si="498"/>
        <v>POR VENCER</v>
      </c>
      <c r="FI179" s="16"/>
      <c r="FJ179" s="14">
        <v>45506</v>
      </c>
      <c r="FK179" s="14">
        <f>DATE(YEAR(FJ179)+2,MONTH(FJ179),DAY(FJ179)-1)</f>
        <v>46235</v>
      </c>
      <c r="FL179" s="65">
        <f t="shared" ca="1" si="499"/>
        <v>104</v>
      </c>
      <c r="FM179" s="15" t="str">
        <f t="shared" ca="1" si="500"/>
        <v>VIGENTE</v>
      </c>
      <c r="FN179" s="14"/>
      <c r="FO179" s="14">
        <v>45479</v>
      </c>
      <c r="FP179" s="14">
        <f>DATE(YEAR(FO179)+2,MONTH(FO179),DAY(FO179)-1)</f>
        <v>46208</v>
      </c>
      <c r="FQ179" s="65">
        <f t="shared" ca="1" si="501"/>
        <v>77</v>
      </c>
      <c r="FR179" s="15" t="str">
        <f t="shared" ca="1" si="502"/>
        <v>POR VENCER</v>
      </c>
      <c r="FS179" s="14"/>
      <c r="FT179" s="14">
        <v>46080</v>
      </c>
      <c r="FU179" s="14">
        <f>DATE(YEAR(FT179)+2,MONTH(FT179),DAY(FT179))</f>
        <v>46810</v>
      </c>
      <c r="FV179" s="65">
        <f t="shared" ca="1" si="503"/>
        <v>679</v>
      </c>
      <c r="FW179" s="15" t="str">
        <f t="shared" ca="1" si="504"/>
        <v>VIGENTE</v>
      </c>
      <c r="FX179" s="14"/>
      <c r="FY179" s="14">
        <v>45547</v>
      </c>
      <c r="FZ179" s="14">
        <f>DATE(YEAR(FY179)+2,MONTH(FY179),DAY(FY179)-1)</f>
        <v>46276</v>
      </c>
      <c r="GA179" s="65">
        <f t="shared" ca="1" si="505"/>
        <v>145</v>
      </c>
      <c r="GB179" s="15" t="str">
        <f t="shared" ca="1" si="506"/>
        <v>VIGENTE</v>
      </c>
      <c r="GC179" s="14"/>
      <c r="GD179" s="14">
        <v>46073</v>
      </c>
      <c r="GE179" s="14">
        <f>DATE(YEAR(GD179)+2,MONTH(GD179),DAY(GD179))</f>
        <v>46803</v>
      </c>
      <c r="GF179" s="65">
        <f t="shared" ca="1" si="507"/>
        <v>672</v>
      </c>
      <c r="GG179" s="15" t="str">
        <f t="shared" ca="1" si="508"/>
        <v>VIGENTE</v>
      </c>
      <c r="GH179" s="14"/>
      <c r="GI179" s="14">
        <v>46092</v>
      </c>
      <c r="GJ179" s="14">
        <f>DATE(YEAR(GI179)+2,MONTH(GI179),DAY(GI179))</f>
        <v>46823</v>
      </c>
      <c r="GK179" s="65">
        <f t="shared" ca="1" si="509"/>
        <v>692</v>
      </c>
      <c r="GL179" s="15" t="str">
        <f t="shared" ca="1" si="510"/>
        <v>VIGENTE</v>
      </c>
      <c r="GM179" s="14"/>
      <c r="GN179" s="14">
        <v>46093</v>
      </c>
      <c r="GO179" s="14">
        <f>DATE(YEAR(GN179)+2,MONTH(GN179),DAY(GN179))</f>
        <v>46824</v>
      </c>
      <c r="GP179" s="65">
        <f t="shared" ca="1" si="511"/>
        <v>693</v>
      </c>
      <c r="GQ179" s="15" t="str">
        <f t="shared" ca="1" si="512"/>
        <v>VIGENTE</v>
      </c>
      <c r="GR179" s="14"/>
      <c r="GS179" s="14">
        <v>45468</v>
      </c>
      <c r="GT179" s="14">
        <f t="shared" si="513"/>
        <v>47294</v>
      </c>
      <c r="GU179" s="65">
        <f t="shared" ca="1" si="591"/>
        <v>1163</v>
      </c>
      <c r="GV179" s="15" t="str">
        <f t="shared" ca="1" si="601"/>
        <v>VIGENTE</v>
      </c>
      <c r="GW179" s="14"/>
      <c r="GX179" s="14">
        <v>45507</v>
      </c>
      <c r="GY179" s="14">
        <f t="shared" si="514"/>
        <v>47333</v>
      </c>
      <c r="GZ179" s="65">
        <f t="shared" ca="1" si="515"/>
        <v>1202</v>
      </c>
      <c r="HA179" s="15" t="str">
        <f t="shared" ca="1" si="602"/>
        <v>VIGENTE</v>
      </c>
      <c r="HB179" s="16"/>
      <c r="HC179" s="14">
        <v>45479</v>
      </c>
      <c r="HD179" s="14">
        <f t="shared" si="516"/>
        <v>47305</v>
      </c>
      <c r="HE179" s="65">
        <f t="shared" ca="1" si="517"/>
        <v>1174</v>
      </c>
      <c r="HF179" s="15" t="str">
        <f t="shared" ca="1" si="603"/>
        <v>VIGENTE</v>
      </c>
      <c r="HG179" s="16"/>
      <c r="HH179" s="14">
        <v>45496</v>
      </c>
      <c r="HI179" s="14">
        <f>DATE(YEAR(HH179)+5,MONTH(HH179),DAY(HH179))</f>
        <v>47322</v>
      </c>
      <c r="HJ179" s="65">
        <f t="shared" ref="HJ179:HJ188" ca="1" si="607">HI179-TODAY()</f>
        <v>1191</v>
      </c>
      <c r="HK179" s="15" t="str">
        <f t="shared" ca="1" si="604"/>
        <v>VIGENTE</v>
      </c>
      <c r="HL179" s="16"/>
      <c r="HM179" s="16"/>
      <c r="HN179" s="14"/>
      <c r="HO179" s="65"/>
      <c r="HP179" s="15" t="str">
        <f t="shared" si="437"/>
        <v>NO APLICA</v>
      </c>
      <c r="HQ179" s="16"/>
      <c r="HR179" s="16"/>
      <c r="HS179" s="14"/>
      <c r="HT179" s="16"/>
      <c r="HU179" s="15" t="str">
        <f t="shared" si="518"/>
        <v>NO APLICA</v>
      </c>
      <c r="HV179" s="16"/>
      <c r="HW179" s="16"/>
      <c r="HX179" s="14"/>
      <c r="HY179" s="65"/>
      <c r="HZ179" s="15" t="str">
        <f t="shared" si="519"/>
        <v>NO APLICA</v>
      </c>
      <c r="IA179" s="16"/>
      <c r="IB179" s="16"/>
      <c r="IC179" s="14"/>
      <c r="ID179" s="65"/>
      <c r="IE179" s="15" t="str">
        <f t="shared" si="520"/>
        <v>NO APLICA</v>
      </c>
      <c r="IF179" s="16"/>
      <c r="IG179" s="16"/>
      <c r="IH179" s="14"/>
      <c r="II179" s="65"/>
      <c r="IJ179" s="15" t="str">
        <f t="shared" si="521"/>
        <v>NO APLICA</v>
      </c>
      <c r="IK179" s="16"/>
      <c r="IL179" s="16"/>
      <c r="IM179" s="14"/>
      <c r="IN179" s="16"/>
      <c r="IO179" s="15" t="str">
        <f t="shared" si="522"/>
        <v>NO APLICA</v>
      </c>
      <c r="IP179" s="16"/>
      <c r="IQ179" s="16"/>
      <c r="IR179" s="14"/>
      <c r="IS179" s="65"/>
      <c r="IT179" s="15" t="str">
        <f t="shared" si="523"/>
        <v>NO APLICA</v>
      </c>
      <c r="IU179" s="16"/>
      <c r="IV179" s="16"/>
      <c r="IW179" s="14"/>
      <c r="IX179" s="65"/>
      <c r="IY179" s="15" t="str">
        <f t="shared" si="524"/>
        <v>NO APLICA</v>
      </c>
      <c r="IZ179" s="16"/>
      <c r="JA179" s="16"/>
      <c r="JB179" s="14"/>
      <c r="JC179" s="65"/>
      <c r="JD179" s="15" t="str">
        <f t="shared" si="525"/>
        <v>NO APLICA</v>
      </c>
      <c r="JE179" s="16"/>
      <c r="JF179" s="16"/>
      <c r="JG179" s="16"/>
      <c r="JH179" s="16"/>
      <c r="JI179" s="15" t="str">
        <f t="shared" si="526"/>
        <v>NO APLICA</v>
      </c>
      <c r="JJ179" s="16"/>
      <c r="JK179" s="16"/>
      <c r="JL179" s="16"/>
      <c r="JM179" s="15" t="str">
        <f t="shared" si="527"/>
        <v>NO APLICA</v>
      </c>
      <c r="JN179" s="16"/>
      <c r="JO179" s="16"/>
      <c r="JP179" s="16"/>
      <c r="JQ179" s="15" t="str">
        <f t="shared" si="528"/>
        <v>NO APLICA</v>
      </c>
      <c r="JR179" s="16"/>
      <c r="JS179" s="16"/>
      <c r="JT179" s="16"/>
      <c r="JU179" s="16"/>
      <c r="JV179" s="15" t="str">
        <f t="shared" si="529"/>
        <v>NO APLICA</v>
      </c>
      <c r="JW179" s="15"/>
      <c r="JX179" s="15"/>
      <c r="JY179" s="15"/>
      <c r="JZ179" s="15"/>
      <c r="KA179" s="15" t="str">
        <f t="shared" si="530"/>
        <v>NO APLICA</v>
      </c>
      <c r="KB179" s="16"/>
      <c r="KC179" s="14"/>
      <c r="KD179" s="16"/>
      <c r="KE179" s="15" t="str">
        <f t="shared" si="531"/>
        <v>NO APLICA</v>
      </c>
      <c r="KF179" s="16"/>
      <c r="KG179" s="14"/>
      <c r="KH179" s="16"/>
      <c r="KI179" s="15" t="str">
        <f t="shared" si="547"/>
        <v>NO APLICA</v>
      </c>
      <c r="KJ179" s="16"/>
      <c r="KK179" s="14"/>
      <c r="KL179" s="16"/>
      <c r="KM179" s="15" t="str">
        <f t="shared" si="532"/>
        <v>NO APLICA</v>
      </c>
      <c r="KN179" s="16"/>
      <c r="KO179" s="14"/>
      <c r="KP179" s="16"/>
      <c r="KQ179" s="15" t="str">
        <f t="shared" si="548"/>
        <v>NO APLICA</v>
      </c>
      <c r="KR179" s="16"/>
      <c r="KS179" s="16"/>
      <c r="KT179" s="14"/>
      <c r="KU179" s="16"/>
      <c r="KV179" s="15" t="str">
        <f t="shared" si="554"/>
        <v>NO APLICA</v>
      </c>
      <c r="KW179" s="16"/>
      <c r="KX179" s="14"/>
      <c r="KY179" s="16"/>
      <c r="KZ179" s="15" t="str">
        <f t="shared" si="549"/>
        <v>NO APLICA</v>
      </c>
      <c r="LA179" s="16"/>
      <c r="LB179" s="16"/>
      <c r="LC179" s="16"/>
      <c r="LD179" s="16"/>
      <c r="LE179" s="15" t="str">
        <f t="shared" si="590"/>
        <v>NO APLICA</v>
      </c>
      <c r="LF179" s="15"/>
      <c r="LG179" s="15"/>
      <c r="LH179" s="14"/>
      <c r="LI179" s="65"/>
      <c r="LJ179" s="15" t="str">
        <f t="shared" si="555"/>
        <v>NO APLICA</v>
      </c>
      <c r="LK179" s="16"/>
      <c r="LL179" s="16"/>
      <c r="LM179" s="14"/>
      <c r="LN179" s="65"/>
      <c r="LO179" s="15" t="str">
        <f t="shared" si="550"/>
        <v>NO APLICA</v>
      </c>
      <c r="LP179" s="16"/>
      <c r="LQ179" s="16"/>
      <c r="LR179" s="14"/>
      <c r="LS179" s="16"/>
      <c r="LT179" s="15" t="str">
        <f t="shared" si="551"/>
        <v>NO APLICA</v>
      </c>
      <c r="LU179" s="16"/>
      <c r="LV179" s="16"/>
      <c r="LW179" s="14"/>
      <c r="LX179" s="16"/>
      <c r="LY179" s="15" t="str">
        <f t="shared" si="552"/>
        <v>NO APLICA</v>
      </c>
      <c r="LZ179" s="16"/>
      <c r="MA179" s="16"/>
      <c r="MB179" s="14"/>
      <c r="MC179" s="16"/>
      <c r="MD179" s="15" t="str">
        <f t="shared" si="534"/>
        <v>NO APLICA</v>
      </c>
      <c r="ME179" s="16"/>
      <c r="MF179" s="16"/>
      <c r="MG179" s="14"/>
      <c r="MH179" s="16"/>
      <c r="MI179" s="15" t="str">
        <f t="shared" si="535"/>
        <v>NO APLICA</v>
      </c>
      <c r="MJ179" s="16"/>
      <c r="MK179" s="14"/>
      <c r="ML179" s="16"/>
      <c r="MM179" s="15" t="str">
        <f t="shared" si="536"/>
        <v>NO APLICA</v>
      </c>
      <c r="MN179" s="16"/>
      <c r="MO179" s="16"/>
      <c r="MP179" s="16"/>
      <c r="MQ179" s="15" t="str">
        <f t="shared" si="537"/>
        <v>NO APLICA</v>
      </c>
      <c r="MR179" s="16"/>
      <c r="MS179" s="16"/>
      <c r="MT179" s="14"/>
      <c r="MU179" s="16"/>
      <c r="MV179" s="15" t="str">
        <f t="shared" si="538"/>
        <v>NO APLICA</v>
      </c>
      <c r="MW179" s="16"/>
      <c r="MX179" s="16"/>
      <c r="MY179" s="14"/>
      <c r="MZ179" s="16"/>
      <c r="NA179" s="15" t="str">
        <f t="shared" si="539"/>
        <v>NO APLICA</v>
      </c>
      <c r="NB179" s="16"/>
      <c r="NC179" s="16"/>
      <c r="ND179" s="14"/>
      <c r="NE179" s="16"/>
      <c r="NF179" s="15" t="str">
        <f t="shared" si="540"/>
        <v>NO APLICA</v>
      </c>
      <c r="NG179" s="16"/>
      <c r="NH179" s="16"/>
      <c r="NI179" s="14"/>
      <c r="NJ179" s="16"/>
      <c r="NK179" s="15" t="str">
        <f t="shared" si="541"/>
        <v>NO APLICA</v>
      </c>
      <c r="NL179" s="16"/>
      <c r="NM179" s="16"/>
      <c r="NN179" s="14"/>
      <c r="NO179" s="16"/>
      <c r="NP179" s="15" t="str">
        <f t="shared" si="542"/>
        <v>NO APLICA</v>
      </c>
      <c r="NQ179" s="16"/>
      <c r="NR179" s="16"/>
      <c r="NS179" s="14"/>
      <c r="NT179" s="65"/>
      <c r="NU179" s="15" t="str">
        <f t="shared" si="543"/>
        <v>NO APLICA</v>
      </c>
      <c r="NV179" s="16"/>
      <c r="NW179" s="16"/>
      <c r="NX179" s="16"/>
      <c r="NY179" s="16"/>
      <c r="NZ179" s="15" t="str">
        <f t="shared" si="544"/>
        <v>NO APLICA</v>
      </c>
    </row>
    <row r="180" spans="1:390" ht="15.6" thickTop="1" thickBot="1" x14ac:dyDescent="0.35">
      <c r="A180" s="9">
        <v>723</v>
      </c>
      <c r="B180" s="10" t="s">
        <v>635</v>
      </c>
      <c r="C180" s="21" t="s">
        <v>104</v>
      </c>
      <c r="D180" s="64" t="s">
        <v>228</v>
      </c>
      <c r="E180" s="15"/>
      <c r="F180" s="16"/>
      <c r="G180" s="14"/>
      <c r="H180" s="65"/>
      <c r="I180" s="15" t="str">
        <f t="shared" si="448"/>
        <v>NO APLICA</v>
      </c>
      <c r="J180" s="15"/>
      <c r="K180" s="16"/>
      <c r="L180" s="16"/>
      <c r="M180" s="65"/>
      <c r="N180" s="15" t="str">
        <f t="shared" si="449"/>
        <v>NO APLICA</v>
      </c>
      <c r="O180" s="16"/>
      <c r="P180" s="16"/>
      <c r="Q180" s="14"/>
      <c r="R180" s="65"/>
      <c r="S180" s="15" t="str">
        <f t="shared" si="545"/>
        <v>NO APLICA</v>
      </c>
      <c r="T180" s="12" t="s">
        <v>636</v>
      </c>
      <c r="U180" s="14">
        <v>44789</v>
      </c>
      <c r="V180" s="14">
        <v>44790</v>
      </c>
      <c r="W180" s="14">
        <f t="shared" si="577"/>
        <v>46616</v>
      </c>
      <c r="X180" s="65">
        <f t="shared" ca="1" si="578"/>
        <v>485</v>
      </c>
      <c r="Y180" s="15" t="str">
        <f t="shared" ca="1" si="595"/>
        <v>VIGENTE</v>
      </c>
      <c r="Z180" s="12" t="s">
        <v>637</v>
      </c>
      <c r="AA180" s="14">
        <v>44827</v>
      </c>
      <c r="AB180" s="14">
        <v>44828</v>
      </c>
      <c r="AC180" s="14">
        <f>DATE(YEAR(AB180)+5,MONTH(AB180),DAY(AB180))</f>
        <v>46654</v>
      </c>
      <c r="AD180" s="65">
        <f t="shared" ca="1" si="605"/>
        <v>523</v>
      </c>
      <c r="AE180" s="15" t="str">
        <f t="shared" ca="1" si="598"/>
        <v>VIGENTE</v>
      </c>
      <c r="AF180" s="13">
        <v>44929</v>
      </c>
      <c r="AG180" s="13">
        <v>45589</v>
      </c>
      <c r="AH180" s="14">
        <f>DATE(YEAR(AG180)+2,MONTH(AG180),DAY(AG180)-1)</f>
        <v>46318</v>
      </c>
      <c r="AI180" s="65">
        <f t="shared" ca="1" si="450"/>
        <v>187</v>
      </c>
      <c r="AJ180" s="15" t="str">
        <f t="shared" ca="1" si="592"/>
        <v>VIGENTE</v>
      </c>
      <c r="AK180" s="13">
        <v>45269</v>
      </c>
      <c r="AL180" s="14">
        <v>45926</v>
      </c>
      <c r="AM180" s="14">
        <f>DATE(YEAR(AL180)+2,MONTH(AL180),DAY(AL180))</f>
        <v>46656</v>
      </c>
      <c r="AN180" s="65">
        <f t="shared" ca="1" si="451"/>
        <v>525</v>
      </c>
      <c r="AO180" s="15" t="str">
        <f t="shared" ca="1" si="452"/>
        <v>VIGENTE</v>
      </c>
      <c r="AP180" s="13">
        <v>45298</v>
      </c>
      <c r="AQ180" s="14">
        <v>45967</v>
      </c>
      <c r="AR180" s="14">
        <f t="shared" si="599"/>
        <v>46697</v>
      </c>
      <c r="AS180" s="65">
        <f t="shared" ca="1" si="453"/>
        <v>566</v>
      </c>
      <c r="AT180" s="15" t="str">
        <f t="shared" ca="1" si="454"/>
        <v>VIGENTE</v>
      </c>
      <c r="AU180" s="13">
        <v>45323</v>
      </c>
      <c r="AV180" s="14">
        <v>45972</v>
      </c>
      <c r="AW180" s="14">
        <f>DATE(YEAR(AV180)+2,MONTH(AV180),DAY(AV180))</f>
        <v>46702</v>
      </c>
      <c r="AX180" s="65">
        <f t="shared" ca="1" si="455"/>
        <v>571</v>
      </c>
      <c r="AY180" s="15" t="str">
        <f t="shared" ca="1" si="456"/>
        <v>VIGENTE</v>
      </c>
      <c r="AZ180" s="13">
        <v>44383</v>
      </c>
      <c r="BA180" s="14">
        <v>45515</v>
      </c>
      <c r="BB180" s="14">
        <f>DATE(YEAR(BA180)+2,MONTH(BA180),DAY(BA180)-1)</f>
        <v>46244</v>
      </c>
      <c r="BC180" s="65">
        <f t="shared" ca="1" si="457"/>
        <v>113</v>
      </c>
      <c r="BD180" s="15" t="str">
        <f t="shared" ca="1" si="458"/>
        <v>VIGENTE</v>
      </c>
      <c r="BE180" s="13">
        <v>45302</v>
      </c>
      <c r="BF180" s="14">
        <v>45968</v>
      </c>
      <c r="BG180" s="14">
        <f t="shared" si="606"/>
        <v>46698</v>
      </c>
      <c r="BH180" s="65">
        <f t="shared" ca="1" si="459"/>
        <v>567</v>
      </c>
      <c r="BI180" s="15" t="str">
        <f t="shared" ca="1" si="460"/>
        <v>VIGENTE</v>
      </c>
      <c r="BJ180" s="13">
        <v>45372</v>
      </c>
      <c r="BK180" s="14">
        <v>46035</v>
      </c>
      <c r="BL180" s="14">
        <f>DATE(YEAR(BK180)+2,MONTH(BK180),DAY(BK180))</f>
        <v>46765</v>
      </c>
      <c r="BM180" s="65">
        <f t="shared" ca="1" si="461"/>
        <v>634</v>
      </c>
      <c r="BN180" s="15" t="str">
        <f t="shared" ca="1" si="462"/>
        <v>VIGENTE</v>
      </c>
      <c r="BO180" s="13">
        <v>44753</v>
      </c>
      <c r="BP180" s="14">
        <v>46069</v>
      </c>
      <c r="BQ180" s="14">
        <f>DATE(YEAR(BP180)+2,MONTH(BP180),DAY(BP180))</f>
        <v>46799</v>
      </c>
      <c r="BR180" s="65">
        <f t="shared" ca="1" si="463"/>
        <v>668</v>
      </c>
      <c r="BS180" s="15" t="str">
        <f t="shared" ca="1" si="464"/>
        <v>VIGENTE</v>
      </c>
      <c r="BT180" s="13">
        <v>44812</v>
      </c>
      <c r="BU180" s="14">
        <v>45449</v>
      </c>
      <c r="BV180" s="14">
        <f>DATE(YEAR(BU180)+2,MONTH(BU180),DAY(BU180)-1)</f>
        <v>46178</v>
      </c>
      <c r="BW180" s="65">
        <f t="shared" ca="1" si="465"/>
        <v>47</v>
      </c>
      <c r="BX180" s="15" t="str">
        <f t="shared" ca="1" si="466"/>
        <v>POR VENCER</v>
      </c>
      <c r="BY180" s="13">
        <v>44613</v>
      </c>
      <c r="BZ180" s="14">
        <v>45944</v>
      </c>
      <c r="CA180" s="14">
        <f>DATE(YEAR(BZ180)+2,MONTH(BZ180),DAY(BZ180))</f>
        <v>46674</v>
      </c>
      <c r="CB180" s="65">
        <f t="shared" ca="1" si="467"/>
        <v>543</v>
      </c>
      <c r="CC180" s="15" t="str">
        <f t="shared" ca="1" si="468"/>
        <v>VIGENTE</v>
      </c>
      <c r="CD180" s="16" t="s">
        <v>108</v>
      </c>
      <c r="CE180" s="14">
        <v>45261</v>
      </c>
      <c r="CF180" s="14">
        <v>45262</v>
      </c>
      <c r="CG180" s="14">
        <f t="shared" si="580"/>
        <v>46723</v>
      </c>
      <c r="CH180" s="65">
        <f t="shared" ca="1" si="581"/>
        <v>592</v>
      </c>
      <c r="CI180" s="15" t="str">
        <f t="shared" ca="1" si="562"/>
        <v>VIGENTE</v>
      </c>
      <c r="CJ180" s="14">
        <v>44877</v>
      </c>
      <c r="CK180" s="14">
        <v>45511</v>
      </c>
      <c r="CL180" s="14">
        <f>DATE(YEAR(CK180)+2,MONTH(CK180),DAY(CK180)-1)</f>
        <v>46240</v>
      </c>
      <c r="CM180" s="65">
        <f t="shared" ca="1" si="469"/>
        <v>109</v>
      </c>
      <c r="CN180" s="15" t="str">
        <f t="shared" ca="1" si="470"/>
        <v>VIGENTE</v>
      </c>
      <c r="CO180" s="13">
        <v>44900</v>
      </c>
      <c r="CP180" s="14">
        <v>45517</v>
      </c>
      <c r="CQ180" s="14">
        <f>DATE(YEAR(CP180)+2,MONTH(CP180),DAY(CP180)-1)</f>
        <v>46246</v>
      </c>
      <c r="CR180" s="65">
        <f t="shared" ca="1" si="471"/>
        <v>115</v>
      </c>
      <c r="CS180" s="15" t="str">
        <f t="shared" ca="1" si="472"/>
        <v>VIGENTE</v>
      </c>
      <c r="CT180" s="13">
        <v>44974</v>
      </c>
      <c r="CU180" s="14">
        <v>45639</v>
      </c>
      <c r="CV180" s="14">
        <f>DATE(YEAR(CU180)+2,MONTH(CU180),DAY(CU180)-1)</f>
        <v>46368</v>
      </c>
      <c r="CW180" s="65">
        <f t="shared" ca="1" si="473"/>
        <v>237</v>
      </c>
      <c r="CX180" s="15" t="str">
        <f t="shared" ca="1" si="474"/>
        <v>VIGENTE</v>
      </c>
      <c r="CY180" s="13">
        <v>44993</v>
      </c>
      <c r="CZ180" s="14">
        <v>45661</v>
      </c>
      <c r="DA180" s="14">
        <f>DATE(YEAR(CZ180)+2,MONTH(CZ180),DAY(CZ180)-1)</f>
        <v>46390</v>
      </c>
      <c r="DB180" s="65">
        <f t="shared" ca="1" si="475"/>
        <v>259</v>
      </c>
      <c r="DC180" s="15" t="str">
        <f t="shared" ca="1" si="476"/>
        <v>VIGENTE</v>
      </c>
      <c r="DD180" s="13">
        <v>45026</v>
      </c>
      <c r="DE180" s="14">
        <v>45689</v>
      </c>
      <c r="DF180" s="14">
        <f>DATE(YEAR(DE180)+2,MONTH(DE180),DAY(DE180)-1)</f>
        <v>46418</v>
      </c>
      <c r="DG180" s="65">
        <f t="shared" ca="1" si="477"/>
        <v>287</v>
      </c>
      <c r="DH180" s="15" t="str">
        <f t="shared" ca="1" si="478"/>
        <v>VIGENTE</v>
      </c>
      <c r="DI180" s="13">
        <v>45065</v>
      </c>
      <c r="DJ180" s="14">
        <v>45696</v>
      </c>
      <c r="DK180" s="14">
        <f>DATE(YEAR(DJ180)+2,MONTH(DJ180),DAY(DJ180)-1)</f>
        <v>46425</v>
      </c>
      <c r="DL180" s="65">
        <f t="shared" ca="1" si="479"/>
        <v>294</v>
      </c>
      <c r="DM180" s="15" t="str">
        <f t="shared" ca="1" si="480"/>
        <v>VIGENTE</v>
      </c>
      <c r="DN180" s="13">
        <v>44895</v>
      </c>
      <c r="DO180" s="14">
        <v>45520</v>
      </c>
      <c r="DP180" s="14">
        <f>DATE(YEAR(DO180)+2,MONTH(DO180),DAY(DO180)-1)</f>
        <v>46249</v>
      </c>
      <c r="DQ180" s="65">
        <f t="shared" ca="1" si="481"/>
        <v>118</v>
      </c>
      <c r="DR180" s="15" t="str">
        <f t="shared" ca="1" si="482"/>
        <v>VIGENTE</v>
      </c>
      <c r="DS180" s="13">
        <v>44935</v>
      </c>
      <c r="DT180" s="14">
        <v>45619</v>
      </c>
      <c r="DU180" s="14">
        <f>DATE(YEAR(DT180)+2,MONTH(DT180),DAY(DT180)-1)</f>
        <v>46348</v>
      </c>
      <c r="DV180" s="65">
        <f t="shared" ca="1" si="483"/>
        <v>217</v>
      </c>
      <c r="DW180" s="15" t="str">
        <f t="shared" ca="1" si="484"/>
        <v>VIGENTE</v>
      </c>
      <c r="DX180" s="13">
        <v>44992</v>
      </c>
      <c r="DY180" s="14">
        <v>45682</v>
      </c>
      <c r="DZ180" s="14">
        <f>DATE(YEAR(DY180)+2,MONTH(DY180),DAY(DY180)-1)</f>
        <v>46411</v>
      </c>
      <c r="EA180" s="65">
        <f t="shared" ca="1" si="485"/>
        <v>280</v>
      </c>
      <c r="EB180" s="15" t="str">
        <f t="shared" ca="1" si="486"/>
        <v>VIGENTE</v>
      </c>
      <c r="EC180" s="13">
        <v>44994</v>
      </c>
      <c r="ED180" s="14">
        <v>45674</v>
      </c>
      <c r="EE180" s="14">
        <f>DATE(YEAR(ED180)+2,MONTH(ED180),DAY(ED180)-1)</f>
        <v>46403</v>
      </c>
      <c r="EF180" s="65">
        <f t="shared" ca="1" si="487"/>
        <v>272</v>
      </c>
      <c r="EG180" s="15" t="str">
        <f t="shared" ca="1" si="488"/>
        <v>VIGENTE</v>
      </c>
      <c r="EH180" s="13">
        <v>45675</v>
      </c>
      <c r="EI180" s="13">
        <v>45810</v>
      </c>
      <c r="EJ180" s="13">
        <v>45811</v>
      </c>
      <c r="EK180" s="14">
        <v>45812</v>
      </c>
      <c r="EL180" s="14">
        <f t="shared" si="546"/>
        <v>46177</v>
      </c>
      <c r="EM180" s="65">
        <f t="shared" ca="1" si="489"/>
        <v>46</v>
      </c>
      <c r="EN180" s="15" t="str">
        <f t="shared" ca="1" si="490"/>
        <v>POR VENCER</v>
      </c>
      <c r="EO180" s="13">
        <v>44999</v>
      </c>
      <c r="EP180" s="14">
        <v>45660</v>
      </c>
      <c r="EQ180" s="14">
        <f>DATE(YEAR(EP180)+2,MONTH(EP180),DAY(EP180)-1)</f>
        <v>46389</v>
      </c>
      <c r="ER180" s="65">
        <f t="shared" ca="1" si="491"/>
        <v>258</v>
      </c>
      <c r="ES180" s="15" t="str">
        <f t="shared" ca="1" si="492"/>
        <v>VIGENTE</v>
      </c>
      <c r="ET180" s="13">
        <v>45003</v>
      </c>
      <c r="EU180" s="14">
        <v>45677</v>
      </c>
      <c r="EV180" s="14">
        <f>DATE(YEAR(EU180)+2,MONTH(EU180),DAY(EU180)-1)</f>
        <v>46406</v>
      </c>
      <c r="EW180" s="65">
        <f t="shared" ca="1" si="493"/>
        <v>275</v>
      </c>
      <c r="EX180" s="15" t="str">
        <f t="shared" ca="1" si="494"/>
        <v>VIGENTE</v>
      </c>
      <c r="EY180" s="13">
        <v>44615</v>
      </c>
      <c r="EZ180" s="14">
        <v>45953</v>
      </c>
      <c r="FA180" s="14">
        <f t="shared" si="600"/>
        <v>46683</v>
      </c>
      <c r="FB180" s="65">
        <f t="shared" ca="1" si="495"/>
        <v>552</v>
      </c>
      <c r="FC180" s="15" t="str">
        <f t="shared" ca="1" si="496"/>
        <v>VIGENTE</v>
      </c>
      <c r="FD180" s="13">
        <v>44615</v>
      </c>
      <c r="FE180" s="14">
        <v>45951</v>
      </c>
      <c r="FF180" s="14">
        <f>DATE(YEAR(FE180)+2,MONTH(FE180),DAY(FE180))</f>
        <v>46681</v>
      </c>
      <c r="FG180" s="65">
        <f t="shared" ca="1" si="497"/>
        <v>550</v>
      </c>
      <c r="FH180" s="15" t="str">
        <f t="shared" ca="1" si="498"/>
        <v>VIGENTE</v>
      </c>
      <c r="FI180" s="13">
        <v>45282</v>
      </c>
      <c r="FJ180" s="14">
        <v>45932</v>
      </c>
      <c r="FK180" s="14">
        <f>DATE(YEAR(FJ180)+2,MONTH(FJ180),DAY(FJ180))</f>
        <v>46662</v>
      </c>
      <c r="FL180" s="65">
        <f t="shared" ca="1" si="499"/>
        <v>531</v>
      </c>
      <c r="FM180" s="15" t="str">
        <f t="shared" ca="1" si="500"/>
        <v>VIGENTE</v>
      </c>
      <c r="FN180" s="13">
        <v>45062</v>
      </c>
      <c r="FO180" s="14">
        <v>45670</v>
      </c>
      <c r="FP180" s="14">
        <f>DATE(YEAR(FO180)+2,MONTH(FO180),DAY(FO180)-1)</f>
        <v>46399</v>
      </c>
      <c r="FQ180" s="65">
        <f t="shared" ca="1" si="501"/>
        <v>268</v>
      </c>
      <c r="FR180" s="15" t="str">
        <f t="shared" ca="1" si="502"/>
        <v>VIGENTE</v>
      </c>
      <c r="FS180" s="13">
        <v>44954</v>
      </c>
      <c r="FT180" s="14">
        <v>45586</v>
      </c>
      <c r="FU180" s="14">
        <f>DATE(YEAR(FT180)+2,MONTH(FT180),DAY(FT180)-1)</f>
        <v>46315</v>
      </c>
      <c r="FV180" s="65">
        <f t="shared" ca="1" si="503"/>
        <v>184</v>
      </c>
      <c r="FW180" s="15" t="str">
        <f t="shared" ca="1" si="504"/>
        <v>VIGENTE</v>
      </c>
      <c r="FX180" s="13">
        <v>45230</v>
      </c>
      <c r="FY180" s="14">
        <v>45908</v>
      </c>
      <c r="FZ180" s="14">
        <f>DATE(YEAR(FY180)+2,MONTH(FY180),DAY(FY180))</f>
        <v>46638</v>
      </c>
      <c r="GA180" s="65">
        <f t="shared" ca="1" si="505"/>
        <v>507</v>
      </c>
      <c r="GB180" s="15" t="str">
        <f t="shared" ca="1" si="506"/>
        <v>VIGENTE</v>
      </c>
      <c r="GC180" s="13">
        <v>45049</v>
      </c>
      <c r="GD180" s="14">
        <v>45667</v>
      </c>
      <c r="GE180" s="14">
        <f>DATE(YEAR(GD180)+2,MONTH(GD180),DAY(GD180)-1)</f>
        <v>46396</v>
      </c>
      <c r="GF180" s="65">
        <f t="shared" ca="1" si="507"/>
        <v>265</v>
      </c>
      <c r="GG180" s="15" t="str">
        <f t="shared" ca="1" si="508"/>
        <v>VIGENTE</v>
      </c>
      <c r="GH180" s="13">
        <v>44939</v>
      </c>
      <c r="GI180" s="14">
        <v>45579</v>
      </c>
      <c r="GJ180" s="14">
        <f>DATE(YEAR(GI180)+2,MONTH(GI180),DAY(GI180)-1)</f>
        <v>46308</v>
      </c>
      <c r="GK180" s="65">
        <f t="shared" ca="1" si="509"/>
        <v>177</v>
      </c>
      <c r="GL180" s="15" t="str">
        <f t="shared" ca="1" si="510"/>
        <v>VIGENTE</v>
      </c>
      <c r="GM180" s="13">
        <v>45247</v>
      </c>
      <c r="GN180" s="14">
        <v>45923</v>
      </c>
      <c r="GO180" s="14">
        <f>DATE(YEAR(GN180)+2,MONTH(GN180),DAY(GN180))</f>
        <v>46653</v>
      </c>
      <c r="GP180" s="65">
        <f t="shared" ca="1" si="511"/>
        <v>522</v>
      </c>
      <c r="GQ180" s="15" t="str">
        <f t="shared" ca="1" si="512"/>
        <v>VIGENTE</v>
      </c>
      <c r="GR180" s="14">
        <v>44758</v>
      </c>
      <c r="GS180" s="14">
        <v>45459</v>
      </c>
      <c r="GT180" s="14">
        <f t="shared" si="513"/>
        <v>47285</v>
      </c>
      <c r="GU180" s="65">
        <f t="shared" ca="1" si="591"/>
        <v>1154</v>
      </c>
      <c r="GV180" s="15" t="str">
        <f t="shared" ca="1" si="601"/>
        <v>VIGENTE</v>
      </c>
      <c r="GW180" s="13">
        <v>44758</v>
      </c>
      <c r="GX180" s="14">
        <v>45464</v>
      </c>
      <c r="GY180" s="14">
        <f t="shared" si="514"/>
        <v>47290</v>
      </c>
      <c r="GZ180" s="65">
        <f t="shared" ca="1" si="515"/>
        <v>1159</v>
      </c>
      <c r="HA180" s="15" t="str">
        <f t="shared" ca="1" si="602"/>
        <v>VIGENTE</v>
      </c>
      <c r="HB180" s="13">
        <v>44757</v>
      </c>
      <c r="HC180" s="14">
        <v>45466</v>
      </c>
      <c r="HD180" s="14">
        <f t="shared" si="516"/>
        <v>47292</v>
      </c>
      <c r="HE180" s="65">
        <f t="shared" ca="1" si="517"/>
        <v>1161</v>
      </c>
      <c r="HF180" s="15" t="str">
        <f t="shared" ca="1" si="603"/>
        <v>VIGENTE</v>
      </c>
      <c r="HG180" s="16"/>
      <c r="HH180" s="14">
        <v>44862</v>
      </c>
      <c r="HI180" s="14">
        <f>DATE(YEAR(HH180)+5,MONTH(HH180),DAY(HH180))</f>
        <v>46688</v>
      </c>
      <c r="HJ180" s="65">
        <f t="shared" ca="1" si="607"/>
        <v>557</v>
      </c>
      <c r="HK180" s="15" t="str">
        <f t="shared" ca="1" si="604"/>
        <v>VIGENTE</v>
      </c>
      <c r="HL180" s="12"/>
      <c r="HM180" s="14">
        <v>45341</v>
      </c>
      <c r="HN180" s="14">
        <f>DATE(YEAR(HM180)+5,MONTH(HM180),DAY(HM180))</f>
        <v>47168</v>
      </c>
      <c r="HO180" s="65">
        <f ca="1">HN180-TODAY()</f>
        <v>1037</v>
      </c>
      <c r="HP180" s="15" t="str">
        <f t="shared" ca="1" si="437"/>
        <v>VIGENTE</v>
      </c>
      <c r="HQ180" s="12"/>
      <c r="HR180" s="13">
        <v>45374</v>
      </c>
      <c r="HS180" s="14">
        <f>DATE(YEAR(HR180)+5,MONTH(HR180),DAY(HR180))</f>
        <v>47200</v>
      </c>
      <c r="HT180" s="65">
        <f ca="1">HS180-TODAY()</f>
        <v>1069</v>
      </c>
      <c r="HU180" s="15" t="str">
        <f t="shared" ca="1" si="518"/>
        <v>VIGENTE</v>
      </c>
      <c r="HV180" s="13">
        <v>44782</v>
      </c>
      <c r="HW180" s="14">
        <v>45469</v>
      </c>
      <c r="HX180" s="14">
        <f>DATE(YEAR(HW180)+5,MONTH(HW180),DAY(HW180))</f>
        <v>47295</v>
      </c>
      <c r="HY180" s="65">
        <f ca="1">HX180-TODAY()</f>
        <v>1164</v>
      </c>
      <c r="HZ180" s="15" t="str">
        <f t="shared" ca="1" si="519"/>
        <v>VIGENTE</v>
      </c>
      <c r="IA180" s="13">
        <v>44765</v>
      </c>
      <c r="IB180" s="14">
        <v>45475</v>
      </c>
      <c r="IC180" s="14">
        <f>DATE(YEAR(IB180)+5,MONTH(IB180),DAY(IB180))</f>
        <v>47301</v>
      </c>
      <c r="ID180" s="65">
        <f ca="1">IC180-TODAY()</f>
        <v>1170</v>
      </c>
      <c r="IE180" s="15" t="str">
        <f t="shared" ca="1" si="520"/>
        <v>VIGENTE</v>
      </c>
      <c r="IF180" s="13">
        <v>44764</v>
      </c>
      <c r="IG180" s="14">
        <v>45470</v>
      </c>
      <c r="IH180" s="14">
        <f>DATE(YEAR(IG180)+5,MONTH(IG180),DAY(IG180))</f>
        <v>47296</v>
      </c>
      <c r="II180" s="65">
        <f ca="1">IH180-TODAY()</f>
        <v>1165</v>
      </c>
      <c r="IJ180" s="15" t="str">
        <f t="shared" ca="1" si="521"/>
        <v>VIGENTE</v>
      </c>
      <c r="IK180" s="14">
        <v>44791</v>
      </c>
      <c r="IL180" s="14">
        <v>45429</v>
      </c>
      <c r="IM180" s="14">
        <f>DATE(YEAR(IL180)+5,MONTH(IL180),DAY(IL180))</f>
        <v>47255</v>
      </c>
      <c r="IN180" s="65">
        <f ca="1">IM180-TODAY()</f>
        <v>1124</v>
      </c>
      <c r="IO180" s="15" t="str">
        <f t="shared" ca="1" si="522"/>
        <v>VIGENTE</v>
      </c>
      <c r="IP180" s="13">
        <v>44765</v>
      </c>
      <c r="IQ180" s="14">
        <v>45460</v>
      </c>
      <c r="IR180" s="14">
        <f>DATE(YEAR(IQ180)+5,MONTH(IQ180),DAY(IQ180))</f>
        <v>47286</v>
      </c>
      <c r="IS180" s="65">
        <f ca="1">IR180-TODAY()</f>
        <v>1155</v>
      </c>
      <c r="IT180" s="15" t="str">
        <f t="shared" ca="1" si="523"/>
        <v>VIGENTE</v>
      </c>
      <c r="IU180" s="13">
        <v>44764</v>
      </c>
      <c r="IV180" s="14">
        <v>45471</v>
      </c>
      <c r="IW180" s="14">
        <f>DATE(YEAR(IV180)+5,MONTH(IV180),DAY(IV180))</f>
        <v>47297</v>
      </c>
      <c r="IX180" s="65">
        <f ca="1">IW180-TODAY()</f>
        <v>1166</v>
      </c>
      <c r="IY180" s="15" t="str">
        <f t="shared" ca="1" si="524"/>
        <v>VIGENTE</v>
      </c>
      <c r="IZ180" s="13">
        <v>44791</v>
      </c>
      <c r="JA180" s="14">
        <v>45461</v>
      </c>
      <c r="JB180" s="14">
        <f>DATE(YEAR(JA180)+5,MONTH(JA180),DAY(JA180))</f>
        <v>47287</v>
      </c>
      <c r="JC180" s="65">
        <f ca="1">JB180-TODAY()</f>
        <v>1156</v>
      </c>
      <c r="JD180" s="15" t="str">
        <f t="shared" ca="1" si="525"/>
        <v>VIGENTE</v>
      </c>
      <c r="JE180" s="13"/>
      <c r="JF180" s="13"/>
      <c r="JG180" s="14"/>
      <c r="JH180" s="65"/>
      <c r="JI180" s="15" t="str">
        <f t="shared" si="526"/>
        <v>NO APLICA</v>
      </c>
      <c r="JJ180" s="16"/>
      <c r="JK180" s="16"/>
      <c r="JL180" s="16"/>
      <c r="JM180" s="15" t="str">
        <f t="shared" si="527"/>
        <v>NO APLICA</v>
      </c>
      <c r="JN180" s="16"/>
      <c r="JO180" s="16"/>
      <c r="JP180" s="16"/>
      <c r="JQ180" s="15" t="str">
        <f t="shared" si="528"/>
        <v>NO APLICA</v>
      </c>
      <c r="JR180" s="16"/>
      <c r="JS180" s="16"/>
      <c r="JT180" s="16"/>
      <c r="JU180" s="16"/>
      <c r="JV180" s="15" t="str">
        <f t="shared" si="529"/>
        <v>NO APLICA</v>
      </c>
      <c r="JW180" s="15"/>
      <c r="JX180" s="13">
        <v>45948</v>
      </c>
      <c r="JY180" s="14">
        <f>DATE(YEAR(JX180)+2,MONTH(JX180),DAY(JX180))</f>
        <v>46678</v>
      </c>
      <c r="JZ180" s="65">
        <f ca="1">JY180-TODAY()</f>
        <v>547</v>
      </c>
      <c r="KA180" s="15" t="str">
        <f t="shared" ca="1" si="530"/>
        <v>VIGENTE</v>
      </c>
      <c r="KB180" s="15"/>
      <c r="KC180" s="14"/>
      <c r="KD180" s="65"/>
      <c r="KE180" s="15" t="str">
        <f t="shared" si="531"/>
        <v>NO APLICA</v>
      </c>
      <c r="KF180" s="15"/>
      <c r="KG180" s="14"/>
      <c r="KH180" s="65"/>
      <c r="KI180" s="15" t="str">
        <f t="shared" si="547"/>
        <v>NO APLICA</v>
      </c>
      <c r="KJ180" s="15"/>
      <c r="KK180" s="14"/>
      <c r="KL180" s="65"/>
      <c r="KM180" s="15" t="str">
        <f t="shared" si="532"/>
        <v>NO APLICA</v>
      </c>
      <c r="KN180" s="13">
        <v>45346</v>
      </c>
      <c r="KO180" s="14">
        <f>DATE(YEAR(KN180)+5,MONTH(KN180),DAY(KN180))</f>
        <v>47173</v>
      </c>
      <c r="KP180" s="65">
        <f ca="1">KO180-TODAY()</f>
        <v>1042</v>
      </c>
      <c r="KQ180" s="15" t="str">
        <f t="shared" ca="1" si="548"/>
        <v>VIGENTE</v>
      </c>
      <c r="KR180" s="13">
        <v>44655</v>
      </c>
      <c r="KS180" s="14">
        <v>44656</v>
      </c>
      <c r="KT180" s="14">
        <f>DATE(YEAR(KS180)+5,MONTH(KS180),DAY(KS180))</f>
        <v>46482</v>
      </c>
      <c r="KU180" s="65">
        <f ca="1">KT180-TODAY()</f>
        <v>351</v>
      </c>
      <c r="KV180" s="15" t="str">
        <f t="shared" ca="1" si="554"/>
        <v>VIGENTE</v>
      </c>
      <c r="KW180" s="14">
        <v>44603</v>
      </c>
      <c r="KX180" s="14">
        <f>DATE(YEAR(KW180)+5,MONTH(KW180),DAY(KW180))</f>
        <v>46429</v>
      </c>
      <c r="KY180" s="65">
        <f ca="1">KX180-TODAY()</f>
        <v>298</v>
      </c>
      <c r="KZ180" s="15" t="str">
        <f t="shared" ca="1" si="549"/>
        <v>VIGENTE</v>
      </c>
      <c r="LA180" s="16"/>
      <c r="LB180" s="14">
        <v>45611</v>
      </c>
      <c r="LC180" s="14">
        <f>DATE(YEAR(LB180)+2,MONTH(LB180),DAY(LB180))</f>
        <v>46341</v>
      </c>
      <c r="LD180" s="65">
        <f ca="1">LC180-TODAY()</f>
        <v>210</v>
      </c>
      <c r="LE180" s="15" t="str">
        <f t="shared" ca="1" si="590"/>
        <v>VIGENTE</v>
      </c>
      <c r="LF180" s="15"/>
      <c r="LG180" s="15"/>
      <c r="LH180" s="14"/>
      <c r="LI180" s="65"/>
      <c r="LJ180" s="15" t="str">
        <f t="shared" si="555"/>
        <v>NO APLICA</v>
      </c>
      <c r="LK180" s="15"/>
      <c r="LL180" s="16"/>
      <c r="LM180" s="14"/>
      <c r="LN180" s="65"/>
      <c r="LO180" s="15" t="str">
        <f t="shared" si="550"/>
        <v>NO APLICA</v>
      </c>
      <c r="LP180" s="16"/>
      <c r="LQ180" s="16"/>
      <c r="LR180" s="14"/>
      <c r="LS180" s="65"/>
      <c r="LT180" s="15" t="str">
        <f t="shared" si="551"/>
        <v>NO APLICA</v>
      </c>
      <c r="LU180" s="16"/>
      <c r="LV180" s="16"/>
      <c r="LW180" s="14"/>
      <c r="LX180" s="65"/>
      <c r="LY180" s="15" t="str">
        <f t="shared" si="552"/>
        <v>NO APLICA</v>
      </c>
      <c r="LZ180" s="15"/>
      <c r="MA180" s="15"/>
      <c r="MB180" s="14"/>
      <c r="MC180" s="65"/>
      <c r="MD180" s="15" t="str">
        <f t="shared" si="534"/>
        <v>NO APLICA</v>
      </c>
      <c r="ME180" s="15"/>
      <c r="MF180" s="15"/>
      <c r="MG180" s="14"/>
      <c r="MH180" s="65"/>
      <c r="MI180" s="15" t="str">
        <f t="shared" si="535"/>
        <v>NO APLICA</v>
      </c>
      <c r="MJ180" s="13">
        <v>45154</v>
      </c>
      <c r="MK180" s="14">
        <f>DATE(YEAR(MJ180)+5,MONTH(MJ180),DAY(MJ180))</f>
        <v>46981</v>
      </c>
      <c r="ML180" s="65">
        <f ca="1">MK180-TODAY()</f>
        <v>850</v>
      </c>
      <c r="MM180" s="15" t="str">
        <f t="shared" ca="1" si="536"/>
        <v>VIGENTE</v>
      </c>
      <c r="MN180" s="13">
        <v>45155</v>
      </c>
      <c r="MO180" s="14">
        <f>DATE(YEAR(MN180)+5,MONTH(MN180),DAY(MN180))</f>
        <v>46982</v>
      </c>
      <c r="MP180" s="65">
        <f ca="1">MO180-TODAY()</f>
        <v>851</v>
      </c>
      <c r="MQ180" s="15" t="str">
        <f t="shared" ca="1" si="537"/>
        <v>VIGENTE</v>
      </c>
      <c r="MR180" s="15"/>
      <c r="MS180" s="16"/>
      <c r="MT180" s="14"/>
      <c r="MU180" s="65"/>
      <c r="MV180" s="15" t="str">
        <f t="shared" si="538"/>
        <v>NO APLICA</v>
      </c>
      <c r="MW180" s="15"/>
      <c r="MX180" s="16"/>
      <c r="MY180" s="14"/>
      <c r="MZ180" s="65"/>
      <c r="NA180" s="15" t="str">
        <f t="shared" si="539"/>
        <v>NO APLICA</v>
      </c>
      <c r="NB180" s="15"/>
      <c r="NC180" s="16"/>
      <c r="ND180" s="14"/>
      <c r="NE180" s="65"/>
      <c r="NF180" s="15" t="str">
        <f t="shared" si="540"/>
        <v>NO APLICA</v>
      </c>
      <c r="NG180" s="15"/>
      <c r="NH180" s="15"/>
      <c r="NI180" s="14"/>
      <c r="NJ180" s="65"/>
      <c r="NK180" s="15" t="str">
        <f t="shared" si="541"/>
        <v>NO APLICA</v>
      </c>
      <c r="NL180" s="15"/>
      <c r="NM180" s="15"/>
      <c r="NN180" s="15"/>
      <c r="NO180" s="15"/>
      <c r="NP180" s="15" t="str">
        <f t="shared" si="542"/>
        <v>NO APLICA</v>
      </c>
      <c r="NQ180" s="16"/>
      <c r="NR180" s="16"/>
      <c r="NS180" s="14"/>
      <c r="NT180" s="65"/>
      <c r="NU180" s="15" t="str">
        <f t="shared" si="543"/>
        <v>NO APLICA</v>
      </c>
      <c r="NV180" s="16"/>
      <c r="NW180" s="16"/>
      <c r="NX180" s="16"/>
      <c r="NY180" s="16"/>
      <c r="NZ180" s="15" t="str">
        <f t="shared" si="544"/>
        <v>NO APLICA</v>
      </c>
    </row>
    <row r="181" spans="1:390" ht="15.6" thickTop="1" thickBot="1" x14ac:dyDescent="0.35">
      <c r="A181" s="9">
        <v>1556</v>
      </c>
      <c r="B181" s="10" t="s">
        <v>638</v>
      </c>
      <c r="C181" s="21" t="s">
        <v>98</v>
      </c>
      <c r="D181" s="64" t="s">
        <v>595</v>
      </c>
      <c r="E181" s="15"/>
      <c r="F181" s="16"/>
      <c r="G181" s="14"/>
      <c r="H181" s="65"/>
      <c r="I181" s="15" t="str">
        <f t="shared" si="448"/>
        <v>NO APLICA</v>
      </c>
      <c r="J181" s="15"/>
      <c r="K181" s="16"/>
      <c r="L181" s="16"/>
      <c r="M181" s="65"/>
      <c r="N181" s="15" t="str">
        <f t="shared" si="449"/>
        <v>NO APLICA</v>
      </c>
      <c r="O181" s="14">
        <v>45589</v>
      </c>
      <c r="P181" s="14">
        <v>45590</v>
      </c>
      <c r="Q181" s="14">
        <f>DATE(YEAR(P181)+2,MONTH(P181),DAY(P181)-1)</f>
        <v>46319</v>
      </c>
      <c r="R181" s="65">
        <f ca="1">Q181-TODAY()</f>
        <v>188</v>
      </c>
      <c r="S181" s="15" t="str">
        <f t="shared" ca="1" si="545"/>
        <v>VIGENTE</v>
      </c>
      <c r="T181" s="12" t="s">
        <v>639</v>
      </c>
      <c r="U181" s="13">
        <v>45692</v>
      </c>
      <c r="V181" s="14">
        <v>45693</v>
      </c>
      <c r="W181" s="14">
        <f t="shared" si="577"/>
        <v>47519</v>
      </c>
      <c r="X181" s="65">
        <f t="shared" ca="1" si="578"/>
        <v>1388</v>
      </c>
      <c r="Y181" s="15" t="str">
        <f t="shared" ca="1" si="595"/>
        <v>VIGENTE</v>
      </c>
      <c r="Z181" s="12" t="s">
        <v>640</v>
      </c>
      <c r="AA181" s="13">
        <v>45189</v>
      </c>
      <c r="AB181" s="14">
        <v>45190</v>
      </c>
      <c r="AC181" s="14">
        <f>DATE(YEAR(AB181)+5,MONTH(AB181),DAY(AB181))</f>
        <v>47017</v>
      </c>
      <c r="AD181" s="65">
        <f t="shared" ca="1" si="605"/>
        <v>886</v>
      </c>
      <c r="AE181" s="15" t="str">
        <f t="shared" ca="1" si="598"/>
        <v>VIGENTE</v>
      </c>
      <c r="AF181" s="13">
        <v>45243</v>
      </c>
      <c r="AG181" s="14">
        <v>45902</v>
      </c>
      <c r="AH181" s="14">
        <f>DATE(YEAR(AG181)+2,MONTH(AG181),DAY(AG181))</f>
        <v>46632</v>
      </c>
      <c r="AI181" s="65">
        <f t="shared" ca="1" si="450"/>
        <v>501</v>
      </c>
      <c r="AJ181" s="15" t="str">
        <f t="shared" ca="1" si="592"/>
        <v>VIGENTE</v>
      </c>
      <c r="AK181" s="13">
        <v>45108</v>
      </c>
      <c r="AL181" s="14">
        <v>45748</v>
      </c>
      <c r="AM181" s="14">
        <f>DATE(YEAR(AL181)+2,MONTH(AL181),DAY(AL181)-1)</f>
        <v>46477</v>
      </c>
      <c r="AN181" s="65">
        <f t="shared" ca="1" si="451"/>
        <v>346</v>
      </c>
      <c r="AO181" s="15" t="str">
        <f t="shared" ca="1" si="452"/>
        <v>VIGENTE</v>
      </c>
      <c r="AP181" s="13">
        <v>44652</v>
      </c>
      <c r="AQ181" s="14">
        <v>45904</v>
      </c>
      <c r="AR181" s="14">
        <f t="shared" si="599"/>
        <v>46634</v>
      </c>
      <c r="AS181" s="65">
        <f t="shared" ca="1" si="453"/>
        <v>503</v>
      </c>
      <c r="AT181" s="15" t="str">
        <f t="shared" ca="1" si="454"/>
        <v>VIGENTE</v>
      </c>
      <c r="AU181" s="13">
        <v>44652</v>
      </c>
      <c r="AV181" s="14">
        <v>45927</v>
      </c>
      <c r="AW181" s="14">
        <f>DATE(YEAR(AV181)+2,MONTH(AV181),DAY(AV181))</f>
        <v>46657</v>
      </c>
      <c r="AX181" s="65">
        <f t="shared" ca="1" si="455"/>
        <v>526</v>
      </c>
      <c r="AY181" s="15" t="str">
        <f t="shared" ca="1" si="456"/>
        <v>VIGENTE</v>
      </c>
      <c r="AZ181" s="13">
        <v>45387</v>
      </c>
      <c r="BA181" s="14">
        <v>46041</v>
      </c>
      <c r="BB181" s="14">
        <f>DATE(YEAR(BA181)+2,MONTH(BA181),DAY(BA181))</f>
        <v>46771</v>
      </c>
      <c r="BC181" s="65">
        <f t="shared" ca="1" si="457"/>
        <v>640</v>
      </c>
      <c r="BD181" s="15" t="str">
        <f t="shared" ca="1" si="458"/>
        <v>VIGENTE</v>
      </c>
      <c r="BE181" s="13">
        <v>45399</v>
      </c>
      <c r="BF181" s="14">
        <v>46027</v>
      </c>
      <c r="BG181" s="14">
        <f t="shared" si="606"/>
        <v>46757</v>
      </c>
      <c r="BH181" s="65">
        <f t="shared" ca="1" si="459"/>
        <v>626</v>
      </c>
      <c r="BI181" s="15" t="str">
        <f t="shared" ca="1" si="460"/>
        <v>VIGENTE</v>
      </c>
      <c r="BJ181" s="13">
        <v>44974</v>
      </c>
      <c r="BK181" s="14">
        <v>45600</v>
      </c>
      <c r="BL181" s="14">
        <f>DATE(YEAR(BK181)+2,MONTH(BK181),DAY(BK181)-1)</f>
        <v>46329</v>
      </c>
      <c r="BM181" s="65">
        <f t="shared" ca="1" si="461"/>
        <v>198</v>
      </c>
      <c r="BN181" s="15" t="str">
        <f t="shared" ca="1" si="462"/>
        <v>VIGENTE</v>
      </c>
      <c r="BO181" s="13">
        <v>44593</v>
      </c>
      <c r="BP181" s="14">
        <v>45988</v>
      </c>
      <c r="BQ181" s="14">
        <f>DATE(YEAR(BP181)+2,MONTH(BP181),DAY(BP181))</f>
        <v>46718</v>
      </c>
      <c r="BR181" s="65">
        <f t="shared" ca="1" si="463"/>
        <v>587</v>
      </c>
      <c r="BS181" s="15" t="str">
        <f t="shared" ca="1" si="464"/>
        <v>VIGENTE</v>
      </c>
      <c r="BT181" s="13">
        <v>44733</v>
      </c>
      <c r="BU181" s="14">
        <v>45449</v>
      </c>
      <c r="BV181" s="14">
        <f>DATE(YEAR(BU181)+2,MONTH(BU181),DAY(BU181)-1)</f>
        <v>46178</v>
      </c>
      <c r="BW181" s="65">
        <f t="shared" ca="1" si="465"/>
        <v>47</v>
      </c>
      <c r="BX181" s="15" t="str">
        <f t="shared" ca="1" si="466"/>
        <v>POR VENCER</v>
      </c>
      <c r="BY181" s="13">
        <v>44975</v>
      </c>
      <c r="BZ181" s="14">
        <v>45629</v>
      </c>
      <c r="CA181" s="14">
        <f>DATE(YEAR(BZ181)+2,MONTH(BZ181),DAY(BZ181)-1)</f>
        <v>46358</v>
      </c>
      <c r="CB181" s="65">
        <f t="shared" ca="1" si="467"/>
        <v>227</v>
      </c>
      <c r="CC181" s="15" t="str">
        <f t="shared" ca="1" si="468"/>
        <v>VIGENTE</v>
      </c>
      <c r="CD181" s="16" t="s">
        <v>108</v>
      </c>
      <c r="CE181" s="14">
        <v>45615</v>
      </c>
      <c r="CF181" s="14">
        <v>45616</v>
      </c>
      <c r="CG181" s="14">
        <f t="shared" si="580"/>
        <v>47077</v>
      </c>
      <c r="CH181" s="65">
        <f t="shared" ca="1" si="581"/>
        <v>946</v>
      </c>
      <c r="CI181" s="15" t="str">
        <f t="shared" ca="1" si="562"/>
        <v>VIGENTE</v>
      </c>
      <c r="CJ181" s="14">
        <v>44573</v>
      </c>
      <c r="CK181" s="14">
        <v>45929</v>
      </c>
      <c r="CL181" s="14">
        <f>DATE(YEAR(CK181)+2,MONTH(CK181),DAY(CK181))</f>
        <v>46659</v>
      </c>
      <c r="CM181" s="65">
        <f t="shared" ca="1" si="469"/>
        <v>528</v>
      </c>
      <c r="CN181" s="15" t="str">
        <f t="shared" ca="1" si="470"/>
        <v>VIGENTE</v>
      </c>
      <c r="CO181" s="13">
        <v>45246</v>
      </c>
      <c r="CP181" s="14">
        <v>45888</v>
      </c>
      <c r="CQ181" s="14">
        <f>DATE(YEAR(CP181)+2,MONTH(CP181),DAY(CP181))</f>
        <v>46618</v>
      </c>
      <c r="CR181" s="65">
        <f t="shared" ca="1" si="471"/>
        <v>487</v>
      </c>
      <c r="CS181" s="15" t="str">
        <f t="shared" ca="1" si="472"/>
        <v>VIGENTE</v>
      </c>
      <c r="CT181" s="13">
        <v>44651</v>
      </c>
      <c r="CU181" s="14">
        <v>45905</v>
      </c>
      <c r="CV181" s="14">
        <f>DATE(YEAR(CU181)+2,MONTH(CU181),DAY(CU181))</f>
        <v>46635</v>
      </c>
      <c r="CW181" s="65">
        <f t="shared" ca="1" si="473"/>
        <v>504</v>
      </c>
      <c r="CX181" s="15" t="str">
        <f t="shared" ca="1" si="474"/>
        <v>VIGENTE</v>
      </c>
      <c r="CY181" s="13">
        <v>44653</v>
      </c>
      <c r="CZ181" s="14">
        <v>46000</v>
      </c>
      <c r="DA181" s="14">
        <f>DATE(YEAR(CZ181)+2,MONTH(CZ181),DAY(CZ181))</f>
        <v>46730</v>
      </c>
      <c r="DB181" s="65">
        <f t="shared" ca="1" si="475"/>
        <v>599</v>
      </c>
      <c r="DC181" s="15" t="str">
        <f t="shared" ca="1" si="476"/>
        <v>VIGENTE</v>
      </c>
      <c r="DD181" s="13">
        <v>45328</v>
      </c>
      <c r="DE181" s="14">
        <v>45996</v>
      </c>
      <c r="DF181" s="14">
        <f>DATE(YEAR(DE181)+2,MONTH(DE181),DAY(DE181))</f>
        <v>46726</v>
      </c>
      <c r="DG181" s="65">
        <f t="shared" ca="1" si="477"/>
        <v>595</v>
      </c>
      <c r="DH181" s="15" t="str">
        <f t="shared" ca="1" si="478"/>
        <v>VIGENTE</v>
      </c>
      <c r="DI181" s="13">
        <v>45296</v>
      </c>
      <c r="DJ181" s="14">
        <v>45975</v>
      </c>
      <c r="DK181" s="14">
        <f>DATE(YEAR(DJ181)+2,MONTH(DJ181),DAY(DJ181))</f>
        <v>46705</v>
      </c>
      <c r="DL181" s="65">
        <f t="shared" ca="1" si="479"/>
        <v>574</v>
      </c>
      <c r="DM181" s="15" t="str">
        <f t="shared" ca="1" si="480"/>
        <v>VIGENTE</v>
      </c>
      <c r="DN181" s="13">
        <v>45316</v>
      </c>
      <c r="DO181" s="14">
        <v>45982</v>
      </c>
      <c r="DP181" s="14">
        <f>DATE(YEAR(DO181)+2,MONTH(DO181),DAY(DO181))</f>
        <v>46712</v>
      </c>
      <c r="DQ181" s="65">
        <f t="shared" ca="1" si="481"/>
        <v>581</v>
      </c>
      <c r="DR181" s="15" t="str">
        <f t="shared" ca="1" si="482"/>
        <v>VIGENTE</v>
      </c>
      <c r="DS181" s="13">
        <v>44734</v>
      </c>
      <c r="DT181" s="14">
        <v>46053</v>
      </c>
      <c r="DU181" s="14">
        <f>DATE(YEAR(DT181)+2,MONTH(DT181),DAY(DT181))</f>
        <v>46783</v>
      </c>
      <c r="DV181" s="65">
        <f t="shared" ca="1" si="483"/>
        <v>652</v>
      </c>
      <c r="DW181" s="15" t="str">
        <f t="shared" ca="1" si="484"/>
        <v>VIGENTE</v>
      </c>
      <c r="DX181" s="13">
        <v>45329</v>
      </c>
      <c r="DY181" s="14">
        <v>46020</v>
      </c>
      <c r="DZ181" s="14">
        <f>DATE(YEAR(DY181)+2,MONTH(DY181),DAY(DY181))</f>
        <v>46750</v>
      </c>
      <c r="EA181" s="65">
        <f t="shared" ca="1" si="485"/>
        <v>619</v>
      </c>
      <c r="EB181" s="15" t="str">
        <f t="shared" ca="1" si="486"/>
        <v>VIGENTE</v>
      </c>
      <c r="EC181" s="13">
        <v>45255</v>
      </c>
      <c r="ED181" s="14">
        <v>45913</v>
      </c>
      <c r="EE181" s="14">
        <f>DATE(YEAR(ED181)+2,MONTH(ED181),DAY(ED181))</f>
        <v>46643</v>
      </c>
      <c r="EF181" s="65">
        <f t="shared" ca="1" si="487"/>
        <v>512</v>
      </c>
      <c r="EG181" s="15" t="str">
        <f t="shared" ca="1" si="488"/>
        <v>VIGENTE</v>
      </c>
      <c r="EH181" s="13">
        <v>45253</v>
      </c>
      <c r="EI181" s="13">
        <v>45909</v>
      </c>
      <c r="EJ181" s="13">
        <v>45910</v>
      </c>
      <c r="EK181" s="13">
        <v>45911</v>
      </c>
      <c r="EL181" s="14">
        <f t="shared" si="546"/>
        <v>46276</v>
      </c>
      <c r="EM181" s="65">
        <f t="shared" ca="1" si="489"/>
        <v>145</v>
      </c>
      <c r="EN181" s="15" t="str">
        <f t="shared" ca="1" si="490"/>
        <v>VIGENTE</v>
      </c>
      <c r="EO181" s="13">
        <v>44600</v>
      </c>
      <c r="EP181" s="14">
        <v>45940</v>
      </c>
      <c r="EQ181" s="14">
        <f>DATE(YEAR(EP181)+2,MONTH(EP181),DAY(EP181))</f>
        <v>46670</v>
      </c>
      <c r="ER181" s="65">
        <f t="shared" ca="1" si="491"/>
        <v>539</v>
      </c>
      <c r="ES181" s="15" t="str">
        <f t="shared" ca="1" si="492"/>
        <v>VIGENTE</v>
      </c>
      <c r="ET181" s="13">
        <v>45411</v>
      </c>
      <c r="EU181" s="14">
        <v>46042</v>
      </c>
      <c r="EV181" s="14">
        <f>DATE(YEAR(EU181)+2,MONTH(EU181),DAY(EU181))</f>
        <v>46772</v>
      </c>
      <c r="EW181" s="65">
        <f t="shared" ca="1" si="493"/>
        <v>641</v>
      </c>
      <c r="EX181" s="15" t="str">
        <f t="shared" ca="1" si="494"/>
        <v>VIGENTE</v>
      </c>
      <c r="EY181" s="13">
        <v>44615</v>
      </c>
      <c r="EZ181" s="14">
        <v>45917</v>
      </c>
      <c r="FA181" s="14">
        <f t="shared" si="600"/>
        <v>46647</v>
      </c>
      <c r="FB181" s="65">
        <f t="shared" ca="1" si="495"/>
        <v>516</v>
      </c>
      <c r="FC181" s="15" t="str">
        <f t="shared" ca="1" si="496"/>
        <v>VIGENTE</v>
      </c>
      <c r="FD181" s="13">
        <v>44615</v>
      </c>
      <c r="FE181" s="14">
        <v>45931</v>
      </c>
      <c r="FF181" s="14">
        <f>DATE(YEAR(FE181)+2,MONTH(FE181),DAY(FE181))</f>
        <v>46661</v>
      </c>
      <c r="FG181" s="65">
        <f t="shared" ca="1" si="497"/>
        <v>530</v>
      </c>
      <c r="FH181" s="15" t="str">
        <f t="shared" ca="1" si="498"/>
        <v>VIGENTE</v>
      </c>
      <c r="FI181" s="13">
        <v>45248</v>
      </c>
      <c r="FJ181" s="14">
        <v>45919</v>
      </c>
      <c r="FK181" s="14">
        <f>DATE(YEAR(FJ181)+2,MONTH(FJ181),DAY(FJ181))</f>
        <v>46649</v>
      </c>
      <c r="FL181" s="65">
        <f t="shared" ca="1" si="499"/>
        <v>518</v>
      </c>
      <c r="FM181" s="15" t="str">
        <f t="shared" ca="1" si="500"/>
        <v>VIGENTE</v>
      </c>
      <c r="FN181" s="13">
        <v>44592</v>
      </c>
      <c r="FO181" s="14">
        <v>45933</v>
      </c>
      <c r="FP181" s="14">
        <f>DATE(YEAR(FO181)+2,MONTH(FO181),DAY(FO181))</f>
        <v>46663</v>
      </c>
      <c r="FQ181" s="65">
        <f t="shared" ca="1" si="501"/>
        <v>532</v>
      </c>
      <c r="FR181" s="15" t="str">
        <f t="shared" ca="1" si="502"/>
        <v>VIGENTE</v>
      </c>
      <c r="FS181" s="13">
        <v>45310</v>
      </c>
      <c r="FT181" s="14">
        <v>45957</v>
      </c>
      <c r="FU181" s="14">
        <f>DATE(YEAR(FT181)+2,MONTH(FT181),DAY(FT181))</f>
        <v>46687</v>
      </c>
      <c r="FV181" s="65">
        <f t="shared" ca="1" si="503"/>
        <v>556</v>
      </c>
      <c r="FW181" s="15" t="str">
        <f t="shared" ca="1" si="504"/>
        <v>VIGENTE</v>
      </c>
      <c r="FX181" s="13">
        <v>44616</v>
      </c>
      <c r="FY181" s="14">
        <v>45941</v>
      </c>
      <c r="FZ181" s="14">
        <f>DATE(YEAR(FY181)+2,MONTH(FY181),DAY(FY181))</f>
        <v>46671</v>
      </c>
      <c r="GA181" s="65">
        <f t="shared" ca="1" si="505"/>
        <v>540</v>
      </c>
      <c r="GB181" s="15" t="str">
        <f t="shared" ca="1" si="506"/>
        <v>VIGENTE</v>
      </c>
      <c r="GC181" s="13">
        <v>45396</v>
      </c>
      <c r="GD181" s="14">
        <v>46030</v>
      </c>
      <c r="GE181" s="14">
        <f>DATE(YEAR(GD181)+2,MONTH(GD181),DAY(GD181))</f>
        <v>46760</v>
      </c>
      <c r="GF181" s="65">
        <f t="shared" ca="1" si="507"/>
        <v>629</v>
      </c>
      <c r="GG181" s="15" t="str">
        <f t="shared" ca="1" si="508"/>
        <v>VIGENTE</v>
      </c>
      <c r="GH181" s="13">
        <v>45332</v>
      </c>
      <c r="GI181" s="14">
        <v>45960</v>
      </c>
      <c r="GJ181" s="14">
        <f>DATE(YEAR(GI181)+2,MONTH(GI181),DAY(GI181))</f>
        <v>46690</v>
      </c>
      <c r="GK181" s="65">
        <f t="shared" ca="1" si="509"/>
        <v>559</v>
      </c>
      <c r="GL181" s="15" t="str">
        <f t="shared" ca="1" si="510"/>
        <v>VIGENTE</v>
      </c>
      <c r="GM181" s="13">
        <v>44610</v>
      </c>
      <c r="GN181" s="14">
        <v>45945</v>
      </c>
      <c r="GO181" s="14">
        <f>DATE(YEAR(GN181)+2,MONTH(GN181),DAY(GN181))</f>
        <v>46675</v>
      </c>
      <c r="GP181" s="65">
        <f t="shared" ca="1" si="511"/>
        <v>544</v>
      </c>
      <c r="GQ181" s="15" t="str">
        <f t="shared" ca="1" si="512"/>
        <v>VIGENTE</v>
      </c>
      <c r="GR181" s="14">
        <v>44873</v>
      </c>
      <c r="GS181" s="14">
        <v>45495</v>
      </c>
      <c r="GT181" s="14">
        <f t="shared" si="513"/>
        <v>47321</v>
      </c>
      <c r="GU181" s="65">
        <f t="shared" ca="1" si="591"/>
        <v>1190</v>
      </c>
      <c r="GV181" s="15" t="str">
        <f t="shared" ca="1" si="601"/>
        <v>VIGENTE</v>
      </c>
      <c r="GW181" s="13"/>
      <c r="GX181" s="14">
        <v>44979</v>
      </c>
      <c r="GY181" s="14">
        <f t="shared" si="514"/>
        <v>46805</v>
      </c>
      <c r="GZ181" s="65">
        <f t="shared" ca="1" si="515"/>
        <v>674</v>
      </c>
      <c r="HA181" s="15" t="str">
        <f t="shared" ca="1" si="602"/>
        <v>VIGENTE</v>
      </c>
      <c r="HB181" s="13">
        <v>44566</v>
      </c>
      <c r="HC181" s="14">
        <v>45294</v>
      </c>
      <c r="HD181" s="14">
        <f t="shared" si="516"/>
        <v>47121</v>
      </c>
      <c r="HE181" s="65">
        <f t="shared" ca="1" si="517"/>
        <v>990</v>
      </c>
      <c r="HF181" s="15" t="str">
        <f t="shared" ca="1" si="603"/>
        <v>VIGENTE</v>
      </c>
      <c r="HG181" s="16"/>
      <c r="HH181" s="14">
        <v>44880</v>
      </c>
      <c r="HI181" s="14">
        <f>DATE(YEAR(HH181)+5,MONTH(HH181),DAY(HH181))</f>
        <v>46706</v>
      </c>
      <c r="HJ181" s="65">
        <f t="shared" ca="1" si="607"/>
        <v>575</v>
      </c>
      <c r="HK181" s="15" t="str">
        <f t="shared" ca="1" si="604"/>
        <v>VIGENTE</v>
      </c>
      <c r="HL181" s="12"/>
      <c r="HM181" s="16"/>
      <c r="HN181" s="14"/>
      <c r="HO181" s="65"/>
      <c r="HP181" s="15" t="str">
        <f t="shared" si="437"/>
        <v>NO APLICA</v>
      </c>
      <c r="HQ181" s="12"/>
      <c r="HR181" s="12"/>
      <c r="HS181" s="14"/>
      <c r="HT181" s="12"/>
      <c r="HU181" s="15" t="str">
        <f t="shared" si="518"/>
        <v>NO APLICA</v>
      </c>
      <c r="HV181" s="12"/>
      <c r="HW181" s="16"/>
      <c r="HX181" s="14"/>
      <c r="HY181" s="65"/>
      <c r="HZ181" s="15" t="str">
        <f t="shared" si="519"/>
        <v>NO APLICA</v>
      </c>
      <c r="IA181" s="12"/>
      <c r="IB181" s="16"/>
      <c r="IC181" s="14"/>
      <c r="ID181" s="65"/>
      <c r="IE181" s="15" t="str">
        <f t="shared" si="520"/>
        <v>NO APLICA</v>
      </c>
      <c r="IF181" s="12"/>
      <c r="IG181" s="16"/>
      <c r="IH181" s="14"/>
      <c r="II181" s="65"/>
      <c r="IJ181" s="15" t="str">
        <f t="shared" si="521"/>
        <v>NO APLICA</v>
      </c>
      <c r="IK181" s="16"/>
      <c r="IL181" s="16"/>
      <c r="IM181" s="14"/>
      <c r="IN181" s="65"/>
      <c r="IO181" s="15" t="str">
        <f t="shared" si="522"/>
        <v>NO APLICA</v>
      </c>
      <c r="IP181" s="12"/>
      <c r="IQ181" s="16"/>
      <c r="IR181" s="14"/>
      <c r="IS181" s="65"/>
      <c r="IT181" s="15" t="str">
        <f t="shared" si="523"/>
        <v>NO APLICA</v>
      </c>
      <c r="IU181" s="12"/>
      <c r="IV181" s="16"/>
      <c r="IW181" s="14"/>
      <c r="IX181" s="65"/>
      <c r="IY181" s="15" t="str">
        <f t="shared" si="524"/>
        <v>NO APLICA</v>
      </c>
      <c r="IZ181" s="12"/>
      <c r="JA181" s="16"/>
      <c r="JB181" s="14"/>
      <c r="JC181" s="65"/>
      <c r="JD181" s="15" t="str">
        <f t="shared" si="525"/>
        <v>NO APLICA</v>
      </c>
      <c r="JE181" s="13"/>
      <c r="JF181" s="13"/>
      <c r="JG181" s="14"/>
      <c r="JH181" s="65"/>
      <c r="JI181" s="15" t="str">
        <f t="shared" si="526"/>
        <v>NO APLICA</v>
      </c>
      <c r="JJ181" s="16"/>
      <c r="JK181" s="16"/>
      <c r="JL181" s="16"/>
      <c r="JM181" s="15" t="str">
        <f t="shared" si="527"/>
        <v>NO APLICA</v>
      </c>
      <c r="JN181" s="16"/>
      <c r="JO181" s="16"/>
      <c r="JP181" s="16"/>
      <c r="JQ181" s="15" t="str">
        <f t="shared" si="528"/>
        <v>NO APLICA</v>
      </c>
      <c r="JR181" s="16"/>
      <c r="JS181" s="16"/>
      <c r="JT181" s="16"/>
      <c r="JU181" s="16"/>
      <c r="JV181" s="15" t="str">
        <f t="shared" si="529"/>
        <v>NO APLICA</v>
      </c>
      <c r="JW181" s="15"/>
      <c r="JX181" s="15"/>
      <c r="JY181" s="15"/>
      <c r="JZ181" s="15"/>
      <c r="KA181" s="15" t="str">
        <f t="shared" si="530"/>
        <v>NO APLICA</v>
      </c>
      <c r="KB181" s="12"/>
      <c r="KC181" s="14"/>
      <c r="KD181" s="65"/>
      <c r="KE181" s="15" t="str">
        <f t="shared" si="531"/>
        <v>NO APLICA</v>
      </c>
      <c r="KF181" s="12"/>
      <c r="KG181" s="14"/>
      <c r="KH181" s="65"/>
      <c r="KI181" s="15" t="str">
        <f t="shared" si="547"/>
        <v>NO APLICA</v>
      </c>
      <c r="KJ181" s="13">
        <v>45364</v>
      </c>
      <c r="KK181" s="14">
        <f>DATE(YEAR(KJ181)+5,MONTH(KJ181),DAY(KJ181))</f>
        <v>47190</v>
      </c>
      <c r="KL181" s="65">
        <f ca="1">KK181-TODAY()</f>
        <v>1059</v>
      </c>
      <c r="KM181" s="15" t="str">
        <f t="shared" ca="1" si="532"/>
        <v>VIGENTE</v>
      </c>
      <c r="KN181" s="12"/>
      <c r="KO181" s="14"/>
      <c r="KP181" s="65"/>
      <c r="KQ181" s="15" t="str">
        <f t="shared" si="548"/>
        <v>NO APLICA</v>
      </c>
      <c r="KR181" s="13">
        <v>44657</v>
      </c>
      <c r="KS181" s="14">
        <v>44658</v>
      </c>
      <c r="KT181" s="14">
        <f>DATE(YEAR(KS181)+5,MONTH(KS181),DAY(KS181))</f>
        <v>46484</v>
      </c>
      <c r="KU181" s="65">
        <f ca="1">KT181-TODAY()</f>
        <v>353</v>
      </c>
      <c r="KV181" s="15" t="str">
        <f t="shared" ca="1" si="554"/>
        <v>VIGENTE</v>
      </c>
      <c r="KW181" s="14">
        <v>44613</v>
      </c>
      <c r="KX181" s="14">
        <f>DATE(YEAR(KW181)+5,MONTH(KW181),DAY(KW181))</f>
        <v>46439</v>
      </c>
      <c r="KY181" s="65">
        <f ca="1">KX181-TODAY()</f>
        <v>308</v>
      </c>
      <c r="KZ181" s="15" t="str">
        <f t="shared" ca="1" si="549"/>
        <v>VIGENTE</v>
      </c>
      <c r="LA181" s="16"/>
      <c r="LB181" s="16"/>
      <c r="LC181" s="14"/>
      <c r="LD181" s="65"/>
      <c r="LE181" s="15" t="str">
        <f t="shared" si="590"/>
        <v>NO APLICA</v>
      </c>
      <c r="LF181" s="15"/>
      <c r="LG181" s="15"/>
      <c r="LH181" s="15"/>
      <c r="LI181" s="15"/>
      <c r="LJ181" s="15" t="str">
        <f t="shared" si="555"/>
        <v>NO APLICA</v>
      </c>
      <c r="LK181" s="12"/>
      <c r="LL181" s="16"/>
      <c r="LM181" s="14"/>
      <c r="LN181" s="65"/>
      <c r="LO181" s="15" t="str">
        <f t="shared" si="550"/>
        <v>NO APLICA</v>
      </c>
      <c r="LP181" s="14">
        <v>44984</v>
      </c>
      <c r="LQ181" s="14">
        <v>44986</v>
      </c>
      <c r="LR181" s="14">
        <f>DATE(YEAR(LQ181)+5,MONTH(LQ181),DAY(LQ181))</f>
        <v>46813</v>
      </c>
      <c r="LS181" s="65">
        <f ca="1">LR181-TODAY()</f>
        <v>682</v>
      </c>
      <c r="LT181" s="15" t="str">
        <f t="shared" ca="1" si="551"/>
        <v>VIGENTE</v>
      </c>
      <c r="LU181" s="14">
        <v>44987</v>
      </c>
      <c r="LV181" s="14">
        <v>44988</v>
      </c>
      <c r="LW181" s="14">
        <f>DATE(YEAR(LV181)+5,MONTH(LV181),DAY(LV181))</f>
        <v>46815</v>
      </c>
      <c r="LX181" s="65">
        <f ca="1">LW181-TODAY()</f>
        <v>684</v>
      </c>
      <c r="LY181" s="15" t="str">
        <f t="shared" ca="1" si="552"/>
        <v>VIGENTE</v>
      </c>
      <c r="LZ181" s="14">
        <v>44998</v>
      </c>
      <c r="MA181" s="14">
        <v>45010</v>
      </c>
      <c r="MB181" s="14">
        <f>DATE(YEAR(MA181)+5,MONTH(MA181),DAY(MA181))</f>
        <v>46837</v>
      </c>
      <c r="MC181" s="65">
        <f ca="1">MB181-TODAY()</f>
        <v>706</v>
      </c>
      <c r="MD181" s="15" t="str">
        <f t="shared" ca="1" si="534"/>
        <v>VIGENTE</v>
      </c>
      <c r="ME181" s="13">
        <v>45229</v>
      </c>
      <c r="MF181" s="13">
        <v>45231</v>
      </c>
      <c r="MG181" s="14">
        <f>DATE(YEAR(MF181)+5,MONTH(MF181),DAY(MF181))</f>
        <v>47058</v>
      </c>
      <c r="MH181" s="65">
        <f ca="1">MG181-TODAY()</f>
        <v>927</v>
      </c>
      <c r="MI181" s="15" t="str">
        <f t="shared" ca="1" si="535"/>
        <v>VIGENTE</v>
      </c>
      <c r="MJ181" s="12"/>
      <c r="MK181" s="14"/>
      <c r="ML181" s="65"/>
      <c r="MM181" s="15" t="str">
        <f t="shared" si="536"/>
        <v>NO APLICA</v>
      </c>
      <c r="MN181" s="12"/>
      <c r="MO181" s="14"/>
      <c r="MP181" s="12"/>
      <c r="MQ181" s="15" t="str">
        <f t="shared" si="537"/>
        <v>NO APLICA</v>
      </c>
      <c r="MR181" s="12"/>
      <c r="MS181" s="16"/>
      <c r="MT181" s="14"/>
      <c r="MU181" s="65"/>
      <c r="MV181" s="15" t="str">
        <f t="shared" si="538"/>
        <v>NO APLICA</v>
      </c>
      <c r="MW181" s="12"/>
      <c r="MX181" s="16"/>
      <c r="MY181" s="14"/>
      <c r="MZ181" s="65"/>
      <c r="NA181" s="15" t="str">
        <f t="shared" si="539"/>
        <v>NO APLICA</v>
      </c>
      <c r="NB181" s="12"/>
      <c r="NC181" s="16"/>
      <c r="ND181" s="14"/>
      <c r="NE181" s="65"/>
      <c r="NF181" s="15" t="str">
        <f t="shared" si="540"/>
        <v>NO APLICA</v>
      </c>
      <c r="NG181" s="12"/>
      <c r="NH181" s="12"/>
      <c r="NI181" s="14"/>
      <c r="NJ181" s="12"/>
      <c r="NK181" s="15" t="str">
        <f t="shared" si="541"/>
        <v>NO APLICA</v>
      </c>
      <c r="NL181" s="12"/>
      <c r="NM181" s="12"/>
      <c r="NN181" s="14"/>
      <c r="NO181" s="12"/>
      <c r="NP181" s="15" t="str">
        <f t="shared" si="542"/>
        <v>NO APLICA</v>
      </c>
      <c r="NQ181" s="16"/>
      <c r="NR181" s="16"/>
      <c r="NS181" s="14"/>
      <c r="NT181" s="65"/>
      <c r="NU181" s="15" t="str">
        <f t="shared" si="543"/>
        <v>NO APLICA</v>
      </c>
      <c r="NV181" s="14">
        <v>44760</v>
      </c>
      <c r="NW181" s="14">
        <v>44762</v>
      </c>
      <c r="NX181" s="14">
        <f>DATE(YEAR(NW181)+5,MONTH(NW181),DAY(NW181))</f>
        <v>46588</v>
      </c>
      <c r="NY181" s="65">
        <f ca="1">NX181-TODAY()</f>
        <v>457</v>
      </c>
      <c r="NZ181" s="15" t="str">
        <f t="shared" ca="1" si="544"/>
        <v>VIGENTE</v>
      </c>
    </row>
    <row r="182" spans="1:390" ht="15.6" thickTop="1" thickBot="1" x14ac:dyDescent="0.35">
      <c r="A182" s="9">
        <v>1479</v>
      </c>
      <c r="B182" s="10" t="s">
        <v>641</v>
      </c>
      <c r="C182" s="21" t="s">
        <v>104</v>
      </c>
      <c r="D182" s="64" t="s">
        <v>114</v>
      </c>
      <c r="E182" s="15"/>
      <c r="F182" s="16"/>
      <c r="G182" s="14"/>
      <c r="H182" s="65"/>
      <c r="I182" s="15" t="str">
        <f t="shared" si="448"/>
        <v>NO APLICA</v>
      </c>
      <c r="J182" s="15"/>
      <c r="K182" s="16"/>
      <c r="L182" s="16"/>
      <c r="M182" s="65"/>
      <c r="N182" s="15" t="str">
        <f t="shared" si="449"/>
        <v>NO APLICA</v>
      </c>
      <c r="O182" s="16"/>
      <c r="P182" s="16"/>
      <c r="Q182" s="14"/>
      <c r="R182" s="65"/>
      <c r="S182" s="15" t="str">
        <f t="shared" si="545"/>
        <v>NO APLICA</v>
      </c>
      <c r="T182" s="12" t="s">
        <v>642</v>
      </c>
      <c r="U182" s="14">
        <v>44828</v>
      </c>
      <c r="V182" s="14">
        <v>44829</v>
      </c>
      <c r="W182" s="14">
        <f t="shared" si="577"/>
        <v>46655</v>
      </c>
      <c r="X182" s="65">
        <f t="shared" ca="1" si="578"/>
        <v>524</v>
      </c>
      <c r="Y182" s="15" t="str">
        <f t="shared" ca="1" si="595"/>
        <v>VIGENTE</v>
      </c>
      <c r="Z182" s="12" t="s">
        <v>643</v>
      </c>
      <c r="AA182" s="14">
        <v>44602</v>
      </c>
      <c r="AB182" s="14">
        <v>44603</v>
      </c>
      <c r="AC182" s="14">
        <f>DATE(YEAR(AB182)+5,MONTH(AB182),DAY(AB182))</f>
        <v>46429</v>
      </c>
      <c r="AD182" s="65">
        <f t="shared" ca="1" si="605"/>
        <v>298</v>
      </c>
      <c r="AE182" s="15" t="str">
        <f t="shared" ca="1" si="598"/>
        <v>VIGENTE</v>
      </c>
      <c r="AF182" s="13">
        <v>44932</v>
      </c>
      <c r="AG182" s="14">
        <v>45609</v>
      </c>
      <c r="AH182" s="14">
        <f>DATE(YEAR(AG182)+2,MONTH(AG182),DAY(AG182)-1)</f>
        <v>46338</v>
      </c>
      <c r="AI182" s="65">
        <f t="shared" ca="1" si="450"/>
        <v>207</v>
      </c>
      <c r="AJ182" s="15" t="str">
        <f t="shared" ca="1" si="592"/>
        <v>VIGENTE</v>
      </c>
      <c r="AK182" s="13">
        <v>44643</v>
      </c>
      <c r="AL182" s="14">
        <v>45937</v>
      </c>
      <c r="AM182" s="14">
        <f>DATE(YEAR(AL182)+2,MONTH(AL182),DAY(AL182))</f>
        <v>46667</v>
      </c>
      <c r="AN182" s="65">
        <f t="shared" ca="1" si="451"/>
        <v>536</v>
      </c>
      <c r="AO182" s="15" t="str">
        <f t="shared" ca="1" si="452"/>
        <v>VIGENTE</v>
      </c>
      <c r="AP182" s="13">
        <v>45298</v>
      </c>
      <c r="AQ182" s="14">
        <v>45967</v>
      </c>
      <c r="AR182" s="14">
        <f t="shared" si="599"/>
        <v>46697</v>
      </c>
      <c r="AS182" s="65">
        <f t="shared" ca="1" si="453"/>
        <v>566</v>
      </c>
      <c r="AT182" s="15" t="str">
        <f t="shared" ca="1" si="454"/>
        <v>VIGENTE</v>
      </c>
      <c r="AU182" s="13">
        <v>45323</v>
      </c>
      <c r="AV182" s="14">
        <v>45972</v>
      </c>
      <c r="AW182" s="14">
        <f>DATE(YEAR(AV182)+2,MONTH(AV182),DAY(AV182))</f>
        <v>46702</v>
      </c>
      <c r="AX182" s="65">
        <f t="shared" ca="1" si="455"/>
        <v>571</v>
      </c>
      <c r="AY182" s="15" t="str">
        <f t="shared" ca="1" si="456"/>
        <v>VIGENTE</v>
      </c>
      <c r="AZ182" s="13">
        <v>44732</v>
      </c>
      <c r="BA182" s="14">
        <v>46071</v>
      </c>
      <c r="BB182" s="14">
        <f>DATE(YEAR(BA182)+2,MONTH(BA182),DAY(BA182))</f>
        <v>46801</v>
      </c>
      <c r="BC182" s="65">
        <f t="shared" ca="1" si="457"/>
        <v>670</v>
      </c>
      <c r="BD182" s="15" t="str">
        <f t="shared" ca="1" si="458"/>
        <v>VIGENTE</v>
      </c>
      <c r="BE182" s="13">
        <v>45382</v>
      </c>
      <c r="BF182" s="14">
        <v>46027</v>
      </c>
      <c r="BG182" s="14">
        <f t="shared" si="606"/>
        <v>46757</v>
      </c>
      <c r="BH182" s="65">
        <f t="shared" ca="1" si="459"/>
        <v>626</v>
      </c>
      <c r="BI182" s="15" t="str">
        <f t="shared" ca="1" si="460"/>
        <v>VIGENTE</v>
      </c>
      <c r="BJ182" s="13">
        <v>45372</v>
      </c>
      <c r="BK182" s="14">
        <v>46035</v>
      </c>
      <c r="BL182" s="14">
        <f>DATE(YEAR(BK182)+2,MONTH(BK182),DAY(BK182))</f>
        <v>46765</v>
      </c>
      <c r="BM182" s="65">
        <f t="shared" ca="1" si="461"/>
        <v>634</v>
      </c>
      <c r="BN182" s="15" t="str">
        <f t="shared" ca="1" si="462"/>
        <v>VIGENTE</v>
      </c>
      <c r="BO182" s="13">
        <v>44747</v>
      </c>
      <c r="BP182" s="14">
        <v>46069</v>
      </c>
      <c r="BQ182" s="14">
        <f>DATE(YEAR(BP182)+2,MONTH(BP182),DAY(BP182))</f>
        <v>46799</v>
      </c>
      <c r="BR182" s="65">
        <f t="shared" ca="1" si="463"/>
        <v>668</v>
      </c>
      <c r="BS182" s="15" t="str">
        <f t="shared" ca="1" si="464"/>
        <v>VIGENTE</v>
      </c>
      <c r="BT182" s="13">
        <v>44733</v>
      </c>
      <c r="BU182" s="14">
        <v>45455</v>
      </c>
      <c r="BV182" s="14">
        <f>DATE(YEAR(BU182)+2,MONTH(BU182),DAY(BU182)-1)</f>
        <v>46184</v>
      </c>
      <c r="BW182" s="65">
        <f t="shared" ca="1" si="465"/>
        <v>53</v>
      </c>
      <c r="BX182" s="15" t="str">
        <f t="shared" ca="1" si="466"/>
        <v>POR VENCER</v>
      </c>
      <c r="BY182" s="13">
        <v>45300</v>
      </c>
      <c r="BZ182" s="14">
        <v>45954</v>
      </c>
      <c r="CA182" s="14">
        <f>DATE(YEAR(BZ182)+2,MONTH(BZ182),DAY(BZ182))</f>
        <v>46684</v>
      </c>
      <c r="CB182" s="65">
        <f t="shared" ca="1" si="467"/>
        <v>553</v>
      </c>
      <c r="CC182" s="15" t="str">
        <f t="shared" ca="1" si="468"/>
        <v>VIGENTE</v>
      </c>
      <c r="CD182" s="16" t="s">
        <v>108</v>
      </c>
      <c r="CE182" s="14">
        <v>45240</v>
      </c>
      <c r="CF182" s="14">
        <v>45241</v>
      </c>
      <c r="CG182" s="14">
        <f t="shared" si="580"/>
        <v>46702</v>
      </c>
      <c r="CH182" s="65">
        <f t="shared" ca="1" si="581"/>
        <v>571</v>
      </c>
      <c r="CI182" s="15" t="str">
        <f t="shared" ca="1" si="562"/>
        <v>VIGENTE</v>
      </c>
      <c r="CJ182" s="14">
        <v>44873</v>
      </c>
      <c r="CK182" s="14">
        <v>45500</v>
      </c>
      <c r="CL182" s="14">
        <f>DATE(YEAR(CK182)+2,MONTH(CK182),DAY(CK182)-1)</f>
        <v>46229</v>
      </c>
      <c r="CM182" s="65">
        <f t="shared" ca="1" si="469"/>
        <v>98</v>
      </c>
      <c r="CN182" s="15" t="str">
        <f t="shared" ca="1" si="470"/>
        <v>VIGENTE</v>
      </c>
      <c r="CO182" s="13">
        <v>44900</v>
      </c>
      <c r="CP182" s="14">
        <v>45513</v>
      </c>
      <c r="CQ182" s="14">
        <f>DATE(YEAR(CP182)+2,MONTH(CP182),DAY(CP182)-1)</f>
        <v>46242</v>
      </c>
      <c r="CR182" s="65">
        <f t="shared" ca="1" si="471"/>
        <v>111</v>
      </c>
      <c r="CS182" s="15" t="str">
        <f t="shared" ca="1" si="472"/>
        <v>VIGENTE</v>
      </c>
      <c r="CT182" s="13">
        <v>44977</v>
      </c>
      <c r="CU182" s="14">
        <v>45639</v>
      </c>
      <c r="CV182" s="14">
        <f>DATE(YEAR(CU182)+2,MONTH(CU182),DAY(CU182)-1)</f>
        <v>46368</v>
      </c>
      <c r="CW182" s="65">
        <f t="shared" ca="1" si="473"/>
        <v>237</v>
      </c>
      <c r="CX182" s="15" t="str">
        <f t="shared" ca="1" si="474"/>
        <v>VIGENTE</v>
      </c>
      <c r="CY182" s="13">
        <v>44998</v>
      </c>
      <c r="CZ182" s="14">
        <v>45665</v>
      </c>
      <c r="DA182" s="14">
        <f>DATE(YEAR(CZ182)+2,MONTH(CZ182),DAY(CZ182)-1)</f>
        <v>46394</v>
      </c>
      <c r="DB182" s="65">
        <f t="shared" ca="1" si="475"/>
        <v>263</v>
      </c>
      <c r="DC182" s="15" t="str">
        <f t="shared" ca="1" si="476"/>
        <v>VIGENTE</v>
      </c>
      <c r="DD182" s="13">
        <v>45023</v>
      </c>
      <c r="DE182" s="14">
        <v>45723</v>
      </c>
      <c r="DF182" s="14">
        <f>DATE(YEAR(DE182)+2,MONTH(DE182),DAY(DE182)-1)</f>
        <v>46452</v>
      </c>
      <c r="DG182" s="65">
        <f t="shared" ca="1" si="477"/>
        <v>321</v>
      </c>
      <c r="DH182" s="15" t="str">
        <f t="shared" ca="1" si="478"/>
        <v>VIGENTE</v>
      </c>
      <c r="DI182" s="13">
        <v>45098</v>
      </c>
      <c r="DJ182" s="14">
        <v>45779</v>
      </c>
      <c r="DK182" s="14">
        <f>DATE(YEAR(DJ182)+2,MONTH(DJ182),DAY(DJ182))</f>
        <v>46509</v>
      </c>
      <c r="DL182" s="65">
        <f t="shared" ca="1" si="479"/>
        <v>378</v>
      </c>
      <c r="DM182" s="15" t="str">
        <f t="shared" ca="1" si="480"/>
        <v>VIGENTE</v>
      </c>
      <c r="DN182" s="13">
        <v>45325</v>
      </c>
      <c r="DO182" s="14">
        <v>45982</v>
      </c>
      <c r="DP182" s="14">
        <f>DATE(YEAR(DO182)+2,MONTH(DO182),DAY(DO182))</f>
        <v>46712</v>
      </c>
      <c r="DQ182" s="65">
        <f t="shared" ca="1" si="481"/>
        <v>581</v>
      </c>
      <c r="DR182" s="15" t="str">
        <f t="shared" ca="1" si="482"/>
        <v>VIGENTE</v>
      </c>
      <c r="DS182" s="13">
        <v>44734</v>
      </c>
      <c r="DT182" s="14">
        <v>46053</v>
      </c>
      <c r="DU182" s="14">
        <f>DATE(YEAR(DT182)+2,MONTH(DT182),DAY(DT182))</f>
        <v>46783</v>
      </c>
      <c r="DV182" s="65">
        <f t="shared" ca="1" si="483"/>
        <v>652</v>
      </c>
      <c r="DW182" s="15" t="str">
        <f t="shared" ca="1" si="484"/>
        <v>VIGENTE</v>
      </c>
      <c r="DX182" s="14">
        <v>45063</v>
      </c>
      <c r="DY182" s="14">
        <v>45709</v>
      </c>
      <c r="DZ182" s="14">
        <f>DATE(YEAR(DY182)+2,MONTH(DY182),DAY(DY182)-1)</f>
        <v>46438</v>
      </c>
      <c r="EA182" s="65">
        <f t="shared" ca="1" si="485"/>
        <v>307</v>
      </c>
      <c r="EB182" s="15" t="str">
        <f t="shared" ca="1" si="486"/>
        <v>VIGENTE</v>
      </c>
      <c r="EC182" s="13">
        <v>45070</v>
      </c>
      <c r="ED182" s="14">
        <v>45674</v>
      </c>
      <c r="EE182" s="14">
        <f>DATE(YEAR(ED182)+2,MONTH(ED182),DAY(ED182)-1)</f>
        <v>46403</v>
      </c>
      <c r="EF182" s="65">
        <f t="shared" ca="1" si="487"/>
        <v>272</v>
      </c>
      <c r="EG182" s="15" t="str">
        <f t="shared" ca="1" si="488"/>
        <v>VIGENTE</v>
      </c>
      <c r="EH182" s="14">
        <v>45675</v>
      </c>
      <c r="EI182" s="14">
        <v>45806</v>
      </c>
      <c r="EJ182" s="14">
        <v>45807</v>
      </c>
      <c r="EK182" s="14">
        <v>45808</v>
      </c>
      <c r="EL182" s="14">
        <f t="shared" si="546"/>
        <v>46173</v>
      </c>
      <c r="EM182" s="65">
        <f t="shared" ca="1" si="489"/>
        <v>42</v>
      </c>
      <c r="EN182" s="15" t="str">
        <f t="shared" ca="1" si="490"/>
        <v>POR VENCER</v>
      </c>
      <c r="EO182" s="14">
        <v>45042</v>
      </c>
      <c r="EP182" s="14">
        <v>45671</v>
      </c>
      <c r="EQ182" s="14">
        <f>DATE(YEAR(EP182)+2,MONTH(EP182),DAY(EP182)-1)</f>
        <v>46400</v>
      </c>
      <c r="ER182" s="65">
        <f t="shared" ca="1" si="491"/>
        <v>269</v>
      </c>
      <c r="ES182" s="15" t="str">
        <f t="shared" ca="1" si="492"/>
        <v>VIGENTE</v>
      </c>
      <c r="ET182" s="13">
        <v>45370</v>
      </c>
      <c r="EU182" s="14">
        <v>46062</v>
      </c>
      <c r="EV182" s="14">
        <f>DATE(YEAR(EU182)+2,MONTH(EU182),DAY(EU182))</f>
        <v>46792</v>
      </c>
      <c r="EW182" s="65">
        <f t="shared" ca="1" si="493"/>
        <v>661</v>
      </c>
      <c r="EX182" s="15" t="str">
        <f t="shared" ca="1" si="494"/>
        <v>VIGENTE</v>
      </c>
      <c r="EY182" s="13">
        <v>44644</v>
      </c>
      <c r="EZ182" s="14">
        <v>45953</v>
      </c>
      <c r="FA182" s="14">
        <f t="shared" si="600"/>
        <v>46683</v>
      </c>
      <c r="FB182" s="65">
        <f t="shared" ca="1" si="495"/>
        <v>552</v>
      </c>
      <c r="FC182" s="15" t="str">
        <f t="shared" ca="1" si="496"/>
        <v>VIGENTE</v>
      </c>
      <c r="FD182" s="13">
        <v>44644</v>
      </c>
      <c r="FE182" s="14">
        <v>45931</v>
      </c>
      <c r="FF182" s="14">
        <f>DATE(YEAR(FE182)+2,MONTH(FE182),DAY(FE182))</f>
        <v>46661</v>
      </c>
      <c r="FG182" s="65">
        <f t="shared" ca="1" si="497"/>
        <v>530</v>
      </c>
      <c r="FH182" s="15" t="str">
        <f t="shared" ca="1" si="498"/>
        <v>VIGENTE</v>
      </c>
      <c r="FI182" s="13">
        <v>45342</v>
      </c>
      <c r="FJ182" s="14">
        <v>45962</v>
      </c>
      <c r="FK182" s="14">
        <f>DATE(YEAR(FJ182)+2,MONTH(FJ182),DAY(FJ182))</f>
        <v>46692</v>
      </c>
      <c r="FL182" s="65">
        <f t="shared" ca="1" si="499"/>
        <v>561</v>
      </c>
      <c r="FM182" s="15" t="str">
        <f t="shared" ca="1" si="500"/>
        <v>VIGENTE</v>
      </c>
      <c r="FN182" s="13">
        <v>45062</v>
      </c>
      <c r="FO182" s="14">
        <v>45686</v>
      </c>
      <c r="FP182" s="14">
        <f>DATE(YEAR(FO182)+2,MONTH(FO182),DAY(FO182)-1)</f>
        <v>46415</v>
      </c>
      <c r="FQ182" s="65">
        <f t="shared" ca="1" si="501"/>
        <v>284</v>
      </c>
      <c r="FR182" s="15" t="str">
        <f t="shared" ca="1" si="502"/>
        <v>VIGENTE</v>
      </c>
      <c r="FS182" s="13">
        <v>44949</v>
      </c>
      <c r="FT182" s="14">
        <v>45586</v>
      </c>
      <c r="FU182" s="14">
        <f>DATE(YEAR(FT182)+2,MONTH(FT182),DAY(FT182)-1)</f>
        <v>46315</v>
      </c>
      <c r="FV182" s="65">
        <f t="shared" ca="1" si="503"/>
        <v>184</v>
      </c>
      <c r="FW182" s="15" t="str">
        <f t="shared" ca="1" si="504"/>
        <v>VIGENTE</v>
      </c>
      <c r="FX182" s="14">
        <v>44924</v>
      </c>
      <c r="FY182" s="14">
        <v>45536</v>
      </c>
      <c r="FZ182" s="14">
        <f>DATE(YEAR(FY182)+2,MONTH(FY182),DAY(FY182)-1)</f>
        <v>46265</v>
      </c>
      <c r="GA182" s="65">
        <f t="shared" ca="1" si="505"/>
        <v>134</v>
      </c>
      <c r="GB182" s="15" t="str">
        <f t="shared" ca="1" si="506"/>
        <v>VIGENTE</v>
      </c>
      <c r="GC182" s="13">
        <v>44735</v>
      </c>
      <c r="GD182" s="14">
        <v>46073</v>
      </c>
      <c r="GE182" s="14">
        <f>DATE(YEAR(GD182)+2,MONTH(GD182),DAY(GD182))</f>
        <v>46803</v>
      </c>
      <c r="GF182" s="65">
        <f t="shared" ca="1" si="507"/>
        <v>672</v>
      </c>
      <c r="GG182" s="15" t="str">
        <f t="shared" ca="1" si="508"/>
        <v>VIGENTE</v>
      </c>
      <c r="GH182" s="14">
        <v>45072</v>
      </c>
      <c r="GI182" s="14">
        <v>45672</v>
      </c>
      <c r="GJ182" s="14">
        <f>DATE(YEAR(GI182)+2,MONTH(GI182),DAY(GI182)-1)</f>
        <v>46401</v>
      </c>
      <c r="GK182" s="65">
        <f t="shared" ca="1" si="509"/>
        <v>270</v>
      </c>
      <c r="GL182" s="15" t="str">
        <f t="shared" ca="1" si="510"/>
        <v>VIGENTE</v>
      </c>
      <c r="GM182" s="13">
        <v>45256</v>
      </c>
      <c r="GN182" s="14">
        <v>45923</v>
      </c>
      <c r="GO182" s="14">
        <f>DATE(YEAR(GN182)+2,MONTH(GN182),DAY(GN182))</f>
        <v>46653</v>
      </c>
      <c r="GP182" s="65">
        <f t="shared" ca="1" si="511"/>
        <v>522</v>
      </c>
      <c r="GQ182" s="15" t="str">
        <f t="shared" ca="1" si="512"/>
        <v>VIGENTE</v>
      </c>
      <c r="GR182" s="14">
        <v>44571</v>
      </c>
      <c r="GS182" s="14">
        <v>45299</v>
      </c>
      <c r="GT182" s="14">
        <f t="shared" si="513"/>
        <v>47126</v>
      </c>
      <c r="GU182" s="65">
        <f t="shared" ca="1" si="591"/>
        <v>995</v>
      </c>
      <c r="GV182" s="15" t="str">
        <f t="shared" ca="1" si="601"/>
        <v>VIGENTE</v>
      </c>
      <c r="GW182" s="13">
        <v>44762</v>
      </c>
      <c r="GX182" s="14">
        <v>45478</v>
      </c>
      <c r="GY182" s="14">
        <f t="shared" si="514"/>
        <v>47304</v>
      </c>
      <c r="GZ182" s="65">
        <f t="shared" ca="1" si="515"/>
        <v>1173</v>
      </c>
      <c r="HA182" s="15" t="str">
        <f t="shared" ca="1" si="602"/>
        <v>VIGENTE</v>
      </c>
      <c r="HB182" s="13">
        <v>44565</v>
      </c>
      <c r="HC182" s="14">
        <v>45258</v>
      </c>
      <c r="HD182" s="14">
        <f t="shared" si="516"/>
        <v>47085</v>
      </c>
      <c r="HE182" s="65">
        <f t="shared" ca="1" si="517"/>
        <v>954</v>
      </c>
      <c r="HF182" s="15" t="str">
        <f t="shared" ca="1" si="603"/>
        <v>VIGENTE</v>
      </c>
      <c r="HG182" s="16"/>
      <c r="HH182" s="14">
        <v>44865</v>
      </c>
      <c r="HI182" s="14">
        <f>DATE(YEAR(HH182)+5,MONTH(HH182),DAY(HH182))</f>
        <v>46691</v>
      </c>
      <c r="HJ182" s="65">
        <f t="shared" ca="1" si="607"/>
        <v>560</v>
      </c>
      <c r="HK182" s="15" t="str">
        <f t="shared" ca="1" si="604"/>
        <v>VIGENTE</v>
      </c>
      <c r="HL182" s="13">
        <v>44628</v>
      </c>
      <c r="HM182" s="14">
        <v>45480</v>
      </c>
      <c r="HN182" s="14">
        <f>DATE(YEAR(HM182)+5,MONTH(HM182),DAY(HM182))</f>
        <v>47306</v>
      </c>
      <c r="HO182" s="65">
        <f ca="1">HN182-TODAY()</f>
        <v>1175</v>
      </c>
      <c r="HP182" s="15" t="str">
        <f t="shared" ca="1" si="437"/>
        <v>VIGENTE</v>
      </c>
      <c r="HQ182" s="12"/>
      <c r="HR182" s="12"/>
      <c r="HS182" s="14"/>
      <c r="HT182" s="12"/>
      <c r="HU182" s="15" t="str">
        <f t="shared" si="518"/>
        <v>NO APLICA</v>
      </c>
      <c r="HV182" s="13">
        <v>44763</v>
      </c>
      <c r="HW182" s="14">
        <v>45469</v>
      </c>
      <c r="HX182" s="14">
        <f>DATE(YEAR(HW182)+5,MONTH(HW182),DAY(HW182))</f>
        <v>47295</v>
      </c>
      <c r="HY182" s="65">
        <f ca="1">HX182-TODAY()</f>
        <v>1164</v>
      </c>
      <c r="HZ182" s="15" t="str">
        <f t="shared" ca="1" si="519"/>
        <v>VIGENTE</v>
      </c>
      <c r="IA182" s="13">
        <v>44765</v>
      </c>
      <c r="IB182" s="14">
        <v>45475</v>
      </c>
      <c r="IC182" s="14">
        <f>DATE(YEAR(IB182)+5,MONTH(IB182),DAY(IB182))</f>
        <v>47301</v>
      </c>
      <c r="ID182" s="65">
        <f ca="1">IC182-TODAY()</f>
        <v>1170</v>
      </c>
      <c r="IE182" s="15" t="str">
        <f t="shared" ca="1" si="520"/>
        <v>VIGENTE</v>
      </c>
      <c r="IF182" s="13">
        <v>44764</v>
      </c>
      <c r="IG182" s="14">
        <v>45470</v>
      </c>
      <c r="IH182" s="14">
        <f>DATE(YEAR(IG182)+5,MONTH(IG182),DAY(IG182))</f>
        <v>47296</v>
      </c>
      <c r="II182" s="65">
        <f ca="1">IH182-TODAY()</f>
        <v>1165</v>
      </c>
      <c r="IJ182" s="15" t="str">
        <f t="shared" ca="1" si="521"/>
        <v>VIGENTE</v>
      </c>
      <c r="IK182" s="14">
        <v>44785</v>
      </c>
      <c r="IL182" s="14">
        <v>45452</v>
      </c>
      <c r="IM182" s="14">
        <f>DATE(YEAR(IL182)+5,MONTH(IL182),DAY(IL182))</f>
        <v>47278</v>
      </c>
      <c r="IN182" s="65">
        <f ca="1">IM182-TODAY()</f>
        <v>1147</v>
      </c>
      <c r="IO182" s="15" t="str">
        <f t="shared" ca="1" si="522"/>
        <v>VIGENTE</v>
      </c>
      <c r="IP182" s="13">
        <v>44765</v>
      </c>
      <c r="IQ182" s="14">
        <v>45453</v>
      </c>
      <c r="IR182" s="14">
        <f>DATE(YEAR(IQ182)+5,MONTH(IQ182),DAY(IQ182))</f>
        <v>47279</v>
      </c>
      <c r="IS182" s="65">
        <f ca="1">IR182-TODAY()</f>
        <v>1148</v>
      </c>
      <c r="IT182" s="15" t="str">
        <f t="shared" ca="1" si="523"/>
        <v>VIGENTE</v>
      </c>
      <c r="IU182" s="13">
        <v>44764</v>
      </c>
      <c r="IV182" s="14">
        <v>45487</v>
      </c>
      <c r="IW182" s="14">
        <f>DATE(YEAR(IV182)+5,MONTH(IV182),DAY(IV182))</f>
        <v>47313</v>
      </c>
      <c r="IX182" s="65">
        <f t="shared" ref="IX182:IX187" ca="1" si="608">IW182-TODAY()</f>
        <v>1182</v>
      </c>
      <c r="IY182" s="15" t="str">
        <f t="shared" ca="1" si="524"/>
        <v>VIGENTE</v>
      </c>
      <c r="IZ182" s="13">
        <v>44763</v>
      </c>
      <c r="JA182" s="14">
        <v>45461</v>
      </c>
      <c r="JB182" s="14">
        <f>DATE(YEAR(JA182)+5,MONTH(JA182),DAY(JA182))</f>
        <v>47287</v>
      </c>
      <c r="JC182" s="65">
        <f t="shared" ref="JC182:JC187" ca="1" si="609">JB182-TODAY()</f>
        <v>1156</v>
      </c>
      <c r="JD182" s="15" t="str">
        <f t="shared" ca="1" si="525"/>
        <v>VIGENTE</v>
      </c>
      <c r="JE182" s="13"/>
      <c r="JF182" s="13"/>
      <c r="JG182" s="14"/>
      <c r="JH182" s="65"/>
      <c r="JI182" s="15" t="str">
        <f t="shared" si="526"/>
        <v>NO APLICA</v>
      </c>
      <c r="JJ182" s="16"/>
      <c r="JK182" s="16"/>
      <c r="JL182" s="16"/>
      <c r="JM182" s="15" t="str">
        <f t="shared" si="527"/>
        <v>NO APLICA</v>
      </c>
      <c r="JN182" s="16"/>
      <c r="JO182" s="16"/>
      <c r="JP182" s="16"/>
      <c r="JQ182" s="15" t="str">
        <f t="shared" si="528"/>
        <v>NO APLICA</v>
      </c>
      <c r="JR182" s="16"/>
      <c r="JS182" s="16"/>
      <c r="JT182" s="16"/>
      <c r="JU182" s="16"/>
      <c r="JV182" s="15" t="str">
        <f t="shared" si="529"/>
        <v>NO APLICA</v>
      </c>
      <c r="JW182" s="15"/>
      <c r="JX182" s="15"/>
      <c r="JY182" s="15"/>
      <c r="JZ182" s="15"/>
      <c r="KA182" s="15" t="str">
        <f t="shared" si="530"/>
        <v>NO APLICA</v>
      </c>
      <c r="KB182" s="12"/>
      <c r="KC182" s="14"/>
      <c r="KD182" s="65"/>
      <c r="KE182" s="15" t="str">
        <f t="shared" si="531"/>
        <v>NO APLICA</v>
      </c>
      <c r="KF182" s="12"/>
      <c r="KG182" s="14"/>
      <c r="KH182" s="65"/>
      <c r="KI182" s="15" t="str">
        <f t="shared" si="547"/>
        <v>NO APLICA</v>
      </c>
      <c r="KJ182" s="12"/>
      <c r="KK182" s="14"/>
      <c r="KL182" s="65"/>
      <c r="KM182" s="15" t="str">
        <f t="shared" si="532"/>
        <v>NO APLICA</v>
      </c>
      <c r="KN182" s="13">
        <v>45346</v>
      </c>
      <c r="KO182" s="14">
        <f>DATE(YEAR(KN182)+5,MONTH(KN182),DAY(KN182))</f>
        <v>47173</v>
      </c>
      <c r="KP182" s="65">
        <f ca="1">KO182-TODAY()</f>
        <v>1042</v>
      </c>
      <c r="KQ182" s="15" t="str">
        <f t="shared" ca="1" si="548"/>
        <v>VIGENTE</v>
      </c>
      <c r="KR182" s="13">
        <v>44648</v>
      </c>
      <c r="KS182" s="14">
        <v>44649</v>
      </c>
      <c r="KT182" s="14">
        <f>DATE(YEAR(KS182)+5,MONTH(KS182),DAY(KS182))</f>
        <v>46475</v>
      </c>
      <c r="KU182" s="65">
        <f ca="1">KT182-TODAY()</f>
        <v>344</v>
      </c>
      <c r="KV182" s="15" t="str">
        <f t="shared" ca="1" si="554"/>
        <v>VIGENTE</v>
      </c>
      <c r="KW182" s="16"/>
      <c r="KX182" s="14"/>
      <c r="KY182" s="65"/>
      <c r="KZ182" s="15" t="str">
        <f t="shared" si="549"/>
        <v>NO APLICA</v>
      </c>
      <c r="LA182" s="16"/>
      <c r="LB182" s="14">
        <v>45611</v>
      </c>
      <c r="LC182" s="14">
        <f>DATE(YEAR(LB182)+2,MONTH(LB182),DAY(LB182))</f>
        <v>46341</v>
      </c>
      <c r="LD182" s="65">
        <f ca="1">LC182-TODAY()</f>
        <v>210</v>
      </c>
      <c r="LE182" s="15" t="str">
        <f t="shared" ca="1" si="590"/>
        <v>VIGENTE</v>
      </c>
      <c r="LF182" s="15"/>
      <c r="LG182" s="15"/>
      <c r="LH182" s="14"/>
      <c r="LI182" s="65"/>
      <c r="LJ182" s="15" t="str">
        <f t="shared" si="555"/>
        <v>NO APLICA</v>
      </c>
      <c r="LK182" s="12"/>
      <c r="LL182" s="16"/>
      <c r="LM182" s="14"/>
      <c r="LN182" s="65"/>
      <c r="LO182" s="15" t="str">
        <f t="shared" si="550"/>
        <v>NO APLICA</v>
      </c>
      <c r="LP182" s="16"/>
      <c r="LQ182" s="16"/>
      <c r="LR182" s="14"/>
      <c r="LS182" s="65"/>
      <c r="LT182" s="15" t="str">
        <f t="shared" si="551"/>
        <v>NO APLICA</v>
      </c>
      <c r="LU182" s="16"/>
      <c r="LV182" s="16"/>
      <c r="LW182" s="14"/>
      <c r="LX182" s="65"/>
      <c r="LY182" s="15" t="str">
        <f t="shared" si="552"/>
        <v>NO APLICA</v>
      </c>
      <c r="LZ182" s="12"/>
      <c r="MA182" s="12"/>
      <c r="MB182" s="14"/>
      <c r="MC182" s="65"/>
      <c r="MD182" s="15" t="str">
        <f t="shared" si="534"/>
        <v>NO APLICA</v>
      </c>
      <c r="ME182" s="12"/>
      <c r="MF182" s="12"/>
      <c r="MG182" s="14"/>
      <c r="MH182" s="65"/>
      <c r="MI182" s="15" t="str">
        <f t="shared" si="535"/>
        <v>NO APLICA</v>
      </c>
      <c r="MJ182" s="12"/>
      <c r="MK182" s="14"/>
      <c r="ML182" s="65"/>
      <c r="MM182" s="15" t="str">
        <f t="shared" si="536"/>
        <v>NO APLICA</v>
      </c>
      <c r="MN182" s="12"/>
      <c r="MO182" s="14"/>
      <c r="MP182" s="12"/>
      <c r="MQ182" s="15" t="str">
        <f t="shared" si="537"/>
        <v>NO APLICA</v>
      </c>
      <c r="MR182" s="12"/>
      <c r="MS182" s="16"/>
      <c r="MT182" s="14"/>
      <c r="MU182" s="65"/>
      <c r="MV182" s="15" t="str">
        <f t="shared" si="538"/>
        <v>NO APLICA</v>
      </c>
      <c r="MW182" s="12"/>
      <c r="MX182" s="16"/>
      <c r="MY182" s="14"/>
      <c r="MZ182" s="65"/>
      <c r="NA182" s="15" t="str">
        <f t="shared" si="539"/>
        <v>NO APLICA</v>
      </c>
      <c r="NB182" s="12"/>
      <c r="NC182" s="16"/>
      <c r="ND182" s="14"/>
      <c r="NE182" s="65"/>
      <c r="NF182" s="15" t="str">
        <f t="shared" si="540"/>
        <v>NO APLICA</v>
      </c>
      <c r="NG182" s="12"/>
      <c r="NH182" s="12"/>
      <c r="NI182" s="14"/>
      <c r="NJ182" s="12"/>
      <c r="NK182" s="15" t="str">
        <f t="shared" si="541"/>
        <v>NO APLICA</v>
      </c>
      <c r="NL182" s="12"/>
      <c r="NM182" s="12"/>
      <c r="NN182" s="14"/>
      <c r="NO182" s="12"/>
      <c r="NP182" s="15" t="str">
        <f t="shared" si="542"/>
        <v>NO APLICA</v>
      </c>
      <c r="NQ182" s="16"/>
      <c r="NR182" s="16"/>
      <c r="NS182" s="14"/>
      <c r="NT182" s="65"/>
      <c r="NU182" s="15" t="str">
        <f t="shared" si="543"/>
        <v>NO APLICA</v>
      </c>
      <c r="NV182" s="16"/>
      <c r="NW182" s="16"/>
      <c r="NX182" s="16"/>
      <c r="NY182" s="16"/>
      <c r="NZ182" s="15" t="str">
        <f t="shared" si="544"/>
        <v>NO APLICA</v>
      </c>
    </row>
    <row r="183" spans="1:390" ht="15.6" thickTop="1" thickBot="1" x14ac:dyDescent="0.35">
      <c r="A183" s="9">
        <v>1489</v>
      </c>
      <c r="B183" s="10" t="s">
        <v>644</v>
      </c>
      <c r="C183" s="21" t="s">
        <v>104</v>
      </c>
      <c r="D183" s="64" t="s">
        <v>110</v>
      </c>
      <c r="E183" s="15"/>
      <c r="F183" s="16"/>
      <c r="G183" s="14"/>
      <c r="H183" s="65"/>
      <c r="I183" s="15" t="str">
        <f t="shared" si="448"/>
        <v>NO APLICA</v>
      </c>
      <c r="J183" s="15"/>
      <c r="K183" s="16"/>
      <c r="L183" s="16"/>
      <c r="M183" s="65"/>
      <c r="N183" s="15" t="str">
        <f t="shared" si="449"/>
        <v>NO APLICA</v>
      </c>
      <c r="O183" s="16"/>
      <c r="P183" s="16"/>
      <c r="Q183" s="14"/>
      <c r="R183" s="65"/>
      <c r="S183" s="15" t="str">
        <f t="shared" si="545"/>
        <v>NO APLICA</v>
      </c>
      <c r="T183" s="12" t="s">
        <v>645</v>
      </c>
      <c r="U183" s="13">
        <v>44785</v>
      </c>
      <c r="V183" s="14">
        <v>44786</v>
      </c>
      <c r="W183" s="14">
        <f t="shared" si="577"/>
        <v>46612</v>
      </c>
      <c r="X183" s="65">
        <f t="shared" ca="1" si="578"/>
        <v>481</v>
      </c>
      <c r="Y183" s="15" t="str">
        <f t="shared" ca="1" si="595"/>
        <v>VIGENTE</v>
      </c>
      <c r="Z183" s="12" t="s">
        <v>646</v>
      </c>
      <c r="AA183" s="13">
        <v>44987</v>
      </c>
      <c r="AB183" s="14">
        <v>44988</v>
      </c>
      <c r="AC183" s="14">
        <f t="shared" ref="AC183:AC188" si="610">DATE(YEAR(AB183)+5,MONTH(AB183),DAY(AB183))</f>
        <v>46815</v>
      </c>
      <c r="AD183" s="65">
        <f t="shared" ca="1" si="605"/>
        <v>684</v>
      </c>
      <c r="AE183" s="15" t="str">
        <f t="shared" ca="1" si="598"/>
        <v>VIGENTE</v>
      </c>
      <c r="AF183" s="13">
        <v>44928</v>
      </c>
      <c r="AG183" s="14">
        <v>45589</v>
      </c>
      <c r="AH183" s="14">
        <f t="shared" ref="AH183:AH187" si="611">DATE(YEAR(AG183)+2,MONTH(AG183),DAY(AG183)-1)</f>
        <v>46318</v>
      </c>
      <c r="AI183" s="65">
        <f t="shared" ca="1" si="450"/>
        <v>187</v>
      </c>
      <c r="AJ183" s="15" t="str">
        <f t="shared" ca="1" si="592"/>
        <v>VIGENTE</v>
      </c>
      <c r="AK183" s="13">
        <v>45446</v>
      </c>
      <c r="AL183" s="14">
        <v>46084</v>
      </c>
      <c r="AM183" s="14">
        <f t="shared" ref="AM183:AM185" si="612">DATE(YEAR(AL183)+2,MONTH(AL183),DAY(AL183))</f>
        <v>46815</v>
      </c>
      <c r="AN183" s="65">
        <f t="shared" ca="1" si="451"/>
        <v>684</v>
      </c>
      <c r="AO183" s="15" t="str">
        <f t="shared" ca="1" si="452"/>
        <v>VIGENTE</v>
      </c>
      <c r="AP183" s="13">
        <v>44843</v>
      </c>
      <c r="AQ183" s="14">
        <v>45505</v>
      </c>
      <c r="AR183" s="14">
        <f t="shared" ref="AR183" si="613">DATE(YEAR(AQ183)+2,MONTH(AQ183),DAY(AQ183)-1)</f>
        <v>46234</v>
      </c>
      <c r="AS183" s="65">
        <f t="shared" ca="1" si="453"/>
        <v>103</v>
      </c>
      <c r="AT183" s="15" t="str">
        <f t="shared" ca="1" si="454"/>
        <v>VIGENTE</v>
      </c>
      <c r="AU183" s="13">
        <v>44799</v>
      </c>
      <c r="AV183" s="14">
        <v>45464</v>
      </c>
      <c r="AW183" s="14">
        <f t="shared" ref="AW183:AW186" si="614">DATE(YEAR(AV183)+2,MONTH(AV183),DAY(AV183)-1)</f>
        <v>46193</v>
      </c>
      <c r="AX183" s="65">
        <f t="shared" ca="1" si="455"/>
        <v>62</v>
      </c>
      <c r="AY183" s="15" t="str">
        <f t="shared" ca="1" si="456"/>
        <v>POR VENCER</v>
      </c>
      <c r="AZ183" s="13">
        <v>44844</v>
      </c>
      <c r="BA183" s="14">
        <v>45476</v>
      </c>
      <c r="BB183" s="14">
        <f t="shared" ref="BB183:BB189" si="615">DATE(YEAR(BA183)+2,MONTH(BA183),DAY(BA183)-1)</f>
        <v>46205</v>
      </c>
      <c r="BC183" s="65">
        <f t="shared" ca="1" si="457"/>
        <v>74</v>
      </c>
      <c r="BD183" s="15" t="str">
        <f t="shared" ca="1" si="458"/>
        <v>POR VENCER</v>
      </c>
      <c r="BE183" s="13">
        <v>44830</v>
      </c>
      <c r="BF183" s="14">
        <v>46067</v>
      </c>
      <c r="BG183" s="14">
        <f t="shared" si="606"/>
        <v>46797</v>
      </c>
      <c r="BH183" s="65">
        <f t="shared" ca="1" si="459"/>
        <v>666</v>
      </c>
      <c r="BI183" s="15" t="str">
        <f t="shared" ca="1" si="460"/>
        <v>VIGENTE</v>
      </c>
      <c r="BJ183" s="13">
        <v>45389</v>
      </c>
      <c r="BK183" s="14">
        <v>46035</v>
      </c>
      <c r="BL183" s="14">
        <f t="shared" ref="BL183:BL185" si="616">DATE(YEAR(BK183)+2,MONTH(BK183),DAY(BK183))</f>
        <v>46765</v>
      </c>
      <c r="BM183" s="65">
        <f t="shared" ca="1" si="461"/>
        <v>634</v>
      </c>
      <c r="BN183" s="15" t="str">
        <f t="shared" ca="1" si="462"/>
        <v>VIGENTE</v>
      </c>
      <c r="BO183" s="13">
        <v>44791</v>
      </c>
      <c r="BP183" s="14">
        <v>46069</v>
      </c>
      <c r="BQ183" s="14">
        <f t="shared" ref="BQ183" si="617">DATE(YEAR(BP183)+2,MONTH(BP183),DAY(BP183))</f>
        <v>46799</v>
      </c>
      <c r="BR183" s="65">
        <f t="shared" ca="1" si="463"/>
        <v>668</v>
      </c>
      <c r="BS183" s="15" t="str">
        <f t="shared" ca="1" si="464"/>
        <v>VIGENTE</v>
      </c>
      <c r="BT183" s="13">
        <v>45086</v>
      </c>
      <c r="BU183" s="14">
        <v>45736</v>
      </c>
      <c r="BV183" s="14">
        <f t="shared" ref="BV183:BV187" si="618">DATE(YEAR(BU183)+2,MONTH(BU183),DAY(BU183)-1)</f>
        <v>46465</v>
      </c>
      <c r="BW183" s="65">
        <f t="shared" ca="1" si="465"/>
        <v>334</v>
      </c>
      <c r="BX183" s="15" t="str">
        <f t="shared" ca="1" si="466"/>
        <v>VIGENTE</v>
      </c>
      <c r="BY183" s="13">
        <v>44839</v>
      </c>
      <c r="BZ183" s="14">
        <v>45480</v>
      </c>
      <c r="CA183" s="14">
        <f t="shared" ref="CA183:CA186" si="619">DATE(YEAR(BZ183)+2,MONTH(BZ183),DAY(BZ183)-1)</f>
        <v>46209</v>
      </c>
      <c r="CB183" s="65">
        <f t="shared" ca="1" si="467"/>
        <v>78</v>
      </c>
      <c r="CC183" s="15" t="str">
        <f t="shared" ca="1" si="468"/>
        <v>POR VENCER</v>
      </c>
      <c r="CD183" s="16" t="s">
        <v>108</v>
      </c>
      <c r="CE183" s="14">
        <v>45281</v>
      </c>
      <c r="CF183" s="14">
        <v>45282</v>
      </c>
      <c r="CG183" s="14">
        <f t="shared" si="580"/>
        <v>46743</v>
      </c>
      <c r="CH183" s="65">
        <f t="shared" ca="1" si="581"/>
        <v>612</v>
      </c>
      <c r="CI183" s="15" t="str">
        <f t="shared" ca="1" si="562"/>
        <v>VIGENTE</v>
      </c>
      <c r="CJ183" s="14">
        <v>45051</v>
      </c>
      <c r="CK183" s="14">
        <v>45688</v>
      </c>
      <c r="CL183" s="14">
        <f t="shared" ref="CL183:CL189" si="620">DATE(YEAR(CK183)+2,MONTH(CK183),DAY(CK183)-1)</f>
        <v>46417</v>
      </c>
      <c r="CM183" s="65">
        <f t="shared" ca="1" si="469"/>
        <v>286</v>
      </c>
      <c r="CN183" s="15" t="str">
        <f t="shared" ca="1" si="470"/>
        <v>VIGENTE</v>
      </c>
      <c r="CO183" s="13">
        <v>45050</v>
      </c>
      <c r="CP183" s="14">
        <v>45684</v>
      </c>
      <c r="CQ183" s="14">
        <f t="shared" ref="CQ183:CQ189" si="621">DATE(YEAR(CP183)+2,MONTH(CP183),DAY(CP183)-1)</f>
        <v>46413</v>
      </c>
      <c r="CR183" s="65">
        <f t="shared" ca="1" si="471"/>
        <v>282</v>
      </c>
      <c r="CS183" s="15" t="str">
        <f t="shared" ca="1" si="472"/>
        <v>VIGENTE</v>
      </c>
      <c r="CT183" s="13">
        <v>44970</v>
      </c>
      <c r="CU183" s="14">
        <v>45645</v>
      </c>
      <c r="CV183" s="14">
        <f t="shared" ref="CV183:CV187" si="622">DATE(YEAR(CU183)+2,MONTH(CU183),DAY(CU183)-1)</f>
        <v>46374</v>
      </c>
      <c r="CW183" s="65">
        <f t="shared" ca="1" si="473"/>
        <v>243</v>
      </c>
      <c r="CX183" s="15" t="str">
        <f t="shared" ca="1" si="474"/>
        <v>VIGENTE</v>
      </c>
      <c r="CY183" s="13">
        <v>44995</v>
      </c>
      <c r="CZ183" s="14">
        <v>45665</v>
      </c>
      <c r="DA183" s="14">
        <f t="shared" ref="DA183:DA187" si="623">DATE(YEAR(CZ183)+2,MONTH(CZ183),DAY(CZ183)-1)</f>
        <v>46394</v>
      </c>
      <c r="DB183" s="65">
        <f t="shared" ca="1" si="475"/>
        <v>263</v>
      </c>
      <c r="DC183" s="15" t="str">
        <f t="shared" ca="1" si="476"/>
        <v>VIGENTE</v>
      </c>
      <c r="DD183" s="13">
        <v>45029</v>
      </c>
      <c r="DE183" s="14">
        <v>45689</v>
      </c>
      <c r="DF183" s="14">
        <f t="shared" ref="DF183:DF189" si="624">DATE(YEAR(DE183)+2,MONTH(DE183),DAY(DE183)-1)</f>
        <v>46418</v>
      </c>
      <c r="DG183" s="65">
        <f t="shared" ca="1" si="477"/>
        <v>287</v>
      </c>
      <c r="DH183" s="15" t="str">
        <f t="shared" ca="1" si="478"/>
        <v>VIGENTE</v>
      </c>
      <c r="DI183" s="13">
        <v>44799</v>
      </c>
      <c r="DJ183" s="14">
        <v>46073</v>
      </c>
      <c r="DK183" s="14">
        <f t="shared" ref="DK183:DK185" si="625">DATE(YEAR(DJ183)+2,MONTH(DJ183),DAY(DJ183))</f>
        <v>46803</v>
      </c>
      <c r="DL183" s="65">
        <f t="shared" ca="1" si="479"/>
        <v>672</v>
      </c>
      <c r="DM183" s="15" t="str">
        <f t="shared" ca="1" si="480"/>
        <v>VIGENTE</v>
      </c>
      <c r="DN183" s="13">
        <v>45116</v>
      </c>
      <c r="DO183" s="14">
        <v>45731</v>
      </c>
      <c r="DP183" s="14">
        <f t="shared" ref="DP183:DP186" si="626">DATE(YEAR(DO183)+2,MONTH(DO183),DAY(DO183)-1)</f>
        <v>46460</v>
      </c>
      <c r="DQ183" s="65">
        <f t="shared" ca="1" si="481"/>
        <v>329</v>
      </c>
      <c r="DR183" s="15" t="str">
        <f t="shared" ca="1" si="482"/>
        <v>VIGENTE</v>
      </c>
      <c r="DS183" s="13">
        <v>45555</v>
      </c>
      <c r="DT183" s="14">
        <v>46072</v>
      </c>
      <c r="DU183" s="14">
        <f>DATE(YEAR(DT183)+2,MONTH(DT183),DAY(DT183))</f>
        <v>46802</v>
      </c>
      <c r="DV183" s="65">
        <f t="shared" ca="1" si="483"/>
        <v>671</v>
      </c>
      <c r="DW183" s="15" t="str">
        <f t="shared" ca="1" si="484"/>
        <v>VIGENTE</v>
      </c>
      <c r="DX183" s="13">
        <v>45063</v>
      </c>
      <c r="DY183" s="14">
        <v>45709</v>
      </c>
      <c r="DZ183" s="14">
        <f t="shared" ref="DZ183:DZ189" si="627">DATE(YEAR(DY183)+2,MONTH(DY183),DAY(DY183)-1)</f>
        <v>46438</v>
      </c>
      <c r="EA183" s="65">
        <f t="shared" ca="1" si="485"/>
        <v>307</v>
      </c>
      <c r="EB183" s="15" t="str">
        <f t="shared" ca="1" si="486"/>
        <v>VIGENTE</v>
      </c>
      <c r="EC183" s="13">
        <v>45424</v>
      </c>
      <c r="ED183" s="14">
        <v>46104</v>
      </c>
      <c r="EE183" s="14">
        <f t="shared" ref="EE183:EE188" si="628">DATE(YEAR(ED183)+2,MONTH(ED183),DAY(ED183))</f>
        <v>46835</v>
      </c>
      <c r="EF183" s="65">
        <f t="shared" ca="1" si="487"/>
        <v>704</v>
      </c>
      <c r="EG183" s="15" t="str">
        <f t="shared" ca="1" si="488"/>
        <v>VIGENTE</v>
      </c>
      <c r="EH183" s="14">
        <v>45434</v>
      </c>
      <c r="EI183" s="13">
        <v>45946</v>
      </c>
      <c r="EJ183" s="13">
        <v>45947</v>
      </c>
      <c r="EK183" s="14">
        <v>45948</v>
      </c>
      <c r="EL183" s="14">
        <f t="shared" si="546"/>
        <v>46313</v>
      </c>
      <c r="EM183" s="65">
        <f t="shared" ca="1" si="489"/>
        <v>182</v>
      </c>
      <c r="EN183" s="15" t="str">
        <f t="shared" ca="1" si="490"/>
        <v>VIGENTE</v>
      </c>
      <c r="EO183" s="13">
        <v>44788</v>
      </c>
      <c r="EP183" s="14">
        <v>45465</v>
      </c>
      <c r="EQ183" s="14">
        <f t="shared" ref="EQ183:EQ189" si="629">DATE(YEAR(EP183)+2,MONTH(EP183),DAY(EP183)-1)</f>
        <v>46194</v>
      </c>
      <c r="ER183" s="65">
        <f t="shared" ca="1" si="491"/>
        <v>63</v>
      </c>
      <c r="ES183" s="15" t="str">
        <f t="shared" ca="1" si="492"/>
        <v>POR VENCER</v>
      </c>
      <c r="ET183" s="13">
        <v>44824</v>
      </c>
      <c r="EU183" s="14">
        <v>46094</v>
      </c>
      <c r="EV183" s="14">
        <f t="shared" ref="EV183:EV185" si="630">DATE(YEAR(EU183)+2,MONTH(EU183),DAY(EU183))</f>
        <v>46825</v>
      </c>
      <c r="EW183" s="65">
        <f t="shared" ca="1" si="493"/>
        <v>694</v>
      </c>
      <c r="EX183" s="15" t="str">
        <f t="shared" ca="1" si="494"/>
        <v>VIGENTE</v>
      </c>
      <c r="EY183" s="13">
        <v>45436</v>
      </c>
      <c r="EZ183" s="14">
        <v>46070</v>
      </c>
      <c r="FA183" s="14">
        <f t="shared" si="600"/>
        <v>46800</v>
      </c>
      <c r="FB183" s="65">
        <f t="shared" ca="1" si="495"/>
        <v>669</v>
      </c>
      <c r="FC183" s="15" t="str">
        <f t="shared" ca="1" si="496"/>
        <v>VIGENTE</v>
      </c>
      <c r="FD183" s="13">
        <v>44814</v>
      </c>
      <c r="FE183" s="14">
        <v>46091</v>
      </c>
      <c r="FF183" s="14">
        <f t="shared" ref="FF183:FF185" si="631">DATE(YEAR(FE183)+2,MONTH(FE183),DAY(FE183))</f>
        <v>46822</v>
      </c>
      <c r="FG183" s="65">
        <f t="shared" ca="1" si="497"/>
        <v>691</v>
      </c>
      <c r="FH183" s="15" t="str">
        <f t="shared" ca="1" si="498"/>
        <v>VIGENTE</v>
      </c>
      <c r="FI183" s="13">
        <v>44842</v>
      </c>
      <c r="FJ183" s="14">
        <v>45506</v>
      </c>
      <c r="FK183" s="14">
        <f t="shared" ref="FK183:FK186" si="632">DATE(YEAR(FJ183)+2,MONTH(FJ183),DAY(FJ183)-1)</f>
        <v>46235</v>
      </c>
      <c r="FL183" s="65">
        <f t="shared" ca="1" si="499"/>
        <v>104</v>
      </c>
      <c r="FM183" s="15" t="str">
        <f t="shared" ca="1" si="500"/>
        <v>VIGENTE</v>
      </c>
      <c r="FN183" s="13">
        <v>44834</v>
      </c>
      <c r="FO183" s="14">
        <v>46049</v>
      </c>
      <c r="FP183" s="14">
        <f t="shared" ref="FP183:FP185" si="633">DATE(YEAR(FO183)+2,MONTH(FO183),DAY(FO183))</f>
        <v>46779</v>
      </c>
      <c r="FQ183" s="65">
        <f t="shared" ca="1" si="501"/>
        <v>648</v>
      </c>
      <c r="FR183" s="15" t="str">
        <f t="shared" ca="1" si="502"/>
        <v>VIGENTE</v>
      </c>
      <c r="FS183" s="13">
        <v>44790</v>
      </c>
      <c r="FT183" s="14">
        <v>45471</v>
      </c>
      <c r="FU183" s="14">
        <f t="shared" ref="FU183:FU189" si="634">DATE(YEAR(FT183)+2,MONTH(FT183),DAY(FT183)-1)</f>
        <v>46200</v>
      </c>
      <c r="FV183" s="65">
        <f t="shared" ca="1" si="503"/>
        <v>69</v>
      </c>
      <c r="FW183" s="15" t="str">
        <f t="shared" ca="1" si="504"/>
        <v>POR VENCER</v>
      </c>
      <c r="FX183" s="13">
        <v>44938</v>
      </c>
      <c r="FY183" s="14">
        <v>45581</v>
      </c>
      <c r="FZ183" s="14">
        <f t="shared" ref="FZ183:FZ187" si="635">DATE(YEAR(FY183)+2,MONTH(FY183),DAY(FY183)-1)</f>
        <v>46310</v>
      </c>
      <c r="GA183" s="65">
        <f t="shared" ca="1" si="505"/>
        <v>179</v>
      </c>
      <c r="GB183" s="15" t="str">
        <f t="shared" ca="1" si="506"/>
        <v>VIGENTE</v>
      </c>
      <c r="GC183" s="13">
        <v>44845</v>
      </c>
      <c r="GD183" s="14">
        <v>45507</v>
      </c>
      <c r="GE183" s="14">
        <f t="shared" ref="GE183:GE189" si="636">DATE(YEAR(GD183)+2,MONTH(GD183),DAY(GD183)-1)</f>
        <v>46236</v>
      </c>
      <c r="GF183" s="65">
        <f t="shared" ca="1" si="507"/>
        <v>105</v>
      </c>
      <c r="GG183" s="15" t="str">
        <f t="shared" ca="1" si="508"/>
        <v>VIGENTE</v>
      </c>
      <c r="GH183" s="13">
        <v>44790</v>
      </c>
      <c r="GI183" s="14">
        <v>45472</v>
      </c>
      <c r="GJ183" s="14">
        <f t="shared" ref="GJ183:GJ186" si="637">DATE(YEAR(GI183)+2,MONTH(GI183),DAY(GI183)-1)</f>
        <v>46201</v>
      </c>
      <c r="GK183" s="65">
        <f t="shared" ca="1" si="509"/>
        <v>70</v>
      </c>
      <c r="GL183" s="15" t="str">
        <f t="shared" ca="1" si="510"/>
        <v>POR VENCER</v>
      </c>
      <c r="GM183" s="13">
        <v>45028</v>
      </c>
      <c r="GN183" s="14">
        <v>45687</v>
      </c>
      <c r="GO183" s="14">
        <f t="shared" ref="GO183:GO188" si="638">DATE(YEAR(GN183)+2,MONTH(GN183),DAY(GN183)-1)</f>
        <v>46416</v>
      </c>
      <c r="GP183" s="65">
        <f t="shared" ca="1" si="511"/>
        <v>285</v>
      </c>
      <c r="GQ183" s="15" t="str">
        <f t="shared" ca="1" si="512"/>
        <v>VIGENTE</v>
      </c>
      <c r="GR183" s="14">
        <v>44789</v>
      </c>
      <c r="GS183" s="14">
        <v>45421</v>
      </c>
      <c r="GT183" s="14">
        <f t="shared" si="513"/>
        <v>47247</v>
      </c>
      <c r="GU183" s="65">
        <f t="shared" ca="1" si="591"/>
        <v>1116</v>
      </c>
      <c r="GV183" s="15" t="str">
        <f t="shared" ca="1" si="601"/>
        <v>VIGENTE</v>
      </c>
      <c r="GW183" s="13">
        <v>44782</v>
      </c>
      <c r="GX183" s="14">
        <v>45432</v>
      </c>
      <c r="GY183" s="14">
        <f t="shared" si="514"/>
        <v>47258</v>
      </c>
      <c r="GZ183" s="65">
        <f t="shared" ca="1" si="515"/>
        <v>1127</v>
      </c>
      <c r="HA183" s="15" t="str">
        <f t="shared" ca="1" si="602"/>
        <v>VIGENTE</v>
      </c>
      <c r="HB183" s="12"/>
      <c r="HC183" s="14">
        <v>45016</v>
      </c>
      <c r="HD183" s="14">
        <f t="shared" si="516"/>
        <v>46843</v>
      </c>
      <c r="HE183" s="65">
        <f t="shared" ca="1" si="517"/>
        <v>712</v>
      </c>
      <c r="HF183" s="15" t="str">
        <f t="shared" ca="1" si="603"/>
        <v>VIGENTE</v>
      </c>
      <c r="HG183" s="16"/>
      <c r="HH183" s="14">
        <v>44956</v>
      </c>
      <c r="HI183" s="14">
        <f t="shared" ref="HI183:HI188" si="639">DATE(YEAR(HH183)+5,MONTH(HH183),DAY(HH183))</f>
        <v>46782</v>
      </c>
      <c r="HJ183" s="65">
        <f t="shared" ca="1" si="607"/>
        <v>651</v>
      </c>
      <c r="HK183" s="15" t="str">
        <f t="shared" ca="1" si="604"/>
        <v>VIGENTE</v>
      </c>
      <c r="HL183" s="12"/>
      <c r="HM183" s="16"/>
      <c r="HN183" s="14"/>
      <c r="HO183" s="65"/>
      <c r="HP183" s="15" t="str">
        <f t="shared" si="437"/>
        <v>NO APLICA</v>
      </c>
      <c r="HQ183" s="12"/>
      <c r="HR183" s="12"/>
      <c r="HS183" s="14"/>
      <c r="HT183" s="12"/>
      <c r="HU183" s="15" t="str">
        <f t="shared" si="518"/>
        <v>NO APLICA</v>
      </c>
      <c r="HV183" s="13">
        <v>44782</v>
      </c>
      <c r="HW183" s="14">
        <v>45420</v>
      </c>
      <c r="HX183" s="14">
        <f>DATE(YEAR(HW183)+5,MONTH(HW183),DAY(HW183))</f>
        <v>47246</v>
      </c>
      <c r="HY183" s="65">
        <f ca="1">HX183-TODAY()</f>
        <v>1115</v>
      </c>
      <c r="HZ183" s="15" t="str">
        <f t="shared" ca="1" si="519"/>
        <v>VIGENTE</v>
      </c>
      <c r="IA183" s="13">
        <v>44784</v>
      </c>
      <c r="IB183" s="14">
        <v>45447</v>
      </c>
      <c r="IC183" s="14">
        <f>DATE(YEAR(IB183)+5,MONTH(IB183),DAY(IB183))</f>
        <v>47273</v>
      </c>
      <c r="ID183" s="65">
        <f ca="1">IC183-TODAY()</f>
        <v>1142</v>
      </c>
      <c r="IE183" s="15" t="str">
        <f t="shared" ca="1" si="520"/>
        <v>VIGENTE</v>
      </c>
      <c r="IF183" s="13">
        <v>44784</v>
      </c>
      <c r="IG183" s="14">
        <v>45444</v>
      </c>
      <c r="IH183" s="14">
        <f>DATE(YEAR(IG183)+5,MONTH(IG183),DAY(IG183))</f>
        <v>47270</v>
      </c>
      <c r="II183" s="65">
        <f ca="1">IH183-TODAY()</f>
        <v>1139</v>
      </c>
      <c r="IJ183" s="15" t="str">
        <f t="shared" ca="1" si="521"/>
        <v>VIGENTE</v>
      </c>
      <c r="IK183" s="14">
        <v>44783</v>
      </c>
      <c r="IL183" s="14">
        <v>45449</v>
      </c>
      <c r="IM183" s="14">
        <f>DATE(YEAR(IL183)+5,MONTH(IL183),DAY(IL183))</f>
        <v>47275</v>
      </c>
      <c r="IN183" s="65">
        <f ca="1">IM183-TODAY()</f>
        <v>1144</v>
      </c>
      <c r="IO183" s="15" t="str">
        <f t="shared" ca="1" si="522"/>
        <v>VIGENTE</v>
      </c>
      <c r="IP183" s="12"/>
      <c r="IQ183" s="14">
        <v>45064</v>
      </c>
      <c r="IR183" s="14">
        <f>DATE(YEAR(IQ183)+5,MONTH(IQ183),DAY(IQ183))</f>
        <v>46891</v>
      </c>
      <c r="IS183" s="65">
        <f ca="1">IR183-TODAY()</f>
        <v>760</v>
      </c>
      <c r="IT183" s="15" t="str">
        <f t="shared" ca="1" si="523"/>
        <v>VIGENTE</v>
      </c>
      <c r="IU183" s="13">
        <v>44783</v>
      </c>
      <c r="IV183" s="14">
        <v>45423</v>
      </c>
      <c r="IW183" s="14">
        <f t="shared" ref="IW183:IW187" si="640">DATE(YEAR(IV183)+5,MONTH(IV183),DAY(IV183))</f>
        <v>47249</v>
      </c>
      <c r="IX183" s="65">
        <f t="shared" ca="1" si="608"/>
        <v>1118</v>
      </c>
      <c r="IY183" s="15" t="str">
        <f t="shared" ca="1" si="524"/>
        <v>VIGENTE</v>
      </c>
      <c r="IZ183" s="12"/>
      <c r="JA183" s="14">
        <v>44973</v>
      </c>
      <c r="JB183" s="14">
        <f t="shared" ref="JB183:JB187" si="641">DATE(YEAR(JA183)+5,MONTH(JA183),DAY(JA183))</f>
        <v>46799</v>
      </c>
      <c r="JC183" s="65">
        <f t="shared" ca="1" si="609"/>
        <v>668</v>
      </c>
      <c r="JD183" s="15" t="str">
        <f t="shared" ca="1" si="525"/>
        <v>VIGENTE</v>
      </c>
      <c r="JE183" s="13"/>
      <c r="JF183" s="13"/>
      <c r="JG183" s="14"/>
      <c r="JH183" s="65"/>
      <c r="JI183" s="15" t="str">
        <f t="shared" si="526"/>
        <v>NO APLICA</v>
      </c>
      <c r="JJ183" s="16"/>
      <c r="JK183" s="16"/>
      <c r="JL183" s="16"/>
      <c r="JM183" s="15" t="str">
        <f t="shared" si="527"/>
        <v>NO APLICA</v>
      </c>
      <c r="JN183" s="16"/>
      <c r="JO183" s="16"/>
      <c r="JP183" s="16"/>
      <c r="JQ183" s="15" t="str">
        <f t="shared" si="528"/>
        <v>NO APLICA</v>
      </c>
      <c r="JR183" s="16"/>
      <c r="JS183" s="16"/>
      <c r="JT183" s="16"/>
      <c r="JU183" s="16"/>
      <c r="JV183" s="15" t="str">
        <f t="shared" si="529"/>
        <v>NO APLICA</v>
      </c>
      <c r="JW183" s="15"/>
      <c r="JX183" s="15"/>
      <c r="JY183" s="15"/>
      <c r="JZ183" s="15"/>
      <c r="KA183" s="15" t="str">
        <f t="shared" si="530"/>
        <v>NO APLICA</v>
      </c>
      <c r="KB183" s="12"/>
      <c r="KC183" s="14"/>
      <c r="KD183" s="65"/>
      <c r="KE183" s="15" t="str">
        <f t="shared" si="531"/>
        <v>NO APLICA</v>
      </c>
      <c r="KF183" s="12"/>
      <c r="KG183" s="14"/>
      <c r="KH183" s="65"/>
      <c r="KI183" s="15" t="str">
        <f t="shared" si="547"/>
        <v>NO APLICA</v>
      </c>
      <c r="KJ183" s="12"/>
      <c r="KK183" s="14"/>
      <c r="KL183" s="65"/>
      <c r="KM183" s="15" t="str">
        <f t="shared" si="532"/>
        <v>NO APLICA</v>
      </c>
      <c r="KN183" s="12"/>
      <c r="KO183" s="14"/>
      <c r="KP183" s="65"/>
      <c r="KQ183" s="15" t="str">
        <f t="shared" si="548"/>
        <v>NO APLICA</v>
      </c>
      <c r="KR183" s="12"/>
      <c r="KS183" s="16"/>
      <c r="KT183" s="14"/>
      <c r="KU183" s="65"/>
      <c r="KV183" s="15" t="str">
        <f t="shared" si="554"/>
        <v>NO APLICA</v>
      </c>
      <c r="KW183" s="16"/>
      <c r="KX183" s="14"/>
      <c r="KY183" s="65"/>
      <c r="KZ183" s="15" t="str">
        <f t="shared" si="549"/>
        <v>NO APLICA</v>
      </c>
      <c r="LA183" s="16"/>
      <c r="LB183" s="16"/>
      <c r="LC183" s="14"/>
      <c r="LD183" s="65"/>
      <c r="LE183" s="15" t="str">
        <f t="shared" si="590"/>
        <v>NO APLICA</v>
      </c>
      <c r="LF183" s="15"/>
      <c r="LG183" s="15"/>
      <c r="LH183" s="15"/>
      <c r="LI183" s="15"/>
      <c r="LJ183" s="15" t="str">
        <f t="shared" si="555"/>
        <v>NO APLICA</v>
      </c>
      <c r="LK183" s="12"/>
      <c r="LL183" s="16"/>
      <c r="LM183" s="14"/>
      <c r="LN183" s="65"/>
      <c r="LO183" s="15" t="str">
        <f t="shared" si="550"/>
        <v>NO APLICA</v>
      </c>
      <c r="LP183" s="16"/>
      <c r="LQ183" s="16"/>
      <c r="LR183" s="14"/>
      <c r="LS183" s="65"/>
      <c r="LT183" s="15" t="str">
        <f t="shared" si="551"/>
        <v>NO APLICA</v>
      </c>
      <c r="LU183" s="16"/>
      <c r="LV183" s="16"/>
      <c r="LW183" s="14"/>
      <c r="LX183" s="65"/>
      <c r="LY183" s="15" t="str">
        <f t="shared" si="552"/>
        <v>NO APLICA</v>
      </c>
      <c r="LZ183" s="12"/>
      <c r="MA183" s="12"/>
      <c r="MB183" s="14"/>
      <c r="MC183" s="12"/>
      <c r="MD183" s="15" t="str">
        <f t="shared" si="534"/>
        <v>NO APLICA</v>
      </c>
      <c r="ME183" s="12"/>
      <c r="MF183" s="12"/>
      <c r="MG183" s="14"/>
      <c r="MH183" s="65"/>
      <c r="MI183" s="15" t="str">
        <f t="shared" si="535"/>
        <v>NO APLICA</v>
      </c>
      <c r="MJ183" s="12"/>
      <c r="MK183" s="14"/>
      <c r="ML183" s="65"/>
      <c r="MM183" s="15" t="str">
        <f t="shared" si="536"/>
        <v>NO APLICA</v>
      </c>
      <c r="MN183" s="12"/>
      <c r="MO183" s="14"/>
      <c r="MP183" s="12"/>
      <c r="MQ183" s="15" t="str">
        <f t="shared" si="537"/>
        <v>NO APLICA</v>
      </c>
      <c r="MR183" s="12"/>
      <c r="MS183" s="16"/>
      <c r="MT183" s="14"/>
      <c r="MU183" s="65"/>
      <c r="MV183" s="15" t="str">
        <f t="shared" si="538"/>
        <v>NO APLICA</v>
      </c>
      <c r="MW183" s="12"/>
      <c r="MX183" s="16"/>
      <c r="MY183" s="14"/>
      <c r="MZ183" s="65"/>
      <c r="NA183" s="15" t="str">
        <f t="shared" si="539"/>
        <v>NO APLICA</v>
      </c>
      <c r="NB183" s="12"/>
      <c r="NC183" s="16"/>
      <c r="ND183" s="14"/>
      <c r="NE183" s="65"/>
      <c r="NF183" s="15" t="str">
        <f t="shared" si="540"/>
        <v>NO APLICA</v>
      </c>
      <c r="NG183" s="12"/>
      <c r="NH183" s="12"/>
      <c r="NI183" s="14"/>
      <c r="NJ183" s="12"/>
      <c r="NK183" s="15" t="str">
        <f t="shared" si="541"/>
        <v>NO APLICA</v>
      </c>
      <c r="NL183" s="12"/>
      <c r="NM183" s="12"/>
      <c r="NN183" s="14"/>
      <c r="NO183" s="12"/>
      <c r="NP183" s="15" t="str">
        <f t="shared" si="542"/>
        <v>NO APLICA</v>
      </c>
      <c r="NQ183" s="16"/>
      <c r="NR183" s="16"/>
      <c r="NS183" s="14"/>
      <c r="NT183" s="65"/>
      <c r="NU183" s="15" t="str">
        <f t="shared" si="543"/>
        <v>NO APLICA</v>
      </c>
      <c r="NV183" s="16"/>
      <c r="NW183" s="16"/>
      <c r="NX183" s="16"/>
      <c r="NY183" s="16"/>
      <c r="NZ183" s="15" t="str">
        <f t="shared" si="544"/>
        <v>NO APLICA</v>
      </c>
    </row>
    <row r="184" spans="1:390" ht="15.6" thickTop="1" thickBot="1" x14ac:dyDescent="0.35">
      <c r="A184" s="9">
        <v>1378</v>
      </c>
      <c r="B184" s="10" t="s">
        <v>647</v>
      </c>
      <c r="C184" s="21" t="s">
        <v>104</v>
      </c>
      <c r="D184" s="64" t="s">
        <v>110</v>
      </c>
      <c r="E184" s="15"/>
      <c r="F184" s="16"/>
      <c r="G184" s="14"/>
      <c r="H184" s="65"/>
      <c r="I184" s="15" t="str">
        <f t="shared" si="448"/>
        <v>NO APLICA</v>
      </c>
      <c r="J184" s="15"/>
      <c r="K184" s="16"/>
      <c r="L184" s="16"/>
      <c r="M184" s="65"/>
      <c r="N184" s="15" t="str">
        <f t="shared" si="449"/>
        <v>NO APLICA</v>
      </c>
      <c r="O184" s="16"/>
      <c r="P184" s="16"/>
      <c r="Q184" s="14"/>
      <c r="R184" s="65"/>
      <c r="S184" s="15" t="str">
        <f t="shared" si="545"/>
        <v>NO APLICA</v>
      </c>
      <c r="T184" s="12" t="s">
        <v>648</v>
      </c>
      <c r="U184" s="13">
        <v>44589</v>
      </c>
      <c r="V184" s="14">
        <v>44590</v>
      </c>
      <c r="W184" s="14">
        <f t="shared" si="577"/>
        <v>46416</v>
      </c>
      <c r="X184" s="65">
        <f t="shared" ca="1" si="578"/>
        <v>285</v>
      </c>
      <c r="Y184" s="15" t="str">
        <f t="shared" ca="1" si="595"/>
        <v>VIGENTE</v>
      </c>
      <c r="Z184" s="12" t="s">
        <v>649</v>
      </c>
      <c r="AA184" s="13">
        <v>44823</v>
      </c>
      <c r="AB184" s="14">
        <v>44824</v>
      </c>
      <c r="AC184" s="14">
        <f t="shared" si="610"/>
        <v>46650</v>
      </c>
      <c r="AD184" s="65">
        <f t="shared" ca="1" si="605"/>
        <v>519</v>
      </c>
      <c r="AE184" s="15" t="str">
        <f t="shared" ca="1" si="598"/>
        <v>VIGENTE</v>
      </c>
      <c r="AF184" s="13">
        <v>45314</v>
      </c>
      <c r="AG184" s="14">
        <v>46002</v>
      </c>
      <c r="AH184" s="14">
        <f t="shared" ref="AH184:AH185" si="642">DATE(YEAR(AG184)+2,MONTH(AG184),DAY(AG184))</f>
        <v>46732</v>
      </c>
      <c r="AI184" s="65">
        <f t="shared" ca="1" si="450"/>
        <v>601</v>
      </c>
      <c r="AJ184" s="15" t="str">
        <f t="shared" ca="1" si="592"/>
        <v>VIGENTE</v>
      </c>
      <c r="AK184" s="13">
        <v>45286</v>
      </c>
      <c r="AL184" s="14">
        <v>45959</v>
      </c>
      <c r="AM184" s="14">
        <f t="shared" si="612"/>
        <v>46689</v>
      </c>
      <c r="AN184" s="65">
        <f t="shared" ca="1" si="451"/>
        <v>558</v>
      </c>
      <c r="AO184" s="15" t="str">
        <f t="shared" ca="1" si="452"/>
        <v>VIGENTE</v>
      </c>
      <c r="AP184" s="13">
        <v>45298</v>
      </c>
      <c r="AQ184" s="14">
        <v>45967</v>
      </c>
      <c r="AR184" s="14">
        <f t="shared" ref="AR184:AR185" si="643">DATE(YEAR(AQ184)+2,MONTH(AQ184),DAY(AQ184))</f>
        <v>46697</v>
      </c>
      <c r="AS184" s="65">
        <f t="shared" ca="1" si="453"/>
        <v>566</v>
      </c>
      <c r="AT184" s="15" t="str">
        <f t="shared" ca="1" si="454"/>
        <v>VIGENTE</v>
      </c>
      <c r="AU184" s="13">
        <v>45323</v>
      </c>
      <c r="AV184" s="14">
        <v>45972</v>
      </c>
      <c r="AW184" s="14">
        <f>DATE(YEAR(AV184)+2,MONTH(AV184),DAY(AV184))</f>
        <v>46702</v>
      </c>
      <c r="AX184" s="65">
        <f t="shared" ca="1" si="455"/>
        <v>571</v>
      </c>
      <c r="AY184" s="15" t="str">
        <f t="shared" ca="1" si="456"/>
        <v>VIGENTE</v>
      </c>
      <c r="AZ184" s="13">
        <v>45263</v>
      </c>
      <c r="BA184" s="14">
        <v>45930</v>
      </c>
      <c r="BB184" s="14">
        <f t="shared" ref="BB184:BB185" si="644">DATE(YEAR(BA184)+2,MONTH(BA184),DAY(BA184))</f>
        <v>46660</v>
      </c>
      <c r="BC184" s="65">
        <f t="shared" ca="1" si="457"/>
        <v>529</v>
      </c>
      <c r="BD184" s="15" t="str">
        <f t="shared" ca="1" si="458"/>
        <v>VIGENTE</v>
      </c>
      <c r="BE184" s="13">
        <v>44615</v>
      </c>
      <c r="BF184" s="14">
        <v>45987</v>
      </c>
      <c r="BG184" s="14">
        <f t="shared" si="606"/>
        <v>46717</v>
      </c>
      <c r="BH184" s="65">
        <f t="shared" ca="1" si="459"/>
        <v>586</v>
      </c>
      <c r="BI184" s="15" t="str">
        <f t="shared" ca="1" si="460"/>
        <v>VIGENTE</v>
      </c>
      <c r="BJ184" s="13">
        <v>44795</v>
      </c>
      <c r="BK184" s="14">
        <v>46051</v>
      </c>
      <c r="BL184" s="14">
        <f t="shared" si="616"/>
        <v>46781</v>
      </c>
      <c r="BM184" s="65">
        <f t="shared" ca="1" si="461"/>
        <v>650</v>
      </c>
      <c r="BN184" s="15" t="str">
        <f t="shared" ca="1" si="462"/>
        <v>VIGENTE</v>
      </c>
      <c r="BO184" s="13">
        <v>45190</v>
      </c>
      <c r="BP184" s="14">
        <v>45841</v>
      </c>
      <c r="BQ184" s="14">
        <f>DATE(YEAR(BP184)+2,MONTH(BP184),DAY(BP184))</f>
        <v>46571</v>
      </c>
      <c r="BR184" s="65">
        <f t="shared" ca="1" si="463"/>
        <v>440</v>
      </c>
      <c r="BS184" s="15" t="str">
        <f t="shared" ca="1" si="464"/>
        <v>VIGENTE</v>
      </c>
      <c r="BT184" s="13">
        <v>44604</v>
      </c>
      <c r="BU184" s="14">
        <v>45950</v>
      </c>
      <c r="BV184" s="14">
        <f t="shared" ref="BV184:BV185" si="645">DATE(YEAR(BU184)+2,MONTH(BU184),DAY(BU184))</f>
        <v>46680</v>
      </c>
      <c r="BW184" s="65">
        <f t="shared" ca="1" si="465"/>
        <v>549</v>
      </c>
      <c r="BX184" s="15" t="str">
        <f t="shared" ca="1" si="466"/>
        <v>VIGENTE</v>
      </c>
      <c r="BY184" s="13">
        <v>45272</v>
      </c>
      <c r="BZ184" s="14">
        <v>45954</v>
      </c>
      <c r="CA184" s="14">
        <f t="shared" ref="CA184:CA185" si="646">DATE(YEAR(BZ184)+2,MONTH(BZ184),DAY(BZ184))</f>
        <v>46684</v>
      </c>
      <c r="CB184" s="65">
        <f t="shared" ca="1" si="467"/>
        <v>553</v>
      </c>
      <c r="CC184" s="15" t="str">
        <f t="shared" ca="1" si="468"/>
        <v>VIGENTE</v>
      </c>
      <c r="CD184" s="16" t="s">
        <v>108</v>
      </c>
      <c r="CE184" s="14">
        <v>45246</v>
      </c>
      <c r="CF184" s="14">
        <v>45247</v>
      </c>
      <c r="CG184" s="14">
        <f t="shared" si="580"/>
        <v>46708</v>
      </c>
      <c r="CH184" s="65">
        <f t="shared" ca="1" si="581"/>
        <v>577</v>
      </c>
      <c r="CI184" s="15" t="str">
        <f t="shared" ca="1" si="562"/>
        <v>VIGENTE</v>
      </c>
      <c r="CJ184" s="14">
        <v>45006</v>
      </c>
      <c r="CK184" s="14">
        <v>45688</v>
      </c>
      <c r="CL184" s="14">
        <f t="shared" si="620"/>
        <v>46417</v>
      </c>
      <c r="CM184" s="65">
        <f t="shared" ca="1" si="469"/>
        <v>286</v>
      </c>
      <c r="CN184" s="15" t="str">
        <f t="shared" ca="1" si="470"/>
        <v>VIGENTE</v>
      </c>
      <c r="CO184" s="13">
        <v>45305</v>
      </c>
      <c r="CP184" s="14">
        <v>45979</v>
      </c>
      <c r="CQ184" s="14">
        <f t="shared" ref="CQ184:CQ185" si="647">DATE(YEAR(CP184)+2,MONTH(CP184),DAY(CP184))</f>
        <v>46709</v>
      </c>
      <c r="CR184" s="65">
        <f t="shared" ca="1" si="471"/>
        <v>578</v>
      </c>
      <c r="CS184" s="15" t="str">
        <f t="shared" ca="1" si="472"/>
        <v>VIGENTE</v>
      </c>
      <c r="CT184" s="13">
        <v>44975</v>
      </c>
      <c r="CU184" s="14">
        <v>45639</v>
      </c>
      <c r="CV184" s="14">
        <f t="shared" si="622"/>
        <v>46368</v>
      </c>
      <c r="CW184" s="65">
        <f t="shared" ca="1" si="473"/>
        <v>237</v>
      </c>
      <c r="CX184" s="15" t="str">
        <f t="shared" ca="1" si="474"/>
        <v>VIGENTE</v>
      </c>
      <c r="CY184" s="13">
        <v>44993</v>
      </c>
      <c r="CZ184" s="14">
        <v>45665</v>
      </c>
      <c r="DA184" s="14">
        <f t="shared" si="623"/>
        <v>46394</v>
      </c>
      <c r="DB184" s="65">
        <f t="shared" ca="1" si="475"/>
        <v>263</v>
      </c>
      <c r="DC184" s="15" t="str">
        <f t="shared" ca="1" si="476"/>
        <v>VIGENTE</v>
      </c>
      <c r="DD184" s="13">
        <v>45027</v>
      </c>
      <c r="DE184" s="14">
        <v>45689</v>
      </c>
      <c r="DF184" s="14">
        <f t="shared" si="624"/>
        <v>46418</v>
      </c>
      <c r="DG184" s="65">
        <f t="shared" ca="1" si="477"/>
        <v>287</v>
      </c>
      <c r="DH184" s="15" t="str">
        <f t="shared" ca="1" si="478"/>
        <v>VIGENTE</v>
      </c>
      <c r="DI184" s="13">
        <v>45312</v>
      </c>
      <c r="DJ184" s="14">
        <v>45955</v>
      </c>
      <c r="DK184" s="14">
        <f t="shared" si="625"/>
        <v>46685</v>
      </c>
      <c r="DL184" s="65">
        <f t="shared" ca="1" si="479"/>
        <v>554</v>
      </c>
      <c r="DM184" s="15" t="str">
        <f t="shared" ca="1" si="480"/>
        <v>VIGENTE</v>
      </c>
      <c r="DN184" s="13">
        <v>44796</v>
      </c>
      <c r="DO184" s="14">
        <v>45473</v>
      </c>
      <c r="DP184" s="14">
        <f t="shared" si="626"/>
        <v>46202</v>
      </c>
      <c r="DQ184" s="65">
        <f t="shared" ca="1" si="481"/>
        <v>71</v>
      </c>
      <c r="DR184" s="15" t="str">
        <f t="shared" ca="1" si="482"/>
        <v>POR VENCER</v>
      </c>
      <c r="DS184" s="13">
        <v>45336</v>
      </c>
      <c r="DT184" s="14">
        <v>46018</v>
      </c>
      <c r="DU184" s="14">
        <f>DATE(YEAR(DT184)+2,MONTH(DT184),DAY(DT184))</f>
        <v>46748</v>
      </c>
      <c r="DV184" s="65">
        <f t="shared" ca="1" si="483"/>
        <v>617</v>
      </c>
      <c r="DW184" s="15" t="str">
        <f t="shared" ca="1" si="484"/>
        <v>VIGENTE</v>
      </c>
      <c r="DX184" s="13">
        <v>45329</v>
      </c>
      <c r="DY184" s="14">
        <v>46020</v>
      </c>
      <c r="DZ184" s="14">
        <f t="shared" ref="DZ184:DZ185" si="648">DATE(YEAR(DY184)+2,MONTH(DY184),DAY(DY184))</f>
        <v>46750</v>
      </c>
      <c r="EA184" s="65">
        <f t="shared" ca="1" si="485"/>
        <v>619</v>
      </c>
      <c r="EB184" s="15" t="str">
        <f t="shared" ca="1" si="486"/>
        <v>VIGENTE</v>
      </c>
      <c r="EC184" s="13">
        <v>45255</v>
      </c>
      <c r="ED184" s="14">
        <v>45938</v>
      </c>
      <c r="EE184" s="14">
        <f t="shared" si="628"/>
        <v>46668</v>
      </c>
      <c r="EF184" s="65">
        <f t="shared" ca="1" si="487"/>
        <v>537</v>
      </c>
      <c r="EG184" s="15" t="str">
        <f t="shared" ca="1" si="488"/>
        <v>VIGENTE</v>
      </c>
      <c r="EH184" s="14">
        <v>45253</v>
      </c>
      <c r="EI184" s="13">
        <v>45946</v>
      </c>
      <c r="EJ184" s="13">
        <v>45947</v>
      </c>
      <c r="EK184" s="14">
        <v>45948</v>
      </c>
      <c r="EL184" s="14">
        <f t="shared" si="546"/>
        <v>46313</v>
      </c>
      <c r="EM184" s="65">
        <f t="shared" ca="1" si="489"/>
        <v>182</v>
      </c>
      <c r="EN184" s="15" t="str">
        <f t="shared" ca="1" si="490"/>
        <v>VIGENTE</v>
      </c>
      <c r="EO184" s="13">
        <v>44603</v>
      </c>
      <c r="EP184" s="14">
        <v>45940</v>
      </c>
      <c r="EQ184" s="14">
        <f t="shared" ref="EQ184:EQ185" si="649">DATE(YEAR(EP184)+2,MONTH(EP184),DAY(EP184))</f>
        <v>46670</v>
      </c>
      <c r="ER184" s="65">
        <f t="shared" ca="1" si="491"/>
        <v>539</v>
      </c>
      <c r="ES184" s="15" t="str">
        <f t="shared" ca="1" si="492"/>
        <v>VIGENTE</v>
      </c>
      <c r="ET184" s="13">
        <v>45193</v>
      </c>
      <c r="EU184" s="14">
        <v>45824</v>
      </c>
      <c r="EV184" s="14">
        <f t="shared" si="630"/>
        <v>46554</v>
      </c>
      <c r="EW184" s="65">
        <f t="shared" ca="1" si="493"/>
        <v>423</v>
      </c>
      <c r="EX184" s="15" t="str">
        <f t="shared" ca="1" si="494"/>
        <v>VIGENTE</v>
      </c>
      <c r="EY184" s="13">
        <v>44595</v>
      </c>
      <c r="EZ184" s="14">
        <v>45953</v>
      </c>
      <c r="FA184" s="14">
        <f t="shared" si="600"/>
        <v>46683</v>
      </c>
      <c r="FB184" s="65">
        <f t="shared" ca="1" si="495"/>
        <v>552</v>
      </c>
      <c r="FC184" s="15" t="str">
        <f t="shared" ca="1" si="496"/>
        <v>VIGENTE</v>
      </c>
      <c r="FD184" s="13">
        <v>44595</v>
      </c>
      <c r="FE184" s="14">
        <v>45951</v>
      </c>
      <c r="FF184" s="14">
        <f t="shared" si="631"/>
        <v>46681</v>
      </c>
      <c r="FG184" s="65">
        <f t="shared" ca="1" si="497"/>
        <v>550</v>
      </c>
      <c r="FH184" s="15" t="str">
        <f t="shared" ca="1" si="498"/>
        <v>VIGENTE</v>
      </c>
      <c r="FI184" s="13">
        <v>44596</v>
      </c>
      <c r="FJ184" s="14">
        <v>46009</v>
      </c>
      <c r="FK184" s="14">
        <f t="shared" ref="FK184:FK185" si="650">DATE(YEAR(FJ184)+2,MONTH(FJ184),DAY(FJ184))</f>
        <v>46739</v>
      </c>
      <c r="FL184" s="65">
        <f t="shared" ca="1" si="499"/>
        <v>608</v>
      </c>
      <c r="FM184" s="15" t="str">
        <f t="shared" ca="1" si="500"/>
        <v>VIGENTE</v>
      </c>
      <c r="FN184" s="13">
        <v>45257</v>
      </c>
      <c r="FO184" s="14">
        <v>45920</v>
      </c>
      <c r="FP184" s="14">
        <f t="shared" si="633"/>
        <v>46650</v>
      </c>
      <c r="FQ184" s="65">
        <f t="shared" ca="1" si="501"/>
        <v>519</v>
      </c>
      <c r="FR184" s="15" t="str">
        <f t="shared" ca="1" si="502"/>
        <v>VIGENTE</v>
      </c>
      <c r="FS184" s="13">
        <v>45322</v>
      </c>
      <c r="FT184" s="14">
        <v>45957</v>
      </c>
      <c r="FU184" s="14">
        <f t="shared" ref="FU184:FU185" si="651">DATE(YEAR(FT184)+2,MONTH(FT184),DAY(FT184))</f>
        <v>46687</v>
      </c>
      <c r="FV184" s="65">
        <f t="shared" ca="1" si="503"/>
        <v>556</v>
      </c>
      <c r="FW184" s="15" t="str">
        <f t="shared" ca="1" si="504"/>
        <v>VIGENTE</v>
      </c>
      <c r="FX184" s="13">
        <v>44923</v>
      </c>
      <c r="FY184" s="14">
        <v>45547</v>
      </c>
      <c r="FZ184" s="14">
        <f t="shared" si="635"/>
        <v>46276</v>
      </c>
      <c r="GA184" s="65">
        <f t="shared" ca="1" si="505"/>
        <v>145</v>
      </c>
      <c r="GB184" s="15" t="str">
        <f t="shared" ca="1" si="506"/>
        <v>VIGENTE</v>
      </c>
      <c r="GC184" s="13">
        <v>44599</v>
      </c>
      <c r="GD184" s="14">
        <v>45925</v>
      </c>
      <c r="GE184" s="14">
        <f t="shared" ref="GE184:GE185" si="652">DATE(YEAR(GD184)+2,MONTH(GD184),DAY(GD184))</f>
        <v>46655</v>
      </c>
      <c r="GF184" s="65">
        <f t="shared" ca="1" si="507"/>
        <v>524</v>
      </c>
      <c r="GG184" s="15" t="str">
        <f t="shared" ca="1" si="508"/>
        <v>VIGENTE</v>
      </c>
      <c r="GH184" s="13">
        <v>45254</v>
      </c>
      <c r="GI184" s="14">
        <v>45912</v>
      </c>
      <c r="GJ184" s="14">
        <f t="shared" ref="GJ184:GJ185" si="653">DATE(YEAR(GI184)+2,MONTH(GI184),DAY(GI184))</f>
        <v>46642</v>
      </c>
      <c r="GK184" s="65">
        <f t="shared" ca="1" si="509"/>
        <v>511</v>
      </c>
      <c r="GL184" s="15" t="str">
        <f t="shared" ca="1" si="510"/>
        <v>VIGENTE</v>
      </c>
      <c r="GM184" s="13">
        <v>45256</v>
      </c>
      <c r="GN184" s="14">
        <v>45923</v>
      </c>
      <c r="GO184" s="14">
        <f t="shared" ref="GO184:GO185" si="654">DATE(YEAR(GN184)+2,MONTH(GN184),DAY(GN184))</f>
        <v>46653</v>
      </c>
      <c r="GP184" s="65">
        <f t="shared" ca="1" si="511"/>
        <v>522</v>
      </c>
      <c r="GQ184" s="15" t="str">
        <f t="shared" ca="1" si="512"/>
        <v>VIGENTE</v>
      </c>
      <c r="GR184" s="14">
        <v>44572</v>
      </c>
      <c r="GS184" s="14">
        <v>45299</v>
      </c>
      <c r="GT184" s="14">
        <f t="shared" si="513"/>
        <v>47126</v>
      </c>
      <c r="GU184" s="65">
        <f t="shared" ca="1" si="591"/>
        <v>995</v>
      </c>
      <c r="GV184" s="15" t="str">
        <f t="shared" ca="1" si="601"/>
        <v>VIGENTE</v>
      </c>
      <c r="GW184" s="13">
        <v>44574</v>
      </c>
      <c r="GX184" s="14">
        <v>45200</v>
      </c>
      <c r="GY184" s="14">
        <f t="shared" si="514"/>
        <v>47027</v>
      </c>
      <c r="GZ184" s="65">
        <f t="shared" ca="1" si="515"/>
        <v>896</v>
      </c>
      <c r="HA184" s="15" t="str">
        <f t="shared" ca="1" si="602"/>
        <v>VIGENTE</v>
      </c>
      <c r="HB184" s="13">
        <v>44566</v>
      </c>
      <c r="HC184" s="14">
        <v>45258</v>
      </c>
      <c r="HD184" s="14">
        <f t="shared" si="516"/>
        <v>47085</v>
      </c>
      <c r="HE184" s="65">
        <f t="shared" ca="1" si="517"/>
        <v>954</v>
      </c>
      <c r="HF184" s="15" t="str">
        <f t="shared" ca="1" si="603"/>
        <v>VIGENTE</v>
      </c>
      <c r="HG184" s="16"/>
      <c r="HH184" s="14">
        <v>44921</v>
      </c>
      <c r="HI184" s="14">
        <f t="shared" si="639"/>
        <v>46747</v>
      </c>
      <c r="HJ184" s="65">
        <f t="shared" ca="1" si="607"/>
        <v>616</v>
      </c>
      <c r="HK184" s="15" t="str">
        <f t="shared" ca="1" si="604"/>
        <v>VIGENTE</v>
      </c>
      <c r="HL184" s="12"/>
      <c r="HM184" s="16"/>
      <c r="HN184" s="14"/>
      <c r="HO184" s="65"/>
      <c r="HP184" s="15" t="str">
        <f t="shared" si="437"/>
        <v>NO APLICA</v>
      </c>
      <c r="HQ184" s="12"/>
      <c r="HR184" s="12"/>
      <c r="HS184" s="14"/>
      <c r="HT184" s="12"/>
      <c r="HU184" s="15" t="str">
        <f t="shared" si="518"/>
        <v>NO APLICA</v>
      </c>
      <c r="HV184" s="12"/>
      <c r="HW184" s="16"/>
      <c r="HX184" s="14"/>
      <c r="HY184" s="65"/>
      <c r="HZ184" s="15" t="str">
        <f t="shared" si="519"/>
        <v>NO APLICA</v>
      </c>
      <c r="IA184" s="12"/>
      <c r="IB184" s="16"/>
      <c r="IC184" s="14"/>
      <c r="ID184" s="65"/>
      <c r="IE184" s="15" t="str">
        <f t="shared" si="520"/>
        <v>NO APLICA</v>
      </c>
      <c r="IF184" s="12"/>
      <c r="IG184" s="16"/>
      <c r="IH184" s="14"/>
      <c r="II184" s="65"/>
      <c r="IJ184" s="15" t="str">
        <f t="shared" si="521"/>
        <v>NO APLICA</v>
      </c>
      <c r="IK184" s="16"/>
      <c r="IL184" s="16"/>
      <c r="IM184" s="14"/>
      <c r="IN184" s="65"/>
      <c r="IO184" s="15" t="str">
        <f t="shared" si="522"/>
        <v>NO APLICA</v>
      </c>
      <c r="IP184" s="12"/>
      <c r="IQ184" s="16"/>
      <c r="IR184" s="14"/>
      <c r="IS184" s="65"/>
      <c r="IT184" s="15" t="str">
        <f t="shared" si="523"/>
        <v>NO APLICA</v>
      </c>
      <c r="IU184" s="12"/>
      <c r="IV184" s="14">
        <v>45350</v>
      </c>
      <c r="IW184" s="14">
        <f t="shared" si="640"/>
        <v>47177</v>
      </c>
      <c r="IX184" s="65">
        <f t="shared" ca="1" si="608"/>
        <v>1046</v>
      </c>
      <c r="IY184" s="15" t="str">
        <f t="shared" ca="1" si="524"/>
        <v>VIGENTE</v>
      </c>
      <c r="IZ184" s="12"/>
      <c r="JA184" s="14">
        <v>45339</v>
      </c>
      <c r="JB184" s="14">
        <f t="shared" si="641"/>
        <v>47166</v>
      </c>
      <c r="JC184" s="65">
        <f t="shared" ca="1" si="609"/>
        <v>1035</v>
      </c>
      <c r="JD184" s="15" t="str">
        <f t="shared" ca="1" si="525"/>
        <v>VIGENTE</v>
      </c>
      <c r="JE184" s="13"/>
      <c r="JF184" s="13"/>
      <c r="JG184" s="14"/>
      <c r="JH184" s="65"/>
      <c r="JI184" s="15" t="str">
        <f t="shared" si="526"/>
        <v>NO APLICA</v>
      </c>
      <c r="JJ184" s="16"/>
      <c r="JK184" s="16"/>
      <c r="JL184" s="16"/>
      <c r="JM184" s="15" t="str">
        <f t="shared" si="527"/>
        <v>NO APLICA</v>
      </c>
      <c r="JN184" s="16"/>
      <c r="JO184" s="16"/>
      <c r="JP184" s="16"/>
      <c r="JQ184" s="15" t="str">
        <f t="shared" si="528"/>
        <v>NO APLICA</v>
      </c>
      <c r="JR184" s="16"/>
      <c r="JS184" s="16"/>
      <c r="JT184" s="16"/>
      <c r="JU184" s="16"/>
      <c r="JV184" s="15" t="str">
        <f t="shared" si="529"/>
        <v>NO APLICA</v>
      </c>
      <c r="JW184" s="15"/>
      <c r="JX184" s="15"/>
      <c r="JY184" s="15"/>
      <c r="JZ184" s="15"/>
      <c r="KA184" s="15" t="str">
        <f t="shared" si="530"/>
        <v>NO APLICA</v>
      </c>
      <c r="KB184" s="12"/>
      <c r="KC184" s="14"/>
      <c r="KD184" s="65"/>
      <c r="KE184" s="15" t="str">
        <f t="shared" si="531"/>
        <v>NO APLICA</v>
      </c>
      <c r="KF184" s="12"/>
      <c r="KG184" s="14"/>
      <c r="KH184" s="65"/>
      <c r="KI184" s="15" t="str">
        <f t="shared" si="547"/>
        <v>NO APLICA</v>
      </c>
      <c r="KJ184" s="12"/>
      <c r="KK184" s="14"/>
      <c r="KL184" s="65"/>
      <c r="KM184" s="15" t="str">
        <f t="shared" si="532"/>
        <v>NO APLICA</v>
      </c>
      <c r="KN184" s="13">
        <v>45346</v>
      </c>
      <c r="KO184" s="14">
        <f>DATE(YEAR(KN184)+5,MONTH(KN184),DAY(KN184))</f>
        <v>47173</v>
      </c>
      <c r="KP184" s="65">
        <f ca="1">KO184-TODAY()</f>
        <v>1042</v>
      </c>
      <c r="KQ184" s="15" t="str">
        <f ca="1">IF(KP184&gt;=61,"VIGENTE",IF(KP184&gt;=1,"POR VENCER",IF(KP184&lt;=-1,"VENCIDA",IF(KN184=0,"NO APLICA"))))</f>
        <v>VIGENTE</v>
      </c>
      <c r="KR184" s="12"/>
      <c r="KS184" s="16"/>
      <c r="KT184" s="14"/>
      <c r="KU184" s="65"/>
      <c r="KV184" s="15" t="str">
        <f t="shared" si="554"/>
        <v>NO APLICA</v>
      </c>
      <c r="KW184" s="14">
        <v>44615</v>
      </c>
      <c r="KX184" s="14">
        <f>DATE(YEAR(KW184)+5,MONTH(KW184),DAY(KW184))</f>
        <v>46441</v>
      </c>
      <c r="KY184" s="65">
        <f ca="1">KX184-TODAY()</f>
        <v>310</v>
      </c>
      <c r="KZ184" s="15" t="str">
        <f ca="1">IF(KY184&gt;=61,"VIGENTE",IF(KY184&gt;=1,"POR VENCER",IF(KY184&lt;=-1,"VENCIDA",IF(KW184=0,"NO APLICA"))))</f>
        <v>VIGENTE</v>
      </c>
      <c r="LA184" s="16"/>
      <c r="LB184" s="14">
        <v>45611</v>
      </c>
      <c r="LC184" s="14">
        <f>DATE(YEAR(LB184)+2,MONTH(LB184),DAY(LB184))</f>
        <v>46341</v>
      </c>
      <c r="LD184" s="65">
        <f ca="1">LC184-TODAY()</f>
        <v>210</v>
      </c>
      <c r="LE184" s="15" t="str">
        <f ca="1">IF(LD184&gt;=61,"VIGENTE",IF(LD184&gt;=1,"POR VENCER",IF(LD184&lt;=-1,"VENCIDA",IF(LB184=0,"NO APLICA"))))</f>
        <v>VIGENTE</v>
      </c>
      <c r="LF184" s="15"/>
      <c r="LG184" s="15"/>
      <c r="LH184" s="15"/>
      <c r="LI184" s="15"/>
      <c r="LJ184" s="15" t="str">
        <f t="shared" si="555"/>
        <v>NO APLICA</v>
      </c>
      <c r="LK184" s="12"/>
      <c r="LL184" s="16"/>
      <c r="LM184" s="14"/>
      <c r="LN184" s="65"/>
      <c r="LO184" s="15" t="str">
        <f t="shared" si="550"/>
        <v>NO APLICA</v>
      </c>
      <c r="LP184" s="16"/>
      <c r="LQ184" s="16"/>
      <c r="LR184" s="14"/>
      <c r="LS184" s="65"/>
      <c r="LT184" s="15" t="str">
        <f t="shared" si="551"/>
        <v>NO APLICA</v>
      </c>
      <c r="LU184" s="16"/>
      <c r="LV184" s="16"/>
      <c r="LW184" s="14"/>
      <c r="LX184" s="65"/>
      <c r="LY184" s="15" t="str">
        <f t="shared" si="552"/>
        <v>NO APLICA</v>
      </c>
      <c r="LZ184" s="12"/>
      <c r="MA184" s="12"/>
      <c r="MB184" s="14"/>
      <c r="MC184" s="65"/>
      <c r="MD184" s="15" t="str">
        <f t="shared" si="534"/>
        <v>NO APLICA</v>
      </c>
      <c r="ME184" s="12"/>
      <c r="MF184" s="12"/>
      <c r="MG184" s="14"/>
      <c r="MH184" s="65"/>
      <c r="MI184" s="15" t="str">
        <f t="shared" si="535"/>
        <v>NO APLICA</v>
      </c>
      <c r="MJ184" s="12"/>
      <c r="MK184" s="14"/>
      <c r="ML184" s="65"/>
      <c r="MM184" s="15" t="str">
        <f t="shared" si="536"/>
        <v>NO APLICA</v>
      </c>
      <c r="MN184" s="12"/>
      <c r="MO184" s="14"/>
      <c r="MP184" s="12"/>
      <c r="MQ184" s="15" t="str">
        <f t="shared" si="537"/>
        <v>NO APLICA</v>
      </c>
      <c r="MR184" s="12"/>
      <c r="MS184" s="16"/>
      <c r="MT184" s="14"/>
      <c r="MU184" s="65"/>
      <c r="MV184" s="15" t="str">
        <f t="shared" si="538"/>
        <v>NO APLICA</v>
      </c>
      <c r="MW184" s="12"/>
      <c r="MX184" s="16"/>
      <c r="MY184" s="14"/>
      <c r="MZ184" s="65"/>
      <c r="NA184" s="15" t="str">
        <f t="shared" si="539"/>
        <v>NO APLICA</v>
      </c>
      <c r="NB184" s="12"/>
      <c r="NC184" s="16"/>
      <c r="ND184" s="14"/>
      <c r="NE184" s="65"/>
      <c r="NF184" s="15" t="str">
        <f t="shared" si="540"/>
        <v>NO APLICA</v>
      </c>
      <c r="NG184" s="12"/>
      <c r="NH184" s="12"/>
      <c r="NI184" s="14"/>
      <c r="NJ184" s="12"/>
      <c r="NK184" s="15" t="str">
        <f t="shared" si="541"/>
        <v>NO APLICA</v>
      </c>
      <c r="NL184" s="12"/>
      <c r="NM184" s="12"/>
      <c r="NN184" s="14"/>
      <c r="NO184" s="12"/>
      <c r="NP184" s="15" t="str">
        <f t="shared" si="542"/>
        <v>NO APLICA</v>
      </c>
      <c r="NQ184" s="16"/>
      <c r="NR184" s="16"/>
      <c r="NS184" s="14"/>
      <c r="NT184" s="65"/>
      <c r="NU184" s="15" t="str">
        <f t="shared" si="543"/>
        <v>NO APLICA</v>
      </c>
      <c r="NV184" s="16"/>
      <c r="NW184" s="16"/>
      <c r="NX184" s="16"/>
      <c r="NY184" s="16"/>
      <c r="NZ184" s="15" t="str">
        <f t="shared" si="544"/>
        <v>NO APLICA</v>
      </c>
    </row>
    <row r="185" spans="1:390" ht="15.6" thickTop="1" thickBot="1" x14ac:dyDescent="0.35">
      <c r="A185" s="9">
        <v>983</v>
      </c>
      <c r="B185" s="10" t="s">
        <v>650</v>
      </c>
      <c r="C185" s="21" t="s">
        <v>98</v>
      </c>
      <c r="D185" s="64" t="s">
        <v>432</v>
      </c>
      <c r="E185" s="15"/>
      <c r="F185" s="16"/>
      <c r="G185" s="14"/>
      <c r="H185" s="65"/>
      <c r="I185" s="15" t="str">
        <f t="shared" si="448"/>
        <v>NO APLICA</v>
      </c>
      <c r="J185" s="15"/>
      <c r="K185" s="16"/>
      <c r="L185" s="16"/>
      <c r="M185" s="65"/>
      <c r="N185" s="15" t="str">
        <f t="shared" si="449"/>
        <v>NO APLICA</v>
      </c>
      <c r="O185" s="14">
        <v>45603</v>
      </c>
      <c r="P185" s="14">
        <v>45604</v>
      </c>
      <c r="Q185" s="14">
        <f>DATE(YEAR(P185)+2,MONTH(P185),DAY(P185)-1)</f>
        <v>46333</v>
      </c>
      <c r="R185" s="65">
        <f ca="1">Q185-TODAY()</f>
        <v>202</v>
      </c>
      <c r="S185" s="15" t="str">
        <f ca="1">IF(R185&gt;=61,"VIGENTE",IF(R185&gt;=1,"POR VENCER",IF(R185&lt;=-1,"VENCIDA",IF(R185=0,"NO APLICA"))))</f>
        <v>VIGENTE</v>
      </c>
      <c r="T185" s="12" t="s">
        <v>651</v>
      </c>
      <c r="U185" s="13">
        <v>44715</v>
      </c>
      <c r="V185" s="14">
        <v>44716</v>
      </c>
      <c r="W185" s="14">
        <f t="shared" si="577"/>
        <v>46542</v>
      </c>
      <c r="X185" s="65">
        <f t="shared" ca="1" si="578"/>
        <v>411</v>
      </c>
      <c r="Y185" s="15" t="str">
        <f t="shared" ca="1" si="595"/>
        <v>VIGENTE</v>
      </c>
      <c r="Z185" s="12" t="s">
        <v>652</v>
      </c>
      <c r="AA185" s="13">
        <v>45161</v>
      </c>
      <c r="AB185" s="14">
        <v>45162</v>
      </c>
      <c r="AC185" s="14">
        <f t="shared" si="610"/>
        <v>46989</v>
      </c>
      <c r="AD185" s="65">
        <f t="shared" ca="1" si="605"/>
        <v>858</v>
      </c>
      <c r="AE185" s="15" t="str">
        <f t="shared" ca="1" si="598"/>
        <v>VIGENTE</v>
      </c>
      <c r="AF185" s="13">
        <v>44593</v>
      </c>
      <c r="AG185" s="14">
        <v>45936</v>
      </c>
      <c r="AH185" s="14">
        <f t="shared" si="642"/>
        <v>46666</v>
      </c>
      <c r="AI185" s="65">
        <f t="shared" ca="1" si="450"/>
        <v>535</v>
      </c>
      <c r="AJ185" s="15" t="str">
        <f t="shared" ca="1" si="592"/>
        <v>VIGENTE</v>
      </c>
      <c r="AK185" s="13">
        <v>44594</v>
      </c>
      <c r="AL185" s="14">
        <v>45937</v>
      </c>
      <c r="AM185" s="14">
        <f t="shared" si="612"/>
        <v>46667</v>
      </c>
      <c r="AN185" s="65">
        <f t="shared" ca="1" si="451"/>
        <v>536</v>
      </c>
      <c r="AO185" s="15" t="str">
        <f t="shared" ca="1" si="452"/>
        <v>VIGENTE</v>
      </c>
      <c r="AP185" s="13">
        <v>44571</v>
      </c>
      <c r="AQ185" s="14">
        <v>45904</v>
      </c>
      <c r="AR185" s="14">
        <f t="shared" si="643"/>
        <v>46634</v>
      </c>
      <c r="AS185" s="65">
        <f t="shared" ca="1" si="453"/>
        <v>503</v>
      </c>
      <c r="AT185" s="15" t="str">
        <f t="shared" ca="1" si="454"/>
        <v>VIGENTE</v>
      </c>
      <c r="AU185" s="13">
        <v>44671</v>
      </c>
      <c r="AV185" s="14">
        <v>45927</v>
      </c>
      <c r="AW185" s="14">
        <f>DATE(YEAR(AV185)+2,MONTH(AV185),DAY(AV185))</f>
        <v>46657</v>
      </c>
      <c r="AX185" s="65">
        <f t="shared" ca="1" si="455"/>
        <v>526</v>
      </c>
      <c r="AY185" s="15" t="str">
        <f t="shared" ca="1" si="456"/>
        <v>VIGENTE</v>
      </c>
      <c r="AZ185" s="13">
        <v>45237</v>
      </c>
      <c r="BA185" s="14">
        <v>45930</v>
      </c>
      <c r="BB185" s="14">
        <f t="shared" si="644"/>
        <v>46660</v>
      </c>
      <c r="BC185" s="65">
        <f t="shared" ca="1" si="457"/>
        <v>529</v>
      </c>
      <c r="BD185" s="15" t="str">
        <f t="shared" ca="1" si="458"/>
        <v>VIGENTE</v>
      </c>
      <c r="BE185" s="13">
        <v>44573</v>
      </c>
      <c r="BF185" s="14">
        <v>45997</v>
      </c>
      <c r="BG185" s="14">
        <f t="shared" si="606"/>
        <v>46727</v>
      </c>
      <c r="BH185" s="65">
        <f t="shared" ca="1" si="459"/>
        <v>596</v>
      </c>
      <c r="BI185" s="15" t="str">
        <f t="shared" ca="1" si="460"/>
        <v>VIGENTE</v>
      </c>
      <c r="BJ185" s="13">
        <v>44795</v>
      </c>
      <c r="BK185" s="14">
        <v>46051</v>
      </c>
      <c r="BL185" s="14">
        <f t="shared" si="616"/>
        <v>46781</v>
      </c>
      <c r="BM185" s="65">
        <f t="shared" ca="1" si="461"/>
        <v>650</v>
      </c>
      <c r="BN185" s="15" t="str">
        <f t="shared" ca="1" si="462"/>
        <v>VIGENTE</v>
      </c>
      <c r="BO185" s="13">
        <v>45190</v>
      </c>
      <c r="BP185" s="14">
        <v>45841</v>
      </c>
      <c r="BQ185" s="14">
        <f>DATE(YEAR(BP185)+2,MONTH(BP185),DAY(BP185))</f>
        <v>46571</v>
      </c>
      <c r="BR185" s="65">
        <f t="shared" ca="1" si="463"/>
        <v>440</v>
      </c>
      <c r="BS185" s="15" t="str">
        <f t="shared" ca="1" si="464"/>
        <v>VIGENTE</v>
      </c>
      <c r="BT185" s="13">
        <v>44614</v>
      </c>
      <c r="BU185" s="14">
        <v>45950</v>
      </c>
      <c r="BV185" s="14">
        <f t="shared" si="645"/>
        <v>46680</v>
      </c>
      <c r="BW185" s="65">
        <f t="shared" ca="1" si="465"/>
        <v>549</v>
      </c>
      <c r="BX185" s="15" t="str">
        <f t="shared" ca="1" si="466"/>
        <v>VIGENTE</v>
      </c>
      <c r="BY185" s="13">
        <v>44594</v>
      </c>
      <c r="BZ185" s="14">
        <v>45944</v>
      </c>
      <c r="CA185" s="14">
        <f t="shared" si="646"/>
        <v>46674</v>
      </c>
      <c r="CB185" s="65">
        <f t="shared" ca="1" si="467"/>
        <v>543</v>
      </c>
      <c r="CC185" s="15" t="str">
        <f t="shared" ca="1" si="468"/>
        <v>VIGENTE</v>
      </c>
      <c r="CD185" s="16" t="s">
        <v>102</v>
      </c>
      <c r="CE185" s="14">
        <v>45827</v>
      </c>
      <c r="CF185" s="14">
        <v>45828</v>
      </c>
      <c r="CG185" s="14">
        <f t="shared" si="580"/>
        <v>47289</v>
      </c>
      <c r="CH185" s="65">
        <f t="shared" ca="1" si="581"/>
        <v>1158</v>
      </c>
      <c r="CI185" s="15" t="str">
        <f t="shared" ca="1" si="562"/>
        <v>VIGENTE</v>
      </c>
      <c r="CJ185" s="14">
        <v>44573</v>
      </c>
      <c r="CK185" s="14">
        <v>45929</v>
      </c>
      <c r="CL185" s="14">
        <f>DATE(YEAR(CK185)+2,MONTH(CK185),DAY(CK185))</f>
        <v>46659</v>
      </c>
      <c r="CM185" s="65">
        <f t="shared" ca="1" si="469"/>
        <v>528</v>
      </c>
      <c r="CN185" s="15" t="str">
        <f t="shared" ca="1" si="470"/>
        <v>VIGENTE</v>
      </c>
      <c r="CO185" s="13">
        <v>45246</v>
      </c>
      <c r="CP185" s="14">
        <v>45888</v>
      </c>
      <c r="CQ185" s="14">
        <f t="shared" si="647"/>
        <v>46618</v>
      </c>
      <c r="CR185" s="65">
        <f t="shared" ca="1" si="471"/>
        <v>487</v>
      </c>
      <c r="CS185" s="15" t="str">
        <f t="shared" ca="1" si="472"/>
        <v>VIGENTE</v>
      </c>
      <c r="CT185" s="13">
        <v>44670</v>
      </c>
      <c r="CU185" s="14">
        <v>45905</v>
      </c>
      <c r="CV185" s="14">
        <f>DATE(YEAR(CU185)+2,MONTH(CU185),DAY(CU185))</f>
        <v>46635</v>
      </c>
      <c r="CW185" s="65">
        <f t="shared" ca="1" si="473"/>
        <v>504</v>
      </c>
      <c r="CX185" s="15" t="str">
        <f t="shared" ca="1" si="474"/>
        <v>VIGENTE</v>
      </c>
      <c r="CY185" s="13">
        <v>44649</v>
      </c>
      <c r="CZ185" s="14">
        <v>45924</v>
      </c>
      <c r="DA185" s="14">
        <f>DATE(YEAR(CZ185)+2,MONTH(CZ185),DAY(CZ185))</f>
        <v>46654</v>
      </c>
      <c r="DB185" s="65">
        <f t="shared" ca="1" si="475"/>
        <v>523</v>
      </c>
      <c r="DC185" s="15" t="str">
        <f t="shared" ca="1" si="476"/>
        <v>VIGENTE</v>
      </c>
      <c r="DD185" s="13">
        <v>45244</v>
      </c>
      <c r="DE185" s="14">
        <v>45896</v>
      </c>
      <c r="DF185" s="14">
        <f>DATE(YEAR(DE185)+2,MONTH(DE185),DAY(DE185))</f>
        <v>46626</v>
      </c>
      <c r="DG185" s="65">
        <f t="shared" ca="1" si="477"/>
        <v>495</v>
      </c>
      <c r="DH185" s="15" t="str">
        <f t="shared" ca="1" si="478"/>
        <v>VIGENTE</v>
      </c>
      <c r="DI185" s="13">
        <v>45251</v>
      </c>
      <c r="DJ185" s="14">
        <v>45899</v>
      </c>
      <c r="DK185" s="14">
        <f t="shared" si="625"/>
        <v>46629</v>
      </c>
      <c r="DL185" s="65">
        <f t="shared" ca="1" si="479"/>
        <v>498</v>
      </c>
      <c r="DM185" s="15" t="str">
        <f t="shared" ca="1" si="480"/>
        <v>VIGENTE</v>
      </c>
      <c r="DN185" s="13">
        <v>45316</v>
      </c>
      <c r="DO185" s="14">
        <v>45982</v>
      </c>
      <c r="DP185" s="14">
        <f>DATE(YEAR(DO185)+2,MONTH(DO185),DAY(DO185))</f>
        <v>46712</v>
      </c>
      <c r="DQ185" s="65">
        <f t="shared" ca="1" si="481"/>
        <v>581</v>
      </c>
      <c r="DR185" s="15" t="str">
        <f t="shared" ca="1" si="482"/>
        <v>VIGENTE</v>
      </c>
      <c r="DS185" s="13">
        <v>45250</v>
      </c>
      <c r="DT185" s="14">
        <v>45885</v>
      </c>
      <c r="DU185" s="14">
        <f>DATE(YEAR(DT185)+2,MONTH(DT185),DAY(DT185))</f>
        <v>46615</v>
      </c>
      <c r="DV185" s="65">
        <f t="shared" ca="1" si="483"/>
        <v>484</v>
      </c>
      <c r="DW185" s="15" t="str">
        <f t="shared" ca="1" si="484"/>
        <v>VIGENTE</v>
      </c>
      <c r="DX185" s="13">
        <v>45329</v>
      </c>
      <c r="DY185" s="14">
        <v>46020</v>
      </c>
      <c r="DZ185" s="14">
        <f t="shared" si="648"/>
        <v>46750</v>
      </c>
      <c r="EA185" s="65">
        <f t="shared" ca="1" si="485"/>
        <v>619</v>
      </c>
      <c r="EB185" s="15" t="str">
        <f t="shared" ca="1" si="486"/>
        <v>VIGENTE</v>
      </c>
      <c r="EC185" s="13">
        <v>44650</v>
      </c>
      <c r="ED185" s="14">
        <v>45938</v>
      </c>
      <c r="EE185" s="14">
        <f t="shared" si="628"/>
        <v>46668</v>
      </c>
      <c r="EF185" s="65">
        <f t="shared" ca="1" si="487"/>
        <v>537</v>
      </c>
      <c r="EG185" s="15" t="str">
        <f t="shared" ca="1" si="488"/>
        <v>VIGENTE</v>
      </c>
      <c r="EH185" s="13">
        <v>45253</v>
      </c>
      <c r="EI185" s="13">
        <v>45909</v>
      </c>
      <c r="EJ185" s="13">
        <v>45910</v>
      </c>
      <c r="EK185" s="13">
        <v>45911</v>
      </c>
      <c r="EL185" s="14">
        <f t="shared" si="546"/>
        <v>46276</v>
      </c>
      <c r="EM185" s="65">
        <f t="shared" ca="1" si="489"/>
        <v>145</v>
      </c>
      <c r="EN185" s="15" t="str">
        <f t="shared" ca="1" si="490"/>
        <v>VIGENTE</v>
      </c>
      <c r="EO185" s="13">
        <v>44600</v>
      </c>
      <c r="EP185" s="14">
        <v>45940</v>
      </c>
      <c r="EQ185" s="14">
        <f t="shared" si="649"/>
        <v>46670</v>
      </c>
      <c r="ER185" s="65">
        <f t="shared" ca="1" si="491"/>
        <v>539</v>
      </c>
      <c r="ES185" s="15" t="str">
        <f t="shared" ca="1" si="492"/>
        <v>VIGENTE</v>
      </c>
      <c r="ET185" s="13">
        <v>44600</v>
      </c>
      <c r="EU185" s="14">
        <v>45922</v>
      </c>
      <c r="EV185" s="14">
        <f t="shared" si="630"/>
        <v>46652</v>
      </c>
      <c r="EW185" s="65">
        <f t="shared" ca="1" si="493"/>
        <v>521</v>
      </c>
      <c r="EX185" s="15" t="str">
        <f t="shared" ca="1" si="494"/>
        <v>VIGENTE</v>
      </c>
      <c r="EY185" s="13">
        <v>44595</v>
      </c>
      <c r="EZ185" s="14">
        <v>45917</v>
      </c>
      <c r="FA185" s="14">
        <f t="shared" si="600"/>
        <v>46647</v>
      </c>
      <c r="FB185" s="65">
        <f t="shared" ca="1" si="495"/>
        <v>516</v>
      </c>
      <c r="FC185" s="15" t="str">
        <f t="shared" ca="1" si="496"/>
        <v>VIGENTE</v>
      </c>
      <c r="FD185" s="13">
        <v>45280</v>
      </c>
      <c r="FE185" s="14">
        <v>45931</v>
      </c>
      <c r="FF185" s="14">
        <f t="shared" si="631"/>
        <v>46661</v>
      </c>
      <c r="FG185" s="65">
        <f t="shared" ca="1" si="497"/>
        <v>530</v>
      </c>
      <c r="FH185" s="15" t="str">
        <f t="shared" ca="1" si="498"/>
        <v>VIGENTE</v>
      </c>
      <c r="FI185" s="13">
        <v>45248</v>
      </c>
      <c r="FJ185" s="14">
        <v>45919</v>
      </c>
      <c r="FK185" s="14">
        <f t="shared" si="650"/>
        <v>46649</v>
      </c>
      <c r="FL185" s="65">
        <f t="shared" ca="1" si="499"/>
        <v>518</v>
      </c>
      <c r="FM185" s="15" t="str">
        <f t="shared" ca="1" si="500"/>
        <v>VIGENTE</v>
      </c>
      <c r="FN185" s="13">
        <v>44592</v>
      </c>
      <c r="FO185" s="14">
        <v>45933</v>
      </c>
      <c r="FP185" s="14">
        <f t="shared" si="633"/>
        <v>46663</v>
      </c>
      <c r="FQ185" s="65">
        <f t="shared" ca="1" si="501"/>
        <v>532</v>
      </c>
      <c r="FR185" s="15" t="str">
        <f t="shared" ca="1" si="502"/>
        <v>VIGENTE</v>
      </c>
      <c r="FS185" s="13">
        <v>45279</v>
      </c>
      <c r="FT185" s="14">
        <v>45957</v>
      </c>
      <c r="FU185" s="14">
        <f t="shared" si="651"/>
        <v>46687</v>
      </c>
      <c r="FV185" s="65">
        <f t="shared" ca="1" si="503"/>
        <v>556</v>
      </c>
      <c r="FW185" s="15" t="str">
        <f t="shared" ca="1" si="504"/>
        <v>VIGENTE</v>
      </c>
      <c r="FX185" s="13">
        <v>45281</v>
      </c>
      <c r="FY185" s="14">
        <v>45961</v>
      </c>
      <c r="FZ185" s="14">
        <f>DATE(YEAR(FY185)+2,MONTH(FY185),DAY(FY185))</f>
        <v>46691</v>
      </c>
      <c r="GA185" s="65">
        <f t="shared" ca="1" si="505"/>
        <v>560</v>
      </c>
      <c r="GB185" s="15" t="str">
        <f t="shared" ca="1" si="506"/>
        <v>VIGENTE</v>
      </c>
      <c r="GC185" s="13">
        <v>44585</v>
      </c>
      <c r="GD185" s="14">
        <v>45925</v>
      </c>
      <c r="GE185" s="14">
        <f t="shared" si="652"/>
        <v>46655</v>
      </c>
      <c r="GF185" s="65">
        <f t="shared" ca="1" si="507"/>
        <v>524</v>
      </c>
      <c r="GG185" s="15" t="str">
        <f t="shared" ca="1" si="508"/>
        <v>VIGENTE</v>
      </c>
      <c r="GH185" s="13">
        <v>44614</v>
      </c>
      <c r="GI185" s="14">
        <v>45912</v>
      </c>
      <c r="GJ185" s="14">
        <f t="shared" si="653"/>
        <v>46642</v>
      </c>
      <c r="GK185" s="65">
        <f t="shared" ca="1" si="509"/>
        <v>511</v>
      </c>
      <c r="GL185" s="15" t="str">
        <f t="shared" ca="1" si="510"/>
        <v>VIGENTE</v>
      </c>
      <c r="GM185" s="13">
        <v>44610</v>
      </c>
      <c r="GN185" s="14">
        <v>45945</v>
      </c>
      <c r="GO185" s="14">
        <f t="shared" si="654"/>
        <v>46675</v>
      </c>
      <c r="GP185" s="65">
        <f t="shared" ca="1" si="511"/>
        <v>544</v>
      </c>
      <c r="GQ185" s="15" t="str">
        <f t="shared" ca="1" si="512"/>
        <v>VIGENTE</v>
      </c>
      <c r="GR185" s="14"/>
      <c r="GS185" s="14">
        <v>45048</v>
      </c>
      <c r="GT185" s="14">
        <f t="shared" si="513"/>
        <v>46875</v>
      </c>
      <c r="GU185" s="65">
        <f t="shared" ca="1" si="591"/>
        <v>744</v>
      </c>
      <c r="GV185" s="15" t="str">
        <f t="shared" ca="1" si="601"/>
        <v>VIGENTE</v>
      </c>
      <c r="GW185" s="13"/>
      <c r="GX185" s="14">
        <v>45006</v>
      </c>
      <c r="GY185" s="14">
        <f t="shared" si="514"/>
        <v>46833</v>
      </c>
      <c r="GZ185" s="65">
        <f t="shared" ca="1" si="515"/>
        <v>702</v>
      </c>
      <c r="HA185" s="15" t="str">
        <f t="shared" ca="1" si="602"/>
        <v>VIGENTE</v>
      </c>
      <c r="HB185" s="12"/>
      <c r="HC185" s="14">
        <v>45073</v>
      </c>
      <c r="HD185" s="14">
        <f t="shared" si="516"/>
        <v>46900</v>
      </c>
      <c r="HE185" s="65">
        <f t="shared" ca="1" si="517"/>
        <v>769</v>
      </c>
      <c r="HF185" s="15" t="str">
        <f t="shared" ca="1" si="603"/>
        <v>VIGENTE</v>
      </c>
      <c r="HG185" s="16"/>
      <c r="HH185" s="14">
        <v>45020</v>
      </c>
      <c r="HI185" s="14">
        <f t="shared" si="639"/>
        <v>46847</v>
      </c>
      <c r="HJ185" s="65">
        <f t="shared" ca="1" si="607"/>
        <v>716</v>
      </c>
      <c r="HK185" s="15" t="str">
        <f t="shared" ca="1" si="604"/>
        <v>VIGENTE</v>
      </c>
      <c r="HL185" s="12"/>
      <c r="HM185" s="16"/>
      <c r="HN185" s="14"/>
      <c r="HO185" s="65"/>
      <c r="HP185" s="15" t="str">
        <f t="shared" si="437"/>
        <v>NO APLICA</v>
      </c>
      <c r="HQ185" s="12"/>
      <c r="HR185" s="12"/>
      <c r="HS185" s="14"/>
      <c r="HT185" s="12"/>
      <c r="HU185" s="15" t="str">
        <f t="shared" si="518"/>
        <v>NO APLICA</v>
      </c>
      <c r="HV185" s="12"/>
      <c r="HW185" s="14">
        <v>45089</v>
      </c>
      <c r="HX185" s="14">
        <f>DATE(YEAR(HW185)+5,MONTH(HW185),DAY(HW185))</f>
        <v>46916</v>
      </c>
      <c r="HY185" s="65">
        <f ca="1">HX185-TODAY()</f>
        <v>785</v>
      </c>
      <c r="HZ185" s="15" t="str">
        <f ca="1">IF(HY185&gt;=61,"VIGENTE",IF(HY185&gt;=1,"POR VENCER",IF(HY185&lt;=-1,"VENCIDA",IF(HW185=0,"NO APLICA"))))</f>
        <v>VIGENTE</v>
      </c>
      <c r="IA185" s="12"/>
      <c r="IB185" s="14">
        <v>44981</v>
      </c>
      <c r="IC185" s="14">
        <f>DATE(YEAR(IB185)+5,MONTH(IB185),DAY(IB185))</f>
        <v>46807</v>
      </c>
      <c r="ID185" s="65">
        <f ca="1">IC185-TODAY()</f>
        <v>676</v>
      </c>
      <c r="IE185" s="15" t="str">
        <f ca="1">IF(ID185&gt;=61,"VIGENTE",IF(ID185&gt;=1,"POR VENCER",IF(ID185&lt;=-1,"VENCIDA",IF(IB185=0,"NO APLICA"))))</f>
        <v>VIGENTE</v>
      </c>
      <c r="IF185" s="12"/>
      <c r="IG185" s="14">
        <v>45049</v>
      </c>
      <c r="IH185" s="14">
        <f>DATE(YEAR(IG185)+5,MONTH(IG185),DAY(IG185))</f>
        <v>46876</v>
      </c>
      <c r="II185" s="65">
        <f ca="1">IH185-TODAY()</f>
        <v>745</v>
      </c>
      <c r="IJ185" s="15" t="str">
        <f ca="1">IF(II185&gt;=61,"VIGENTE",IF(II185&gt;=1,"POR VENCER",IF(II185&lt;=-1,"VENCIDA",IF(IG185=0,"NO APLICA"))))</f>
        <v>VIGENTE</v>
      </c>
      <c r="IK185" s="16"/>
      <c r="IL185" s="14">
        <v>45058</v>
      </c>
      <c r="IM185" s="14">
        <f>DATE(YEAR(IL185)+5,MONTH(IL185),DAY(IL185))</f>
        <v>46885</v>
      </c>
      <c r="IN185" s="65">
        <f ca="1">IM185-TODAY()</f>
        <v>754</v>
      </c>
      <c r="IO185" s="15" t="str">
        <f ca="1">IF(IN185&gt;=61,"VIGENTE",IF(IN185&gt;=1,"POR VENCER",IF(IN185&lt;=-1,"VENCIDA",IF(IL185=0,"NO APLICA"))))</f>
        <v>VIGENTE</v>
      </c>
      <c r="IP185" s="12"/>
      <c r="IQ185" s="14">
        <v>45064</v>
      </c>
      <c r="IR185" s="14">
        <f>DATE(YEAR(IQ185)+5,MONTH(IQ185),DAY(IQ185))</f>
        <v>46891</v>
      </c>
      <c r="IS185" s="65">
        <f ca="1">IR185-TODAY()</f>
        <v>760</v>
      </c>
      <c r="IT185" s="15" t="str">
        <f ca="1">IF(IS185&gt;=61,"VIGENTE",IF(IS185&gt;=1,"POR VENCER",IF(IS185&lt;=-1,"VENCIDA",IF(IQ185=0,"NO APLICA"))))</f>
        <v>VIGENTE</v>
      </c>
      <c r="IU185" s="12"/>
      <c r="IV185" s="14">
        <v>45062</v>
      </c>
      <c r="IW185" s="14">
        <f t="shared" si="640"/>
        <v>46889</v>
      </c>
      <c r="IX185" s="65">
        <f t="shared" ca="1" si="608"/>
        <v>758</v>
      </c>
      <c r="IY185" s="15" t="str">
        <f t="shared" ca="1" si="524"/>
        <v>VIGENTE</v>
      </c>
      <c r="IZ185" s="12"/>
      <c r="JA185" s="14">
        <v>44996</v>
      </c>
      <c r="JB185" s="14">
        <f t="shared" si="641"/>
        <v>46823</v>
      </c>
      <c r="JC185" s="65">
        <f t="shared" ca="1" si="609"/>
        <v>692</v>
      </c>
      <c r="JD185" s="15" t="str">
        <f t="shared" ca="1" si="525"/>
        <v>VIGENTE</v>
      </c>
      <c r="JE185" s="13"/>
      <c r="JF185" s="13"/>
      <c r="JG185" s="14"/>
      <c r="JH185" s="65"/>
      <c r="JI185" s="15" t="str">
        <f t="shared" si="526"/>
        <v>NO APLICA</v>
      </c>
      <c r="JJ185" s="16"/>
      <c r="JK185" s="16"/>
      <c r="JL185" s="16"/>
      <c r="JM185" s="15" t="str">
        <f t="shared" si="527"/>
        <v>NO APLICA</v>
      </c>
      <c r="JN185" s="16"/>
      <c r="JO185" s="16"/>
      <c r="JP185" s="16"/>
      <c r="JQ185" s="15" t="str">
        <f t="shared" si="528"/>
        <v>NO APLICA</v>
      </c>
      <c r="JR185" s="16"/>
      <c r="JS185" s="16"/>
      <c r="JT185" s="16"/>
      <c r="JU185" s="16"/>
      <c r="JV185" s="15" t="str">
        <f t="shared" si="529"/>
        <v>NO APLICA</v>
      </c>
      <c r="JW185" s="15"/>
      <c r="JX185" s="15"/>
      <c r="JY185" s="15"/>
      <c r="JZ185" s="15"/>
      <c r="KA185" s="15" t="str">
        <f t="shared" si="530"/>
        <v>NO APLICA</v>
      </c>
      <c r="KB185" s="12"/>
      <c r="KC185" s="14"/>
      <c r="KD185" s="65"/>
      <c r="KE185" s="15" t="str">
        <f t="shared" si="531"/>
        <v>NO APLICA</v>
      </c>
      <c r="KF185" s="12"/>
      <c r="KG185" s="14"/>
      <c r="KH185" s="65"/>
      <c r="KI185" s="15" t="str">
        <f t="shared" si="547"/>
        <v>NO APLICA</v>
      </c>
      <c r="KJ185" s="12"/>
      <c r="KK185" s="14"/>
      <c r="KL185" s="65"/>
      <c r="KM185" s="15" t="str">
        <f t="shared" si="532"/>
        <v>NO APLICA</v>
      </c>
      <c r="KN185" s="13">
        <v>45346</v>
      </c>
      <c r="KO185" s="14">
        <f>DATE(YEAR(KN185)+5,MONTH(KN185),DAY(KN185))</f>
        <v>47173</v>
      </c>
      <c r="KP185" s="65">
        <f ca="1">KO185-TODAY()</f>
        <v>1042</v>
      </c>
      <c r="KQ185" s="15" t="str">
        <f ca="1">IF(KP185&gt;=61,"VIGENTE",IF(KP185&gt;=1,"POR VENCER",IF(KP185&lt;=-1,"VENCIDA",IF(KN185=0,"NO APLICA"))))</f>
        <v>VIGENTE</v>
      </c>
      <c r="KR185" s="13">
        <v>44655</v>
      </c>
      <c r="KS185" s="14">
        <v>44656</v>
      </c>
      <c r="KT185" s="14">
        <f>DATE(YEAR(KS185)+5,MONTH(KS185),DAY(KS185))</f>
        <v>46482</v>
      </c>
      <c r="KU185" s="65">
        <f ca="1">KT185-TODAY()</f>
        <v>351</v>
      </c>
      <c r="KV185" s="15" t="str">
        <f ca="1">IF(KU185&gt;=61,"VIGENTE",IF(KU185&gt;=1,"POR VENCER",IF(KU185&lt;=-1,"VENCIDA",IF(KS185=0,"NO APLICA"))))</f>
        <v>VIGENTE</v>
      </c>
      <c r="KW185" s="14">
        <v>44603</v>
      </c>
      <c r="KX185" s="14">
        <f>DATE(YEAR(KW185)+5,MONTH(KW185),DAY(KW185))</f>
        <v>46429</v>
      </c>
      <c r="KY185" s="65">
        <f ca="1">KX185-TODAY()</f>
        <v>298</v>
      </c>
      <c r="KZ185" s="15" t="str">
        <f ca="1">IF(KY185&gt;=61,"VIGENTE",IF(KY185&gt;=1,"POR VENCER",IF(KY185&lt;=-1,"VENCIDA",IF(KW185=0,"NO APLICA"))))</f>
        <v>VIGENTE</v>
      </c>
      <c r="LA185" s="16"/>
      <c r="LB185" s="16"/>
      <c r="LC185" s="14"/>
      <c r="LD185" s="65"/>
      <c r="LE185" s="15" t="str">
        <f t="shared" si="590"/>
        <v>NO APLICA</v>
      </c>
      <c r="LF185" s="15"/>
      <c r="LG185" s="15"/>
      <c r="LH185" s="14"/>
      <c r="LI185" s="65"/>
      <c r="LJ185" s="15" t="str">
        <f t="shared" si="555"/>
        <v>NO APLICA</v>
      </c>
      <c r="LK185" s="12"/>
      <c r="LL185" s="16"/>
      <c r="LM185" s="14"/>
      <c r="LN185" s="65"/>
      <c r="LO185" s="15" t="str">
        <f t="shared" si="550"/>
        <v>NO APLICA</v>
      </c>
      <c r="LP185" s="16"/>
      <c r="LQ185" s="16"/>
      <c r="LR185" s="14"/>
      <c r="LS185" s="65"/>
      <c r="LT185" s="15" t="str">
        <f t="shared" si="551"/>
        <v>NO APLICA</v>
      </c>
      <c r="LU185" s="16"/>
      <c r="LV185" s="16"/>
      <c r="LW185" s="14"/>
      <c r="LX185" s="65"/>
      <c r="LY185" s="15" t="str">
        <f t="shared" si="552"/>
        <v>NO APLICA</v>
      </c>
      <c r="LZ185" s="12"/>
      <c r="MA185" s="12"/>
      <c r="MB185" s="14"/>
      <c r="MC185" s="65"/>
      <c r="MD185" s="15" t="str">
        <f t="shared" si="534"/>
        <v>NO APLICA</v>
      </c>
      <c r="ME185" s="12"/>
      <c r="MF185" s="12"/>
      <c r="MG185" s="14"/>
      <c r="MH185" s="65"/>
      <c r="MI185" s="15" t="str">
        <f t="shared" si="535"/>
        <v>NO APLICA</v>
      </c>
      <c r="MJ185" s="12"/>
      <c r="MK185" s="14"/>
      <c r="ML185" s="65"/>
      <c r="MM185" s="15" t="str">
        <f t="shared" si="536"/>
        <v>NO APLICA</v>
      </c>
      <c r="MN185" s="12"/>
      <c r="MO185" s="14"/>
      <c r="MP185" s="12"/>
      <c r="MQ185" s="15" t="str">
        <f t="shared" si="537"/>
        <v>NO APLICA</v>
      </c>
      <c r="MR185" s="12"/>
      <c r="MS185" s="16"/>
      <c r="MT185" s="14"/>
      <c r="MU185" s="65"/>
      <c r="MV185" s="15" t="str">
        <f t="shared" si="538"/>
        <v>NO APLICA</v>
      </c>
      <c r="MW185" s="12"/>
      <c r="MX185" s="16"/>
      <c r="MY185" s="14"/>
      <c r="MZ185" s="65"/>
      <c r="NA185" s="15" t="str">
        <f t="shared" si="539"/>
        <v>NO APLICA</v>
      </c>
      <c r="NB185" s="12"/>
      <c r="NC185" s="16"/>
      <c r="ND185" s="14"/>
      <c r="NE185" s="65"/>
      <c r="NF185" s="15" t="str">
        <f t="shared" si="540"/>
        <v>NO APLICA</v>
      </c>
      <c r="NG185" s="12"/>
      <c r="NH185" s="12"/>
      <c r="NI185" s="14"/>
      <c r="NJ185" s="65"/>
      <c r="NK185" s="15" t="str">
        <f t="shared" si="541"/>
        <v>NO APLICA</v>
      </c>
      <c r="NL185" s="12"/>
      <c r="NM185" s="12"/>
      <c r="NN185" s="12"/>
      <c r="NO185" s="12"/>
      <c r="NP185" s="15" t="str">
        <f t="shared" si="542"/>
        <v>NO APLICA</v>
      </c>
      <c r="NQ185" s="16"/>
      <c r="NR185" s="14">
        <v>45568</v>
      </c>
      <c r="NS185" s="14">
        <f>DATE(YEAR(NR185)+2,MONTH(NR185),DAY(NR185))</f>
        <v>46298</v>
      </c>
      <c r="NT185" s="65">
        <f ca="1">NS185-TODAY()</f>
        <v>167</v>
      </c>
      <c r="NU185" s="15" t="str">
        <f ca="1">IF(NT185&gt;=61,"VIGENTE",IF(NT185&gt;=1,"POR VENCER",IF(NT185&lt;=-1,"VENCIDA",IF(NR185=0,"NO APLICA"))))</f>
        <v>VIGENTE</v>
      </c>
      <c r="NV185" s="16"/>
      <c r="NW185" s="16"/>
      <c r="NX185" s="16"/>
      <c r="NY185" s="16"/>
      <c r="NZ185" s="15" t="str">
        <f t="shared" si="544"/>
        <v>NO APLICA</v>
      </c>
    </row>
    <row r="186" spans="1:390" ht="15.6" thickTop="1" thickBot="1" x14ac:dyDescent="0.35">
      <c r="A186" s="11">
        <v>1344</v>
      </c>
      <c r="B186" s="10" t="s">
        <v>653</v>
      </c>
      <c r="C186" s="21" t="s">
        <v>104</v>
      </c>
      <c r="D186" s="64" t="s">
        <v>110</v>
      </c>
      <c r="E186" s="12"/>
      <c r="F186" s="16"/>
      <c r="G186" s="14"/>
      <c r="H186" s="65"/>
      <c r="I186" s="15" t="str">
        <f t="shared" si="448"/>
        <v>NO APLICA</v>
      </c>
      <c r="J186" s="15"/>
      <c r="K186" s="16"/>
      <c r="L186" s="16"/>
      <c r="M186" s="65"/>
      <c r="N186" s="15" t="str">
        <f t="shared" si="449"/>
        <v>NO APLICA</v>
      </c>
      <c r="O186" s="16"/>
      <c r="P186" s="16"/>
      <c r="Q186" s="14"/>
      <c r="R186" s="65"/>
      <c r="S186" s="15" t="str">
        <f t="shared" si="545"/>
        <v>NO APLICA</v>
      </c>
      <c r="T186" s="12" t="s">
        <v>654</v>
      </c>
      <c r="U186" s="13">
        <v>45848</v>
      </c>
      <c r="V186" s="14">
        <v>45849</v>
      </c>
      <c r="W186" s="14">
        <f t="shared" si="577"/>
        <v>47675</v>
      </c>
      <c r="X186" s="65">
        <f t="shared" ca="1" si="578"/>
        <v>1544</v>
      </c>
      <c r="Y186" s="15" t="str">
        <f t="shared" ca="1" si="595"/>
        <v>VIGENTE</v>
      </c>
      <c r="Z186" s="12" t="s">
        <v>655</v>
      </c>
      <c r="AA186" s="13">
        <v>45135</v>
      </c>
      <c r="AB186" s="14">
        <v>45136</v>
      </c>
      <c r="AC186" s="14">
        <f t="shared" si="610"/>
        <v>46963</v>
      </c>
      <c r="AD186" s="65">
        <f t="shared" ca="1" si="605"/>
        <v>832</v>
      </c>
      <c r="AE186" s="15" t="str">
        <f t="shared" ca="1" si="598"/>
        <v>VIGENTE</v>
      </c>
      <c r="AF186" s="13">
        <v>44946</v>
      </c>
      <c r="AG186" s="14">
        <v>45609</v>
      </c>
      <c r="AH186" s="14">
        <f t="shared" si="611"/>
        <v>46338</v>
      </c>
      <c r="AI186" s="65">
        <f t="shared" ca="1" si="450"/>
        <v>207</v>
      </c>
      <c r="AJ186" s="15" t="str">
        <f t="shared" ca="1" si="592"/>
        <v>VIGENTE</v>
      </c>
      <c r="AK186" s="13">
        <v>44890</v>
      </c>
      <c r="AL186" s="14">
        <v>45516</v>
      </c>
      <c r="AM186" s="14">
        <f>DATE(YEAR(AL186)+2,MONTH(AL186),DAY(AL186)-1)</f>
        <v>46245</v>
      </c>
      <c r="AN186" s="65">
        <f t="shared" ca="1" si="451"/>
        <v>114</v>
      </c>
      <c r="AO186" s="15" t="str">
        <f t="shared" ca="1" si="452"/>
        <v>VIGENTE</v>
      </c>
      <c r="AP186" s="13">
        <v>44891</v>
      </c>
      <c r="AQ186" s="14">
        <v>45529</v>
      </c>
      <c r="AR186" s="14">
        <f t="shared" ref="AR186" si="655">DATE(YEAR(AQ186)+2,MONTH(AQ186),DAY(AQ186)-1)</f>
        <v>46258</v>
      </c>
      <c r="AS186" s="65">
        <f t="shared" ca="1" si="453"/>
        <v>127</v>
      </c>
      <c r="AT186" s="15" t="str">
        <f t="shared" ca="1" si="454"/>
        <v>VIGENTE</v>
      </c>
      <c r="AU186" s="13">
        <v>44893</v>
      </c>
      <c r="AV186" s="14">
        <v>45523</v>
      </c>
      <c r="AW186" s="14">
        <f t="shared" si="614"/>
        <v>46252</v>
      </c>
      <c r="AX186" s="65">
        <f t="shared" ca="1" si="455"/>
        <v>121</v>
      </c>
      <c r="AY186" s="15" t="str">
        <f t="shared" ca="1" si="456"/>
        <v>VIGENTE</v>
      </c>
      <c r="AZ186" s="13">
        <v>44894</v>
      </c>
      <c r="BA186" s="14">
        <v>45534</v>
      </c>
      <c r="BB186" s="14">
        <f t="shared" si="615"/>
        <v>46263</v>
      </c>
      <c r="BC186" s="65">
        <f t="shared" ca="1" si="457"/>
        <v>132</v>
      </c>
      <c r="BD186" s="15" t="str">
        <f t="shared" ca="1" si="458"/>
        <v>VIGENTE</v>
      </c>
      <c r="BE186" s="13">
        <v>44904</v>
      </c>
      <c r="BF186" s="14">
        <v>45531</v>
      </c>
      <c r="BG186" s="14">
        <f t="shared" ref="BG186" si="656">DATE(YEAR(BF186)+2,MONTH(BF186),DAY(BF186)-1)</f>
        <v>46260</v>
      </c>
      <c r="BH186" s="65">
        <f t="shared" ca="1" si="459"/>
        <v>129</v>
      </c>
      <c r="BI186" s="15" t="str">
        <f t="shared" ca="1" si="460"/>
        <v>VIGENTE</v>
      </c>
      <c r="BJ186" s="13">
        <v>44896</v>
      </c>
      <c r="BK186" s="14">
        <v>45519</v>
      </c>
      <c r="BL186" s="14">
        <f t="shared" ref="BL186" si="657">DATE(YEAR(BK186)+2,MONTH(BK186),DAY(BK186)-1)</f>
        <v>46248</v>
      </c>
      <c r="BM186" s="65">
        <f t="shared" ca="1" si="461"/>
        <v>117</v>
      </c>
      <c r="BN186" s="15" t="str">
        <f t="shared" ca="1" si="462"/>
        <v>VIGENTE</v>
      </c>
      <c r="BO186" s="13">
        <v>44898</v>
      </c>
      <c r="BP186" s="14">
        <v>45532</v>
      </c>
      <c r="BQ186" s="14">
        <f>DATE(YEAR(BP186)+2,MONTH(BP186),DAY(BP186)-1)</f>
        <v>46261</v>
      </c>
      <c r="BR186" s="65">
        <f t="shared" ca="1" si="463"/>
        <v>130</v>
      </c>
      <c r="BS186" s="15" t="str">
        <f t="shared" ca="1" si="464"/>
        <v>VIGENTE</v>
      </c>
      <c r="BT186" s="13">
        <v>44902</v>
      </c>
      <c r="BU186" s="14">
        <v>45484</v>
      </c>
      <c r="BV186" s="14">
        <f t="shared" si="618"/>
        <v>46213</v>
      </c>
      <c r="BW186" s="65">
        <f t="shared" ca="1" si="465"/>
        <v>82</v>
      </c>
      <c r="BX186" s="15" t="str">
        <f t="shared" ca="1" si="466"/>
        <v>POR VENCER</v>
      </c>
      <c r="BY186" s="13">
        <v>45063</v>
      </c>
      <c r="BZ186" s="14">
        <v>45730</v>
      </c>
      <c r="CA186" s="14">
        <f t="shared" si="619"/>
        <v>46459</v>
      </c>
      <c r="CB186" s="65">
        <f t="shared" ca="1" si="467"/>
        <v>328</v>
      </c>
      <c r="CC186" s="15" t="str">
        <f t="shared" ca="1" si="468"/>
        <v>VIGENTE</v>
      </c>
      <c r="CD186" s="16" t="s">
        <v>108</v>
      </c>
      <c r="CE186" s="14">
        <v>45261</v>
      </c>
      <c r="CF186" s="14">
        <v>45262</v>
      </c>
      <c r="CG186" s="14">
        <f t="shared" si="580"/>
        <v>46723</v>
      </c>
      <c r="CH186" s="65">
        <f t="shared" ca="1" si="581"/>
        <v>592</v>
      </c>
      <c r="CI186" s="15" t="str">
        <f t="shared" ca="1" si="562"/>
        <v>VIGENTE</v>
      </c>
      <c r="CJ186" s="14">
        <v>44908</v>
      </c>
      <c r="CK186" s="14">
        <v>45500</v>
      </c>
      <c r="CL186" s="14">
        <f t="shared" si="620"/>
        <v>46229</v>
      </c>
      <c r="CM186" s="65">
        <f t="shared" ca="1" si="469"/>
        <v>98</v>
      </c>
      <c r="CN186" s="15" t="str">
        <f t="shared" ca="1" si="470"/>
        <v>VIGENTE</v>
      </c>
      <c r="CO186" s="13">
        <v>44909</v>
      </c>
      <c r="CP186" s="14">
        <v>45481</v>
      </c>
      <c r="CQ186" s="14">
        <f t="shared" si="621"/>
        <v>46210</v>
      </c>
      <c r="CR186" s="65">
        <f t="shared" ca="1" si="471"/>
        <v>79</v>
      </c>
      <c r="CS186" s="15" t="str">
        <f t="shared" ca="1" si="472"/>
        <v>POR VENCER</v>
      </c>
      <c r="CT186" s="13">
        <v>44967</v>
      </c>
      <c r="CU186" s="14">
        <v>45639</v>
      </c>
      <c r="CV186" s="14">
        <f t="shared" si="622"/>
        <v>46368</v>
      </c>
      <c r="CW186" s="65">
        <f t="shared" ca="1" si="473"/>
        <v>237</v>
      </c>
      <c r="CX186" s="15" t="str">
        <f t="shared" ca="1" si="474"/>
        <v>VIGENTE</v>
      </c>
      <c r="CY186" s="13">
        <v>44995</v>
      </c>
      <c r="CZ186" s="14">
        <v>45681</v>
      </c>
      <c r="DA186" s="14">
        <f t="shared" si="623"/>
        <v>46410</v>
      </c>
      <c r="DB186" s="65">
        <f t="shared" ca="1" si="475"/>
        <v>279</v>
      </c>
      <c r="DC186" s="15" t="str">
        <f t="shared" ca="1" si="476"/>
        <v>VIGENTE</v>
      </c>
      <c r="DD186" s="13">
        <v>45019</v>
      </c>
      <c r="DE186" s="14">
        <v>45689</v>
      </c>
      <c r="DF186" s="14">
        <f t="shared" si="624"/>
        <v>46418</v>
      </c>
      <c r="DG186" s="65">
        <f t="shared" ca="1" si="477"/>
        <v>287</v>
      </c>
      <c r="DH186" s="15" t="str">
        <f t="shared" ca="1" si="478"/>
        <v>VIGENTE</v>
      </c>
      <c r="DI186" s="13">
        <v>44914</v>
      </c>
      <c r="DJ186" s="14">
        <v>45580</v>
      </c>
      <c r="DK186" s="14">
        <f t="shared" ref="DK186" si="658">DATE(YEAR(DJ186)+2,MONTH(DJ186),DAY(DJ186)-1)</f>
        <v>46309</v>
      </c>
      <c r="DL186" s="65">
        <f t="shared" ca="1" si="479"/>
        <v>178</v>
      </c>
      <c r="DM186" s="15" t="str">
        <f t="shared" ca="1" si="480"/>
        <v>VIGENTE</v>
      </c>
      <c r="DN186" s="13">
        <v>44918</v>
      </c>
      <c r="DO186" s="14">
        <v>45577</v>
      </c>
      <c r="DP186" s="14">
        <f t="shared" si="626"/>
        <v>46306</v>
      </c>
      <c r="DQ186" s="65">
        <f t="shared" ca="1" si="481"/>
        <v>175</v>
      </c>
      <c r="DR186" s="15" t="str">
        <f t="shared" ca="1" si="482"/>
        <v>VIGENTE</v>
      </c>
      <c r="DS186" s="13">
        <v>44935</v>
      </c>
      <c r="DT186" s="14">
        <v>45619</v>
      </c>
      <c r="DU186" s="14">
        <f t="shared" ref="DU186:DU189" si="659">DATE(YEAR(DT186)+2,MONTH(DT186),DAY(DT186)-1)</f>
        <v>46348</v>
      </c>
      <c r="DV186" s="65">
        <f t="shared" ca="1" si="483"/>
        <v>217</v>
      </c>
      <c r="DW186" s="15" t="str">
        <f t="shared" ca="1" si="484"/>
        <v>VIGENTE</v>
      </c>
      <c r="DX186" s="13">
        <v>45007</v>
      </c>
      <c r="DY186" s="14">
        <v>45751</v>
      </c>
      <c r="DZ186" s="14">
        <f t="shared" si="627"/>
        <v>46480</v>
      </c>
      <c r="EA186" s="65">
        <f t="shared" ca="1" si="485"/>
        <v>349</v>
      </c>
      <c r="EB186" s="15" t="str">
        <f t="shared" ca="1" si="486"/>
        <v>VIGENTE</v>
      </c>
      <c r="EC186" s="13">
        <v>44994</v>
      </c>
      <c r="ED186" s="14">
        <v>45768</v>
      </c>
      <c r="EE186" s="14">
        <f t="shared" si="628"/>
        <v>46498</v>
      </c>
      <c r="EF186" s="65">
        <f t="shared" ca="1" si="487"/>
        <v>367</v>
      </c>
      <c r="EG186" s="15" t="str">
        <f t="shared" ca="1" si="488"/>
        <v>VIGENTE</v>
      </c>
      <c r="EH186" s="13">
        <v>44889</v>
      </c>
      <c r="EI186" s="13">
        <v>46105</v>
      </c>
      <c r="EJ186" s="13">
        <v>46106</v>
      </c>
      <c r="EK186" s="13">
        <v>46107</v>
      </c>
      <c r="EL186" s="14">
        <f t="shared" si="546"/>
        <v>46472</v>
      </c>
      <c r="EM186" s="65">
        <f t="shared" ca="1" si="489"/>
        <v>341</v>
      </c>
      <c r="EN186" s="15" t="str">
        <f t="shared" ca="1" si="490"/>
        <v>VIGENTE</v>
      </c>
      <c r="EO186" s="13">
        <v>44993</v>
      </c>
      <c r="EP186" s="14">
        <v>45660</v>
      </c>
      <c r="EQ186" s="14">
        <f t="shared" si="629"/>
        <v>46389</v>
      </c>
      <c r="ER186" s="65">
        <f t="shared" ca="1" si="491"/>
        <v>258</v>
      </c>
      <c r="ES186" s="15" t="str">
        <f t="shared" ca="1" si="492"/>
        <v>VIGENTE</v>
      </c>
      <c r="ET186" s="13">
        <v>44897</v>
      </c>
      <c r="EU186" s="14">
        <v>45524</v>
      </c>
      <c r="EV186" s="14">
        <f t="shared" ref="EV186:EV189" si="660">DATE(YEAR(EU186)+2,MONTH(EU186),DAY(EU186)-1)</f>
        <v>46253</v>
      </c>
      <c r="EW186" s="65">
        <f t="shared" ca="1" si="493"/>
        <v>122</v>
      </c>
      <c r="EX186" s="15" t="str">
        <f t="shared" ca="1" si="494"/>
        <v>VIGENTE</v>
      </c>
      <c r="EY186" s="13">
        <v>45068</v>
      </c>
      <c r="EZ186" s="14">
        <v>45694</v>
      </c>
      <c r="FA186" s="14">
        <f t="shared" ref="FA186" si="661">DATE(YEAR(EZ186)+2,MONTH(EZ186),DAY(EZ186)-1)</f>
        <v>46423</v>
      </c>
      <c r="FB186" s="65">
        <f t="shared" ca="1" si="495"/>
        <v>292</v>
      </c>
      <c r="FC186" s="15" t="str">
        <f t="shared" ca="1" si="496"/>
        <v>VIGENTE</v>
      </c>
      <c r="FD186" s="13">
        <v>44936</v>
      </c>
      <c r="FE186" s="14">
        <v>45611</v>
      </c>
      <c r="FF186" s="14">
        <f t="shared" ref="FF186:FF189" si="662">DATE(YEAR(FE186)+2,MONTH(FE186),DAY(FE186)-1)</f>
        <v>46340</v>
      </c>
      <c r="FG186" s="65">
        <f t="shared" ca="1" si="497"/>
        <v>209</v>
      </c>
      <c r="FH186" s="15" t="str">
        <f t="shared" ca="1" si="498"/>
        <v>VIGENTE</v>
      </c>
      <c r="FI186" s="13">
        <v>45006</v>
      </c>
      <c r="FJ186" s="14">
        <v>45668</v>
      </c>
      <c r="FK186" s="14">
        <f t="shared" si="632"/>
        <v>46397</v>
      </c>
      <c r="FL186" s="65">
        <f t="shared" ca="1" si="499"/>
        <v>266</v>
      </c>
      <c r="FM186" s="15" t="str">
        <f t="shared" ca="1" si="500"/>
        <v>VIGENTE</v>
      </c>
      <c r="FN186" s="13">
        <v>44905</v>
      </c>
      <c r="FO186" s="14">
        <v>45530</v>
      </c>
      <c r="FP186" s="14">
        <f t="shared" ref="FP186:FP189" si="663">DATE(YEAR(FO186)+2,MONTH(FO186),DAY(FO186)-1)</f>
        <v>46259</v>
      </c>
      <c r="FQ186" s="65">
        <f t="shared" ca="1" si="501"/>
        <v>128</v>
      </c>
      <c r="FR186" s="15" t="str">
        <f t="shared" ca="1" si="502"/>
        <v>VIGENTE</v>
      </c>
      <c r="FS186" s="13">
        <v>44925</v>
      </c>
      <c r="FT186" s="14">
        <v>45605</v>
      </c>
      <c r="FU186" s="14">
        <f t="shared" si="634"/>
        <v>46334</v>
      </c>
      <c r="FV186" s="65">
        <f t="shared" ca="1" si="503"/>
        <v>203</v>
      </c>
      <c r="FW186" s="15" t="str">
        <f t="shared" ca="1" si="504"/>
        <v>VIGENTE</v>
      </c>
      <c r="FX186" s="13">
        <v>44916</v>
      </c>
      <c r="FY186" s="14">
        <v>45581</v>
      </c>
      <c r="FZ186" s="14">
        <f t="shared" si="635"/>
        <v>46310</v>
      </c>
      <c r="GA186" s="65">
        <f t="shared" ca="1" si="505"/>
        <v>179</v>
      </c>
      <c r="GB186" s="15" t="str">
        <f t="shared" ca="1" si="506"/>
        <v>VIGENTE</v>
      </c>
      <c r="GC186" s="13">
        <v>44922</v>
      </c>
      <c r="GD186" s="14">
        <v>45595</v>
      </c>
      <c r="GE186" s="14">
        <f t="shared" si="636"/>
        <v>46324</v>
      </c>
      <c r="GF186" s="65">
        <f t="shared" ca="1" si="507"/>
        <v>193</v>
      </c>
      <c r="GG186" s="15" t="str">
        <f t="shared" ca="1" si="508"/>
        <v>VIGENTE</v>
      </c>
      <c r="GH186" s="13">
        <v>44918</v>
      </c>
      <c r="GI186" s="14">
        <v>45579</v>
      </c>
      <c r="GJ186" s="14">
        <f t="shared" si="637"/>
        <v>46308</v>
      </c>
      <c r="GK186" s="65">
        <f t="shared" ca="1" si="509"/>
        <v>177</v>
      </c>
      <c r="GL186" s="15" t="str">
        <f t="shared" ca="1" si="510"/>
        <v>VIGENTE</v>
      </c>
      <c r="GM186" s="13">
        <v>44915</v>
      </c>
      <c r="GN186" s="14">
        <v>45557</v>
      </c>
      <c r="GO186" s="14">
        <f t="shared" si="638"/>
        <v>46286</v>
      </c>
      <c r="GP186" s="65">
        <f t="shared" ca="1" si="511"/>
        <v>155</v>
      </c>
      <c r="GQ186" s="15" t="str">
        <f t="shared" ca="1" si="512"/>
        <v>VIGENTE</v>
      </c>
      <c r="GR186" s="14"/>
      <c r="GS186" s="14">
        <v>44912</v>
      </c>
      <c r="GT186" s="14">
        <f t="shared" si="513"/>
        <v>46738</v>
      </c>
      <c r="GU186" s="65">
        <f t="shared" ca="1" si="591"/>
        <v>607</v>
      </c>
      <c r="GV186" s="15" t="str">
        <f t="shared" ca="1" si="601"/>
        <v>VIGENTE</v>
      </c>
      <c r="GW186" s="13"/>
      <c r="GX186" s="14">
        <v>44910</v>
      </c>
      <c r="GY186" s="14">
        <f t="shared" si="514"/>
        <v>46736</v>
      </c>
      <c r="GZ186" s="65">
        <f t="shared" ca="1" si="515"/>
        <v>605</v>
      </c>
      <c r="HA186" s="15" t="str">
        <f t="shared" ca="1" si="602"/>
        <v>VIGENTE</v>
      </c>
      <c r="HB186" s="12"/>
      <c r="HC186" s="14">
        <v>44911</v>
      </c>
      <c r="HD186" s="14">
        <f t="shared" si="516"/>
        <v>46737</v>
      </c>
      <c r="HE186" s="65">
        <f t="shared" ca="1" si="517"/>
        <v>606</v>
      </c>
      <c r="HF186" s="15" t="str">
        <f t="shared" ca="1" si="603"/>
        <v>VIGENTE</v>
      </c>
      <c r="HG186" s="16"/>
      <c r="HH186" s="14">
        <v>45020</v>
      </c>
      <c r="HI186" s="14">
        <f t="shared" si="639"/>
        <v>46847</v>
      </c>
      <c r="HJ186" s="65">
        <f t="shared" ca="1" si="607"/>
        <v>716</v>
      </c>
      <c r="HK186" s="15" t="str">
        <f t="shared" ca="1" si="604"/>
        <v>VIGENTE</v>
      </c>
      <c r="HL186" s="12"/>
      <c r="HM186" s="16"/>
      <c r="HN186" s="14"/>
      <c r="HO186" s="65"/>
      <c r="HP186" s="15" t="str">
        <f t="shared" si="437"/>
        <v>NO APLICA</v>
      </c>
      <c r="HQ186" s="12"/>
      <c r="HR186" s="12"/>
      <c r="HS186" s="14"/>
      <c r="HT186" s="12"/>
      <c r="HU186" s="15" t="str">
        <f t="shared" si="518"/>
        <v>NO APLICA</v>
      </c>
      <c r="HV186" s="12"/>
      <c r="HW186" s="14">
        <v>44990</v>
      </c>
      <c r="HX186" s="14">
        <f>DATE(YEAR(HW186)+5,MONTH(HW186),DAY(HW186))</f>
        <v>46817</v>
      </c>
      <c r="HY186" s="65">
        <f ca="1">HX186-TODAY()</f>
        <v>686</v>
      </c>
      <c r="HZ186" s="15" t="str">
        <f ca="1">IF(HY186&gt;=61,"VIGENTE",IF(HY186&gt;=1,"POR VENCER",IF(HY186&lt;=-1,"VENCIDA",IF(HW186=0,"NO APLICA"))))</f>
        <v>VIGENTE</v>
      </c>
      <c r="IA186" s="12"/>
      <c r="IB186" s="14">
        <v>44978</v>
      </c>
      <c r="IC186" s="14">
        <f>DATE(YEAR(IB186)+5,MONTH(IB186),DAY(IB186))</f>
        <v>46804</v>
      </c>
      <c r="ID186" s="65">
        <f ca="1">IC186-TODAY()</f>
        <v>673</v>
      </c>
      <c r="IE186" s="15" t="str">
        <f ca="1">IF(ID186&gt;=61,"VIGENTE",IF(ID186&gt;=1,"POR VENCER",IF(ID186&lt;=-1,"VENCIDA",IF(IB186=0,"NO APLICA"))))</f>
        <v>VIGENTE</v>
      </c>
      <c r="IF186" s="12"/>
      <c r="IG186" s="14">
        <v>44972</v>
      </c>
      <c r="IH186" s="14">
        <f>DATE(YEAR(IG186)+5,MONTH(IG186),DAY(IG186))</f>
        <v>46798</v>
      </c>
      <c r="II186" s="65">
        <f ca="1">IH186-TODAY()</f>
        <v>667</v>
      </c>
      <c r="IJ186" s="15" t="str">
        <f ca="1">IF(II186&gt;=61,"VIGENTE",IF(II186&gt;=1,"POR VENCER",IF(II186&lt;=-1,"VENCIDA",IF(IG186=0,"NO APLICA"))))</f>
        <v>VIGENTE</v>
      </c>
      <c r="IK186" s="16"/>
      <c r="IL186" s="14">
        <v>45058</v>
      </c>
      <c r="IM186" s="14">
        <f>DATE(YEAR(IL186)+5,MONTH(IL186),DAY(IL186))</f>
        <v>46885</v>
      </c>
      <c r="IN186" s="65">
        <f ca="1">IM186-TODAY()</f>
        <v>754</v>
      </c>
      <c r="IO186" s="15" t="str">
        <f ca="1">IF(IN186&gt;=61,"VIGENTE",IF(IN186&gt;=1,"POR VENCER",IF(IN186&lt;=-1,"VENCIDA",IF(IL186=0,"NO APLICA"))))</f>
        <v>VIGENTE</v>
      </c>
      <c r="IP186" s="12"/>
      <c r="IQ186" s="14">
        <v>45064</v>
      </c>
      <c r="IR186" s="14">
        <f>DATE(YEAR(IQ186)+5,MONTH(IQ186),DAY(IQ186))</f>
        <v>46891</v>
      </c>
      <c r="IS186" s="65">
        <f ca="1">IR186-TODAY()</f>
        <v>760</v>
      </c>
      <c r="IT186" s="15" t="str">
        <f ca="1">IF(IS186&gt;=61,"VIGENTE",IF(IS186&gt;=1,"POR VENCER",IF(IS186&lt;=-1,"VENCIDA",IF(IQ186=0,"NO APLICA"))))</f>
        <v>VIGENTE</v>
      </c>
      <c r="IU186" s="12"/>
      <c r="IV186" s="14">
        <v>45013</v>
      </c>
      <c r="IW186" s="14">
        <f t="shared" si="640"/>
        <v>46840</v>
      </c>
      <c r="IX186" s="65">
        <f t="shared" ca="1" si="608"/>
        <v>709</v>
      </c>
      <c r="IY186" s="15" t="str">
        <f t="shared" ca="1" si="524"/>
        <v>VIGENTE</v>
      </c>
      <c r="IZ186" s="12"/>
      <c r="JA186" s="14">
        <v>44973</v>
      </c>
      <c r="JB186" s="14">
        <f t="shared" si="641"/>
        <v>46799</v>
      </c>
      <c r="JC186" s="65">
        <f t="shared" ca="1" si="609"/>
        <v>668</v>
      </c>
      <c r="JD186" s="15" t="str">
        <f t="shared" ca="1" si="525"/>
        <v>VIGENTE</v>
      </c>
      <c r="JE186" s="13"/>
      <c r="JF186" s="13"/>
      <c r="JG186" s="14"/>
      <c r="JH186" s="65"/>
      <c r="JI186" s="15" t="str">
        <f t="shared" si="526"/>
        <v>NO APLICA</v>
      </c>
      <c r="JJ186" s="16"/>
      <c r="JK186" s="16"/>
      <c r="JL186" s="16"/>
      <c r="JM186" s="15" t="str">
        <f t="shared" si="527"/>
        <v>NO APLICA</v>
      </c>
      <c r="JN186" s="16"/>
      <c r="JO186" s="16"/>
      <c r="JP186" s="16"/>
      <c r="JQ186" s="15" t="str">
        <f t="shared" si="528"/>
        <v>NO APLICA</v>
      </c>
      <c r="JR186" s="16"/>
      <c r="JS186" s="16"/>
      <c r="JT186" s="16"/>
      <c r="JU186" s="16"/>
      <c r="JV186" s="15" t="str">
        <f t="shared" si="529"/>
        <v>NO APLICA</v>
      </c>
      <c r="JW186" s="15"/>
      <c r="JX186" s="15"/>
      <c r="JY186" s="15"/>
      <c r="JZ186" s="15"/>
      <c r="KA186" s="15" t="str">
        <f t="shared" si="530"/>
        <v>NO APLICA</v>
      </c>
      <c r="KB186" s="12"/>
      <c r="KC186" s="14"/>
      <c r="KD186" s="65"/>
      <c r="KE186" s="15" t="str">
        <f t="shared" si="531"/>
        <v>NO APLICA</v>
      </c>
      <c r="KF186" s="12"/>
      <c r="KG186" s="14"/>
      <c r="KH186" s="65"/>
      <c r="KI186" s="15" t="str">
        <f t="shared" si="547"/>
        <v>NO APLICA</v>
      </c>
      <c r="KJ186" s="12"/>
      <c r="KK186" s="14"/>
      <c r="KL186" s="65"/>
      <c r="KM186" s="15" t="str">
        <f t="shared" si="532"/>
        <v>NO APLICA</v>
      </c>
      <c r="KN186" s="12"/>
      <c r="KO186" s="14"/>
      <c r="KP186" s="65"/>
      <c r="KQ186" s="15" t="str">
        <f t="shared" si="548"/>
        <v>NO APLICA</v>
      </c>
      <c r="KR186" s="12"/>
      <c r="KS186" s="16"/>
      <c r="KT186" s="14"/>
      <c r="KU186" s="65"/>
      <c r="KV186" s="15" t="str">
        <f t="shared" si="554"/>
        <v>NO APLICA</v>
      </c>
      <c r="KW186" s="16"/>
      <c r="KX186" s="14"/>
      <c r="KY186" s="65"/>
      <c r="KZ186" s="15" t="str">
        <f t="shared" si="549"/>
        <v>NO APLICA</v>
      </c>
      <c r="LA186" s="16"/>
      <c r="LB186" s="14">
        <v>45615</v>
      </c>
      <c r="LC186" s="14">
        <f t="shared" ref="LC186" si="664">DATE(YEAR(LB186)+2,MONTH(LB186),DAY(LB186))</f>
        <v>46345</v>
      </c>
      <c r="LD186" s="65">
        <f ca="1">LC186-TODAY()</f>
        <v>214</v>
      </c>
      <c r="LE186" s="15" t="str">
        <f ca="1">IF(LD186&gt;=61,"VIGENTE",IF(LD186&gt;=1,"POR VENCER",IF(LD186&lt;=-1,"VENCIDA",IF(LB186=0,"NO APLICA"))))</f>
        <v>VIGENTE</v>
      </c>
      <c r="LF186" s="15"/>
      <c r="LG186" s="15"/>
      <c r="LH186" s="15"/>
      <c r="LI186" s="15"/>
      <c r="LJ186" s="15" t="str">
        <f t="shared" si="555"/>
        <v>NO APLICA</v>
      </c>
      <c r="LK186" s="12"/>
      <c r="LL186" s="16"/>
      <c r="LM186" s="14"/>
      <c r="LN186" s="65"/>
      <c r="LO186" s="15" t="str">
        <f t="shared" si="550"/>
        <v>NO APLICA</v>
      </c>
      <c r="LP186" s="16"/>
      <c r="LQ186" s="16"/>
      <c r="LR186" s="14"/>
      <c r="LS186" s="65"/>
      <c r="LT186" s="15" t="str">
        <f t="shared" si="551"/>
        <v>NO APLICA</v>
      </c>
      <c r="LU186" s="16"/>
      <c r="LV186" s="16"/>
      <c r="LW186" s="14"/>
      <c r="LX186" s="65"/>
      <c r="LY186" s="15" t="str">
        <f t="shared" si="552"/>
        <v>NO APLICA</v>
      </c>
      <c r="LZ186" s="12"/>
      <c r="MA186" s="12"/>
      <c r="MB186" s="14"/>
      <c r="MC186" s="65"/>
      <c r="MD186" s="15" t="str">
        <f t="shared" si="534"/>
        <v>NO APLICA</v>
      </c>
      <c r="ME186" s="12"/>
      <c r="MF186" s="12"/>
      <c r="MG186" s="14"/>
      <c r="MH186" s="65"/>
      <c r="MI186" s="15" t="str">
        <f t="shared" si="535"/>
        <v>NO APLICA</v>
      </c>
      <c r="MJ186" s="12"/>
      <c r="MK186" s="14"/>
      <c r="ML186" s="65"/>
      <c r="MM186" s="15" t="str">
        <f t="shared" si="536"/>
        <v>NO APLICA</v>
      </c>
      <c r="MN186" s="12"/>
      <c r="MO186" s="14"/>
      <c r="MP186" s="12"/>
      <c r="MQ186" s="15" t="str">
        <f t="shared" si="537"/>
        <v>NO APLICA</v>
      </c>
      <c r="MR186" s="12"/>
      <c r="MS186" s="16"/>
      <c r="MT186" s="14"/>
      <c r="MU186" s="65"/>
      <c r="MV186" s="15" t="str">
        <f t="shared" si="538"/>
        <v>NO APLICA</v>
      </c>
      <c r="MW186" s="12"/>
      <c r="MX186" s="16"/>
      <c r="MY186" s="14"/>
      <c r="MZ186" s="65"/>
      <c r="NA186" s="15" t="str">
        <f t="shared" si="539"/>
        <v>NO APLICA</v>
      </c>
      <c r="NB186" s="12"/>
      <c r="NC186" s="16"/>
      <c r="ND186" s="14"/>
      <c r="NE186" s="65"/>
      <c r="NF186" s="15" t="str">
        <f t="shared" si="540"/>
        <v>NO APLICA</v>
      </c>
      <c r="NG186" s="12"/>
      <c r="NH186" s="12"/>
      <c r="NI186" s="14"/>
      <c r="NJ186" s="12"/>
      <c r="NK186" s="15" t="str">
        <f t="shared" si="541"/>
        <v>NO APLICA</v>
      </c>
      <c r="NL186" s="12"/>
      <c r="NM186" s="12"/>
      <c r="NN186" s="14"/>
      <c r="NO186" s="12"/>
      <c r="NP186" s="15" t="str">
        <f t="shared" si="542"/>
        <v>NO APLICA</v>
      </c>
      <c r="NQ186" s="16"/>
      <c r="NR186" s="16"/>
      <c r="NS186" s="14"/>
      <c r="NT186" s="65"/>
      <c r="NU186" s="15" t="str">
        <f t="shared" si="543"/>
        <v>NO APLICA</v>
      </c>
      <c r="NV186" s="16"/>
      <c r="NW186" s="16"/>
      <c r="NX186" s="16"/>
      <c r="NY186" s="16"/>
      <c r="NZ186" s="15" t="str">
        <f t="shared" si="544"/>
        <v>NO APLICA</v>
      </c>
    </row>
    <row r="187" spans="1:390" ht="15.6" thickTop="1" thickBot="1" x14ac:dyDescent="0.35">
      <c r="A187" s="9">
        <v>1424</v>
      </c>
      <c r="B187" s="10" t="s">
        <v>656</v>
      </c>
      <c r="C187" s="21" t="s">
        <v>104</v>
      </c>
      <c r="D187" s="64" t="s">
        <v>110</v>
      </c>
      <c r="E187" s="15"/>
      <c r="F187" s="16"/>
      <c r="G187" s="14"/>
      <c r="H187" s="65"/>
      <c r="I187" s="15" t="str">
        <f t="shared" si="448"/>
        <v>NO APLICA</v>
      </c>
      <c r="J187" s="15"/>
      <c r="K187" s="16"/>
      <c r="L187" s="16"/>
      <c r="M187" s="65"/>
      <c r="N187" s="15" t="str">
        <f t="shared" si="449"/>
        <v>NO APLICA</v>
      </c>
      <c r="O187" s="16"/>
      <c r="P187" s="16"/>
      <c r="Q187" s="14"/>
      <c r="R187" s="65"/>
      <c r="S187" s="15" t="str">
        <f t="shared" si="545"/>
        <v>NO APLICA</v>
      </c>
      <c r="T187" s="12" t="s">
        <v>657</v>
      </c>
      <c r="U187" s="14">
        <v>45336</v>
      </c>
      <c r="V187" s="14">
        <v>45337</v>
      </c>
      <c r="W187" s="14">
        <f t="shared" si="577"/>
        <v>47164</v>
      </c>
      <c r="X187" s="65">
        <f t="shared" ca="1" si="578"/>
        <v>1033</v>
      </c>
      <c r="Y187" s="15" t="str">
        <f t="shared" ca="1" si="595"/>
        <v>VIGENTE</v>
      </c>
      <c r="Z187" s="12" t="s">
        <v>658</v>
      </c>
      <c r="AA187" s="14">
        <v>44823</v>
      </c>
      <c r="AB187" s="14">
        <v>44824</v>
      </c>
      <c r="AC187" s="14">
        <f t="shared" si="610"/>
        <v>46650</v>
      </c>
      <c r="AD187" s="65">
        <f t="shared" ca="1" si="605"/>
        <v>519</v>
      </c>
      <c r="AE187" s="15" t="str">
        <f t="shared" ca="1" si="598"/>
        <v>VIGENTE</v>
      </c>
      <c r="AF187" s="13">
        <v>44949</v>
      </c>
      <c r="AG187" s="14">
        <v>45609</v>
      </c>
      <c r="AH187" s="14">
        <f t="shared" si="611"/>
        <v>46338</v>
      </c>
      <c r="AI187" s="65">
        <f t="shared" ca="1" si="450"/>
        <v>207</v>
      </c>
      <c r="AJ187" s="15" t="str">
        <f t="shared" ca="1" si="592"/>
        <v>VIGENTE</v>
      </c>
      <c r="AK187" s="13">
        <v>45269</v>
      </c>
      <c r="AL187" s="14">
        <v>45926</v>
      </c>
      <c r="AM187" s="14">
        <f t="shared" ref="AM187:AM190" si="665">DATE(YEAR(AL187)+2,MONTH(AL187),DAY(AL187))</f>
        <v>46656</v>
      </c>
      <c r="AN187" s="65">
        <f t="shared" ca="1" si="451"/>
        <v>525</v>
      </c>
      <c r="AO187" s="15" t="str">
        <f t="shared" ca="1" si="452"/>
        <v>VIGENTE</v>
      </c>
      <c r="AP187" s="13">
        <v>45258</v>
      </c>
      <c r="AQ187" s="14">
        <v>45904</v>
      </c>
      <c r="AR187" s="14">
        <f t="shared" ref="AR187:AR190" si="666">DATE(YEAR(AQ187)+2,MONTH(AQ187),DAY(AQ187))</f>
        <v>46634</v>
      </c>
      <c r="AS187" s="65">
        <f t="shared" ca="1" si="453"/>
        <v>503</v>
      </c>
      <c r="AT187" s="15" t="str">
        <f t="shared" ca="1" si="454"/>
        <v>VIGENTE</v>
      </c>
      <c r="AU187" s="13">
        <v>45235</v>
      </c>
      <c r="AV187" s="14">
        <v>45927</v>
      </c>
      <c r="AW187" s="14">
        <f>DATE(YEAR(AV187)+2,MONTH(AV187),DAY(AV187))</f>
        <v>46657</v>
      </c>
      <c r="AX187" s="65">
        <f t="shared" ca="1" si="455"/>
        <v>526</v>
      </c>
      <c r="AY187" s="15" t="str">
        <f t="shared" ca="1" si="456"/>
        <v>VIGENTE</v>
      </c>
      <c r="AZ187" s="13">
        <v>45237</v>
      </c>
      <c r="BA187" s="14">
        <v>45901</v>
      </c>
      <c r="BB187" s="14">
        <f t="shared" ref="BB187:BB188" si="667">DATE(YEAR(BA187)+2,MONTH(BA187),DAY(BA187))</f>
        <v>46631</v>
      </c>
      <c r="BC187" s="65">
        <f t="shared" ca="1" si="457"/>
        <v>500</v>
      </c>
      <c r="BD187" s="15" t="str">
        <f t="shared" ca="1" si="458"/>
        <v>VIGENTE</v>
      </c>
      <c r="BE187" s="13">
        <v>45310</v>
      </c>
      <c r="BF187" s="14">
        <v>45968</v>
      </c>
      <c r="BG187" s="14">
        <f>DATE(YEAR(BF187)+2,MONTH(BF187),DAY(BF187))</f>
        <v>46698</v>
      </c>
      <c r="BH187" s="65">
        <f t="shared" ca="1" si="459"/>
        <v>567</v>
      </c>
      <c r="BI187" s="15" t="str">
        <f t="shared" ca="1" si="460"/>
        <v>VIGENTE</v>
      </c>
      <c r="BJ187" s="13">
        <v>45389</v>
      </c>
      <c r="BK187" s="14">
        <v>46035</v>
      </c>
      <c r="BL187" s="14">
        <f t="shared" ref="BL187:BL190" si="668">DATE(YEAR(BK187)+2,MONTH(BK187),DAY(BK187))</f>
        <v>46765</v>
      </c>
      <c r="BM187" s="65">
        <f t="shared" ca="1" si="461"/>
        <v>634</v>
      </c>
      <c r="BN187" s="15" t="str">
        <f t="shared" ca="1" si="462"/>
        <v>VIGENTE</v>
      </c>
      <c r="BO187" s="13">
        <v>44743</v>
      </c>
      <c r="BP187" s="14">
        <v>45447</v>
      </c>
      <c r="BQ187" s="14">
        <f>DATE(YEAR(BP187)+2,MONTH(BP187),DAY(BP187)-1)</f>
        <v>46176</v>
      </c>
      <c r="BR187" s="65">
        <f t="shared" ca="1" si="463"/>
        <v>45</v>
      </c>
      <c r="BS187" s="15" t="str">
        <f t="shared" ca="1" si="464"/>
        <v>POR VENCER</v>
      </c>
      <c r="BT187" s="13">
        <v>44809</v>
      </c>
      <c r="BU187" s="14">
        <v>45449</v>
      </c>
      <c r="BV187" s="14">
        <f t="shared" si="618"/>
        <v>46178</v>
      </c>
      <c r="BW187" s="65">
        <f t="shared" ca="1" si="465"/>
        <v>47</v>
      </c>
      <c r="BX187" s="15" t="str">
        <f t="shared" ca="1" si="466"/>
        <v>POR VENCER</v>
      </c>
      <c r="BY187" s="13">
        <v>45218</v>
      </c>
      <c r="BZ187" s="13">
        <v>45894</v>
      </c>
      <c r="CA187" s="14">
        <f t="shared" ref="CA187:CA190" si="669">DATE(YEAR(BZ187)+2,MONTH(BZ187),DAY(BZ187))</f>
        <v>46624</v>
      </c>
      <c r="CB187" s="65">
        <f t="shared" ca="1" si="467"/>
        <v>493</v>
      </c>
      <c r="CC187" s="15" t="str">
        <f t="shared" ca="1" si="468"/>
        <v>VIGENTE</v>
      </c>
      <c r="CD187" s="16" t="s">
        <v>108</v>
      </c>
      <c r="CE187" s="14">
        <v>45226</v>
      </c>
      <c r="CF187" s="14">
        <v>45227</v>
      </c>
      <c r="CG187" s="14">
        <f t="shared" si="580"/>
        <v>46688</v>
      </c>
      <c r="CH187" s="65">
        <f t="shared" ca="1" si="581"/>
        <v>557</v>
      </c>
      <c r="CI187" s="15" t="str">
        <f t="shared" ca="1" si="562"/>
        <v>VIGENTE</v>
      </c>
      <c r="CJ187" s="14">
        <v>44588</v>
      </c>
      <c r="CK187" s="14">
        <v>45929</v>
      </c>
      <c r="CL187" s="14">
        <f>DATE(YEAR(CK187)+2,MONTH(CK187),DAY(CK187))</f>
        <v>46659</v>
      </c>
      <c r="CM187" s="65">
        <f t="shared" ca="1" si="469"/>
        <v>528</v>
      </c>
      <c r="CN187" s="15" t="str">
        <f t="shared" ca="1" si="470"/>
        <v>VIGENTE</v>
      </c>
      <c r="CO187" s="13">
        <v>45246</v>
      </c>
      <c r="CP187" s="14">
        <v>45898</v>
      </c>
      <c r="CQ187" s="14">
        <f t="shared" ref="CQ187:CQ188" si="670">DATE(YEAR(CP187)+2,MONTH(CP187),DAY(CP187))</f>
        <v>46628</v>
      </c>
      <c r="CR187" s="65">
        <f t="shared" ca="1" si="471"/>
        <v>497</v>
      </c>
      <c r="CS187" s="15" t="str">
        <f t="shared" ca="1" si="472"/>
        <v>VIGENTE</v>
      </c>
      <c r="CT187" s="13">
        <v>44967</v>
      </c>
      <c r="CU187" s="14">
        <v>45631</v>
      </c>
      <c r="CV187" s="14">
        <f t="shared" si="622"/>
        <v>46360</v>
      </c>
      <c r="CW187" s="65">
        <f t="shared" ca="1" si="473"/>
        <v>229</v>
      </c>
      <c r="CX187" s="15" t="str">
        <f t="shared" ca="1" si="474"/>
        <v>VIGENTE</v>
      </c>
      <c r="CY187" s="13">
        <v>44995</v>
      </c>
      <c r="CZ187" s="14">
        <v>45665</v>
      </c>
      <c r="DA187" s="14">
        <f t="shared" si="623"/>
        <v>46394</v>
      </c>
      <c r="DB187" s="65">
        <f t="shared" ca="1" si="475"/>
        <v>263</v>
      </c>
      <c r="DC187" s="15" t="str">
        <f t="shared" ca="1" si="476"/>
        <v>VIGENTE</v>
      </c>
      <c r="DD187" s="13">
        <v>45026</v>
      </c>
      <c r="DE187" s="14">
        <v>45689</v>
      </c>
      <c r="DF187" s="14">
        <f t="shared" si="624"/>
        <v>46418</v>
      </c>
      <c r="DG187" s="65">
        <f t="shared" ca="1" si="477"/>
        <v>287</v>
      </c>
      <c r="DH187" s="15" t="str">
        <f t="shared" ca="1" si="478"/>
        <v>VIGENTE</v>
      </c>
      <c r="DI187" s="13">
        <v>45251</v>
      </c>
      <c r="DJ187" s="14">
        <v>45899</v>
      </c>
      <c r="DK187" s="14">
        <f t="shared" ref="DK187:DK190" si="671">DATE(YEAR(DJ187)+2,MONTH(DJ187),DAY(DJ187))</f>
        <v>46629</v>
      </c>
      <c r="DL187" s="65">
        <f t="shared" ca="1" si="479"/>
        <v>498</v>
      </c>
      <c r="DM187" s="15" t="str">
        <f t="shared" ca="1" si="480"/>
        <v>VIGENTE</v>
      </c>
      <c r="DN187" s="13">
        <v>45316</v>
      </c>
      <c r="DO187" s="14">
        <v>45982</v>
      </c>
      <c r="DP187" s="14">
        <f t="shared" ref="DP187:DP190" si="672">DATE(YEAR(DO187)+2,MONTH(DO187),DAY(DO187))</f>
        <v>46712</v>
      </c>
      <c r="DQ187" s="65">
        <f t="shared" ca="1" si="481"/>
        <v>581</v>
      </c>
      <c r="DR187" s="15" t="str">
        <f t="shared" ca="1" si="482"/>
        <v>VIGENTE</v>
      </c>
      <c r="DS187" s="13">
        <v>45250</v>
      </c>
      <c r="DT187" s="14">
        <v>45918</v>
      </c>
      <c r="DU187" s="14">
        <f>DATE(YEAR(DT187)+2,MONTH(DT187),DAY(DT187))</f>
        <v>46648</v>
      </c>
      <c r="DV187" s="65">
        <f t="shared" ca="1" si="483"/>
        <v>517</v>
      </c>
      <c r="DW187" s="15" t="str">
        <f t="shared" ca="1" si="484"/>
        <v>VIGENTE</v>
      </c>
      <c r="DX187" s="13">
        <v>45254</v>
      </c>
      <c r="DY187" s="14">
        <v>45915</v>
      </c>
      <c r="DZ187" s="14">
        <f t="shared" ref="DZ187:DZ188" si="673">DATE(YEAR(DY187)+2,MONTH(DY187),DAY(DY187))</f>
        <v>46645</v>
      </c>
      <c r="EA187" s="65">
        <f t="shared" ca="1" si="485"/>
        <v>514</v>
      </c>
      <c r="EB187" s="15" t="str">
        <f t="shared" ca="1" si="486"/>
        <v>VIGENTE</v>
      </c>
      <c r="EC187" s="13">
        <v>45225</v>
      </c>
      <c r="ED187" s="14">
        <v>45883</v>
      </c>
      <c r="EE187" s="14">
        <f t="shared" si="628"/>
        <v>46613</v>
      </c>
      <c r="EF187" s="65">
        <f t="shared" ca="1" si="487"/>
        <v>482</v>
      </c>
      <c r="EG187" s="15" t="str">
        <f t="shared" ca="1" si="488"/>
        <v>VIGENTE</v>
      </c>
      <c r="EH187" s="14">
        <v>44582</v>
      </c>
      <c r="EI187" s="13">
        <v>45946</v>
      </c>
      <c r="EJ187" s="13">
        <v>45947</v>
      </c>
      <c r="EK187" s="14">
        <v>45948</v>
      </c>
      <c r="EL187" s="14">
        <f t="shared" si="546"/>
        <v>46313</v>
      </c>
      <c r="EM187" s="65">
        <f t="shared" ca="1" si="489"/>
        <v>182</v>
      </c>
      <c r="EN187" s="15" t="str">
        <f t="shared" ca="1" si="490"/>
        <v>VIGENTE</v>
      </c>
      <c r="EO187" s="13">
        <v>45346</v>
      </c>
      <c r="EP187" s="14">
        <v>45983</v>
      </c>
      <c r="EQ187" s="14">
        <f t="shared" ref="EQ187:EQ188" si="674">DATE(YEAR(EP187)+2,MONTH(EP187),DAY(EP187))</f>
        <v>46713</v>
      </c>
      <c r="ER187" s="65">
        <f t="shared" ca="1" si="491"/>
        <v>582</v>
      </c>
      <c r="ES187" s="15" t="str">
        <f t="shared" ca="1" si="492"/>
        <v>VIGENTE</v>
      </c>
      <c r="ET187" s="13">
        <v>44635</v>
      </c>
      <c r="EU187" s="14">
        <v>45999</v>
      </c>
      <c r="EV187" s="14">
        <f t="shared" ref="EV187:EV188" si="675">DATE(YEAR(EU187)+2,MONTH(EU187),DAY(EU187))</f>
        <v>46729</v>
      </c>
      <c r="EW187" s="65">
        <f t="shared" ca="1" si="493"/>
        <v>598</v>
      </c>
      <c r="EX187" s="15" t="str">
        <f t="shared" ca="1" si="494"/>
        <v>VIGENTE</v>
      </c>
      <c r="EY187" s="13">
        <v>45219</v>
      </c>
      <c r="EZ187" s="14">
        <v>45917</v>
      </c>
      <c r="FA187" s="14">
        <f t="shared" ref="FA187:FA190" si="676">DATE(YEAR(EZ187)+2,MONTH(EZ187),DAY(EZ187))</f>
        <v>46647</v>
      </c>
      <c r="FB187" s="65">
        <f t="shared" ca="1" si="495"/>
        <v>516</v>
      </c>
      <c r="FC187" s="15" t="str">
        <f t="shared" ca="1" si="496"/>
        <v>VIGENTE</v>
      </c>
      <c r="FD187" s="13">
        <v>45240</v>
      </c>
      <c r="FE187" s="14">
        <v>45922</v>
      </c>
      <c r="FF187" s="14">
        <f t="shared" ref="FF187:FF188" si="677">DATE(YEAR(FE187)+2,MONTH(FE187),DAY(FE187))</f>
        <v>46652</v>
      </c>
      <c r="FG187" s="65">
        <f t="shared" ca="1" si="497"/>
        <v>521</v>
      </c>
      <c r="FH187" s="15" t="str">
        <f t="shared" ca="1" si="498"/>
        <v>VIGENTE</v>
      </c>
      <c r="FI187" s="13">
        <v>45282</v>
      </c>
      <c r="FJ187" s="14">
        <v>45932</v>
      </c>
      <c r="FK187" s="14">
        <f t="shared" ref="FK187:FK190" si="678">DATE(YEAR(FJ187)+2,MONTH(FJ187),DAY(FJ187))</f>
        <v>46662</v>
      </c>
      <c r="FL187" s="65">
        <f t="shared" ca="1" si="499"/>
        <v>531</v>
      </c>
      <c r="FM187" s="15" t="str">
        <f t="shared" ca="1" si="500"/>
        <v>VIGENTE</v>
      </c>
      <c r="FN187" s="13">
        <v>45232</v>
      </c>
      <c r="FO187" s="14">
        <v>45920</v>
      </c>
      <c r="FP187" s="14">
        <f t="shared" ref="FP187:FP188" si="679">DATE(YEAR(FO187)+2,MONTH(FO187),DAY(FO187))</f>
        <v>46650</v>
      </c>
      <c r="FQ187" s="65">
        <f t="shared" ca="1" si="501"/>
        <v>519</v>
      </c>
      <c r="FR187" s="15" t="str">
        <f t="shared" ca="1" si="502"/>
        <v>VIGENTE</v>
      </c>
      <c r="FS187" s="13">
        <v>45279</v>
      </c>
      <c r="FT187" s="14">
        <v>45957</v>
      </c>
      <c r="FU187" s="14">
        <f t="shared" ref="FU187:FU188" si="680">DATE(YEAR(FT187)+2,MONTH(FT187),DAY(FT187))</f>
        <v>46687</v>
      </c>
      <c r="FV187" s="65">
        <f t="shared" ca="1" si="503"/>
        <v>556</v>
      </c>
      <c r="FW187" s="15" t="str">
        <f t="shared" ca="1" si="504"/>
        <v>VIGENTE</v>
      </c>
      <c r="FX187" s="13">
        <v>44600</v>
      </c>
      <c r="FY187" s="14">
        <v>45587</v>
      </c>
      <c r="FZ187" s="14">
        <f t="shared" si="635"/>
        <v>46316</v>
      </c>
      <c r="GA187" s="65">
        <f t="shared" ca="1" si="505"/>
        <v>185</v>
      </c>
      <c r="GB187" s="15" t="str">
        <f t="shared" ca="1" si="506"/>
        <v>VIGENTE</v>
      </c>
      <c r="GC187" s="13">
        <v>45222</v>
      </c>
      <c r="GD187" s="14">
        <v>45925</v>
      </c>
      <c r="GE187" s="14">
        <f>DATE(YEAR(GD187)+2,MONTH(GD187),DAY(GD187))</f>
        <v>46655</v>
      </c>
      <c r="GF187" s="65">
        <f t="shared" ca="1" si="507"/>
        <v>524</v>
      </c>
      <c r="GG187" s="15" t="str">
        <f t="shared" ca="1" si="508"/>
        <v>VIGENTE</v>
      </c>
      <c r="GH187" s="13">
        <v>45252</v>
      </c>
      <c r="GI187" s="14">
        <v>45912</v>
      </c>
      <c r="GJ187" s="14">
        <f t="shared" ref="GJ187:GJ190" si="681">DATE(YEAR(GI187)+2,MONTH(GI187),DAY(GI187))</f>
        <v>46642</v>
      </c>
      <c r="GK187" s="65">
        <f t="shared" ca="1" si="509"/>
        <v>511</v>
      </c>
      <c r="GL187" s="15" t="str">
        <f t="shared" ca="1" si="510"/>
        <v>VIGENTE</v>
      </c>
      <c r="GM187" s="13">
        <v>45247</v>
      </c>
      <c r="GN187" s="14">
        <v>45923</v>
      </c>
      <c r="GO187" s="14">
        <f>DATE(YEAR(GN187)+2,MONTH(GN187),DAY(GN187))</f>
        <v>46653</v>
      </c>
      <c r="GP187" s="65">
        <f t="shared" ca="1" si="511"/>
        <v>522</v>
      </c>
      <c r="GQ187" s="15" t="str">
        <f t="shared" ca="1" si="512"/>
        <v>VIGENTE</v>
      </c>
      <c r="GR187" s="14">
        <v>44571</v>
      </c>
      <c r="GS187" s="14">
        <v>45244</v>
      </c>
      <c r="GT187" s="14">
        <f t="shared" si="513"/>
        <v>47071</v>
      </c>
      <c r="GU187" s="65">
        <f t="shared" ca="1" si="591"/>
        <v>940</v>
      </c>
      <c r="GV187" s="15" t="str">
        <f t="shared" ca="1" si="601"/>
        <v>VIGENTE</v>
      </c>
      <c r="GW187" s="14">
        <v>44573</v>
      </c>
      <c r="GX187" s="14">
        <v>45245</v>
      </c>
      <c r="GY187" s="14">
        <f t="shared" si="514"/>
        <v>47072</v>
      </c>
      <c r="GZ187" s="65">
        <f t="shared" ca="1" si="515"/>
        <v>941</v>
      </c>
      <c r="HA187" s="15" t="str">
        <f t="shared" ca="1" si="602"/>
        <v>VIGENTE</v>
      </c>
      <c r="HB187" s="13">
        <v>44565</v>
      </c>
      <c r="HC187" s="14">
        <v>45249</v>
      </c>
      <c r="HD187" s="14">
        <f t="shared" si="516"/>
        <v>47076</v>
      </c>
      <c r="HE187" s="65">
        <f t="shared" ca="1" si="517"/>
        <v>945</v>
      </c>
      <c r="HF187" s="15" t="str">
        <f t="shared" ca="1" si="603"/>
        <v>VIGENTE</v>
      </c>
      <c r="HG187" s="16"/>
      <c r="HH187" s="14">
        <v>44879</v>
      </c>
      <c r="HI187" s="14">
        <f t="shared" si="639"/>
        <v>46705</v>
      </c>
      <c r="HJ187" s="65">
        <f t="shared" ca="1" si="607"/>
        <v>574</v>
      </c>
      <c r="HK187" s="15" t="str">
        <f t="shared" ca="1" si="604"/>
        <v>VIGENTE</v>
      </c>
      <c r="HL187" s="13">
        <v>44627</v>
      </c>
      <c r="HM187" s="14">
        <v>45370</v>
      </c>
      <c r="HN187" s="14">
        <f>DATE(YEAR(HM187)+5,MONTH(HM187),DAY(HM187))</f>
        <v>47196</v>
      </c>
      <c r="HO187" s="65">
        <f ca="1">HN187-TODAY()</f>
        <v>1065</v>
      </c>
      <c r="HP187" s="15" t="str">
        <f ca="1">IF(HO187&gt;=61,"VIGENTE",IF(HO187&gt;=1,"POR VENCER",IF(HO187&lt;=-1,"VENCIDA",IF(HM187=0,"NO APLICA"))))</f>
        <v>VIGENTE</v>
      </c>
      <c r="HQ187" s="12"/>
      <c r="HR187" s="13">
        <v>45374</v>
      </c>
      <c r="HS187" s="14">
        <f>DATE(YEAR(HR187)+5,MONTH(HR187),DAY(HR187))</f>
        <v>47200</v>
      </c>
      <c r="HT187" s="65">
        <f ca="1">HS187-TODAY()</f>
        <v>1069</v>
      </c>
      <c r="HU187" s="15" t="str">
        <f ca="1">IF(HT187&gt;=61,"VIGENTE",IF(HT187&gt;=1,"POR VENCER",IF(HT187&lt;=-1,"VENCIDA",IF(HR187=0,"NO APLICA"))))</f>
        <v>VIGENTE</v>
      </c>
      <c r="HV187" s="13">
        <v>44561</v>
      </c>
      <c r="HW187" s="14">
        <v>45243</v>
      </c>
      <c r="HX187" s="14">
        <f>DATE(YEAR(HW187)+5,MONTH(HW187),DAY(HW187))</f>
        <v>47070</v>
      </c>
      <c r="HY187" s="65">
        <f ca="1">HX187-TODAY()</f>
        <v>939</v>
      </c>
      <c r="HZ187" s="15" t="str">
        <f ca="1">IF(HY187&gt;=61,"VIGENTE",IF(HY187&gt;=1,"POR VENCER",IF(HY187&lt;=-1,"VENCIDA",IF(HW187=0,"NO APLICA"))))</f>
        <v>VIGENTE</v>
      </c>
      <c r="IA187" s="13">
        <v>44557</v>
      </c>
      <c r="IB187" s="14">
        <v>45234</v>
      </c>
      <c r="IC187" s="14">
        <f>DATE(YEAR(IB187)+5,MONTH(IB187),DAY(IB187))</f>
        <v>47061</v>
      </c>
      <c r="ID187" s="65">
        <f ca="1">IC187-TODAY()</f>
        <v>930</v>
      </c>
      <c r="IE187" s="15" t="str">
        <f ca="1">IF(ID187&gt;=61,"VIGENTE",IF(ID187&gt;=1,"POR VENCER",IF(ID187&lt;=-1,"VENCIDA",IF(IB187=0,"NO APLICA"))))</f>
        <v>VIGENTE</v>
      </c>
      <c r="IF187" s="13">
        <v>44558</v>
      </c>
      <c r="IG187" s="14">
        <v>45236</v>
      </c>
      <c r="IH187" s="14">
        <f>DATE(YEAR(IG187)+5,MONTH(IG187),DAY(IG187))</f>
        <v>47063</v>
      </c>
      <c r="II187" s="65">
        <f ca="1">IH187-TODAY()</f>
        <v>932</v>
      </c>
      <c r="IJ187" s="15" t="str">
        <f ca="1">IF(II187&gt;=61,"VIGENTE",IF(II187&gt;=1,"POR VENCER",IF(II187&lt;=-1,"VENCIDA",IF(IG187=0,"NO APLICA"))))</f>
        <v>VIGENTE</v>
      </c>
      <c r="IK187" s="14">
        <v>44559</v>
      </c>
      <c r="IL187" s="14">
        <v>45238</v>
      </c>
      <c r="IM187" s="14">
        <f>DATE(YEAR(IL187)+5,MONTH(IL187),DAY(IL187))</f>
        <v>47065</v>
      </c>
      <c r="IN187" s="65">
        <f ca="1">IM187-TODAY()</f>
        <v>934</v>
      </c>
      <c r="IO187" s="15" t="str">
        <f ca="1">IF(IN187&gt;=61,"VIGENTE",IF(IN187&gt;=1,"POR VENCER",IF(IN187&lt;=-1,"VENCIDA",IF(IL187=0,"NO APLICA"))))</f>
        <v>VIGENTE</v>
      </c>
      <c r="IP187" s="13">
        <v>44559</v>
      </c>
      <c r="IQ187" s="14">
        <v>45239</v>
      </c>
      <c r="IR187" s="14">
        <f>DATE(YEAR(IQ187)+5,MONTH(IQ187),DAY(IQ187))</f>
        <v>47066</v>
      </c>
      <c r="IS187" s="65">
        <f ca="1">IR187-TODAY()</f>
        <v>935</v>
      </c>
      <c r="IT187" s="15" t="str">
        <f ca="1">IF(IS187&gt;=61,"VIGENTE",IF(IS187&gt;=1,"POR VENCER",IF(IS187&lt;=-1,"VENCIDA",IF(IQ187=0,"NO APLICA"))))</f>
        <v>VIGENTE</v>
      </c>
      <c r="IU187" s="13">
        <v>44558</v>
      </c>
      <c r="IV187" s="14">
        <v>45233</v>
      </c>
      <c r="IW187" s="14">
        <f t="shared" si="640"/>
        <v>47060</v>
      </c>
      <c r="IX187" s="65">
        <f t="shared" ca="1" si="608"/>
        <v>929</v>
      </c>
      <c r="IY187" s="15" t="str">
        <f t="shared" ca="1" si="524"/>
        <v>VIGENTE</v>
      </c>
      <c r="IZ187" s="13">
        <v>44557</v>
      </c>
      <c r="JA187" s="14">
        <v>45261</v>
      </c>
      <c r="JB187" s="14">
        <f t="shared" si="641"/>
        <v>47088</v>
      </c>
      <c r="JC187" s="65">
        <f t="shared" ca="1" si="609"/>
        <v>957</v>
      </c>
      <c r="JD187" s="15" t="str">
        <f t="shared" ca="1" si="525"/>
        <v>VIGENTE</v>
      </c>
      <c r="JE187" s="13"/>
      <c r="JF187" s="13"/>
      <c r="JG187" s="14"/>
      <c r="JH187" s="65"/>
      <c r="JI187" s="15" t="str">
        <f t="shared" si="526"/>
        <v>NO APLICA</v>
      </c>
      <c r="JJ187" s="16"/>
      <c r="JK187" s="16"/>
      <c r="JL187" s="16"/>
      <c r="JM187" s="15" t="str">
        <f t="shared" si="527"/>
        <v>NO APLICA</v>
      </c>
      <c r="JN187" s="16"/>
      <c r="JO187" s="16"/>
      <c r="JP187" s="16"/>
      <c r="JQ187" s="15" t="str">
        <f t="shared" si="528"/>
        <v>NO APLICA</v>
      </c>
      <c r="JR187" s="16"/>
      <c r="JS187" s="16"/>
      <c r="JT187" s="16"/>
      <c r="JU187" s="16"/>
      <c r="JV187" s="15" t="str">
        <f t="shared" si="529"/>
        <v>NO APLICA</v>
      </c>
      <c r="JW187" s="15"/>
      <c r="JX187" s="15"/>
      <c r="JY187" s="15"/>
      <c r="JZ187" s="15"/>
      <c r="KA187" s="15" t="str">
        <f t="shared" si="530"/>
        <v>NO APLICA</v>
      </c>
      <c r="KB187" s="12"/>
      <c r="KC187" s="14"/>
      <c r="KD187" s="65"/>
      <c r="KE187" s="15" t="str">
        <f t="shared" si="531"/>
        <v>NO APLICA</v>
      </c>
      <c r="KF187" s="12"/>
      <c r="KG187" s="14"/>
      <c r="KH187" s="65"/>
      <c r="KI187" s="15" t="str">
        <f t="shared" si="547"/>
        <v>NO APLICA</v>
      </c>
      <c r="KJ187" s="12"/>
      <c r="KK187" s="14"/>
      <c r="KL187" s="65"/>
      <c r="KM187" s="15" t="str">
        <f t="shared" si="532"/>
        <v>NO APLICA</v>
      </c>
      <c r="KN187" s="12"/>
      <c r="KO187" s="14"/>
      <c r="KP187" s="65"/>
      <c r="KQ187" s="15" t="str">
        <f t="shared" si="548"/>
        <v>NO APLICA</v>
      </c>
      <c r="KR187" s="12"/>
      <c r="KS187" s="16"/>
      <c r="KT187" s="14"/>
      <c r="KU187" s="65"/>
      <c r="KV187" s="15" t="str">
        <f t="shared" si="554"/>
        <v>NO APLICA</v>
      </c>
      <c r="KW187" s="16"/>
      <c r="KX187" s="14"/>
      <c r="KY187" s="65"/>
      <c r="KZ187" s="15" t="str">
        <f t="shared" si="549"/>
        <v>NO APLICA</v>
      </c>
      <c r="LA187" s="14">
        <v>45611</v>
      </c>
      <c r="LB187" s="14">
        <v>45509</v>
      </c>
      <c r="LC187" s="14">
        <f>DATE(YEAR(LB187)+2,MONTH(LB187),DAY(LB187))</f>
        <v>46239</v>
      </c>
      <c r="LD187" s="65">
        <f ca="1">LC187-TODAY()</f>
        <v>108</v>
      </c>
      <c r="LE187" s="15" t="str">
        <f ca="1">IF(LD187&gt;=61,"VIGENTE",IF(LD187&gt;=1,"POR VENCER",IF(LD187&lt;=-1,"VENCIDA",IF(LB187=0,"NO APLICA"))))</f>
        <v>VIGENTE</v>
      </c>
      <c r="LF187" s="15"/>
      <c r="LG187" s="15"/>
      <c r="LH187" s="15"/>
      <c r="LI187" s="15"/>
      <c r="LJ187" s="15" t="str">
        <f t="shared" si="555"/>
        <v>NO APLICA</v>
      </c>
      <c r="LK187" s="12"/>
      <c r="LL187" s="16"/>
      <c r="LM187" s="14"/>
      <c r="LN187" s="65"/>
      <c r="LO187" s="15" t="str">
        <f t="shared" si="550"/>
        <v>NO APLICA</v>
      </c>
      <c r="LP187" s="14">
        <v>44984</v>
      </c>
      <c r="LQ187" s="14">
        <v>44986</v>
      </c>
      <c r="LR187" s="14">
        <f>DATE(YEAR(LQ187)+5,MONTH(LQ187),DAY(LQ187))</f>
        <v>46813</v>
      </c>
      <c r="LS187" s="65">
        <f ca="1">LR187-TODAY()</f>
        <v>682</v>
      </c>
      <c r="LT187" s="15" t="str">
        <f ca="1">IF(LS187&gt;=61,"VIGENTE",IF(LS187&gt;=1,"POR VENCER",IF(LS187&lt;=-1,"VENCIDA",IF(LQ187=0,"NO APLICA"))))</f>
        <v>VIGENTE</v>
      </c>
      <c r="LU187" s="14">
        <v>44987</v>
      </c>
      <c r="LV187" s="14">
        <v>44988</v>
      </c>
      <c r="LW187" s="14">
        <f>DATE(YEAR(LV187)+5,MONTH(LV187),DAY(LV187))</f>
        <v>46815</v>
      </c>
      <c r="LX187" s="65">
        <f ca="1">LW187-TODAY()</f>
        <v>684</v>
      </c>
      <c r="LY187" s="15" t="str">
        <f ca="1">IF(LX187&gt;=61,"VIGENTE",IF(LX187&gt;=1,"POR VENCER",IF(LX187&lt;=-1,"VENCIDA",IF(LV187=0,"NO APLICA"))))</f>
        <v>VIGENTE</v>
      </c>
      <c r="LZ187" s="12"/>
      <c r="MA187" s="12"/>
      <c r="MB187" s="14"/>
      <c r="MC187" s="65"/>
      <c r="MD187" s="15" t="str">
        <f t="shared" si="534"/>
        <v>NO APLICA</v>
      </c>
      <c r="ME187" s="12"/>
      <c r="MF187" s="12"/>
      <c r="MG187" s="14"/>
      <c r="MH187" s="65"/>
      <c r="MI187" s="15" t="str">
        <f t="shared" si="535"/>
        <v>NO APLICA</v>
      </c>
      <c r="MJ187" s="12"/>
      <c r="MK187" s="14"/>
      <c r="ML187" s="65"/>
      <c r="MM187" s="15" t="str">
        <f t="shared" si="536"/>
        <v>NO APLICA</v>
      </c>
      <c r="MN187" s="12"/>
      <c r="MO187" s="14"/>
      <c r="MP187" s="12"/>
      <c r="MQ187" s="15" t="str">
        <f t="shared" si="537"/>
        <v>NO APLICA</v>
      </c>
      <c r="MR187" s="12"/>
      <c r="MS187" s="16"/>
      <c r="MT187" s="14"/>
      <c r="MU187" s="65"/>
      <c r="MV187" s="15" t="str">
        <f t="shared" si="538"/>
        <v>NO APLICA</v>
      </c>
      <c r="MW187" s="12"/>
      <c r="MX187" s="16"/>
      <c r="MY187" s="14"/>
      <c r="MZ187" s="65"/>
      <c r="NA187" s="15" t="str">
        <f t="shared" si="539"/>
        <v>NO APLICA</v>
      </c>
      <c r="NB187" s="12"/>
      <c r="NC187" s="16"/>
      <c r="ND187" s="14"/>
      <c r="NE187" s="65"/>
      <c r="NF187" s="15" t="str">
        <f t="shared" si="540"/>
        <v>NO APLICA</v>
      </c>
      <c r="NG187" s="12"/>
      <c r="NH187" s="12"/>
      <c r="NI187" s="14"/>
      <c r="NJ187" s="12"/>
      <c r="NK187" s="15" t="str">
        <f t="shared" si="541"/>
        <v>NO APLICA</v>
      </c>
      <c r="NL187" s="12"/>
      <c r="NM187" s="12"/>
      <c r="NN187" s="14"/>
      <c r="NO187" s="12"/>
      <c r="NP187" s="15" t="str">
        <f t="shared" si="542"/>
        <v>NO APLICA</v>
      </c>
      <c r="NQ187" s="16"/>
      <c r="NR187" s="16"/>
      <c r="NS187" s="14"/>
      <c r="NT187" s="65"/>
      <c r="NU187" s="15" t="str">
        <f t="shared" si="543"/>
        <v>NO APLICA</v>
      </c>
      <c r="NV187" s="16"/>
      <c r="NW187" s="16"/>
      <c r="NX187" s="16"/>
      <c r="NY187" s="16"/>
      <c r="NZ187" s="15" t="str">
        <f t="shared" si="544"/>
        <v>NO APLICA</v>
      </c>
    </row>
    <row r="188" spans="1:390" ht="15.6" thickTop="1" thickBot="1" x14ac:dyDescent="0.35">
      <c r="A188" s="11">
        <v>1699</v>
      </c>
      <c r="B188" s="10" t="s">
        <v>659</v>
      </c>
      <c r="C188" s="21" t="s">
        <v>104</v>
      </c>
      <c r="D188" s="64" t="s">
        <v>110</v>
      </c>
      <c r="E188" s="15"/>
      <c r="F188" s="16"/>
      <c r="G188" s="14"/>
      <c r="H188" s="65"/>
      <c r="I188" s="15" t="str">
        <f t="shared" si="448"/>
        <v>NO APLICA</v>
      </c>
      <c r="J188" s="15"/>
      <c r="K188" s="16"/>
      <c r="L188" s="16"/>
      <c r="M188" s="65"/>
      <c r="N188" s="15" t="str">
        <f t="shared" si="449"/>
        <v>NO APLICA</v>
      </c>
      <c r="O188" s="14">
        <v>45026</v>
      </c>
      <c r="P188" s="14"/>
      <c r="Q188" s="14"/>
      <c r="R188" s="65"/>
      <c r="S188" s="15" t="str">
        <f t="shared" si="545"/>
        <v>NO APLICA</v>
      </c>
      <c r="T188" s="12" t="s">
        <v>660</v>
      </c>
      <c r="U188" s="13">
        <v>45155</v>
      </c>
      <c r="V188" s="14">
        <v>45156</v>
      </c>
      <c r="W188" s="14">
        <f t="shared" si="577"/>
        <v>46983</v>
      </c>
      <c r="X188" s="65">
        <f t="shared" ca="1" si="578"/>
        <v>852</v>
      </c>
      <c r="Y188" s="15" t="str">
        <f t="shared" ca="1" si="595"/>
        <v>VIGENTE</v>
      </c>
      <c r="Z188" s="12" t="s">
        <v>661</v>
      </c>
      <c r="AA188" s="13">
        <v>45161</v>
      </c>
      <c r="AB188" s="14">
        <v>45162</v>
      </c>
      <c r="AC188" s="14">
        <f t="shared" si="610"/>
        <v>46989</v>
      </c>
      <c r="AD188" s="65">
        <f t="shared" ca="1" si="605"/>
        <v>858</v>
      </c>
      <c r="AE188" s="15" t="str">
        <f t="shared" ca="1" si="598"/>
        <v>VIGENTE</v>
      </c>
      <c r="AF188" s="13">
        <v>45314</v>
      </c>
      <c r="AG188" s="14">
        <v>46006</v>
      </c>
      <c r="AH188" s="14">
        <f t="shared" ref="AH188:AH190" si="682">DATE(YEAR(AG188)+2,MONTH(AG188),DAY(AG188))</f>
        <v>46736</v>
      </c>
      <c r="AI188" s="65">
        <f t="shared" ca="1" si="450"/>
        <v>605</v>
      </c>
      <c r="AJ188" s="15" t="str">
        <f t="shared" ca="1" si="592"/>
        <v>VIGENTE</v>
      </c>
      <c r="AK188" s="13">
        <v>45307</v>
      </c>
      <c r="AL188" s="14">
        <v>45959</v>
      </c>
      <c r="AM188" s="14">
        <f t="shared" si="665"/>
        <v>46689</v>
      </c>
      <c r="AN188" s="65">
        <f t="shared" ca="1" si="451"/>
        <v>558</v>
      </c>
      <c r="AO188" s="15" t="str">
        <f t="shared" ca="1" si="452"/>
        <v>VIGENTE</v>
      </c>
      <c r="AP188" s="13">
        <v>45298</v>
      </c>
      <c r="AQ188" s="14">
        <v>45971</v>
      </c>
      <c r="AR188" s="14">
        <f t="shared" si="666"/>
        <v>46701</v>
      </c>
      <c r="AS188" s="65">
        <f t="shared" ca="1" si="453"/>
        <v>570</v>
      </c>
      <c r="AT188" s="15" t="str">
        <f t="shared" ca="1" si="454"/>
        <v>VIGENTE</v>
      </c>
      <c r="AU188" s="12"/>
      <c r="AV188" s="14">
        <v>45952</v>
      </c>
      <c r="AW188" s="14">
        <f>DATE(YEAR(AV188)+2,MONTH(AV188),DAY(AV188))</f>
        <v>46682</v>
      </c>
      <c r="AX188" s="65">
        <f t="shared" ca="1" si="455"/>
        <v>551</v>
      </c>
      <c r="AY188" s="15" t="str">
        <f t="shared" ca="1" si="456"/>
        <v>VIGENTE</v>
      </c>
      <c r="AZ188" s="13">
        <v>45387</v>
      </c>
      <c r="BA188" s="14">
        <v>46041</v>
      </c>
      <c r="BB188" s="14">
        <f t="shared" si="667"/>
        <v>46771</v>
      </c>
      <c r="BC188" s="65">
        <f t="shared" ca="1" si="457"/>
        <v>640</v>
      </c>
      <c r="BD188" s="15" t="str">
        <f t="shared" ca="1" si="458"/>
        <v>VIGENTE</v>
      </c>
      <c r="BE188" s="12"/>
      <c r="BF188" s="14">
        <v>45987</v>
      </c>
      <c r="BG188" s="14">
        <f>DATE(YEAR(BF188)+2,MONTH(BF188),DAY(BF188))</f>
        <v>46717</v>
      </c>
      <c r="BH188" s="65">
        <f t="shared" ca="1" si="459"/>
        <v>586</v>
      </c>
      <c r="BI188" s="15" t="str">
        <f t="shared" ca="1" si="460"/>
        <v>VIGENTE</v>
      </c>
      <c r="BJ188" s="13">
        <v>45348</v>
      </c>
      <c r="BK188" s="14">
        <v>46007</v>
      </c>
      <c r="BL188" s="14">
        <f t="shared" si="668"/>
        <v>46737</v>
      </c>
      <c r="BM188" s="65">
        <f t="shared" ca="1" si="461"/>
        <v>606</v>
      </c>
      <c r="BN188" s="15" t="str">
        <f t="shared" ca="1" si="462"/>
        <v>VIGENTE</v>
      </c>
      <c r="BO188" s="14">
        <v>45308</v>
      </c>
      <c r="BP188" s="14">
        <v>45981</v>
      </c>
      <c r="BQ188" s="14">
        <f>DATE(YEAR(BP188)+2,MONTH(BP188),DAY(BP188))</f>
        <v>46711</v>
      </c>
      <c r="BR188" s="65">
        <f t="shared" ca="1" si="463"/>
        <v>580</v>
      </c>
      <c r="BS188" s="15" t="str">
        <f t="shared" ca="1" si="464"/>
        <v>VIGENTE</v>
      </c>
      <c r="BT188" s="13">
        <v>45362</v>
      </c>
      <c r="BU188" s="14">
        <v>46031</v>
      </c>
      <c r="BV188" s="14">
        <f>DATE(YEAR(BU188)+2,MONTH(BU188),DAY(BU188))</f>
        <v>46761</v>
      </c>
      <c r="BW188" s="65">
        <f t="shared" ca="1" si="465"/>
        <v>630</v>
      </c>
      <c r="BX188" s="15" t="str">
        <f t="shared" ca="1" si="466"/>
        <v>VIGENTE</v>
      </c>
      <c r="BY188" s="12"/>
      <c r="BZ188" s="14">
        <v>45986</v>
      </c>
      <c r="CA188" s="14">
        <f t="shared" si="669"/>
        <v>46716</v>
      </c>
      <c r="CB188" s="65">
        <f t="shared" ca="1" si="467"/>
        <v>585</v>
      </c>
      <c r="CC188" s="15" t="str">
        <f t="shared" ca="1" si="468"/>
        <v>VIGENTE</v>
      </c>
      <c r="CD188" s="16" t="s">
        <v>108</v>
      </c>
      <c r="CE188" s="14">
        <v>45163</v>
      </c>
      <c r="CF188" s="14">
        <v>45164</v>
      </c>
      <c r="CG188" s="14">
        <f t="shared" si="580"/>
        <v>46625</v>
      </c>
      <c r="CH188" s="65">
        <f t="shared" ca="1" si="581"/>
        <v>494</v>
      </c>
      <c r="CI188" s="15" t="str">
        <f t="shared" ca="1" si="562"/>
        <v>VIGENTE</v>
      </c>
      <c r="CJ188" s="14">
        <v>45353</v>
      </c>
      <c r="CK188" s="14">
        <v>46018</v>
      </c>
      <c r="CL188" s="14">
        <f>DATE(YEAR(CK188)+2,MONTH(CK188),DAY(CK188))</f>
        <v>46748</v>
      </c>
      <c r="CM188" s="65">
        <f t="shared" ca="1" si="469"/>
        <v>617</v>
      </c>
      <c r="CN188" s="15" t="str">
        <f t="shared" ca="1" si="470"/>
        <v>VIGENTE</v>
      </c>
      <c r="CO188" s="14">
        <v>45305</v>
      </c>
      <c r="CP188" s="14">
        <v>45979</v>
      </c>
      <c r="CQ188" s="14">
        <f t="shared" si="670"/>
        <v>46709</v>
      </c>
      <c r="CR188" s="65">
        <f t="shared" ca="1" si="471"/>
        <v>578</v>
      </c>
      <c r="CS188" s="15" t="str">
        <f t="shared" ca="1" si="472"/>
        <v>VIGENTE</v>
      </c>
      <c r="CT188" s="12"/>
      <c r="CU188" s="14">
        <v>45939</v>
      </c>
      <c r="CV188" s="14">
        <f t="shared" ref="CV188:CV190" si="683">DATE(YEAR(CU188)+2,MONTH(CU188),DAY(CU188))</f>
        <v>46669</v>
      </c>
      <c r="CW188" s="65">
        <f t="shared" ca="1" si="473"/>
        <v>538</v>
      </c>
      <c r="CX188" s="15" t="str">
        <f t="shared" ca="1" si="474"/>
        <v>VIGENTE</v>
      </c>
      <c r="CY188" s="13"/>
      <c r="CZ188" s="14">
        <v>46000</v>
      </c>
      <c r="DA188" s="14">
        <f t="shared" ref="DA188:DA190" si="684">DATE(YEAR(CZ188)+2,MONTH(CZ188),DAY(CZ188))</f>
        <v>46730</v>
      </c>
      <c r="DB188" s="65">
        <f t="shared" ca="1" si="475"/>
        <v>599</v>
      </c>
      <c r="DC188" s="15" t="str">
        <f t="shared" ca="1" si="476"/>
        <v>VIGENTE</v>
      </c>
      <c r="DD188" s="14">
        <v>45404</v>
      </c>
      <c r="DE188" s="14">
        <v>46045</v>
      </c>
      <c r="DF188" s="14">
        <f>DATE(YEAR(DE188)+2,MONTH(DE188),DAY(DE188))</f>
        <v>46775</v>
      </c>
      <c r="DG188" s="65">
        <f t="shared" ca="1" si="477"/>
        <v>644</v>
      </c>
      <c r="DH188" s="15" t="str">
        <f t="shared" ca="1" si="478"/>
        <v>VIGENTE</v>
      </c>
      <c r="DI188" s="13">
        <v>45312</v>
      </c>
      <c r="DJ188" s="14">
        <v>45955</v>
      </c>
      <c r="DK188" s="14">
        <f t="shared" si="671"/>
        <v>46685</v>
      </c>
      <c r="DL188" s="65">
        <f t="shared" ca="1" si="479"/>
        <v>554</v>
      </c>
      <c r="DM188" s="15" t="str">
        <f t="shared" ca="1" si="480"/>
        <v>VIGENTE</v>
      </c>
      <c r="DN188" s="13">
        <v>45345</v>
      </c>
      <c r="DO188" s="14">
        <v>45982</v>
      </c>
      <c r="DP188" s="14">
        <f t="shared" si="672"/>
        <v>46712</v>
      </c>
      <c r="DQ188" s="65">
        <f t="shared" ca="1" si="481"/>
        <v>581</v>
      </c>
      <c r="DR188" s="15" t="str">
        <f t="shared" ca="1" si="482"/>
        <v>VIGENTE</v>
      </c>
      <c r="DS188" s="13">
        <v>45336</v>
      </c>
      <c r="DT188" s="14">
        <v>46003</v>
      </c>
      <c r="DU188" s="14">
        <f>DATE(YEAR(DT188)+2,MONTH(DT188),DAY(DT188))</f>
        <v>46733</v>
      </c>
      <c r="DV188" s="65">
        <f t="shared" ca="1" si="483"/>
        <v>602</v>
      </c>
      <c r="DW188" s="15" t="str">
        <f t="shared" ca="1" si="484"/>
        <v>VIGENTE</v>
      </c>
      <c r="DX188" s="14">
        <v>45355</v>
      </c>
      <c r="DY188" s="14">
        <v>46032</v>
      </c>
      <c r="DZ188" s="14">
        <f t="shared" si="673"/>
        <v>46762</v>
      </c>
      <c r="EA188" s="65">
        <f t="shared" ca="1" si="485"/>
        <v>631</v>
      </c>
      <c r="EB188" s="15" t="str">
        <f t="shared" ca="1" si="486"/>
        <v>VIGENTE</v>
      </c>
      <c r="EC188" s="14">
        <v>45341</v>
      </c>
      <c r="ED188" s="14">
        <v>45994</v>
      </c>
      <c r="EE188" s="14">
        <f t="shared" si="628"/>
        <v>46724</v>
      </c>
      <c r="EF188" s="65">
        <f t="shared" ca="1" si="487"/>
        <v>593</v>
      </c>
      <c r="EG188" s="15" t="str">
        <f t="shared" ca="1" si="488"/>
        <v>VIGENTE</v>
      </c>
      <c r="EH188" s="13">
        <v>45350</v>
      </c>
      <c r="EI188" s="13">
        <v>45810</v>
      </c>
      <c r="EJ188" s="13">
        <v>45811</v>
      </c>
      <c r="EK188" s="14">
        <v>45812</v>
      </c>
      <c r="EL188" s="14">
        <f t="shared" si="546"/>
        <v>46177</v>
      </c>
      <c r="EM188" s="65">
        <f t="shared" ca="1" si="489"/>
        <v>46</v>
      </c>
      <c r="EN188" s="15" t="str">
        <f t="shared" ca="1" si="490"/>
        <v>POR VENCER</v>
      </c>
      <c r="EO188" s="13">
        <v>45337</v>
      </c>
      <c r="EP188" s="14">
        <v>45995</v>
      </c>
      <c r="EQ188" s="14">
        <f t="shared" si="674"/>
        <v>46725</v>
      </c>
      <c r="ER188" s="65">
        <f t="shared" ca="1" si="491"/>
        <v>594</v>
      </c>
      <c r="ES188" s="15" t="str">
        <f t="shared" ca="1" si="492"/>
        <v>VIGENTE</v>
      </c>
      <c r="ET188" s="12"/>
      <c r="EU188" s="14">
        <v>45999</v>
      </c>
      <c r="EV188" s="14">
        <f t="shared" si="675"/>
        <v>46729</v>
      </c>
      <c r="EW188" s="65">
        <f t="shared" ca="1" si="493"/>
        <v>598</v>
      </c>
      <c r="EX188" s="15" t="str">
        <f t="shared" ca="1" si="494"/>
        <v>VIGENTE</v>
      </c>
      <c r="EY188" s="13">
        <v>45360</v>
      </c>
      <c r="EZ188" s="14">
        <v>46063</v>
      </c>
      <c r="FA188" s="14">
        <f t="shared" si="676"/>
        <v>46793</v>
      </c>
      <c r="FB188" s="65">
        <f t="shared" ca="1" si="495"/>
        <v>662</v>
      </c>
      <c r="FC188" s="15" t="str">
        <f t="shared" ca="1" si="496"/>
        <v>VIGENTE</v>
      </c>
      <c r="FD188" s="12"/>
      <c r="FE188" s="14">
        <v>45988</v>
      </c>
      <c r="FF188" s="14">
        <f t="shared" si="677"/>
        <v>46718</v>
      </c>
      <c r="FG188" s="65">
        <f t="shared" ca="1" si="497"/>
        <v>587</v>
      </c>
      <c r="FH188" s="15" t="str">
        <f t="shared" ca="1" si="498"/>
        <v>VIGENTE</v>
      </c>
      <c r="FI188" s="12"/>
      <c r="FJ188" s="14">
        <v>45992</v>
      </c>
      <c r="FK188" s="14">
        <f t="shared" si="678"/>
        <v>46722</v>
      </c>
      <c r="FL188" s="65">
        <f t="shared" ca="1" si="499"/>
        <v>591</v>
      </c>
      <c r="FM188" s="15" t="str">
        <f t="shared" ca="1" si="500"/>
        <v>VIGENTE</v>
      </c>
      <c r="FN188" s="14">
        <v>45359</v>
      </c>
      <c r="FO188" s="14">
        <v>46039</v>
      </c>
      <c r="FP188" s="14">
        <f t="shared" si="679"/>
        <v>46769</v>
      </c>
      <c r="FQ188" s="65">
        <f t="shared" ca="1" si="501"/>
        <v>638</v>
      </c>
      <c r="FR188" s="15" t="str">
        <f t="shared" ca="1" si="502"/>
        <v>VIGENTE</v>
      </c>
      <c r="FS188" s="14">
        <v>45358</v>
      </c>
      <c r="FT188" s="14">
        <v>46034</v>
      </c>
      <c r="FU188" s="14">
        <f t="shared" si="680"/>
        <v>46764</v>
      </c>
      <c r="FV188" s="65">
        <f t="shared" ca="1" si="503"/>
        <v>633</v>
      </c>
      <c r="FW188" s="15" t="str">
        <f t="shared" ca="1" si="504"/>
        <v>VIGENTE</v>
      </c>
      <c r="FX188" s="13">
        <v>45324</v>
      </c>
      <c r="FY188" s="14">
        <v>45993</v>
      </c>
      <c r="FZ188" s="14">
        <f t="shared" ref="FZ188:FZ190" si="685">DATE(YEAR(FY188)+2,MONTH(FY188),DAY(FY188))</f>
        <v>46723</v>
      </c>
      <c r="GA188" s="65">
        <f t="shared" ca="1" si="505"/>
        <v>592</v>
      </c>
      <c r="GB188" s="15" t="str">
        <f t="shared" ca="1" si="506"/>
        <v>VIGENTE</v>
      </c>
      <c r="GC188" s="13"/>
      <c r="GD188" s="14">
        <v>45925</v>
      </c>
      <c r="GE188" s="14">
        <f>DATE(YEAR(GD188)+2,MONTH(GD188),DAY(GD188))</f>
        <v>46655</v>
      </c>
      <c r="GF188" s="65">
        <f t="shared" ca="1" si="507"/>
        <v>524</v>
      </c>
      <c r="GG188" s="15" t="str">
        <f t="shared" ca="1" si="508"/>
        <v>VIGENTE</v>
      </c>
      <c r="GH188" s="13">
        <v>45332</v>
      </c>
      <c r="GI188" s="14">
        <v>45960</v>
      </c>
      <c r="GJ188" s="14">
        <f t="shared" si="681"/>
        <v>46690</v>
      </c>
      <c r="GK188" s="65">
        <f t="shared" ca="1" si="509"/>
        <v>559</v>
      </c>
      <c r="GL188" s="15" t="str">
        <f t="shared" ca="1" si="510"/>
        <v>VIGENTE</v>
      </c>
      <c r="GM188" s="13"/>
      <c r="GN188" s="14">
        <v>45499</v>
      </c>
      <c r="GO188" s="14">
        <f t="shared" si="638"/>
        <v>46228</v>
      </c>
      <c r="GP188" s="65">
        <f t="shared" ca="1" si="511"/>
        <v>97</v>
      </c>
      <c r="GQ188" s="15" t="str">
        <f t="shared" ca="1" si="512"/>
        <v>VIGENTE</v>
      </c>
      <c r="GR188" s="14"/>
      <c r="GS188" s="14">
        <v>45299</v>
      </c>
      <c r="GT188" s="14">
        <f t="shared" si="513"/>
        <v>47126</v>
      </c>
      <c r="GU188" s="65">
        <f t="shared" ca="1" si="591"/>
        <v>995</v>
      </c>
      <c r="GV188" s="15" t="str">
        <f t="shared" ca="1" si="601"/>
        <v>VIGENTE</v>
      </c>
      <c r="GW188" s="13"/>
      <c r="GX188" s="14">
        <v>45329</v>
      </c>
      <c r="GY188" s="14">
        <f t="shared" si="514"/>
        <v>47156</v>
      </c>
      <c r="GZ188" s="65">
        <f t="shared" ca="1" si="515"/>
        <v>1025</v>
      </c>
      <c r="HA188" s="15" t="str">
        <f t="shared" ca="1" si="602"/>
        <v>VIGENTE</v>
      </c>
      <c r="HB188" s="12"/>
      <c r="HC188" s="14">
        <v>45343</v>
      </c>
      <c r="HD188" s="14">
        <f t="shared" si="516"/>
        <v>47170</v>
      </c>
      <c r="HE188" s="65">
        <f t="shared" ca="1" si="517"/>
        <v>1039</v>
      </c>
      <c r="HF188" s="15" t="str">
        <f t="shared" ca="1" si="603"/>
        <v>VIGENTE</v>
      </c>
      <c r="HG188" s="16"/>
      <c r="HH188" s="14">
        <v>45317</v>
      </c>
      <c r="HI188" s="14">
        <f t="shared" si="639"/>
        <v>47144</v>
      </c>
      <c r="HJ188" s="65">
        <f t="shared" ca="1" si="607"/>
        <v>1013</v>
      </c>
      <c r="HK188" s="15" t="str">
        <f t="shared" ca="1" si="604"/>
        <v>VIGENTE</v>
      </c>
      <c r="HL188" s="12"/>
      <c r="HM188" s="16"/>
      <c r="HN188" s="14"/>
      <c r="HO188" s="65"/>
      <c r="HP188" s="15" t="str">
        <f t="shared" ref="HP188:HP238" si="686">IF(HO188&gt;=61,"VIGENTE",IF(HO188&gt;=1,"POR VENCER",IF(HO188&lt;=-1,"VENCIDA",IF(HM188=0,"NO APLICA"))))</f>
        <v>NO APLICA</v>
      </c>
      <c r="HQ188" s="12"/>
      <c r="HR188" s="12"/>
      <c r="HS188" s="14"/>
      <c r="HT188" s="12"/>
      <c r="HU188" s="15" t="str">
        <f t="shared" si="518"/>
        <v>NO APLICA</v>
      </c>
      <c r="HV188" s="12"/>
      <c r="HW188" s="16"/>
      <c r="HX188" s="14"/>
      <c r="HY188" s="65"/>
      <c r="HZ188" s="15" t="str">
        <f t="shared" si="519"/>
        <v>NO APLICA</v>
      </c>
      <c r="IA188" s="12"/>
      <c r="IB188" s="16"/>
      <c r="IC188" s="14"/>
      <c r="ID188" s="65"/>
      <c r="IE188" s="15" t="str">
        <f t="shared" si="520"/>
        <v>NO APLICA</v>
      </c>
      <c r="IF188" s="12"/>
      <c r="IG188" s="16"/>
      <c r="IH188" s="14"/>
      <c r="II188" s="65"/>
      <c r="IJ188" s="15" t="str">
        <f t="shared" si="521"/>
        <v>NO APLICA</v>
      </c>
      <c r="IK188" s="16"/>
      <c r="IL188" s="16"/>
      <c r="IM188" s="14"/>
      <c r="IN188" s="65"/>
      <c r="IO188" s="15" t="str">
        <f t="shared" si="522"/>
        <v>NO APLICA</v>
      </c>
      <c r="IP188" s="12"/>
      <c r="IQ188" s="16"/>
      <c r="IR188" s="14"/>
      <c r="IS188" s="65"/>
      <c r="IT188" s="15" t="str">
        <f t="shared" si="523"/>
        <v>NO APLICA</v>
      </c>
      <c r="IU188" s="12"/>
      <c r="IV188" s="16"/>
      <c r="IW188" s="14"/>
      <c r="IX188" s="65"/>
      <c r="IY188" s="15" t="str">
        <f t="shared" si="524"/>
        <v>NO APLICA</v>
      </c>
      <c r="IZ188" s="12"/>
      <c r="JA188" s="16"/>
      <c r="JB188" s="14"/>
      <c r="JC188" s="65"/>
      <c r="JD188" s="15" t="str">
        <f t="shared" si="525"/>
        <v>NO APLICA</v>
      </c>
      <c r="JE188" s="13"/>
      <c r="JF188" s="13"/>
      <c r="JG188" s="14"/>
      <c r="JH188" s="65"/>
      <c r="JI188" s="15" t="str">
        <f t="shared" si="526"/>
        <v>NO APLICA</v>
      </c>
      <c r="JJ188" s="16"/>
      <c r="JK188" s="16"/>
      <c r="JL188" s="16"/>
      <c r="JM188" s="15" t="str">
        <f t="shared" si="527"/>
        <v>NO APLICA</v>
      </c>
      <c r="JN188" s="16"/>
      <c r="JO188" s="16"/>
      <c r="JP188" s="16"/>
      <c r="JQ188" s="15" t="str">
        <f t="shared" si="528"/>
        <v>NO APLICA</v>
      </c>
      <c r="JR188" s="16"/>
      <c r="JS188" s="16"/>
      <c r="JT188" s="16"/>
      <c r="JU188" s="16"/>
      <c r="JV188" s="15" t="str">
        <f t="shared" si="529"/>
        <v>NO APLICA</v>
      </c>
      <c r="JW188" s="15"/>
      <c r="JX188" s="15"/>
      <c r="JY188" s="15"/>
      <c r="JZ188" s="15"/>
      <c r="KA188" s="15" t="str">
        <f t="shared" si="530"/>
        <v>NO APLICA</v>
      </c>
      <c r="KB188" s="12"/>
      <c r="KC188" s="14"/>
      <c r="KD188" s="65"/>
      <c r="KE188" s="15" t="str">
        <f t="shared" si="531"/>
        <v>NO APLICA</v>
      </c>
      <c r="KF188" s="13">
        <v>45328</v>
      </c>
      <c r="KG188" s="14">
        <f>DATE(YEAR(KF188)+5,MONTH(KF188),DAY(KF188)-1)</f>
        <v>47154</v>
      </c>
      <c r="KH188" s="65">
        <f ca="1">KG188-TODAY()</f>
        <v>1023</v>
      </c>
      <c r="KI188" s="15" t="str">
        <f ca="1">IF(KH188&gt;=61,"VIGENTE",IF(KH188&gt;=1,"POR VENCER",IF(KH188&lt;=-1,"VENCIDA",IF(KF188=0,"NO APLICA"))))</f>
        <v>VIGENTE</v>
      </c>
      <c r="KJ188" s="12"/>
      <c r="KK188" s="14"/>
      <c r="KL188" s="65"/>
      <c r="KM188" s="15" t="str">
        <f t="shared" si="532"/>
        <v>NO APLICA</v>
      </c>
      <c r="KN188" s="13">
        <v>45346</v>
      </c>
      <c r="KO188" s="14">
        <f>DATE(YEAR(KN188)+5,MONTH(KN188),DAY(KN188))</f>
        <v>47173</v>
      </c>
      <c r="KP188" s="65">
        <f ca="1">KO188-TODAY()</f>
        <v>1042</v>
      </c>
      <c r="KQ188" s="15" t="str">
        <f ca="1">IF(KP188&gt;=61,"VIGENTE",IF(KP188&gt;=1,"POR VENCER",IF(KP188&lt;=-1,"VENCIDA",IF(KN188=0,"NO APLICA"))))</f>
        <v>VIGENTE</v>
      </c>
      <c r="KR188" s="12"/>
      <c r="KS188" s="16"/>
      <c r="KT188" s="14"/>
      <c r="KU188" s="65"/>
      <c r="KV188" s="15" t="str">
        <f t="shared" si="554"/>
        <v>NO APLICA</v>
      </c>
      <c r="KW188" s="16"/>
      <c r="KX188" s="14"/>
      <c r="KY188" s="65"/>
      <c r="KZ188" s="15" t="str">
        <f t="shared" si="549"/>
        <v>NO APLICA</v>
      </c>
      <c r="LA188" s="16"/>
      <c r="LB188" s="16"/>
      <c r="LC188" s="14"/>
      <c r="LD188" s="65"/>
      <c r="LE188" s="15" t="str">
        <f t="shared" si="590"/>
        <v>NO APLICA</v>
      </c>
      <c r="LF188" s="15"/>
      <c r="LG188" s="15"/>
      <c r="LH188" s="14"/>
      <c r="LI188" s="65"/>
      <c r="LJ188" s="15" t="str">
        <f t="shared" si="555"/>
        <v>NO APLICA</v>
      </c>
      <c r="LK188" s="12"/>
      <c r="LL188" s="16"/>
      <c r="LM188" s="14"/>
      <c r="LN188" s="65"/>
      <c r="LO188" s="15" t="str">
        <f t="shared" si="550"/>
        <v>NO APLICA</v>
      </c>
      <c r="LP188" s="16"/>
      <c r="LQ188" s="16"/>
      <c r="LR188" s="14"/>
      <c r="LS188" s="65"/>
      <c r="LT188" s="15" t="str">
        <f t="shared" si="551"/>
        <v>NO APLICA</v>
      </c>
      <c r="LU188" s="16"/>
      <c r="LV188" s="16"/>
      <c r="LW188" s="14"/>
      <c r="LX188" s="65"/>
      <c r="LY188" s="15" t="str">
        <f t="shared" si="552"/>
        <v>NO APLICA</v>
      </c>
      <c r="LZ188" s="12"/>
      <c r="MA188" s="12"/>
      <c r="MB188" s="14"/>
      <c r="MC188" s="65"/>
      <c r="MD188" s="15" t="str">
        <f t="shared" si="534"/>
        <v>NO APLICA</v>
      </c>
      <c r="ME188" s="12"/>
      <c r="MF188" s="12"/>
      <c r="MG188" s="14"/>
      <c r="MH188" s="65"/>
      <c r="MI188" s="15" t="str">
        <f t="shared" si="535"/>
        <v>NO APLICA</v>
      </c>
      <c r="MJ188" s="12"/>
      <c r="MK188" s="14"/>
      <c r="ML188" s="65"/>
      <c r="MM188" s="15" t="str">
        <f t="shared" si="536"/>
        <v>NO APLICA</v>
      </c>
      <c r="MN188" s="12"/>
      <c r="MO188" s="14"/>
      <c r="MP188" s="12"/>
      <c r="MQ188" s="15" t="str">
        <f t="shared" si="537"/>
        <v>NO APLICA</v>
      </c>
      <c r="MR188" s="12"/>
      <c r="MS188" s="16"/>
      <c r="MT188" s="14"/>
      <c r="MU188" s="65"/>
      <c r="MV188" s="15" t="str">
        <f t="shared" si="538"/>
        <v>NO APLICA</v>
      </c>
      <c r="MW188" s="12"/>
      <c r="MX188" s="16"/>
      <c r="MY188" s="14"/>
      <c r="MZ188" s="65"/>
      <c r="NA188" s="15" t="str">
        <f t="shared" si="539"/>
        <v>NO APLICA</v>
      </c>
      <c r="NB188" s="12"/>
      <c r="NC188" s="16"/>
      <c r="ND188" s="14"/>
      <c r="NE188" s="65"/>
      <c r="NF188" s="15" t="str">
        <f t="shared" si="540"/>
        <v>NO APLICA</v>
      </c>
      <c r="NG188" s="12"/>
      <c r="NH188" s="12"/>
      <c r="NI188" s="14"/>
      <c r="NJ188" s="65"/>
      <c r="NK188" s="15" t="str">
        <f t="shared" si="541"/>
        <v>NO APLICA</v>
      </c>
      <c r="NL188" s="12"/>
      <c r="NM188" s="12"/>
      <c r="NN188" s="14"/>
      <c r="NO188" s="12"/>
      <c r="NP188" s="15" t="str">
        <f t="shared" si="542"/>
        <v>NO APLICA</v>
      </c>
      <c r="NQ188" s="16"/>
      <c r="NR188" s="16"/>
      <c r="NS188" s="14"/>
      <c r="NT188" s="65"/>
      <c r="NU188" s="15" t="str">
        <f t="shared" si="543"/>
        <v>NO APLICA</v>
      </c>
      <c r="NV188" s="16"/>
      <c r="NW188" s="16"/>
      <c r="NX188" s="16"/>
      <c r="NY188" s="16"/>
      <c r="NZ188" s="15" t="str">
        <f t="shared" si="544"/>
        <v>NO APLICA</v>
      </c>
    </row>
    <row r="189" spans="1:390" ht="15.6" thickTop="1" thickBot="1" x14ac:dyDescent="0.35">
      <c r="A189" s="9">
        <v>815</v>
      </c>
      <c r="B189" s="10" t="s">
        <v>662</v>
      </c>
      <c r="C189" s="21" t="s">
        <v>151</v>
      </c>
      <c r="D189" s="64" t="s">
        <v>165</v>
      </c>
      <c r="E189" s="13">
        <v>46057</v>
      </c>
      <c r="F189" s="14">
        <v>46058</v>
      </c>
      <c r="G189" s="14">
        <f>DATE(YEAR(F189)+2,MONTH(F189),DAY(F189))</f>
        <v>46788</v>
      </c>
      <c r="H189" s="65">
        <f ca="1">G189-TODAY()</f>
        <v>657</v>
      </c>
      <c r="I189" s="15" t="str">
        <f ca="1">IF(H189&gt;=61,"VIGENTE",IF(H189&gt;=1,"POR VENCER",IF(H189&lt;=-1,"VENCIDA",IF(F189=0,"NO APLICA"))))</f>
        <v>VIGENTE</v>
      </c>
      <c r="J189" s="15"/>
      <c r="K189" s="16"/>
      <c r="L189" s="16"/>
      <c r="M189" s="65"/>
      <c r="N189" s="15" t="str">
        <f t="shared" si="449"/>
        <v>NO APLICA</v>
      </c>
      <c r="O189" s="16"/>
      <c r="P189" s="16"/>
      <c r="Q189" s="14"/>
      <c r="R189" s="65"/>
      <c r="S189" s="15" t="str">
        <f t="shared" si="545"/>
        <v>NO APLICA</v>
      </c>
      <c r="T189" s="12" t="s">
        <v>663</v>
      </c>
      <c r="U189" s="13">
        <v>44800</v>
      </c>
      <c r="V189" s="14">
        <v>44801</v>
      </c>
      <c r="W189" s="14">
        <f t="shared" si="577"/>
        <v>46627</v>
      </c>
      <c r="X189" s="65">
        <f t="shared" ca="1" si="578"/>
        <v>496</v>
      </c>
      <c r="Y189" s="15" t="str">
        <f t="shared" ca="1" si="595"/>
        <v>VIGENTE</v>
      </c>
      <c r="Z189" s="12"/>
      <c r="AA189" s="12"/>
      <c r="AB189" s="16"/>
      <c r="AC189" s="14"/>
      <c r="AD189" s="65"/>
      <c r="AE189" s="15" t="str">
        <f t="shared" si="598"/>
        <v>NO APLICA</v>
      </c>
      <c r="AF189" s="13">
        <v>44593</v>
      </c>
      <c r="AG189" s="14">
        <v>45936</v>
      </c>
      <c r="AH189" s="14">
        <f t="shared" si="682"/>
        <v>46666</v>
      </c>
      <c r="AI189" s="65">
        <f t="shared" ca="1" si="450"/>
        <v>535</v>
      </c>
      <c r="AJ189" s="15" t="str">
        <f t="shared" ca="1" si="592"/>
        <v>VIGENTE</v>
      </c>
      <c r="AK189" s="13">
        <v>45236</v>
      </c>
      <c r="AL189" s="14">
        <v>45903</v>
      </c>
      <c r="AM189" s="14">
        <f t="shared" si="665"/>
        <v>46633</v>
      </c>
      <c r="AN189" s="65">
        <f t="shared" ca="1" si="451"/>
        <v>502</v>
      </c>
      <c r="AO189" s="15" t="str">
        <f t="shared" ca="1" si="452"/>
        <v>VIGENTE</v>
      </c>
      <c r="AP189" s="13">
        <v>44680</v>
      </c>
      <c r="AQ189" s="14">
        <v>45904</v>
      </c>
      <c r="AR189" s="14">
        <f t="shared" si="666"/>
        <v>46634</v>
      </c>
      <c r="AS189" s="65">
        <f t="shared" ca="1" si="453"/>
        <v>503</v>
      </c>
      <c r="AT189" s="15" t="str">
        <f t="shared" ca="1" si="454"/>
        <v>VIGENTE</v>
      </c>
      <c r="AU189" s="13">
        <v>44680</v>
      </c>
      <c r="AV189" s="14">
        <v>45990</v>
      </c>
      <c r="AW189" s="14">
        <f>DATE(YEAR(AV189)+2,MONTH(AV189),DAY(AV189))</f>
        <v>46720</v>
      </c>
      <c r="AX189" s="65">
        <f t="shared" ca="1" si="455"/>
        <v>589</v>
      </c>
      <c r="AY189" s="15" t="str">
        <f t="shared" ca="1" si="456"/>
        <v>VIGENTE</v>
      </c>
      <c r="AZ189" s="13">
        <v>45234</v>
      </c>
      <c r="BA189" s="14">
        <v>45603</v>
      </c>
      <c r="BB189" s="14">
        <f t="shared" si="615"/>
        <v>46332</v>
      </c>
      <c r="BC189" s="65">
        <f t="shared" ca="1" si="457"/>
        <v>201</v>
      </c>
      <c r="BD189" s="15" t="str">
        <f t="shared" ca="1" si="458"/>
        <v>VIGENTE</v>
      </c>
      <c r="BE189" s="13">
        <v>45302</v>
      </c>
      <c r="BF189" s="14">
        <v>45968</v>
      </c>
      <c r="BG189" s="14">
        <f>DATE(YEAR(BF189)+2,MONTH(BF189),DAY(BF189))</f>
        <v>46698</v>
      </c>
      <c r="BH189" s="65">
        <f t="shared" ca="1" si="459"/>
        <v>567</v>
      </c>
      <c r="BI189" s="15" t="str">
        <f t="shared" ca="1" si="460"/>
        <v>VIGENTE</v>
      </c>
      <c r="BJ189" s="13">
        <v>44795</v>
      </c>
      <c r="BK189" s="14">
        <v>46090</v>
      </c>
      <c r="BL189" s="14">
        <f t="shared" si="668"/>
        <v>46821</v>
      </c>
      <c r="BM189" s="65">
        <f t="shared" ca="1" si="461"/>
        <v>690</v>
      </c>
      <c r="BN189" s="15" t="str">
        <f t="shared" ca="1" si="462"/>
        <v>VIGENTE</v>
      </c>
      <c r="BO189" s="13">
        <v>44798</v>
      </c>
      <c r="BP189" s="14">
        <v>45447</v>
      </c>
      <c r="BQ189" s="14">
        <f>DATE(YEAR(BP189)+2,MONTH(BP189),DAY(BP189)-1)</f>
        <v>46176</v>
      </c>
      <c r="BR189" s="65">
        <f t="shared" ca="1" si="463"/>
        <v>45</v>
      </c>
      <c r="BS189" s="15" t="str">
        <f t="shared" ca="1" si="464"/>
        <v>POR VENCER</v>
      </c>
      <c r="BT189" s="13">
        <v>45183</v>
      </c>
      <c r="BU189" s="14">
        <v>45853</v>
      </c>
      <c r="BV189" s="14">
        <f>DATE(YEAR(BU189)+2,MONTH(BU189),DAY(BU189))</f>
        <v>46583</v>
      </c>
      <c r="BW189" s="65">
        <f t="shared" ca="1" si="465"/>
        <v>452</v>
      </c>
      <c r="BX189" s="15" t="str">
        <f t="shared" ca="1" si="466"/>
        <v>VIGENTE</v>
      </c>
      <c r="BY189" s="13">
        <v>44594</v>
      </c>
      <c r="BZ189" s="14">
        <v>45944</v>
      </c>
      <c r="CA189" s="14">
        <f t="shared" si="669"/>
        <v>46674</v>
      </c>
      <c r="CB189" s="65">
        <f t="shared" ca="1" si="467"/>
        <v>543</v>
      </c>
      <c r="CC189" s="15" t="str">
        <f t="shared" ca="1" si="468"/>
        <v>VIGENTE</v>
      </c>
      <c r="CD189" s="16" t="s">
        <v>108</v>
      </c>
      <c r="CE189" s="14">
        <v>45615</v>
      </c>
      <c r="CF189" s="14">
        <v>45616</v>
      </c>
      <c r="CG189" s="14">
        <f t="shared" si="580"/>
        <v>47077</v>
      </c>
      <c r="CH189" s="65">
        <f t="shared" ca="1" si="581"/>
        <v>946</v>
      </c>
      <c r="CI189" s="15" t="str">
        <f t="shared" ca="1" si="562"/>
        <v>VIGENTE</v>
      </c>
      <c r="CJ189" s="14">
        <v>44872</v>
      </c>
      <c r="CK189" s="14">
        <v>45504</v>
      </c>
      <c r="CL189" s="14">
        <f t="shared" si="620"/>
        <v>46233</v>
      </c>
      <c r="CM189" s="65">
        <f t="shared" ca="1" si="469"/>
        <v>102</v>
      </c>
      <c r="CN189" s="15" t="str">
        <f t="shared" ca="1" si="470"/>
        <v>VIGENTE</v>
      </c>
      <c r="CO189" s="13">
        <v>44900</v>
      </c>
      <c r="CP189" s="14">
        <v>45517</v>
      </c>
      <c r="CQ189" s="14">
        <f t="shared" si="621"/>
        <v>46246</v>
      </c>
      <c r="CR189" s="65">
        <f t="shared" ca="1" si="471"/>
        <v>115</v>
      </c>
      <c r="CS189" s="15" t="str">
        <f t="shared" ca="1" si="472"/>
        <v>VIGENTE</v>
      </c>
      <c r="CT189" s="13">
        <v>44679</v>
      </c>
      <c r="CU189" s="14">
        <v>45905</v>
      </c>
      <c r="CV189" s="14">
        <f t="shared" si="683"/>
        <v>46635</v>
      </c>
      <c r="CW189" s="65">
        <f t="shared" ca="1" si="473"/>
        <v>504</v>
      </c>
      <c r="CX189" s="15" t="str">
        <f t="shared" ca="1" si="474"/>
        <v>VIGENTE</v>
      </c>
      <c r="CY189" s="13">
        <v>44681</v>
      </c>
      <c r="CZ189" s="14">
        <v>45924</v>
      </c>
      <c r="DA189" s="14">
        <f t="shared" si="684"/>
        <v>46654</v>
      </c>
      <c r="DB189" s="65">
        <f t="shared" ca="1" si="475"/>
        <v>523</v>
      </c>
      <c r="DC189" s="15" t="str">
        <f t="shared" ca="1" si="476"/>
        <v>VIGENTE</v>
      </c>
      <c r="DD189" s="13">
        <v>44798</v>
      </c>
      <c r="DE189" s="14">
        <v>45463</v>
      </c>
      <c r="DF189" s="14">
        <f t="shared" si="624"/>
        <v>46192</v>
      </c>
      <c r="DG189" s="65">
        <f t="shared" ca="1" si="477"/>
        <v>61</v>
      </c>
      <c r="DH189" s="15" t="str">
        <f t="shared" ca="1" si="478"/>
        <v>POR VENCER</v>
      </c>
      <c r="DI189" s="13">
        <v>45251</v>
      </c>
      <c r="DJ189" s="14">
        <v>45899</v>
      </c>
      <c r="DK189" s="14">
        <f t="shared" si="671"/>
        <v>46629</v>
      </c>
      <c r="DL189" s="65">
        <f t="shared" ca="1" si="479"/>
        <v>498</v>
      </c>
      <c r="DM189" s="15" t="str">
        <f t="shared" ca="1" si="480"/>
        <v>VIGENTE</v>
      </c>
      <c r="DN189" s="13">
        <v>45316</v>
      </c>
      <c r="DO189" s="14">
        <v>45982</v>
      </c>
      <c r="DP189" s="14">
        <f t="shared" si="672"/>
        <v>46712</v>
      </c>
      <c r="DQ189" s="65">
        <f t="shared" ca="1" si="481"/>
        <v>581</v>
      </c>
      <c r="DR189" s="15" t="str">
        <f t="shared" ca="1" si="482"/>
        <v>VIGENTE</v>
      </c>
      <c r="DS189" s="13">
        <v>44935</v>
      </c>
      <c r="DT189" s="14">
        <v>45608</v>
      </c>
      <c r="DU189" s="14">
        <f t="shared" si="659"/>
        <v>46337</v>
      </c>
      <c r="DV189" s="65">
        <f t="shared" ca="1" si="483"/>
        <v>206</v>
      </c>
      <c r="DW189" s="15" t="str">
        <f t="shared" ca="1" si="484"/>
        <v>VIGENTE</v>
      </c>
      <c r="DX189" s="13">
        <v>44931</v>
      </c>
      <c r="DY189" s="14">
        <v>45612</v>
      </c>
      <c r="DZ189" s="14">
        <f t="shared" si="627"/>
        <v>46341</v>
      </c>
      <c r="EA189" s="65">
        <f t="shared" ca="1" si="485"/>
        <v>210</v>
      </c>
      <c r="EB189" s="15" t="str">
        <f t="shared" ca="1" si="486"/>
        <v>VIGENTE</v>
      </c>
      <c r="EC189" s="13">
        <v>45070</v>
      </c>
      <c r="ED189" s="14">
        <v>45674</v>
      </c>
      <c r="EE189" s="14">
        <f>DATE(YEAR(ED189)+2,MONTH(ED189),DAY(ED189)-1)</f>
        <v>46403</v>
      </c>
      <c r="EF189" s="65">
        <f t="shared" ca="1" si="487"/>
        <v>272</v>
      </c>
      <c r="EG189" s="15" t="str">
        <f t="shared" ca="1" si="488"/>
        <v>VIGENTE</v>
      </c>
      <c r="EH189" s="13">
        <v>45000</v>
      </c>
      <c r="EI189" s="13">
        <v>46083</v>
      </c>
      <c r="EJ189" s="13">
        <v>46084</v>
      </c>
      <c r="EK189" s="13">
        <v>46085</v>
      </c>
      <c r="EL189" s="14">
        <f t="shared" si="546"/>
        <v>46450</v>
      </c>
      <c r="EM189" s="65">
        <f t="shared" ca="1" si="489"/>
        <v>319</v>
      </c>
      <c r="EN189" s="15" t="str">
        <f t="shared" ca="1" si="490"/>
        <v>VIGENTE</v>
      </c>
      <c r="EO189" s="13">
        <v>44796</v>
      </c>
      <c r="EP189" s="14">
        <v>45465</v>
      </c>
      <c r="EQ189" s="14">
        <f t="shared" si="629"/>
        <v>46194</v>
      </c>
      <c r="ER189" s="65">
        <f t="shared" ca="1" si="491"/>
        <v>63</v>
      </c>
      <c r="ES189" s="15" t="str">
        <f t="shared" ca="1" si="492"/>
        <v>POR VENCER</v>
      </c>
      <c r="ET189" s="13">
        <v>44929</v>
      </c>
      <c r="EU189" s="14">
        <v>45575</v>
      </c>
      <c r="EV189" s="14">
        <f t="shared" si="660"/>
        <v>46304</v>
      </c>
      <c r="EW189" s="65">
        <f t="shared" ca="1" si="493"/>
        <v>173</v>
      </c>
      <c r="EX189" s="15" t="str">
        <f t="shared" ca="1" si="494"/>
        <v>VIGENTE</v>
      </c>
      <c r="EY189" s="13">
        <v>44595</v>
      </c>
      <c r="EZ189" s="14">
        <v>45917</v>
      </c>
      <c r="FA189" s="14">
        <f t="shared" si="676"/>
        <v>46647</v>
      </c>
      <c r="FB189" s="65">
        <f t="shared" ca="1" si="495"/>
        <v>516</v>
      </c>
      <c r="FC189" s="15" t="str">
        <f t="shared" ca="1" si="496"/>
        <v>VIGENTE</v>
      </c>
      <c r="FD189" s="13">
        <v>44936</v>
      </c>
      <c r="FE189" s="14">
        <v>45611</v>
      </c>
      <c r="FF189" s="14">
        <f t="shared" si="662"/>
        <v>46340</v>
      </c>
      <c r="FG189" s="65">
        <f t="shared" ca="1" si="497"/>
        <v>209</v>
      </c>
      <c r="FH189" s="15" t="str">
        <f t="shared" ca="1" si="498"/>
        <v>VIGENTE</v>
      </c>
      <c r="FI189" s="13">
        <v>44596</v>
      </c>
      <c r="FJ189" s="14">
        <v>45932</v>
      </c>
      <c r="FK189" s="14">
        <f t="shared" si="678"/>
        <v>46662</v>
      </c>
      <c r="FL189" s="65">
        <f t="shared" ca="1" si="499"/>
        <v>531</v>
      </c>
      <c r="FM189" s="15" t="str">
        <f t="shared" ca="1" si="500"/>
        <v>VIGENTE</v>
      </c>
      <c r="FN189" s="13">
        <v>44932</v>
      </c>
      <c r="FO189" s="14">
        <v>45588</v>
      </c>
      <c r="FP189" s="14">
        <f t="shared" si="663"/>
        <v>46317</v>
      </c>
      <c r="FQ189" s="65">
        <f t="shared" ca="1" si="501"/>
        <v>186</v>
      </c>
      <c r="FR189" s="15" t="str">
        <f t="shared" ca="1" si="502"/>
        <v>VIGENTE</v>
      </c>
      <c r="FS189" s="13">
        <v>44797</v>
      </c>
      <c r="FT189" s="14">
        <v>45466</v>
      </c>
      <c r="FU189" s="14">
        <f t="shared" si="634"/>
        <v>46195</v>
      </c>
      <c r="FV189" s="65">
        <f t="shared" ca="1" si="503"/>
        <v>64</v>
      </c>
      <c r="FW189" s="15" t="str">
        <f t="shared" ca="1" si="504"/>
        <v>POR VENCER</v>
      </c>
      <c r="FX189" s="13">
        <v>44596</v>
      </c>
      <c r="FY189" s="14">
        <v>45941</v>
      </c>
      <c r="FZ189" s="14">
        <f t="shared" si="685"/>
        <v>46671</v>
      </c>
      <c r="GA189" s="65">
        <f t="shared" ca="1" si="505"/>
        <v>540</v>
      </c>
      <c r="GB189" s="15" t="str">
        <f t="shared" ca="1" si="506"/>
        <v>VIGENTE</v>
      </c>
      <c r="GC189" s="13">
        <v>44995</v>
      </c>
      <c r="GD189" s="14">
        <v>45667</v>
      </c>
      <c r="GE189" s="14">
        <f t="shared" si="636"/>
        <v>46396</v>
      </c>
      <c r="GF189" s="65">
        <f t="shared" ca="1" si="507"/>
        <v>265</v>
      </c>
      <c r="GG189" s="15" t="str">
        <f t="shared" ca="1" si="508"/>
        <v>VIGENTE</v>
      </c>
      <c r="GH189" s="13">
        <v>44796</v>
      </c>
      <c r="GI189" s="14">
        <v>46092</v>
      </c>
      <c r="GJ189" s="14">
        <f t="shared" si="681"/>
        <v>46823</v>
      </c>
      <c r="GK189" s="65">
        <f t="shared" ca="1" si="509"/>
        <v>692</v>
      </c>
      <c r="GL189" s="15" t="str">
        <f t="shared" ca="1" si="510"/>
        <v>VIGENTE</v>
      </c>
      <c r="GM189" s="13">
        <v>45275</v>
      </c>
      <c r="GN189" s="14">
        <v>45945</v>
      </c>
      <c r="GO189" s="14">
        <f t="shared" ref="GO189:GO190" si="687">DATE(YEAR(GN189)+2,MONTH(GN189),DAY(GN189))</f>
        <v>46675</v>
      </c>
      <c r="GP189" s="65">
        <f t="shared" ca="1" si="511"/>
        <v>544</v>
      </c>
      <c r="GQ189" s="15" t="str">
        <f t="shared" ca="1" si="512"/>
        <v>VIGENTE</v>
      </c>
      <c r="GR189" s="14"/>
      <c r="GS189" s="14">
        <v>45048</v>
      </c>
      <c r="GT189" s="14">
        <f t="shared" si="513"/>
        <v>46875</v>
      </c>
      <c r="GU189" s="65">
        <f t="shared" ca="1" si="591"/>
        <v>744</v>
      </c>
      <c r="GV189" s="15" t="str">
        <f t="shared" ca="1" si="601"/>
        <v>VIGENTE</v>
      </c>
      <c r="GW189" s="13"/>
      <c r="GX189" s="14">
        <v>44979</v>
      </c>
      <c r="GY189" s="14">
        <f t="shared" si="514"/>
        <v>46805</v>
      </c>
      <c r="GZ189" s="65">
        <f t="shared" ca="1" si="515"/>
        <v>674</v>
      </c>
      <c r="HA189" s="15" t="str">
        <f t="shared" ca="1" si="602"/>
        <v>VIGENTE</v>
      </c>
      <c r="HB189" s="12"/>
      <c r="HC189" s="14">
        <v>45003</v>
      </c>
      <c r="HD189" s="14">
        <f t="shared" si="516"/>
        <v>46830</v>
      </c>
      <c r="HE189" s="65">
        <f t="shared" ca="1" si="517"/>
        <v>699</v>
      </c>
      <c r="HF189" s="15" t="str">
        <f t="shared" ca="1" si="603"/>
        <v>VIGENTE</v>
      </c>
      <c r="HG189" s="16"/>
      <c r="HH189" s="16"/>
      <c r="HI189" s="14"/>
      <c r="HJ189" s="65"/>
      <c r="HK189" s="15" t="str">
        <f t="shared" si="604"/>
        <v>NO APLICA</v>
      </c>
      <c r="HL189" s="12"/>
      <c r="HM189" s="16"/>
      <c r="HN189" s="14"/>
      <c r="HO189" s="65"/>
      <c r="HP189" s="15" t="str">
        <f t="shared" si="686"/>
        <v>NO APLICA</v>
      </c>
      <c r="HQ189" s="12"/>
      <c r="HR189" s="12"/>
      <c r="HS189" s="14"/>
      <c r="HT189" s="12"/>
      <c r="HU189" s="15" t="str">
        <f t="shared" si="518"/>
        <v>NO APLICA</v>
      </c>
      <c r="HV189" s="12"/>
      <c r="HW189" s="16"/>
      <c r="HX189" s="14"/>
      <c r="HY189" s="65"/>
      <c r="HZ189" s="15" t="str">
        <f t="shared" si="519"/>
        <v>NO APLICA</v>
      </c>
      <c r="IA189" s="12"/>
      <c r="IB189" s="16"/>
      <c r="IC189" s="14"/>
      <c r="ID189" s="65"/>
      <c r="IE189" s="15" t="str">
        <f t="shared" si="520"/>
        <v>NO APLICA</v>
      </c>
      <c r="IF189" s="12"/>
      <c r="IG189" s="16"/>
      <c r="IH189" s="14"/>
      <c r="II189" s="65"/>
      <c r="IJ189" s="15" t="str">
        <f t="shared" si="521"/>
        <v>NO APLICA</v>
      </c>
      <c r="IK189" s="16"/>
      <c r="IL189" s="16"/>
      <c r="IM189" s="14"/>
      <c r="IN189" s="65"/>
      <c r="IO189" s="15" t="str">
        <f t="shared" si="522"/>
        <v>NO APLICA</v>
      </c>
      <c r="IP189" s="12"/>
      <c r="IQ189" s="16"/>
      <c r="IR189" s="14"/>
      <c r="IS189" s="65"/>
      <c r="IT189" s="15" t="str">
        <f t="shared" si="523"/>
        <v>NO APLICA</v>
      </c>
      <c r="IU189" s="12"/>
      <c r="IV189" s="16"/>
      <c r="IW189" s="14"/>
      <c r="IX189" s="65"/>
      <c r="IY189" s="15" t="str">
        <f t="shared" si="524"/>
        <v>NO APLICA</v>
      </c>
      <c r="IZ189" s="12"/>
      <c r="JA189" s="16"/>
      <c r="JB189" s="14"/>
      <c r="JC189" s="65"/>
      <c r="JD189" s="15" t="str">
        <f t="shared" si="525"/>
        <v>NO APLICA</v>
      </c>
      <c r="JE189" s="13"/>
      <c r="JF189" s="13"/>
      <c r="JG189" s="14"/>
      <c r="JH189" s="65"/>
      <c r="JI189" s="15" t="str">
        <f t="shared" si="526"/>
        <v>NO APLICA</v>
      </c>
      <c r="JJ189" s="16"/>
      <c r="JK189" s="16"/>
      <c r="JL189" s="16"/>
      <c r="JM189" s="15" t="str">
        <f t="shared" si="527"/>
        <v>NO APLICA</v>
      </c>
      <c r="JN189" s="16"/>
      <c r="JO189" s="16"/>
      <c r="JP189" s="16"/>
      <c r="JQ189" s="15" t="str">
        <f t="shared" si="528"/>
        <v>NO APLICA</v>
      </c>
      <c r="JR189" s="16"/>
      <c r="JS189" s="16"/>
      <c r="JT189" s="16"/>
      <c r="JU189" s="16"/>
      <c r="JV189" s="15" t="str">
        <f t="shared" si="529"/>
        <v>NO APLICA</v>
      </c>
      <c r="JW189" s="15"/>
      <c r="JX189" s="15"/>
      <c r="JY189" s="15"/>
      <c r="JZ189" s="15"/>
      <c r="KA189" s="15" t="str">
        <f t="shared" si="530"/>
        <v>NO APLICA</v>
      </c>
      <c r="KB189" s="12"/>
      <c r="KC189" s="14"/>
      <c r="KD189" s="65"/>
      <c r="KE189" s="15" t="str">
        <f t="shared" si="531"/>
        <v>NO APLICA</v>
      </c>
      <c r="KF189" s="12"/>
      <c r="KG189" s="14"/>
      <c r="KH189" s="65"/>
      <c r="KI189" s="15" t="str">
        <f t="shared" si="547"/>
        <v>NO APLICA</v>
      </c>
      <c r="KJ189" s="12"/>
      <c r="KK189" s="14"/>
      <c r="KL189" s="65"/>
      <c r="KM189" s="15" t="str">
        <f t="shared" si="532"/>
        <v>NO APLICA</v>
      </c>
      <c r="KN189" s="12"/>
      <c r="KO189" s="14"/>
      <c r="KP189" s="65"/>
      <c r="KQ189" s="15" t="str">
        <f t="shared" si="548"/>
        <v>NO APLICA</v>
      </c>
      <c r="KR189" s="12"/>
      <c r="KS189" s="16"/>
      <c r="KT189" s="14"/>
      <c r="KU189" s="65"/>
      <c r="KV189" s="15" t="str">
        <f t="shared" si="554"/>
        <v>NO APLICA</v>
      </c>
      <c r="KW189" s="16"/>
      <c r="KX189" s="14"/>
      <c r="KY189" s="65"/>
      <c r="KZ189" s="15" t="str">
        <f t="shared" si="549"/>
        <v>NO APLICA</v>
      </c>
      <c r="LA189" s="16"/>
      <c r="LB189" s="16"/>
      <c r="LC189" s="14"/>
      <c r="LD189" s="65"/>
      <c r="LE189" s="15" t="str">
        <f t="shared" si="590"/>
        <v>NO APLICA</v>
      </c>
      <c r="LF189" s="15"/>
      <c r="LG189" s="15"/>
      <c r="LH189" s="15"/>
      <c r="LI189" s="15"/>
      <c r="LJ189" s="15" t="str">
        <f t="shared" si="555"/>
        <v>NO APLICA</v>
      </c>
      <c r="LK189" s="12"/>
      <c r="LL189" s="16"/>
      <c r="LM189" s="14"/>
      <c r="LN189" s="65"/>
      <c r="LO189" s="15" t="str">
        <f t="shared" si="550"/>
        <v>NO APLICA</v>
      </c>
      <c r="LP189" s="16"/>
      <c r="LQ189" s="16"/>
      <c r="LR189" s="14"/>
      <c r="LS189" s="65"/>
      <c r="LT189" s="15" t="str">
        <f t="shared" si="551"/>
        <v>NO APLICA</v>
      </c>
      <c r="LU189" s="16"/>
      <c r="LV189" s="16"/>
      <c r="LW189" s="14"/>
      <c r="LX189" s="65"/>
      <c r="LY189" s="15" t="str">
        <f t="shared" si="552"/>
        <v>NO APLICA</v>
      </c>
      <c r="LZ189" s="12"/>
      <c r="MA189" s="12"/>
      <c r="MB189" s="14"/>
      <c r="MC189" s="65"/>
      <c r="MD189" s="15" t="str">
        <f t="shared" si="534"/>
        <v>NO APLICA</v>
      </c>
      <c r="ME189" s="12"/>
      <c r="MF189" s="12"/>
      <c r="MG189" s="14"/>
      <c r="MH189" s="65"/>
      <c r="MI189" s="15" t="str">
        <f t="shared" si="535"/>
        <v>NO APLICA</v>
      </c>
      <c r="MJ189" s="12"/>
      <c r="MK189" s="14"/>
      <c r="ML189" s="65"/>
      <c r="MM189" s="15" t="str">
        <f t="shared" si="536"/>
        <v>NO APLICA</v>
      </c>
      <c r="MN189" s="12"/>
      <c r="MO189" s="14"/>
      <c r="MP189" s="12"/>
      <c r="MQ189" s="15" t="str">
        <f t="shared" si="537"/>
        <v>NO APLICA</v>
      </c>
      <c r="MR189" s="12"/>
      <c r="MS189" s="16"/>
      <c r="MT189" s="14"/>
      <c r="MU189" s="65"/>
      <c r="MV189" s="15" t="str">
        <f t="shared" si="538"/>
        <v>NO APLICA</v>
      </c>
      <c r="MW189" s="12"/>
      <c r="MX189" s="16"/>
      <c r="MY189" s="14"/>
      <c r="MZ189" s="65"/>
      <c r="NA189" s="15" t="str">
        <f t="shared" si="539"/>
        <v>NO APLICA</v>
      </c>
      <c r="NB189" s="12"/>
      <c r="NC189" s="16"/>
      <c r="ND189" s="14"/>
      <c r="NE189" s="65"/>
      <c r="NF189" s="15" t="str">
        <f t="shared" si="540"/>
        <v>NO APLICA</v>
      </c>
      <c r="NG189" s="12"/>
      <c r="NH189" s="12"/>
      <c r="NI189" s="14"/>
      <c r="NJ189" s="12"/>
      <c r="NK189" s="15" t="str">
        <f t="shared" si="541"/>
        <v>NO APLICA</v>
      </c>
      <c r="NL189" s="12"/>
      <c r="NM189" s="12"/>
      <c r="NN189" s="12"/>
      <c r="NO189" s="12"/>
      <c r="NP189" s="15" t="str">
        <f t="shared" si="542"/>
        <v>NO APLICA</v>
      </c>
      <c r="NQ189" s="16"/>
      <c r="NR189" s="16"/>
      <c r="NS189" s="14"/>
      <c r="NT189" s="65"/>
      <c r="NU189" s="15" t="str">
        <f t="shared" si="543"/>
        <v>NO APLICA</v>
      </c>
      <c r="NV189" s="16"/>
      <c r="NW189" s="16"/>
      <c r="NX189" s="16"/>
      <c r="NY189" s="16"/>
      <c r="NZ189" s="15" t="str">
        <f t="shared" si="544"/>
        <v>NO APLICA</v>
      </c>
    </row>
    <row r="190" spans="1:390" ht="15.6" thickTop="1" thickBot="1" x14ac:dyDescent="0.35">
      <c r="A190" s="11">
        <v>1677</v>
      </c>
      <c r="B190" s="10" t="s">
        <v>664</v>
      </c>
      <c r="C190" s="21" t="s">
        <v>98</v>
      </c>
      <c r="D190" s="64" t="s">
        <v>118</v>
      </c>
      <c r="E190" s="16"/>
      <c r="F190" s="16"/>
      <c r="G190" s="16"/>
      <c r="H190" s="65"/>
      <c r="I190" s="15" t="str">
        <f t="shared" ref="I190:I238" si="688">IF(H190&gt;=61,"VIGENTE",IF(H190&gt;=1,"POR VENCER",IF(H190&lt;=-1,"VENCIDA",IF(F190=0,"NO APLICA"))))</f>
        <v>NO APLICA</v>
      </c>
      <c r="J190" s="16"/>
      <c r="K190" s="16"/>
      <c r="L190" s="16"/>
      <c r="M190" s="65"/>
      <c r="N190" s="15" t="str">
        <f t="shared" si="449"/>
        <v>NO APLICA</v>
      </c>
      <c r="O190" s="14">
        <v>45589</v>
      </c>
      <c r="P190" s="14">
        <v>45590</v>
      </c>
      <c r="Q190" s="14">
        <f>DATE(YEAR(P190)+2,MONTH(P190),DAY(P190)-1)</f>
        <v>46319</v>
      </c>
      <c r="R190" s="65">
        <f ca="1">Q190-TODAY()</f>
        <v>188</v>
      </c>
      <c r="S190" s="15" t="str">
        <f ca="1">IF(R190&gt;=61,"VIGENTE",IF(R190&gt;=1,"POR VENCER",IF(R190&lt;=-1,"VENCIDA",IF(R190=0,"NO APLICA"))))</f>
        <v>VIGENTE</v>
      </c>
      <c r="T190" s="12" t="s">
        <v>665</v>
      </c>
      <c r="U190" s="14">
        <v>45141</v>
      </c>
      <c r="V190" s="14">
        <v>45142</v>
      </c>
      <c r="W190" s="14">
        <f t="shared" si="577"/>
        <v>46969</v>
      </c>
      <c r="X190" s="65">
        <f t="shared" ca="1" si="578"/>
        <v>838</v>
      </c>
      <c r="Y190" s="15" t="str">
        <f t="shared" ca="1" si="595"/>
        <v>VIGENTE</v>
      </c>
      <c r="Z190" s="12" t="s">
        <v>666</v>
      </c>
      <c r="AA190" s="14">
        <v>45191</v>
      </c>
      <c r="AB190" s="14">
        <v>45192</v>
      </c>
      <c r="AC190" s="14">
        <f>DATE(YEAR(AB190)+5,MONTH(AB190),DAY(AB190))</f>
        <v>47019</v>
      </c>
      <c r="AD190" s="65">
        <f ca="1">AC190-TODAY()</f>
        <v>888</v>
      </c>
      <c r="AE190" s="15" t="str">
        <f ca="1">IF(AD190&gt;=91,"VIGENTE",IF(AD190&gt;=1,"POR VENCER",IF(AD190&lt;=-1,"VENCIDA",IF(AB190=0,"NO APLICA"))))</f>
        <v>VIGENTE</v>
      </c>
      <c r="AF190" s="16"/>
      <c r="AG190" s="14">
        <v>45936</v>
      </c>
      <c r="AH190" s="14">
        <f t="shared" si="682"/>
        <v>46666</v>
      </c>
      <c r="AI190" s="65">
        <f t="shared" ca="1" si="450"/>
        <v>535</v>
      </c>
      <c r="AJ190" s="15" t="str">
        <f t="shared" ca="1" si="592"/>
        <v>VIGENTE</v>
      </c>
      <c r="AK190" s="16"/>
      <c r="AL190" s="14">
        <v>45937</v>
      </c>
      <c r="AM190" s="14">
        <f t="shared" si="665"/>
        <v>46667</v>
      </c>
      <c r="AN190" s="65">
        <f t="shared" ca="1" si="451"/>
        <v>536</v>
      </c>
      <c r="AO190" s="15" t="str">
        <f t="shared" ca="1" si="452"/>
        <v>VIGENTE</v>
      </c>
      <c r="AP190" s="16"/>
      <c r="AQ190" s="14">
        <v>45904</v>
      </c>
      <c r="AR190" s="14">
        <f t="shared" si="666"/>
        <v>46634</v>
      </c>
      <c r="AS190" s="65">
        <f t="shared" ca="1" si="453"/>
        <v>503</v>
      </c>
      <c r="AT190" s="15" t="str">
        <f t="shared" ca="1" si="454"/>
        <v>VIGENTE</v>
      </c>
      <c r="AU190" s="14">
        <v>45323</v>
      </c>
      <c r="AV190" s="14">
        <v>45972</v>
      </c>
      <c r="AW190" s="14">
        <f>DATE(YEAR(AV190)+2,MONTH(AV190),DAY(AV190))</f>
        <v>46702</v>
      </c>
      <c r="AX190" s="65">
        <f t="shared" ca="1" si="455"/>
        <v>571</v>
      </c>
      <c r="AY190" s="15" t="str">
        <f t="shared" ca="1" si="456"/>
        <v>VIGENTE</v>
      </c>
      <c r="AZ190" s="13">
        <v>45387</v>
      </c>
      <c r="BA190" s="14">
        <v>46041</v>
      </c>
      <c r="BB190" s="14">
        <f>DATE(YEAR(BA190)+2,MONTH(BA190),DAY(BA190))</f>
        <v>46771</v>
      </c>
      <c r="BC190" s="65">
        <f t="shared" ca="1" si="457"/>
        <v>640</v>
      </c>
      <c r="BD190" s="15" t="str">
        <f t="shared" ca="1" si="458"/>
        <v>VIGENTE</v>
      </c>
      <c r="BE190" s="16"/>
      <c r="BF190" s="14">
        <v>45997</v>
      </c>
      <c r="BG190" s="14">
        <f>DATE(YEAR(BF190)+2,MONTH(BF190),DAY(BF190))</f>
        <v>46727</v>
      </c>
      <c r="BH190" s="65">
        <f t="shared" ca="1" si="459"/>
        <v>596</v>
      </c>
      <c r="BI190" s="15" t="str">
        <f t="shared" ca="1" si="460"/>
        <v>VIGENTE</v>
      </c>
      <c r="BJ190" s="14">
        <v>45348</v>
      </c>
      <c r="BK190" s="14">
        <v>46017</v>
      </c>
      <c r="BL190" s="14">
        <f t="shared" si="668"/>
        <v>46747</v>
      </c>
      <c r="BM190" s="65">
        <f t="shared" ca="1" si="461"/>
        <v>616</v>
      </c>
      <c r="BN190" s="15" t="str">
        <f t="shared" ca="1" si="462"/>
        <v>VIGENTE</v>
      </c>
      <c r="BO190" s="14"/>
      <c r="BP190" s="14">
        <v>45988</v>
      </c>
      <c r="BQ190" s="14">
        <f>DATE(YEAR(BP190)+2,MONTH(BP190),DAY(BP190))</f>
        <v>46718</v>
      </c>
      <c r="BR190" s="65">
        <f t="shared" ca="1" si="463"/>
        <v>587</v>
      </c>
      <c r="BS190" s="15" t="str">
        <f t="shared" ca="1" si="464"/>
        <v>VIGENTE</v>
      </c>
      <c r="BT190" s="13">
        <v>45362</v>
      </c>
      <c r="BU190" s="14">
        <v>46031</v>
      </c>
      <c r="BV190" s="14">
        <f>DATE(YEAR(BU190)+2,MONTH(BU190),DAY(BU190))</f>
        <v>46761</v>
      </c>
      <c r="BW190" s="65">
        <f t="shared" ca="1" si="465"/>
        <v>630</v>
      </c>
      <c r="BX190" s="15" t="str">
        <f t="shared" ca="1" si="466"/>
        <v>VIGENTE</v>
      </c>
      <c r="BY190" s="16"/>
      <c r="BZ190" s="14">
        <v>45986</v>
      </c>
      <c r="CA190" s="14">
        <f t="shared" si="669"/>
        <v>46716</v>
      </c>
      <c r="CB190" s="65">
        <f t="shared" ca="1" si="467"/>
        <v>585</v>
      </c>
      <c r="CC190" s="15" t="str">
        <f t="shared" ca="1" si="468"/>
        <v>VIGENTE</v>
      </c>
      <c r="CD190" s="16" t="s">
        <v>102</v>
      </c>
      <c r="CE190" s="14">
        <v>45827</v>
      </c>
      <c r="CF190" s="14">
        <v>45828</v>
      </c>
      <c r="CG190" s="14">
        <f t="shared" si="580"/>
        <v>47289</v>
      </c>
      <c r="CH190" s="65">
        <f t="shared" ca="1" si="581"/>
        <v>1158</v>
      </c>
      <c r="CI190" s="15" t="str">
        <f t="shared" ca="1" si="562"/>
        <v>VIGENTE</v>
      </c>
      <c r="CJ190" s="14">
        <v>45353</v>
      </c>
      <c r="CK190" s="14">
        <v>46018</v>
      </c>
      <c r="CL190" s="14">
        <f>DATE(YEAR(CK190)+2,MONTH(CK190),DAY(CK190))</f>
        <v>46748</v>
      </c>
      <c r="CM190" s="65">
        <f t="shared" ca="1" si="469"/>
        <v>617</v>
      </c>
      <c r="CN190" s="15" t="str">
        <f t="shared" ca="1" si="470"/>
        <v>VIGENTE</v>
      </c>
      <c r="CO190" s="14">
        <v>45305</v>
      </c>
      <c r="CP190" s="14">
        <v>45979</v>
      </c>
      <c r="CQ190" s="14">
        <f>DATE(YEAR(CP190)+2,MONTH(CP190),DAY(CP190))</f>
        <v>46709</v>
      </c>
      <c r="CR190" s="65">
        <f t="shared" ca="1" si="471"/>
        <v>578</v>
      </c>
      <c r="CS190" s="15" t="str">
        <f t="shared" ca="1" si="472"/>
        <v>VIGENTE</v>
      </c>
      <c r="CT190" s="16"/>
      <c r="CU190" s="14">
        <v>45905</v>
      </c>
      <c r="CV190" s="14">
        <f t="shared" si="683"/>
        <v>46635</v>
      </c>
      <c r="CW190" s="65">
        <f t="shared" ca="1" si="473"/>
        <v>504</v>
      </c>
      <c r="CX190" s="15" t="str">
        <f t="shared" ca="1" si="474"/>
        <v>VIGENTE</v>
      </c>
      <c r="CY190" s="14"/>
      <c r="CZ190" s="14">
        <v>46000</v>
      </c>
      <c r="DA190" s="14">
        <f t="shared" si="684"/>
        <v>46730</v>
      </c>
      <c r="DB190" s="65">
        <f t="shared" ca="1" si="475"/>
        <v>599</v>
      </c>
      <c r="DC190" s="15" t="str">
        <f t="shared" ca="1" si="476"/>
        <v>VIGENTE</v>
      </c>
      <c r="DD190" s="13">
        <v>45328</v>
      </c>
      <c r="DE190" s="14">
        <v>45996</v>
      </c>
      <c r="DF190" s="14">
        <f>DATE(YEAR(DE190)+2,MONTH(DE190),DAY(DE190))</f>
        <v>46726</v>
      </c>
      <c r="DG190" s="65">
        <f t="shared" ca="1" si="477"/>
        <v>595</v>
      </c>
      <c r="DH190" s="15" t="str">
        <f t="shared" ca="1" si="478"/>
        <v>VIGENTE</v>
      </c>
      <c r="DI190" s="14">
        <v>45312</v>
      </c>
      <c r="DJ190" s="14">
        <v>45975</v>
      </c>
      <c r="DK190" s="14">
        <f t="shared" si="671"/>
        <v>46705</v>
      </c>
      <c r="DL190" s="65">
        <f t="shared" ca="1" si="479"/>
        <v>574</v>
      </c>
      <c r="DM190" s="15" t="str">
        <f t="shared" ca="1" si="480"/>
        <v>VIGENTE</v>
      </c>
      <c r="DN190" s="14">
        <v>45345</v>
      </c>
      <c r="DO190" s="14">
        <v>45982</v>
      </c>
      <c r="DP190" s="14">
        <f t="shared" si="672"/>
        <v>46712</v>
      </c>
      <c r="DQ190" s="65">
        <f t="shared" ca="1" si="481"/>
        <v>581</v>
      </c>
      <c r="DR190" s="15" t="str">
        <f t="shared" ca="1" si="482"/>
        <v>VIGENTE</v>
      </c>
      <c r="DS190" s="14">
        <v>45336</v>
      </c>
      <c r="DT190" s="13">
        <v>46009</v>
      </c>
      <c r="DU190" s="14">
        <f>DATE(YEAR(DT190)+2,MONTH(DT190),DAY(DT190))</f>
        <v>46739</v>
      </c>
      <c r="DV190" s="65">
        <f t="shared" ca="1" si="483"/>
        <v>608</v>
      </c>
      <c r="DW190" s="15" t="str">
        <f t="shared" ca="1" si="484"/>
        <v>VIGENTE</v>
      </c>
      <c r="DX190" s="14">
        <v>45355</v>
      </c>
      <c r="DY190" s="14">
        <v>46032</v>
      </c>
      <c r="DZ190" s="14">
        <f>DATE(YEAR(DY190)+2,MONTH(DY190),DAY(DY190))</f>
        <v>46762</v>
      </c>
      <c r="EA190" s="65">
        <f t="shared" ca="1" si="485"/>
        <v>631</v>
      </c>
      <c r="EB190" s="15" t="str">
        <f t="shared" ca="1" si="486"/>
        <v>VIGENTE</v>
      </c>
      <c r="EC190" s="14">
        <v>45341</v>
      </c>
      <c r="ED190" s="14">
        <v>45994</v>
      </c>
      <c r="EE190" s="14">
        <f>DATE(YEAR(ED190)+2,MONTH(ED190),DAY(ED190))</f>
        <v>46724</v>
      </c>
      <c r="EF190" s="65">
        <f t="shared" ca="1" si="487"/>
        <v>593</v>
      </c>
      <c r="EG190" s="15" t="str">
        <f t="shared" ca="1" si="488"/>
        <v>VIGENTE</v>
      </c>
      <c r="EH190" s="14"/>
      <c r="EI190" s="13">
        <v>46013</v>
      </c>
      <c r="EJ190" s="13">
        <v>46014</v>
      </c>
      <c r="EK190" s="13">
        <v>46015</v>
      </c>
      <c r="EL190" s="14">
        <f t="shared" si="546"/>
        <v>46380</v>
      </c>
      <c r="EM190" s="65">
        <f t="shared" ca="1" si="489"/>
        <v>249</v>
      </c>
      <c r="EN190" s="15" t="str">
        <f t="shared" ca="1" si="490"/>
        <v>VIGENTE</v>
      </c>
      <c r="EO190" s="13">
        <v>45346</v>
      </c>
      <c r="EP190" s="14">
        <v>45983</v>
      </c>
      <c r="EQ190" s="14">
        <f>DATE(YEAR(EP190)+2,MONTH(EP190),DAY(EP190))</f>
        <v>46713</v>
      </c>
      <c r="ER190" s="65">
        <f t="shared" ca="1" si="491"/>
        <v>582</v>
      </c>
      <c r="ES190" s="15" t="str">
        <f t="shared" ca="1" si="492"/>
        <v>VIGENTE</v>
      </c>
      <c r="ET190" s="16"/>
      <c r="EU190" s="14">
        <v>45999</v>
      </c>
      <c r="EV190" s="14">
        <f>DATE(YEAR(EU190)+2,MONTH(EU190),DAY(EU190))</f>
        <v>46729</v>
      </c>
      <c r="EW190" s="65">
        <f t="shared" ca="1" si="493"/>
        <v>598</v>
      </c>
      <c r="EX190" s="15" t="str">
        <f t="shared" ca="1" si="494"/>
        <v>VIGENTE</v>
      </c>
      <c r="EY190" s="14">
        <v>45360</v>
      </c>
      <c r="EZ190" s="14">
        <v>46037</v>
      </c>
      <c r="FA190" s="14">
        <f t="shared" si="676"/>
        <v>46767</v>
      </c>
      <c r="FB190" s="65">
        <f t="shared" ca="1" si="495"/>
        <v>636</v>
      </c>
      <c r="FC190" s="15" t="str">
        <f t="shared" ca="1" si="496"/>
        <v>VIGENTE</v>
      </c>
      <c r="FD190" s="14">
        <v>45354</v>
      </c>
      <c r="FE190" s="14">
        <v>46010</v>
      </c>
      <c r="FF190" s="14">
        <f>DATE(YEAR(FE190)+2,MONTH(FE190),DAY(FE190))</f>
        <v>46740</v>
      </c>
      <c r="FG190" s="65">
        <f t="shared" ca="1" si="497"/>
        <v>609</v>
      </c>
      <c r="FH190" s="15" t="str">
        <f t="shared" ca="1" si="498"/>
        <v>VIGENTE</v>
      </c>
      <c r="FI190" s="14">
        <v>45342</v>
      </c>
      <c r="FJ190" s="14">
        <v>45962</v>
      </c>
      <c r="FK190" s="14">
        <f t="shared" si="678"/>
        <v>46692</v>
      </c>
      <c r="FL190" s="65">
        <f t="shared" ca="1" si="499"/>
        <v>561</v>
      </c>
      <c r="FM190" s="15" t="str">
        <f t="shared" ca="1" si="500"/>
        <v>VIGENTE</v>
      </c>
      <c r="FN190" s="14">
        <v>45359</v>
      </c>
      <c r="FO190" s="14">
        <v>46039</v>
      </c>
      <c r="FP190" s="14">
        <f>DATE(YEAR(FO190)+2,MONTH(FO190),DAY(FO190))</f>
        <v>46769</v>
      </c>
      <c r="FQ190" s="65">
        <f t="shared" ca="1" si="501"/>
        <v>638</v>
      </c>
      <c r="FR190" s="15" t="str">
        <f t="shared" ca="1" si="502"/>
        <v>VIGENTE</v>
      </c>
      <c r="FS190" s="14">
        <v>45358</v>
      </c>
      <c r="FT190" s="14">
        <v>46034</v>
      </c>
      <c r="FU190" s="14">
        <f>DATE(YEAR(FT190)+2,MONTH(FT190),DAY(FT190))</f>
        <v>46764</v>
      </c>
      <c r="FV190" s="65">
        <f t="shared" ca="1" si="503"/>
        <v>633</v>
      </c>
      <c r="FW190" s="15" t="str">
        <f t="shared" ca="1" si="504"/>
        <v>VIGENTE</v>
      </c>
      <c r="FX190" s="14">
        <v>45324</v>
      </c>
      <c r="FY190" s="14">
        <v>46004</v>
      </c>
      <c r="FZ190" s="14">
        <f t="shared" si="685"/>
        <v>46734</v>
      </c>
      <c r="GA190" s="65">
        <f t="shared" ca="1" si="505"/>
        <v>603</v>
      </c>
      <c r="GB190" s="15" t="str">
        <f t="shared" ca="1" si="506"/>
        <v>VIGENTE</v>
      </c>
      <c r="GC190" s="14"/>
      <c r="GD190" s="14">
        <v>45925</v>
      </c>
      <c r="GE190" s="14">
        <f>DATE(YEAR(GD190)+2,MONTH(GD190),DAY(GD190))</f>
        <v>46655</v>
      </c>
      <c r="GF190" s="65">
        <f t="shared" ca="1" si="507"/>
        <v>524</v>
      </c>
      <c r="GG190" s="15" t="str">
        <f t="shared" ca="1" si="508"/>
        <v>VIGENTE</v>
      </c>
      <c r="GH190" s="14">
        <v>45332</v>
      </c>
      <c r="GI190" s="14">
        <v>45960</v>
      </c>
      <c r="GJ190" s="14">
        <f t="shared" si="681"/>
        <v>46690</v>
      </c>
      <c r="GK190" s="65">
        <f t="shared" ca="1" si="509"/>
        <v>559</v>
      </c>
      <c r="GL190" s="15" t="str">
        <f t="shared" ca="1" si="510"/>
        <v>VIGENTE</v>
      </c>
      <c r="GM190" s="13">
        <v>45368</v>
      </c>
      <c r="GN190" s="14">
        <v>46044</v>
      </c>
      <c r="GO190" s="14">
        <f t="shared" si="687"/>
        <v>46774</v>
      </c>
      <c r="GP190" s="65">
        <f t="shared" ca="1" si="511"/>
        <v>643</v>
      </c>
      <c r="GQ190" s="15" t="str">
        <f t="shared" ca="1" si="512"/>
        <v>VIGENTE</v>
      </c>
      <c r="GR190" s="14"/>
      <c r="GS190" s="14">
        <v>45299</v>
      </c>
      <c r="GT190" s="14">
        <f t="shared" si="513"/>
        <v>47126</v>
      </c>
      <c r="GU190" s="65">
        <f t="shared" ca="1" si="591"/>
        <v>995</v>
      </c>
      <c r="GV190" s="15" t="str">
        <f t="shared" ca="1" si="601"/>
        <v>VIGENTE</v>
      </c>
      <c r="GW190" s="14"/>
      <c r="GX190" s="14">
        <v>45329</v>
      </c>
      <c r="GY190" s="14">
        <f t="shared" si="514"/>
        <v>47156</v>
      </c>
      <c r="GZ190" s="65">
        <f t="shared" ca="1" si="515"/>
        <v>1025</v>
      </c>
      <c r="HA190" s="15" t="str">
        <f t="shared" ca="1" si="602"/>
        <v>VIGENTE</v>
      </c>
      <c r="HB190" s="16"/>
      <c r="HC190" s="14">
        <v>45343</v>
      </c>
      <c r="HD190" s="14">
        <f t="shared" si="516"/>
        <v>47170</v>
      </c>
      <c r="HE190" s="65">
        <f t="shared" ca="1" si="517"/>
        <v>1039</v>
      </c>
      <c r="HF190" s="15" t="str">
        <f t="shared" ca="1" si="603"/>
        <v>VIGENTE</v>
      </c>
      <c r="HG190" s="16"/>
      <c r="HH190" s="14">
        <v>45317</v>
      </c>
      <c r="HI190" s="14">
        <f>DATE(YEAR(HH190)+5,MONTH(HH190),DAY(HH190))</f>
        <v>47144</v>
      </c>
      <c r="HJ190" s="65">
        <f ca="1">HI190-TODAY()</f>
        <v>1013</v>
      </c>
      <c r="HK190" s="15" t="str">
        <f ca="1">IF(HJ190&gt;=61,"VIGENTE",IF(HJ190&gt;=1,"POR VENCER",IF(HJ190&lt;=-1,"VENCIDA",IF(HH190=0,"NO APLICA"))))</f>
        <v>VIGENTE</v>
      </c>
      <c r="HL190" s="16"/>
      <c r="HM190" s="16"/>
      <c r="HN190" s="14"/>
      <c r="HO190" s="65"/>
      <c r="HP190" s="15" t="str">
        <f t="shared" si="686"/>
        <v>NO APLICA</v>
      </c>
      <c r="HQ190" s="12"/>
      <c r="HR190" s="12"/>
      <c r="HS190" s="14"/>
      <c r="HT190" s="12"/>
      <c r="HU190" s="15" t="str">
        <f t="shared" si="518"/>
        <v>NO APLICA</v>
      </c>
      <c r="HV190" s="16"/>
      <c r="HW190" s="16"/>
      <c r="HX190" s="14"/>
      <c r="HY190" s="65"/>
      <c r="HZ190" s="15" t="str">
        <f t="shared" si="519"/>
        <v>NO APLICA</v>
      </c>
      <c r="IA190" s="16"/>
      <c r="IB190" s="16"/>
      <c r="IC190" s="14"/>
      <c r="ID190" s="65"/>
      <c r="IE190" s="15" t="str">
        <f t="shared" si="520"/>
        <v>NO APLICA</v>
      </c>
      <c r="IF190" s="16"/>
      <c r="IG190" s="16"/>
      <c r="IH190" s="14"/>
      <c r="II190" s="65"/>
      <c r="IJ190" s="15" t="str">
        <f t="shared" si="521"/>
        <v>NO APLICA</v>
      </c>
      <c r="IK190" s="16"/>
      <c r="IL190" s="16"/>
      <c r="IM190" s="14"/>
      <c r="IN190" s="65"/>
      <c r="IO190" s="15" t="str">
        <f t="shared" si="522"/>
        <v>NO APLICA</v>
      </c>
      <c r="IP190" s="16"/>
      <c r="IQ190" s="16"/>
      <c r="IR190" s="14"/>
      <c r="IS190" s="65"/>
      <c r="IT190" s="15" t="str">
        <f t="shared" si="523"/>
        <v>NO APLICA</v>
      </c>
      <c r="IU190" s="16"/>
      <c r="IV190" s="16"/>
      <c r="IW190" s="14"/>
      <c r="IX190" s="65"/>
      <c r="IY190" s="15" t="str">
        <f t="shared" si="524"/>
        <v>NO APLICA</v>
      </c>
      <c r="IZ190" s="16"/>
      <c r="JA190" s="16"/>
      <c r="JB190" s="14"/>
      <c r="JC190" s="65"/>
      <c r="JD190" s="15" t="str">
        <f t="shared" si="525"/>
        <v>NO APLICA</v>
      </c>
      <c r="JE190" s="13"/>
      <c r="JF190" s="13"/>
      <c r="JG190" s="14"/>
      <c r="JH190" s="65"/>
      <c r="JI190" s="15" t="str">
        <f t="shared" si="526"/>
        <v>NO APLICA</v>
      </c>
      <c r="JJ190" s="16"/>
      <c r="JK190" s="16"/>
      <c r="JL190" s="16"/>
      <c r="JM190" s="15" t="str">
        <f t="shared" si="527"/>
        <v>NO APLICA</v>
      </c>
      <c r="JN190" s="16"/>
      <c r="JO190" s="16"/>
      <c r="JP190" s="16"/>
      <c r="JQ190" s="15" t="str">
        <f t="shared" si="528"/>
        <v>NO APLICA</v>
      </c>
      <c r="JR190" s="16"/>
      <c r="JS190" s="16"/>
      <c r="JT190" s="16"/>
      <c r="JU190" s="16"/>
      <c r="JV190" s="15" t="str">
        <f t="shared" si="529"/>
        <v>NO APLICA</v>
      </c>
      <c r="JW190" s="15"/>
      <c r="JX190" s="15"/>
      <c r="JY190" s="15"/>
      <c r="JZ190" s="15"/>
      <c r="KA190" s="15" t="str">
        <f t="shared" si="530"/>
        <v>NO APLICA</v>
      </c>
      <c r="KB190" s="12"/>
      <c r="KC190" s="14"/>
      <c r="KD190" s="65"/>
      <c r="KE190" s="15" t="str">
        <f t="shared" si="531"/>
        <v>NO APLICA</v>
      </c>
      <c r="KF190" s="12"/>
      <c r="KG190" s="14"/>
      <c r="KH190" s="65"/>
      <c r="KI190" s="15" t="str">
        <f t="shared" si="547"/>
        <v>NO APLICA</v>
      </c>
      <c r="KJ190" s="12"/>
      <c r="KK190" s="14"/>
      <c r="KL190" s="65"/>
      <c r="KM190" s="15" t="str">
        <f t="shared" si="532"/>
        <v>NO APLICA</v>
      </c>
      <c r="KN190" s="12"/>
      <c r="KO190" s="14"/>
      <c r="KP190" s="65"/>
      <c r="KQ190" s="15" t="str">
        <f t="shared" si="548"/>
        <v>NO APLICA</v>
      </c>
      <c r="KR190" s="16"/>
      <c r="KS190" s="16"/>
      <c r="KT190" s="14"/>
      <c r="KU190" s="65"/>
      <c r="KV190" s="15" t="str">
        <f t="shared" si="554"/>
        <v>NO APLICA</v>
      </c>
      <c r="KW190" s="16"/>
      <c r="KX190" s="14"/>
      <c r="KY190" s="65"/>
      <c r="KZ190" s="15" t="str">
        <f t="shared" si="549"/>
        <v>NO APLICA</v>
      </c>
      <c r="LA190" s="16"/>
      <c r="LB190" s="16"/>
      <c r="LC190" s="14"/>
      <c r="LD190" s="65"/>
      <c r="LE190" s="15" t="str">
        <f t="shared" si="590"/>
        <v>NO APLICA</v>
      </c>
      <c r="LF190" s="15"/>
      <c r="LG190" s="15"/>
      <c r="LH190" s="15"/>
      <c r="LI190" s="15"/>
      <c r="LJ190" s="15" t="str">
        <f t="shared" si="555"/>
        <v>NO APLICA</v>
      </c>
      <c r="LK190" s="16"/>
      <c r="LL190" s="16"/>
      <c r="LM190" s="14"/>
      <c r="LN190" s="65"/>
      <c r="LO190" s="15" t="str">
        <f t="shared" si="550"/>
        <v>NO APLICA</v>
      </c>
      <c r="LP190" s="16"/>
      <c r="LQ190" s="16"/>
      <c r="LR190" s="14"/>
      <c r="LS190" s="65"/>
      <c r="LT190" s="15" t="str">
        <f t="shared" si="551"/>
        <v>NO APLICA</v>
      </c>
      <c r="LU190" s="16"/>
      <c r="LV190" s="16"/>
      <c r="LW190" s="14"/>
      <c r="LX190" s="65"/>
      <c r="LY190" s="15" t="str">
        <f t="shared" si="552"/>
        <v>NO APLICA</v>
      </c>
      <c r="LZ190" s="12"/>
      <c r="MA190" s="12"/>
      <c r="MB190" s="14"/>
      <c r="MC190" s="65"/>
      <c r="MD190" s="15" t="str">
        <f t="shared" si="534"/>
        <v>NO APLICA</v>
      </c>
      <c r="ME190" s="12"/>
      <c r="MF190" s="12"/>
      <c r="MG190" s="14"/>
      <c r="MH190" s="65"/>
      <c r="MI190" s="15" t="str">
        <f t="shared" si="535"/>
        <v>NO APLICA</v>
      </c>
      <c r="MJ190" s="12"/>
      <c r="MK190" s="14"/>
      <c r="ML190" s="65"/>
      <c r="MM190" s="15" t="str">
        <f t="shared" si="536"/>
        <v>NO APLICA</v>
      </c>
      <c r="MN190" s="12"/>
      <c r="MO190" s="14"/>
      <c r="MP190" s="12"/>
      <c r="MQ190" s="15" t="str">
        <f t="shared" si="537"/>
        <v>NO APLICA</v>
      </c>
      <c r="MR190" s="16"/>
      <c r="MS190" s="16"/>
      <c r="MT190" s="14"/>
      <c r="MU190" s="65"/>
      <c r="MV190" s="15" t="str">
        <f t="shared" si="538"/>
        <v>NO APLICA</v>
      </c>
      <c r="MW190" s="16"/>
      <c r="MX190" s="16"/>
      <c r="MY190" s="14"/>
      <c r="MZ190" s="65"/>
      <c r="NA190" s="15" t="str">
        <f t="shared" si="539"/>
        <v>NO APLICA</v>
      </c>
      <c r="NB190" s="16"/>
      <c r="NC190" s="16"/>
      <c r="ND190" s="14"/>
      <c r="NE190" s="65"/>
      <c r="NF190" s="15" t="str">
        <f t="shared" si="540"/>
        <v>NO APLICA</v>
      </c>
      <c r="NG190" s="12"/>
      <c r="NH190" s="12"/>
      <c r="NI190" s="14"/>
      <c r="NJ190" s="12"/>
      <c r="NK190" s="15" t="str">
        <f t="shared" si="541"/>
        <v>NO APLICA</v>
      </c>
      <c r="NL190" s="12"/>
      <c r="NM190" s="12"/>
      <c r="NN190" s="14"/>
      <c r="NO190" s="12"/>
      <c r="NP190" s="15" t="str">
        <f t="shared" si="542"/>
        <v>NO APLICA</v>
      </c>
      <c r="NQ190" s="16"/>
      <c r="NR190" s="16"/>
      <c r="NS190" s="14"/>
      <c r="NT190" s="65"/>
      <c r="NU190" s="15" t="str">
        <f t="shared" si="543"/>
        <v>NO APLICA</v>
      </c>
      <c r="NV190" s="16"/>
      <c r="NW190" s="16"/>
      <c r="NX190" s="16"/>
      <c r="NY190" s="16"/>
      <c r="NZ190" s="15" t="str">
        <f t="shared" si="544"/>
        <v>NO APLICA</v>
      </c>
    </row>
    <row r="191" spans="1:390" ht="15.6" thickTop="1" thickBot="1" x14ac:dyDescent="0.35">
      <c r="A191" s="11">
        <v>1357</v>
      </c>
      <c r="B191" s="10" t="s">
        <v>667</v>
      </c>
      <c r="C191" s="21" t="s">
        <v>151</v>
      </c>
      <c r="D191" s="64" t="s">
        <v>668</v>
      </c>
      <c r="E191" s="16"/>
      <c r="F191" s="16"/>
      <c r="G191" s="16"/>
      <c r="H191" s="16"/>
      <c r="I191" s="15" t="str">
        <f t="shared" si="688"/>
        <v>NO APLICA</v>
      </c>
      <c r="J191" s="16"/>
      <c r="K191" s="16"/>
      <c r="L191" s="16"/>
      <c r="M191" s="16"/>
      <c r="N191" s="15" t="str">
        <f t="shared" si="449"/>
        <v>NO APLICA</v>
      </c>
      <c r="O191" s="16"/>
      <c r="P191" s="16"/>
      <c r="Q191" s="16"/>
      <c r="R191" s="16"/>
      <c r="S191" s="15" t="str">
        <f t="shared" ref="S191:S238" si="689">IF(R191&gt;=61,"VIGENTE",IF(R191&gt;=1,"POR VENCER",IF(R191&lt;=-1,"VENCIDA",IF(R191=0,"NO APLICA"))))</f>
        <v>NO APLICA</v>
      </c>
      <c r="T191" s="16"/>
      <c r="U191" s="14"/>
      <c r="V191" s="14"/>
      <c r="W191" s="14"/>
      <c r="X191" s="65"/>
      <c r="Y191" s="15" t="str">
        <f t="shared" si="595"/>
        <v>NO APLICA</v>
      </c>
      <c r="Z191" s="16"/>
      <c r="AA191" s="16"/>
      <c r="AB191" s="16"/>
      <c r="AC191" s="16"/>
      <c r="AD191" s="16"/>
      <c r="AE191" s="15" t="str">
        <f t="shared" si="598"/>
        <v>NO APLICA</v>
      </c>
      <c r="AF191" s="14"/>
      <c r="AG191" s="14"/>
      <c r="AH191" s="14"/>
      <c r="AI191" s="16"/>
      <c r="AJ191" s="15" t="str">
        <f t="shared" si="592"/>
        <v>NO APLICA</v>
      </c>
      <c r="AK191" s="14"/>
      <c r="AL191" s="14"/>
      <c r="AM191" s="14"/>
      <c r="AN191" s="16"/>
      <c r="AO191" s="15" t="str">
        <f t="shared" si="452"/>
        <v>NO APLICA</v>
      </c>
      <c r="AP191" s="14"/>
      <c r="AQ191" s="14"/>
      <c r="AR191" s="14"/>
      <c r="AS191" s="16"/>
      <c r="AT191" s="15" t="str">
        <f t="shared" si="454"/>
        <v>NO APLICA</v>
      </c>
      <c r="AU191" s="14"/>
      <c r="AV191" s="14"/>
      <c r="AW191" s="14"/>
      <c r="AX191" s="16"/>
      <c r="AY191" s="15" t="str">
        <f t="shared" si="456"/>
        <v>NO APLICA</v>
      </c>
      <c r="AZ191" s="14"/>
      <c r="BA191" s="14"/>
      <c r="BB191" s="14"/>
      <c r="BC191" s="16"/>
      <c r="BD191" s="15" t="str">
        <f t="shared" si="458"/>
        <v>NO APLICA</v>
      </c>
      <c r="BE191" s="14"/>
      <c r="BF191" s="14"/>
      <c r="BG191" s="14"/>
      <c r="BH191" s="16"/>
      <c r="BI191" s="15" t="str">
        <f t="shared" si="460"/>
        <v>NO APLICA</v>
      </c>
      <c r="BJ191" s="14"/>
      <c r="BK191" s="14"/>
      <c r="BL191" s="14"/>
      <c r="BM191" s="16"/>
      <c r="BN191" s="15" t="str">
        <f t="shared" si="462"/>
        <v>NO APLICA</v>
      </c>
      <c r="BO191" s="14"/>
      <c r="BP191" s="14"/>
      <c r="BQ191" s="14"/>
      <c r="BR191" s="16"/>
      <c r="BS191" s="15" t="str">
        <f t="shared" si="464"/>
        <v>NO APLICA</v>
      </c>
      <c r="BT191" s="14"/>
      <c r="BU191" s="14"/>
      <c r="BV191" s="14"/>
      <c r="BW191" s="16"/>
      <c r="BX191" s="15" t="str">
        <f t="shared" si="466"/>
        <v>NO APLICA</v>
      </c>
      <c r="BY191" s="14"/>
      <c r="BZ191" s="14"/>
      <c r="CA191" s="14"/>
      <c r="CB191" s="16"/>
      <c r="CC191" s="15" t="str">
        <f t="shared" si="468"/>
        <v>NO APLICA</v>
      </c>
      <c r="CD191" s="16"/>
      <c r="CE191" s="16"/>
      <c r="CF191" s="16"/>
      <c r="CG191" s="16"/>
      <c r="CH191" s="16"/>
      <c r="CI191" s="15" t="str">
        <f t="shared" si="562"/>
        <v>NO APLICA</v>
      </c>
      <c r="CJ191" s="14"/>
      <c r="CK191" s="14"/>
      <c r="CL191" s="14"/>
      <c r="CM191" s="16"/>
      <c r="CN191" s="15" t="str">
        <f t="shared" si="470"/>
        <v>NO APLICA</v>
      </c>
      <c r="CO191" s="14"/>
      <c r="CP191" s="14"/>
      <c r="CQ191" s="14"/>
      <c r="CR191" s="16"/>
      <c r="CS191" s="15" t="str">
        <f t="shared" si="472"/>
        <v>NO APLICA</v>
      </c>
      <c r="CT191" s="14"/>
      <c r="CU191" s="14"/>
      <c r="CV191" s="14"/>
      <c r="CW191" s="16"/>
      <c r="CX191" s="15" t="str">
        <f t="shared" si="474"/>
        <v>NO APLICA</v>
      </c>
      <c r="CY191" s="14"/>
      <c r="CZ191" s="14"/>
      <c r="DA191" s="14"/>
      <c r="DB191" s="16"/>
      <c r="DC191" s="15" t="str">
        <f t="shared" si="476"/>
        <v>NO APLICA</v>
      </c>
      <c r="DD191" s="14"/>
      <c r="DE191" s="14"/>
      <c r="DF191" s="14"/>
      <c r="DG191" s="16"/>
      <c r="DH191" s="15" t="str">
        <f t="shared" si="478"/>
        <v>NO APLICA</v>
      </c>
      <c r="DI191" s="14"/>
      <c r="DJ191" s="14"/>
      <c r="DK191" s="14"/>
      <c r="DL191" s="16"/>
      <c r="DM191" s="15" t="str">
        <f t="shared" si="480"/>
        <v>NO APLICA</v>
      </c>
      <c r="DN191" s="14"/>
      <c r="DO191" s="14"/>
      <c r="DP191" s="14"/>
      <c r="DQ191" s="16"/>
      <c r="DR191" s="15" t="str">
        <f t="shared" si="482"/>
        <v>NO APLICA</v>
      </c>
      <c r="DS191" s="14"/>
      <c r="DT191" s="14"/>
      <c r="DU191" s="14"/>
      <c r="DV191" s="16"/>
      <c r="DW191" s="15" t="str">
        <f t="shared" si="484"/>
        <v>NO APLICA</v>
      </c>
      <c r="DX191" s="14"/>
      <c r="DY191" s="14"/>
      <c r="DZ191" s="14"/>
      <c r="EA191" s="16"/>
      <c r="EB191" s="15" t="str">
        <f t="shared" si="486"/>
        <v>NO APLICA</v>
      </c>
      <c r="EC191" s="14"/>
      <c r="ED191" s="14"/>
      <c r="EE191" s="14"/>
      <c r="EF191" s="16"/>
      <c r="EG191" s="15" t="str">
        <f t="shared" si="488"/>
        <v>NO APLICA</v>
      </c>
      <c r="EH191" s="14"/>
      <c r="EI191" s="14"/>
      <c r="EJ191" s="14"/>
      <c r="EK191" s="14"/>
      <c r="EL191" s="14"/>
      <c r="EM191" s="65"/>
      <c r="EN191" s="15" t="str">
        <f t="shared" si="490"/>
        <v>NO APLICA</v>
      </c>
      <c r="EO191" s="14"/>
      <c r="EP191" s="14"/>
      <c r="EQ191" s="14"/>
      <c r="ER191" s="65"/>
      <c r="ES191" s="15" t="str">
        <f t="shared" si="492"/>
        <v>NO APLICA</v>
      </c>
      <c r="ET191" s="14"/>
      <c r="EU191" s="14"/>
      <c r="EV191" s="14"/>
      <c r="EW191" s="65"/>
      <c r="EX191" s="15" t="str">
        <f t="shared" si="494"/>
        <v>NO APLICA</v>
      </c>
      <c r="EY191" s="14"/>
      <c r="EZ191" s="14"/>
      <c r="FA191" s="14"/>
      <c r="FB191" s="16"/>
      <c r="FC191" s="15" t="str">
        <f t="shared" si="496"/>
        <v>NO APLICA</v>
      </c>
      <c r="FD191" s="14"/>
      <c r="FE191" s="14"/>
      <c r="FF191" s="14"/>
      <c r="FG191" s="16"/>
      <c r="FH191" s="15" t="str">
        <f t="shared" si="498"/>
        <v>NO APLICA</v>
      </c>
      <c r="FI191" s="14"/>
      <c r="FJ191" s="14"/>
      <c r="FK191" s="14"/>
      <c r="FL191" s="16"/>
      <c r="FM191" s="15" t="str">
        <f t="shared" si="500"/>
        <v>NO APLICA</v>
      </c>
      <c r="FN191" s="14"/>
      <c r="FO191" s="14"/>
      <c r="FP191" s="14"/>
      <c r="FQ191" s="16"/>
      <c r="FR191" s="15" t="str">
        <f t="shared" si="502"/>
        <v>NO APLICA</v>
      </c>
      <c r="FS191" s="14"/>
      <c r="FT191" s="14"/>
      <c r="FU191" s="14"/>
      <c r="FV191" s="16"/>
      <c r="FW191" s="15" t="str">
        <f t="shared" si="504"/>
        <v>NO APLICA</v>
      </c>
      <c r="FX191" s="14"/>
      <c r="FY191" s="14"/>
      <c r="FZ191" s="14"/>
      <c r="GA191" s="16"/>
      <c r="GB191" s="15" t="str">
        <f t="shared" si="506"/>
        <v>NO APLICA</v>
      </c>
      <c r="GC191" s="14"/>
      <c r="GD191" s="14"/>
      <c r="GE191" s="14"/>
      <c r="GF191" s="16"/>
      <c r="GG191" s="15" t="str">
        <f t="shared" si="508"/>
        <v>NO APLICA</v>
      </c>
      <c r="GH191" s="14"/>
      <c r="GI191" s="14"/>
      <c r="GJ191" s="14"/>
      <c r="GK191" s="65"/>
      <c r="GL191" s="15" t="str">
        <f t="shared" si="510"/>
        <v>NO APLICA</v>
      </c>
      <c r="GM191" s="14"/>
      <c r="GN191" s="16"/>
      <c r="GO191" s="16"/>
      <c r="GP191" s="16"/>
      <c r="GQ191" s="15" t="str">
        <f t="shared" si="512"/>
        <v>NO APLICA</v>
      </c>
      <c r="GR191" s="14"/>
      <c r="GS191" s="16"/>
      <c r="GT191" s="16"/>
      <c r="GU191" s="16"/>
      <c r="GV191" s="15" t="str">
        <f t="shared" si="601"/>
        <v>NO APLICA</v>
      </c>
      <c r="GW191" s="14"/>
      <c r="GX191" s="16"/>
      <c r="GY191" s="16"/>
      <c r="GZ191" s="16"/>
      <c r="HA191" s="15" t="str">
        <f t="shared" si="602"/>
        <v>NO APLICA</v>
      </c>
      <c r="HB191" s="16"/>
      <c r="HC191" s="16"/>
      <c r="HD191" s="16"/>
      <c r="HE191" s="16"/>
      <c r="HF191" s="15" t="str">
        <f t="shared" si="603"/>
        <v>NO APLICA</v>
      </c>
      <c r="HG191" s="16"/>
      <c r="HH191" s="16"/>
      <c r="HI191" s="14"/>
      <c r="HJ191" s="65"/>
      <c r="HK191" s="15" t="str">
        <f t="shared" ref="HK191:HK238" si="690">IF(HJ191&gt;=61,"VIGENTE",IF(HJ191&gt;=1,"POR VENCER",IF(HJ191&lt;=-1,"VENCIDA",IF(HH191=0,"NO APLICA"))))</f>
        <v>NO APLICA</v>
      </c>
      <c r="HL191" s="16"/>
      <c r="HM191" s="16"/>
      <c r="HN191" s="16"/>
      <c r="HO191" s="16"/>
      <c r="HP191" s="15" t="str">
        <f t="shared" si="686"/>
        <v>NO APLICA</v>
      </c>
      <c r="HQ191" s="16"/>
      <c r="HR191" s="16"/>
      <c r="HS191" s="16"/>
      <c r="HT191" s="16"/>
      <c r="HU191" s="15" t="str">
        <f t="shared" si="518"/>
        <v>NO APLICA</v>
      </c>
      <c r="HV191" s="16"/>
      <c r="HW191" s="16"/>
      <c r="HX191" s="16"/>
      <c r="HY191" s="16"/>
      <c r="HZ191" s="15" t="str">
        <f t="shared" si="519"/>
        <v>NO APLICA</v>
      </c>
      <c r="IA191" s="16"/>
      <c r="IB191" s="16"/>
      <c r="IC191" s="16"/>
      <c r="ID191" s="16"/>
      <c r="IE191" s="15" t="str">
        <f t="shared" si="520"/>
        <v>NO APLICA</v>
      </c>
      <c r="IF191" s="16"/>
      <c r="IG191" s="16"/>
      <c r="IH191" s="16"/>
      <c r="II191" s="16"/>
      <c r="IJ191" s="15" t="str">
        <f t="shared" si="521"/>
        <v>NO APLICA</v>
      </c>
      <c r="IK191" s="16"/>
      <c r="IL191" s="16"/>
      <c r="IM191" s="16"/>
      <c r="IN191" s="16"/>
      <c r="IO191" s="15" t="str">
        <f t="shared" si="522"/>
        <v>NO APLICA</v>
      </c>
      <c r="IP191" s="16"/>
      <c r="IQ191" s="16"/>
      <c r="IR191" s="16"/>
      <c r="IS191" s="16"/>
      <c r="IT191" s="15" t="str">
        <f t="shared" si="523"/>
        <v>NO APLICA</v>
      </c>
      <c r="IU191" s="16"/>
      <c r="IV191" s="16"/>
      <c r="IW191" s="16"/>
      <c r="IX191" s="16"/>
      <c r="IY191" s="15" t="str">
        <f t="shared" si="524"/>
        <v>NO APLICA</v>
      </c>
      <c r="IZ191" s="16"/>
      <c r="JA191" s="16"/>
      <c r="JB191" s="16"/>
      <c r="JC191" s="16"/>
      <c r="JD191" s="15" t="str">
        <f t="shared" si="525"/>
        <v>NO APLICA</v>
      </c>
      <c r="JE191" s="16"/>
      <c r="JF191" s="16"/>
      <c r="JG191" s="16"/>
      <c r="JH191" s="16"/>
      <c r="JI191" s="15" t="str">
        <f t="shared" si="526"/>
        <v>NO APLICA</v>
      </c>
      <c r="JJ191" s="16"/>
      <c r="JK191" s="16"/>
      <c r="JL191" s="16"/>
      <c r="JM191" s="15" t="str">
        <f t="shared" si="527"/>
        <v>NO APLICA</v>
      </c>
      <c r="JN191" s="16"/>
      <c r="JO191" s="16"/>
      <c r="JP191" s="16"/>
      <c r="JQ191" s="15" t="str">
        <f t="shared" si="528"/>
        <v>NO APLICA</v>
      </c>
      <c r="JR191" s="16"/>
      <c r="JS191" s="16"/>
      <c r="JT191" s="16"/>
      <c r="JU191" s="16"/>
      <c r="JV191" s="15" t="str">
        <f t="shared" si="529"/>
        <v>NO APLICA</v>
      </c>
      <c r="JW191" s="15"/>
      <c r="JX191" s="15"/>
      <c r="JY191" s="15"/>
      <c r="JZ191" s="15"/>
      <c r="KA191" s="15" t="str">
        <f t="shared" si="530"/>
        <v>NO APLICA</v>
      </c>
      <c r="KB191" s="16"/>
      <c r="KC191" s="16"/>
      <c r="KD191" s="16"/>
      <c r="KE191" s="15" t="str">
        <f t="shared" si="531"/>
        <v>NO APLICA</v>
      </c>
      <c r="KF191" s="16"/>
      <c r="KG191" s="16"/>
      <c r="KH191" s="16"/>
      <c r="KI191" s="15" t="str">
        <f t="shared" si="547"/>
        <v>NO APLICA</v>
      </c>
      <c r="KJ191" s="16"/>
      <c r="KK191" s="16"/>
      <c r="KL191" s="16"/>
      <c r="KM191" s="15" t="str">
        <f t="shared" si="532"/>
        <v>NO APLICA</v>
      </c>
      <c r="KN191" s="16"/>
      <c r="KO191" s="16"/>
      <c r="KP191" s="16"/>
      <c r="KQ191" s="15" t="str">
        <f t="shared" si="548"/>
        <v>NO APLICA</v>
      </c>
      <c r="KR191" s="16"/>
      <c r="KS191" s="16"/>
      <c r="KT191" s="16"/>
      <c r="KU191" s="16"/>
      <c r="KV191" s="15" t="str">
        <f t="shared" si="554"/>
        <v>NO APLICA</v>
      </c>
      <c r="KW191" s="16"/>
      <c r="KX191" s="16"/>
      <c r="KY191" s="16"/>
      <c r="KZ191" s="15" t="str">
        <f t="shared" si="549"/>
        <v>NO APLICA</v>
      </c>
      <c r="LA191" s="16"/>
      <c r="LB191" s="16"/>
      <c r="LC191" s="16"/>
      <c r="LD191" s="16"/>
      <c r="LE191" s="15" t="str">
        <f t="shared" si="590"/>
        <v>NO APLICA</v>
      </c>
      <c r="LF191" s="15"/>
      <c r="LG191" s="15"/>
      <c r="LH191" s="14"/>
      <c r="LI191" s="65"/>
      <c r="LJ191" s="15" t="str">
        <f t="shared" si="555"/>
        <v>NO APLICA</v>
      </c>
      <c r="LK191" s="16"/>
      <c r="LL191" s="16"/>
      <c r="LM191" s="16"/>
      <c r="LN191" s="16"/>
      <c r="LO191" s="15" t="str">
        <f t="shared" si="550"/>
        <v>NO APLICA</v>
      </c>
      <c r="LP191" s="16"/>
      <c r="LQ191" s="16"/>
      <c r="LR191" s="16"/>
      <c r="LS191" s="16"/>
      <c r="LT191" s="15" t="str">
        <f t="shared" si="551"/>
        <v>NO APLICA</v>
      </c>
      <c r="LU191" s="16"/>
      <c r="LV191" s="16"/>
      <c r="LW191" s="16"/>
      <c r="LX191" s="16"/>
      <c r="LY191" s="15" t="str">
        <f t="shared" si="552"/>
        <v>NO APLICA</v>
      </c>
      <c r="LZ191" s="16"/>
      <c r="MA191" s="16"/>
      <c r="MB191" s="16"/>
      <c r="MC191" s="16"/>
      <c r="MD191" s="15" t="str">
        <f t="shared" si="534"/>
        <v>NO APLICA</v>
      </c>
      <c r="ME191" s="16"/>
      <c r="MF191" s="16"/>
      <c r="MG191" s="16"/>
      <c r="MH191" s="16"/>
      <c r="MI191" s="15" t="str">
        <f t="shared" si="535"/>
        <v>NO APLICA</v>
      </c>
      <c r="MJ191" s="16"/>
      <c r="MK191" s="16"/>
      <c r="ML191" s="16"/>
      <c r="MM191" s="15" t="str">
        <f t="shared" si="536"/>
        <v>NO APLICA</v>
      </c>
      <c r="MN191" s="16"/>
      <c r="MO191" s="16"/>
      <c r="MP191" s="16"/>
      <c r="MQ191" s="15" t="str">
        <f t="shared" si="537"/>
        <v>NO APLICA</v>
      </c>
      <c r="MR191" s="16"/>
      <c r="MS191" s="16"/>
      <c r="MT191" s="16"/>
      <c r="MU191" s="16"/>
      <c r="MV191" s="15" t="str">
        <f t="shared" si="538"/>
        <v>NO APLICA</v>
      </c>
      <c r="MW191" s="16"/>
      <c r="MX191" s="16"/>
      <c r="MY191" s="16"/>
      <c r="MZ191" s="16"/>
      <c r="NA191" s="15" t="str">
        <f t="shared" si="539"/>
        <v>NO APLICA</v>
      </c>
      <c r="NB191" s="16"/>
      <c r="NC191" s="16"/>
      <c r="ND191" s="16"/>
      <c r="NE191" s="16"/>
      <c r="NF191" s="15" t="str">
        <f t="shared" si="540"/>
        <v>NO APLICA</v>
      </c>
      <c r="NG191" s="16"/>
      <c r="NH191" s="16"/>
      <c r="NI191" s="16"/>
      <c r="NJ191" s="16"/>
      <c r="NK191" s="15" t="str">
        <f t="shared" si="541"/>
        <v>NO APLICA</v>
      </c>
      <c r="NL191" s="16"/>
      <c r="NM191" s="16"/>
      <c r="NN191" s="16"/>
      <c r="NO191" s="16"/>
      <c r="NP191" s="15" t="str">
        <f t="shared" si="542"/>
        <v>NO APLICA</v>
      </c>
      <c r="NQ191" s="16"/>
      <c r="NR191" s="16"/>
      <c r="NS191" s="16"/>
      <c r="NT191" s="16"/>
      <c r="NU191" s="15" t="str">
        <f t="shared" si="543"/>
        <v>NO APLICA</v>
      </c>
      <c r="NV191" s="16"/>
      <c r="NW191" s="16"/>
      <c r="NX191" s="16"/>
      <c r="NY191" s="16"/>
      <c r="NZ191" s="15" t="str">
        <f t="shared" si="544"/>
        <v>NO APLICA</v>
      </c>
    </row>
    <row r="192" spans="1:390" ht="15.6" thickTop="1" thickBot="1" x14ac:dyDescent="0.35">
      <c r="A192" s="11">
        <v>663</v>
      </c>
      <c r="B192" s="10" t="s">
        <v>669</v>
      </c>
      <c r="C192" s="21" t="s">
        <v>670</v>
      </c>
      <c r="D192" s="64" t="s">
        <v>671</v>
      </c>
      <c r="E192" s="13"/>
      <c r="F192" s="14"/>
      <c r="G192" s="14"/>
      <c r="H192" s="65"/>
      <c r="I192" s="15" t="str">
        <f t="shared" si="688"/>
        <v>NO APLICA</v>
      </c>
      <c r="J192" s="12"/>
      <c r="K192" s="12"/>
      <c r="L192" s="12"/>
      <c r="M192" s="12"/>
      <c r="N192" s="15" t="str">
        <f t="shared" si="449"/>
        <v>NO APLICA</v>
      </c>
      <c r="O192" s="16"/>
      <c r="P192" s="16"/>
      <c r="Q192" s="14"/>
      <c r="R192" s="65"/>
      <c r="S192" s="15" t="str">
        <f t="shared" si="689"/>
        <v>NO APLICA</v>
      </c>
      <c r="T192" s="12"/>
      <c r="U192" s="13"/>
      <c r="V192" s="14"/>
      <c r="W192" s="14"/>
      <c r="X192" s="65"/>
      <c r="Y192" s="15" t="str">
        <f t="shared" si="595"/>
        <v>NO APLICA</v>
      </c>
      <c r="Z192" s="12"/>
      <c r="AA192" s="12"/>
      <c r="AB192" s="16"/>
      <c r="AC192" s="14"/>
      <c r="AD192" s="65"/>
      <c r="AE192" s="15" t="str">
        <f t="shared" si="598"/>
        <v>NO APLICA</v>
      </c>
      <c r="AF192" s="12"/>
      <c r="AG192" s="14"/>
      <c r="AH192" s="14"/>
      <c r="AI192" s="65"/>
      <c r="AJ192" s="15" t="str">
        <f t="shared" si="592"/>
        <v>NO APLICA</v>
      </c>
      <c r="AK192" s="12"/>
      <c r="AL192" s="14"/>
      <c r="AM192" s="14"/>
      <c r="AN192" s="65"/>
      <c r="AO192" s="15" t="str">
        <f t="shared" si="452"/>
        <v>NO APLICA</v>
      </c>
      <c r="AP192" s="12"/>
      <c r="AQ192" s="14"/>
      <c r="AR192" s="14"/>
      <c r="AS192" s="65"/>
      <c r="AT192" s="15" t="str">
        <f t="shared" si="454"/>
        <v>NO APLICA</v>
      </c>
      <c r="AU192" s="12"/>
      <c r="AV192" s="14"/>
      <c r="AW192" s="14"/>
      <c r="AX192" s="65"/>
      <c r="AY192" s="15" t="str">
        <f t="shared" si="456"/>
        <v>NO APLICA</v>
      </c>
      <c r="AZ192" s="13"/>
      <c r="BA192" s="14"/>
      <c r="BB192" s="14"/>
      <c r="BC192" s="65"/>
      <c r="BD192" s="15" t="str">
        <f t="shared" si="458"/>
        <v>NO APLICA</v>
      </c>
      <c r="BE192" s="12"/>
      <c r="BF192" s="14"/>
      <c r="BG192" s="14"/>
      <c r="BH192" s="65"/>
      <c r="BI192" s="15" t="str">
        <f t="shared" si="460"/>
        <v>NO APLICA</v>
      </c>
      <c r="BJ192" s="13"/>
      <c r="BK192" s="14"/>
      <c r="BL192" s="14"/>
      <c r="BM192" s="65"/>
      <c r="BN192" s="15" t="str">
        <f t="shared" si="462"/>
        <v>NO APLICA</v>
      </c>
      <c r="BO192" s="13"/>
      <c r="BP192" s="14"/>
      <c r="BQ192" s="14"/>
      <c r="BR192" s="65"/>
      <c r="BS192" s="15" t="str">
        <f t="shared" si="464"/>
        <v>NO APLICA</v>
      </c>
      <c r="BT192" s="12"/>
      <c r="BU192" s="14"/>
      <c r="BV192" s="14"/>
      <c r="BW192" s="65"/>
      <c r="BX192" s="15" t="str">
        <f t="shared" si="466"/>
        <v>NO APLICA</v>
      </c>
      <c r="BY192" s="12"/>
      <c r="BZ192" s="14"/>
      <c r="CA192" s="14"/>
      <c r="CB192" s="65"/>
      <c r="CC192" s="15" t="str">
        <f t="shared" si="468"/>
        <v>NO APLICA</v>
      </c>
      <c r="CD192" s="16"/>
      <c r="CE192" s="14"/>
      <c r="CF192" s="14"/>
      <c r="CG192" s="14"/>
      <c r="CH192" s="65"/>
      <c r="CI192" s="15" t="str">
        <f t="shared" si="562"/>
        <v>NO APLICA</v>
      </c>
      <c r="CJ192" s="16"/>
      <c r="CK192" s="14"/>
      <c r="CL192" s="14"/>
      <c r="CM192" s="65"/>
      <c r="CN192" s="15" t="str">
        <f t="shared" si="470"/>
        <v>NO APLICA</v>
      </c>
      <c r="CO192" s="12"/>
      <c r="CP192" s="14"/>
      <c r="CQ192" s="14"/>
      <c r="CR192" s="65"/>
      <c r="CS192" s="15" t="str">
        <f t="shared" si="472"/>
        <v>NO APLICA</v>
      </c>
      <c r="CT192" s="12"/>
      <c r="CU192" s="14"/>
      <c r="CV192" s="14"/>
      <c r="CW192" s="65"/>
      <c r="CX192" s="15" t="str">
        <f t="shared" si="474"/>
        <v>NO APLICA</v>
      </c>
      <c r="CY192" s="13"/>
      <c r="CZ192" s="14"/>
      <c r="DA192" s="14"/>
      <c r="DB192" s="65"/>
      <c r="DC192" s="15" t="str">
        <f t="shared" si="476"/>
        <v>NO APLICA</v>
      </c>
      <c r="DD192" s="13"/>
      <c r="DE192" s="14"/>
      <c r="DF192" s="14"/>
      <c r="DG192" s="65"/>
      <c r="DH192" s="15" t="str">
        <f t="shared" si="478"/>
        <v>NO APLICA</v>
      </c>
      <c r="DI192" s="12"/>
      <c r="DJ192" s="14"/>
      <c r="DK192" s="14"/>
      <c r="DL192" s="65"/>
      <c r="DM192" s="15" t="str">
        <f t="shared" si="480"/>
        <v>NO APLICA</v>
      </c>
      <c r="DN192" s="13"/>
      <c r="DO192" s="14"/>
      <c r="DP192" s="14"/>
      <c r="DQ192" s="65"/>
      <c r="DR192" s="15" t="str">
        <f t="shared" si="482"/>
        <v>NO APLICA</v>
      </c>
      <c r="DS192" s="12"/>
      <c r="DT192" s="14"/>
      <c r="DU192" s="14"/>
      <c r="DV192" s="65"/>
      <c r="DW192" s="15" t="str">
        <f t="shared" si="484"/>
        <v>NO APLICA</v>
      </c>
      <c r="DX192" s="13"/>
      <c r="DY192" s="14"/>
      <c r="DZ192" s="14"/>
      <c r="EA192" s="65"/>
      <c r="EB192" s="15" t="str">
        <f t="shared" si="486"/>
        <v>NO APLICA</v>
      </c>
      <c r="EC192" s="13"/>
      <c r="ED192" s="14"/>
      <c r="EE192" s="14"/>
      <c r="EF192" s="65"/>
      <c r="EG192" s="15" t="str">
        <f t="shared" si="488"/>
        <v>NO APLICA</v>
      </c>
      <c r="EH192" s="13"/>
      <c r="EI192" s="12"/>
      <c r="EJ192" s="12"/>
      <c r="EK192" s="14"/>
      <c r="EL192" s="14"/>
      <c r="EM192" s="65"/>
      <c r="EN192" s="15" t="str">
        <f t="shared" si="490"/>
        <v>NO APLICA</v>
      </c>
      <c r="EO192" s="13"/>
      <c r="EP192" s="14"/>
      <c r="EQ192" s="14"/>
      <c r="ER192" s="65"/>
      <c r="ES192" s="15" t="str">
        <f t="shared" si="492"/>
        <v>NO APLICA</v>
      </c>
      <c r="ET192" s="12"/>
      <c r="EU192" s="14"/>
      <c r="EV192" s="14"/>
      <c r="EW192" s="65"/>
      <c r="EX192" s="15" t="str">
        <f t="shared" si="494"/>
        <v>NO APLICA</v>
      </c>
      <c r="EY192" s="12"/>
      <c r="EZ192" s="14"/>
      <c r="FA192" s="14"/>
      <c r="FB192" s="65"/>
      <c r="FC192" s="15" t="str">
        <f t="shared" si="496"/>
        <v>NO APLICA</v>
      </c>
      <c r="FD192" s="12"/>
      <c r="FE192" s="14"/>
      <c r="FF192" s="14"/>
      <c r="FG192" s="65"/>
      <c r="FH192" s="15" t="str">
        <f t="shared" si="498"/>
        <v>NO APLICA</v>
      </c>
      <c r="FI192" s="12"/>
      <c r="FJ192" s="14"/>
      <c r="FK192" s="14"/>
      <c r="FL192" s="65"/>
      <c r="FM192" s="15" t="str">
        <f t="shared" si="500"/>
        <v>NO APLICA</v>
      </c>
      <c r="FN192" s="13"/>
      <c r="FO192" s="14"/>
      <c r="FP192" s="14"/>
      <c r="FQ192" s="65"/>
      <c r="FR192" s="15" t="str">
        <f t="shared" si="502"/>
        <v>NO APLICA</v>
      </c>
      <c r="FS192" s="13"/>
      <c r="FT192" s="14"/>
      <c r="FU192" s="14"/>
      <c r="FV192" s="65"/>
      <c r="FW192" s="15" t="str">
        <f t="shared" si="504"/>
        <v>NO APLICA</v>
      </c>
      <c r="FX192" s="13"/>
      <c r="FY192" s="14"/>
      <c r="FZ192" s="14"/>
      <c r="GA192" s="65"/>
      <c r="GB192" s="15" t="str">
        <f t="shared" si="506"/>
        <v>NO APLICA</v>
      </c>
      <c r="GC192" s="13"/>
      <c r="GD192" s="14"/>
      <c r="GE192" s="14"/>
      <c r="GF192" s="65"/>
      <c r="GG192" s="15" t="str">
        <f t="shared" si="508"/>
        <v>NO APLICA</v>
      </c>
      <c r="GH192" s="13"/>
      <c r="GI192" s="14"/>
      <c r="GJ192" s="14"/>
      <c r="GK192" s="65"/>
      <c r="GL192" s="15" t="str">
        <f t="shared" si="510"/>
        <v>NO APLICA</v>
      </c>
      <c r="GM192" s="13"/>
      <c r="GN192" s="14"/>
      <c r="GO192" s="14"/>
      <c r="GP192" s="65"/>
      <c r="GQ192" s="15" t="str">
        <f t="shared" si="512"/>
        <v>NO APLICA</v>
      </c>
      <c r="GR192" s="14"/>
      <c r="GS192" s="14"/>
      <c r="GT192" s="14"/>
      <c r="GU192" s="65"/>
      <c r="GV192" s="15" t="str">
        <f t="shared" si="601"/>
        <v>NO APLICA</v>
      </c>
      <c r="GW192" s="13"/>
      <c r="GX192" s="14"/>
      <c r="GY192" s="14"/>
      <c r="GZ192" s="65"/>
      <c r="HA192" s="15" t="str">
        <f t="shared" si="602"/>
        <v>NO APLICA</v>
      </c>
      <c r="HB192" s="12"/>
      <c r="HC192" s="14"/>
      <c r="HD192" s="14"/>
      <c r="HE192" s="65"/>
      <c r="HF192" s="15" t="str">
        <f t="shared" si="603"/>
        <v>NO APLICA</v>
      </c>
      <c r="HG192" s="16"/>
      <c r="HH192" s="16"/>
      <c r="HI192" s="14"/>
      <c r="HJ192" s="65"/>
      <c r="HK192" s="15" t="str">
        <f t="shared" si="690"/>
        <v>NO APLICA</v>
      </c>
      <c r="HL192" s="12"/>
      <c r="HM192" s="16"/>
      <c r="HN192" s="14"/>
      <c r="HO192" s="65"/>
      <c r="HP192" s="15" t="str">
        <f t="shared" si="686"/>
        <v>NO APLICA</v>
      </c>
      <c r="HQ192" s="12"/>
      <c r="HR192" s="12"/>
      <c r="HS192" s="14"/>
      <c r="HT192" s="12"/>
      <c r="HU192" s="15" t="str">
        <f t="shared" si="518"/>
        <v>NO APLICA</v>
      </c>
      <c r="HV192" s="12"/>
      <c r="HW192" s="16"/>
      <c r="HX192" s="14"/>
      <c r="HY192" s="65"/>
      <c r="HZ192" s="15" t="str">
        <f t="shared" si="519"/>
        <v>NO APLICA</v>
      </c>
      <c r="IA192" s="12"/>
      <c r="IB192" s="16"/>
      <c r="IC192" s="14"/>
      <c r="ID192" s="65"/>
      <c r="IE192" s="15" t="str">
        <f t="shared" si="520"/>
        <v>NO APLICA</v>
      </c>
      <c r="IF192" s="12"/>
      <c r="IG192" s="16"/>
      <c r="IH192" s="14"/>
      <c r="II192" s="65"/>
      <c r="IJ192" s="15" t="str">
        <f t="shared" si="521"/>
        <v>NO APLICA</v>
      </c>
      <c r="IK192" s="16"/>
      <c r="IL192" s="16"/>
      <c r="IM192" s="14"/>
      <c r="IN192" s="65"/>
      <c r="IO192" s="15" t="str">
        <f t="shared" si="522"/>
        <v>NO APLICA</v>
      </c>
      <c r="IP192" s="12"/>
      <c r="IQ192" s="16"/>
      <c r="IR192" s="14"/>
      <c r="IS192" s="65"/>
      <c r="IT192" s="15" t="str">
        <f t="shared" si="523"/>
        <v>NO APLICA</v>
      </c>
      <c r="IU192" s="12"/>
      <c r="IV192" s="16"/>
      <c r="IW192" s="14"/>
      <c r="IX192" s="65"/>
      <c r="IY192" s="15" t="str">
        <f t="shared" si="524"/>
        <v>NO APLICA</v>
      </c>
      <c r="IZ192" s="12"/>
      <c r="JA192" s="16"/>
      <c r="JB192" s="14"/>
      <c r="JC192" s="65"/>
      <c r="JD192" s="15" t="str">
        <f t="shared" si="525"/>
        <v>NO APLICA</v>
      </c>
      <c r="JE192" s="13"/>
      <c r="JF192" s="13"/>
      <c r="JG192" s="14"/>
      <c r="JH192" s="65"/>
      <c r="JI192" s="15" t="str">
        <f t="shared" si="526"/>
        <v>NO APLICA</v>
      </c>
      <c r="JJ192" s="16"/>
      <c r="JK192" s="16"/>
      <c r="JL192" s="16"/>
      <c r="JM192" s="15" t="str">
        <f t="shared" si="527"/>
        <v>NO APLICA</v>
      </c>
      <c r="JN192" s="16"/>
      <c r="JO192" s="16"/>
      <c r="JP192" s="16"/>
      <c r="JQ192" s="15" t="str">
        <f t="shared" si="528"/>
        <v>NO APLICA</v>
      </c>
      <c r="JR192" s="16"/>
      <c r="JS192" s="16"/>
      <c r="JT192" s="16"/>
      <c r="JU192" s="16"/>
      <c r="JV192" s="15" t="str">
        <f t="shared" si="529"/>
        <v>NO APLICA</v>
      </c>
      <c r="JW192" s="15"/>
      <c r="JX192" s="15"/>
      <c r="JY192" s="15"/>
      <c r="JZ192" s="15"/>
      <c r="KA192" s="15" t="str">
        <f t="shared" si="530"/>
        <v>NO APLICA</v>
      </c>
      <c r="KB192" s="12"/>
      <c r="KC192" s="14"/>
      <c r="KD192" s="65"/>
      <c r="KE192" s="15" t="str">
        <f t="shared" si="531"/>
        <v>NO APLICA</v>
      </c>
      <c r="KF192" s="12"/>
      <c r="KG192" s="14"/>
      <c r="KH192" s="65"/>
      <c r="KI192" s="15" t="str">
        <f t="shared" si="547"/>
        <v>NO APLICA</v>
      </c>
      <c r="KJ192" s="12"/>
      <c r="KK192" s="14"/>
      <c r="KL192" s="65"/>
      <c r="KM192" s="15" t="str">
        <f t="shared" si="532"/>
        <v>NO APLICA</v>
      </c>
      <c r="KN192" s="12"/>
      <c r="KO192" s="14"/>
      <c r="KP192" s="65"/>
      <c r="KQ192" s="15" t="str">
        <f t="shared" si="548"/>
        <v>NO APLICA</v>
      </c>
      <c r="KR192" s="12"/>
      <c r="KS192" s="16"/>
      <c r="KT192" s="14"/>
      <c r="KU192" s="65"/>
      <c r="KV192" s="15" t="str">
        <f t="shared" si="554"/>
        <v>NO APLICA</v>
      </c>
      <c r="KW192" s="16"/>
      <c r="KX192" s="14"/>
      <c r="KY192" s="65"/>
      <c r="KZ192" s="15" t="str">
        <f t="shared" si="549"/>
        <v>NO APLICA</v>
      </c>
      <c r="LA192" s="16"/>
      <c r="LB192" s="16"/>
      <c r="LC192" s="14"/>
      <c r="LD192" s="65"/>
      <c r="LE192" s="15" t="str">
        <f t="shared" si="590"/>
        <v>NO APLICA</v>
      </c>
      <c r="LF192" s="15"/>
      <c r="LG192" s="15"/>
      <c r="LH192" s="14"/>
      <c r="LI192" s="65"/>
      <c r="LJ192" s="15" t="str">
        <f t="shared" si="555"/>
        <v>NO APLICA</v>
      </c>
      <c r="LK192" s="12"/>
      <c r="LL192" s="16"/>
      <c r="LM192" s="14"/>
      <c r="LN192" s="65"/>
      <c r="LO192" s="15" t="str">
        <f t="shared" si="550"/>
        <v>NO APLICA</v>
      </c>
      <c r="LP192" s="16"/>
      <c r="LQ192" s="16"/>
      <c r="LR192" s="14"/>
      <c r="LS192" s="65"/>
      <c r="LT192" s="15" t="str">
        <f t="shared" si="551"/>
        <v>NO APLICA</v>
      </c>
      <c r="LU192" s="16"/>
      <c r="LV192" s="16"/>
      <c r="LW192" s="14"/>
      <c r="LX192" s="65"/>
      <c r="LY192" s="15" t="str">
        <f t="shared" si="552"/>
        <v>NO APLICA</v>
      </c>
      <c r="LZ192" s="12"/>
      <c r="MA192" s="12"/>
      <c r="MB192" s="14"/>
      <c r="MC192" s="65"/>
      <c r="MD192" s="15" t="str">
        <f t="shared" si="534"/>
        <v>NO APLICA</v>
      </c>
      <c r="ME192" s="12"/>
      <c r="MF192" s="12"/>
      <c r="MG192" s="14"/>
      <c r="MH192" s="65"/>
      <c r="MI192" s="15" t="str">
        <f t="shared" si="535"/>
        <v>NO APLICA</v>
      </c>
      <c r="MJ192" s="12"/>
      <c r="MK192" s="14"/>
      <c r="ML192" s="65"/>
      <c r="MM192" s="15" t="str">
        <f t="shared" si="536"/>
        <v>NO APLICA</v>
      </c>
      <c r="MN192" s="12"/>
      <c r="MO192" s="14"/>
      <c r="MP192" s="12"/>
      <c r="MQ192" s="15" t="str">
        <f t="shared" si="537"/>
        <v>NO APLICA</v>
      </c>
      <c r="MR192" s="12"/>
      <c r="MS192" s="16"/>
      <c r="MT192" s="14"/>
      <c r="MU192" s="65"/>
      <c r="MV192" s="15" t="str">
        <f t="shared" si="538"/>
        <v>NO APLICA</v>
      </c>
      <c r="MW192" s="12"/>
      <c r="MX192" s="16"/>
      <c r="MY192" s="14"/>
      <c r="MZ192" s="65"/>
      <c r="NA192" s="15" t="str">
        <f t="shared" si="539"/>
        <v>NO APLICA</v>
      </c>
      <c r="NB192" s="12"/>
      <c r="NC192" s="16"/>
      <c r="ND192" s="14"/>
      <c r="NE192" s="65"/>
      <c r="NF192" s="15" t="str">
        <f t="shared" si="540"/>
        <v>NO APLICA</v>
      </c>
      <c r="NG192" s="12"/>
      <c r="NH192" s="12"/>
      <c r="NI192" s="14"/>
      <c r="NJ192" s="65"/>
      <c r="NK192" s="15" t="str">
        <f t="shared" si="541"/>
        <v>NO APLICA</v>
      </c>
      <c r="NL192" s="12"/>
      <c r="NM192" s="12"/>
      <c r="NN192" s="14"/>
      <c r="NO192" s="12"/>
      <c r="NP192" s="15" t="str">
        <f t="shared" si="542"/>
        <v>NO APLICA</v>
      </c>
      <c r="NQ192" s="16"/>
      <c r="NR192" s="16"/>
      <c r="NS192" s="14"/>
      <c r="NT192" s="65"/>
      <c r="NU192" s="15" t="str">
        <f t="shared" si="543"/>
        <v>NO APLICA</v>
      </c>
      <c r="NV192" s="16"/>
      <c r="NW192" s="16"/>
      <c r="NX192" s="16"/>
      <c r="NY192" s="16"/>
      <c r="NZ192" s="15" t="str">
        <f t="shared" si="544"/>
        <v>NO APLICA</v>
      </c>
    </row>
    <row r="193" spans="1:390" ht="15.6" thickTop="1" thickBot="1" x14ac:dyDescent="0.35">
      <c r="A193" s="11">
        <v>1690</v>
      </c>
      <c r="B193" s="10" t="s">
        <v>672</v>
      </c>
      <c r="C193" s="21" t="s">
        <v>151</v>
      </c>
      <c r="D193" s="64" t="s">
        <v>668</v>
      </c>
      <c r="E193" s="13"/>
      <c r="F193" s="14"/>
      <c r="G193" s="14"/>
      <c r="H193" s="65"/>
      <c r="I193" s="15" t="str">
        <f t="shared" si="688"/>
        <v>NO APLICA</v>
      </c>
      <c r="J193" s="12"/>
      <c r="K193" s="12"/>
      <c r="L193" s="12"/>
      <c r="M193" s="12"/>
      <c r="N193" s="15" t="str">
        <f t="shared" si="449"/>
        <v>NO APLICA</v>
      </c>
      <c r="O193" s="16"/>
      <c r="P193" s="16"/>
      <c r="Q193" s="14"/>
      <c r="R193" s="65"/>
      <c r="S193" s="15" t="str">
        <f t="shared" si="689"/>
        <v>NO APLICA</v>
      </c>
      <c r="T193" s="12"/>
      <c r="U193" s="13"/>
      <c r="V193" s="14"/>
      <c r="W193" s="14"/>
      <c r="X193" s="65"/>
      <c r="Y193" s="15" t="str">
        <f t="shared" si="595"/>
        <v>NO APLICA</v>
      </c>
      <c r="Z193" s="12"/>
      <c r="AA193" s="12"/>
      <c r="AB193" s="16"/>
      <c r="AC193" s="14"/>
      <c r="AD193" s="65"/>
      <c r="AE193" s="15" t="str">
        <f t="shared" si="598"/>
        <v>NO APLICA</v>
      </c>
      <c r="AF193" s="12"/>
      <c r="AG193" s="14"/>
      <c r="AH193" s="14"/>
      <c r="AI193" s="65"/>
      <c r="AJ193" s="15" t="str">
        <f t="shared" si="592"/>
        <v>NO APLICA</v>
      </c>
      <c r="AK193" s="12"/>
      <c r="AL193" s="14"/>
      <c r="AM193" s="14"/>
      <c r="AN193" s="65"/>
      <c r="AO193" s="15" t="str">
        <f t="shared" si="452"/>
        <v>NO APLICA</v>
      </c>
      <c r="AP193" s="12"/>
      <c r="AQ193" s="14"/>
      <c r="AR193" s="14"/>
      <c r="AS193" s="65"/>
      <c r="AT193" s="15" t="str">
        <f t="shared" si="454"/>
        <v>NO APLICA</v>
      </c>
      <c r="AU193" s="12"/>
      <c r="AV193" s="14"/>
      <c r="AW193" s="14"/>
      <c r="AX193" s="65"/>
      <c r="AY193" s="15" t="str">
        <f t="shared" si="456"/>
        <v>NO APLICA</v>
      </c>
      <c r="AZ193" s="13"/>
      <c r="BA193" s="14"/>
      <c r="BB193" s="14"/>
      <c r="BC193" s="65"/>
      <c r="BD193" s="15" t="str">
        <f t="shared" si="458"/>
        <v>NO APLICA</v>
      </c>
      <c r="BE193" s="12"/>
      <c r="BF193" s="14"/>
      <c r="BG193" s="14"/>
      <c r="BH193" s="65"/>
      <c r="BI193" s="15" t="str">
        <f t="shared" si="460"/>
        <v>NO APLICA</v>
      </c>
      <c r="BJ193" s="13"/>
      <c r="BK193" s="14"/>
      <c r="BL193" s="14"/>
      <c r="BM193" s="65"/>
      <c r="BN193" s="15" t="str">
        <f t="shared" si="462"/>
        <v>NO APLICA</v>
      </c>
      <c r="BO193" s="13"/>
      <c r="BP193" s="14"/>
      <c r="BQ193" s="14"/>
      <c r="BR193" s="65"/>
      <c r="BS193" s="15" t="str">
        <f t="shared" si="464"/>
        <v>NO APLICA</v>
      </c>
      <c r="BT193" s="12"/>
      <c r="BU193" s="14"/>
      <c r="BV193" s="14"/>
      <c r="BW193" s="65"/>
      <c r="BX193" s="15" t="str">
        <f t="shared" si="466"/>
        <v>NO APLICA</v>
      </c>
      <c r="BY193" s="12"/>
      <c r="BZ193" s="14"/>
      <c r="CA193" s="14"/>
      <c r="CB193" s="65"/>
      <c r="CC193" s="15" t="str">
        <f t="shared" si="468"/>
        <v>NO APLICA</v>
      </c>
      <c r="CD193" s="16"/>
      <c r="CE193" s="14"/>
      <c r="CF193" s="14"/>
      <c r="CG193" s="14"/>
      <c r="CH193" s="65"/>
      <c r="CI193" s="15" t="str">
        <f t="shared" si="562"/>
        <v>NO APLICA</v>
      </c>
      <c r="CJ193" s="16"/>
      <c r="CK193" s="14"/>
      <c r="CL193" s="14"/>
      <c r="CM193" s="65"/>
      <c r="CN193" s="15" t="str">
        <f t="shared" si="470"/>
        <v>NO APLICA</v>
      </c>
      <c r="CO193" s="12"/>
      <c r="CP193" s="14"/>
      <c r="CQ193" s="14"/>
      <c r="CR193" s="65"/>
      <c r="CS193" s="15" t="str">
        <f t="shared" si="472"/>
        <v>NO APLICA</v>
      </c>
      <c r="CT193" s="12"/>
      <c r="CU193" s="14"/>
      <c r="CV193" s="14"/>
      <c r="CW193" s="65"/>
      <c r="CX193" s="15" t="str">
        <f t="shared" si="474"/>
        <v>NO APLICA</v>
      </c>
      <c r="CY193" s="13"/>
      <c r="CZ193" s="14"/>
      <c r="DA193" s="14"/>
      <c r="DB193" s="65"/>
      <c r="DC193" s="15" t="str">
        <f t="shared" si="476"/>
        <v>NO APLICA</v>
      </c>
      <c r="DD193" s="13"/>
      <c r="DE193" s="14"/>
      <c r="DF193" s="14"/>
      <c r="DG193" s="65"/>
      <c r="DH193" s="15" t="str">
        <f t="shared" si="478"/>
        <v>NO APLICA</v>
      </c>
      <c r="DI193" s="12"/>
      <c r="DJ193" s="14"/>
      <c r="DK193" s="14"/>
      <c r="DL193" s="65"/>
      <c r="DM193" s="15" t="str">
        <f t="shared" si="480"/>
        <v>NO APLICA</v>
      </c>
      <c r="DN193" s="13"/>
      <c r="DO193" s="14"/>
      <c r="DP193" s="14"/>
      <c r="DQ193" s="65"/>
      <c r="DR193" s="15" t="str">
        <f t="shared" si="482"/>
        <v>NO APLICA</v>
      </c>
      <c r="DS193" s="12"/>
      <c r="DT193" s="14"/>
      <c r="DU193" s="14"/>
      <c r="DV193" s="65"/>
      <c r="DW193" s="15" t="str">
        <f t="shared" si="484"/>
        <v>NO APLICA</v>
      </c>
      <c r="DX193" s="13"/>
      <c r="DY193" s="14"/>
      <c r="DZ193" s="14"/>
      <c r="EA193" s="65"/>
      <c r="EB193" s="15" t="str">
        <f t="shared" si="486"/>
        <v>NO APLICA</v>
      </c>
      <c r="EC193" s="13"/>
      <c r="ED193" s="14"/>
      <c r="EE193" s="14"/>
      <c r="EF193" s="65"/>
      <c r="EG193" s="15" t="str">
        <f t="shared" si="488"/>
        <v>NO APLICA</v>
      </c>
      <c r="EH193" s="13"/>
      <c r="EI193" s="12"/>
      <c r="EJ193" s="12"/>
      <c r="EK193" s="14"/>
      <c r="EL193" s="14"/>
      <c r="EM193" s="65"/>
      <c r="EN193" s="15" t="str">
        <f t="shared" si="490"/>
        <v>NO APLICA</v>
      </c>
      <c r="EO193" s="13"/>
      <c r="EP193" s="14"/>
      <c r="EQ193" s="14"/>
      <c r="ER193" s="65"/>
      <c r="ES193" s="15" t="str">
        <f t="shared" si="492"/>
        <v>NO APLICA</v>
      </c>
      <c r="ET193" s="12"/>
      <c r="EU193" s="14"/>
      <c r="EV193" s="14"/>
      <c r="EW193" s="65"/>
      <c r="EX193" s="15" t="str">
        <f t="shared" si="494"/>
        <v>NO APLICA</v>
      </c>
      <c r="EY193" s="12"/>
      <c r="EZ193" s="14"/>
      <c r="FA193" s="14"/>
      <c r="FB193" s="65"/>
      <c r="FC193" s="15" t="str">
        <f t="shared" si="496"/>
        <v>NO APLICA</v>
      </c>
      <c r="FD193" s="12"/>
      <c r="FE193" s="14"/>
      <c r="FF193" s="14"/>
      <c r="FG193" s="65"/>
      <c r="FH193" s="15" t="str">
        <f t="shared" si="498"/>
        <v>NO APLICA</v>
      </c>
      <c r="FI193" s="12"/>
      <c r="FJ193" s="14"/>
      <c r="FK193" s="14"/>
      <c r="FL193" s="65"/>
      <c r="FM193" s="15" t="str">
        <f t="shared" si="500"/>
        <v>NO APLICA</v>
      </c>
      <c r="FN193" s="13"/>
      <c r="FO193" s="14"/>
      <c r="FP193" s="14"/>
      <c r="FQ193" s="65"/>
      <c r="FR193" s="15" t="str">
        <f t="shared" si="502"/>
        <v>NO APLICA</v>
      </c>
      <c r="FS193" s="13"/>
      <c r="FT193" s="14"/>
      <c r="FU193" s="14"/>
      <c r="FV193" s="65"/>
      <c r="FW193" s="15" t="str">
        <f t="shared" si="504"/>
        <v>NO APLICA</v>
      </c>
      <c r="FX193" s="13"/>
      <c r="FY193" s="14"/>
      <c r="FZ193" s="14"/>
      <c r="GA193" s="65"/>
      <c r="GB193" s="15" t="str">
        <f t="shared" si="506"/>
        <v>NO APLICA</v>
      </c>
      <c r="GC193" s="13"/>
      <c r="GD193" s="14"/>
      <c r="GE193" s="14"/>
      <c r="GF193" s="65"/>
      <c r="GG193" s="15" t="str">
        <f t="shared" si="508"/>
        <v>NO APLICA</v>
      </c>
      <c r="GH193" s="13"/>
      <c r="GI193" s="14"/>
      <c r="GJ193" s="14"/>
      <c r="GK193" s="65"/>
      <c r="GL193" s="15" t="str">
        <f t="shared" si="510"/>
        <v>NO APLICA</v>
      </c>
      <c r="GM193" s="13"/>
      <c r="GN193" s="14"/>
      <c r="GO193" s="14"/>
      <c r="GP193" s="65"/>
      <c r="GQ193" s="15" t="str">
        <f t="shared" si="512"/>
        <v>NO APLICA</v>
      </c>
      <c r="GR193" s="14"/>
      <c r="GS193" s="14"/>
      <c r="GT193" s="14"/>
      <c r="GU193" s="65"/>
      <c r="GV193" s="15" t="str">
        <f t="shared" si="601"/>
        <v>NO APLICA</v>
      </c>
      <c r="GW193" s="13"/>
      <c r="GX193" s="14"/>
      <c r="GY193" s="14"/>
      <c r="GZ193" s="65"/>
      <c r="HA193" s="15" t="str">
        <f t="shared" si="602"/>
        <v>NO APLICA</v>
      </c>
      <c r="HB193" s="12"/>
      <c r="HC193" s="14"/>
      <c r="HD193" s="14"/>
      <c r="HE193" s="65"/>
      <c r="HF193" s="15" t="str">
        <f t="shared" si="603"/>
        <v>NO APLICA</v>
      </c>
      <c r="HG193" s="16"/>
      <c r="HH193" s="16"/>
      <c r="HI193" s="14"/>
      <c r="HJ193" s="65"/>
      <c r="HK193" s="15" t="str">
        <f t="shared" si="690"/>
        <v>NO APLICA</v>
      </c>
      <c r="HL193" s="12"/>
      <c r="HM193" s="16"/>
      <c r="HN193" s="14"/>
      <c r="HO193" s="65"/>
      <c r="HP193" s="15" t="str">
        <f t="shared" si="686"/>
        <v>NO APLICA</v>
      </c>
      <c r="HQ193" s="12"/>
      <c r="HR193" s="12"/>
      <c r="HS193" s="14"/>
      <c r="HT193" s="12"/>
      <c r="HU193" s="15" t="str">
        <f t="shared" si="518"/>
        <v>NO APLICA</v>
      </c>
      <c r="HV193" s="12"/>
      <c r="HW193" s="16"/>
      <c r="HX193" s="14"/>
      <c r="HY193" s="65"/>
      <c r="HZ193" s="15" t="str">
        <f t="shared" si="519"/>
        <v>NO APLICA</v>
      </c>
      <c r="IA193" s="12"/>
      <c r="IB193" s="16"/>
      <c r="IC193" s="14"/>
      <c r="ID193" s="65"/>
      <c r="IE193" s="15" t="str">
        <f t="shared" si="520"/>
        <v>NO APLICA</v>
      </c>
      <c r="IF193" s="12"/>
      <c r="IG193" s="16"/>
      <c r="IH193" s="14"/>
      <c r="II193" s="65"/>
      <c r="IJ193" s="15" t="str">
        <f t="shared" si="521"/>
        <v>NO APLICA</v>
      </c>
      <c r="IK193" s="16"/>
      <c r="IL193" s="16"/>
      <c r="IM193" s="14"/>
      <c r="IN193" s="65"/>
      <c r="IO193" s="15" t="str">
        <f t="shared" si="522"/>
        <v>NO APLICA</v>
      </c>
      <c r="IP193" s="12"/>
      <c r="IQ193" s="16"/>
      <c r="IR193" s="14"/>
      <c r="IS193" s="65"/>
      <c r="IT193" s="15" t="str">
        <f t="shared" si="523"/>
        <v>NO APLICA</v>
      </c>
      <c r="IU193" s="12"/>
      <c r="IV193" s="16"/>
      <c r="IW193" s="14"/>
      <c r="IX193" s="65"/>
      <c r="IY193" s="15" t="str">
        <f t="shared" si="524"/>
        <v>NO APLICA</v>
      </c>
      <c r="IZ193" s="12"/>
      <c r="JA193" s="16"/>
      <c r="JB193" s="14"/>
      <c r="JC193" s="65"/>
      <c r="JD193" s="15" t="str">
        <f t="shared" si="525"/>
        <v>NO APLICA</v>
      </c>
      <c r="JE193" s="13"/>
      <c r="JF193" s="13"/>
      <c r="JG193" s="14"/>
      <c r="JH193" s="65"/>
      <c r="JI193" s="15" t="str">
        <f t="shared" si="526"/>
        <v>NO APLICA</v>
      </c>
      <c r="JJ193" s="16"/>
      <c r="JK193" s="16"/>
      <c r="JL193" s="16"/>
      <c r="JM193" s="15" t="str">
        <f t="shared" si="527"/>
        <v>NO APLICA</v>
      </c>
      <c r="JN193" s="16"/>
      <c r="JO193" s="16"/>
      <c r="JP193" s="16"/>
      <c r="JQ193" s="15" t="str">
        <f t="shared" si="528"/>
        <v>NO APLICA</v>
      </c>
      <c r="JR193" s="16"/>
      <c r="JS193" s="16"/>
      <c r="JT193" s="16"/>
      <c r="JU193" s="16"/>
      <c r="JV193" s="15" t="str">
        <f t="shared" si="529"/>
        <v>NO APLICA</v>
      </c>
      <c r="JW193" s="15"/>
      <c r="JX193" s="15"/>
      <c r="JY193" s="15"/>
      <c r="JZ193" s="15"/>
      <c r="KA193" s="15" t="str">
        <f t="shared" si="530"/>
        <v>NO APLICA</v>
      </c>
      <c r="KB193" s="12"/>
      <c r="KC193" s="14"/>
      <c r="KD193" s="65"/>
      <c r="KE193" s="15" t="str">
        <f t="shared" si="531"/>
        <v>NO APLICA</v>
      </c>
      <c r="KF193" s="12"/>
      <c r="KG193" s="14"/>
      <c r="KH193" s="65"/>
      <c r="KI193" s="15" t="str">
        <f t="shared" si="547"/>
        <v>NO APLICA</v>
      </c>
      <c r="KJ193" s="12"/>
      <c r="KK193" s="14"/>
      <c r="KL193" s="65"/>
      <c r="KM193" s="15" t="str">
        <f t="shared" si="532"/>
        <v>NO APLICA</v>
      </c>
      <c r="KN193" s="12"/>
      <c r="KO193" s="14"/>
      <c r="KP193" s="65"/>
      <c r="KQ193" s="15" t="str">
        <f t="shared" si="548"/>
        <v>NO APLICA</v>
      </c>
      <c r="KR193" s="12"/>
      <c r="KS193" s="16"/>
      <c r="KT193" s="14"/>
      <c r="KU193" s="65"/>
      <c r="KV193" s="15" t="str">
        <f t="shared" si="554"/>
        <v>NO APLICA</v>
      </c>
      <c r="KW193" s="16"/>
      <c r="KX193" s="14"/>
      <c r="KY193" s="65"/>
      <c r="KZ193" s="15" t="str">
        <f t="shared" si="549"/>
        <v>NO APLICA</v>
      </c>
      <c r="LA193" s="16"/>
      <c r="LB193" s="16"/>
      <c r="LC193" s="14"/>
      <c r="LD193" s="65"/>
      <c r="LE193" s="15" t="str">
        <f t="shared" si="590"/>
        <v>NO APLICA</v>
      </c>
      <c r="LF193" s="15"/>
      <c r="LG193" s="15"/>
      <c r="LH193" s="14"/>
      <c r="LI193" s="65"/>
      <c r="LJ193" s="15" t="str">
        <f t="shared" si="555"/>
        <v>NO APLICA</v>
      </c>
      <c r="LK193" s="12"/>
      <c r="LL193" s="16"/>
      <c r="LM193" s="14"/>
      <c r="LN193" s="65"/>
      <c r="LO193" s="15" t="str">
        <f t="shared" si="550"/>
        <v>NO APLICA</v>
      </c>
      <c r="LP193" s="16"/>
      <c r="LQ193" s="16"/>
      <c r="LR193" s="14"/>
      <c r="LS193" s="65"/>
      <c r="LT193" s="15" t="str">
        <f t="shared" si="551"/>
        <v>NO APLICA</v>
      </c>
      <c r="LU193" s="16"/>
      <c r="LV193" s="16"/>
      <c r="LW193" s="14"/>
      <c r="LX193" s="65"/>
      <c r="LY193" s="15" t="str">
        <f t="shared" si="552"/>
        <v>NO APLICA</v>
      </c>
      <c r="LZ193" s="12"/>
      <c r="MA193" s="12"/>
      <c r="MB193" s="14"/>
      <c r="MC193" s="65"/>
      <c r="MD193" s="15" t="str">
        <f t="shared" si="534"/>
        <v>NO APLICA</v>
      </c>
      <c r="ME193" s="12"/>
      <c r="MF193" s="12"/>
      <c r="MG193" s="14"/>
      <c r="MH193" s="65"/>
      <c r="MI193" s="15" t="str">
        <f t="shared" si="535"/>
        <v>NO APLICA</v>
      </c>
      <c r="MJ193" s="12"/>
      <c r="MK193" s="14"/>
      <c r="ML193" s="65"/>
      <c r="MM193" s="15" t="str">
        <f t="shared" si="536"/>
        <v>NO APLICA</v>
      </c>
      <c r="MN193" s="12"/>
      <c r="MO193" s="14"/>
      <c r="MP193" s="12"/>
      <c r="MQ193" s="15" t="str">
        <f t="shared" si="537"/>
        <v>NO APLICA</v>
      </c>
      <c r="MR193" s="12"/>
      <c r="MS193" s="16"/>
      <c r="MT193" s="14"/>
      <c r="MU193" s="65"/>
      <c r="MV193" s="15" t="str">
        <f t="shared" si="538"/>
        <v>NO APLICA</v>
      </c>
      <c r="MW193" s="12"/>
      <c r="MX193" s="16"/>
      <c r="MY193" s="14"/>
      <c r="MZ193" s="65"/>
      <c r="NA193" s="15" t="str">
        <f t="shared" si="539"/>
        <v>NO APLICA</v>
      </c>
      <c r="NB193" s="12"/>
      <c r="NC193" s="16"/>
      <c r="ND193" s="14"/>
      <c r="NE193" s="65"/>
      <c r="NF193" s="15" t="str">
        <f t="shared" si="540"/>
        <v>NO APLICA</v>
      </c>
      <c r="NG193" s="12"/>
      <c r="NH193" s="12"/>
      <c r="NI193" s="14"/>
      <c r="NJ193" s="65"/>
      <c r="NK193" s="15" t="str">
        <f t="shared" si="541"/>
        <v>NO APLICA</v>
      </c>
      <c r="NL193" s="12"/>
      <c r="NM193" s="12"/>
      <c r="NN193" s="14"/>
      <c r="NO193" s="12"/>
      <c r="NP193" s="15" t="str">
        <f t="shared" si="542"/>
        <v>NO APLICA</v>
      </c>
      <c r="NQ193" s="16"/>
      <c r="NR193" s="16"/>
      <c r="NS193" s="14"/>
      <c r="NT193" s="65"/>
      <c r="NU193" s="15" t="str">
        <f t="shared" si="543"/>
        <v>NO APLICA</v>
      </c>
      <c r="NV193" s="16"/>
      <c r="NW193" s="16"/>
      <c r="NX193" s="16"/>
      <c r="NY193" s="16"/>
      <c r="NZ193" s="15" t="str">
        <f t="shared" si="544"/>
        <v>NO APLICA</v>
      </c>
    </row>
    <row r="194" spans="1:390" ht="15.6" thickTop="1" thickBot="1" x14ac:dyDescent="0.35">
      <c r="A194" s="11">
        <v>1610</v>
      </c>
      <c r="B194" s="10" t="s">
        <v>673</v>
      </c>
      <c r="C194" s="21" t="s">
        <v>98</v>
      </c>
      <c r="D194" s="64" t="s">
        <v>172</v>
      </c>
      <c r="E194" s="16"/>
      <c r="F194" s="16"/>
      <c r="G194" s="16"/>
      <c r="H194" s="16"/>
      <c r="I194" s="15" t="str">
        <f t="shared" si="688"/>
        <v>NO APLICA</v>
      </c>
      <c r="J194" s="16"/>
      <c r="K194" s="16"/>
      <c r="L194" s="16"/>
      <c r="M194" s="16"/>
      <c r="N194" s="15" t="str">
        <f t="shared" si="449"/>
        <v>NO APLICA</v>
      </c>
      <c r="O194" s="16"/>
      <c r="P194" s="16"/>
      <c r="Q194" s="16"/>
      <c r="R194" s="16"/>
      <c r="S194" s="15" t="str">
        <f t="shared" si="689"/>
        <v>NO APLICA</v>
      </c>
      <c r="T194" s="16"/>
      <c r="U194" s="14"/>
      <c r="V194" s="14"/>
      <c r="W194" s="14"/>
      <c r="X194" s="65"/>
      <c r="Y194" s="15" t="str">
        <f t="shared" si="595"/>
        <v>NO APLICA</v>
      </c>
      <c r="Z194" s="16"/>
      <c r="AA194" s="16"/>
      <c r="AB194" s="16"/>
      <c r="AC194" s="16"/>
      <c r="AD194" s="16"/>
      <c r="AE194" s="15" t="str">
        <f t="shared" si="598"/>
        <v>NO APLICA</v>
      </c>
      <c r="AF194" s="14"/>
      <c r="AG194" s="14"/>
      <c r="AH194" s="14"/>
      <c r="AI194" s="16"/>
      <c r="AJ194" s="15" t="str">
        <f t="shared" si="592"/>
        <v>NO APLICA</v>
      </c>
      <c r="AK194" s="14"/>
      <c r="AL194" s="14"/>
      <c r="AM194" s="14"/>
      <c r="AN194" s="16"/>
      <c r="AO194" s="15" t="str">
        <f t="shared" si="452"/>
        <v>NO APLICA</v>
      </c>
      <c r="AP194" s="14"/>
      <c r="AQ194" s="14"/>
      <c r="AR194" s="14"/>
      <c r="AS194" s="16"/>
      <c r="AT194" s="15" t="str">
        <f t="shared" si="454"/>
        <v>NO APLICA</v>
      </c>
      <c r="AU194" s="14"/>
      <c r="AV194" s="14"/>
      <c r="AW194" s="14"/>
      <c r="AX194" s="16"/>
      <c r="AY194" s="15" t="str">
        <f t="shared" si="456"/>
        <v>NO APLICA</v>
      </c>
      <c r="AZ194" s="14"/>
      <c r="BA194" s="14"/>
      <c r="BB194" s="14"/>
      <c r="BC194" s="16"/>
      <c r="BD194" s="15" t="str">
        <f t="shared" si="458"/>
        <v>NO APLICA</v>
      </c>
      <c r="BE194" s="14"/>
      <c r="BF194" s="14"/>
      <c r="BG194" s="14"/>
      <c r="BH194" s="16"/>
      <c r="BI194" s="15" t="str">
        <f t="shared" si="460"/>
        <v>NO APLICA</v>
      </c>
      <c r="BJ194" s="14"/>
      <c r="BK194" s="14"/>
      <c r="BL194" s="14"/>
      <c r="BM194" s="16"/>
      <c r="BN194" s="15" t="str">
        <f t="shared" si="462"/>
        <v>NO APLICA</v>
      </c>
      <c r="BO194" s="14"/>
      <c r="BP194" s="14"/>
      <c r="BQ194" s="14"/>
      <c r="BR194" s="16"/>
      <c r="BS194" s="15" t="str">
        <f t="shared" si="464"/>
        <v>NO APLICA</v>
      </c>
      <c r="BT194" s="14"/>
      <c r="BU194" s="14"/>
      <c r="BV194" s="14"/>
      <c r="BW194" s="16"/>
      <c r="BX194" s="15" t="str">
        <f t="shared" si="466"/>
        <v>NO APLICA</v>
      </c>
      <c r="BY194" s="14"/>
      <c r="BZ194" s="14"/>
      <c r="CA194" s="14"/>
      <c r="CB194" s="16"/>
      <c r="CC194" s="15" t="str">
        <f t="shared" si="468"/>
        <v>NO APLICA</v>
      </c>
      <c r="CD194" s="16"/>
      <c r="CE194" s="16"/>
      <c r="CF194" s="16"/>
      <c r="CG194" s="16"/>
      <c r="CH194" s="16"/>
      <c r="CI194" s="15" t="str">
        <f t="shared" si="562"/>
        <v>NO APLICA</v>
      </c>
      <c r="CJ194" s="14"/>
      <c r="CK194" s="14"/>
      <c r="CL194" s="14"/>
      <c r="CM194" s="16"/>
      <c r="CN194" s="15" t="str">
        <f t="shared" si="470"/>
        <v>NO APLICA</v>
      </c>
      <c r="CO194" s="14"/>
      <c r="CP194" s="14"/>
      <c r="CQ194" s="14"/>
      <c r="CR194" s="16"/>
      <c r="CS194" s="15" t="str">
        <f t="shared" si="472"/>
        <v>NO APLICA</v>
      </c>
      <c r="CT194" s="14"/>
      <c r="CU194" s="14"/>
      <c r="CV194" s="14"/>
      <c r="CW194" s="16"/>
      <c r="CX194" s="15" t="str">
        <f t="shared" si="474"/>
        <v>NO APLICA</v>
      </c>
      <c r="CY194" s="14"/>
      <c r="CZ194" s="14"/>
      <c r="DA194" s="14"/>
      <c r="DB194" s="16"/>
      <c r="DC194" s="15" t="str">
        <f t="shared" si="476"/>
        <v>NO APLICA</v>
      </c>
      <c r="DD194" s="14"/>
      <c r="DE194" s="14"/>
      <c r="DF194" s="14"/>
      <c r="DG194" s="16"/>
      <c r="DH194" s="15" t="str">
        <f t="shared" si="478"/>
        <v>NO APLICA</v>
      </c>
      <c r="DI194" s="14"/>
      <c r="DJ194" s="14"/>
      <c r="DK194" s="14"/>
      <c r="DL194" s="16"/>
      <c r="DM194" s="15" t="str">
        <f t="shared" si="480"/>
        <v>NO APLICA</v>
      </c>
      <c r="DN194" s="14"/>
      <c r="DO194" s="14"/>
      <c r="DP194" s="14"/>
      <c r="DQ194" s="16"/>
      <c r="DR194" s="15" t="str">
        <f t="shared" si="482"/>
        <v>NO APLICA</v>
      </c>
      <c r="DS194" s="14"/>
      <c r="DT194" s="14"/>
      <c r="DU194" s="14"/>
      <c r="DV194" s="16"/>
      <c r="DW194" s="15" t="str">
        <f t="shared" si="484"/>
        <v>NO APLICA</v>
      </c>
      <c r="DX194" s="14"/>
      <c r="DY194" s="14"/>
      <c r="DZ194" s="14"/>
      <c r="EA194" s="16"/>
      <c r="EB194" s="15" t="str">
        <f t="shared" si="486"/>
        <v>NO APLICA</v>
      </c>
      <c r="EC194" s="14"/>
      <c r="ED194" s="14"/>
      <c r="EE194" s="14"/>
      <c r="EF194" s="16"/>
      <c r="EG194" s="15" t="str">
        <f t="shared" si="488"/>
        <v>NO APLICA</v>
      </c>
      <c r="EH194" s="14"/>
      <c r="EI194" s="14"/>
      <c r="EJ194" s="14"/>
      <c r="EK194" s="14"/>
      <c r="EL194" s="14"/>
      <c r="EM194" s="65"/>
      <c r="EN194" s="15" t="str">
        <f t="shared" si="490"/>
        <v>NO APLICA</v>
      </c>
      <c r="EO194" s="14"/>
      <c r="EP194" s="14"/>
      <c r="EQ194" s="14"/>
      <c r="ER194" s="65"/>
      <c r="ES194" s="15" t="str">
        <f t="shared" si="492"/>
        <v>NO APLICA</v>
      </c>
      <c r="ET194" s="14"/>
      <c r="EU194" s="14"/>
      <c r="EV194" s="14"/>
      <c r="EW194" s="65"/>
      <c r="EX194" s="15" t="str">
        <f t="shared" si="494"/>
        <v>NO APLICA</v>
      </c>
      <c r="EY194" s="14"/>
      <c r="EZ194" s="14"/>
      <c r="FA194" s="14"/>
      <c r="FB194" s="16"/>
      <c r="FC194" s="15" t="str">
        <f t="shared" si="496"/>
        <v>NO APLICA</v>
      </c>
      <c r="FD194" s="14"/>
      <c r="FE194" s="14"/>
      <c r="FF194" s="14"/>
      <c r="FG194" s="16"/>
      <c r="FH194" s="15" t="str">
        <f t="shared" si="498"/>
        <v>NO APLICA</v>
      </c>
      <c r="FI194" s="14"/>
      <c r="FJ194" s="14"/>
      <c r="FK194" s="14"/>
      <c r="FL194" s="16"/>
      <c r="FM194" s="15" t="str">
        <f t="shared" si="500"/>
        <v>NO APLICA</v>
      </c>
      <c r="FN194" s="14"/>
      <c r="FO194" s="14"/>
      <c r="FP194" s="14"/>
      <c r="FQ194" s="16"/>
      <c r="FR194" s="15" t="str">
        <f t="shared" si="502"/>
        <v>NO APLICA</v>
      </c>
      <c r="FS194" s="14"/>
      <c r="FT194" s="14"/>
      <c r="FU194" s="14"/>
      <c r="FV194" s="16"/>
      <c r="FW194" s="15" t="str">
        <f t="shared" si="504"/>
        <v>NO APLICA</v>
      </c>
      <c r="FX194" s="14"/>
      <c r="FY194" s="14"/>
      <c r="FZ194" s="14"/>
      <c r="GA194" s="16"/>
      <c r="GB194" s="15" t="str">
        <f t="shared" si="506"/>
        <v>NO APLICA</v>
      </c>
      <c r="GC194" s="14"/>
      <c r="GD194" s="14"/>
      <c r="GE194" s="14"/>
      <c r="GF194" s="16"/>
      <c r="GG194" s="15" t="str">
        <f t="shared" si="508"/>
        <v>NO APLICA</v>
      </c>
      <c r="GH194" s="14"/>
      <c r="GI194" s="14"/>
      <c r="GJ194" s="14"/>
      <c r="GK194" s="65"/>
      <c r="GL194" s="15" t="str">
        <f t="shared" si="510"/>
        <v>NO APLICA</v>
      </c>
      <c r="GM194" s="14"/>
      <c r="GN194" s="16"/>
      <c r="GO194" s="16"/>
      <c r="GP194" s="16"/>
      <c r="GQ194" s="15" t="str">
        <f t="shared" si="512"/>
        <v>NO APLICA</v>
      </c>
      <c r="GR194" s="14"/>
      <c r="GS194" s="16"/>
      <c r="GT194" s="16"/>
      <c r="GU194" s="16"/>
      <c r="GV194" s="15" t="str">
        <f t="shared" si="601"/>
        <v>NO APLICA</v>
      </c>
      <c r="GW194" s="14"/>
      <c r="GX194" s="16"/>
      <c r="GY194" s="16"/>
      <c r="GZ194" s="16"/>
      <c r="HA194" s="15" t="str">
        <f t="shared" si="602"/>
        <v>NO APLICA</v>
      </c>
      <c r="HB194" s="16"/>
      <c r="HC194" s="16"/>
      <c r="HD194" s="16"/>
      <c r="HE194" s="16"/>
      <c r="HF194" s="15" t="str">
        <f t="shared" si="603"/>
        <v>NO APLICA</v>
      </c>
      <c r="HG194" s="16"/>
      <c r="HH194" s="16"/>
      <c r="HI194" s="14"/>
      <c r="HJ194" s="65"/>
      <c r="HK194" s="15" t="str">
        <f t="shared" si="690"/>
        <v>NO APLICA</v>
      </c>
      <c r="HL194" s="16"/>
      <c r="HM194" s="16"/>
      <c r="HN194" s="16"/>
      <c r="HO194" s="16"/>
      <c r="HP194" s="15" t="str">
        <f t="shared" si="686"/>
        <v>NO APLICA</v>
      </c>
      <c r="HQ194" s="16"/>
      <c r="HR194" s="16"/>
      <c r="HS194" s="16"/>
      <c r="HT194" s="16"/>
      <c r="HU194" s="15" t="str">
        <f t="shared" si="518"/>
        <v>NO APLICA</v>
      </c>
      <c r="HV194" s="16"/>
      <c r="HW194" s="16"/>
      <c r="HX194" s="16"/>
      <c r="HY194" s="16"/>
      <c r="HZ194" s="15" t="str">
        <f t="shared" si="519"/>
        <v>NO APLICA</v>
      </c>
      <c r="IA194" s="16"/>
      <c r="IB194" s="16"/>
      <c r="IC194" s="16"/>
      <c r="ID194" s="16"/>
      <c r="IE194" s="15" t="str">
        <f t="shared" si="520"/>
        <v>NO APLICA</v>
      </c>
      <c r="IF194" s="16"/>
      <c r="IG194" s="16"/>
      <c r="IH194" s="16"/>
      <c r="II194" s="16"/>
      <c r="IJ194" s="15" t="str">
        <f t="shared" si="521"/>
        <v>NO APLICA</v>
      </c>
      <c r="IK194" s="16"/>
      <c r="IL194" s="16"/>
      <c r="IM194" s="16"/>
      <c r="IN194" s="16"/>
      <c r="IO194" s="15" t="str">
        <f t="shared" si="522"/>
        <v>NO APLICA</v>
      </c>
      <c r="IP194" s="16"/>
      <c r="IQ194" s="16"/>
      <c r="IR194" s="16"/>
      <c r="IS194" s="16"/>
      <c r="IT194" s="15" t="str">
        <f t="shared" si="523"/>
        <v>NO APLICA</v>
      </c>
      <c r="IU194" s="16"/>
      <c r="IV194" s="16"/>
      <c r="IW194" s="16"/>
      <c r="IX194" s="16"/>
      <c r="IY194" s="15" t="str">
        <f t="shared" si="524"/>
        <v>NO APLICA</v>
      </c>
      <c r="IZ194" s="16"/>
      <c r="JA194" s="16"/>
      <c r="JB194" s="16"/>
      <c r="JC194" s="16"/>
      <c r="JD194" s="15" t="str">
        <f t="shared" si="525"/>
        <v>NO APLICA</v>
      </c>
      <c r="JE194" s="16"/>
      <c r="JF194" s="16"/>
      <c r="JG194" s="16"/>
      <c r="JH194" s="16"/>
      <c r="JI194" s="15" t="str">
        <f t="shared" si="526"/>
        <v>NO APLICA</v>
      </c>
      <c r="JJ194" s="16"/>
      <c r="JK194" s="16"/>
      <c r="JL194" s="16"/>
      <c r="JM194" s="15" t="str">
        <f t="shared" si="527"/>
        <v>NO APLICA</v>
      </c>
      <c r="JN194" s="16"/>
      <c r="JO194" s="16"/>
      <c r="JP194" s="16"/>
      <c r="JQ194" s="15" t="str">
        <f t="shared" si="528"/>
        <v>NO APLICA</v>
      </c>
      <c r="JR194" s="16"/>
      <c r="JS194" s="16"/>
      <c r="JT194" s="16"/>
      <c r="JU194" s="16"/>
      <c r="JV194" s="15" t="str">
        <f t="shared" si="529"/>
        <v>NO APLICA</v>
      </c>
      <c r="JW194" s="15"/>
      <c r="JX194" s="15"/>
      <c r="JY194" s="15"/>
      <c r="JZ194" s="15"/>
      <c r="KA194" s="15" t="str">
        <f t="shared" si="530"/>
        <v>NO APLICA</v>
      </c>
      <c r="KB194" s="16"/>
      <c r="KC194" s="16"/>
      <c r="KD194" s="16"/>
      <c r="KE194" s="15" t="str">
        <f t="shared" si="531"/>
        <v>NO APLICA</v>
      </c>
      <c r="KF194" s="16"/>
      <c r="KG194" s="16"/>
      <c r="KH194" s="16"/>
      <c r="KI194" s="15" t="str">
        <f t="shared" si="547"/>
        <v>NO APLICA</v>
      </c>
      <c r="KJ194" s="16"/>
      <c r="KK194" s="16"/>
      <c r="KL194" s="16"/>
      <c r="KM194" s="15" t="str">
        <f t="shared" si="532"/>
        <v>NO APLICA</v>
      </c>
      <c r="KN194" s="16"/>
      <c r="KO194" s="16"/>
      <c r="KP194" s="16"/>
      <c r="KQ194" s="15" t="str">
        <f t="shared" si="548"/>
        <v>NO APLICA</v>
      </c>
      <c r="KR194" s="16"/>
      <c r="KS194" s="16"/>
      <c r="KT194" s="16"/>
      <c r="KU194" s="16"/>
      <c r="KV194" s="15" t="str">
        <f t="shared" si="554"/>
        <v>NO APLICA</v>
      </c>
      <c r="KW194" s="16"/>
      <c r="KX194" s="16"/>
      <c r="KY194" s="16"/>
      <c r="KZ194" s="15" t="str">
        <f t="shared" si="549"/>
        <v>NO APLICA</v>
      </c>
      <c r="LA194" s="16"/>
      <c r="LB194" s="16"/>
      <c r="LC194" s="16"/>
      <c r="LD194" s="16"/>
      <c r="LE194" s="15" t="str">
        <f t="shared" si="590"/>
        <v>NO APLICA</v>
      </c>
      <c r="LF194" s="15"/>
      <c r="LG194" s="15"/>
      <c r="LH194" s="14"/>
      <c r="LI194" s="65"/>
      <c r="LJ194" s="15" t="str">
        <f t="shared" si="555"/>
        <v>NO APLICA</v>
      </c>
      <c r="LK194" s="16"/>
      <c r="LL194" s="16"/>
      <c r="LM194" s="16"/>
      <c r="LN194" s="16"/>
      <c r="LO194" s="15" t="str">
        <f t="shared" si="550"/>
        <v>NO APLICA</v>
      </c>
      <c r="LP194" s="16"/>
      <c r="LQ194" s="16"/>
      <c r="LR194" s="16"/>
      <c r="LS194" s="16"/>
      <c r="LT194" s="15" t="str">
        <f t="shared" si="551"/>
        <v>NO APLICA</v>
      </c>
      <c r="LU194" s="16"/>
      <c r="LV194" s="16"/>
      <c r="LW194" s="16"/>
      <c r="LX194" s="16"/>
      <c r="LY194" s="15" t="str">
        <f t="shared" si="552"/>
        <v>NO APLICA</v>
      </c>
      <c r="LZ194" s="16"/>
      <c r="MA194" s="16"/>
      <c r="MB194" s="16"/>
      <c r="MC194" s="16"/>
      <c r="MD194" s="15" t="str">
        <f t="shared" si="534"/>
        <v>NO APLICA</v>
      </c>
      <c r="ME194" s="16"/>
      <c r="MF194" s="16"/>
      <c r="MG194" s="16"/>
      <c r="MH194" s="16"/>
      <c r="MI194" s="15" t="str">
        <f t="shared" si="535"/>
        <v>NO APLICA</v>
      </c>
      <c r="MJ194" s="16"/>
      <c r="MK194" s="16"/>
      <c r="ML194" s="16"/>
      <c r="MM194" s="15" t="str">
        <f t="shared" si="536"/>
        <v>NO APLICA</v>
      </c>
      <c r="MN194" s="16"/>
      <c r="MO194" s="16"/>
      <c r="MP194" s="16"/>
      <c r="MQ194" s="15" t="str">
        <f t="shared" si="537"/>
        <v>NO APLICA</v>
      </c>
      <c r="MR194" s="16"/>
      <c r="MS194" s="16"/>
      <c r="MT194" s="16"/>
      <c r="MU194" s="16"/>
      <c r="MV194" s="15" t="str">
        <f t="shared" si="538"/>
        <v>NO APLICA</v>
      </c>
      <c r="MW194" s="16"/>
      <c r="MX194" s="16"/>
      <c r="MY194" s="16"/>
      <c r="MZ194" s="16"/>
      <c r="NA194" s="15" t="str">
        <f t="shared" si="539"/>
        <v>NO APLICA</v>
      </c>
      <c r="NB194" s="16"/>
      <c r="NC194" s="16"/>
      <c r="ND194" s="16"/>
      <c r="NE194" s="16"/>
      <c r="NF194" s="15" t="str">
        <f t="shared" si="540"/>
        <v>NO APLICA</v>
      </c>
      <c r="NG194" s="16"/>
      <c r="NH194" s="16"/>
      <c r="NI194" s="16"/>
      <c r="NJ194" s="16"/>
      <c r="NK194" s="15" t="str">
        <f t="shared" si="541"/>
        <v>NO APLICA</v>
      </c>
      <c r="NL194" s="16"/>
      <c r="NM194" s="16"/>
      <c r="NN194" s="16"/>
      <c r="NO194" s="16"/>
      <c r="NP194" s="15" t="str">
        <f t="shared" si="542"/>
        <v>NO APLICA</v>
      </c>
      <c r="NQ194" s="16"/>
      <c r="NR194" s="16"/>
      <c r="NS194" s="16"/>
      <c r="NT194" s="16"/>
      <c r="NU194" s="15" t="str">
        <f t="shared" si="543"/>
        <v>NO APLICA</v>
      </c>
      <c r="NV194" s="16"/>
      <c r="NW194" s="16"/>
      <c r="NX194" s="16"/>
      <c r="NY194" s="16"/>
      <c r="NZ194" s="15" t="str">
        <f t="shared" si="544"/>
        <v>NO APLICA</v>
      </c>
    </row>
    <row r="195" spans="1:390" ht="15.6" thickTop="1" thickBot="1" x14ac:dyDescent="0.35">
      <c r="A195" s="11">
        <v>1547</v>
      </c>
      <c r="B195" s="10" t="s">
        <v>674</v>
      </c>
      <c r="C195" s="21" t="s">
        <v>675</v>
      </c>
      <c r="D195" s="64" t="s">
        <v>676</v>
      </c>
      <c r="E195" s="16"/>
      <c r="F195" s="16"/>
      <c r="G195" s="16"/>
      <c r="H195" s="16"/>
      <c r="I195" s="15" t="str">
        <f t="shared" si="688"/>
        <v>NO APLICA</v>
      </c>
      <c r="J195" s="16"/>
      <c r="K195" s="16"/>
      <c r="L195" s="16"/>
      <c r="M195" s="16"/>
      <c r="N195" s="15" t="str">
        <f t="shared" ref="N195:N238" si="691">IF(M195&gt;=61,"VIGENTE",IF(M195&gt;=1,"POR VENCER",IF(M195&lt;=-1,"VENCIDA",IF(K195=0,"NO APLICA"))))</f>
        <v>NO APLICA</v>
      </c>
      <c r="O195" s="16"/>
      <c r="P195" s="16"/>
      <c r="Q195" s="16"/>
      <c r="R195" s="16"/>
      <c r="S195" s="15" t="str">
        <f t="shared" si="689"/>
        <v>NO APLICA</v>
      </c>
      <c r="T195" s="16" t="s">
        <v>677</v>
      </c>
      <c r="U195" s="14">
        <v>46068</v>
      </c>
      <c r="V195" s="14">
        <v>46069</v>
      </c>
      <c r="W195" s="14">
        <f>DATE(YEAR(V195)+5,MONTH(V195),DAY(V195))</f>
        <v>47895</v>
      </c>
      <c r="X195" s="65">
        <f ca="1">W195-TODAY()</f>
        <v>1764</v>
      </c>
      <c r="Y195" s="15" t="str">
        <f ca="1">IF(X195&gt;=90,"VIGENTE",IF(X195&gt;=1,"POR VENCER",IF(X195&lt;=-1,"VENCIDA",IF(V195=0,"NO APLICA"))))</f>
        <v>VIGENTE</v>
      </c>
      <c r="Z195" s="16"/>
      <c r="AA195" s="16"/>
      <c r="AB195" s="16"/>
      <c r="AC195" s="16"/>
      <c r="AD195" s="16"/>
      <c r="AE195" s="15" t="str">
        <f t="shared" si="598"/>
        <v>NO APLICA</v>
      </c>
      <c r="AF195" s="14"/>
      <c r="AG195" s="14">
        <v>46085</v>
      </c>
      <c r="AH195" s="14">
        <f>DATE(YEAR(AG195)+2,MONTH(AG195),DAY(AG195))</f>
        <v>46816</v>
      </c>
      <c r="AI195" s="65">
        <f ca="1">AH195-TODAY()</f>
        <v>685</v>
      </c>
      <c r="AJ195" s="15" t="str">
        <f ca="1">IF(AI195&gt;=91,"VIGENTE",IF(AI195&gt;=1,"POR VENCER",IF(AI195&lt;=-1,"VENCIDA",IF(AG195=0,"NO APLICA"))))</f>
        <v>VIGENTE</v>
      </c>
      <c r="AK195" s="14"/>
      <c r="AL195" s="14"/>
      <c r="AM195" s="14"/>
      <c r="AN195" s="16"/>
      <c r="AO195" s="15" t="str">
        <f t="shared" ref="AO195:AO238" si="692">IF(AN195&gt;=91,"VIGENTE",IF(AN195&gt;=1,"POR VENCER",IF(AN195&lt;=-1,"VENCIDA",IF(AL195=0,"NO APLICA"))))</f>
        <v>NO APLICA</v>
      </c>
      <c r="AP195" s="14"/>
      <c r="AQ195" s="14"/>
      <c r="AR195" s="14"/>
      <c r="AS195" s="16"/>
      <c r="AT195" s="15" t="str">
        <f t="shared" ref="AT195:AT238" si="693">IF(AS195&gt;=91,"VIGENTE",IF(AS195&gt;=1,"POR VENCER",IF(AS195&lt;=-1,"VENCIDA",IF(AQ195=0,"NO APLICA"))))</f>
        <v>NO APLICA</v>
      </c>
      <c r="AU195" s="14"/>
      <c r="AV195" s="14"/>
      <c r="AW195" s="14"/>
      <c r="AX195" s="16"/>
      <c r="AY195" s="15" t="str">
        <f t="shared" ref="AY195:AY238" si="694">IF(AX195&gt;=91,"VIGENTE",IF(AX195&gt;=1,"POR VENCER",IF(AX195&lt;=-1,"VENCIDA",IF(AV195=0,"NO APLICA"))))</f>
        <v>NO APLICA</v>
      </c>
      <c r="AZ195" s="14"/>
      <c r="BA195" s="14"/>
      <c r="BB195" s="14"/>
      <c r="BC195" s="16"/>
      <c r="BD195" s="15" t="str">
        <f t="shared" ref="BD195:BD238" si="695">IF(BC195&gt;=91,"VIGENTE",IF(BC195&gt;=1,"POR VENCER",IF(BC195&lt;=-1,"VENCIDA",IF(BA195=0,"NO APLICA"))))</f>
        <v>NO APLICA</v>
      </c>
      <c r="BE195" s="14"/>
      <c r="BF195" s="14"/>
      <c r="BG195" s="14"/>
      <c r="BH195" s="16"/>
      <c r="BI195" s="15" t="str">
        <f t="shared" ref="BI195:BI238" si="696">IF(BH195&gt;=91,"VIGENTE",IF(BH195&gt;=1,"POR VENCER",IF(BH195&lt;=-1,"VENCIDA",IF(BF195=0,"NO APLICA"))))</f>
        <v>NO APLICA</v>
      </c>
      <c r="BJ195" s="14"/>
      <c r="BK195" s="14"/>
      <c r="BL195" s="14"/>
      <c r="BM195" s="16"/>
      <c r="BN195" s="15" t="str">
        <f t="shared" ref="BN195:BN238" si="697">IF(BM195&gt;=91,"VIGENTE",IF(BM195&gt;=1,"POR VENCER",IF(BM195&lt;=-1,"VENCIDA",IF(BK195=0,"NO APLICA"))))</f>
        <v>NO APLICA</v>
      </c>
      <c r="BO195" s="14"/>
      <c r="BP195" s="14"/>
      <c r="BQ195" s="14"/>
      <c r="BR195" s="16"/>
      <c r="BS195" s="15" t="str">
        <f t="shared" ref="BS195:BS238" si="698">IF(BR195&gt;=91,"VIGENTE",IF(BR195&gt;=1,"POR VENCER",IF(BR195&lt;=-1,"VENCIDA",IF(BP195=0,"NO APLICA"))))</f>
        <v>NO APLICA</v>
      </c>
      <c r="BT195" s="14"/>
      <c r="BU195" s="14"/>
      <c r="BV195" s="14"/>
      <c r="BW195" s="16"/>
      <c r="BX195" s="15" t="str">
        <f t="shared" ref="BX195:BX238" si="699">IF(BW195&gt;=91,"VIGENTE",IF(BW195&gt;=1,"POR VENCER",IF(BW195&lt;=-1,"VENCIDA",IF(BU195=0,"NO APLICA"))))</f>
        <v>NO APLICA</v>
      </c>
      <c r="BY195" s="14"/>
      <c r="BZ195" s="14"/>
      <c r="CA195" s="14"/>
      <c r="CB195" s="16"/>
      <c r="CC195" s="15" t="str">
        <f t="shared" ref="CC195:CC238" si="700">IF(CB195&gt;=91,"VIGENTE",IF(CB195&gt;=1,"POR VENCER",IF(CB195&lt;=-1,"VENCIDA",IF(BZ195=0,"NO APLICA"))))</f>
        <v>NO APLICA</v>
      </c>
      <c r="CD195" s="16"/>
      <c r="CE195" s="16"/>
      <c r="CF195" s="16"/>
      <c r="CG195" s="16"/>
      <c r="CH195" s="16"/>
      <c r="CI195" s="15" t="str">
        <f t="shared" si="562"/>
        <v>NO APLICA</v>
      </c>
      <c r="CJ195" s="14"/>
      <c r="CK195" s="14"/>
      <c r="CL195" s="14"/>
      <c r="CM195" s="16"/>
      <c r="CN195" s="15" t="str">
        <f t="shared" ref="CN195:CN238" si="701">IF(CM195&gt;=91,"VIGENTE",IF(CM195&gt;=1,"POR VENCER",IF(CM195&lt;=-1,"VENCIDA",IF(CK195=0,"NO APLICA"))))</f>
        <v>NO APLICA</v>
      </c>
      <c r="CO195" s="14"/>
      <c r="CP195" s="14"/>
      <c r="CQ195" s="14"/>
      <c r="CR195" s="16"/>
      <c r="CS195" s="15" t="str">
        <f t="shared" ref="CS195:CS238" si="702">IF(CR195&gt;=91,"VIGENTE",IF(CR195&gt;=1,"POR VENCER",IF(CR195&lt;=-1,"VENCIDA",IF(CP195=0,"NO APLICA"))))</f>
        <v>NO APLICA</v>
      </c>
      <c r="CT195" s="14"/>
      <c r="CU195" s="14"/>
      <c r="CV195" s="14"/>
      <c r="CW195" s="16"/>
      <c r="CX195" s="15" t="str">
        <f t="shared" ref="CX195:CX238" si="703">IF(CW195&gt;=91,"VIGENTE",IF(CW195&gt;=1,"POR VENCER",IF(CW195&lt;=-1,"VENCIDA",IF(CU195=0,"NO APLICA"))))</f>
        <v>NO APLICA</v>
      </c>
      <c r="CY195" s="14"/>
      <c r="CZ195" s="14"/>
      <c r="DA195" s="14"/>
      <c r="DB195" s="16"/>
      <c r="DC195" s="15" t="str">
        <f t="shared" ref="DC195:DC238" si="704">IF(DB195&gt;=91,"VIGENTE",IF(DB195&gt;=1,"POR VENCER",IF(DB195&lt;=-1,"VENCIDA",IF(CZ195=0,"NO APLICA"))))</f>
        <v>NO APLICA</v>
      </c>
      <c r="DD195" s="14"/>
      <c r="DE195" s="14"/>
      <c r="DF195" s="14"/>
      <c r="DG195" s="16"/>
      <c r="DH195" s="15" t="str">
        <f t="shared" ref="DH195:DH238" si="705">IF(DG195&gt;=91,"VIGENTE",IF(DG195&gt;=1,"POR VENCER",IF(DG195&lt;=-1,"VENCIDA",IF(DE195=0,"NO APLICA"))))</f>
        <v>NO APLICA</v>
      </c>
      <c r="DI195" s="14"/>
      <c r="DJ195" s="14"/>
      <c r="DK195" s="14"/>
      <c r="DL195" s="16"/>
      <c r="DM195" s="15" t="str">
        <f t="shared" ref="DM195:DM238" si="706">IF(DL195&gt;=91,"VIGENTE",IF(DL195&gt;=1,"POR VENCER",IF(DL195&lt;=-1,"VENCIDA",IF(DJ195=0,"NO APLICA"))))</f>
        <v>NO APLICA</v>
      </c>
      <c r="DN195" s="14"/>
      <c r="DO195" s="14"/>
      <c r="DP195" s="14"/>
      <c r="DQ195" s="16"/>
      <c r="DR195" s="15" t="str">
        <f t="shared" ref="DR195:DR238" si="707">IF(DQ195&gt;=91,"VIGENTE",IF(DQ195&gt;=1,"POR VENCER",IF(DQ195&lt;=-1,"VENCIDA",IF(DO195=0,"NO APLICA"))))</f>
        <v>NO APLICA</v>
      </c>
      <c r="DS195" s="14"/>
      <c r="DT195" s="14"/>
      <c r="DU195" s="14"/>
      <c r="DV195" s="16"/>
      <c r="DW195" s="15" t="str">
        <f t="shared" ref="DW195:DW238" si="708">IF(DV195&gt;=91,"VIGENTE",IF(DV195&gt;=1,"POR VENCER",IF(DV195&lt;=-1,"VENCIDA",IF(DT195=0,"NO APLICA"))))</f>
        <v>NO APLICA</v>
      </c>
      <c r="DX195" s="14"/>
      <c r="DY195" s="14"/>
      <c r="DZ195" s="14"/>
      <c r="EA195" s="16"/>
      <c r="EB195" s="15" t="str">
        <f t="shared" ref="EB195:EB238" si="709">IF(EA195&gt;=91,"VIGENTE",IF(EA195&gt;=1,"POR VENCER",IF(EA195&lt;=-1,"VENCIDA",IF(DY195=0,"NO APLICA"))))</f>
        <v>NO APLICA</v>
      </c>
      <c r="EC195" s="14"/>
      <c r="ED195" s="14"/>
      <c r="EE195" s="14"/>
      <c r="EF195" s="16"/>
      <c r="EG195" s="15" t="str">
        <f t="shared" ref="EG195:EG238" si="710">IF(EF195&gt;=91,"VIGENTE",IF(EF195&gt;=1,"POR VENCER",IF(EF195&lt;=-1,"VENCIDA",IF(ED195=0,"NO APLICA"))))</f>
        <v>NO APLICA</v>
      </c>
      <c r="EH195" s="14"/>
      <c r="EI195" s="14"/>
      <c r="EJ195" s="14"/>
      <c r="EK195" s="14"/>
      <c r="EL195" s="14"/>
      <c r="EM195" s="65"/>
      <c r="EN195" s="15" t="str">
        <f t="shared" ref="EN195:EN238" si="711">IF(EM195&gt;=91,"VIGENTE",IF(EM195&gt;=1,"POR VENCER",IF(EM195&lt;=-1,"VENCIDA",IF(EK195=0,"NO APLICA"))))</f>
        <v>NO APLICA</v>
      </c>
      <c r="EO195" s="14"/>
      <c r="EP195" s="14"/>
      <c r="EQ195" s="14"/>
      <c r="ER195" s="65"/>
      <c r="ES195" s="15" t="str">
        <f t="shared" ref="ES195:ES238" si="712">IF(ER195&gt;=91,"VIGENTE",IF(ER195&gt;=1,"POR VENCER",IF(ER195&lt;=-1,"VENCIDA",IF(EP195=0,"NO APLICA"))))</f>
        <v>NO APLICA</v>
      </c>
      <c r="ET195" s="14"/>
      <c r="EU195" s="14"/>
      <c r="EV195" s="14"/>
      <c r="EW195" s="65"/>
      <c r="EX195" s="15" t="str">
        <f t="shared" ref="EX195:EX238" si="713">IF(EW195&gt;=91,"VIGENTE",IF(EW195&gt;=1,"POR VENCER",IF(EW195&lt;=-1,"VENCIDA",IF(EU195=0,"NO APLICA"))))</f>
        <v>NO APLICA</v>
      </c>
      <c r="EY195" s="14"/>
      <c r="EZ195" s="14"/>
      <c r="FA195" s="14"/>
      <c r="FB195" s="16"/>
      <c r="FC195" s="15" t="str">
        <f t="shared" ref="FC195:FC238" si="714">IF(FB195&gt;=91,"VIGENTE",IF(FB195&gt;=1,"POR VENCER",IF(FB195&lt;=-1,"VENCIDA",IF(EZ195=0,"NO APLICA"))))</f>
        <v>NO APLICA</v>
      </c>
      <c r="FD195" s="14"/>
      <c r="FE195" s="14"/>
      <c r="FF195" s="14"/>
      <c r="FG195" s="16"/>
      <c r="FH195" s="15" t="str">
        <f t="shared" ref="FH195:FH238" si="715">IF(FG195&gt;=91,"VIGENTE",IF(FG195&gt;=1,"POR VENCER",IF(FG195&lt;=-1,"VENCIDA",IF(FE195=0,"NO APLICA"))))</f>
        <v>NO APLICA</v>
      </c>
      <c r="FI195" s="14"/>
      <c r="FJ195" s="14"/>
      <c r="FK195" s="14"/>
      <c r="FL195" s="16"/>
      <c r="FM195" s="15" t="str">
        <f t="shared" ref="FM195:FM238" si="716">IF(FL195&gt;=91,"VIGENTE",IF(FL195&gt;=1,"POR VENCER",IF(FL195&lt;=-1,"VENCIDA",IF(FJ195=0,"NO APLICA"))))</f>
        <v>NO APLICA</v>
      </c>
      <c r="FN195" s="14"/>
      <c r="FO195" s="14"/>
      <c r="FP195" s="14"/>
      <c r="FQ195" s="16"/>
      <c r="FR195" s="15" t="str">
        <f t="shared" ref="FR195:FR238" si="717">IF(FQ195&gt;=91,"VIGENTE",IF(FQ195&gt;=1,"POR VENCER",IF(FQ195&lt;=-1,"VENCIDA",IF(FO195=0,"NO APLICA"))))</f>
        <v>NO APLICA</v>
      </c>
      <c r="FS195" s="14"/>
      <c r="FT195" s="14"/>
      <c r="FU195" s="14"/>
      <c r="FV195" s="16"/>
      <c r="FW195" s="15" t="str">
        <f t="shared" ref="FW195:FW238" si="718">IF(FV195&gt;=91,"VIGENTE",IF(FV195&gt;=1,"POR VENCER",IF(FV195&lt;=-1,"VENCIDA",IF(FT195=0,"NO APLICA"))))</f>
        <v>NO APLICA</v>
      </c>
      <c r="FX195" s="14"/>
      <c r="FY195" s="14"/>
      <c r="FZ195" s="14"/>
      <c r="GA195" s="16"/>
      <c r="GB195" s="15" t="str">
        <f t="shared" ref="GB195:GB238" si="719">IF(GA195&gt;=91,"VIGENTE",IF(GA195&gt;=1,"POR VENCER",IF(GA195&lt;=-1,"VENCIDA",IF(FY195=0,"NO APLICA"))))</f>
        <v>NO APLICA</v>
      </c>
      <c r="GC195" s="14"/>
      <c r="GD195" s="14"/>
      <c r="GE195" s="14"/>
      <c r="GF195" s="16"/>
      <c r="GG195" s="15" t="str">
        <f t="shared" ref="GG195:GG238" si="720">IF(GF195&gt;=91,"VIGENTE",IF(GF195&gt;=1,"POR VENCER",IF(GF195&lt;=-1,"VENCIDA",IF(GD195=0,"NO APLICA"))))</f>
        <v>NO APLICA</v>
      </c>
      <c r="GH195" s="14"/>
      <c r="GI195" s="14"/>
      <c r="GJ195" s="14"/>
      <c r="GK195" s="65"/>
      <c r="GL195" s="15" t="str">
        <f t="shared" ref="GL195:GL238" si="721">IF(GK195&gt;=91,"VIGENTE",IF(GK195&gt;=1,"POR VENCER",IF(GK195&lt;=-1,"VENCIDA",IF(GI195=0,"NO APLICA"))))</f>
        <v>NO APLICA</v>
      </c>
      <c r="GM195" s="14"/>
      <c r="GN195" s="16"/>
      <c r="GO195" s="16"/>
      <c r="GP195" s="16"/>
      <c r="GQ195" s="15" t="str">
        <f t="shared" ref="GQ195:GQ238" si="722">IF(GP195&gt;=61,"VIGENTE",IF(GP195&gt;=1,"POR VENCER",IF(GP195&lt;=-1,"VENCIDA",IF(GN195=0,"NO APLICA"))))</f>
        <v>NO APLICA</v>
      </c>
      <c r="GR195" s="14"/>
      <c r="GS195" s="16"/>
      <c r="GT195" s="16"/>
      <c r="GU195" s="16"/>
      <c r="GV195" s="15" t="str">
        <f t="shared" si="601"/>
        <v>NO APLICA</v>
      </c>
      <c r="GW195" s="14"/>
      <c r="GX195" s="16"/>
      <c r="GY195" s="16"/>
      <c r="GZ195" s="16"/>
      <c r="HA195" s="15" t="str">
        <f t="shared" si="602"/>
        <v>NO APLICA</v>
      </c>
      <c r="HB195" s="16"/>
      <c r="HC195" s="16"/>
      <c r="HD195" s="16"/>
      <c r="HE195" s="16"/>
      <c r="HF195" s="15" t="str">
        <f t="shared" si="603"/>
        <v>NO APLICA</v>
      </c>
      <c r="HG195" s="16"/>
      <c r="HH195" s="16"/>
      <c r="HI195" s="14"/>
      <c r="HJ195" s="65"/>
      <c r="HK195" s="15" t="str">
        <f t="shared" si="690"/>
        <v>NO APLICA</v>
      </c>
      <c r="HL195" s="16"/>
      <c r="HM195" s="16"/>
      <c r="HN195" s="16"/>
      <c r="HO195" s="16"/>
      <c r="HP195" s="15" t="str">
        <f t="shared" si="686"/>
        <v>NO APLICA</v>
      </c>
      <c r="HQ195" s="16"/>
      <c r="HR195" s="16"/>
      <c r="HS195" s="16"/>
      <c r="HT195" s="16"/>
      <c r="HU195" s="15" t="str">
        <f t="shared" ref="HU195:HU238" si="723">IF(HT195&gt;=61,"VIGENTE",IF(HT195&gt;=1,"POR VENCER",IF(HT195&lt;=-1,"VENCIDA",IF(HR195=0,"NO APLICA"))))</f>
        <v>NO APLICA</v>
      </c>
      <c r="HV195" s="16"/>
      <c r="HW195" s="16"/>
      <c r="HX195" s="16"/>
      <c r="HY195" s="16"/>
      <c r="HZ195" s="15" t="str">
        <f t="shared" ref="HZ195:HZ238" si="724">IF(HY195&gt;=61,"VIGENTE",IF(HY195&gt;=1,"POR VENCER",IF(HY195&lt;=-1,"VENCIDA",IF(HW195=0,"NO APLICA"))))</f>
        <v>NO APLICA</v>
      </c>
      <c r="IA195" s="16"/>
      <c r="IB195" s="16"/>
      <c r="IC195" s="16"/>
      <c r="ID195" s="16"/>
      <c r="IE195" s="15" t="str">
        <f t="shared" ref="IE195:IE238" si="725">IF(ID195&gt;=61,"VIGENTE",IF(ID195&gt;=1,"POR VENCER",IF(ID195&lt;=-1,"VENCIDA",IF(IB195=0,"NO APLICA"))))</f>
        <v>NO APLICA</v>
      </c>
      <c r="IF195" s="16"/>
      <c r="IG195" s="16"/>
      <c r="IH195" s="16"/>
      <c r="II195" s="16"/>
      <c r="IJ195" s="15" t="str">
        <f t="shared" ref="IJ195:IJ238" si="726">IF(II195&gt;=61,"VIGENTE",IF(II195&gt;=1,"POR VENCER",IF(II195&lt;=-1,"VENCIDA",IF(IG195=0,"NO APLICA"))))</f>
        <v>NO APLICA</v>
      </c>
      <c r="IK195" s="16"/>
      <c r="IL195" s="16"/>
      <c r="IM195" s="16"/>
      <c r="IN195" s="16"/>
      <c r="IO195" s="15" t="str">
        <f t="shared" ref="IO195:IO238" si="727">IF(IN195&gt;=61,"VIGENTE",IF(IN195&gt;=1,"POR VENCER",IF(IN195&lt;=-1,"VENCIDA",IF(IL195=0,"NO APLICA"))))</f>
        <v>NO APLICA</v>
      </c>
      <c r="IP195" s="16"/>
      <c r="IQ195" s="16"/>
      <c r="IR195" s="16"/>
      <c r="IS195" s="16"/>
      <c r="IT195" s="15" t="str">
        <f t="shared" ref="IT195:IT238" si="728">IF(IS195&gt;=61,"VIGENTE",IF(IS195&gt;=1,"POR VENCER",IF(IS195&lt;=-1,"VENCIDA",IF(IQ195=0,"NO APLICA"))))</f>
        <v>NO APLICA</v>
      </c>
      <c r="IU195" s="16"/>
      <c r="IV195" s="16"/>
      <c r="IW195" s="16"/>
      <c r="IX195" s="16"/>
      <c r="IY195" s="15" t="str">
        <f t="shared" ref="IY195:IY238" si="729">IF(IX195&gt;=61,"VIGENTE",IF(IX195&gt;=1,"POR VENCER",IF(IX195&lt;=-1,"VENCIDA",IF(IV195=0,"NO APLICA"))))</f>
        <v>NO APLICA</v>
      </c>
      <c r="IZ195" s="16"/>
      <c r="JA195" s="16"/>
      <c r="JB195" s="16"/>
      <c r="JC195" s="16"/>
      <c r="JD195" s="15" t="str">
        <f t="shared" ref="JD195:JD238" si="730">IF(JC195&gt;=61,"VIGENTE",IF(JC195&gt;=1,"POR VENCER",IF(JC195&lt;=-1,"VENCIDA",IF(JA195=0,"NO APLICA"))))</f>
        <v>NO APLICA</v>
      </c>
      <c r="JE195" s="16"/>
      <c r="JF195" s="16"/>
      <c r="JG195" s="16"/>
      <c r="JH195" s="16"/>
      <c r="JI195" s="15" t="str">
        <f t="shared" ref="JI195:JI238" si="731">IF(JH195&gt;=61,"VIGENTE",IF(JH195&gt;=1,"POR VENCER",IF(JH195&lt;=-1,"VENCIDA",IF(JF195=0,"NO APLICA"))))</f>
        <v>NO APLICA</v>
      </c>
      <c r="JJ195" s="16"/>
      <c r="JK195" s="16"/>
      <c r="JL195" s="16"/>
      <c r="JM195" s="15" t="str">
        <f t="shared" ref="JM195:JM238" si="732">IF(JL195&gt;=61,"VIGENTE",IF(JL195&gt;=1,"POR VENCER",IF(JL195&lt;=-1,"VENCIDA",IF(JJ195=0,"NO APLICA"))))</f>
        <v>NO APLICA</v>
      </c>
      <c r="JN195" s="16"/>
      <c r="JO195" s="16"/>
      <c r="JP195" s="16"/>
      <c r="JQ195" s="15" t="str">
        <f t="shared" ref="JQ195:JQ238" si="733">IF(JP195&gt;=61,"VIGENTE",IF(JP195&gt;=1,"POR VENCER",IF(JP195&lt;=-1,"VENCIDA",IF(JN195=0,"NO APLICA"))))</f>
        <v>NO APLICA</v>
      </c>
      <c r="JR195" s="16"/>
      <c r="JS195" s="16"/>
      <c r="JT195" s="16"/>
      <c r="JU195" s="16"/>
      <c r="JV195" s="15" t="str">
        <f t="shared" ref="JV195:JV238" si="734">IF(JU195&gt;=61,"VIGENTE",IF(JU195&gt;=1,"POR VENCER",IF(JU195&lt;=-1,"VENCIDA",IF(JS195=0,"NO APLICA"))))</f>
        <v>NO APLICA</v>
      </c>
      <c r="JW195" s="15"/>
      <c r="JX195" s="15"/>
      <c r="JY195" s="15"/>
      <c r="JZ195" s="15"/>
      <c r="KA195" s="15" t="str">
        <f t="shared" ref="KA195:KA238" si="735">IF(JZ195&gt;=61,"VIGENTE",IF(JZ195&gt;=1,"POR VENCER",IF(JZ195&lt;=-1,"VENCIDA",IF(JX195=0,"NO APLICA"))))</f>
        <v>NO APLICA</v>
      </c>
      <c r="KB195" s="16"/>
      <c r="KC195" s="16"/>
      <c r="KD195" s="16"/>
      <c r="KE195" s="15" t="str">
        <f t="shared" ref="KE195:KE238" si="736">IF(KD195&gt;=61,"VIGENTE",IF(KD195&gt;=1,"POR VENCER",IF(KD195&lt;=-1,"VENCIDA",IF(KB195=0,"NO APLICA"))))</f>
        <v>NO APLICA</v>
      </c>
      <c r="KF195" s="16"/>
      <c r="KG195" s="16"/>
      <c r="KH195" s="16"/>
      <c r="KI195" s="15" t="str">
        <f t="shared" si="547"/>
        <v>NO APLICA</v>
      </c>
      <c r="KJ195" s="16"/>
      <c r="KK195" s="16"/>
      <c r="KL195" s="16"/>
      <c r="KM195" s="15" t="str">
        <f t="shared" ref="KM195:KM238" si="737">IF(KL195&gt;=61,"VIGENTE",IF(KL195&gt;=1,"POR VENCER",IF(KL195&lt;=-1,"VENCIDA",IF(KJ195=0,"NO APLICA"))))</f>
        <v>NO APLICA</v>
      </c>
      <c r="KN195" s="16"/>
      <c r="KO195" s="16"/>
      <c r="KP195" s="16"/>
      <c r="KQ195" s="15" t="str">
        <f t="shared" si="548"/>
        <v>NO APLICA</v>
      </c>
      <c r="KR195" s="16"/>
      <c r="KS195" s="16"/>
      <c r="KT195" s="16"/>
      <c r="KU195" s="16"/>
      <c r="KV195" s="15" t="str">
        <f t="shared" si="554"/>
        <v>NO APLICA</v>
      </c>
      <c r="KW195" s="16"/>
      <c r="KX195" s="16"/>
      <c r="KY195" s="16"/>
      <c r="KZ195" s="15" t="str">
        <f t="shared" si="549"/>
        <v>NO APLICA</v>
      </c>
      <c r="LA195" s="16"/>
      <c r="LB195" s="16"/>
      <c r="LC195" s="16"/>
      <c r="LD195" s="65"/>
      <c r="LE195" s="15" t="str">
        <f t="shared" si="590"/>
        <v>NO APLICA</v>
      </c>
      <c r="LF195" s="15"/>
      <c r="LG195" s="15"/>
      <c r="LH195" s="14"/>
      <c r="LI195" s="65"/>
      <c r="LJ195" s="15" t="str">
        <f t="shared" si="555"/>
        <v>NO APLICA</v>
      </c>
      <c r="LK195" s="16"/>
      <c r="LL195" s="16"/>
      <c r="LM195" s="16"/>
      <c r="LN195" s="16"/>
      <c r="LO195" s="15" t="str">
        <f t="shared" si="550"/>
        <v>NO APLICA</v>
      </c>
      <c r="LP195" s="16"/>
      <c r="LQ195" s="16"/>
      <c r="LR195" s="16"/>
      <c r="LS195" s="16"/>
      <c r="LT195" s="15" t="str">
        <f t="shared" si="551"/>
        <v>NO APLICA</v>
      </c>
      <c r="LU195" s="16"/>
      <c r="LV195" s="16"/>
      <c r="LW195" s="16"/>
      <c r="LX195" s="16"/>
      <c r="LY195" s="15" t="str">
        <f t="shared" si="552"/>
        <v>NO APLICA</v>
      </c>
      <c r="LZ195" s="16"/>
      <c r="MA195" s="16"/>
      <c r="MB195" s="16"/>
      <c r="MC195" s="16"/>
      <c r="MD195" s="15" t="str">
        <f t="shared" ref="MD195:MD238" si="738">IF(MC195&gt;=61,"VIGENTE",IF(MC195&gt;=1,"POR VENCER",IF(MC195&lt;=-1,"VENCIDA",IF(MA195=0,"NO APLICA"))))</f>
        <v>NO APLICA</v>
      </c>
      <c r="ME195" s="16"/>
      <c r="MF195" s="16"/>
      <c r="MG195" s="16"/>
      <c r="MH195" s="16"/>
      <c r="MI195" s="15" t="str">
        <f t="shared" ref="MI195:MI238" si="739">IF(MH195&gt;=61,"VIGENTE",IF(MH195&gt;=1,"POR VENCER",IF(MH195&lt;=-1,"VENCIDA",IF(MF195=0,"NO APLICA"))))</f>
        <v>NO APLICA</v>
      </c>
      <c r="MJ195" s="16"/>
      <c r="MK195" s="16"/>
      <c r="ML195" s="16"/>
      <c r="MM195" s="15" t="str">
        <f t="shared" ref="MM195:MM238" si="740">IF(ML195&gt;=61,"VIGENTE",IF(ML195&gt;=1,"POR VENCER",IF(ML195&lt;=-1,"VENCIDA",IF(MJ195=0,"NO APLICA"))))</f>
        <v>NO APLICA</v>
      </c>
      <c r="MN195" s="16"/>
      <c r="MO195" s="16"/>
      <c r="MP195" s="16"/>
      <c r="MQ195" s="15" t="str">
        <f t="shared" ref="MQ195:MQ238" si="741">IF(MP195&gt;=61,"VIGENTE",IF(MP195&gt;=1,"POR VENCER",IF(MP195&lt;=-1,"VENCIDA",IF(MN195=0,"NO APLICA"))))</f>
        <v>NO APLICA</v>
      </c>
      <c r="MR195" s="16"/>
      <c r="MS195" s="16"/>
      <c r="MT195" s="16"/>
      <c r="MU195" s="16"/>
      <c r="MV195" s="15" t="str">
        <f t="shared" ref="MV195:MV238" si="742">IF(MU195&gt;=61,"VIGENTE",IF(MU195&gt;=1,"POR VENCER",IF(MU195&lt;=-1,"VENCIDA",IF(MS195=0,"NO APLICA"))))</f>
        <v>NO APLICA</v>
      </c>
      <c r="MW195" s="16"/>
      <c r="MX195" s="16"/>
      <c r="MY195" s="16"/>
      <c r="MZ195" s="16"/>
      <c r="NA195" s="15" t="str">
        <f t="shared" ref="NA195:NA238" si="743">IF(MZ195&gt;=61,"VIGENTE",IF(MZ195&gt;=1,"POR VENCER",IF(MZ195&lt;=-1,"VENCIDA",IF(MX195=0,"NO APLICA"))))</f>
        <v>NO APLICA</v>
      </c>
      <c r="NB195" s="16"/>
      <c r="NC195" s="16"/>
      <c r="ND195" s="16"/>
      <c r="NE195" s="16"/>
      <c r="NF195" s="15" t="str">
        <f t="shared" ref="NF195:NF238" si="744">IF(NE195&gt;=61,"VIGENTE",IF(NE195&gt;=1,"POR VENCER",IF(NE195&lt;=-1,"VENCIDA",IF(NC195=0,"NO APLICA"))))</f>
        <v>NO APLICA</v>
      </c>
      <c r="NG195" s="16"/>
      <c r="NH195" s="16"/>
      <c r="NI195" s="16"/>
      <c r="NJ195" s="16"/>
      <c r="NK195" s="15" t="str">
        <f t="shared" ref="NK195:NK238" si="745">IF(NJ195&gt;=61,"VIGENTE",IF(NJ195&gt;=1,"POR VENCER",IF(NJ195&lt;=-1,"VENCIDA",IF(NH195=0,"NO APLICA"))))</f>
        <v>NO APLICA</v>
      </c>
      <c r="NL195" s="16"/>
      <c r="NM195" s="16"/>
      <c r="NN195" s="16"/>
      <c r="NO195" s="16"/>
      <c r="NP195" s="15" t="str">
        <f t="shared" ref="NP195:NP238" si="746">IF(NO195&gt;=61,"VIGENTE",IF(NO195&gt;=1,"POR VENCER",IF(NO195&lt;=-1,"VENCIDA",IF(NM195=0,"NO APLICA"))))</f>
        <v>NO APLICA</v>
      </c>
      <c r="NQ195" s="16"/>
      <c r="NR195" s="16"/>
      <c r="NS195" s="16"/>
      <c r="NT195" s="16"/>
      <c r="NU195" s="15" t="str">
        <f t="shared" ref="NU195:NU238" si="747">IF(NT195&gt;=61,"VIGENTE",IF(NT195&gt;=1,"POR VENCER",IF(NT195&lt;=-1,"VENCIDA",IF(NR195=0,"NO APLICA"))))</f>
        <v>NO APLICA</v>
      </c>
      <c r="NV195" s="16"/>
      <c r="NW195" s="16"/>
      <c r="NX195" s="16"/>
      <c r="NY195" s="16"/>
      <c r="NZ195" s="15" t="str">
        <f t="shared" ref="NZ195:NZ238" si="748">IF(NY195&gt;=61,"VIGENTE",IF(NY195&gt;=1,"POR VENCER",IF(NY195&lt;=-1,"VENCIDA",IF(NW195=0,"NO APLICA"))))</f>
        <v>NO APLICA</v>
      </c>
    </row>
    <row r="196" spans="1:390" ht="15.6" thickTop="1" thickBot="1" x14ac:dyDescent="0.35">
      <c r="A196" s="11">
        <v>1566</v>
      </c>
      <c r="B196" s="10" t="s">
        <v>678</v>
      </c>
      <c r="C196" s="21" t="s">
        <v>104</v>
      </c>
      <c r="D196" s="64" t="s">
        <v>193</v>
      </c>
      <c r="E196" s="16"/>
      <c r="F196" s="16"/>
      <c r="G196" s="16"/>
      <c r="H196" s="16"/>
      <c r="I196" s="15" t="str">
        <f t="shared" si="688"/>
        <v>NO APLICA</v>
      </c>
      <c r="J196" s="16"/>
      <c r="K196" s="16"/>
      <c r="L196" s="16"/>
      <c r="M196" s="16"/>
      <c r="N196" s="15" t="str">
        <f t="shared" si="691"/>
        <v>NO APLICA</v>
      </c>
      <c r="O196" s="16"/>
      <c r="P196" s="16"/>
      <c r="Q196" s="16"/>
      <c r="R196" s="16"/>
      <c r="S196" s="15" t="str">
        <f t="shared" si="689"/>
        <v>NO APLICA</v>
      </c>
      <c r="T196" s="16" t="s">
        <v>679</v>
      </c>
      <c r="U196" s="14">
        <v>45848</v>
      </c>
      <c r="V196" s="14">
        <v>45849</v>
      </c>
      <c r="W196" s="14">
        <f>DATE(YEAR(V196)+5,MONTH(V196),DAY(V196))</f>
        <v>47675</v>
      </c>
      <c r="X196" s="65">
        <f ca="1">W196-TODAY()</f>
        <v>1544</v>
      </c>
      <c r="Y196" s="15" t="str">
        <f ca="1">IF(X196&gt;=90,"VIGENTE",IF(X196&gt;=1,"POR VENCER",IF(X196&lt;=-1,"VENCIDA",IF(V196=0,"NO APLICA"))))</f>
        <v>VIGENTE</v>
      </c>
      <c r="Z196" s="16"/>
      <c r="AA196" s="16"/>
      <c r="AB196" s="16"/>
      <c r="AC196" s="16"/>
      <c r="AD196" s="16"/>
      <c r="AE196" s="15" t="str">
        <f t="shared" si="598"/>
        <v>NO APLICA</v>
      </c>
      <c r="AF196" s="14"/>
      <c r="AG196" s="14"/>
      <c r="AH196" s="14"/>
      <c r="AI196" s="16"/>
      <c r="AJ196" s="15" t="str">
        <f t="shared" si="592"/>
        <v>NO APLICA</v>
      </c>
      <c r="AK196" s="14"/>
      <c r="AL196" s="14"/>
      <c r="AM196" s="14"/>
      <c r="AN196" s="16"/>
      <c r="AO196" s="15" t="str">
        <f t="shared" si="692"/>
        <v>NO APLICA</v>
      </c>
      <c r="AP196" s="14"/>
      <c r="AQ196" s="14"/>
      <c r="AR196" s="14"/>
      <c r="AS196" s="16"/>
      <c r="AT196" s="15" t="str">
        <f t="shared" si="693"/>
        <v>NO APLICA</v>
      </c>
      <c r="AU196" s="14"/>
      <c r="AV196" s="14"/>
      <c r="AW196" s="14"/>
      <c r="AX196" s="16"/>
      <c r="AY196" s="15" t="str">
        <f t="shared" si="694"/>
        <v>NO APLICA</v>
      </c>
      <c r="AZ196" s="14"/>
      <c r="BA196" s="14"/>
      <c r="BB196" s="14"/>
      <c r="BC196" s="16"/>
      <c r="BD196" s="15" t="str">
        <f t="shared" si="695"/>
        <v>NO APLICA</v>
      </c>
      <c r="BE196" s="14"/>
      <c r="BF196" s="14"/>
      <c r="BG196" s="14"/>
      <c r="BH196" s="16"/>
      <c r="BI196" s="15" t="str">
        <f t="shared" si="696"/>
        <v>NO APLICA</v>
      </c>
      <c r="BJ196" s="14"/>
      <c r="BK196" s="14"/>
      <c r="BL196" s="14"/>
      <c r="BM196" s="16"/>
      <c r="BN196" s="15" t="str">
        <f t="shared" si="697"/>
        <v>NO APLICA</v>
      </c>
      <c r="BO196" s="14"/>
      <c r="BP196" s="14"/>
      <c r="BQ196" s="14"/>
      <c r="BR196" s="16"/>
      <c r="BS196" s="15" t="str">
        <f t="shared" si="698"/>
        <v>NO APLICA</v>
      </c>
      <c r="BT196" s="14"/>
      <c r="BU196" s="14"/>
      <c r="BV196" s="14"/>
      <c r="BW196" s="16"/>
      <c r="BX196" s="15" t="str">
        <f t="shared" si="699"/>
        <v>NO APLICA</v>
      </c>
      <c r="BY196" s="14"/>
      <c r="BZ196" s="14"/>
      <c r="CA196" s="14"/>
      <c r="CB196" s="16"/>
      <c r="CC196" s="15" t="str">
        <f t="shared" si="700"/>
        <v>NO APLICA</v>
      </c>
      <c r="CD196" s="16"/>
      <c r="CE196" s="16"/>
      <c r="CF196" s="16"/>
      <c r="CG196" s="16"/>
      <c r="CH196" s="16"/>
      <c r="CI196" s="15" t="str">
        <f t="shared" si="562"/>
        <v>NO APLICA</v>
      </c>
      <c r="CJ196" s="14"/>
      <c r="CK196" s="14"/>
      <c r="CL196" s="14"/>
      <c r="CM196" s="16"/>
      <c r="CN196" s="15" t="str">
        <f t="shared" si="701"/>
        <v>NO APLICA</v>
      </c>
      <c r="CO196" s="14"/>
      <c r="CP196" s="14"/>
      <c r="CQ196" s="14"/>
      <c r="CR196" s="16"/>
      <c r="CS196" s="15" t="str">
        <f t="shared" si="702"/>
        <v>NO APLICA</v>
      </c>
      <c r="CT196" s="14"/>
      <c r="CU196" s="14"/>
      <c r="CV196" s="14"/>
      <c r="CW196" s="16"/>
      <c r="CX196" s="15" t="str">
        <f t="shared" si="703"/>
        <v>NO APLICA</v>
      </c>
      <c r="CY196" s="14"/>
      <c r="CZ196" s="14"/>
      <c r="DA196" s="14"/>
      <c r="DB196" s="16"/>
      <c r="DC196" s="15" t="str">
        <f t="shared" si="704"/>
        <v>NO APLICA</v>
      </c>
      <c r="DD196" s="14"/>
      <c r="DE196" s="14"/>
      <c r="DF196" s="14"/>
      <c r="DG196" s="16"/>
      <c r="DH196" s="15" t="str">
        <f t="shared" si="705"/>
        <v>NO APLICA</v>
      </c>
      <c r="DI196" s="14"/>
      <c r="DJ196" s="14"/>
      <c r="DK196" s="14"/>
      <c r="DL196" s="16"/>
      <c r="DM196" s="15" t="str">
        <f t="shared" si="706"/>
        <v>NO APLICA</v>
      </c>
      <c r="DN196" s="14"/>
      <c r="DO196" s="14"/>
      <c r="DP196" s="14"/>
      <c r="DQ196" s="16"/>
      <c r="DR196" s="15" t="str">
        <f t="shared" si="707"/>
        <v>NO APLICA</v>
      </c>
      <c r="DS196" s="14"/>
      <c r="DT196" s="14"/>
      <c r="DU196" s="14"/>
      <c r="DV196" s="16"/>
      <c r="DW196" s="15" t="str">
        <f t="shared" si="708"/>
        <v>NO APLICA</v>
      </c>
      <c r="DX196" s="14"/>
      <c r="DY196" s="14"/>
      <c r="DZ196" s="14"/>
      <c r="EA196" s="16"/>
      <c r="EB196" s="15" t="str">
        <f t="shared" si="709"/>
        <v>NO APLICA</v>
      </c>
      <c r="EC196" s="14"/>
      <c r="ED196" s="14"/>
      <c r="EE196" s="14"/>
      <c r="EF196" s="16"/>
      <c r="EG196" s="15" t="str">
        <f t="shared" si="710"/>
        <v>NO APLICA</v>
      </c>
      <c r="EH196" s="14"/>
      <c r="EI196" s="14"/>
      <c r="EJ196" s="14"/>
      <c r="EK196" s="14"/>
      <c r="EL196" s="14"/>
      <c r="EM196" s="65"/>
      <c r="EN196" s="15" t="str">
        <f t="shared" si="711"/>
        <v>NO APLICA</v>
      </c>
      <c r="EO196" s="14"/>
      <c r="EP196" s="14"/>
      <c r="EQ196" s="14"/>
      <c r="ER196" s="65"/>
      <c r="ES196" s="15" t="str">
        <f t="shared" si="712"/>
        <v>NO APLICA</v>
      </c>
      <c r="ET196" s="14"/>
      <c r="EU196" s="14"/>
      <c r="EV196" s="14"/>
      <c r="EW196" s="65"/>
      <c r="EX196" s="15" t="str">
        <f t="shared" si="713"/>
        <v>NO APLICA</v>
      </c>
      <c r="EY196" s="14"/>
      <c r="EZ196" s="14"/>
      <c r="FA196" s="14"/>
      <c r="FB196" s="16"/>
      <c r="FC196" s="15" t="str">
        <f t="shared" si="714"/>
        <v>NO APLICA</v>
      </c>
      <c r="FD196" s="14"/>
      <c r="FE196" s="14"/>
      <c r="FF196" s="14"/>
      <c r="FG196" s="16"/>
      <c r="FH196" s="15" t="str">
        <f t="shared" si="715"/>
        <v>NO APLICA</v>
      </c>
      <c r="FI196" s="14"/>
      <c r="FJ196" s="14"/>
      <c r="FK196" s="14"/>
      <c r="FL196" s="16"/>
      <c r="FM196" s="15" t="str">
        <f t="shared" si="716"/>
        <v>NO APLICA</v>
      </c>
      <c r="FN196" s="14"/>
      <c r="FO196" s="14"/>
      <c r="FP196" s="14"/>
      <c r="FQ196" s="16"/>
      <c r="FR196" s="15" t="str">
        <f t="shared" si="717"/>
        <v>NO APLICA</v>
      </c>
      <c r="FS196" s="14"/>
      <c r="FT196" s="14"/>
      <c r="FU196" s="14"/>
      <c r="FV196" s="16"/>
      <c r="FW196" s="15" t="str">
        <f t="shared" si="718"/>
        <v>NO APLICA</v>
      </c>
      <c r="FX196" s="14"/>
      <c r="FY196" s="14"/>
      <c r="FZ196" s="14"/>
      <c r="GA196" s="16"/>
      <c r="GB196" s="15" t="str">
        <f t="shared" si="719"/>
        <v>NO APLICA</v>
      </c>
      <c r="GC196" s="14"/>
      <c r="GD196" s="14"/>
      <c r="GE196" s="14"/>
      <c r="GF196" s="16"/>
      <c r="GG196" s="15" t="str">
        <f t="shared" si="720"/>
        <v>NO APLICA</v>
      </c>
      <c r="GH196" s="14"/>
      <c r="GI196" s="14"/>
      <c r="GJ196" s="14"/>
      <c r="GK196" s="65"/>
      <c r="GL196" s="15" t="str">
        <f t="shared" si="721"/>
        <v>NO APLICA</v>
      </c>
      <c r="GM196" s="14"/>
      <c r="GN196" s="16"/>
      <c r="GO196" s="16"/>
      <c r="GP196" s="16"/>
      <c r="GQ196" s="15" t="str">
        <f t="shared" si="722"/>
        <v>NO APLICA</v>
      </c>
      <c r="GR196" s="14"/>
      <c r="GS196" s="16"/>
      <c r="GT196" s="16"/>
      <c r="GU196" s="16"/>
      <c r="GV196" s="15" t="str">
        <f t="shared" si="601"/>
        <v>NO APLICA</v>
      </c>
      <c r="GW196" s="14"/>
      <c r="GX196" s="16"/>
      <c r="GY196" s="16"/>
      <c r="GZ196" s="16"/>
      <c r="HA196" s="15" t="str">
        <f t="shared" si="602"/>
        <v>NO APLICA</v>
      </c>
      <c r="HB196" s="16"/>
      <c r="HC196" s="16"/>
      <c r="HD196" s="16"/>
      <c r="HE196" s="16"/>
      <c r="HF196" s="15" t="str">
        <f t="shared" si="603"/>
        <v>NO APLICA</v>
      </c>
      <c r="HG196" s="16"/>
      <c r="HH196" s="16"/>
      <c r="HI196" s="14"/>
      <c r="HJ196" s="65"/>
      <c r="HK196" s="15" t="str">
        <f t="shared" si="690"/>
        <v>NO APLICA</v>
      </c>
      <c r="HL196" s="16"/>
      <c r="HM196" s="16"/>
      <c r="HN196" s="16"/>
      <c r="HO196" s="16"/>
      <c r="HP196" s="15" t="str">
        <f t="shared" si="686"/>
        <v>NO APLICA</v>
      </c>
      <c r="HQ196" s="16"/>
      <c r="HR196" s="16"/>
      <c r="HS196" s="16"/>
      <c r="HT196" s="16"/>
      <c r="HU196" s="15" t="str">
        <f t="shared" si="723"/>
        <v>NO APLICA</v>
      </c>
      <c r="HV196" s="16"/>
      <c r="HW196" s="16"/>
      <c r="HX196" s="16"/>
      <c r="HY196" s="16"/>
      <c r="HZ196" s="15" t="str">
        <f t="shared" si="724"/>
        <v>NO APLICA</v>
      </c>
      <c r="IA196" s="16"/>
      <c r="IB196" s="16"/>
      <c r="IC196" s="16"/>
      <c r="ID196" s="16"/>
      <c r="IE196" s="15" t="str">
        <f t="shared" si="725"/>
        <v>NO APLICA</v>
      </c>
      <c r="IF196" s="16"/>
      <c r="IG196" s="16"/>
      <c r="IH196" s="16"/>
      <c r="II196" s="16"/>
      <c r="IJ196" s="15" t="str">
        <f t="shared" si="726"/>
        <v>NO APLICA</v>
      </c>
      <c r="IK196" s="16"/>
      <c r="IL196" s="16"/>
      <c r="IM196" s="16"/>
      <c r="IN196" s="16"/>
      <c r="IO196" s="15" t="str">
        <f t="shared" si="727"/>
        <v>NO APLICA</v>
      </c>
      <c r="IP196" s="16"/>
      <c r="IQ196" s="16"/>
      <c r="IR196" s="16"/>
      <c r="IS196" s="16"/>
      <c r="IT196" s="15" t="str">
        <f t="shared" si="728"/>
        <v>NO APLICA</v>
      </c>
      <c r="IU196" s="16"/>
      <c r="IV196" s="16"/>
      <c r="IW196" s="16"/>
      <c r="IX196" s="16"/>
      <c r="IY196" s="15" t="str">
        <f t="shared" si="729"/>
        <v>NO APLICA</v>
      </c>
      <c r="IZ196" s="16"/>
      <c r="JA196" s="16"/>
      <c r="JB196" s="16"/>
      <c r="JC196" s="16"/>
      <c r="JD196" s="15" t="str">
        <f t="shared" si="730"/>
        <v>NO APLICA</v>
      </c>
      <c r="JE196" s="16"/>
      <c r="JF196" s="16"/>
      <c r="JG196" s="16"/>
      <c r="JH196" s="16"/>
      <c r="JI196" s="15" t="str">
        <f t="shared" si="731"/>
        <v>NO APLICA</v>
      </c>
      <c r="JJ196" s="16"/>
      <c r="JK196" s="16"/>
      <c r="JL196" s="16"/>
      <c r="JM196" s="15" t="str">
        <f t="shared" si="732"/>
        <v>NO APLICA</v>
      </c>
      <c r="JN196" s="16"/>
      <c r="JO196" s="16"/>
      <c r="JP196" s="16"/>
      <c r="JQ196" s="15" t="str">
        <f t="shared" si="733"/>
        <v>NO APLICA</v>
      </c>
      <c r="JR196" s="16"/>
      <c r="JS196" s="16"/>
      <c r="JT196" s="16"/>
      <c r="JU196" s="16"/>
      <c r="JV196" s="15" t="str">
        <f t="shared" si="734"/>
        <v>NO APLICA</v>
      </c>
      <c r="JW196" s="15"/>
      <c r="JX196" s="15"/>
      <c r="JY196" s="15"/>
      <c r="JZ196" s="15"/>
      <c r="KA196" s="15" t="str">
        <f t="shared" si="735"/>
        <v>NO APLICA</v>
      </c>
      <c r="KB196" s="16"/>
      <c r="KC196" s="16"/>
      <c r="KD196" s="16"/>
      <c r="KE196" s="15" t="str">
        <f t="shared" si="736"/>
        <v>NO APLICA</v>
      </c>
      <c r="KF196" s="16"/>
      <c r="KG196" s="16"/>
      <c r="KH196" s="16"/>
      <c r="KI196" s="15" t="str">
        <f t="shared" ref="KI196:KI238" si="749">IF(KH196&gt;=61,"VIGENTE",IF(KH196&gt;=1,"POR VENCER",IF(KH196&lt;=-1,"VENCIDA",IF(KF196=0,"NO APLICA"))))</f>
        <v>NO APLICA</v>
      </c>
      <c r="KJ196" s="16"/>
      <c r="KK196" s="16"/>
      <c r="KL196" s="16"/>
      <c r="KM196" s="15" t="str">
        <f t="shared" si="737"/>
        <v>NO APLICA</v>
      </c>
      <c r="KN196" s="16"/>
      <c r="KO196" s="16"/>
      <c r="KP196" s="16"/>
      <c r="KQ196" s="15" t="str">
        <f t="shared" ref="KQ196:KQ238" si="750">IF(KP196&gt;=61,"VIGENTE",IF(KP196&gt;=1,"POR VENCER",IF(KP196&lt;=-1,"VENCIDA",IF(KN196=0,"NO APLICA"))))</f>
        <v>NO APLICA</v>
      </c>
      <c r="KR196" s="16"/>
      <c r="KS196" s="16"/>
      <c r="KT196" s="16"/>
      <c r="KU196" s="16"/>
      <c r="KV196" s="15" t="str">
        <f t="shared" si="554"/>
        <v>NO APLICA</v>
      </c>
      <c r="KW196" s="16"/>
      <c r="KX196" s="16"/>
      <c r="KY196" s="16"/>
      <c r="KZ196" s="15" t="str">
        <f t="shared" ref="KZ196:KZ238" si="751">IF(KY196&gt;=61,"VIGENTE",IF(KY196&gt;=1,"POR VENCER",IF(KY196&lt;=-1,"VENCIDA",IF(KW196=0,"NO APLICA"))))</f>
        <v>NO APLICA</v>
      </c>
      <c r="LA196" s="16"/>
      <c r="LB196" s="16"/>
      <c r="LC196" s="16"/>
      <c r="LD196" s="16"/>
      <c r="LE196" s="15" t="str">
        <f t="shared" si="590"/>
        <v>NO APLICA</v>
      </c>
      <c r="LF196" s="15"/>
      <c r="LG196" s="13">
        <v>44218</v>
      </c>
      <c r="LH196" s="14">
        <f>DATE(YEAR(LG196)+5,MONTH(LG196),DAY(LG196))</f>
        <v>46044</v>
      </c>
      <c r="LI196" s="65">
        <f ca="1">LH196-TODAY()</f>
        <v>-87</v>
      </c>
      <c r="LJ196" s="15" t="str">
        <f ca="1">IF(LI196&gt;=61,"VIGENTE",IF(LI196&gt;=1,"POR VENCER",IF(LI196&lt;=-1,"VENCIDA",IF(LG196=0,"NO APLICA"))))</f>
        <v>VENCIDA</v>
      </c>
      <c r="LK196" s="16"/>
      <c r="LL196" s="16"/>
      <c r="LM196" s="16"/>
      <c r="LN196" s="16"/>
      <c r="LO196" s="15" t="str">
        <f t="shared" ref="LO196:LO238" si="752">IF(LN196&gt;=61,"VIGENTE",IF(LN196&gt;=1,"POR VENCER",IF(LN196&lt;=-1,"VENCIDA",IF(LL196=0,"NO APLICA"))))</f>
        <v>NO APLICA</v>
      </c>
      <c r="LP196" s="16"/>
      <c r="LQ196" s="16"/>
      <c r="LR196" s="16"/>
      <c r="LS196" s="16"/>
      <c r="LT196" s="15" t="str">
        <f t="shared" ref="LT196:LT238" si="753">IF(LS196&gt;=61,"VIGENTE",IF(LS196&gt;=1,"POR VENCER",IF(LS196&lt;=-1,"VENCIDA",IF(LQ196=0,"NO APLICA"))))</f>
        <v>NO APLICA</v>
      </c>
      <c r="LU196" s="16"/>
      <c r="LV196" s="16"/>
      <c r="LW196" s="16"/>
      <c r="LX196" s="16"/>
      <c r="LY196" s="15" t="str">
        <f t="shared" ref="LY196:LY238" si="754">IF(LX196&gt;=61,"VIGENTE",IF(LX196&gt;=1,"POR VENCER",IF(LX196&lt;=-1,"VENCIDA",IF(LV196=0,"NO APLICA"))))</f>
        <v>NO APLICA</v>
      </c>
      <c r="LZ196" s="16"/>
      <c r="MA196" s="16"/>
      <c r="MB196" s="16"/>
      <c r="MC196" s="16"/>
      <c r="MD196" s="15" t="str">
        <f t="shared" si="738"/>
        <v>NO APLICA</v>
      </c>
      <c r="ME196" s="16"/>
      <c r="MF196" s="16"/>
      <c r="MG196" s="16"/>
      <c r="MH196" s="16"/>
      <c r="MI196" s="15" t="str">
        <f t="shared" si="739"/>
        <v>NO APLICA</v>
      </c>
      <c r="MJ196" s="16"/>
      <c r="MK196" s="16"/>
      <c r="ML196" s="16"/>
      <c r="MM196" s="15" t="str">
        <f t="shared" si="740"/>
        <v>NO APLICA</v>
      </c>
      <c r="MN196" s="16"/>
      <c r="MO196" s="16"/>
      <c r="MP196" s="16"/>
      <c r="MQ196" s="15" t="str">
        <f t="shared" si="741"/>
        <v>NO APLICA</v>
      </c>
      <c r="MR196" s="16"/>
      <c r="MS196" s="16"/>
      <c r="MT196" s="16"/>
      <c r="MU196" s="16"/>
      <c r="MV196" s="15" t="str">
        <f t="shared" si="742"/>
        <v>NO APLICA</v>
      </c>
      <c r="MW196" s="16"/>
      <c r="MX196" s="16"/>
      <c r="MY196" s="16"/>
      <c r="MZ196" s="16"/>
      <c r="NA196" s="15" t="str">
        <f t="shared" si="743"/>
        <v>NO APLICA</v>
      </c>
      <c r="NB196" s="16"/>
      <c r="NC196" s="14">
        <v>44751</v>
      </c>
      <c r="ND196" s="14">
        <f>DATE(YEAR(NC196)+5,MONTH(NC196),DAY(NC196))</f>
        <v>46577</v>
      </c>
      <c r="NE196" s="65">
        <f ca="1">ND196-TODAY()</f>
        <v>446</v>
      </c>
      <c r="NF196" s="15" t="str">
        <f ca="1">IF(NE196&gt;=61,"VIGENTE",IF(NE196&gt;=1,"POR VENCER",IF(NE196&lt;=-1,"VENCIDA",IF(NC196=0,"NO APLICA"))))</f>
        <v>VIGENTE</v>
      </c>
      <c r="NG196" s="14">
        <v>45001</v>
      </c>
      <c r="NH196" s="14">
        <v>45002</v>
      </c>
      <c r="NI196" s="14">
        <f>DATE(YEAR(NH196)+5,MONTH(NH196),DAY(NH196))</f>
        <v>46829</v>
      </c>
      <c r="NJ196" s="65">
        <f ca="1">NI196-TODAY()</f>
        <v>698</v>
      </c>
      <c r="NK196" s="15" t="str">
        <f ca="1">IF(NJ196&gt;=61,"VIGENTE",IF(NJ196&gt;=1,"POR VENCER",IF(NJ196&lt;=-1,"VENCIDA",IF(NH196=0,"NO APLICA"))))</f>
        <v>VIGENTE</v>
      </c>
      <c r="NL196" s="16"/>
      <c r="NM196" s="16"/>
      <c r="NN196" s="16"/>
      <c r="NO196" s="16"/>
      <c r="NP196" s="15" t="str">
        <f t="shared" si="746"/>
        <v>NO APLICA</v>
      </c>
      <c r="NQ196" s="16"/>
      <c r="NR196" s="16"/>
      <c r="NS196" s="16"/>
      <c r="NT196" s="16"/>
      <c r="NU196" s="15" t="str">
        <f t="shared" si="747"/>
        <v>NO APLICA</v>
      </c>
      <c r="NV196" s="16"/>
      <c r="NW196" s="16"/>
      <c r="NX196" s="16"/>
      <c r="NY196" s="16"/>
      <c r="NZ196" s="15" t="str">
        <f t="shared" si="748"/>
        <v>NO APLICA</v>
      </c>
    </row>
    <row r="197" spans="1:390" ht="15.6" thickTop="1" thickBot="1" x14ac:dyDescent="0.35">
      <c r="A197" s="11">
        <v>800</v>
      </c>
      <c r="B197" s="10" t="s">
        <v>680</v>
      </c>
      <c r="C197" s="21" t="s">
        <v>104</v>
      </c>
      <c r="D197" s="64" t="s">
        <v>681</v>
      </c>
      <c r="E197" s="16"/>
      <c r="F197" s="16"/>
      <c r="G197" s="16"/>
      <c r="H197" s="16"/>
      <c r="I197" s="15" t="str">
        <f t="shared" si="688"/>
        <v>NO APLICA</v>
      </c>
      <c r="J197" s="16"/>
      <c r="K197" s="16"/>
      <c r="L197" s="16"/>
      <c r="M197" s="16"/>
      <c r="N197" s="15" t="str">
        <f t="shared" si="691"/>
        <v>NO APLICA</v>
      </c>
      <c r="O197" s="16"/>
      <c r="P197" s="16"/>
      <c r="Q197" s="16"/>
      <c r="R197" s="16"/>
      <c r="S197" s="15" t="str">
        <f t="shared" si="689"/>
        <v>NO APLICA</v>
      </c>
      <c r="T197" s="16"/>
      <c r="U197" s="14"/>
      <c r="V197" s="14"/>
      <c r="W197" s="14"/>
      <c r="X197" s="65"/>
      <c r="Y197" s="15" t="str">
        <f t="shared" si="595"/>
        <v>NO APLICA</v>
      </c>
      <c r="Z197" s="16"/>
      <c r="AA197" s="16"/>
      <c r="AB197" s="16"/>
      <c r="AC197" s="16"/>
      <c r="AD197" s="16"/>
      <c r="AE197" s="15" t="str">
        <f t="shared" si="598"/>
        <v>NO APLICA</v>
      </c>
      <c r="AF197" s="14"/>
      <c r="AG197" s="14"/>
      <c r="AH197" s="14"/>
      <c r="AI197" s="16"/>
      <c r="AJ197" s="15" t="str">
        <f t="shared" si="592"/>
        <v>NO APLICA</v>
      </c>
      <c r="AK197" s="14"/>
      <c r="AL197" s="14"/>
      <c r="AM197" s="14"/>
      <c r="AN197" s="16"/>
      <c r="AO197" s="15" t="str">
        <f t="shared" si="692"/>
        <v>NO APLICA</v>
      </c>
      <c r="AP197" s="14"/>
      <c r="AQ197" s="14"/>
      <c r="AR197" s="14"/>
      <c r="AS197" s="16"/>
      <c r="AT197" s="15" t="str">
        <f t="shared" si="693"/>
        <v>NO APLICA</v>
      </c>
      <c r="AU197" s="14"/>
      <c r="AV197" s="14"/>
      <c r="AW197" s="14"/>
      <c r="AX197" s="16"/>
      <c r="AY197" s="15" t="str">
        <f t="shared" si="694"/>
        <v>NO APLICA</v>
      </c>
      <c r="AZ197" s="14"/>
      <c r="BA197" s="14"/>
      <c r="BB197" s="14"/>
      <c r="BC197" s="16"/>
      <c r="BD197" s="15" t="str">
        <f t="shared" si="695"/>
        <v>NO APLICA</v>
      </c>
      <c r="BE197" s="14"/>
      <c r="BF197" s="14"/>
      <c r="BG197" s="14"/>
      <c r="BH197" s="16"/>
      <c r="BI197" s="15" t="str">
        <f t="shared" si="696"/>
        <v>NO APLICA</v>
      </c>
      <c r="BJ197" s="14"/>
      <c r="BK197" s="14"/>
      <c r="BL197" s="14"/>
      <c r="BM197" s="16"/>
      <c r="BN197" s="15" t="str">
        <f t="shared" si="697"/>
        <v>NO APLICA</v>
      </c>
      <c r="BO197" s="14"/>
      <c r="BP197" s="14"/>
      <c r="BQ197" s="14"/>
      <c r="BR197" s="16"/>
      <c r="BS197" s="15" t="str">
        <f t="shared" si="698"/>
        <v>NO APLICA</v>
      </c>
      <c r="BT197" s="14"/>
      <c r="BU197" s="14"/>
      <c r="BV197" s="14"/>
      <c r="BW197" s="16"/>
      <c r="BX197" s="15" t="str">
        <f t="shared" si="699"/>
        <v>NO APLICA</v>
      </c>
      <c r="BY197" s="14"/>
      <c r="BZ197" s="14"/>
      <c r="CA197" s="14"/>
      <c r="CB197" s="16"/>
      <c r="CC197" s="15" t="str">
        <f t="shared" si="700"/>
        <v>NO APLICA</v>
      </c>
      <c r="CD197" s="16"/>
      <c r="CE197" s="16"/>
      <c r="CF197" s="16"/>
      <c r="CG197" s="16"/>
      <c r="CH197" s="16"/>
      <c r="CI197" s="15" t="str">
        <f t="shared" si="562"/>
        <v>NO APLICA</v>
      </c>
      <c r="CJ197" s="14"/>
      <c r="CK197" s="14"/>
      <c r="CL197" s="14"/>
      <c r="CM197" s="16"/>
      <c r="CN197" s="15" t="str">
        <f t="shared" si="701"/>
        <v>NO APLICA</v>
      </c>
      <c r="CO197" s="14"/>
      <c r="CP197" s="14"/>
      <c r="CQ197" s="14"/>
      <c r="CR197" s="16"/>
      <c r="CS197" s="15" t="str">
        <f t="shared" si="702"/>
        <v>NO APLICA</v>
      </c>
      <c r="CT197" s="14"/>
      <c r="CU197" s="14"/>
      <c r="CV197" s="14"/>
      <c r="CW197" s="16"/>
      <c r="CX197" s="15" t="str">
        <f t="shared" si="703"/>
        <v>NO APLICA</v>
      </c>
      <c r="CY197" s="14"/>
      <c r="CZ197" s="14"/>
      <c r="DA197" s="14"/>
      <c r="DB197" s="16"/>
      <c r="DC197" s="15" t="str">
        <f t="shared" si="704"/>
        <v>NO APLICA</v>
      </c>
      <c r="DD197" s="14"/>
      <c r="DE197" s="14"/>
      <c r="DF197" s="14"/>
      <c r="DG197" s="16"/>
      <c r="DH197" s="15" t="str">
        <f t="shared" si="705"/>
        <v>NO APLICA</v>
      </c>
      <c r="DI197" s="14"/>
      <c r="DJ197" s="14"/>
      <c r="DK197" s="14"/>
      <c r="DL197" s="16"/>
      <c r="DM197" s="15" t="str">
        <f t="shared" si="706"/>
        <v>NO APLICA</v>
      </c>
      <c r="DN197" s="14"/>
      <c r="DO197" s="14"/>
      <c r="DP197" s="14"/>
      <c r="DQ197" s="16"/>
      <c r="DR197" s="15" t="str">
        <f t="shared" si="707"/>
        <v>NO APLICA</v>
      </c>
      <c r="DS197" s="14"/>
      <c r="DT197" s="14"/>
      <c r="DU197" s="14"/>
      <c r="DV197" s="16"/>
      <c r="DW197" s="15" t="str">
        <f t="shared" si="708"/>
        <v>NO APLICA</v>
      </c>
      <c r="DX197" s="14"/>
      <c r="DY197" s="14"/>
      <c r="DZ197" s="14"/>
      <c r="EA197" s="16"/>
      <c r="EB197" s="15" t="str">
        <f t="shared" si="709"/>
        <v>NO APLICA</v>
      </c>
      <c r="EC197" s="14"/>
      <c r="ED197" s="14"/>
      <c r="EE197" s="14"/>
      <c r="EF197" s="16"/>
      <c r="EG197" s="15" t="str">
        <f t="shared" si="710"/>
        <v>NO APLICA</v>
      </c>
      <c r="EH197" s="14"/>
      <c r="EI197" s="14"/>
      <c r="EJ197" s="14"/>
      <c r="EK197" s="14"/>
      <c r="EL197" s="14"/>
      <c r="EM197" s="65"/>
      <c r="EN197" s="15" t="str">
        <f t="shared" si="711"/>
        <v>NO APLICA</v>
      </c>
      <c r="EO197" s="14"/>
      <c r="EP197" s="14"/>
      <c r="EQ197" s="14"/>
      <c r="ER197" s="65"/>
      <c r="ES197" s="15" t="str">
        <f t="shared" si="712"/>
        <v>NO APLICA</v>
      </c>
      <c r="ET197" s="14"/>
      <c r="EU197" s="14"/>
      <c r="EV197" s="14"/>
      <c r="EW197" s="65"/>
      <c r="EX197" s="15" t="str">
        <f t="shared" si="713"/>
        <v>NO APLICA</v>
      </c>
      <c r="EY197" s="14"/>
      <c r="EZ197" s="14"/>
      <c r="FA197" s="14"/>
      <c r="FB197" s="16"/>
      <c r="FC197" s="15" t="str">
        <f t="shared" si="714"/>
        <v>NO APLICA</v>
      </c>
      <c r="FD197" s="14"/>
      <c r="FE197" s="14"/>
      <c r="FF197" s="14"/>
      <c r="FG197" s="16"/>
      <c r="FH197" s="15" t="str">
        <f t="shared" si="715"/>
        <v>NO APLICA</v>
      </c>
      <c r="FI197" s="14"/>
      <c r="FJ197" s="14"/>
      <c r="FK197" s="14"/>
      <c r="FL197" s="16"/>
      <c r="FM197" s="15" t="str">
        <f t="shared" si="716"/>
        <v>NO APLICA</v>
      </c>
      <c r="FN197" s="14"/>
      <c r="FO197" s="14"/>
      <c r="FP197" s="14"/>
      <c r="FQ197" s="16"/>
      <c r="FR197" s="15" t="str">
        <f t="shared" si="717"/>
        <v>NO APLICA</v>
      </c>
      <c r="FS197" s="14"/>
      <c r="FT197" s="14"/>
      <c r="FU197" s="14"/>
      <c r="FV197" s="16"/>
      <c r="FW197" s="15" t="str">
        <f t="shared" si="718"/>
        <v>NO APLICA</v>
      </c>
      <c r="FX197" s="14"/>
      <c r="FY197" s="14"/>
      <c r="FZ197" s="14"/>
      <c r="GA197" s="16"/>
      <c r="GB197" s="15" t="str">
        <f t="shared" si="719"/>
        <v>NO APLICA</v>
      </c>
      <c r="GC197" s="14"/>
      <c r="GD197" s="14"/>
      <c r="GE197" s="14"/>
      <c r="GF197" s="16"/>
      <c r="GG197" s="15" t="str">
        <f t="shared" si="720"/>
        <v>NO APLICA</v>
      </c>
      <c r="GH197" s="14"/>
      <c r="GI197" s="14"/>
      <c r="GJ197" s="14"/>
      <c r="GK197" s="65"/>
      <c r="GL197" s="15" t="str">
        <f t="shared" si="721"/>
        <v>NO APLICA</v>
      </c>
      <c r="GM197" s="14"/>
      <c r="GN197" s="16"/>
      <c r="GO197" s="16"/>
      <c r="GP197" s="16"/>
      <c r="GQ197" s="15" t="str">
        <f t="shared" si="722"/>
        <v>NO APLICA</v>
      </c>
      <c r="GR197" s="14"/>
      <c r="GS197" s="16"/>
      <c r="GT197" s="16"/>
      <c r="GU197" s="16"/>
      <c r="GV197" s="15" t="str">
        <f t="shared" si="601"/>
        <v>NO APLICA</v>
      </c>
      <c r="GW197" s="14"/>
      <c r="GX197" s="16"/>
      <c r="GY197" s="16"/>
      <c r="GZ197" s="16"/>
      <c r="HA197" s="15" t="str">
        <f t="shared" si="602"/>
        <v>NO APLICA</v>
      </c>
      <c r="HB197" s="16"/>
      <c r="HC197" s="16"/>
      <c r="HD197" s="16"/>
      <c r="HE197" s="16"/>
      <c r="HF197" s="15" t="str">
        <f t="shared" si="603"/>
        <v>NO APLICA</v>
      </c>
      <c r="HG197" s="16"/>
      <c r="HH197" s="16"/>
      <c r="HI197" s="14"/>
      <c r="HJ197" s="65"/>
      <c r="HK197" s="15" t="str">
        <f t="shared" si="690"/>
        <v>NO APLICA</v>
      </c>
      <c r="HL197" s="16"/>
      <c r="HM197" s="16"/>
      <c r="HN197" s="16"/>
      <c r="HO197" s="16"/>
      <c r="HP197" s="15" t="str">
        <f t="shared" si="686"/>
        <v>NO APLICA</v>
      </c>
      <c r="HQ197" s="16"/>
      <c r="HR197" s="16"/>
      <c r="HS197" s="16"/>
      <c r="HT197" s="16"/>
      <c r="HU197" s="15" t="str">
        <f t="shared" si="723"/>
        <v>NO APLICA</v>
      </c>
      <c r="HV197" s="16"/>
      <c r="HW197" s="16"/>
      <c r="HX197" s="16"/>
      <c r="HY197" s="16"/>
      <c r="HZ197" s="15" t="str">
        <f t="shared" si="724"/>
        <v>NO APLICA</v>
      </c>
      <c r="IA197" s="16"/>
      <c r="IB197" s="16"/>
      <c r="IC197" s="16"/>
      <c r="ID197" s="16"/>
      <c r="IE197" s="15" t="str">
        <f t="shared" si="725"/>
        <v>NO APLICA</v>
      </c>
      <c r="IF197" s="16"/>
      <c r="IG197" s="16"/>
      <c r="IH197" s="16"/>
      <c r="II197" s="16"/>
      <c r="IJ197" s="15" t="str">
        <f t="shared" si="726"/>
        <v>NO APLICA</v>
      </c>
      <c r="IK197" s="16"/>
      <c r="IL197" s="16"/>
      <c r="IM197" s="16"/>
      <c r="IN197" s="16"/>
      <c r="IO197" s="15" t="str">
        <f t="shared" si="727"/>
        <v>NO APLICA</v>
      </c>
      <c r="IP197" s="16"/>
      <c r="IQ197" s="16"/>
      <c r="IR197" s="16"/>
      <c r="IS197" s="16"/>
      <c r="IT197" s="15" t="str">
        <f t="shared" si="728"/>
        <v>NO APLICA</v>
      </c>
      <c r="IU197" s="16"/>
      <c r="IV197" s="16"/>
      <c r="IW197" s="16"/>
      <c r="IX197" s="16"/>
      <c r="IY197" s="15" t="str">
        <f t="shared" si="729"/>
        <v>NO APLICA</v>
      </c>
      <c r="IZ197" s="16"/>
      <c r="JA197" s="16"/>
      <c r="JB197" s="16"/>
      <c r="JC197" s="16"/>
      <c r="JD197" s="15" t="str">
        <f t="shared" si="730"/>
        <v>NO APLICA</v>
      </c>
      <c r="JE197" s="16"/>
      <c r="JF197" s="16"/>
      <c r="JG197" s="16"/>
      <c r="JH197" s="16"/>
      <c r="JI197" s="15" t="str">
        <f t="shared" si="731"/>
        <v>NO APLICA</v>
      </c>
      <c r="JJ197" s="16"/>
      <c r="JK197" s="16"/>
      <c r="JL197" s="16"/>
      <c r="JM197" s="15" t="str">
        <f t="shared" si="732"/>
        <v>NO APLICA</v>
      </c>
      <c r="JN197" s="16"/>
      <c r="JO197" s="16"/>
      <c r="JP197" s="16"/>
      <c r="JQ197" s="15" t="str">
        <f t="shared" si="733"/>
        <v>NO APLICA</v>
      </c>
      <c r="JR197" s="16"/>
      <c r="JS197" s="16"/>
      <c r="JT197" s="16"/>
      <c r="JU197" s="16"/>
      <c r="JV197" s="15" t="str">
        <f t="shared" si="734"/>
        <v>NO APLICA</v>
      </c>
      <c r="JW197" s="15"/>
      <c r="JX197" s="15"/>
      <c r="JY197" s="15"/>
      <c r="JZ197" s="15"/>
      <c r="KA197" s="15" t="str">
        <f t="shared" si="735"/>
        <v>NO APLICA</v>
      </c>
      <c r="KB197" s="16"/>
      <c r="KC197" s="16"/>
      <c r="KD197" s="16"/>
      <c r="KE197" s="15" t="str">
        <f t="shared" si="736"/>
        <v>NO APLICA</v>
      </c>
      <c r="KF197" s="16"/>
      <c r="KG197" s="16"/>
      <c r="KH197" s="16"/>
      <c r="KI197" s="15" t="str">
        <f t="shared" si="749"/>
        <v>NO APLICA</v>
      </c>
      <c r="KJ197" s="16"/>
      <c r="KK197" s="16"/>
      <c r="KL197" s="16"/>
      <c r="KM197" s="15" t="str">
        <f t="shared" si="737"/>
        <v>NO APLICA</v>
      </c>
      <c r="KN197" s="14">
        <v>45346</v>
      </c>
      <c r="KO197" s="14">
        <f>DATE(YEAR(KN197)+5,MONTH(KN197),DAY(KN197))</f>
        <v>47173</v>
      </c>
      <c r="KP197" s="65">
        <f ca="1">KO197-TODAY()</f>
        <v>1042</v>
      </c>
      <c r="KQ197" s="15" t="str">
        <f ca="1">IF(KP197&gt;=61,"VIGENTE",IF(KP197&gt;=1,"POR VENCER",IF(KP197&lt;=-1,"VENCIDA",IF(KN197=0,"NO APLICA"))))</f>
        <v>VIGENTE</v>
      </c>
      <c r="KR197" s="16"/>
      <c r="KS197" s="16"/>
      <c r="KT197" s="16"/>
      <c r="KU197" s="16"/>
      <c r="KV197" s="15" t="str">
        <f t="shared" ref="KV197:KV238" si="755">IF(KU197&gt;=61,"VIGENTE",IF(KU197&gt;=1,"POR VENCER",IF(KU197&lt;=-1,"VENCIDA",IF(KS197=0,"NO APLICA"))))</f>
        <v>NO APLICA</v>
      </c>
      <c r="KW197" s="16"/>
      <c r="KX197" s="16"/>
      <c r="KY197" s="16"/>
      <c r="KZ197" s="15" t="str">
        <f t="shared" si="751"/>
        <v>NO APLICA</v>
      </c>
      <c r="LA197" s="16"/>
      <c r="LB197" s="16"/>
      <c r="LC197" s="16"/>
      <c r="LD197" s="16"/>
      <c r="LE197" s="15" t="str">
        <f t="shared" si="590"/>
        <v>NO APLICA</v>
      </c>
      <c r="LF197" s="15"/>
      <c r="LG197" s="15"/>
      <c r="LH197" s="14"/>
      <c r="LI197" s="65"/>
      <c r="LJ197" s="15" t="str">
        <f t="shared" ref="LJ197:LJ238" si="756">IF(LI197&gt;=61,"VIGENTE",IF(LI197&gt;=1,"POR VENCER",IF(LI197&lt;=-1,"VENCIDA",IF(LG197=0,"NO APLICA"))))</f>
        <v>NO APLICA</v>
      </c>
      <c r="LK197" s="16"/>
      <c r="LL197" s="16"/>
      <c r="LM197" s="16"/>
      <c r="LN197" s="16"/>
      <c r="LO197" s="15" t="str">
        <f t="shared" si="752"/>
        <v>NO APLICA</v>
      </c>
      <c r="LP197" s="16"/>
      <c r="LQ197" s="16"/>
      <c r="LR197" s="16"/>
      <c r="LS197" s="16"/>
      <c r="LT197" s="15" t="str">
        <f t="shared" si="753"/>
        <v>NO APLICA</v>
      </c>
      <c r="LU197" s="16"/>
      <c r="LV197" s="16"/>
      <c r="LW197" s="16"/>
      <c r="LX197" s="16"/>
      <c r="LY197" s="15" t="str">
        <f t="shared" si="754"/>
        <v>NO APLICA</v>
      </c>
      <c r="LZ197" s="16"/>
      <c r="MA197" s="16"/>
      <c r="MB197" s="16"/>
      <c r="MC197" s="16"/>
      <c r="MD197" s="15" t="str">
        <f t="shared" si="738"/>
        <v>NO APLICA</v>
      </c>
      <c r="ME197" s="16"/>
      <c r="MF197" s="16"/>
      <c r="MG197" s="16"/>
      <c r="MH197" s="16"/>
      <c r="MI197" s="15" t="str">
        <f t="shared" si="739"/>
        <v>NO APLICA</v>
      </c>
      <c r="MJ197" s="16"/>
      <c r="MK197" s="16"/>
      <c r="ML197" s="16"/>
      <c r="MM197" s="15" t="str">
        <f t="shared" si="740"/>
        <v>NO APLICA</v>
      </c>
      <c r="MN197" s="16"/>
      <c r="MO197" s="16"/>
      <c r="MP197" s="16"/>
      <c r="MQ197" s="15" t="str">
        <f t="shared" si="741"/>
        <v>NO APLICA</v>
      </c>
      <c r="MR197" s="16"/>
      <c r="MS197" s="16"/>
      <c r="MT197" s="16"/>
      <c r="MU197" s="16"/>
      <c r="MV197" s="15" t="str">
        <f t="shared" si="742"/>
        <v>NO APLICA</v>
      </c>
      <c r="MW197" s="16"/>
      <c r="MX197" s="16"/>
      <c r="MY197" s="16"/>
      <c r="MZ197" s="16"/>
      <c r="NA197" s="15" t="str">
        <f t="shared" si="743"/>
        <v>NO APLICA</v>
      </c>
      <c r="NB197" s="16"/>
      <c r="NC197" s="16"/>
      <c r="ND197" s="16"/>
      <c r="NE197" s="16"/>
      <c r="NF197" s="15" t="str">
        <f t="shared" si="744"/>
        <v>NO APLICA</v>
      </c>
      <c r="NG197" s="16"/>
      <c r="NH197" s="16"/>
      <c r="NI197" s="16"/>
      <c r="NJ197" s="16"/>
      <c r="NK197" s="15" t="str">
        <f t="shared" si="745"/>
        <v>NO APLICA</v>
      </c>
      <c r="NL197" s="16"/>
      <c r="NM197" s="16"/>
      <c r="NN197" s="16"/>
      <c r="NO197" s="16"/>
      <c r="NP197" s="15" t="str">
        <f t="shared" si="746"/>
        <v>NO APLICA</v>
      </c>
      <c r="NQ197" s="16"/>
      <c r="NR197" s="16"/>
      <c r="NS197" s="16"/>
      <c r="NT197" s="16"/>
      <c r="NU197" s="15" t="str">
        <f t="shared" si="747"/>
        <v>NO APLICA</v>
      </c>
      <c r="NV197" s="16"/>
      <c r="NW197" s="16"/>
      <c r="NX197" s="16"/>
      <c r="NY197" s="16"/>
      <c r="NZ197" s="15" t="str">
        <f t="shared" si="748"/>
        <v>NO APLICA</v>
      </c>
    </row>
    <row r="198" spans="1:390" ht="15.6" thickTop="1" thickBot="1" x14ac:dyDescent="0.35">
      <c r="A198" s="11">
        <v>1359</v>
      </c>
      <c r="B198" s="10" t="s">
        <v>682</v>
      </c>
      <c r="C198" s="21" t="s">
        <v>151</v>
      </c>
      <c r="D198" s="64" t="s">
        <v>683</v>
      </c>
      <c r="E198" s="16"/>
      <c r="F198" s="16"/>
      <c r="G198" s="16"/>
      <c r="H198" s="16"/>
      <c r="I198" s="15" t="str">
        <f t="shared" si="688"/>
        <v>NO APLICA</v>
      </c>
      <c r="J198" s="16"/>
      <c r="K198" s="16"/>
      <c r="L198" s="16"/>
      <c r="M198" s="16"/>
      <c r="N198" s="15" t="str">
        <f t="shared" si="691"/>
        <v>NO APLICA</v>
      </c>
      <c r="O198" s="16"/>
      <c r="P198" s="16"/>
      <c r="Q198" s="16"/>
      <c r="R198" s="16"/>
      <c r="S198" s="15" t="str">
        <f t="shared" si="689"/>
        <v>NO APLICA</v>
      </c>
      <c r="T198" s="16"/>
      <c r="U198" s="14"/>
      <c r="V198" s="14"/>
      <c r="W198" s="14"/>
      <c r="X198" s="65"/>
      <c r="Y198" s="15" t="str">
        <f t="shared" si="595"/>
        <v>NO APLICA</v>
      </c>
      <c r="Z198" s="16"/>
      <c r="AA198" s="16"/>
      <c r="AB198" s="16"/>
      <c r="AC198" s="16"/>
      <c r="AD198" s="16"/>
      <c r="AE198" s="15" t="str">
        <f t="shared" si="598"/>
        <v>NO APLICA</v>
      </c>
      <c r="AF198" s="14"/>
      <c r="AG198" s="14"/>
      <c r="AH198" s="14"/>
      <c r="AI198" s="16"/>
      <c r="AJ198" s="15" t="str">
        <f t="shared" si="592"/>
        <v>NO APLICA</v>
      </c>
      <c r="AK198" s="14"/>
      <c r="AL198" s="14"/>
      <c r="AM198" s="14"/>
      <c r="AN198" s="16"/>
      <c r="AO198" s="15" t="str">
        <f t="shared" si="692"/>
        <v>NO APLICA</v>
      </c>
      <c r="AP198" s="14"/>
      <c r="AQ198" s="14"/>
      <c r="AR198" s="14"/>
      <c r="AS198" s="16"/>
      <c r="AT198" s="15" t="str">
        <f t="shared" si="693"/>
        <v>NO APLICA</v>
      </c>
      <c r="AU198" s="14"/>
      <c r="AV198" s="14"/>
      <c r="AW198" s="14"/>
      <c r="AX198" s="16"/>
      <c r="AY198" s="15" t="str">
        <f t="shared" si="694"/>
        <v>NO APLICA</v>
      </c>
      <c r="AZ198" s="14"/>
      <c r="BA198" s="14"/>
      <c r="BB198" s="14"/>
      <c r="BC198" s="16"/>
      <c r="BD198" s="15" t="str">
        <f t="shared" si="695"/>
        <v>NO APLICA</v>
      </c>
      <c r="BE198" s="14"/>
      <c r="BF198" s="14"/>
      <c r="BG198" s="14"/>
      <c r="BH198" s="16"/>
      <c r="BI198" s="15" t="str">
        <f t="shared" si="696"/>
        <v>NO APLICA</v>
      </c>
      <c r="BJ198" s="14"/>
      <c r="BK198" s="14"/>
      <c r="BL198" s="14"/>
      <c r="BM198" s="16"/>
      <c r="BN198" s="15" t="str">
        <f t="shared" si="697"/>
        <v>NO APLICA</v>
      </c>
      <c r="BO198" s="14"/>
      <c r="BP198" s="14"/>
      <c r="BQ198" s="14"/>
      <c r="BR198" s="16"/>
      <c r="BS198" s="15" t="str">
        <f t="shared" si="698"/>
        <v>NO APLICA</v>
      </c>
      <c r="BT198" s="14"/>
      <c r="BU198" s="14"/>
      <c r="BV198" s="14"/>
      <c r="BW198" s="16"/>
      <c r="BX198" s="15" t="str">
        <f t="shared" si="699"/>
        <v>NO APLICA</v>
      </c>
      <c r="BY198" s="14"/>
      <c r="BZ198" s="14"/>
      <c r="CA198" s="14"/>
      <c r="CB198" s="16"/>
      <c r="CC198" s="15" t="str">
        <f t="shared" si="700"/>
        <v>NO APLICA</v>
      </c>
      <c r="CD198" s="16"/>
      <c r="CE198" s="16"/>
      <c r="CF198" s="16"/>
      <c r="CG198" s="16"/>
      <c r="CH198" s="16"/>
      <c r="CI198" s="15" t="str">
        <f t="shared" si="562"/>
        <v>NO APLICA</v>
      </c>
      <c r="CJ198" s="14"/>
      <c r="CK198" s="14"/>
      <c r="CL198" s="14"/>
      <c r="CM198" s="16"/>
      <c r="CN198" s="15" t="str">
        <f t="shared" si="701"/>
        <v>NO APLICA</v>
      </c>
      <c r="CO198" s="14"/>
      <c r="CP198" s="14"/>
      <c r="CQ198" s="14"/>
      <c r="CR198" s="16"/>
      <c r="CS198" s="15" t="str">
        <f t="shared" si="702"/>
        <v>NO APLICA</v>
      </c>
      <c r="CT198" s="14"/>
      <c r="CU198" s="14"/>
      <c r="CV198" s="14"/>
      <c r="CW198" s="16"/>
      <c r="CX198" s="15" t="str">
        <f t="shared" si="703"/>
        <v>NO APLICA</v>
      </c>
      <c r="CY198" s="14"/>
      <c r="CZ198" s="14"/>
      <c r="DA198" s="14"/>
      <c r="DB198" s="16"/>
      <c r="DC198" s="15" t="str">
        <f t="shared" si="704"/>
        <v>NO APLICA</v>
      </c>
      <c r="DD198" s="14"/>
      <c r="DE198" s="14"/>
      <c r="DF198" s="14"/>
      <c r="DG198" s="16"/>
      <c r="DH198" s="15" t="str">
        <f t="shared" si="705"/>
        <v>NO APLICA</v>
      </c>
      <c r="DI198" s="14"/>
      <c r="DJ198" s="14"/>
      <c r="DK198" s="14"/>
      <c r="DL198" s="16"/>
      <c r="DM198" s="15" t="str">
        <f t="shared" si="706"/>
        <v>NO APLICA</v>
      </c>
      <c r="DN198" s="14"/>
      <c r="DO198" s="14"/>
      <c r="DP198" s="14"/>
      <c r="DQ198" s="16"/>
      <c r="DR198" s="15" t="str">
        <f t="shared" si="707"/>
        <v>NO APLICA</v>
      </c>
      <c r="DS198" s="14"/>
      <c r="DT198" s="14"/>
      <c r="DU198" s="14"/>
      <c r="DV198" s="16"/>
      <c r="DW198" s="15" t="str">
        <f t="shared" si="708"/>
        <v>NO APLICA</v>
      </c>
      <c r="DX198" s="14"/>
      <c r="DY198" s="14"/>
      <c r="DZ198" s="14"/>
      <c r="EA198" s="16"/>
      <c r="EB198" s="15" t="str">
        <f t="shared" si="709"/>
        <v>NO APLICA</v>
      </c>
      <c r="EC198" s="14"/>
      <c r="ED198" s="14"/>
      <c r="EE198" s="14"/>
      <c r="EF198" s="16"/>
      <c r="EG198" s="15" t="str">
        <f t="shared" si="710"/>
        <v>NO APLICA</v>
      </c>
      <c r="EH198" s="14"/>
      <c r="EI198" s="14"/>
      <c r="EJ198" s="14"/>
      <c r="EK198" s="14"/>
      <c r="EL198" s="14"/>
      <c r="EM198" s="65"/>
      <c r="EN198" s="15" t="str">
        <f t="shared" si="711"/>
        <v>NO APLICA</v>
      </c>
      <c r="EO198" s="14"/>
      <c r="EP198" s="14"/>
      <c r="EQ198" s="14"/>
      <c r="ER198" s="65"/>
      <c r="ES198" s="15" t="str">
        <f t="shared" si="712"/>
        <v>NO APLICA</v>
      </c>
      <c r="ET198" s="14"/>
      <c r="EU198" s="14"/>
      <c r="EV198" s="14"/>
      <c r="EW198" s="65"/>
      <c r="EX198" s="15" t="str">
        <f t="shared" si="713"/>
        <v>NO APLICA</v>
      </c>
      <c r="EY198" s="14"/>
      <c r="EZ198" s="14"/>
      <c r="FA198" s="14"/>
      <c r="FB198" s="16"/>
      <c r="FC198" s="15" t="str">
        <f t="shared" si="714"/>
        <v>NO APLICA</v>
      </c>
      <c r="FD198" s="14"/>
      <c r="FE198" s="14"/>
      <c r="FF198" s="14"/>
      <c r="FG198" s="16"/>
      <c r="FH198" s="15" t="str">
        <f t="shared" si="715"/>
        <v>NO APLICA</v>
      </c>
      <c r="FI198" s="14"/>
      <c r="FJ198" s="14"/>
      <c r="FK198" s="14"/>
      <c r="FL198" s="16"/>
      <c r="FM198" s="15" t="str">
        <f t="shared" si="716"/>
        <v>NO APLICA</v>
      </c>
      <c r="FN198" s="14"/>
      <c r="FO198" s="14"/>
      <c r="FP198" s="14"/>
      <c r="FQ198" s="16"/>
      <c r="FR198" s="15" t="str">
        <f t="shared" si="717"/>
        <v>NO APLICA</v>
      </c>
      <c r="FS198" s="14"/>
      <c r="FT198" s="14"/>
      <c r="FU198" s="14"/>
      <c r="FV198" s="16"/>
      <c r="FW198" s="15" t="str">
        <f t="shared" si="718"/>
        <v>NO APLICA</v>
      </c>
      <c r="FX198" s="14"/>
      <c r="FY198" s="14"/>
      <c r="FZ198" s="14"/>
      <c r="GA198" s="16"/>
      <c r="GB198" s="15" t="str">
        <f t="shared" si="719"/>
        <v>NO APLICA</v>
      </c>
      <c r="GC198" s="14"/>
      <c r="GD198" s="14"/>
      <c r="GE198" s="14"/>
      <c r="GF198" s="16"/>
      <c r="GG198" s="15" t="str">
        <f t="shared" si="720"/>
        <v>NO APLICA</v>
      </c>
      <c r="GH198" s="14"/>
      <c r="GI198" s="14"/>
      <c r="GJ198" s="14"/>
      <c r="GK198" s="65"/>
      <c r="GL198" s="15" t="str">
        <f t="shared" si="721"/>
        <v>NO APLICA</v>
      </c>
      <c r="GM198" s="14"/>
      <c r="GN198" s="16"/>
      <c r="GO198" s="16"/>
      <c r="GP198" s="16"/>
      <c r="GQ198" s="15" t="str">
        <f t="shared" si="722"/>
        <v>NO APLICA</v>
      </c>
      <c r="GR198" s="14"/>
      <c r="GS198" s="16"/>
      <c r="GT198" s="16"/>
      <c r="GU198" s="16"/>
      <c r="GV198" s="15" t="str">
        <f t="shared" si="601"/>
        <v>NO APLICA</v>
      </c>
      <c r="GW198" s="14"/>
      <c r="GX198" s="16"/>
      <c r="GY198" s="16"/>
      <c r="GZ198" s="16"/>
      <c r="HA198" s="15" t="str">
        <f t="shared" si="602"/>
        <v>NO APLICA</v>
      </c>
      <c r="HB198" s="16"/>
      <c r="HC198" s="16"/>
      <c r="HD198" s="16"/>
      <c r="HE198" s="16"/>
      <c r="HF198" s="15" t="str">
        <f t="shared" si="603"/>
        <v>NO APLICA</v>
      </c>
      <c r="HG198" s="16"/>
      <c r="HH198" s="16"/>
      <c r="HI198" s="14"/>
      <c r="HJ198" s="65"/>
      <c r="HK198" s="15" t="str">
        <f t="shared" si="690"/>
        <v>NO APLICA</v>
      </c>
      <c r="HL198" s="16"/>
      <c r="HM198" s="16"/>
      <c r="HN198" s="16"/>
      <c r="HO198" s="16"/>
      <c r="HP198" s="15" t="str">
        <f t="shared" si="686"/>
        <v>NO APLICA</v>
      </c>
      <c r="HQ198" s="16"/>
      <c r="HR198" s="16"/>
      <c r="HS198" s="16"/>
      <c r="HT198" s="16"/>
      <c r="HU198" s="15" t="str">
        <f t="shared" si="723"/>
        <v>NO APLICA</v>
      </c>
      <c r="HV198" s="16"/>
      <c r="HW198" s="16"/>
      <c r="HX198" s="16"/>
      <c r="HY198" s="16"/>
      <c r="HZ198" s="15" t="str">
        <f t="shared" si="724"/>
        <v>NO APLICA</v>
      </c>
      <c r="IA198" s="16"/>
      <c r="IB198" s="16"/>
      <c r="IC198" s="16"/>
      <c r="ID198" s="16"/>
      <c r="IE198" s="15" t="str">
        <f t="shared" si="725"/>
        <v>NO APLICA</v>
      </c>
      <c r="IF198" s="16"/>
      <c r="IG198" s="16"/>
      <c r="IH198" s="16"/>
      <c r="II198" s="16"/>
      <c r="IJ198" s="15" t="str">
        <f t="shared" si="726"/>
        <v>NO APLICA</v>
      </c>
      <c r="IK198" s="16"/>
      <c r="IL198" s="16"/>
      <c r="IM198" s="16"/>
      <c r="IN198" s="16"/>
      <c r="IO198" s="15" t="str">
        <f t="shared" si="727"/>
        <v>NO APLICA</v>
      </c>
      <c r="IP198" s="16"/>
      <c r="IQ198" s="16"/>
      <c r="IR198" s="16"/>
      <c r="IS198" s="16"/>
      <c r="IT198" s="15" t="str">
        <f t="shared" si="728"/>
        <v>NO APLICA</v>
      </c>
      <c r="IU198" s="16"/>
      <c r="IV198" s="16"/>
      <c r="IW198" s="16"/>
      <c r="IX198" s="16"/>
      <c r="IY198" s="15" t="str">
        <f t="shared" si="729"/>
        <v>NO APLICA</v>
      </c>
      <c r="IZ198" s="16"/>
      <c r="JA198" s="16"/>
      <c r="JB198" s="16"/>
      <c r="JC198" s="16"/>
      <c r="JD198" s="15" t="str">
        <f t="shared" si="730"/>
        <v>NO APLICA</v>
      </c>
      <c r="JE198" s="16"/>
      <c r="JF198" s="16"/>
      <c r="JG198" s="16"/>
      <c r="JH198" s="16"/>
      <c r="JI198" s="15" t="str">
        <f t="shared" si="731"/>
        <v>NO APLICA</v>
      </c>
      <c r="JJ198" s="16"/>
      <c r="JK198" s="16"/>
      <c r="JL198" s="16"/>
      <c r="JM198" s="15" t="str">
        <f t="shared" si="732"/>
        <v>NO APLICA</v>
      </c>
      <c r="JN198" s="16"/>
      <c r="JO198" s="16"/>
      <c r="JP198" s="16"/>
      <c r="JQ198" s="15" t="str">
        <f t="shared" si="733"/>
        <v>NO APLICA</v>
      </c>
      <c r="JR198" s="16"/>
      <c r="JS198" s="16"/>
      <c r="JT198" s="16"/>
      <c r="JU198" s="16"/>
      <c r="JV198" s="15" t="str">
        <f t="shared" si="734"/>
        <v>NO APLICA</v>
      </c>
      <c r="JW198" s="15"/>
      <c r="JX198" s="15"/>
      <c r="JY198" s="15"/>
      <c r="JZ198" s="15"/>
      <c r="KA198" s="15" t="str">
        <f t="shared" si="735"/>
        <v>NO APLICA</v>
      </c>
      <c r="KB198" s="16"/>
      <c r="KC198" s="16"/>
      <c r="KD198" s="16"/>
      <c r="KE198" s="15" t="str">
        <f t="shared" si="736"/>
        <v>NO APLICA</v>
      </c>
      <c r="KF198" s="16"/>
      <c r="KG198" s="16"/>
      <c r="KH198" s="16"/>
      <c r="KI198" s="15" t="str">
        <f t="shared" si="749"/>
        <v>NO APLICA</v>
      </c>
      <c r="KJ198" s="16"/>
      <c r="KK198" s="16"/>
      <c r="KL198" s="16"/>
      <c r="KM198" s="15" t="str">
        <f t="shared" si="737"/>
        <v>NO APLICA</v>
      </c>
      <c r="KN198" s="16"/>
      <c r="KO198" s="16"/>
      <c r="KP198" s="16"/>
      <c r="KQ198" s="15" t="str">
        <f t="shared" si="750"/>
        <v>NO APLICA</v>
      </c>
      <c r="KR198" s="16"/>
      <c r="KS198" s="16"/>
      <c r="KT198" s="16"/>
      <c r="KU198" s="16"/>
      <c r="KV198" s="15" t="str">
        <f t="shared" si="755"/>
        <v>NO APLICA</v>
      </c>
      <c r="KW198" s="16"/>
      <c r="KX198" s="16"/>
      <c r="KY198" s="16"/>
      <c r="KZ198" s="15" t="str">
        <f t="shared" si="751"/>
        <v>NO APLICA</v>
      </c>
      <c r="LA198" s="16"/>
      <c r="LB198" s="16"/>
      <c r="LC198" s="16"/>
      <c r="LD198" s="16"/>
      <c r="LE198" s="15" t="str">
        <f t="shared" si="590"/>
        <v>NO APLICA</v>
      </c>
      <c r="LF198" s="15"/>
      <c r="LG198" s="15"/>
      <c r="LH198" s="14"/>
      <c r="LI198" s="65"/>
      <c r="LJ198" s="15" t="str">
        <f t="shared" si="756"/>
        <v>NO APLICA</v>
      </c>
      <c r="LK198" s="16"/>
      <c r="LL198" s="16"/>
      <c r="LM198" s="16"/>
      <c r="LN198" s="16"/>
      <c r="LO198" s="15" t="str">
        <f t="shared" si="752"/>
        <v>NO APLICA</v>
      </c>
      <c r="LP198" s="16"/>
      <c r="LQ198" s="16"/>
      <c r="LR198" s="16"/>
      <c r="LS198" s="16"/>
      <c r="LT198" s="15" t="str">
        <f t="shared" si="753"/>
        <v>NO APLICA</v>
      </c>
      <c r="LU198" s="16"/>
      <c r="LV198" s="16"/>
      <c r="LW198" s="16"/>
      <c r="LX198" s="16"/>
      <c r="LY198" s="15" t="str">
        <f t="shared" si="754"/>
        <v>NO APLICA</v>
      </c>
      <c r="LZ198" s="16"/>
      <c r="MA198" s="16"/>
      <c r="MB198" s="16"/>
      <c r="MC198" s="16"/>
      <c r="MD198" s="15" t="str">
        <f t="shared" si="738"/>
        <v>NO APLICA</v>
      </c>
      <c r="ME198" s="16"/>
      <c r="MF198" s="16"/>
      <c r="MG198" s="16"/>
      <c r="MH198" s="16"/>
      <c r="MI198" s="15" t="str">
        <f t="shared" si="739"/>
        <v>NO APLICA</v>
      </c>
      <c r="MJ198" s="16"/>
      <c r="MK198" s="16"/>
      <c r="ML198" s="16"/>
      <c r="MM198" s="15" t="str">
        <f t="shared" si="740"/>
        <v>NO APLICA</v>
      </c>
      <c r="MN198" s="16"/>
      <c r="MO198" s="16"/>
      <c r="MP198" s="16"/>
      <c r="MQ198" s="15" t="str">
        <f t="shared" si="741"/>
        <v>NO APLICA</v>
      </c>
      <c r="MR198" s="16"/>
      <c r="MS198" s="16"/>
      <c r="MT198" s="16"/>
      <c r="MU198" s="16"/>
      <c r="MV198" s="15" t="str">
        <f t="shared" si="742"/>
        <v>NO APLICA</v>
      </c>
      <c r="MW198" s="16"/>
      <c r="MX198" s="16"/>
      <c r="MY198" s="16"/>
      <c r="MZ198" s="16"/>
      <c r="NA198" s="15" t="str">
        <f t="shared" si="743"/>
        <v>NO APLICA</v>
      </c>
      <c r="NB198" s="16"/>
      <c r="NC198" s="16"/>
      <c r="ND198" s="16"/>
      <c r="NE198" s="16"/>
      <c r="NF198" s="15" t="str">
        <f t="shared" si="744"/>
        <v>NO APLICA</v>
      </c>
      <c r="NG198" s="16"/>
      <c r="NH198" s="16"/>
      <c r="NI198" s="16"/>
      <c r="NJ198" s="16"/>
      <c r="NK198" s="15" t="str">
        <f t="shared" si="745"/>
        <v>NO APLICA</v>
      </c>
      <c r="NL198" s="16"/>
      <c r="NM198" s="16"/>
      <c r="NN198" s="16"/>
      <c r="NO198" s="16"/>
      <c r="NP198" s="15" t="str">
        <f t="shared" si="746"/>
        <v>NO APLICA</v>
      </c>
      <c r="NQ198" s="16"/>
      <c r="NR198" s="16"/>
      <c r="NS198" s="16"/>
      <c r="NT198" s="16"/>
      <c r="NU198" s="15" t="str">
        <f t="shared" si="747"/>
        <v>NO APLICA</v>
      </c>
      <c r="NV198" s="16"/>
      <c r="NW198" s="16"/>
      <c r="NX198" s="16"/>
      <c r="NY198" s="16"/>
      <c r="NZ198" s="15" t="str">
        <f t="shared" si="748"/>
        <v>NO APLICA</v>
      </c>
    </row>
    <row r="199" spans="1:390" ht="15.6" thickTop="1" thickBot="1" x14ac:dyDescent="0.35">
      <c r="A199" s="11">
        <v>1070</v>
      </c>
      <c r="B199" s="10" t="s">
        <v>684</v>
      </c>
      <c r="C199" s="21" t="s">
        <v>98</v>
      </c>
      <c r="D199" s="64" t="s">
        <v>685</v>
      </c>
      <c r="E199" s="16"/>
      <c r="F199" s="16"/>
      <c r="G199" s="16"/>
      <c r="H199" s="16"/>
      <c r="I199" s="15" t="str">
        <f t="shared" si="688"/>
        <v>NO APLICA</v>
      </c>
      <c r="J199" s="16"/>
      <c r="K199" s="16"/>
      <c r="L199" s="16"/>
      <c r="M199" s="16"/>
      <c r="N199" s="15" t="str">
        <f t="shared" si="691"/>
        <v>NO APLICA</v>
      </c>
      <c r="O199" s="14">
        <v>45821</v>
      </c>
      <c r="P199" s="14">
        <v>45822</v>
      </c>
      <c r="Q199" s="14">
        <f>DATE(YEAR(P199)+2,MONTH(P199),DAY(P199)-1)</f>
        <v>46551</v>
      </c>
      <c r="R199" s="65">
        <f ca="1">Q199-TODAY()</f>
        <v>420</v>
      </c>
      <c r="S199" s="15" t="str">
        <f ca="1">IF(R199&gt;=61,"VIGENTE",IF(R199&gt;=1,"POR VENCER",IF(R199&lt;=-1,"VENCIDA",IF(R199=0,"NO APLICA"))))</f>
        <v>VIGENTE</v>
      </c>
      <c r="T199" s="16"/>
      <c r="U199" s="14"/>
      <c r="V199" s="14"/>
      <c r="W199" s="14"/>
      <c r="X199" s="65"/>
      <c r="Y199" s="15" t="str">
        <f t="shared" si="595"/>
        <v>NO APLICA</v>
      </c>
      <c r="Z199" s="16"/>
      <c r="AA199" s="16"/>
      <c r="AB199" s="16"/>
      <c r="AC199" s="16"/>
      <c r="AD199" s="16"/>
      <c r="AE199" s="15" t="str">
        <f t="shared" si="598"/>
        <v>NO APLICA</v>
      </c>
      <c r="AF199" s="14"/>
      <c r="AG199" s="14"/>
      <c r="AH199" s="14"/>
      <c r="AI199" s="16"/>
      <c r="AJ199" s="15" t="str">
        <f t="shared" si="592"/>
        <v>NO APLICA</v>
      </c>
      <c r="AK199" s="14"/>
      <c r="AL199" s="14"/>
      <c r="AM199" s="14"/>
      <c r="AN199" s="16"/>
      <c r="AO199" s="15" t="str">
        <f t="shared" si="692"/>
        <v>NO APLICA</v>
      </c>
      <c r="AP199" s="14"/>
      <c r="AQ199" s="14"/>
      <c r="AR199" s="14"/>
      <c r="AS199" s="16"/>
      <c r="AT199" s="15" t="str">
        <f t="shared" si="693"/>
        <v>NO APLICA</v>
      </c>
      <c r="AU199" s="14"/>
      <c r="AV199" s="14"/>
      <c r="AW199" s="14"/>
      <c r="AX199" s="16"/>
      <c r="AY199" s="15" t="str">
        <f t="shared" si="694"/>
        <v>NO APLICA</v>
      </c>
      <c r="AZ199" s="14"/>
      <c r="BA199" s="14"/>
      <c r="BB199" s="14"/>
      <c r="BC199" s="16"/>
      <c r="BD199" s="15" t="str">
        <f t="shared" si="695"/>
        <v>NO APLICA</v>
      </c>
      <c r="BE199" s="14"/>
      <c r="BF199" s="14"/>
      <c r="BG199" s="14"/>
      <c r="BH199" s="16"/>
      <c r="BI199" s="15" t="str">
        <f t="shared" si="696"/>
        <v>NO APLICA</v>
      </c>
      <c r="BJ199" s="14"/>
      <c r="BK199" s="14"/>
      <c r="BL199" s="14"/>
      <c r="BM199" s="16"/>
      <c r="BN199" s="15" t="str">
        <f t="shared" si="697"/>
        <v>NO APLICA</v>
      </c>
      <c r="BO199" s="14"/>
      <c r="BP199" s="14"/>
      <c r="BQ199" s="14"/>
      <c r="BR199" s="16"/>
      <c r="BS199" s="15" t="str">
        <f t="shared" si="698"/>
        <v>NO APLICA</v>
      </c>
      <c r="BT199" s="14"/>
      <c r="BU199" s="14"/>
      <c r="BV199" s="14"/>
      <c r="BW199" s="16"/>
      <c r="BX199" s="15" t="str">
        <f t="shared" si="699"/>
        <v>NO APLICA</v>
      </c>
      <c r="BY199" s="14"/>
      <c r="BZ199" s="14"/>
      <c r="CA199" s="14"/>
      <c r="CB199" s="16"/>
      <c r="CC199" s="15" t="str">
        <f t="shared" si="700"/>
        <v>NO APLICA</v>
      </c>
      <c r="CD199" s="16"/>
      <c r="CE199" s="16"/>
      <c r="CF199" s="16"/>
      <c r="CG199" s="16"/>
      <c r="CH199" s="16"/>
      <c r="CI199" s="15" t="str">
        <f t="shared" si="562"/>
        <v>NO APLICA</v>
      </c>
      <c r="CJ199" s="14"/>
      <c r="CK199" s="14"/>
      <c r="CL199" s="14"/>
      <c r="CM199" s="16"/>
      <c r="CN199" s="15" t="str">
        <f t="shared" si="701"/>
        <v>NO APLICA</v>
      </c>
      <c r="CO199" s="14"/>
      <c r="CP199" s="14"/>
      <c r="CQ199" s="14"/>
      <c r="CR199" s="16"/>
      <c r="CS199" s="15" t="str">
        <f t="shared" si="702"/>
        <v>NO APLICA</v>
      </c>
      <c r="CT199" s="14"/>
      <c r="CU199" s="14"/>
      <c r="CV199" s="14"/>
      <c r="CW199" s="16"/>
      <c r="CX199" s="15" t="str">
        <f t="shared" si="703"/>
        <v>NO APLICA</v>
      </c>
      <c r="CY199" s="14"/>
      <c r="CZ199" s="14"/>
      <c r="DA199" s="14"/>
      <c r="DB199" s="16"/>
      <c r="DC199" s="15" t="str">
        <f t="shared" si="704"/>
        <v>NO APLICA</v>
      </c>
      <c r="DD199" s="14"/>
      <c r="DE199" s="14"/>
      <c r="DF199" s="14"/>
      <c r="DG199" s="16"/>
      <c r="DH199" s="15" t="str">
        <f t="shared" si="705"/>
        <v>NO APLICA</v>
      </c>
      <c r="DI199" s="14"/>
      <c r="DJ199" s="14"/>
      <c r="DK199" s="14"/>
      <c r="DL199" s="16"/>
      <c r="DM199" s="15" t="str">
        <f t="shared" si="706"/>
        <v>NO APLICA</v>
      </c>
      <c r="DN199" s="14"/>
      <c r="DO199" s="14"/>
      <c r="DP199" s="14"/>
      <c r="DQ199" s="16"/>
      <c r="DR199" s="15" t="str">
        <f t="shared" si="707"/>
        <v>NO APLICA</v>
      </c>
      <c r="DS199" s="14"/>
      <c r="DT199" s="14"/>
      <c r="DU199" s="14"/>
      <c r="DV199" s="16"/>
      <c r="DW199" s="15" t="str">
        <f t="shared" si="708"/>
        <v>NO APLICA</v>
      </c>
      <c r="DX199" s="14"/>
      <c r="DY199" s="14"/>
      <c r="DZ199" s="14"/>
      <c r="EA199" s="16"/>
      <c r="EB199" s="15" t="str">
        <f t="shared" si="709"/>
        <v>NO APLICA</v>
      </c>
      <c r="EC199" s="14"/>
      <c r="ED199" s="14"/>
      <c r="EE199" s="14"/>
      <c r="EF199" s="16"/>
      <c r="EG199" s="15" t="str">
        <f t="shared" si="710"/>
        <v>NO APLICA</v>
      </c>
      <c r="EH199" s="14"/>
      <c r="EI199" s="14"/>
      <c r="EJ199" s="14"/>
      <c r="EK199" s="14"/>
      <c r="EL199" s="14"/>
      <c r="EM199" s="65"/>
      <c r="EN199" s="15" t="str">
        <f t="shared" si="711"/>
        <v>NO APLICA</v>
      </c>
      <c r="EO199" s="14"/>
      <c r="EP199" s="14"/>
      <c r="EQ199" s="14"/>
      <c r="ER199" s="65"/>
      <c r="ES199" s="15" t="str">
        <f t="shared" si="712"/>
        <v>NO APLICA</v>
      </c>
      <c r="ET199" s="14"/>
      <c r="EU199" s="14"/>
      <c r="EV199" s="14"/>
      <c r="EW199" s="65"/>
      <c r="EX199" s="15" t="str">
        <f t="shared" si="713"/>
        <v>NO APLICA</v>
      </c>
      <c r="EY199" s="14"/>
      <c r="EZ199" s="14"/>
      <c r="FA199" s="14"/>
      <c r="FB199" s="16"/>
      <c r="FC199" s="15" t="str">
        <f t="shared" si="714"/>
        <v>NO APLICA</v>
      </c>
      <c r="FD199" s="14"/>
      <c r="FE199" s="14"/>
      <c r="FF199" s="14"/>
      <c r="FG199" s="16"/>
      <c r="FH199" s="15" t="str">
        <f t="shared" si="715"/>
        <v>NO APLICA</v>
      </c>
      <c r="FI199" s="14"/>
      <c r="FJ199" s="14"/>
      <c r="FK199" s="14"/>
      <c r="FL199" s="16"/>
      <c r="FM199" s="15" t="str">
        <f t="shared" si="716"/>
        <v>NO APLICA</v>
      </c>
      <c r="FN199" s="14"/>
      <c r="FO199" s="14"/>
      <c r="FP199" s="14"/>
      <c r="FQ199" s="16"/>
      <c r="FR199" s="15" t="str">
        <f t="shared" si="717"/>
        <v>NO APLICA</v>
      </c>
      <c r="FS199" s="14"/>
      <c r="FT199" s="14"/>
      <c r="FU199" s="14"/>
      <c r="FV199" s="16"/>
      <c r="FW199" s="15" t="str">
        <f t="shared" si="718"/>
        <v>NO APLICA</v>
      </c>
      <c r="FX199" s="14"/>
      <c r="FY199" s="14"/>
      <c r="FZ199" s="14"/>
      <c r="GA199" s="16"/>
      <c r="GB199" s="15" t="str">
        <f t="shared" si="719"/>
        <v>NO APLICA</v>
      </c>
      <c r="GC199" s="14"/>
      <c r="GD199" s="14"/>
      <c r="GE199" s="14"/>
      <c r="GF199" s="16"/>
      <c r="GG199" s="15" t="str">
        <f t="shared" si="720"/>
        <v>NO APLICA</v>
      </c>
      <c r="GH199" s="14"/>
      <c r="GI199" s="14"/>
      <c r="GJ199" s="14"/>
      <c r="GK199" s="65"/>
      <c r="GL199" s="15" t="str">
        <f t="shared" si="721"/>
        <v>NO APLICA</v>
      </c>
      <c r="GM199" s="14"/>
      <c r="GN199" s="16"/>
      <c r="GO199" s="16"/>
      <c r="GP199" s="16"/>
      <c r="GQ199" s="15" t="str">
        <f t="shared" si="722"/>
        <v>NO APLICA</v>
      </c>
      <c r="GR199" s="14"/>
      <c r="GS199" s="16"/>
      <c r="GT199" s="16"/>
      <c r="GU199" s="16"/>
      <c r="GV199" s="15" t="str">
        <f t="shared" si="601"/>
        <v>NO APLICA</v>
      </c>
      <c r="GW199" s="14"/>
      <c r="GX199" s="16"/>
      <c r="GY199" s="16"/>
      <c r="GZ199" s="16"/>
      <c r="HA199" s="15" t="str">
        <f t="shared" si="602"/>
        <v>NO APLICA</v>
      </c>
      <c r="HB199" s="16"/>
      <c r="HC199" s="16"/>
      <c r="HD199" s="16"/>
      <c r="HE199" s="16"/>
      <c r="HF199" s="15" t="str">
        <f t="shared" si="603"/>
        <v>NO APLICA</v>
      </c>
      <c r="HG199" s="16"/>
      <c r="HH199" s="16"/>
      <c r="HI199" s="14"/>
      <c r="HJ199" s="65"/>
      <c r="HK199" s="15" t="str">
        <f t="shared" si="690"/>
        <v>NO APLICA</v>
      </c>
      <c r="HL199" s="16"/>
      <c r="HM199" s="16"/>
      <c r="HN199" s="16"/>
      <c r="HO199" s="16"/>
      <c r="HP199" s="15" t="str">
        <f t="shared" si="686"/>
        <v>NO APLICA</v>
      </c>
      <c r="HQ199" s="16"/>
      <c r="HR199" s="16"/>
      <c r="HS199" s="16"/>
      <c r="HT199" s="16"/>
      <c r="HU199" s="15" t="str">
        <f t="shared" si="723"/>
        <v>NO APLICA</v>
      </c>
      <c r="HV199" s="16"/>
      <c r="HW199" s="16"/>
      <c r="HX199" s="16"/>
      <c r="HY199" s="16"/>
      <c r="HZ199" s="15" t="str">
        <f t="shared" si="724"/>
        <v>NO APLICA</v>
      </c>
      <c r="IA199" s="16"/>
      <c r="IB199" s="16"/>
      <c r="IC199" s="16"/>
      <c r="ID199" s="16"/>
      <c r="IE199" s="15" t="str">
        <f t="shared" si="725"/>
        <v>NO APLICA</v>
      </c>
      <c r="IF199" s="16"/>
      <c r="IG199" s="16"/>
      <c r="IH199" s="16"/>
      <c r="II199" s="16"/>
      <c r="IJ199" s="15" t="str">
        <f t="shared" si="726"/>
        <v>NO APLICA</v>
      </c>
      <c r="IK199" s="16"/>
      <c r="IL199" s="16"/>
      <c r="IM199" s="16"/>
      <c r="IN199" s="16"/>
      <c r="IO199" s="15" t="str">
        <f t="shared" si="727"/>
        <v>NO APLICA</v>
      </c>
      <c r="IP199" s="16"/>
      <c r="IQ199" s="16"/>
      <c r="IR199" s="16"/>
      <c r="IS199" s="16"/>
      <c r="IT199" s="15" t="str">
        <f t="shared" si="728"/>
        <v>NO APLICA</v>
      </c>
      <c r="IU199" s="16"/>
      <c r="IV199" s="16"/>
      <c r="IW199" s="16"/>
      <c r="IX199" s="16"/>
      <c r="IY199" s="15" t="str">
        <f t="shared" si="729"/>
        <v>NO APLICA</v>
      </c>
      <c r="IZ199" s="16"/>
      <c r="JA199" s="16"/>
      <c r="JB199" s="16"/>
      <c r="JC199" s="16"/>
      <c r="JD199" s="15" t="str">
        <f t="shared" si="730"/>
        <v>NO APLICA</v>
      </c>
      <c r="JE199" s="16"/>
      <c r="JF199" s="16"/>
      <c r="JG199" s="16"/>
      <c r="JH199" s="16"/>
      <c r="JI199" s="15" t="str">
        <f t="shared" si="731"/>
        <v>NO APLICA</v>
      </c>
      <c r="JJ199" s="16"/>
      <c r="JK199" s="16"/>
      <c r="JL199" s="16"/>
      <c r="JM199" s="15" t="str">
        <f t="shared" si="732"/>
        <v>NO APLICA</v>
      </c>
      <c r="JN199" s="16"/>
      <c r="JO199" s="16"/>
      <c r="JP199" s="16"/>
      <c r="JQ199" s="15" t="str">
        <f t="shared" si="733"/>
        <v>NO APLICA</v>
      </c>
      <c r="JR199" s="16"/>
      <c r="JS199" s="16"/>
      <c r="JT199" s="16"/>
      <c r="JU199" s="16"/>
      <c r="JV199" s="15" t="str">
        <f t="shared" si="734"/>
        <v>NO APLICA</v>
      </c>
      <c r="JW199" s="15"/>
      <c r="JX199" s="15"/>
      <c r="JY199" s="15"/>
      <c r="JZ199" s="15"/>
      <c r="KA199" s="15" t="str">
        <f t="shared" si="735"/>
        <v>NO APLICA</v>
      </c>
      <c r="KB199" s="16"/>
      <c r="KC199" s="16"/>
      <c r="KD199" s="16"/>
      <c r="KE199" s="15" t="str">
        <f t="shared" si="736"/>
        <v>NO APLICA</v>
      </c>
      <c r="KF199" s="16"/>
      <c r="KG199" s="16"/>
      <c r="KH199" s="16"/>
      <c r="KI199" s="15" t="str">
        <f t="shared" si="749"/>
        <v>NO APLICA</v>
      </c>
      <c r="KJ199" s="14">
        <v>45364</v>
      </c>
      <c r="KK199" s="14">
        <f>DATE(YEAR(KJ199)+5,MONTH(KJ199),DAY(KJ199))</f>
        <v>47190</v>
      </c>
      <c r="KL199" s="65">
        <f ca="1">KK199-TODAY()</f>
        <v>1059</v>
      </c>
      <c r="KM199" s="15" t="str">
        <f ca="1">IF(KL199&gt;=61,"VIGENTE",IF(KL199&gt;=1,"POR VENCER",IF(KL199&lt;=-1,"VENCIDA",IF(KJ199=0,"NO APLICA"))))</f>
        <v>VIGENTE</v>
      </c>
      <c r="KN199" s="14">
        <v>45346</v>
      </c>
      <c r="KO199" s="14">
        <f>DATE(YEAR(KN199)+5,MONTH(KN199),DAY(KN199))</f>
        <v>47173</v>
      </c>
      <c r="KP199" s="65">
        <f ca="1">KO199-TODAY()</f>
        <v>1042</v>
      </c>
      <c r="KQ199" s="15" t="str">
        <f ca="1">IF(KP199&gt;=61,"VIGENTE",IF(KP199&gt;=1,"POR VENCER",IF(KP199&lt;=-1,"VENCIDA",IF(KN199=0,"NO APLICA"))))</f>
        <v>VIGENTE</v>
      </c>
      <c r="KR199" s="16"/>
      <c r="KS199" s="16"/>
      <c r="KT199" s="16"/>
      <c r="KU199" s="16"/>
      <c r="KV199" s="15" t="str">
        <f t="shared" si="755"/>
        <v>NO APLICA</v>
      </c>
      <c r="KW199" s="16"/>
      <c r="KX199" s="16"/>
      <c r="KY199" s="16"/>
      <c r="KZ199" s="15" t="str">
        <f t="shared" si="751"/>
        <v>NO APLICA</v>
      </c>
      <c r="LA199" s="16"/>
      <c r="LB199" s="16"/>
      <c r="LC199" s="16"/>
      <c r="LD199" s="16"/>
      <c r="LE199" s="15" t="str">
        <f t="shared" si="590"/>
        <v>NO APLICA</v>
      </c>
      <c r="LF199" s="15"/>
      <c r="LG199" s="15"/>
      <c r="LH199" s="14"/>
      <c r="LI199" s="65"/>
      <c r="LJ199" s="15" t="str">
        <f t="shared" si="756"/>
        <v>NO APLICA</v>
      </c>
      <c r="LK199" s="16"/>
      <c r="LL199" s="16"/>
      <c r="LM199" s="16"/>
      <c r="LN199" s="16"/>
      <c r="LO199" s="15" t="str">
        <f t="shared" si="752"/>
        <v>NO APLICA</v>
      </c>
      <c r="LP199" s="16"/>
      <c r="LQ199" s="16"/>
      <c r="LR199" s="16"/>
      <c r="LS199" s="16"/>
      <c r="LT199" s="15" t="str">
        <f t="shared" si="753"/>
        <v>NO APLICA</v>
      </c>
      <c r="LU199" s="16"/>
      <c r="LV199" s="16"/>
      <c r="LW199" s="16"/>
      <c r="LX199" s="16"/>
      <c r="LY199" s="15" t="str">
        <f t="shared" si="754"/>
        <v>NO APLICA</v>
      </c>
      <c r="LZ199" s="16"/>
      <c r="MA199" s="16"/>
      <c r="MB199" s="16"/>
      <c r="MC199" s="16"/>
      <c r="MD199" s="15" t="str">
        <f t="shared" si="738"/>
        <v>NO APLICA</v>
      </c>
      <c r="ME199" s="16"/>
      <c r="MF199" s="16"/>
      <c r="MG199" s="16"/>
      <c r="MH199" s="16"/>
      <c r="MI199" s="15" t="str">
        <f t="shared" si="739"/>
        <v>NO APLICA</v>
      </c>
      <c r="MJ199" s="16"/>
      <c r="MK199" s="16"/>
      <c r="ML199" s="16"/>
      <c r="MM199" s="15" t="str">
        <f t="shared" si="740"/>
        <v>NO APLICA</v>
      </c>
      <c r="MN199" s="16"/>
      <c r="MO199" s="16"/>
      <c r="MP199" s="16"/>
      <c r="MQ199" s="15" t="str">
        <f t="shared" si="741"/>
        <v>NO APLICA</v>
      </c>
      <c r="MR199" s="16"/>
      <c r="MS199" s="16"/>
      <c r="MT199" s="16"/>
      <c r="MU199" s="16"/>
      <c r="MV199" s="15" t="str">
        <f t="shared" si="742"/>
        <v>NO APLICA</v>
      </c>
      <c r="MW199" s="16"/>
      <c r="MX199" s="16"/>
      <c r="MY199" s="16"/>
      <c r="MZ199" s="16"/>
      <c r="NA199" s="15" t="str">
        <f t="shared" si="743"/>
        <v>NO APLICA</v>
      </c>
      <c r="NB199" s="16"/>
      <c r="NC199" s="16"/>
      <c r="ND199" s="16"/>
      <c r="NE199" s="16"/>
      <c r="NF199" s="15" t="str">
        <f t="shared" si="744"/>
        <v>NO APLICA</v>
      </c>
      <c r="NG199" s="16"/>
      <c r="NH199" s="16"/>
      <c r="NI199" s="16"/>
      <c r="NJ199" s="16"/>
      <c r="NK199" s="15" t="str">
        <f t="shared" si="745"/>
        <v>NO APLICA</v>
      </c>
      <c r="NL199" s="16"/>
      <c r="NM199" s="16"/>
      <c r="NN199" s="16"/>
      <c r="NO199" s="16"/>
      <c r="NP199" s="15" t="str">
        <f t="shared" si="746"/>
        <v>NO APLICA</v>
      </c>
      <c r="NQ199" s="16"/>
      <c r="NR199" s="16"/>
      <c r="NS199" s="16"/>
      <c r="NT199" s="16"/>
      <c r="NU199" s="15" t="str">
        <f t="shared" si="747"/>
        <v>NO APLICA</v>
      </c>
      <c r="NV199" s="16"/>
      <c r="NW199" s="16"/>
      <c r="NX199" s="16"/>
      <c r="NY199" s="16"/>
      <c r="NZ199" s="15" t="str">
        <f t="shared" si="748"/>
        <v>NO APLICA</v>
      </c>
    </row>
    <row r="200" spans="1:390" ht="15.6" thickTop="1" thickBot="1" x14ac:dyDescent="0.35">
      <c r="A200" s="11">
        <v>1734</v>
      </c>
      <c r="B200" s="10" t="s">
        <v>686</v>
      </c>
      <c r="C200" s="21" t="s">
        <v>687</v>
      </c>
      <c r="D200" s="64" t="s">
        <v>688</v>
      </c>
      <c r="E200" s="13"/>
      <c r="F200" s="14"/>
      <c r="G200" s="14"/>
      <c r="H200" s="65"/>
      <c r="I200" s="15" t="str">
        <f t="shared" si="688"/>
        <v>NO APLICA</v>
      </c>
      <c r="J200" s="12"/>
      <c r="K200" s="12"/>
      <c r="L200" s="12"/>
      <c r="M200" s="12"/>
      <c r="N200" s="15" t="str">
        <f t="shared" si="691"/>
        <v>NO APLICA</v>
      </c>
      <c r="O200" s="16"/>
      <c r="P200" s="16"/>
      <c r="Q200" s="14"/>
      <c r="R200" s="65"/>
      <c r="S200" s="15" t="str">
        <f t="shared" si="689"/>
        <v>NO APLICA</v>
      </c>
      <c r="T200" s="12"/>
      <c r="U200" s="13"/>
      <c r="V200" s="14"/>
      <c r="W200" s="14"/>
      <c r="X200" s="65"/>
      <c r="Y200" s="15" t="str">
        <f t="shared" si="595"/>
        <v>NO APLICA</v>
      </c>
      <c r="Z200" s="12"/>
      <c r="AA200" s="12"/>
      <c r="AB200" s="16"/>
      <c r="AC200" s="14"/>
      <c r="AD200" s="65"/>
      <c r="AE200" s="15" t="str">
        <f t="shared" si="598"/>
        <v>NO APLICA</v>
      </c>
      <c r="AF200" s="12"/>
      <c r="AG200" s="14"/>
      <c r="AH200" s="14"/>
      <c r="AI200" s="65"/>
      <c r="AJ200" s="15" t="str">
        <f t="shared" si="592"/>
        <v>NO APLICA</v>
      </c>
      <c r="AK200" s="12"/>
      <c r="AL200" s="14"/>
      <c r="AM200" s="14"/>
      <c r="AN200" s="65"/>
      <c r="AO200" s="15" t="str">
        <f t="shared" si="692"/>
        <v>NO APLICA</v>
      </c>
      <c r="AP200" s="12"/>
      <c r="AQ200" s="14"/>
      <c r="AR200" s="14"/>
      <c r="AS200" s="65"/>
      <c r="AT200" s="15" t="str">
        <f t="shared" si="693"/>
        <v>NO APLICA</v>
      </c>
      <c r="AU200" s="12"/>
      <c r="AV200" s="14"/>
      <c r="AW200" s="14"/>
      <c r="AX200" s="65"/>
      <c r="AY200" s="15" t="str">
        <f t="shared" si="694"/>
        <v>NO APLICA</v>
      </c>
      <c r="AZ200" s="13"/>
      <c r="BA200" s="14"/>
      <c r="BB200" s="14"/>
      <c r="BC200" s="65"/>
      <c r="BD200" s="15" t="str">
        <f t="shared" si="695"/>
        <v>NO APLICA</v>
      </c>
      <c r="BE200" s="12"/>
      <c r="BF200" s="14"/>
      <c r="BG200" s="14"/>
      <c r="BH200" s="65"/>
      <c r="BI200" s="15" t="str">
        <f t="shared" si="696"/>
        <v>NO APLICA</v>
      </c>
      <c r="BJ200" s="13"/>
      <c r="BK200" s="14"/>
      <c r="BL200" s="14"/>
      <c r="BM200" s="65"/>
      <c r="BN200" s="15" t="str">
        <f t="shared" si="697"/>
        <v>NO APLICA</v>
      </c>
      <c r="BO200" s="13"/>
      <c r="BP200" s="14"/>
      <c r="BQ200" s="14"/>
      <c r="BR200" s="65"/>
      <c r="BS200" s="15" t="str">
        <f t="shared" si="698"/>
        <v>NO APLICA</v>
      </c>
      <c r="BT200" s="12"/>
      <c r="BU200" s="14"/>
      <c r="BV200" s="14"/>
      <c r="BW200" s="65"/>
      <c r="BX200" s="15" t="str">
        <f t="shared" si="699"/>
        <v>NO APLICA</v>
      </c>
      <c r="BY200" s="12"/>
      <c r="BZ200" s="14"/>
      <c r="CA200" s="14"/>
      <c r="CB200" s="65"/>
      <c r="CC200" s="15" t="str">
        <f t="shared" si="700"/>
        <v>NO APLICA</v>
      </c>
      <c r="CD200" s="16"/>
      <c r="CE200" s="14"/>
      <c r="CF200" s="14"/>
      <c r="CG200" s="14"/>
      <c r="CH200" s="65"/>
      <c r="CI200" s="15" t="str">
        <f t="shared" si="562"/>
        <v>NO APLICA</v>
      </c>
      <c r="CJ200" s="16"/>
      <c r="CK200" s="14"/>
      <c r="CL200" s="14"/>
      <c r="CM200" s="65"/>
      <c r="CN200" s="15" t="str">
        <f t="shared" si="701"/>
        <v>NO APLICA</v>
      </c>
      <c r="CO200" s="12"/>
      <c r="CP200" s="14"/>
      <c r="CQ200" s="14"/>
      <c r="CR200" s="65"/>
      <c r="CS200" s="15" t="str">
        <f t="shared" si="702"/>
        <v>NO APLICA</v>
      </c>
      <c r="CT200" s="12"/>
      <c r="CU200" s="14"/>
      <c r="CV200" s="14"/>
      <c r="CW200" s="65"/>
      <c r="CX200" s="15" t="str">
        <f t="shared" si="703"/>
        <v>NO APLICA</v>
      </c>
      <c r="CY200" s="13"/>
      <c r="CZ200" s="14"/>
      <c r="DA200" s="14"/>
      <c r="DB200" s="65"/>
      <c r="DC200" s="15" t="str">
        <f t="shared" si="704"/>
        <v>NO APLICA</v>
      </c>
      <c r="DD200" s="13"/>
      <c r="DE200" s="14"/>
      <c r="DF200" s="14"/>
      <c r="DG200" s="65"/>
      <c r="DH200" s="15" t="str">
        <f t="shared" si="705"/>
        <v>NO APLICA</v>
      </c>
      <c r="DI200" s="12"/>
      <c r="DJ200" s="14"/>
      <c r="DK200" s="14"/>
      <c r="DL200" s="65"/>
      <c r="DM200" s="15" t="str">
        <f t="shared" si="706"/>
        <v>NO APLICA</v>
      </c>
      <c r="DN200" s="13"/>
      <c r="DO200" s="14"/>
      <c r="DP200" s="14"/>
      <c r="DQ200" s="65"/>
      <c r="DR200" s="15" t="str">
        <f t="shared" si="707"/>
        <v>NO APLICA</v>
      </c>
      <c r="DS200" s="12"/>
      <c r="DT200" s="14"/>
      <c r="DU200" s="14"/>
      <c r="DV200" s="65"/>
      <c r="DW200" s="15" t="str">
        <f t="shared" si="708"/>
        <v>NO APLICA</v>
      </c>
      <c r="DX200" s="13"/>
      <c r="DY200" s="14"/>
      <c r="DZ200" s="14"/>
      <c r="EA200" s="65"/>
      <c r="EB200" s="15" t="str">
        <f t="shared" si="709"/>
        <v>NO APLICA</v>
      </c>
      <c r="EC200" s="13"/>
      <c r="ED200" s="14"/>
      <c r="EE200" s="14"/>
      <c r="EF200" s="65"/>
      <c r="EG200" s="15" t="str">
        <f t="shared" si="710"/>
        <v>NO APLICA</v>
      </c>
      <c r="EH200" s="13"/>
      <c r="EI200" s="12"/>
      <c r="EJ200" s="12"/>
      <c r="EK200" s="14"/>
      <c r="EL200" s="14"/>
      <c r="EM200" s="65"/>
      <c r="EN200" s="15" t="str">
        <f t="shared" si="711"/>
        <v>NO APLICA</v>
      </c>
      <c r="EO200" s="13"/>
      <c r="EP200" s="14"/>
      <c r="EQ200" s="14"/>
      <c r="ER200" s="65"/>
      <c r="ES200" s="15" t="str">
        <f t="shared" si="712"/>
        <v>NO APLICA</v>
      </c>
      <c r="ET200" s="12"/>
      <c r="EU200" s="14"/>
      <c r="EV200" s="14"/>
      <c r="EW200" s="65"/>
      <c r="EX200" s="15" t="str">
        <f t="shared" si="713"/>
        <v>NO APLICA</v>
      </c>
      <c r="EY200" s="12"/>
      <c r="EZ200" s="14"/>
      <c r="FA200" s="14"/>
      <c r="FB200" s="65"/>
      <c r="FC200" s="15" t="str">
        <f t="shared" si="714"/>
        <v>NO APLICA</v>
      </c>
      <c r="FD200" s="12"/>
      <c r="FE200" s="14"/>
      <c r="FF200" s="14"/>
      <c r="FG200" s="65"/>
      <c r="FH200" s="15" t="str">
        <f t="shared" si="715"/>
        <v>NO APLICA</v>
      </c>
      <c r="FI200" s="12"/>
      <c r="FJ200" s="14"/>
      <c r="FK200" s="14"/>
      <c r="FL200" s="65"/>
      <c r="FM200" s="15" t="str">
        <f t="shared" si="716"/>
        <v>NO APLICA</v>
      </c>
      <c r="FN200" s="13"/>
      <c r="FO200" s="14"/>
      <c r="FP200" s="14"/>
      <c r="FQ200" s="65"/>
      <c r="FR200" s="15" t="str">
        <f t="shared" si="717"/>
        <v>NO APLICA</v>
      </c>
      <c r="FS200" s="13"/>
      <c r="FT200" s="14"/>
      <c r="FU200" s="14"/>
      <c r="FV200" s="65"/>
      <c r="FW200" s="15" t="str">
        <f t="shared" si="718"/>
        <v>NO APLICA</v>
      </c>
      <c r="FX200" s="13"/>
      <c r="FY200" s="14"/>
      <c r="FZ200" s="14"/>
      <c r="GA200" s="65"/>
      <c r="GB200" s="15" t="str">
        <f t="shared" si="719"/>
        <v>NO APLICA</v>
      </c>
      <c r="GC200" s="13"/>
      <c r="GD200" s="14"/>
      <c r="GE200" s="14"/>
      <c r="GF200" s="65"/>
      <c r="GG200" s="15" t="str">
        <f t="shared" si="720"/>
        <v>NO APLICA</v>
      </c>
      <c r="GH200" s="13"/>
      <c r="GI200" s="14"/>
      <c r="GJ200" s="14"/>
      <c r="GK200" s="65"/>
      <c r="GL200" s="15" t="str">
        <f t="shared" si="721"/>
        <v>NO APLICA</v>
      </c>
      <c r="GM200" s="13"/>
      <c r="GN200" s="14"/>
      <c r="GO200" s="14"/>
      <c r="GP200" s="65"/>
      <c r="GQ200" s="15" t="str">
        <f t="shared" si="722"/>
        <v>NO APLICA</v>
      </c>
      <c r="GR200" s="14"/>
      <c r="GS200" s="14"/>
      <c r="GT200" s="14"/>
      <c r="GU200" s="65"/>
      <c r="GV200" s="15" t="str">
        <f t="shared" si="601"/>
        <v>NO APLICA</v>
      </c>
      <c r="GW200" s="13"/>
      <c r="GX200" s="14"/>
      <c r="GY200" s="14"/>
      <c r="GZ200" s="65"/>
      <c r="HA200" s="15" t="str">
        <f t="shared" si="602"/>
        <v>NO APLICA</v>
      </c>
      <c r="HB200" s="12"/>
      <c r="HC200" s="14"/>
      <c r="HD200" s="14"/>
      <c r="HE200" s="65"/>
      <c r="HF200" s="15" t="str">
        <f t="shared" si="603"/>
        <v>NO APLICA</v>
      </c>
      <c r="HG200" s="16"/>
      <c r="HH200" s="16"/>
      <c r="HI200" s="14"/>
      <c r="HJ200" s="65"/>
      <c r="HK200" s="15" t="str">
        <f t="shared" si="690"/>
        <v>NO APLICA</v>
      </c>
      <c r="HL200" s="12"/>
      <c r="HM200" s="16"/>
      <c r="HN200" s="14"/>
      <c r="HO200" s="65"/>
      <c r="HP200" s="15" t="str">
        <f t="shared" si="686"/>
        <v>NO APLICA</v>
      </c>
      <c r="HQ200" s="12"/>
      <c r="HR200" s="12"/>
      <c r="HS200" s="14"/>
      <c r="HT200" s="12"/>
      <c r="HU200" s="15" t="str">
        <f t="shared" si="723"/>
        <v>NO APLICA</v>
      </c>
      <c r="HV200" s="12"/>
      <c r="HW200" s="16"/>
      <c r="HX200" s="14"/>
      <c r="HY200" s="65"/>
      <c r="HZ200" s="15" t="str">
        <f t="shared" si="724"/>
        <v>NO APLICA</v>
      </c>
      <c r="IA200" s="12"/>
      <c r="IB200" s="16"/>
      <c r="IC200" s="14"/>
      <c r="ID200" s="65"/>
      <c r="IE200" s="15" t="str">
        <f t="shared" si="725"/>
        <v>NO APLICA</v>
      </c>
      <c r="IF200" s="12"/>
      <c r="IG200" s="16"/>
      <c r="IH200" s="14"/>
      <c r="II200" s="65"/>
      <c r="IJ200" s="15" t="str">
        <f t="shared" si="726"/>
        <v>NO APLICA</v>
      </c>
      <c r="IK200" s="16"/>
      <c r="IL200" s="16"/>
      <c r="IM200" s="14"/>
      <c r="IN200" s="65"/>
      <c r="IO200" s="15" t="str">
        <f t="shared" si="727"/>
        <v>NO APLICA</v>
      </c>
      <c r="IP200" s="12"/>
      <c r="IQ200" s="16"/>
      <c r="IR200" s="14"/>
      <c r="IS200" s="65"/>
      <c r="IT200" s="15" t="str">
        <f t="shared" si="728"/>
        <v>NO APLICA</v>
      </c>
      <c r="IU200" s="12"/>
      <c r="IV200" s="16"/>
      <c r="IW200" s="14"/>
      <c r="IX200" s="65"/>
      <c r="IY200" s="15" t="str">
        <f t="shared" si="729"/>
        <v>NO APLICA</v>
      </c>
      <c r="IZ200" s="12"/>
      <c r="JA200" s="16"/>
      <c r="JB200" s="14"/>
      <c r="JC200" s="65"/>
      <c r="JD200" s="15" t="str">
        <f t="shared" si="730"/>
        <v>NO APLICA</v>
      </c>
      <c r="JE200" s="13"/>
      <c r="JF200" s="13"/>
      <c r="JG200" s="14"/>
      <c r="JH200" s="65"/>
      <c r="JI200" s="15" t="str">
        <f t="shared" si="731"/>
        <v>NO APLICA</v>
      </c>
      <c r="JJ200" s="16"/>
      <c r="JK200" s="16"/>
      <c r="JL200" s="16"/>
      <c r="JM200" s="15" t="str">
        <f t="shared" si="732"/>
        <v>NO APLICA</v>
      </c>
      <c r="JN200" s="16"/>
      <c r="JO200" s="16"/>
      <c r="JP200" s="16"/>
      <c r="JQ200" s="15" t="str">
        <f t="shared" si="733"/>
        <v>NO APLICA</v>
      </c>
      <c r="JR200" s="16"/>
      <c r="JS200" s="16"/>
      <c r="JT200" s="16"/>
      <c r="JU200" s="16"/>
      <c r="JV200" s="15" t="str">
        <f t="shared" si="734"/>
        <v>NO APLICA</v>
      </c>
      <c r="JW200" s="15"/>
      <c r="JX200" s="13">
        <v>45948</v>
      </c>
      <c r="JY200" s="14">
        <f>DATE(YEAR(JX200)+2,MONTH(JX200),DAY(JX200))</f>
        <v>46678</v>
      </c>
      <c r="JZ200" s="65">
        <f ca="1">JY200-TODAY()</f>
        <v>547</v>
      </c>
      <c r="KA200" s="15" t="str">
        <f ca="1">IF(JZ200&gt;=61,"VIGENTE",IF(JZ200&gt;=1,"POR VENCER",IF(JZ200&lt;=-1,"VENCIDA",IF(JX200=0,"NO APLICA"))))</f>
        <v>VIGENTE</v>
      </c>
      <c r="KB200" s="12"/>
      <c r="KC200" s="14"/>
      <c r="KD200" s="65"/>
      <c r="KE200" s="15" t="str">
        <f t="shared" si="736"/>
        <v>NO APLICA</v>
      </c>
      <c r="KF200" s="12"/>
      <c r="KG200" s="14"/>
      <c r="KH200" s="65"/>
      <c r="KI200" s="15" t="str">
        <f t="shared" si="749"/>
        <v>NO APLICA</v>
      </c>
      <c r="KJ200" s="12"/>
      <c r="KK200" s="14"/>
      <c r="KL200" s="65"/>
      <c r="KM200" s="15" t="str">
        <f t="shared" si="737"/>
        <v>NO APLICA</v>
      </c>
      <c r="KN200" s="12"/>
      <c r="KO200" s="14"/>
      <c r="KP200" s="65"/>
      <c r="KQ200" s="15" t="str">
        <f t="shared" si="750"/>
        <v>NO APLICA</v>
      </c>
      <c r="KR200" s="12"/>
      <c r="KS200" s="16"/>
      <c r="KT200" s="14"/>
      <c r="KU200" s="65"/>
      <c r="KV200" s="15" t="str">
        <f t="shared" si="755"/>
        <v>NO APLICA</v>
      </c>
      <c r="KW200" s="16"/>
      <c r="KX200" s="14"/>
      <c r="KY200" s="65"/>
      <c r="KZ200" s="15" t="str">
        <f t="shared" si="751"/>
        <v>NO APLICA</v>
      </c>
      <c r="LA200" s="16"/>
      <c r="LB200" s="16"/>
      <c r="LC200" s="14"/>
      <c r="LD200" s="65"/>
      <c r="LE200" s="15" t="str">
        <f t="shared" si="590"/>
        <v>NO APLICA</v>
      </c>
      <c r="LF200" s="15"/>
      <c r="LG200" s="15"/>
      <c r="LH200" s="14"/>
      <c r="LI200" s="65"/>
      <c r="LJ200" s="15" t="str">
        <f t="shared" si="756"/>
        <v>NO APLICA</v>
      </c>
      <c r="LK200" s="12"/>
      <c r="LL200" s="16"/>
      <c r="LM200" s="14"/>
      <c r="LN200" s="65"/>
      <c r="LO200" s="15" t="str">
        <f t="shared" si="752"/>
        <v>NO APLICA</v>
      </c>
      <c r="LP200" s="16"/>
      <c r="LQ200" s="16"/>
      <c r="LR200" s="14"/>
      <c r="LS200" s="65"/>
      <c r="LT200" s="15" t="str">
        <f t="shared" si="753"/>
        <v>NO APLICA</v>
      </c>
      <c r="LU200" s="16"/>
      <c r="LV200" s="16"/>
      <c r="LW200" s="14"/>
      <c r="LX200" s="65"/>
      <c r="LY200" s="15" t="str">
        <f t="shared" si="754"/>
        <v>NO APLICA</v>
      </c>
      <c r="LZ200" s="12"/>
      <c r="MA200" s="12"/>
      <c r="MB200" s="14"/>
      <c r="MC200" s="65"/>
      <c r="MD200" s="15" t="str">
        <f t="shared" si="738"/>
        <v>NO APLICA</v>
      </c>
      <c r="ME200" s="12"/>
      <c r="MF200" s="12"/>
      <c r="MG200" s="14"/>
      <c r="MH200" s="65"/>
      <c r="MI200" s="15" t="str">
        <f t="shared" si="739"/>
        <v>NO APLICA</v>
      </c>
      <c r="MJ200" s="12"/>
      <c r="MK200" s="14"/>
      <c r="ML200" s="65"/>
      <c r="MM200" s="15" t="str">
        <f t="shared" si="740"/>
        <v>NO APLICA</v>
      </c>
      <c r="MN200" s="12"/>
      <c r="MO200" s="14"/>
      <c r="MP200" s="12"/>
      <c r="MQ200" s="15" t="str">
        <f t="shared" si="741"/>
        <v>NO APLICA</v>
      </c>
      <c r="MR200" s="12"/>
      <c r="MS200" s="16"/>
      <c r="MT200" s="14"/>
      <c r="MU200" s="65"/>
      <c r="MV200" s="15" t="str">
        <f t="shared" si="742"/>
        <v>NO APLICA</v>
      </c>
      <c r="MW200" s="12"/>
      <c r="MX200" s="16"/>
      <c r="MY200" s="14"/>
      <c r="MZ200" s="65"/>
      <c r="NA200" s="15" t="str">
        <f t="shared" si="743"/>
        <v>NO APLICA</v>
      </c>
      <c r="NB200" s="12"/>
      <c r="NC200" s="16"/>
      <c r="ND200" s="14"/>
      <c r="NE200" s="65"/>
      <c r="NF200" s="15" t="str">
        <f t="shared" si="744"/>
        <v>NO APLICA</v>
      </c>
      <c r="NG200" s="12"/>
      <c r="NH200" s="12"/>
      <c r="NI200" s="14"/>
      <c r="NJ200" s="65"/>
      <c r="NK200" s="15" t="str">
        <f t="shared" si="745"/>
        <v>NO APLICA</v>
      </c>
      <c r="NL200" s="12"/>
      <c r="NM200" s="12"/>
      <c r="NN200" s="14"/>
      <c r="NO200" s="12"/>
      <c r="NP200" s="15" t="str">
        <f t="shared" si="746"/>
        <v>NO APLICA</v>
      </c>
      <c r="NQ200" s="16"/>
      <c r="NR200" s="16"/>
      <c r="NS200" s="14"/>
      <c r="NT200" s="65"/>
      <c r="NU200" s="15" t="str">
        <f t="shared" si="747"/>
        <v>NO APLICA</v>
      </c>
      <c r="NV200" s="16"/>
      <c r="NW200" s="16"/>
      <c r="NX200" s="16"/>
      <c r="NY200" s="16"/>
      <c r="NZ200" s="15" t="str">
        <f t="shared" si="748"/>
        <v>NO APLICA</v>
      </c>
    </row>
    <row r="201" spans="1:390" ht="15.6" thickTop="1" thickBot="1" x14ac:dyDescent="0.35">
      <c r="A201" s="11">
        <v>1231</v>
      </c>
      <c r="B201" s="10" t="s">
        <v>689</v>
      </c>
      <c r="C201" s="21" t="s">
        <v>104</v>
      </c>
      <c r="D201" s="64" t="s">
        <v>690</v>
      </c>
      <c r="E201" s="16"/>
      <c r="F201" s="16"/>
      <c r="G201" s="16"/>
      <c r="H201" s="16"/>
      <c r="I201" s="15" t="str">
        <f t="shared" si="688"/>
        <v>NO APLICA</v>
      </c>
      <c r="J201" s="16"/>
      <c r="K201" s="16"/>
      <c r="L201" s="16"/>
      <c r="M201" s="16"/>
      <c r="N201" s="15" t="str">
        <f t="shared" si="691"/>
        <v>NO APLICA</v>
      </c>
      <c r="O201" s="16"/>
      <c r="P201" s="16"/>
      <c r="Q201" s="16"/>
      <c r="R201" s="16"/>
      <c r="S201" s="15" t="str">
        <f t="shared" si="689"/>
        <v>NO APLICA</v>
      </c>
      <c r="T201" s="16" t="s">
        <v>691</v>
      </c>
      <c r="U201" s="14">
        <v>44883</v>
      </c>
      <c r="V201" s="14">
        <v>44884</v>
      </c>
      <c r="W201" s="14">
        <f>DATE(YEAR(V201)+5,MONTH(V201),DAY(V201))</f>
        <v>46710</v>
      </c>
      <c r="X201" s="65">
        <f ca="1">W201-TODAY()</f>
        <v>579</v>
      </c>
      <c r="Y201" s="15" t="str">
        <f ca="1">IF(X201&gt;=90,"VIGENTE",IF(X201&gt;=1,"POR VENCER",IF(X201&lt;=-1,"VENCIDA",IF(V201=0,"NO APLICA"))))</f>
        <v>VIGENTE</v>
      </c>
      <c r="Z201" s="16"/>
      <c r="AA201" s="16"/>
      <c r="AB201" s="16"/>
      <c r="AC201" s="16"/>
      <c r="AD201" s="16"/>
      <c r="AE201" s="15" t="str">
        <f t="shared" si="598"/>
        <v>NO APLICA</v>
      </c>
      <c r="AF201" s="14"/>
      <c r="AG201" s="14"/>
      <c r="AH201" s="14"/>
      <c r="AI201" s="16"/>
      <c r="AJ201" s="15" t="str">
        <f t="shared" si="592"/>
        <v>NO APLICA</v>
      </c>
      <c r="AK201" s="14"/>
      <c r="AL201" s="14"/>
      <c r="AM201" s="14"/>
      <c r="AN201" s="16"/>
      <c r="AO201" s="15" t="str">
        <f t="shared" si="692"/>
        <v>NO APLICA</v>
      </c>
      <c r="AP201" s="14"/>
      <c r="AQ201" s="14"/>
      <c r="AR201" s="14"/>
      <c r="AS201" s="16"/>
      <c r="AT201" s="15" t="str">
        <f t="shared" si="693"/>
        <v>NO APLICA</v>
      </c>
      <c r="AU201" s="14"/>
      <c r="AV201" s="14"/>
      <c r="AW201" s="14"/>
      <c r="AX201" s="16"/>
      <c r="AY201" s="15" t="str">
        <f t="shared" si="694"/>
        <v>NO APLICA</v>
      </c>
      <c r="AZ201" s="14"/>
      <c r="BA201" s="14"/>
      <c r="BB201" s="14"/>
      <c r="BC201" s="16"/>
      <c r="BD201" s="15" t="str">
        <f t="shared" si="695"/>
        <v>NO APLICA</v>
      </c>
      <c r="BE201" s="14"/>
      <c r="BF201" s="14"/>
      <c r="BG201" s="14"/>
      <c r="BH201" s="16"/>
      <c r="BI201" s="15" t="str">
        <f t="shared" si="696"/>
        <v>NO APLICA</v>
      </c>
      <c r="BJ201" s="14"/>
      <c r="BK201" s="14"/>
      <c r="BL201" s="14"/>
      <c r="BM201" s="16"/>
      <c r="BN201" s="15" t="str">
        <f t="shared" si="697"/>
        <v>NO APLICA</v>
      </c>
      <c r="BO201" s="14">
        <v>44885</v>
      </c>
      <c r="BP201" s="14"/>
      <c r="BQ201" s="14"/>
      <c r="BR201" s="16"/>
      <c r="BS201" s="15" t="str">
        <f t="shared" si="698"/>
        <v>NO APLICA</v>
      </c>
      <c r="BT201" s="14"/>
      <c r="BU201" s="14"/>
      <c r="BV201" s="14"/>
      <c r="BW201" s="16"/>
      <c r="BX201" s="15" t="str">
        <f t="shared" si="699"/>
        <v>NO APLICA</v>
      </c>
      <c r="BY201" s="14"/>
      <c r="BZ201" s="14"/>
      <c r="CA201" s="14"/>
      <c r="CB201" s="16"/>
      <c r="CC201" s="15" t="str">
        <f t="shared" si="700"/>
        <v>NO APLICA</v>
      </c>
      <c r="CD201" s="16"/>
      <c r="CE201" s="16"/>
      <c r="CF201" s="16"/>
      <c r="CG201" s="16"/>
      <c r="CH201" s="16"/>
      <c r="CI201" s="15" t="str">
        <f t="shared" si="562"/>
        <v>NO APLICA</v>
      </c>
      <c r="CJ201" s="14"/>
      <c r="CK201" s="14"/>
      <c r="CL201" s="14"/>
      <c r="CM201" s="16"/>
      <c r="CN201" s="15" t="str">
        <f t="shared" si="701"/>
        <v>NO APLICA</v>
      </c>
      <c r="CO201" s="14"/>
      <c r="CP201" s="14"/>
      <c r="CQ201" s="14"/>
      <c r="CR201" s="16"/>
      <c r="CS201" s="15" t="str">
        <f t="shared" si="702"/>
        <v>NO APLICA</v>
      </c>
      <c r="CT201" s="14"/>
      <c r="CU201" s="14"/>
      <c r="CV201" s="14"/>
      <c r="CW201" s="16"/>
      <c r="CX201" s="15" t="str">
        <f t="shared" si="703"/>
        <v>NO APLICA</v>
      </c>
      <c r="CY201" s="14"/>
      <c r="CZ201" s="14"/>
      <c r="DA201" s="14"/>
      <c r="DB201" s="16"/>
      <c r="DC201" s="15" t="str">
        <f t="shared" si="704"/>
        <v>NO APLICA</v>
      </c>
      <c r="DD201" s="14"/>
      <c r="DE201" s="14"/>
      <c r="DF201" s="14"/>
      <c r="DG201" s="16"/>
      <c r="DH201" s="15" t="str">
        <f t="shared" si="705"/>
        <v>NO APLICA</v>
      </c>
      <c r="DI201" s="14"/>
      <c r="DJ201" s="14"/>
      <c r="DK201" s="14"/>
      <c r="DL201" s="16"/>
      <c r="DM201" s="15" t="str">
        <f t="shared" si="706"/>
        <v>NO APLICA</v>
      </c>
      <c r="DN201" s="14"/>
      <c r="DO201" s="14"/>
      <c r="DP201" s="14"/>
      <c r="DQ201" s="16"/>
      <c r="DR201" s="15" t="str">
        <f t="shared" si="707"/>
        <v>NO APLICA</v>
      </c>
      <c r="DS201" s="14"/>
      <c r="DT201" s="14"/>
      <c r="DU201" s="14"/>
      <c r="DV201" s="16"/>
      <c r="DW201" s="15" t="str">
        <f t="shared" si="708"/>
        <v>NO APLICA</v>
      </c>
      <c r="DX201" s="14"/>
      <c r="DY201" s="14"/>
      <c r="DZ201" s="14"/>
      <c r="EA201" s="16"/>
      <c r="EB201" s="15" t="str">
        <f t="shared" si="709"/>
        <v>NO APLICA</v>
      </c>
      <c r="EC201" s="14"/>
      <c r="ED201" s="14"/>
      <c r="EE201" s="14"/>
      <c r="EF201" s="16"/>
      <c r="EG201" s="15" t="str">
        <f t="shared" si="710"/>
        <v>NO APLICA</v>
      </c>
      <c r="EH201" s="14"/>
      <c r="EI201" s="14"/>
      <c r="EJ201" s="14"/>
      <c r="EK201" s="14"/>
      <c r="EL201" s="14"/>
      <c r="EM201" s="65"/>
      <c r="EN201" s="15" t="str">
        <f t="shared" si="711"/>
        <v>NO APLICA</v>
      </c>
      <c r="EO201" s="14"/>
      <c r="EP201" s="14"/>
      <c r="EQ201" s="14"/>
      <c r="ER201" s="65"/>
      <c r="ES201" s="15" t="str">
        <f t="shared" si="712"/>
        <v>NO APLICA</v>
      </c>
      <c r="ET201" s="14"/>
      <c r="EU201" s="14"/>
      <c r="EV201" s="14"/>
      <c r="EW201" s="65"/>
      <c r="EX201" s="15" t="str">
        <f t="shared" si="713"/>
        <v>NO APLICA</v>
      </c>
      <c r="EY201" s="14"/>
      <c r="EZ201" s="14"/>
      <c r="FA201" s="14"/>
      <c r="FB201" s="16"/>
      <c r="FC201" s="15" t="str">
        <f t="shared" si="714"/>
        <v>NO APLICA</v>
      </c>
      <c r="FD201" s="14"/>
      <c r="FE201" s="14"/>
      <c r="FF201" s="14"/>
      <c r="FG201" s="16"/>
      <c r="FH201" s="15" t="str">
        <f t="shared" si="715"/>
        <v>NO APLICA</v>
      </c>
      <c r="FI201" s="14"/>
      <c r="FJ201" s="14"/>
      <c r="FK201" s="14"/>
      <c r="FL201" s="16"/>
      <c r="FM201" s="15" t="str">
        <f t="shared" si="716"/>
        <v>NO APLICA</v>
      </c>
      <c r="FN201" s="14">
        <v>44870</v>
      </c>
      <c r="FO201" s="14"/>
      <c r="FP201" s="14"/>
      <c r="FQ201" s="16"/>
      <c r="FR201" s="15" t="str">
        <f t="shared" si="717"/>
        <v>NO APLICA</v>
      </c>
      <c r="FS201" s="14"/>
      <c r="FT201" s="14"/>
      <c r="FU201" s="14"/>
      <c r="FV201" s="16"/>
      <c r="FW201" s="15" t="str">
        <f t="shared" si="718"/>
        <v>NO APLICA</v>
      </c>
      <c r="FX201" s="14"/>
      <c r="FY201" s="14"/>
      <c r="FZ201" s="14"/>
      <c r="GA201" s="16"/>
      <c r="GB201" s="15" t="str">
        <f t="shared" si="719"/>
        <v>NO APLICA</v>
      </c>
      <c r="GC201" s="14"/>
      <c r="GD201" s="14"/>
      <c r="GE201" s="14"/>
      <c r="GF201" s="16"/>
      <c r="GG201" s="15" t="str">
        <f t="shared" si="720"/>
        <v>NO APLICA</v>
      </c>
      <c r="GH201" s="14"/>
      <c r="GI201" s="14"/>
      <c r="GJ201" s="14"/>
      <c r="GK201" s="65"/>
      <c r="GL201" s="15" t="str">
        <f t="shared" si="721"/>
        <v>NO APLICA</v>
      </c>
      <c r="GM201" s="14"/>
      <c r="GN201" s="16"/>
      <c r="GO201" s="16"/>
      <c r="GP201" s="16"/>
      <c r="GQ201" s="15" t="str">
        <f t="shared" si="722"/>
        <v>NO APLICA</v>
      </c>
      <c r="GR201" s="14"/>
      <c r="GS201" s="16"/>
      <c r="GT201" s="16"/>
      <c r="GU201" s="16"/>
      <c r="GV201" s="15" t="str">
        <f t="shared" si="601"/>
        <v>NO APLICA</v>
      </c>
      <c r="GW201" s="14"/>
      <c r="GX201" s="16"/>
      <c r="GY201" s="16"/>
      <c r="GZ201" s="16"/>
      <c r="HA201" s="15" t="str">
        <f t="shared" si="602"/>
        <v>NO APLICA</v>
      </c>
      <c r="HB201" s="16"/>
      <c r="HC201" s="16"/>
      <c r="HD201" s="16"/>
      <c r="HE201" s="16"/>
      <c r="HF201" s="15" t="str">
        <f t="shared" si="603"/>
        <v>NO APLICA</v>
      </c>
      <c r="HG201" s="16"/>
      <c r="HH201" s="16"/>
      <c r="HI201" s="14"/>
      <c r="HJ201" s="65"/>
      <c r="HK201" s="15" t="str">
        <f t="shared" si="690"/>
        <v>NO APLICA</v>
      </c>
      <c r="HL201" s="16"/>
      <c r="HM201" s="16"/>
      <c r="HN201" s="16"/>
      <c r="HO201" s="16"/>
      <c r="HP201" s="15" t="str">
        <f t="shared" si="686"/>
        <v>NO APLICA</v>
      </c>
      <c r="HQ201" s="16"/>
      <c r="HR201" s="16"/>
      <c r="HS201" s="16"/>
      <c r="HT201" s="16"/>
      <c r="HU201" s="15" t="str">
        <f t="shared" si="723"/>
        <v>NO APLICA</v>
      </c>
      <c r="HV201" s="16"/>
      <c r="HW201" s="16"/>
      <c r="HX201" s="16"/>
      <c r="HY201" s="16"/>
      <c r="HZ201" s="15" t="str">
        <f t="shared" si="724"/>
        <v>NO APLICA</v>
      </c>
      <c r="IA201" s="16"/>
      <c r="IB201" s="16"/>
      <c r="IC201" s="16"/>
      <c r="ID201" s="16"/>
      <c r="IE201" s="15" t="str">
        <f t="shared" si="725"/>
        <v>NO APLICA</v>
      </c>
      <c r="IF201" s="16"/>
      <c r="IG201" s="16"/>
      <c r="IH201" s="16"/>
      <c r="II201" s="16"/>
      <c r="IJ201" s="15" t="str">
        <f t="shared" si="726"/>
        <v>NO APLICA</v>
      </c>
      <c r="IK201" s="16"/>
      <c r="IL201" s="16"/>
      <c r="IM201" s="16"/>
      <c r="IN201" s="16"/>
      <c r="IO201" s="15" t="str">
        <f t="shared" si="727"/>
        <v>NO APLICA</v>
      </c>
      <c r="IP201" s="16"/>
      <c r="IQ201" s="16"/>
      <c r="IR201" s="16"/>
      <c r="IS201" s="16"/>
      <c r="IT201" s="15" t="str">
        <f t="shared" si="728"/>
        <v>NO APLICA</v>
      </c>
      <c r="IU201" s="16"/>
      <c r="IV201" s="16"/>
      <c r="IW201" s="16"/>
      <c r="IX201" s="16"/>
      <c r="IY201" s="15" t="str">
        <f t="shared" si="729"/>
        <v>NO APLICA</v>
      </c>
      <c r="IZ201" s="16"/>
      <c r="JA201" s="16"/>
      <c r="JB201" s="16"/>
      <c r="JC201" s="16"/>
      <c r="JD201" s="15" t="str">
        <f t="shared" si="730"/>
        <v>NO APLICA</v>
      </c>
      <c r="JE201" s="16"/>
      <c r="JF201" s="16"/>
      <c r="JG201" s="16"/>
      <c r="JH201" s="16"/>
      <c r="JI201" s="15" t="str">
        <f t="shared" si="731"/>
        <v>NO APLICA</v>
      </c>
      <c r="JJ201" s="16"/>
      <c r="JK201" s="16"/>
      <c r="JL201" s="16"/>
      <c r="JM201" s="15" t="str">
        <f t="shared" si="732"/>
        <v>NO APLICA</v>
      </c>
      <c r="JN201" s="16"/>
      <c r="JO201" s="16"/>
      <c r="JP201" s="16"/>
      <c r="JQ201" s="15" t="str">
        <f t="shared" si="733"/>
        <v>NO APLICA</v>
      </c>
      <c r="JR201" s="16"/>
      <c r="JS201" s="16"/>
      <c r="JT201" s="16"/>
      <c r="JU201" s="16"/>
      <c r="JV201" s="15" t="str">
        <f t="shared" si="734"/>
        <v>NO APLICA</v>
      </c>
      <c r="JW201" s="15"/>
      <c r="JX201" s="15"/>
      <c r="JY201" s="15"/>
      <c r="JZ201" s="15"/>
      <c r="KA201" s="15" t="str">
        <f t="shared" si="735"/>
        <v>NO APLICA</v>
      </c>
      <c r="KB201" s="16"/>
      <c r="KC201" s="16"/>
      <c r="KD201" s="16"/>
      <c r="KE201" s="15" t="str">
        <f t="shared" si="736"/>
        <v>NO APLICA</v>
      </c>
      <c r="KF201" s="16"/>
      <c r="KG201" s="16"/>
      <c r="KH201" s="16"/>
      <c r="KI201" s="15" t="str">
        <f t="shared" si="749"/>
        <v>NO APLICA</v>
      </c>
      <c r="KJ201" s="16"/>
      <c r="KK201" s="16"/>
      <c r="KL201" s="16"/>
      <c r="KM201" s="15" t="str">
        <f t="shared" si="737"/>
        <v>NO APLICA</v>
      </c>
      <c r="KN201" s="16"/>
      <c r="KO201" s="16"/>
      <c r="KP201" s="16"/>
      <c r="KQ201" s="15" t="str">
        <f t="shared" si="750"/>
        <v>NO APLICA</v>
      </c>
      <c r="KR201" s="16"/>
      <c r="KS201" s="16"/>
      <c r="KT201" s="16"/>
      <c r="KU201" s="16"/>
      <c r="KV201" s="15" t="str">
        <f t="shared" si="755"/>
        <v>NO APLICA</v>
      </c>
      <c r="KW201" s="16"/>
      <c r="KX201" s="16"/>
      <c r="KY201" s="16"/>
      <c r="KZ201" s="15" t="str">
        <f t="shared" si="751"/>
        <v>NO APLICA</v>
      </c>
      <c r="LA201" s="16"/>
      <c r="LB201" s="16"/>
      <c r="LC201" s="16"/>
      <c r="LD201" s="16"/>
      <c r="LE201" s="15" t="str">
        <f t="shared" si="590"/>
        <v>NO APLICA</v>
      </c>
      <c r="LF201" s="15"/>
      <c r="LG201" s="15"/>
      <c r="LH201" s="14"/>
      <c r="LI201" s="65"/>
      <c r="LJ201" s="15" t="str">
        <f t="shared" si="756"/>
        <v>NO APLICA</v>
      </c>
      <c r="LK201" s="16"/>
      <c r="LL201" s="16"/>
      <c r="LM201" s="16"/>
      <c r="LN201" s="16"/>
      <c r="LO201" s="15" t="str">
        <f t="shared" si="752"/>
        <v>NO APLICA</v>
      </c>
      <c r="LP201" s="16"/>
      <c r="LQ201" s="16"/>
      <c r="LR201" s="16"/>
      <c r="LS201" s="16"/>
      <c r="LT201" s="15" t="str">
        <f t="shared" si="753"/>
        <v>NO APLICA</v>
      </c>
      <c r="LU201" s="16"/>
      <c r="LV201" s="16"/>
      <c r="LW201" s="16"/>
      <c r="LX201" s="16"/>
      <c r="LY201" s="15" t="str">
        <f t="shared" si="754"/>
        <v>NO APLICA</v>
      </c>
      <c r="LZ201" s="16"/>
      <c r="MA201" s="16"/>
      <c r="MB201" s="16"/>
      <c r="MC201" s="16"/>
      <c r="MD201" s="15" t="str">
        <f t="shared" si="738"/>
        <v>NO APLICA</v>
      </c>
      <c r="ME201" s="16"/>
      <c r="MF201" s="16"/>
      <c r="MG201" s="16"/>
      <c r="MH201" s="16"/>
      <c r="MI201" s="15" t="str">
        <f t="shared" si="739"/>
        <v>NO APLICA</v>
      </c>
      <c r="MJ201" s="16"/>
      <c r="MK201" s="16"/>
      <c r="ML201" s="16"/>
      <c r="MM201" s="15" t="str">
        <f t="shared" si="740"/>
        <v>NO APLICA</v>
      </c>
      <c r="MN201" s="16"/>
      <c r="MO201" s="16"/>
      <c r="MP201" s="16"/>
      <c r="MQ201" s="15" t="str">
        <f t="shared" si="741"/>
        <v>NO APLICA</v>
      </c>
      <c r="MR201" s="16"/>
      <c r="MS201" s="16"/>
      <c r="MT201" s="16"/>
      <c r="MU201" s="16"/>
      <c r="MV201" s="15" t="str">
        <f t="shared" si="742"/>
        <v>NO APLICA</v>
      </c>
      <c r="MW201" s="16"/>
      <c r="MX201" s="16"/>
      <c r="MY201" s="16"/>
      <c r="MZ201" s="16"/>
      <c r="NA201" s="15" t="str">
        <f t="shared" si="743"/>
        <v>NO APLICA</v>
      </c>
      <c r="NB201" s="16"/>
      <c r="NC201" s="16"/>
      <c r="ND201" s="16"/>
      <c r="NE201" s="16"/>
      <c r="NF201" s="15" t="str">
        <f t="shared" si="744"/>
        <v>NO APLICA</v>
      </c>
      <c r="NG201" s="16"/>
      <c r="NH201" s="16"/>
      <c r="NI201" s="16"/>
      <c r="NJ201" s="16"/>
      <c r="NK201" s="15" t="str">
        <f t="shared" si="745"/>
        <v>NO APLICA</v>
      </c>
      <c r="NL201" s="16"/>
      <c r="NM201" s="16"/>
      <c r="NN201" s="16"/>
      <c r="NO201" s="16"/>
      <c r="NP201" s="15" t="str">
        <f t="shared" si="746"/>
        <v>NO APLICA</v>
      </c>
      <c r="NQ201" s="16"/>
      <c r="NR201" s="16"/>
      <c r="NS201" s="16"/>
      <c r="NT201" s="16"/>
      <c r="NU201" s="15" t="str">
        <f t="shared" si="747"/>
        <v>NO APLICA</v>
      </c>
      <c r="NV201" s="16"/>
      <c r="NW201" s="16"/>
      <c r="NX201" s="16"/>
      <c r="NY201" s="16"/>
      <c r="NZ201" s="15" t="str">
        <f t="shared" si="748"/>
        <v>NO APLICA</v>
      </c>
    </row>
    <row r="202" spans="1:390" ht="15.6" thickTop="1" thickBot="1" x14ac:dyDescent="0.35">
      <c r="A202" s="11">
        <v>1215</v>
      </c>
      <c r="B202" s="10" t="s">
        <v>692</v>
      </c>
      <c r="C202" s="21" t="s">
        <v>693</v>
      </c>
      <c r="D202" s="64" t="s">
        <v>694</v>
      </c>
      <c r="E202" s="13"/>
      <c r="F202" s="14"/>
      <c r="G202" s="14"/>
      <c r="H202" s="65"/>
      <c r="I202" s="15" t="str">
        <f t="shared" si="688"/>
        <v>NO APLICA</v>
      </c>
      <c r="J202" s="12"/>
      <c r="K202" s="12"/>
      <c r="L202" s="12"/>
      <c r="M202" s="12"/>
      <c r="N202" s="15" t="str">
        <f t="shared" si="691"/>
        <v>NO APLICA</v>
      </c>
      <c r="O202" s="16"/>
      <c r="P202" s="16"/>
      <c r="Q202" s="14"/>
      <c r="R202" s="65"/>
      <c r="S202" s="15" t="str">
        <f t="shared" si="689"/>
        <v>NO APLICA</v>
      </c>
      <c r="T202" s="12"/>
      <c r="U202" s="13"/>
      <c r="V202" s="14"/>
      <c r="W202" s="14"/>
      <c r="X202" s="65"/>
      <c r="Y202" s="15" t="str">
        <f t="shared" si="595"/>
        <v>NO APLICA</v>
      </c>
      <c r="Z202" s="12"/>
      <c r="AA202" s="12"/>
      <c r="AB202" s="16"/>
      <c r="AC202" s="14"/>
      <c r="AD202" s="65"/>
      <c r="AE202" s="15" t="str">
        <f t="shared" si="598"/>
        <v>NO APLICA</v>
      </c>
      <c r="AF202" s="12"/>
      <c r="AG202" s="14"/>
      <c r="AH202" s="14"/>
      <c r="AI202" s="65"/>
      <c r="AJ202" s="15" t="str">
        <f t="shared" si="592"/>
        <v>NO APLICA</v>
      </c>
      <c r="AK202" s="12"/>
      <c r="AL202" s="14"/>
      <c r="AM202" s="14"/>
      <c r="AN202" s="65"/>
      <c r="AO202" s="15" t="str">
        <f t="shared" si="692"/>
        <v>NO APLICA</v>
      </c>
      <c r="AP202" s="12"/>
      <c r="AQ202" s="14"/>
      <c r="AR202" s="14"/>
      <c r="AS202" s="65"/>
      <c r="AT202" s="15" t="str">
        <f t="shared" si="693"/>
        <v>NO APLICA</v>
      </c>
      <c r="AU202" s="12"/>
      <c r="AV202" s="14"/>
      <c r="AW202" s="14"/>
      <c r="AX202" s="65"/>
      <c r="AY202" s="15" t="str">
        <f t="shared" si="694"/>
        <v>NO APLICA</v>
      </c>
      <c r="AZ202" s="13"/>
      <c r="BA202" s="14"/>
      <c r="BB202" s="14"/>
      <c r="BC202" s="65"/>
      <c r="BD202" s="15" t="str">
        <f t="shared" si="695"/>
        <v>NO APLICA</v>
      </c>
      <c r="BE202" s="12"/>
      <c r="BF202" s="14"/>
      <c r="BG202" s="14"/>
      <c r="BH202" s="65"/>
      <c r="BI202" s="15" t="str">
        <f t="shared" si="696"/>
        <v>NO APLICA</v>
      </c>
      <c r="BJ202" s="13"/>
      <c r="BK202" s="14"/>
      <c r="BL202" s="14"/>
      <c r="BM202" s="65"/>
      <c r="BN202" s="15" t="str">
        <f t="shared" si="697"/>
        <v>NO APLICA</v>
      </c>
      <c r="BO202" s="13"/>
      <c r="BP202" s="14"/>
      <c r="BQ202" s="14"/>
      <c r="BR202" s="65"/>
      <c r="BS202" s="15" t="str">
        <f t="shared" si="698"/>
        <v>NO APLICA</v>
      </c>
      <c r="BT202" s="12"/>
      <c r="BU202" s="14"/>
      <c r="BV202" s="14"/>
      <c r="BW202" s="65"/>
      <c r="BX202" s="15" t="str">
        <f t="shared" si="699"/>
        <v>NO APLICA</v>
      </c>
      <c r="BY202" s="12"/>
      <c r="BZ202" s="14"/>
      <c r="CA202" s="14"/>
      <c r="CB202" s="65"/>
      <c r="CC202" s="15" t="str">
        <f t="shared" si="700"/>
        <v>NO APLICA</v>
      </c>
      <c r="CD202" s="16"/>
      <c r="CE202" s="14"/>
      <c r="CF202" s="14"/>
      <c r="CG202" s="14"/>
      <c r="CH202" s="65"/>
      <c r="CI202" s="15" t="str">
        <f t="shared" si="562"/>
        <v>NO APLICA</v>
      </c>
      <c r="CJ202" s="16"/>
      <c r="CK202" s="14"/>
      <c r="CL202" s="14"/>
      <c r="CM202" s="65"/>
      <c r="CN202" s="15" t="str">
        <f t="shared" si="701"/>
        <v>NO APLICA</v>
      </c>
      <c r="CO202" s="12"/>
      <c r="CP202" s="14"/>
      <c r="CQ202" s="14"/>
      <c r="CR202" s="65"/>
      <c r="CS202" s="15" t="str">
        <f t="shared" si="702"/>
        <v>NO APLICA</v>
      </c>
      <c r="CT202" s="12"/>
      <c r="CU202" s="14"/>
      <c r="CV202" s="14"/>
      <c r="CW202" s="65"/>
      <c r="CX202" s="15" t="str">
        <f t="shared" si="703"/>
        <v>NO APLICA</v>
      </c>
      <c r="CY202" s="13"/>
      <c r="CZ202" s="14"/>
      <c r="DA202" s="14"/>
      <c r="DB202" s="65"/>
      <c r="DC202" s="15" t="str">
        <f t="shared" si="704"/>
        <v>NO APLICA</v>
      </c>
      <c r="DD202" s="13"/>
      <c r="DE202" s="14"/>
      <c r="DF202" s="14"/>
      <c r="DG202" s="65"/>
      <c r="DH202" s="15" t="str">
        <f t="shared" si="705"/>
        <v>NO APLICA</v>
      </c>
      <c r="DI202" s="12"/>
      <c r="DJ202" s="14"/>
      <c r="DK202" s="14"/>
      <c r="DL202" s="65"/>
      <c r="DM202" s="15" t="str">
        <f t="shared" si="706"/>
        <v>NO APLICA</v>
      </c>
      <c r="DN202" s="13"/>
      <c r="DO202" s="14"/>
      <c r="DP202" s="14"/>
      <c r="DQ202" s="65"/>
      <c r="DR202" s="15" t="str">
        <f t="shared" si="707"/>
        <v>NO APLICA</v>
      </c>
      <c r="DS202" s="12"/>
      <c r="DT202" s="14"/>
      <c r="DU202" s="14"/>
      <c r="DV202" s="65"/>
      <c r="DW202" s="15" t="str">
        <f t="shared" si="708"/>
        <v>NO APLICA</v>
      </c>
      <c r="DX202" s="13"/>
      <c r="DY202" s="14"/>
      <c r="DZ202" s="14"/>
      <c r="EA202" s="65"/>
      <c r="EB202" s="15" t="str">
        <f t="shared" si="709"/>
        <v>NO APLICA</v>
      </c>
      <c r="EC202" s="13"/>
      <c r="ED202" s="14"/>
      <c r="EE202" s="14"/>
      <c r="EF202" s="65"/>
      <c r="EG202" s="15" t="str">
        <f t="shared" si="710"/>
        <v>NO APLICA</v>
      </c>
      <c r="EH202" s="13"/>
      <c r="EI202" s="12"/>
      <c r="EJ202" s="12"/>
      <c r="EK202" s="14"/>
      <c r="EL202" s="14"/>
      <c r="EM202" s="65"/>
      <c r="EN202" s="15" t="str">
        <f t="shared" si="711"/>
        <v>NO APLICA</v>
      </c>
      <c r="EO202" s="13"/>
      <c r="EP202" s="14"/>
      <c r="EQ202" s="14"/>
      <c r="ER202" s="65"/>
      <c r="ES202" s="15" t="str">
        <f t="shared" si="712"/>
        <v>NO APLICA</v>
      </c>
      <c r="ET202" s="12"/>
      <c r="EU202" s="14"/>
      <c r="EV202" s="14"/>
      <c r="EW202" s="65"/>
      <c r="EX202" s="15" t="str">
        <f t="shared" si="713"/>
        <v>NO APLICA</v>
      </c>
      <c r="EY202" s="12"/>
      <c r="EZ202" s="14"/>
      <c r="FA202" s="14"/>
      <c r="FB202" s="65"/>
      <c r="FC202" s="15" t="str">
        <f t="shared" si="714"/>
        <v>NO APLICA</v>
      </c>
      <c r="FD202" s="12"/>
      <c r="FE202" s="14"/>
      <c r="FF202" s="14"/>
      <c r="FG202" s="65"/>
      <c r="FH202" s="15" t="str">
        <f t="shared" si="715"/>
        <v>NO APLICA</v>
      </c>
      <c r="FI202" s="12"/>
      <c r="FJ202" s="14"/>
      <c r="FK202" s="14"/>
      <c r="FL202" s="65"/>
      <c r="FM202" s="15" t="str">
        <f t="shared" si="716"/>
        <v>NO APLICA</v>
      </c>
      <c r="FN202" s="13"/>
      <c r="FO202" s="14"/>
      <c r="FP202" s="14"/>
      <c r="FQ202" s="65"/>
      <c r="FR202" s="15" t="str">
        <f t="shared" si="717"/>
        <v>NO APLICA</v>
      </c>
      <c r="FS202" s="13"/>
      <c r="FT202" s="14"/>
      <c r="FU202" s="14"/>
      <c r="FV202" s="65"/>
      <c r="FW202" s="15" t="str">
        <f t="shared" si="718"/>
        <v>NO APLICA</v>
      </c>
      <c r="FX202" s="13"/>
      <c r="FY202" s="14"/>
      <c r="FZ202" s="14"/>
      <c r="GA202" s="65"/>
      <c r="GB202" s="15" t="str">
        <f t="shared" si="719"/>
        <v>NO APLICA</v>
      </c>
      <c r="GC202" s="13"/>
      <c r="GD202" s="14"/>
      <c r="GE202" s="14"/>
      <c r="GF202" s="65"/>
      <c r="GG202" s="15" t="str">
        <f t="shared" si="720"/>
        <v>NO APLICA</v>
      </c>
      <c r="GH202" s="13"/>
      <c r="GI202" s="14"/>
      <c r="GJ202" s="14"/>
      <c r="GK202" s="65"/>
      <c r="GL202" s="15" t="str">
        <f t="shared" si="721"/>
        <v>NO APLICA</v>
      </c>
      <c r="GM202" s="13"/>
      <c r="GN202" s="14"/>
      <c r="GO202" s="14"/>
      <c r="GP202" s="65"/>
      <c r="GQ202" s="15" t="str">
        <f t="shared" si="722"/>
        <v>NO APLICA</v>
      </c>
      <c r="GR202" s="14"/>
      <c r="GS202" s="14"/>
      <c r="GT202" s="14"/>
      <c r="GU202" s="65"/>
      <c r="GV202" s="15" t="str">
        <f t="shared" si="601"/>
        <v>NO APLICA</v>
      </c>
      <c r="GW202" s="13"/>
      <c r="GX202" s="14"/>
      <c r="GY202" s="14"/>
      <c r="GZ202" s="65"/>
      <c r="HA202" s="15" t="str">
        <f t="shared" si="602"/>
        <v>NO APLICA</v>
      </c>
      <c r="HB202" s="12"/>
      <c r="HC202" s="14"/>
      <c r="HD202" s="14"/>
      <c r="HE202" s="65"/>
      <c r="HF202" s="15" t="str">
        <f t="shared" si="603"/>
        <v>NO APLICA</v>
      </c>
      <c r="HG202" s="16"/>
      <c r="HH202" s="16"/>
      <c r="HI202" s="14"/>
      <c r="HJ202" s="65"/>
      <c r="HK202" s="15" t="str">
        <f t="shared" si="690"/>
        <v>NO APLICA</v>
      </c>
      <c r="HL202" s="12"/>
      <c r="HM202" s="16"/>
      <c r="HN202" s="14"/>
      <c r="HO202" s="65"/>
      <c r="HP202" s="15" t="str">
        <f t="shared" si="686"/>
        <v>NO APLICA</v>
      </c>
      <c r="HQ202" s="12"/>
      <c r="HR202" s="12"/>
      <c r="HS202" s="14"/>
      <c r="HT202" s="12"/>
      <c r="HU202" s="15" t="str">
        <f t="shared" si="723"/>
        <v>NO APLICA</v>
      </c>
      <c r="HV202" s="12"/>
      <c r="HW202" s="16"/>
      <c r="HX202" s="14"/>
      <c r="HY202" s="65"/>
      <c r="HZ202" s="15" t="str">
        <f t="shared" si="724"/>
        <v>NO APLICA</v>
      </c>
      <c r="IA202" s="12"/>
      <c r="IB202" s="16"/>
      <c r="IC202" s="14"/>
      <c r="ID202" s="65"/>
      <c r="IE202" s="15" t="str">
        <f t="shared" si="725"/>
        <v>NO APLICA</v>
      </c>
      <c r="IF202" s="12"/>
      <c r="IG202" s="16"/>
      <c r="IH202" s="14"/>
      <c r="II202" s="65"/>
      <c r="IJ202" s="15" t="str">
        <f t="shared" si="726"/>
        <v>NO APLICA</v>
      </c>
      <c r="IK202" s="16"/>
      <c r="IL202" s="16"/>
      <c r="IM202" s="14"/>
      <c r="IN202" s="65"/>
      <c r="IO202" s="15" t="str">
        <f t="shared" si="727"/>
        <v>NO APLICA</v>
      </c>
      <c r="IP202" s="12"/>
      <c r="IQ202" s="16"/>
      <c r="IR202" s="14"/>
      <c r="IS202" s="65"/>
      <c r="IT202" s="15" t="str">
        <f t="shared" si="728"/>
        <v>NO APLICA</v>
      </c>
      <c r="IU202" s="12"/>
      <c r="IV202" s="16"/>
      <c r="IW202" s="14"/>
      <c r="IX202" s="65"/>
      <c r="IY202" s="15" t="str">
        <f t="shared" si="729"/>
        <v>NO APLICA</v>
      </c>
      <c r="IZ202" s="12"/>
      <c r="JA202" s="16"/>
      <c r="JB202" s="14"/>
      <c r="JC202" s="65"/>
      <c r="JD202" s="15" t="str">
        <f t="shared" si="730"/>
        <v>NO APLICA</v>
      </c>
      <c r="JE202" s="13"/>
      <c r="JF202" s="13"/>
      <c r="JG202" s="14"/>
      <c r="JH202" s="65"/>
      <c r="JI202" s="15" t="str">
        <f t="shared" si="731"/>
        <v>NO APLICA</v>
      </c>
      <c r="JJ202" s="16"/>
      <c r="JK202" s="16"/>
      <c r="JL202" s="16"/>
      <c r="JM202" s="15" t="str">
        <f t="shared" si="732"/>
        <v>NO APLICA</v>
      </c>
      <c r="JN202" s="16"/>
      <c r="JO202" s="16"/>
      <c r="JP202" s="16"/>
      <c r="JQ202" s="15" t="str">
        <f t="shared" si="733"/>
        <v>NO APLICA</v>
      </c>
      <c r="JR202" s="16"/>
      <c r="JS202" s="16"/>
      <c r="JT202" s="16"/>
      <c r="JU202" s="16"/>
      <c r="JV202" s="15" t="str">
        <f t="shared" si="734"/>
        <v>NO APLICA</v>
      </c>
      <c r="JW202" s="15"/>
      <c r="JX202" s="15"/>
      <c r="JY202" s="15"/>
      <c r="JZ202" s="15"/>
      <c r="KA202" s="15" t="str">
        <f t="shared" si="735"/>
        <v>NO APLICA</v>
      </c>
      <c r="KB202" s="12"/>
      <c r="KC202" s="14"/>
      <c r="KD202" s="65"/>
      <c r="KE202" s="15" t="str">
        <f t="shared" si="736"/>
        <v>NO APLICA</v>
      </c>
      <c r="KF202" s="12"/>
      <c r="KG202" s="14"/>
      <c r="KH202" s="65"/>
      <c r="KI202" s="15" t="str">
        <f t="shared" si="749"/>
        <v>NO APLICA</v>
      </c>
      <c r="KJ202" s="12"/>
      <c r="KK202" s="14"/>
      <c r="KL202" s="65"/>
      <c r="KM202" s="15" t="str">
        <f t="shared" si="737"/>
        <v>NO APLICA</v>
      </c>
      <c r="KN202" s="12"/>
      <c r="KO202" s="14"/>
      <c r="KP202" s="65"/>
      <c r="KQ202" s="15" t="str">
        <f t="shared" si="750"/>
        <v>NO APLICA</v>
      </c>
      <c r="KR202" s="12"/>
      <c r="KS202" s="16"/>
      <c r="KT202" s="14"/>
      <c r="KU202" s="65"/>
      <c r="KV202" s="15" t="str">
        <f t="shared" si="755"/>
        <v>NO APLICA</v>
      </c>
      <c r="KW202" s="16"/>
      <c r="KX202" s="14"/>
      <c r="KY202" s="65"/>
      <c r="KZ202" s="15" t="str">
        <f t="shared" si="751"/>
        <v>NO APLICA</v>
      </c>
      <c r="LA202" s="16"/>
      <c r="LB202" s="16"/>
      <c r="LC202" s="14"/>
      <c r="LD202" s="65"/>
      <c r="LE202" s="15" t="str">
        <f t="shared" si="590"/>
        <v>NO APLICA</v>
      </c>
      <c r="LF202" s="15"/>
      <c r="LG202" s="15"/>
      <c r="LH202" s="14"/>
      <c r="LI202" s="65"/>
      <c r="LJ202" s="15" t="str">
        <f t="shared" si="756"/>
        <v>NO APLICA</v>
      </c>
      <c r="LK202" s="12"/>
      <c r="LL202" s="16"/>
      <c r="LM202" s="14"/>
      <c r="LN202" s="65"/>
      <c r="LO202" s="15" t="str">
        <f t="shared" si="752"/>
        <v>NO APLICA</v>
      </c>
      <c r="LP202" s="16"/>
      <c r="LQ202" s="16"/>
      <c r="LR202" s="14"/>
      <c r="LS202" s="65"/>
      <c r="LT202" s="15" t="str">
        <f t="shared" si="753"/>
        <v>NO APLICA</v>
      </c>
      <c r="LU202" s="16"/>
      <c r="LV202" s="16"/>
      <c r="LW202" s="14"/>
      <c r="LX202" s="65"/>
      <c r="LY202" s="15" t="str">
        <f t="shared" si="754"/>
        <v>NO APLICA</v>
      </c>
      <c r="LZ202" s="12"/>
      <c r="MA202" s="12"/>
      <c r="MB202" s="14"/>
      <c r="MC202" s="65"/>
      <c r="MD202" s="15" t="str">
        <f t="shared" si="738"/>
        <v>NO APLICA</v>
      </c>
      <c r="ME202" s="12"/>
      <c r="MF202" s="12"/>
      <c r="MG202" s="14"/>
      <c r="MH202" s="65"/>
      <c r="MI202" s="15" t="str">
        <f t="shared" si="739"/>
        <v>NO APLICA</v>
      </c>
      <c r="MJ202" s="12"/>
      <c r="MK202" s="14"/>
      <c r="ML202" s="65"/>
      <c r="MM202" s="15" t="str">
        <f t="shared" si="740"/>
        <v>NO APLICA</v>
      </c>
      <c r="MN202" s="12"/>
      <c r="MO202" s="14"/>
      <c r="MP202" s="12"/>
      <c r="MQ202" s="15" t="str">
        <f t="shared" si="741"/>
        <v>NO APLICA</v>
      </c>
      <c r="MR202" s="12"/>
      <c r="MS202" s="16"/>
      <c r="MT202" s="14"/>
      <c r="MU202" s="65"/>
      <c r="MV202" s="15" t="str">
        <f t="shared" si="742"/>
        <v>NO APLICA</v>
      </c>
      <c r="MW202" s="12"/>
      <c r="MX202" s="16"/>
      <c r="MY202" s="14"/>
      <c r="MZ202" s="65"/>
      <c r="NA202" s="15" t="str">
        <f t="shared" si="743"/>
        <v>NO APLICA</v>
      </c>
      <c r="NB202" s="12"/>
      <c r="NC202" s="16"/>
      <c r="ND202" s="14"/>
      <c r="NE202" s="65"/>
      <c r="NF202" s="15" t="str">
        <f t="shared" si="744"/>
        <v>NO APLICA</v>
      </c>
      <c r="NG202" s="12"/>
      <c r="NH202" s="12"/>
      <c r="NI202" s="14"/>
      <c r="NJ202" s="65"/>
      <c r="NK202" s="15" t="str">
        <f t="shared" si="745"/>
        <v>NO APLICA</v>
      </c>
      <c r="NL202" s="12"/>
      <c r="NM202" s="12"/>
      <c r="NN202" s="14"/>
      <c r="NO202" s="12"/>
      <c r="NP202" s="15" t="str">
        <f t="shared" si="746"/>
        <v>NO APLICA</v>
      </c>
      <c r="NQ202" s="16"/>
      <c r="NR202" s="16"/>
      <c r="NS202" s="14"/>
      <c r="NT202" s="65"/>
      <c r="NU202" s="15" t="str">
        <f t="shared" si="747"/>
        <v>NO APLICA</v>
      </c>
      <c r="NV202" s="16"/>
      <c r="NW202" s="16"/>
      <c r="NX202" s="16"/>
      <c r="NY202" s="16"/>
      <c r="NZ202" s="15" t="str">
        <f t="shared" si="748"/>
        <v>NO APLICA</v>
      </c>
    </row>
    <row r="203" spans="1:390" ht="15.6" thickTop="1" thickBot="1" x14ac:dyDescent="0.35">
      <c r="A203" s="11">
        <v>13</v>
      </c>
      <c r="B203" s="10" t="s">
        <v>695</v>
      </c>
      <c r="C203" s="21" t="s">
        <v>696</v>
      </c>
      <c r="D203" s="64" t="s">
        <v>697</v>
      </c>
      <c r="E203" s="13"/>
      <c r="F203" s="14"/>
      <c r="G203" s="14"/>
      <c r="H203" s="65"/>
      <c r="I203" s="15" t="str">
        <f t="shared" si="688"/>
        <v>NO APLICA</v>
      </c>
      <c r="J203" s="12"/>
      <c r="K203" s="12"/>
      <c r="L203" s="12"/>
      <c r="M203" s="12"/>
      <c r="N203" s="15" t="str">
        <f t="shared" si="691"/>
        <v>NO APLICA</v>
      </c>
      <c r="O203" s="16"/>
      <c r="P203" s="16"/>
      <c r="Q203" s="14"/>
      <c r="R203" s="65"/>
      <c r="S203" s="15" t="str">
        <f t="shared" si="689"/>
        <v>NO APLICA</v>
      </c>
      <c r="T203" s="12"/>
      <c r="U203" s="13"/>
      <c r="V203" s="14"/>
      <c r="W203" s="14"/>
      <c r="X203" s="65"/>
      <c r="Y203" s="15" t="str">
        <f t="shared" si="595"/>
        <v>NO APLICA</v>
      </c>
      <c r="Z203" s="12"/>
      <c r="AA203" s="12"/>
      <c r="AB203" s="16"/>
      <c r="AC203" s="14"/>
      <c r="AD203" s="65"/>
      <c r="AE203" s="15" t="str">
        <f t="shared" si="598"/>
        <v>NO APLICA</v>
      </c>
      <c r="AF203" s="12"/>
      <c r="AG203" s="14"/>
      <c r="AH203" s="14"/>
      <c r="AI203" s="65"/>
      <c r="AJ203" s="15" t="str">
        <f t="shared" si="592"/>
        <v>NO APLICA</v>
      </c>
      <c r="AK203" s="12"/>
      <c r="AL203" s="14"/>
      <c r="AM203" s="14"/>
      <c r="AN203" s="65"/>
      <c r="AO203" s="15" t="str">
        <f t="shared" si="692"/>
        <v>NO APLICA</v>
      </c>
      <c r="AP203" s="12"/>
      <c r="AQ203" s="14"/>
      <c r="AR203" s="14"/>
      <c r="AS203" s="65"/>
      <c r="AT203" s="15" t="str">
        <f t="shared" si="693"/>
        <v>NO APLICA</v>
      </c>
      <c r="AU203" s="12"/>
      <c r="AV203" s="14"/>
      <c r="AW203" s="14"/>
      <c r="AX203" s="65"/>
      <c r="AY203" s="15" t="str">
        <f t="shared" si="694"/>
        <v>NO APLICA</v>
      </c>
      <c r="AZ203" s="13"/>
      <c r="BA203" s="14"/>
      <c r="BB203" s="14"/>
      <c r="BC203" s="65"/>
      <c r="BD203" s="15" t="str">
        <f t="shared" si="695"/>
        <v>NO APLICA</v>
      </c>
      <c r="BE203" s="12"/>
      <c r="BF203" s="14"/>
      <c r="BG203" s="14"/>
      <c r="BH203" s="65"/>
      <c r="BI203" s="15" t="str">
        <f t="shared" si="696"/>
        <v>NO APLICA</v>
      </c>
      <c r="BJ203" s="13"/>
      <c r="BK203" s="14"/>
      <c r="BL203" s="14"/>
      <c r="BM203" s="65"/>
      <c r="BN203" s="15" t="str">
        <f t="shared" si="697"/>
        <v>NO APLICA</v>
      </c>
      <c r="BO203" s="13"/>
      <c r="BP203" s="14"/>
      <c r="BQ203" s="14"/>
      <c r="BR203" s="65"/>
      <c r="BS203" s="15" t="str">
        <f t="shared" si="698"/>
        <v>NO APLICA</v>
      </c>
      <c r="BT203" s="12"/>
      <c r="BU203" s="14"/>
      <c r="BV203" s="14"/>
      <c r="BW203" s="65"/>
      <c r="BX203" s="15" t="str">
        <f t="shared" si="699"/>
        <v>NO APLICA</v>
      </c>
      <c r="BY203" s="12"/>
      <c r="BZ203" s="14"/>
      <c r="CA203" s="14"/>
      <c r="CB203" s="65"/>
      <c r="CC203" s="15" t="str">
        <f t="shared" si="700"/>
        <v>NO APLICA</v>
      </c>
      <c r="CD203" s="16"/>
      <c r="CE203" s="14"/>
      <c r="CF203" s="14"/>
      <c r="CG203" s="14"/>
      <c r="CH203" s="65"/>
      <c r="CI203" s="15" t="str">
        <f t="shared" si="562"/>
        <v>NO APLICA</v>
      </c>
      <c r="CJ203" s="16"/>
      <c r="CK203" s="14"/>
      <c r="CL203" s="14"/>
      <c r="CM203" s="65"/>
      <c r="CN203" s="15" t="str">
        <f t="shared" si="701"/>
        <v>NO APLICA</v>
      </c>
      <c r="CO203" s="12"/>
      <c r="CP203" s="14"/>
      <c r="CQ203" s="14"/>
      <c r="CR203" s="65"/>
      <c r="CS203" s="15" t="str">
        <f t="shared" si="702"/>
        <v>NO APLICA</v>
      </c>
      <c r="CT203" s="12"/>
      <c r="CU203" s="14"/>
      <c r="CV203" s="14"/>
      <c r="CW203" s="65"/>
      <c r="CX203" s="15" t="str">
        <f t="shared" si="703"/>
        <v>NO APLICA</v>
      </c>
      <c r="CY203" s="13"/>
      <c r="CZ203" s="14"/>
      <c r="DA203" s="14"/>
      <c r="DB203" s="65"/>
      <c r="DC203" s="15" t="str">
        <f t="shared" si="704"/>
        <v>NO APLICA</v>
      </c>
      <c r="DD203" s="13"/>
      <c r="DE203" s="14"/>
      <c r="DF203" s="14"/>
      <c r="DG203" s="65"/>
      <c r="DH203" s="15" t="str">
        <f t="shared" si="705"/>
        <v>NO APLICA</v>
      </c>
      <c r="DI203" s="12"/>
      <c r="DJ203" s="14"/>
      <c r="DK203" s="14"/>
      <c r="DL203" s="65"/>
      <c r="DM203" s="15" t="str">
        <f t="shared" si="706"/>
        <v>NO APLICA</v>
      </c>
      <c r="DN203" s="13"/>
      <c r="DO203" s="14"/>
      <c r="DP203" s="14"/>
      <c r="DQ203" s="65"/>
      <c r="DR203" s="15" t="str">
        <f t="shared" si="707"/>
        <v>NO APLICA</v>
      </c>
      <c r="DS203" s="12"/>
      <c r="DT203" s="14"/>
      <c r="DU203" s="14"/>
      <c r="DV203" s="65"/>
      <c r="DW203" s="15" t="str">
        <f t="shared" si="708"/>
        <v>NO APLICA</v>
      </c>
      <c r="DX203" s="13"/>
      <c r="DY203" s="14"/>
      <c r="DZ203" s="14"/>
      <c r="EA203" s="65"/>
      <c r="EB203" s="15" t="str">
        <f t="shared" si="709"/>
        <v>NO APLICA</v>
      </c>
      <c r="EC203" s="13"/>
      <c r="ED203" s="14"/>
      <c r="EE203" s="14"/>
      <c r="EF203" s="65"/>
      <c r="EG203" s="15" t="str">
        <f t="shared" si="710"/>
        <v>NO APLICA</v>
      </c>
      <c r="EH203" s="13"/>
      <c r="EI203" s="12"/>
      <c r="EJ203" s="12"/>
      <c r="EK203" s="14"/>
      <c r="EL203" s="14"/>
      <c r="EM203" s="65"/>
      <c r="EN203" s="15" t="str">
        <f t="shared" si="711"/>
        <v>NO APLICA</v>
      </c>
      <c r="EO203" s="13"/>
      <c r="EP203" s="14"/>
      <c r="EQ203" s="14"/>
      <c r="ER203" s="65"/>
      <c r="ES203" s="15" t="str">
        <f t="shared" si="712"/>
        <v>NO APLICA</v>
      </c>
      <c r="ET203" s="12"/>
      <c r="EU203" s="14"/>
      <c r="EV203" s="14"/>
      <c r="EW203" s="65"/>
      <c r="EX203" s="15" t="str">
        <f t="shared" si="713"/>
        <v>NO APLICA</v>
      </c>
      <c r="EY203" s="12"/>
      <c r="EZ203" s="14"/>
      <c r="FA203" s="14"/>
      <c r="FB203" s="65"/>
      <c r="FC203" s="15" t="str">
        <f t="shared" si="714"/>
        <v>NO APLICA</v>
      </c>
      <c r="FD203" s="12"/>
      <c r="FE203" s="14"/>
      <c r="FF203" s="14"/>
      <c r="FG203" s="65"/>
      <c r="FH203" s="15" t="str">
        <f t="shared" si="715"/>
        <v>NO APLICA</v>
      </c>
      <c r="FI203" s="12"/>
      <c r="FJ203" s="14"/>
      <c r="FK203" s="14"/>
      <c r="FL203" s="65"/>
      <c r="FM203" s="15" t="str">
        <f t="shared" si="716"/>
        <v>NO APLICA</v>
      </c>
      <c r="FN203" s="13"/>
      <c r="FO203" s="14"/>
      <c r="FP203" s="14"/>
      <c r="FQ203" s="65"/>
      <c r="FR203" s="15" t="str">
        <f t="shared" si="717"/>
        <v>NO APLICA</v>
      </c>
      <c r="FS203" s="13"/>
      <c r="FT203" s="14"/>
      <c r="FU203" s="14"/>
      <c r="FV203" s="65"/>
      <c r="FW203" s="15" t="str">
        <f t="shared" si="718"/>
        <v>NO APLICA</v>
      </c>
      <c r="FX203" s="13"/>
      <c r="FY203" s="14"/>
      <c r="FZ203" s="14"/>
      <c r="GA203" s="65"/>
      <c r="GB203" s="15" t="str">
        <f t="shared" si="719"/>
        <v>NO APLICA</v>
      </c>
      <c r="GC203" s="13"/>
      <c r="GD203" s="14"/>
      <c r="GE203" s="14"/>
      <c r="GF203" s="65"/>
      <c r="GG203" s="15" t="str">
        <f t="shared" si="720"/>
        <v>NO APLICA</v>
      </c>
      <c r="GH203" s="13"/>
      <c r="GI203" s="14"/>
      <c r="GJ203" s="14"/>
      <c r="GK203" s="65"/>
      <c r="GL203" s="15" t="str">
        <f t="shared" si="721"/>
        <v>NO APLICA</v>
      </c>
      <c r="GM203" s="13"/>
      <c r="GN203" s="14"/>
      <c r="GO203" s="14"/>
      <c r="GP203" s="65"/>
      <c r="GQ203" s="15" t="str">
        <f t="shared" si="722"/>
        <v>NO APLICA</v>
      </c>
      <c r="GR203" s="14"/>
      <c r="GS203" s="14"/>
      <c r="GT203" s="14"/>
      <c r="GU203" s="65"/>
      <c r="GV203" s="15" t="str">
        <f t="shared" si="601"/>
        <v>NO APLICA</v>
      </c>
      <c r="GW203" s="13"/>
      <c r="GX203" s="14"/>
      <c r="GY203" s="14"/>
      <c r="GZ203" s="65"/>
      <c r="HA203" s="15" t="str">
        <f t="shared" si="602"/>
        <v>NO APLICA</v>
      </c>
      <c r="HB203" s="12"/>
      <c r="HC203" s="14"/>
      <c r="HD203" s="14"/>
      <c r="HE203" s="65"/>
      <c r="HF203" s="15" t="str">
        <f t="shared" si="603"/>
        <v>NO APLICA</v>
      </c>
      <c r="HG203" s="16"/>
      <c r="HH203" s="16"/>
      <c r="HI203" s="14"/>
      <c r="HJ203" s="65"/>
      <c r="HK203" s="15" t="str">
        <f t="shared" si="690"/>
        <v>NO APLICA</v>
      </c>
      <c r="HL203" s="12"/>
      <c r="HM203" s="16"/>
      <c r="HN203" s="14"/>
      <c r="HO203" s="65"/>
      <c r="HP203" s="15" t="str">
        <f t="shared" si="686"/>
        <v>NO APLICA</v>
      </c>
      <c r="HQ203" s="12"/>
      <c r="HR203" s="12"/>
      <c r="HS203" s="14"/>
      <c r="HT203" s="12"/>
      <c r="HU203" s="15" t="str">
        <f t="shared" si="723"/>
        <v>NO APLICA</v>
      </c>
      <c r="HV203" s="12"/>
      <c r="HW203" s="16"/>
      <c r="HX203" s="14"/>
      <c r="HY203" s="65"/>
      <c r="HZ203" s="15" t="str">
        <f t="shared" si="724"/>
        <v>NO APLICA</v>
      </c>
      <c r="IA203" s="12"/>
      <c r="IB203" s="16"/>
      <c r="IC203" s="14"/>
      <c r="ID203" s="65"/>
      <c r="IE203" s="15" t="str">
        <f t="shared" si="725"/>
        <v>NO APLICA</v>
      </c>
      <c r="IF203" s="12"/>
      <c r="IG203" s="16"/>
      <c r="IH203" s="14"/>
      <c r="II203" s="65"/>
      <c r="IJ203" s="15" t="str">
        <f t="shared" si="726"/>
        <v>NO APLICA</v>
      </c>
      <c r="IK203" s="16"/>
      <c r="IL203" s="16"/>
      <c r="IM203" s="14"/>
      <c r="IN203" s="65"/>
      <c r="IO203" s="15" t="str">
        <f t="shared" si="727"/>
        <v>NO APLICA</v>
      </c>
      <c r="IP203" s="12"/>
      <c r="IQ203" s="16"/>
      <c r="IR203" s="14"/>
      <c r="IS203" s="65"/>
      <c r="IT203" s="15" t="str">
        <f t="shared" si="728"/>
        <v>NO APLICA</v>
      </c>
      <c r="IU203" s="12"/>
      <c r="IV203" s="16"/>
      <c r="IW203" s="14"/>
      <c r="IX203" s="65"/>
      <c r="IY203" s="15" t="str">
        <f t="shared" si="729"/>
        <v>NO APLICA</v>
      </c>
      <c r="IZ203" s="12"/>
      <c r="JA203" s="16"/>
      <c r="JB203" s="14"/>
      <c r="JC203" s="65"/>
      <c r="JD203" s="15" t="str">
        <f t="shared" si="730"/>
        <v>NO APLICA</v>
      </c>
      <c r="JE203" s="13"/>
      <c r="JF203" s="13"/>
      <c r="JG203" s="14"/>
      <c r="JH203" s="65"/>
      <c r="JI203" s="15" t="str">
        <f t="shared" si="731"/>
        <v>NO APLICA</v>
      </c>
      <c r="JJ203" s="16"/>
      <c r="JK203" s="16"/>
      <c r="JL203" s="16"/>
      <c r="JM203" s="15" t="str">
        <f t="shared" si="732"/>
        <v>NO APLICA</v>
      </c>
      <c r="JN203" s="16"/>
      <c r="JO203" s="16"/>
      <c r="JP203" s="16"/>
      <c r="JQ203" s="15" t="str">
        <f t="shared" si="733"/>
        <v>NO APLICA</v>
      </c>
      <c r="JR203" s="16"/>
      <c r="JS203" s="16"/>
      <c r="JT203" s="16"/>
      <c r="JU203" s="16"/>
      <c r="JV203" s="15" t="str">
        <f t="shared" si="734"/>
        <v>NO APLICA</v>
      </c>
      <c r="JW203" s="15"/>
      <c r="JX203" s="15"/>
      <c r="JY203" s="15"/>
      <c r="JZ203" s="15"/>
      <c r="KA203" s="15" t="str">
        <f t="shared" si="735"/>
        <v>NO APLICA</v>
      </c>
      <c r="KB203" s="12"/>
      <c r="KC203" s="14"/>
      <c r="KD203" s="65"/>
      <c r="KE203" s="15" t="str">
        <f t="shared" si="736"/>
        <v>NO APLICA</v>
      </c>
      <c r="KF203" s="12"/>
      <c r="KG203" s="14"/>
      <c r="KH203" s="65"/>
      <c r="KI203" s="15" t="str">
        <f t="shared" si="749"/>
        <v>NO APLICA</v>
      </c>
      <c r="KJ203" s="12"/>
      <c r="KK203" s="14"/>
      <c r="KL203" s="65"/>
      <c r="KM203" s="15" t="str">
        <f t="shared" si="737"/>
        <v>NO APLICA</v>
      </c>
      <c r="KN203" s="12"/>
      <c r="KO203" s="14"/>
      <c r="KP203" s="65"/>
      <c r="KQ203" s="15" t="str">
        <f t="shared" si="750"/>
        <v>NO APLICA</v>
      </c>
      <c r="KR203" s="12"/>
      <c r="KS203" s="16"/>
      <c r="KT203" s="14"/>
      <c r="KU203" s="65"/>
      <c r="KV203" s="15" t="str">
        <f t="shared" si="755"/>
        <v>NO APLICA</v>
      </c>
      <c r="KW203" s="16"/>
      <c r="KX203" s="14"/>
      <c r="KY203" s="65"/>
      <c r="KZ203" s="15" t="str">
        <f t="shared" si="751"/>
        <v>NO APLICA</v>
      </c>
      <c r="LA203" s="16"/>
      <c r="LB203" s="16"/>
      <c r="LC203" s="14"/>
      <c r="LD203" s="65"/>
      <c r="LE203" s="15" t="str">
        <f t="shared" si="590"/>
        <v>NO APLICA</v>
      </c>
      <c r="LF203" s="15"/>
      <c r="LG203" s="15"/>
      <c r="LH203" s="14"/>
      <c r="LI203" s="65"/>
      <c r="LJ203" s="15" t="str">
        <f t="shared" si="756"/>
        <v>NO APLICA</v>
      </c>
      <c r="LK203" s="12"/>
      <c r="LL203" s="16"/>
      <c r="LM203" s="14"/>
      <c r="LN203" s="65"/>
      <c r="LO203" s="15" t="str">
        <f t="shared" si="752"/>
        <v>NO APLICA</v>
      </c>
      <c r="LP203" s="16"/>
      <c r="LQ203" s="16"/>
      <c r="LR203" s="14"/>
      <c r="LS203" s="65"/>
      <c r="LT203" s="15" t="str">
        <f t="shared" si="753"/>
        <v>NO APLICA</v>
      </c>
      <c r="LU203" s="16"/>
      <c r="LV203" s="16"/>
      <c r="LW203" s="14"/>
      <c r="LX203" s="65"/>
      <c r="LY203" s="15" t="str">
        <f t="shared" si="754"/>
        <v>NO APLICA</v>
      </c>
      <c r="LZ203" s="12"/>
      <c r="MA203" s="12"/>
      <c r="MB203" s="14"/>
      <c r="MC203" s="65"/>
      <c r="MD203" s="15" t="str">
        <f t="shared" si="738"/>
        <v>NO APLICA</v>
      </c>
      <c r="ME203" s="12"/>
      <c r="MF203" s="12"/>
      <c r="MG203" s="14"/>
      <c r="MH203" s="65"/>
      <c r="MI203" s="15" t="str">
        <f t="shared" si="739"/>
        <v>NO APLICA</v>
      </c>
      <c r="MJ203" s="12"/>
      <c r="MK203" s="14"/>
      <c r="ML203" s="65"/>
      <c r="MM203" s="15" t="str">
        <f t="shared" si="740"/>
        <v>NO APLICA</v>
      </c>
      <c r="MN203" s="12"/>
      <c r="MO203" s="14"/>
      <c r="MP203" s="12"/>
      <c r="MQ203" s="15" t="str">
        <f t="shared" si="741"/>
        <v>NO APLICA</v>
      </c>
      <c r="MR203" s="12"/>
      <c r="MS203" s="16"/>
      <c r="MT203" s="14"/>
      <c r="MU203" s="65"/>
      <c r="MV203" s="15" t="str">
        <f t="shared" si="742"/>
        <v>NO APLICA</v>
      </c>
      <c r="MW203" s="12"/>
      <c r="MX203" s="16"/>
      <c r="MY203" s="14"/>
      <c r="MZ203" s="65"/>
      <c r="NA203" s="15" t="str">
        <f t="shared" si="743"/>
        <v>NO APLICA</v>
      </c>
      <c r="NB203" s="12"/>
      <c r="NC203" s="16"/>
      <c r="ND203" s="14"/>
      <c r="NE203" s="65"/>
      <c r="NF203" s="15" t="str">
        <f t="shared" si="744"/>
        <v>NO APLICA</v>
      </c>
      <c r="NG203" s="12"/>
      <c r="NH203" s="12"/>
      <c r="NI203" s="14"/>
      <c r="NJ203" s="65"/>
      <c r="NK203" s="15" t="str">
        <f t="shared" si="745"/>
        <v>NO APLICA</v>
      </c>
      <c r="NL203" s="12"/>
      <c r="NM203" s="12"/>
      <c r="NN203" s="14"/>
      <c r="NO203" s="12"/>
      <c r="NP203" s="15" t="str">
        <f t="shared" si="746"/>
        <v>NO APLICA</v>
      </c>
      <c r="NQ203" s="16"/>
      <c r="NR203" s="16"/>
      <c r="NS203" s="14"/>
      <c r="NT203" s="65"/>
      <c r="NU203" s="15" t="str">
        <f t="shared" si="747"/>
        <v>NO APLICA</v>
      </c>
      <c r="NV203" s="16"/>
      <c r="NW203" s="16"/>
      <c r="NX203" s="16"/>
      <c r="NY203" s="16"/>
      <c r="NZ203" s="15" t="str">
        <f t="shared" si="748"/>
        <v>NO APLICA</v>
      </c>
    </row>
    <row r="204" spans="1:390" ht="15.6" thickTop="1" thickBot="1" x14ac:dyDescent="0.35">
      <c r="A204" s="11">
        <v>1733</v>
      </c>
      <c r="B204" s="10" t="s">
        <v>698</v>
      </c>
      <c r="C204" s="21" t="s">
        <v>699</v>
      </c>
      <c r="D204" s="64" t="s">
        <v>700</v>
      </c>
      <c r="E204" s="13"/>
      <c r="F204" s="14"/>
      <c r="G204" s="14"/>
      <c r="H204" s="65"/>
      <c r="I204" s="15" t="str">
        <f t="shared" si="688"/>
        <v>NO APLICA</v>
      </c>
      <c r="J204" s="12"/>
      <c r="K204" s="12"/>
      <c r="L204" s="12"/>
      <c r="M204" s="12"/>
      <c r="N204" s="15" t="str">
        <f t="shared" si="691"/>
        <v>NO APLICA</v>
      </c>
      <c r="O204" s="16"/>
      <c r="P204" s="16"/>
      <c r="Q204" s="14"/>
      <c r="R204" s="65"/>
      <c r="S204" s="15" t="str">
        <f t="shared" si="689"/>
        <v>NO APLICA</v>
      </c>
      <c r="T204" s="12"/>
      <c r="U204" s="13"/>
      <c r="V204" s="14"/>
      <c r="W204" s="14"/>
      <c r="X204" s="65"/>
      <c r="Y204" s="15" t="str">
        <f t="shared" si="595"/>
        <v>NO APLICA</v>
      </c>
      <c r="Z204" s="12"/>
      <c r="AA204" s="12"/>
      <c r="AB204" s="16"/>
      <c r="AC204" s="14"/>
      <c r="AD204" s="65"/>
      <c r="AE204" s="15" t="str">
        <f t="shared" si="598"/>
        <v>NO APLICA</v>
      </c>
      <c r="AF204" s="12"/>
      <c r="AG204" s="14"/>
      <c r="AH204" s="14"/>
      <c r="AI204" s="65"/>
      <c r="AJ204" s="15" t="str">
        <f t="shared" si="592"/>
        <v>NO APLICA</v>
      </c>
      <c r="AK204" s="12"/>
      <c r="AL204" s="14"/>
      <c r="AM204" s="14"/>
      <c r="AN204" s="65"/>
      <c r="AO204" s="15" t="str">
        <f t="shared" si="692"/>
        <v>NO APLICA</v>
      </c>
      <c r="AP204" s="12"/>
      <c r="AQ204" s="14"/>
      <c r="AR204" s="14"/>
      <c r="AS204" s="65"/>
      <c r="AT204" s="15" t="str">
        <f t="shared" si="693"/>
        <v>NO APLICA</v>
      </c>
      <c r="AU204" s="12"/>
      <c r="AV204" s="14"/>
      <c r="AW204" s="14"/>
      <c r="AX204" s="65"/>
      <c r="AY204" s="15" t="str">
        <f t="shared" si="694"/>
        <v>NO APLICA</v>
      </c>
      <c r="AZ204" s="13"/>
      <c r="BA204" s="14"/>
      <c r="BB204" s="14"/>
      <c r="BC204" s="65"/>
      <c r="BD204" s="15" t="str">
        <f t="shared" si="695"/>
        <v>NO APLICA</v>
      </c>
      <c r="BE204" s="12"/>
      <c r="BF204" s="14"/>
      <c r="BG204" s="14"/>
      <c r="BH204" s="65"/>
      <c r="BI204" s="15" t="str">
        <f t="shared" si="696"/>
        <v>NO APLICA</v>
      </c>
      <c r="BJ204" s="13"/>
      <c r="BK204" s="14"/>
      <c r="BL204" s="14"/>
      <c r="BM204" s="65"/>
      <c r="BN204" s="15" t="str">
        <f t="shared" si="697"/>
        <v>NO APLICA</v>
      </c>
      <c r="BO204" s="13"/>
      <c r="BP204" s="14"/>
      <c r="BQ204" s="14"/>
      <c r="BR204" s="65"/>
      <c r="BS204" s="15" t="str">
        <f t="shared" si="698"/>
        <v>NO APLICA</v>
      </c>
      <c r="BT204" s="12"/>
      <c r="BU204" s="14"/>
      <c r="BV204" s="14"/>
      <c r="BW204" s="65"/>
      <c r="BX204" s="15" t="str">
        <f t="shared" si="699"/>
        <v>NO APLICA</v>
      </c>
      <c r="BY204" s="12"/>
      <c r="BZ204" s="14"/>
      <c r="CA204" s="14"/>
      <c r="CB204" s="65"/>
      <c r="CC204" s="15" t="str">
        <f t="shared" si="700"/>
        <v>NO APLICA</v>
      </c>
      <c r="CD204" s="16"/>
      <c r="CE204" s="14"/>
      <c r="CF204" s="14"/>
      <c r="CG204" s="14"/>
      <c r="CH204" s="65"/>
      <c r="CI204" s="15" t="str">
        <f t="shared" si="562"/>
        <v>NO APLICA</v>
      </c>
      <c r="CJ204" s="16"/>
      <c r="CK204" s="14"/>
      <c r="CL204" s="14"/>
      <c r="CM204" s="65"/>
      <c r="CN204" s="15" t="str">
        <f t="shared" si="701"/>
        <v>NO APLICA</v>
      </c>
      <c r="CO204" s="12"/>
      <c r="CP204" s="14"/>
      <c r="CQ204" s="14"/>
      <c r="CR204" s="65"/>
      <c r="CS204" s="15" t="str">
        <f t="shared" si="702"/>
        <v>NO APLICA</v>
      </c>
      <c r="CT204" s="12"/>
      <c r="CU204" s="14"/>
      <c r="CV204" s="14"/>
      <c r="CW204" s="65"/>
      <c r="CX204" s="15" t="str">
        <f t="shared" si="703"/>
        <v>NO APLICA</v>
      </c>
      <c r="CY204" s="13"/>
      <c r="CZ204" s="14"/>
      <c r="DA204" s="14"/>
      <c r="DB204" s="65"/>
      <c r="DC204" s="15" t="str">
        <f t="shared" si="704"/>
        <v>NO APLICA</v>
      </c>
      <c r="DD204" s="13"/>
      <c r="DE204" s="14"/>
      <c r="DF204" s="14"/>
      <c r="DG204" s="65"/>
      <c r="DH204" s="15" t="str">
        <f t="shared" si="705"/>
        <v>NO APLICA</v>
      </c>
      <c r="DI204" s="12"/>
      <c r="DJ204" s="14"/>
      <c r="DK204" s="14"/>
      <c r="DL204" s="65"/>
      <c r="DM204" s="15" t="str">
        <f t="shared" si="706"/>
        <v>NO APLICA</v>
      </c>
      <c r="DN204" s="13"/>
      <c r="DO204" s="14"/>
      <c r="DP204" s="14"/>
      <c r="DQ204" s="65"/>
      <c r="DR204" s="15" t="str">
        <f t="shared" si="707"/>
        <v>NO APLICA</v>
      </c>
      <c r="DS204" s="12"/>
      <c r="DT204" s="14"/>
      <c r="DU204" s="14"/>
      <c r="DV204" s="65"/>
      <c r="DW204" s="15" t="str">
        <f t="shared" si="708"/>
        <v>NO APLICA</v>
      </c>
      <c r="DX204" s="13"/>
      <c r="DY204" s="14"/>
      <c r="DZ204" s="14"/>
      <c r="EA204" s="65"/>
      <c r="EB204" s="15" t="str">
        <f t="shared" si="709"/>
        <v>NO APLICA</v>
      </c>
      <c r="EC204" s="13"/>
      <c r="ED204" s="14"/>
      <c r="EE204" s="14"/>
      <c r="EF204" s="65"/>
      <c r="EG204" s="15" t="str">
        <f t="shared" si="710"/>
        <v>NO APLICA</v>
      </c>
      <c r="EH204" s="13"/>
      <c r="EI204" s="12"/>
      <c r="EJ204" s="12"/>
      <c r="EK204" s="14"/>
      <c r="EL204" s="14"/>
      <c r="EM204" s="65"/>
      <c r="EN204" s="15" t="str">
        <f t="shared" si="711"/>
        <v>NO APLICA</v>
      </c>
      <c r="EO204" s="13"/>
      <c r="EP204" s="14"/>
      <c r="EQ204" s="14"/>
      <c r="ER204" s="65"/>
      <c r="ES204" s="15" t="str">
        <f t="shared" si="712"/>
        <v>NO APLICA</v>
      </c>
      <c r="ET204" s="12"/>
      <c r="EU204" s="14"/>
      <c r="EV204" s="14"/>
      <c r="EW204" s="65"/>
      <c r="EX204" s="15" t="str">
        <f t="shared" si="713"/>
        <v>NO APLICA</v>
      </c>
      <c r="EY204" s="12"/>
      <c r="EZ204" s="14"/>
      <c r="FA204" s="14"/>
      <c r="FB204" s="65"/>
      <c r="FC204" s="15" t="str">
        <f t="shared" si="714"/>
        <v>NO APLICA</v>
      </c>
      <c r="FD204" s="12"/>
      <c r="FE204" s="14"/>
      <c r="FF204" s="14"/>
      <c r="FG204" s="65"/>
      <c r="FH204" s="15" t="str">
        <f t="shared" si="715"/>
        <v>NO APLICA</v>
      </c>
      <c r="FI204" s="12"/>
      <c r="FJ204" s="14"/>
      <c r="FK204" s="14"/>
      <c r="FL204" s="65"/>
      <c r="FM204" s="15" t="str">
        <f t="shared" si="716"/>
        <v>NO APLICA</v>
      </c>
      <c r="FN204" s="13"/>
      <c r="FO204" s="14"/>
      <c r="FP204" s="14"/>
      <c r="FQ204" s="65"/>
      <c r="FR204" s="15" t="str">
        <f t="shared" si="717"/>
        <v>NO APLICA</v>
      </c>
      <c r="FS204" s="13"/>
      <c r="FT204" s="14"/>
      <c r="FU204" s="14"/>
      <c r="FV204" s="65"/>
      <c r="FW204" s="15" t="str">
        <f t="shared" si="718"/>
        <v>NO APLICA</v>
      </c>
      <c r="FX204" s="13"/>
      <c r="FY204" s="14"/>
      <c r="FZ204" s="14"/>
      <c r="GA204" s="65"/>
      <c r="GB204" s="15" t="str">
        <f t="shared" si="719"/>
        <v>NO APLICA</v>
      </c>
      <c r="GC204" s="13"/>
      <c r="GD204" s="14"/>
      <c r="GE204" s="14"/>
      <c r="GF204" s="65"/>
      <c r="GG204" s="15" t="str">
        <f t="shared" si="720"/>
        <v>NO APLICA</v>
      </c>
      <c r="GH204" s="13"/>
      <c r="GI204" s="14"/>
      <c r="GJ204" s="14"/>
      <c r="GK204" s="65"/>
      <c r="GL204" s="15" t="str">
        <f t="shared" si="721"/>
        <v>NO APLICA</v>
      </c>
      <c r="GM204" s="13"/>
      <c r="GN204" s="14"/>
      <c r="GO204" s="14"/>
      <c r="GP204" s="65"/>
      <c r="GQ204" s="15" t="str">
        <f t="shared" si="722"/>
        <v>NO APLICA</v>
      </c>
      <c r="GR204" s="14"/>
      <c r="GS204" s="14"/>
      <c r="GT204" s="14"/>
      <c r="GU204" s="65"/>
      <c r="GV204" s="15" t="str">
        <f t="shared" si="601"/>
        <v>NO APLICA</v>
      </c>
      <c r="GW204" s="13"/>
      <c r="GX204" s="14"/>
      <c r="GY204" s="14"/>
      <c r="GZ204" s="65"/>
      <c r="HA204" s="15" t="str">
        <f t="shared" si="602"/>
        <v>NO APLICA</v>
      </c>
      <c r="HB204" s="12"/>
      <c r="HC204" s="14"/>
      <c r="HD204" s="14"/>
      <c r="HE204" s="65"/>
      <c r="HF204" s="15" t="str">
        <f t="shared" si="603"/>
        <v>NO APLICA</v>
      </c>
      <c r="HG204" s="16"/>
      <c r="HH204" s="16"/>
      <c r="HI204" s="14"/>
      <c r="HJ204" s="65"/>
      <c r="HK204" s="15" t="str">
        <f t="shared" si="690"/>
        <v>NO APLICA</v>
      </c>
      <c r="HL204" s="12"/>
      <c r="HM204" s="16"/>
      <c r="HN204" s="14"/>
      <c r="HO204" s="65"/>
      <c r="HP204" s="15" t="str">
        <f t="shared" si="686"/>
        <v>NO APLICA</v>
      </c>
      <c r="HQ204" s="12"/>
      <c r="HR204" s="12"/>
      <c r="HS204" s="14"/>
      <c r="HT204" s="12"/>
      <c r="HU204" s="15" t="str">
        <f t="shared" si="723"/>
        <v>NO APLICA</v>
      </c>
      <c r="HV204" s="12"/>
      <c r="HW204" s="16"/>
      <c r="HX204" s="14"/>
      <c r="HY204" s="65"/>
      <c r="HZ204" s="15" t="str">
        <f t="shared" si="724"/>
        <v>NO APLICA</v>
      </c>
      <c r="IA204" s="12"/>
      <c r="IB204" s="16"/>
      <c r="IC204" s="14"/>
      <c r="ID204" s="65"/>
      <c r="IE204" s="15" t="str">
        <f t="shared" si="725"/>
        <v>NO APLICA</v>
      </c>
      <c r="IF204" s="12"/>
      <c r="IG204" s="16"/>
      <c r="IH204" s="14"/>
      <c r="II204" s="65"/>
      <c r="IJ204" s="15" t="str">
        <f t="shared" si="726"/>
        <v>NO APLICA</v>
      </c>
      <c r="IK204" s="16"/>
      <c r="IL204" s="16"/>
      <c r="IM204" s="14"/>
      <c r="IN204" s="65"/>
      <c r="IO204" s="15" t="str">
        <f t="shared" si="727"/>
        <v>NO APLICA</v>
      </c>
      <c r="IP204" s="12"/>
      <c r="IQ204" s="16"/>
      <c r="IR204" s="14"/>
      <c r="IS204" s="65"/>
      <c r="IT204" s="15" t="str">
        <f t="shared" si="728"/>
        <v>NO APLICA</v>
      </c>
      <c r="IU204" s="12"/>
      <c r="IV204" s="16"/>
      <c r="IW204" s="14"/>
      <c r="IX204" s="65"/>
      <c r="IY204" s="15" t="str">
        <f t="shared" si="729"/>
        <v>NO APLICA</v>
      </c>
      <c r="IZ204" s="12"/>
      <c r="JA204" s="16"/>
      <c r="JB204" s="14"/>
      <c r="JC204" s="65"/>
      <c r="JD204" s="15" t="str">
        <f t="shared" si="730"/>
        <v>NO APLICA</v>
      </c>
      <c r="JE204" s="13">
        <v>45878</v>
      </c>
      <c r="JF204" s="13">
        <v>45879</v>
      </c>
      <c r="JG204" s="14"/>
      <c r="JH204" s="65"/>
      <c r="JI204" s="15" t="b">
        <f t="shared" si="731"/>
        <v>0</v>
      </c>
      <c r="JJ204" s="14">
        <v>45843</v>
      </c>
      <c r="JK204" s="16"/>
      <c r="JL204" s="16"/>
      <c r="JM204" s="15" t="b">
        <f t="shared" si="732"/>
        <v>0</v>
      </c>
      <c r="JN204" s="16"/>
      <c r="JO204" s="16"/>
      <c r="JP204" s="16"/>
      <c r="JQ204" s="15" t="str">
        <f t="shared" si="733"/>
        <v>NO APLICA</v>
      </c>
      <c r="JR204" s="14">
        <v>45892</v>
      </c>
      <c r="JS204" s="14">
        <v>45893</v>
      </c>
      <c r="JT204" s="16"/>
      <c r="JU204" s="16"/>
      <c r="JV204" s="15" t="b">
        <f t="shared" si="734"/>
        <v>0</v>
      </c>
      <c r="JW204" s="15"/>
      <c r="JX204" s="13">
        <v>45948</v>
      </c>
      <c r="JY204" s="14">
        <f t="shared" ref="JY204:JY205" si="757">DATE(YEAR(JX204)+2,MONTH(JX204),DAY(JX204))</f>
        <v>46678</v>
      </c>
      <c r="JZ204" s="65">
        <f ca="1">JY204-TODAY()</f>
        <v>547</v>
      </c>
      <c r="KA204" s="15" t="str">
        <f ca="1">IF(JZ204&gt;=61,"VIGENTE",IF(JZ204&gt;=1,"POR VENCER",IF(JZ204&lt;=-1,"VENCIDA",IF(JX204=0,"NO APLICA"))))</f>
        <v>VIGENTE</v>
      </c>
      <c r="KB204" s="12"/>
      <c r="KC204" s="14"/>
      <c r="KD204" s="65"/>
      <c r="KE204" s="15" t="str">
        <f t="shared" si="736"/>
        <v>NO APLICA</v>
      </c>
      <c r="KF204" s="12"/>
      <c r="KG204" s="14"/>
      <c r="KH204" s="65"/>
      <c r="KI204" s="15" t="str">
        <f t="shared" si="749"/>
        <v>NO APLICA</v>
      </c>
      <c r="KJ204" s="12"/>
      <c r="KK204" s="14"/>
      <c r="KL204" s="65"/>
      <c r="KM204" s="15" t="str">
        <f t="shared" si="737"/>
        <v>NO APLICA</v>
      </c>
      <c r="KN204" s="12"/>
      <c r="KO204" s="14"/>
      <c r="KP204" s="65"/>
      <c r="KQ204" s="15" t="str">
        <f t="shared" si="750"/>
        <v>NO APLICA</v>
      </c>
      <c r="KR204" s="12"/>
      <c r="KS204" s="16"/>
      <c r="KT204" s="14"/>
      <c r="KU204" s="65"/>
      <c r="KV204" s="15" t="str">
        <f t="shared" si="755"/>
        <v>NO APLICA</v>
      </c>
      <c r="KW204" s="16"/>
      <c r="KX204" s="14"/>
      <c r="KY204" s="65"/>
      <c r="KZ204" s="15" t="str">
        <f t="shared" si="751"/>
        <v>NO APLICA</v>
      </c>
      <c r="LA204" s="16"/>
      <c r="LB204" s="16"/>
      <c r="LC204" s="14"/>
      <c r="LD204" s="65"/>
      <c r="LE204" s="15" t="str">
        <f t="shared" si="590"/>
        <v>NO APLICA</v>
      </c>
      <c r="LF204" s="15"/>
      <c r="LG204" s="15"/>
      <c r="LH204" s="14"/>
      <c r="LI204" s="65"/>
      <c r="LJ204" s="15" t="str">
        <f t="shared" si="756"/>
        <v>NO APLICA</v>
      </c>
      <c r="LK204" s="12"/>
      <c r="LL204" s="16"/>
      <c r="LM204" s="14"/>
      <c r="LN204" s="65"/>
      <c r="LO204" s="15" t="str">
        <f t="shared" si="752"/>
        <v>NO APLICA</v>
      </c>
      <c r="LP204" s="16"/>
      <c r="LQ204" s="16"/>
      <c r="LR204" s="14"/>
      <c r="LS204" s="65"/>
      <c r="LT204" s="15" t="str">
        <f t="shared" si="753"/>
        <v>NO APLICA</v>
      </c>
      <c r="LU204" s="16"/>
      <c r="LV204" s="16"/>
      <c r="LW204" s="14"/>
      <c r="LX204" s="65"/>
      <c r="LY204" s="15" t="str">
        <f t="shared" si="754"/>
        <v>NO APLICA</v>
      </c>
      <c r="LZ204" s="12"/>
      <c r="MA204" s="12"/>
      <c r="MB204" s="14"/>
      <c r="MC204" s="65"/>
      <c r="MD204" s="15" t="str">
        <f t="shared" si="738"/>
        <v>NO APLICA</v>
      </c>
      <c r="ME204" s="12"/>
      <c r="MF204" s="12"/>
      <c r="MG204" s="14"/>
      <c r="MH204" s="65"/>
      <c r="MI204" s="15" t="str">
        <f t="shared" si="739"/>
        <v>NO APLICA</v>
      </c>
      <c r="MJ204" s="12"/>
      <c r="MK204" s="14"/>
      <c r="ML204" s="65"/>
      <c r="MM204" s="15" t="str">
        <f t="shared" si="740"/>
        <v>NO APLICA</v>
      </c>
      <c r="MN204" s="12"/>
      <c r="MO204" s="14"/>
      <c r="MP204" s="12"/>
      <c r="MQ204" s="15" t="str">
        <f t="shared" si="741"/>
        <v>NO APLICA</v>
      </c>
      <c r="MR204" s="12"/>
      <c r="MS204" s="16"/>
      <c r="MT204" s="14"/>
      <c r="MU204" s="65"/>
      <c r="MV204" s="15" t="str">
        <f t="shared" si="742"/>
        <v>NO APLICA</v>
      </c>
      <c r="MW204" s="12"/>
      <c r="MX204" s="16"/>
      <c r="MY204" s="14"/>
      <c r="MZ204" s="65"/>
      <c r="NA204" s="15" t="str">
        <f t="shared" si="743"/>
        <v>NO APLICA</v>
      </c>
      <c r="NB204" s="12"/>
      <c r="NC204" s="16"/>
      <c r="ND204" s="14"/>
      <c r="NE204" s="65"/>
      <c r="NF204" s="15" t="str">
        <f t="shared" si="744"/>
        <v>NO APLICA</v>
      </c>
      <c r="NG204" s="12"/>
      <c r="NH204" s="12"/>
      <c r="NI204" s="14"/>
      <c r="NJ204" s="65"/>
      <c r="NK204" s="15" t="str">
        <f t="shared" si="745"/>
        <v>NO APLICA</v>
      </c>
      <c r="NL204" s="12"/>
      <c r="NM204" s="12"/>
      <c r="NN204" s="14"/>
      <c r="NO204" s="12"/>
      <c r="NP204" s="15" t="str">
        <f t="shared" si="746"/>
        <v>NO APLICA</v>
      </c>
      <c r="NQ204" s="16"/>
      <c r="NR204" s="16"/>
      <c r="NS204" s="14"/>
      <c r="NT204" s="65"/>
      <c r="NU204" s="15" t="str">
        <f t="shared" si="747"/>
        <v>NO APLICA</v>
      </c>
      <c r="NV204" s="16"/>
      <c r="NW204" s="16"/>
      <c r="NX204" s="16"/>
      <c r="NY204" s="16"/>
      <c r="NZ204" s="15" t="str">
        <f t="shared" si="748"/>
        <v>NO APLICA</v>
      </c>
    </row>
    <row r="205" spans="1:390" ht="15.6" thickTop="1" thickBot="1" x14ac:dyDescent="0.35">
      <c r="A205" s="11">
        <v>1595</v>
      </c>
      <c r="B205" s="10" t="s">
        <v>701</v>
      </c>
      <c r="C205" s="21" t="s">
        <v>702</v>
      </c>
      <c r="D205" s="64" t="s">
        <v>703</v>
      </c>
      <c r="E205" s="16"/>
      <c r="F205" s="16"/>
      <c r="G205" s="16"/>
      <c r="H205" s="16"/>
      <c r="I205" s="15" t="str">
        <f t="shared" si="688"/>
        <v>NO APLICA</v>
      </c>
      <c r="J205" s="16"/>
      <c r="K205" s="16"/>
      <c r="L205" s="16"/>
      <c r="M205" s="16"/>
      <c r="N205" s="15" t="str">
        <f t="shared" si="691"/>
        <v>NO APLICA</v>
      </c>
      <c r="O205" s="16"/>
      <c r="P205" s="16"/>
      <c r="Q205" s="16"/>
      <c r="R205" s="16"/>
      <c r="S205" s="15" t="str">
        <f t="shared" si="689"/>
        <v>NO APLICA</v>
      </c>
      <c r="T205" s="16"/>
      <c r="U205" s="14"/>
      <c r="V205" s="14"/>
      <c r="W205" s="14"/>
      <c r="X205" s="65"/>
      <c r="Y205" s="15" t="str">
        <f t="shared" si="595"/>
        <v>NO APLICA</v>
      </c>
      <c r="Z205" s="16"/>
      <c r="AA205" s="16"/>
      <c r="AB205" s="16"/>
      <c r="AC205" s="16"/>
      <c r="AD205" s="16"/>
      <c r="AE205" s="15" t="str">
        <f t="shared" si="598"/>
        <v>NO APLICA</v>
      </c>
      <c r="AF205" s="14"/>
      <c r="AG205" s="14"/>
      <c r="AH205" s="14"/>
      <c r="AI205" s="16"/>
      <c r="AJ205" s="15" t="str">
        <f t="shared" si="592"/>
        <v>NO APLICA</v>
      </c>
      <c r="AK205" s="14"/>
      <c r="AL205" s="14"/>
      <c r="AM205" s="14"/>
      <c r="AN205" s="16"/>
      <c r="AO205" s="15" t="str">
        <f t="shared" si="692"/>
        <v>NO APLICA</v>
      </c>
      <c r="AP205" s="14"/>
      <c r="AQ205" s="14"/>
      <c r="AR205" s="14"/>
      <c r="AS205" s="16"/>
      <c r="AT205" s="15" t="str">
        <f t="shared" si="693"/>
        <v>NO APLICA</v>
      </c>
      <c r="AU205" s="14"/>
      <c r="AV205" s="14"/>
      <c r="AW205" s="14"/>
      <c r="AX205" s="16"/>
      <c r="AY205" s="15" t="str">
        <f t="shared" si="694"/>
        <v>NO APLICA</v>
      </c>
      <c r="AZ205" s="14"/>
      <c r="BA205" s="14"/>
      <c r="BB205" s="14"/>
      <c r="BC205" s="16"/>
      <c r="BD205" s="15" t="str">
        <f t="shared" si="695"/>
        <v>NO APLICA</v>
      </c>
      <c r="BE205" s="14"/>
      <c r="BF205" s="14"/>
      <c r="BG205" s="14"/>
      <c r="BH205" s="16"/>
      <c r="BI205" s="15" t="str">
        <f t="shared" si="696"/>
        <v>NO APLICA</v>
      </c>
      <c r="BJ205" s="14"/>
      <c r="BK205" s="14"/>
      <c r="BL205" s="14"/>
      <c r="BM205" s="16"/>
      <c r="BN205" s="15" t="str">
        <f t="shared" si="697"/>
        <v>NO APLICA</v>
      </c>
      <c r="BO205" s="14"/>
      <c r="BP205" s="14"/>
      <c r="BQ205" s="14"/>
      <c r="BR205" s="16"/>
      <c r="BS205" s="15" t="str">
        <f t="shared" si="698"/>
        <v>NO APLICA</v>
      </c>
      <c r="BT205" s="14"/>
      <c r="BU205" s="14"/>
      <c r="BV205" s="14"/>
      <c r="BW205" s="16"/>
      <c r="BX205" s="15" t="str">
        <f t="shared" si="699"/>
        <v>NO APLICA</v>
      </c>
      <c r="BY205" s="14"/>
      <c r="BZ205" s="14"/>
      <c r="CA205" s="14"/>
      <c r="CB205" s="16"/>
      <c r="CC205" s="15" t="str">
        <f t="shared" si="700"/>
        <v>NO APLICA</v>
      </c>
      <c r="CD205" s="16" t="s">
        <v>183</v>
      </c>
      <c r="CE205" s="14">
        <v>44586</v>
      </c>
      <c r="CF205" s="14">
        <v>44587</v>
      </c>
      <c r="CG205" s="14">
        <f>DATE(YEAR(CF205)+4,MONTH(CF205),DAY(CF205))</f>
        <v>46048</v>
      </c>
      <c r="CH205" s="65">
        <f ca="1">CG205-TODAY()</f>
        <v>-83</v>
      </c>
      <c r="CI205" s="15" t="str">
        <f ca="1">IF(CH205&gt;=90,"VIGENTE",IF(CH205&gt;=1,"POR VENCER",IF(CH205&lt;=-1,"VENCIDA",IF(CH205=0,"NO APLICA"))))</f>
        <v>VENCIDA</v>
      </c>
      <c r="CJ205" s="14"/>
      <c r="CK205" s="14"/>
      <c r="CL205" s="14"/>
      <c r="CM205" s="16"/>
      <c r="CN205" s="15" t="str">
        <f t="shared" si="701"/>
        <v>NO APLICA</v>
      </c>
      <c r="CO205" s="14"/>
      <c r="CP205" s="14"/>
      <c r="CQ205" s="14"/>
      <c r="CR205" s="16"/>
      <c r="CS205" s="15" t="str">
        <f t="shared" si="702"/>
        <v>NO APLICA</v>
      </c>
      <c r="CT205" s="14"/>
      <c r="CU205" s="14"/>
      <c r="CV205" s="14"/>
      <c r="CW205" s="16"/>
      <c r="CX205" s="15" t="str">
        <f t="shared" si="703"/>
        <v>NO APLICA</v>
      </c>
      <c r="CY205" s="14"/>
      <c r="CZ205" s="14"/>
      <c r="DA205" s="14"/>
      <c r="DB205" s="16"/>
      <c r="DC205" s="15" t="str">
        <f t="shared" si="704"/>
        <v>NO APLICA</v>
      </c>
      <c r="DD205" s="14"/>
      <c r="DE205" s="14"/>
      <c r="DF205" s="14"/>
      <c r="DG205" s="16"/>
      <c r="DH205" s="15" t="str">
        <f t="shared" si="705"/>
        <v>NO APLICA</v>
      </c>
      <c r="DI205" s="14"/>
      <c r="DJ205" s="14"/>
      <c r="DK205" s="14"/>
      <c r="DL205" s="16"/>
      <c r="DM205" s="15" t="str">
        <f t="shared" si="706"/>
        <v>NO APLICA</v>
      </c>
      <c r="DN205" s="14"/>
      <c r="DO205" s="14"/>
      <c r="DP205" s="14"/>
      <c r="DQ205" s="16"/>
      <c r="DR205" s="15" t="str">
        <f t="shared" si="707"/>
        <v>NO APLICA</v>
      </c>
      <c r="DS205" s="14"/>
      <c r="DT205" s="14"/>
      <c r="DU205" s="14"/>
      <c r="DV205" s="16"/>
      <c r="DW205" s="15" t="str">
        <f t="shared" si="708"/>
        <v>NO APLICA</v>
      </c>
      <c r="DX205" s="14"/>
      <c r="DY205" s="14"/>
      <c r="DZ205" s="14"/>
      <c r="EA205" s="16"/>
      <c r="EB205" s="15" t="str">
        <f t="shared" si="709"/>
        <v>NO APLICA</v>
      </c>
      <c r="EC205" s="14"/>
      <c r="ED205" s="14"/>
      <c r="EE205" s="14"/>
      <c r="EF205" s="16"/>
      <c r="EG205" s="15" t="str">
        <f t="shared" si="710"/>
        <v>NO APLICA</v>
      </c>
      <c r="EH205" s="14"/>
      <c r="EI205" s="14"/>
      <c r="EJ205" s="14"/>
      <c r="EK205" s="14"/>
      <c r="EL205" s="14"/>
      <c r="EM205" s="65"/>
      <c r="EN205" s="15" t="str">
        <f t="shared" si="711"/>
        <v>NO APLICA</v>
      </c>
      <c r="EO205" s="14"/>
      <c r="EP205" s="14"/>
      <c r="EQ205" s="14"/>
      <c r="ER205" s="65"/>
      <c r="ES205" s="15" t="str">
        <f t="shared" si="712"/>
        <v>NO APLICA</v>
      </c>
      <c r="ET205" s="14"/>
      <c r="EU205" s="14"/>
      <c r="EV205" s="14"/>
      <c r="EW205" s="65"/>
      <c r="EX205" s="15" t="str">
        <f t="shared" si="713"/>
        <v>NO APLICA</v>
      </c>
      <c r="EY205" s="14"/>
      <c r="EZ205" s="14"/>
      <c r="FA205" s="14"/>
      <c r="FB205" s="16"/>
      <c r="FC205" s="15" t="str">
        <f t="shared" si="714"/>
        <v>NO APLICA</v>
      </c>
      <c r="FD205" s="14"/>
      <c r="FE205" s="14"/>
      <c r="FF205" s="14"/>
      <c r="FG205" s="16"/>
      <c r="FH205" s="15" t="str">
        <f t="shared" si="715"/>
        <v>NO APLICA</v>
      </c>
      <c r="FI205" s="14"/>
      <c r="FJ205" s="14"/>
      <c r="FK205" s="14"/>
      <c r="FL205" s="16"/>
      <c r="FM205" s="15" t="str">
        <f t="shared" si="716"/>
        <v>NO APLICA</v>
      </c>
      <c r="FN205" s="14"/>
      <c r="FO205" s="14"/>
      <c r="FP205" s="14"/>
      <c r="FQ205" s="16"/>
      <c r="FR205" s="15" t="str">
        <f t="shared" si="717"/>
        <v>NO APLICA</v>
      </c>
      <c r="FS205" s="14"/>
      <c r="FT205" s="14"/>
      <c r="FU205" s="14"/>
      <c r="FV205" s="16"/>
      <c r="FW205" s="15" t="str">
        <f t="shared" si="718"/>
        <v>NO APLICA</v>
      </c>
      <c r="FX205" s="14"/>
      <c r="FY205" s="14"/>
      <c r="FZ205" s="14"/>
      <c r="GA205" s="16"/>
      <c r="GB205" s="15" t="str">
        <f t="shared" si="719"/>
        <v>NO APLICA</v>
      </c>
      <c r="GC205" s="14"/>
      <c r="GD205" s="14"/>
      <c r="GE205" s="14"/>
      <c r="GF205" s="16"/>
      <c r="GG205" s="15" t="str">
        <f t="shared" si="720"/>
        <v>NO APLICA</v>
      </c>
      <c r="GH205" s="14"/>
      <c r="GI205" s="14"/>
      <c r="GJ205" s="14"/>
      <c r="GK205" s="65"/>
      <c r="GL205" s="15" t="str">
        <f t="shared" si="721"/>
        <v>NO APLICA</v>
      </c>
      <c r="GM205" s="14"/>
      <c r="GN205" s="16"/>
      <c r="GO205" s="16"/>
      <c r="GP205" s="16"/>
      <c r="GQ205" s="15" t="str">
        <f t="shared" si="722"/>
        <v>NO APLICA</v>
      </c>
      <c r="GR205" s="14"/>
      <c r="GS205" s="16"/>
      <c r="GT205" s="16"/>
      <c r="GU205" s="16"/>
      <c r="GV205" s="15" t="str">
        <f t="shared" si="601"/>
        <v>NO APLICA</v>
      </c>
      <c r="GW205" s="14"/>
      <c r="GX205" s="16"/>
      <c r="GY205" s="16"/>
      <c r="GZ205" s="16"/>
      <c r="HA205" s="15" t="str">
        <f t="shared" si="602"/>
        <v>NO APLICA</v>
      </c>
      <c r="HB205" s="16"/>
      <c r="HC205" s="16"/>
      <c r="HD205" s="16"/>
      <c r="HE205" s="16"/>
      <c r="HF205" s="15" t="str">
        <f t="shared" si="603"/>
        <v>NO APLICA</v>
      </c>
      <c r="HG205" s="16"/>
      <c r="HH205" s="16"/>
      <c r="HI205" s="14"/>
      <c r="HJ205" s="65"/>
      <c r="HK205" s="15" t="str">
        <f t="shared" si="690"/>
        <v>NO APLICA</v>
      </c>
      <c r="HL205" s="16"/>
      <c r="HM205" s="16"/>
      <c r="HN205" s="16"/>
      <c r="HO205" s="16"/>
      <c r="HP205" s="15" t="str">
        <f t="shared" si="686"/>
        <v>NO APLICA</v>
      </c>
      <c r="HQ205" s="16"/>
      <c r="HR205" s="16"/>
      <c r="HS205" s="16"/>
      <c r="HT205" s="16"/>
      <c r="HU205" s="15" t="str">
        <f t="shared" si="723"/>
        <v>NO APLICA</v>
      </c>
      <c r="HV205" s="16"/>
      <c r="HW205" s="16"/>
      <c r="HX205" s="16"/>
      <c r="HY205" s="16"/>
      <c r="HZ205" s="15" t="str">
        <f t="shared" si="724"/>
        <v>NO APLICA</v>
      </c>
      <c r="IA205" s="16"/>
      <c r="IB205" s="16"/>
      <c r="IC205" s="16"/>
      <c r="ID205" s="16"/>
      <c r="IE205" s="15" t="str">
        <f t="shared" si="725"/>
        <v>NO APLICA</v>
      </c>
      <c r="IF205" s="16"/>
      <c r="IG205" s="16"/>
      <c r="IH205" s="16"/>
      <c r="II205" s="16"/>
      <c r="IJ205" s="15" t="str">
        <f t="shared" si="726"/>
        <v>NO APLICA</v>
      </c>
      <c r="IK205" s="16"/>
      <c r="IL205" s="16"/>
      <c r="IM205" s="16"/>
      <c r="IN205" s="16"/>
      <c r="IO205" s="15" t="str">
        <f t="shared" si="727"/>
        <v>NO APLICA</v>
      </c>
      <c r="IP205" s="16"/>
      <c r="IQ205" s="16"/>
      <c r="IR205" s="16"/>
      <c r="IS205" s="16"/>
      <c r="IT205" s="15" t="str">
        <f t="shared" si="728"/>
        <v>NO APLICA</v>
      </c>
      <c r="IU205" s="16"/>
      <c r="IV205" s="16"/>
      <c r="IW205" s="16"/>
      <c r="IX205" s="16"/>
      <c r="IY205" s="15" t="str">
        <f t="shared" si="729"/>
        <v>NO APLICA</v>
      </c>
      <c r="IZ205" s="16"/>
      <c r="JA205" s="16"/>
      <c r="JB205" s="16"/>
      <c r="JC205" s="16"/>
      <c r="JD205" s="15" t="str">
        <f t="shared" si="730"/>
        <v>NO APLICA</v>
      </c>
      <c r="JE205" s="16"/>
      <c r="JF205" s="16"/>
      <c r="JG205" s="16"/>
      <c r="JH205" s="16"/>
      <c r="JI205" s="15" t="str">
        <f t="shared" si="731"/>
        <v>NO APLICA</v>
      </c>
      <c r="JJ205" s="16"/>
      <c r="JK205" s="16"/>
      <c r="JL205" s="16"/>
      <c r="JM205" s="15" t="str">
        <f t="shared" si="732"/>
        <v>NO APLICA</v>
      </c>
      <c r="JN205" s="16"/>
      <c r="JO205" s="16"/>
      <c r="JP205" s="16"/>
      <c r="JQ205" s="15" t="str">
        <f t="shared" si="733"/>
        <v>NO APLICA</v>
      </c>
      <c r="JR205" s="16"/>
      <c r="JS205" s="16"/>
      <c r="JT205" s="16"/>
      <c r="JU205" s="16"/>
      <c r="JV205" s="15" t="str">
        <f t="shared" si="734"/>
        <v>NO APLICA</v>
      </c>
      <c r="JW205" s="15"/>
      <c r="JX205" s="13">
        <v>45948</v>
      </c>
      <c r="JY205" s="14">
        <f t="shared" si="757"/>
        <v>46678</v>
      </c>
      <c r="JZ205" s="65">
        <f ca="1">JY205-TODAY()</f>
        <v>547</v>
      </c>
      <c r="KA205" s="15" t="str">
        <f ca="1">IF(JZ205&gt;=61,"VIGENTE",IF(JZ205&gt;=1,"POR VENCER",IF(JZ205&lt;=-1,"VENCIDA",IF(JX205=0,"NO APLICA"))))</f>
        <v>VIGENTE</v>
      </c>
      <c r="KB205" s="16"/>
      <c r="KC205" s="16"/>
      <c r="KD205" s="16"/>
      <c r="KE205" s="15" t="str">
        <f t="shared" si="736"/>
        <v>NO APLICA</v>
      </c>
      <c r="KF205" s="16"/>
      <c r="KG205" s="16"/>
      <c r="KH205" s="16"/>
      <c r="KI205" s="15" t="str">
        <f t="shared" si="749"/>
        <v>NO APLICA</v>
      </c>
      <c r="KJ205" s="16"/>
      <c r="KK205" s="16"/>
      <c r="KL205" s="16"/>
      <c r="KM205" s="15" t="str">
        <f t="shared" si="737"/>
        <v>NO APLICA</v>
      </c>
      <c r="KN205" s="16"/>
      <c r="KO205" s="16"/>
      <c r="KP205" s="16"/>
      <c r="KQ205" s="15" t="str">
        <f t="shared" si="750"/>
        <v>NO APLICA</v>
      </c>
      <c r="KR205" s="16"/>
      <c r="KS205" s="16"/>
      <c r="KT205" s="16"/>
      <c r="KU205" s="16"/>
      <c r="KV205" s="15" t="str">
        <f t="shared" si="755"/>
        <v>NO APLICA</v>
      </c>
      <c r="KW205" s="16"/>
      <c r="KX205" s="16"/>
      <c r="KY205" s="16"/>
      <c r="KZ205" s="15" t="str">
        <f t="shared" si="751"/>
        <v>NO APLICA</v>
      </c>
      <c r="LA205" s="16"/>
      <c r="LB205" s="16"/>
      <c r="LC205" s="16"/>
      <c r="LD205" s="16"/>
      <c r="LE205" s="15" t="str">
        <f t="shared" si="590"/>
        <v>NO APLICA</v>
      </c>
      <c r="LF205" s="15"/>
      <c r="LG205" s="15"/>
      <c r="LH205" s="14"/>
      <c r="LI205" s="65"/>
      <c r="LJ205" s="15" t="str">
        <f t="shared" si="756"/>
        <v>NO APLICA</v>
      </c>
      <c r="LK205" s="16"/>
      <c r="LL205" s="16"/>
      <c r="LM205" s="16"/>
      <c r="LN205" s="16"/>
      <c r="LO205" s="15" t="str">
        <f t="shared" si="752"/>
        <v>NO APLICA</v>
      </c>
      <c r="LP205" s="16"/>
      <c r="LQ205" s="16"/>
      <c r="LR205" s="16"/>
      <c r="LS205" s="16"/>
      <c r="LT205" s="15" t="str">
        <f t="shared" si="753"/>
        <v>NO APLICA</v>
      </c>
      <c r="LU205" s="16"/>
      <c r="LV205" s="16"/>
      <c r="LW205" s="16"/>
      <c r="LX205" s="16"/>
      <c r="LY205" s="15" t="str">
        <f t="shared" si="754"/>
        <v>NO APLICA</v>
      </c>
      <c r="LZ205" s="16"/>
      <c r="MA205" s="16"/>
      <c r="MB205" s="16"/>
      <c r="MC205" s="16"/>
      <c r="MD205" s="15" t="str">
        <f t="shared" si="738"/>
        <v>NO APLICA</v>
      </c>
      <c r="ME205" s="16"/>
      <c r="MF205" s="16"/>
      <c r="MG205" s="16"/>
      <c r="MH205" s="16"/>
      <c r="MI205" s="15" t="str">
        <f t="shared" si="739"/>
        <v>NO APLICA</v>
      </c>
      <c r="MJ205" s="16"/>
      <c r="MK205" s="16"/>
      <c r="ML205" s="16"/>
      <c r="MM205" s="15" t="str">
        <f t="shared" si="740"/>
        <v>NO APLICA</v>
      </c>
      <c r="MN205" s="16"/>
      <c r="MO205" s="16"/>
      <c r="MP205" s="16"/>
      <c r="MQ205" s="15" t="str">
        <f t="shared" si="741"/>
        <v>NO APLICA</v>
      </c>
      <c r="MR205" s="16"/>
      <c r="MS205" s="16"/>
      <c r="MT205" s="16"/>
      <c r="MU205" s="16"/>
      <c r="MV205" s="15" t="str">
        <f t="shared" si="742"/>
        <v>NO APLICA</v>
      </c>
      <c r="MW205" s="16"/>
      <c r="MX205" s="16"/>
      <c r="MY205" s="16"/>
      <c r="MZ205" s="16"/>
      <c r="NA205" s="15" t="str">
        <f t="shared" si="743"/>
        <v>NO APLICA</v>
      </c>
      <c r="NB205" s="16"/>
      <c r="NC205" s="14">
        <v>44751</v>
      </c>
      <c r="ND205" s="14">
        <f>DATE(YEAR(NC205)+5,MONTH(NC205),DAY(NC205))</f>
        <v>46577</v>
      </c>
      <c r="NE205" s="65">
        <f ca="1">ND205-TODAY()</f>
        <v>446</v>
      </c>
      <c r="NF205" s="15" t="str">
        <f ca="1">IF(NE205&gt;=61,"VIGENTE",IF(NE205&gt;=1,"POR VENCER",IF(NE205&lt;=-1,"VENCIDA",IF(NC205=0,"NO APLICA"))))</f>
        <v>VIGENTE</v>
      </c>
      <c r="NG205" s="16"/>
      <c r="NH205" s="16"/>
      <c r="NI205" s="16"/>
      <c r="NJ205" s="16"/>
      <c r="NK205" s="15" t="str">
        <f t="shared" si="745"/>
        <v>NO APLICA</v>
      </c>
      <c r="NL205" s="16"/>
      <c r="NM205" s="16"/>
      <c r="NN205" s="16"/>
      <c r="NO205" s="16"/>
      <c r="NP205" s="15" t="str">
        <f t="shared" si="746"/>
        <v>NO APLICA</v>
      </c>
      <c r="NQ205" s="16"/>
      <c r="NR205" s="16"/>
      <c r="NS205" s="16"/>
      <c r="NT205" s="16"/>
      <c r="NU205" s="15" t="str">
        <f t="shared" si="747"/>
        <v>NO APLICA</v>
      </c>
      <c r="NV205" s="16"/>
      <c r="NW205" s="16"/>
      <c r="NX205" s="16"/>
      <c r="NY205" s="16"/>
      <c r="NZ205" s="15" t="str">
        <f t="shared" si="748"/>
        <v>NO APLICA</v>
      </c>
    </row>
    <row r="206" spans="1:390" ht="15.6" thickTop="1" thickBot="1" x14ac:dyDescent="0.35">
      <c r="A206" s="11">
        <v>1561</v>
      </c>
      <c r="B206" s="10" t="s">
        <v>704</v>
      </c>
      <c r="C206" s="21" t="s">
        <v>98</v>
      </c>
      <c r="D206" s="64" t="s">
        <v>705</v>
      </c>
      <c r="E206" s="16"/>
      <c r="F206" s="16"/>
      <c r="G206" s="16"/>
      <c r="H206" s="16"/>
      <c r="I206" s="15" t="str">
        <f t="shared" si="688"/>
        <v>NO APLICA</v>
      </c>
      <c r="J206" s="16"/>
      <c r="K206" s="16"/>
      <c r="L206" s="16"/>
      <c r="M206" s="16"/>
      <c r="N206" s="15" t="str">
        <f t="shared" si="691"/>
        <v>NO APLICA</v>
      </c>
      <c r="O206" s="16"/>
      <c r="P206" s="16"/>
      <c r="Q206" s="16"/>
      <c r="R206" s="16"/>
      <c r="S206" s="15" t="str">
        <f t="shared" si="689"/>
        <v>NO APLICA</v>
      </c>
      <c r="T206" s="16"/>
      <c r="U206" s="14"/>
      <c r="V206" s="14"/>
      <c r="W206" s="14"/>
      <c r="X206" s="65"/>
      <c r="Y206" s="15" t="str">
        <f t="shared" si="595"/>
        <v>NO APLICA</v>
      </c>
      <c r="Z206" s="16"/>
      <c r="AA206" s="16"/>
      <c r="AB206" s="16"/>
      <c r="AC206" s="16"/>
      <c r="AD206" s="16"/>
      <c r="AE206" s="15" t="str">
        <f t="shared" si="598"/>
        <v>NO APLICA</v>
      </c>
      <c r="AF206" s="14"/>
      <c r="AG206" s="14"/>
      <c r="AH206" s="14"/>
      <c r="AI206" s="16"/>
      <c r="AJ206" s="15" t="str">
        <f t="shared" si="592"/>
        <v>NO APLICA</v>
      </c>
      <c r="AK206" s="14"/>
      <c r="AL206" s="14"/>
      <c r="AM206" s="14"/>
      <c r="AN206" s="16"/>
      <c r="AO206" s="15" t="str">
        <f t="shared" si="692"/>
        <v>NO APLICA</v>
      </c>
      <c r="AP206" s="14"/>
      <c r="AQ206" s="14"/>
      <c r="AR206" s="14"/>
      <c r="AS206" s="16"/>
      <c r="AT206" s="15" t="str">
        <f t="shared" si="693"/>
        <v>NO APLICA</v>
      </c>
      <c r="AU206" s="14"/>
      <c r="AV206" s="14"/>
      <c r="AW206" s="14"/>
      <c r="AX206" s="16"/>
      <c r="AY206" s="15" t="str">
        <f t="shared" si="694"/>
        <v>NO APLICA</v>
      </c>
      <c r="AZ206" s="14"/>
      <c r="BA206" s="14"/>
      <c r="BB206" s="14"/>
      <c r="BC206" s="16"/>
      <c r="BD206" s="15" t="str">
        <f t="shared" si="695"/>
        <v>NO APLICA</v>
      </c>
      <c r="BE206" s="14"/>
      <c r="BF206" s="14"/>
      <c r="BG206" s="14"/>
      <c r="BH206" s="16"/>
      <c r="BI206" s="15" t="str">
        <f t="shared" si="696"/>
        <v>NO APLICA</v>
      </c>
      <c r="BJ206" s="14"/>
      <c r="BK206" s="14"/>
      <c r="BL206" s="14"/>
      <c r="BM206" s="16"/>
      <c r="BN206" s="15" t="str">
        <f t="shared" si="697"/>
        <v>NO APLICA</v>
      </c>
      <c r="BO206" s="14"/>
      <c r="BP206" s="14"/>
      <c r="BQ206" s="14"/>
      <c r="BR206" s="16"/>
      <c r="BS206" s="15" t="str">
        <f t="shared" si="698"/>
        <v>NO APLICA</v>
      </c>
      <c r="BT206" s="14"/>
      <c r="BU206" s="14"/>
      <c r="BV206" s="14"/>
      <c r="BW206" s="16"/>
      <c r="BX206" s="15" t="str">
        <f t="shared" si="699"/>
        <v>NO APLICA</v>
      </c>
      <c r="BY206" s="14"/>
      <c r="BZ206" s="14"/>
      <c r="CA206" s="14"/>
      <c r="CB206" s="16"/>
      <c r="CC206" s="15" t="str">
        <f t="shared" si="700"/>
        <v>NO APLICA</v>
      </c>
      <c r="CD206" s="16"/>
      <c r="CE206" s="16"/>
      <c r="CF206" s="16"/>
      <c r="CG206" s="16"/>
      <c r="CH206" s="16"/>
      <c r="CI206" s="15" t="str">
        <f t="shared" si="562"/>
        <v>NO APLICA</v>
      </c>
      <c r="CJ206" s="14"/>
      <c r="CK206" s="14"/>
      <c r="CL206" s="14"/>
      <c r="CM206" s="16"/>
      <c r="CN206" s="15" t="str">
        <f t="shared" si="701"/>
        <v>NO APLICA</v>
      </c>
      <c r="CO206" s="14"/>
      <c r="CP206" s="14"/>
      <c r="CQ206" s="14"/>
      <c r="CR206" s="16"/>
      <c r="CS206" s="15" t="str">
        <f t="shared" si="702"/>
        <v>NO APLICA</v>
      </c>
      <c r="CT206" s="14"/>
      <c r="CU206" s="14"/>
      <c r="CV206" s="14"/>
      <c r="CW206" s="16"/>
      <c r="CX206" s="15" t="str">
        <f t="shared" si="703"/>
        <v>NO APLICA</v>
      </c>
      <c r="CY206" s="14"/>
      <c r="CZ206" s="14"/>
      <c r="DA206" s="14"/>
      <c r="DB206" s="16"/>
      <c r="DC206" s="15" t="str">
        <f t="shared" si="704"/>
        <v>NO APLICA</v>
      </c>
      <c r="DD206" s="14"/>
      <c r="DE206" s="14"/>
      <c r="DF206" s="14"/>
      <c r="DG206" s="16"/>
      <c r="DH206" s="15" t="str">
        <f t="shared" si="705"/>
        <v>NO APLICA</v>
      </c>
      <c r="DI206" s="14"/>
      <c r="DJ206" s="14"/>
      <c r="DK206" s="14"/>
      <c r="DL206" s="16"/>
      <c r="DM206" s="15" t="str">
        <f t="shared" si="706"/>
        <v>NO APLICA</v>
      </c>
      <c r="DN206" s="14"/>
      <c r="DO206" s="14"/>
      <c r="DP206" s="14"/>
      <c r="DQ206" s="16"/>
      <c r="DR206" s="15" t="str">
        <f t="shared" si="707"/>
        <v>NO APLICA</v>
      </c>
      <c r="DS206" s="14"/>
      <c r="DT206" s="14"/>
      <c r="DU206" s="14"/>
      <c r="DV206" s="16"/>
      <c r="DW206" s="15" t="str">
        <f t="shared" si="708"/>
        <v>NO APLICA</v>
      </c>
      <c r="DX206" s="14"/>
      <c r="DY206" s="14"/>
      <c r="DZ206" s="14"/>
      <c r="EA206" s="16"/>
      <c r="EB206" s="15" t="str">
        <f t="shared" si="709"/>
        <v>NO APLICA</v>
      </c>
      <c r="EC206" s="14"/>
      <c r="ED206" s="14"/>
      <c r="EE206" s="14"/>
      <c r="EF206" s="16"/>
      <c r="EG206" s="15" t="str">
        <f t="shared" si="710"/>
        <v>NO APLICA</v>
      </c>
      <c r="EH206" s="14"/>
      <c r="EI206" s="14"/>
      <c r="EJ206" s="14"/>
      <c r="EK206" s="14"/>
      <c r="EL206" s="14"/>
      <c r="EM206" s="65"/>
      <c r="EN206" s="15" t="str">
        <f t="shared" si="711"/>
        <v>NO APLICA</v>
      </c>
      <c r="EO206" s="14"/>
      <c r="EP206" s="14"/>
      <c r="EQ206" s="14"/>
      <c r="ER206" s="65"/>
      <c r="ES206" s="15" t="str">
        <f t="shared" si="712"/>
        <v>NO APLICA</v>
      </c>
      <c r="ET206" s="14"/>
      <c r="EU206" s="14"/>
      <c r="EV206" s="14"/>
      <c r="EW206" s="65"/>
      <c r="EX206" s="15" t="str">
        <f t="shared" si="713"/>
        <v>NO APLICA</v>
      </c>
      <c r="EY206" s="14"/>
      <c r="EZ206" s="14"/>
      <c r="FA206" s="14"/>
      <c r="FB206" s="16"/>
      <c r="FC206" s="15" t="str">
        <f t="shared" si="714"/>
        <v>NO APLICA</v>
      </c>
      <c r="FD206" s="14"/>
      <c r="FE206" s="14"/>
      <c r="FF206" s="14"/>
      <c r="FG206" s="16"/>
      <c r="FH206" s="15" t="str">
        <f t="shared" si="715"/>
        <v>NO APLICA</v>
      </c>
      <c r="FI206" s="14"/>
      <c r="FJ206" s="14"/>
      <c r="FK206" s="14"/>
      <c r="FL206" s="16"/>
      <c r="FM206" s="15" t="str">
        <f t="shared" si="716"/>
        <v>NO APLICA</v>
      </c>
      <c r="FN206" s="14"/>
      <c r="FO206" s="14"/>
      <c r="FP206" s="14"/>
      <c r="FQ206" s="16"/>
      <c r="FR206" s="15" t="str">
        <f t="shared" si="717"/>
        <v>NO APLICA</v>
      </c>
      <c r="FS206" s="14"/>
      <c r="FT206" s="14"/>
      <c r="FU206" s="14"/>
      <c r="FV206" s="16"/>
      <c r="FW206" s="15" t="str">
        <f t="shared" si="718"/>
        <v>NO APLICA</v>
      </c>
      <c r="FX206" s="14"/>
      <c r="FY206" s="14"/>
      <c r="FZ206" s="14"/>
      <c r="GA206" s="16"/>
      <c r="GB206" s="15" t="str">
        <f t="shared" si="719"/>
        <v>NO APLICA</v>
      </c>
      <c r="GC206" s="14"/>
      <c r="GD206" s="14"/>
      <c r="GE206" s="14"/>
      <c r="GF206" s="16"/>
      <c r="GG206" s="15" t="str">
        <f t="shared" si="720"/>
        <v>NO APLICA</v>
      </c>
      <c r="GH206" s="14"/>
      <c r="GI206" s="14"/>
      <c r="GJ206" s="14"/>
      <c r="GK206" s="65"/>
      <c r="GL206" s="15" t="str">
        <f t="shared" si="721"/>
        <v>NO APLICA</v>
      </c>
      <c r="GM206" s="14"/>
      <c r="GN206" s="16"/>
      <c r="GO206" s="16"/>
      <c r="GP206" s="16"/>
      <c r="GQ206" s="15" t="str">
        <f t="shared" si="722"/>
        <v>NO APLICA</v>
      </c>
      <c r="GR206" s="14"/>
      <c r="GS206" s="16"/>
      <c r="GT206" s="16"/>
      <c r="GU206" s="16"/>
      <c r="GV206" s="15" t="str">
        <f t="shared" si="601"/>
        <v>NO APLICA</v>
      </c>
      <c r="GW206" s="14"/>
      <c r="GX206" s="16"/>
      <c r="GY206" s="16"/>
      <c r="GZ206" s="16"/>
      <c r="HA206" s="15" t="str">
        <f t="shared" si="602"/>
        <v>NO APLICA</v>
      </c>
      <c r="HB206" s="16"/>
      <c r="HC206" s="16"/>
      <c r="HD206" s="16"/>
      <c r="HE206" s="16"/>
      <c r="HF206" s="15" t="str">
        <f t="shared" si="603"/>
        <v>NO APLICA</v>
      </c>
      <c r="HG206" s="16"/>
      <c r="HH206" s="16"/>
      <c r="HI206" s="14"/>
      <c r="HJ206" s="65"/>
      <c r="HK206" s="15" t="str">
        <f t="shared" si="690"/>
        <v>NO APLICA</v>
      </c>
      <c r="HL206" s="16"/>
      <c r="HM206" s="16"/>
      <c r="HN206" s="16"/>
      <c r="HO206" s="16"/>
      <c r="HP206" s="15" t="str">
        <f t="shared" si="686"/>
        <v>NO APLICA</v>
      </c>
      <c r="HQ206" s="16"/>
      <c r="HR206" s="16"/>
      <c r="HS206" s="16"/>
      <c r="HT206" s="16"/>
      <c r="HU206" s="15" t="str">
        <f t="shared" si="723"/>
        <v>NO APLICA</v>
      </c>
      <c r="HV206" s="16"/>
      <c r="HW206" s="16"/>
      <c r="HX206" s="16"/>
      <c r="HY206" s="16"/>
      <c r="HZ206" s="15" t="str">
        <f t="shared" si="724"/>
        <v>NO APLICA</v>
      </c>
      <c r="IA206" s="16"/>
      <c r="IB206" s="16"/>
      <c r="IC206" s="16"/>
      <c r="ID206" s="16"/>
      <c r="IE206" s="15" t="str">
        <f t="shared" si="725"/>
        <v>NO APLICA</v>
      </c>
      <c r="IF206" s="16"/>
      <c r="IG206" s="16"/>
      <c r="IH206" s="16"/>
      <c r="II206" s="16"/>
      <c r="IJ206" s="15" t="str">
        <f t="shared" si="726"/>
        <v>NO APLICA</v>
      </c>
      <c r="IK206" s="16"/>
      <c r="IL206" s="16"/>
      <c r="IM206" s="16"/>
      <c r="IN206" s="16"/>
      <c r="IO206" s="15" t="str">
        <f t="shared" si="727"/>
        <v>NO APLICA</v>
      </c>
      <c r="IP206" s="16"/>
      <c r="IQ206" s="16"/>
      <c r="IR206" s="16"/>
      <c r="IS206" s="16"/>
      <c r="IT206" s="15" t="str">
        <f t="shared" si="728"/>
        <v>NO APLICA</v>
      </c>
      <c r="IU206" s="16"/>
      <c r="IV206" s="16"/>
      <c r="IW206" s="16"/>
      <c r="IX206" s="16"/>
      <c r="IY206" s="15" t="str">
        <f t="shared" si="729"/>
        <v>NO APLICA</v>
      </c>
      <c r="IZ206" s="16"/>
      <c r="JA206" s="16"/>
      <c r="JB206" s="16"/>
      <c r="JC206" s="16"/>
      <c r="JD206" s="15" t="str">
        <f t="shared" si="730"/>
        <v>NO APLICA</v>
      </c>
      <c r="JE206" s="16"/>
      <c r="JF206" s="16"/>
      <c r="JG206" s="16"/>
      <c r="JH206" s="16"/>
      <c r="JI206" s="15" t="str">
        <f t="shared" si="731"/>
        <v>NO APLICA</v>
      </c>
      <c r="JJ206" s="16"/>
      <c r="JK206" s="16"/>
      <c r="JL206" s="16"/>
      <c r="JM206" s="15" t="str">
        <f t="shared" si="732"/>
        <v>NO APLICA</v>
      </c>
      <c r="JN206" s="16"/>
      <c r="JO206" s="16"/>
      <c r="JP206" s="16"/>
      <c r="JQ206" s="15" t="str">
        <f t="shared" si="733"/>
        <v>NO APLICA</v>
      </c>
      <c r="JR206" s="16"/>
      <c r="JS206" s="16"/>
      <c r="JT206" s="16"/>
      <c r="JU206" s="16"/>
      <c r="JV206" s="15" t="str">
        <f t="shared" si="734"/>
        <v>NO APLICA</v>
      </c>
      <c r="JW206" s="15"/>
      <c r="JX206" s="15"/>
      <c r="JY206" s="15"/>
      <c r="JZ206" s="15"/>
      <c r="KA206" s="15" t="str">
        <f t="shared" si="735"/>
        <v>NO APLICA</v>
      </c>
      <c r="KB206" s="16"/>
      <c r="KC206" s="16"/>
      <c r="KD206" s="16"/>
      <c r="KE206" s="15" t="str">
        <f t="shared" si="736"/>
        <v>NO APLICA</v>
      </c>
      <c r="KF206" s="16"/>
      <c r="KG206" s="16"/>
      <c r="KH206" s="16"/>
      <c r="KI206" s="15" t="str">
        <f t="shared" si="749"/>
        <v>NO APLICA</v>
      </c>
      <c r="KJ206" s="16"/>
      <c r="KK206" s="16"/>
      <c r="KL206" s="16"/>
      <c r="KM206" s="15" t="str">
        <f t="shared" si="737"/>
        <v>NO APLICA</v>
      </c>
      <c r="KN206" s="16"/>
      <c r="KO206" s="16"/>
      <c r="KP206" s="16"/>
      <c r="KQ206" s="15" t="str">
        <f t="shared" si="750"/>
        <v>NO APLICA</v>
      </c>
      <c r="KR206" s="16"/>
      <c r="KS206" s="16"/>
      <c r="KT206" s="16"/>
      <c r="KU206" s="16"/>
      <c r="KV206" s="15" t="str">
        <f t="shared" si="755"/>
        <v>NO APLICA</v>
      </c>
      <c r="KW206" s="16"/>
      <c r="KX206" s="16"/>
      <c r="KY206" s="16"/>
      <c r="KZ206" s="15" t="str">
        <f t="shared" si="751"/>
        <v>NO APLICA</v>
      </c>
      <c r="LA206" s="16"/>
      <c r="LB206" s="16"/>
      <c r="LC206" s="16"/>
      <c r="LD206" s="16"/>
      <c r="LE206" s="15" t="str">
        <f t="shared" si="590"/>
        <v>NO APLICA</v>
      </c>
      <c r="LF206" s="15"/>
      <c r="LG206" s="15"/>
      <c r="LH206" s="14"/>
      <c r="LI206" s="65"/>
      <c r="LJ206" s="15" t="str">
        <f t="shared" si="756"/>
        <v>NO APLICA</v>
      </c>
      <c r="LK206" s="16"/>
      <c r="LL206" s="16"/>
      <c r="LM206" s="16"/>
      <c r="LN206" s="16"/>
      <c r="LO206" s="15" t="str">
        <f t="shared" si="752"/>
        <v>NO APLICA</v>
      </c>
      <c r="LP206" s="16"/>
      <c r="LQ206" s="16"/>
      <c r="LR206" s="16"/>
      <c r="LS206" s="16"/>
      <c r="LT206" s="15" t="str">
        <f t="shared" si="753"/>
        <v>NO APLICA</v>
      </c>
      <c r="LU206" s="16"/>
      <c r="LV206" s="16"/>
      <c r="LW206" s="16"/>
      <c r="LX206" s="16"/>
      <c r="LY206" s="15" t="str">
        <f t="shared" si="754"/>
        <v>NO APLICA</v>
      </c>
      <c r="LZ206" s="16"/>
      <c r="MA206" s="16"/>
      <c r="MB206" s="16"/>
      <c r="MC206" s="16"/>
      <c r="MD206" s="15" t="str">
        <f t="shared" si="738"/>
        <v>NO APLICA</v>
      </c>
      <c r="ME206" s="16"/>
      <c r="MF206" s="16"/>
      <c r="MG206" s="16"/>
      <c r="MH206" s="16"/>
      <c r="MI206" s="15" t="str">
        <f t="shared" si="739"/>
        <v>NO APLICA</v>
      </c>
      <c r="MJ206" s="16"/>
      <c r="MK206" s="16"/>
      <c r="ML206" s="16"/>
      <c r="MM206" s="15" t="str">
        <f t="shared" si="740"/>
        <v>NO APLICA</v>
      </c>
      <c r="MN206" s="16"/>
      <c r="MO206" s="16"/>
      <c r="MP206" s="16"/>
      <c r="MQ206" s="15" t="str">
        <f t="shared" si="741"/>
        <v>NO APLICA</v>
      </c>
      <c r="MR206" s="16"/>
      <c r="MS206" s="16"/>
      <c r="MT206" s="16"/>
      <c r="MU206" s="16"/>
      <c r="MV206" s="15" t="str">
        <f t="shared" si="742"/>
        <v>NO APLICA</v>
      </c>
      <c r="MW206" s="16"/>
      <c r="MX206" s="16"/>
      <c r="MY206" s="16"/>
      <c r="MZ206" s="16"/>
      <c r="NA206" s="15" t="str">
        <f t="shared" si="743"/>
        <v>NO APLICA</v>
      </c>
      <c r="NB206" s="16"/>
      <c r="NC206" s="16"/>
      <c r="ND206" s="16"/>
      <c r="NE206" s="16"/>
      <c r="NF206" s="15" t="str">
        <f t="shared" si="744"/>
        <v>NO APLICA</v>
      </c>
      <c r="NG206" s="16"/>
      <c r="NH206" s="16"/>
      <c r="NI206" s="16"/>
      <c r="NJ206" s="16"/>
      <c r="NK206" s="15" t="str">
        <f t="shared" si="745"/>
        <v>NO APLICA</v>
      </c>
      <c r="NL206" s="16"/>
      <c r="NM206" s="16"/>
      <c r="NN206" s="16"/>
      <c r="NO206" s="16"/>
      <c r="NP206" s="15" t="str">
        <f t="shared" si="746"/>
        <v>NO APLICA</v>
      </c>
      <c r="NQ206" s="16"/>
      <c r="NR206" s="16"/>
      <c r="NS206" s="16"/>
      <c r="NT206" s="16"/>
      <c r="NU206" s="15" t="str">
        <f t="shared" si="747"/>
        <v>NO APLICA</v>
      </c>
      <c r="NV206" s="16"/>
      <c r="NW206" s="16"/>
      <c r="NX206" s="16"/>
      <c r="NY206" s="16"/>
      <c r="NZ206" s="15" t="str">
        <f t="shared" si="748"/>
        <v>NO APLICA</v>
      </c>
    </row>
    <row r="207" spans="1:390" ht="15.6" thickTop="1" thickBot="1" x14ac:dyDescent="0.35">
      <c r="A207" s="9">
        <v>1656</v>
      </c>
      <c r="B207" s="10" t="s">
        <v>706</v>
      </c>
      <c r="C207" s="21" t="s">
        <v>699</v>
      </c>
      <c r="D207" s="64" t="s">
        <v>700</v>
      </c>
      <c r="E207" s="16"/>
      <c r="F207" s="16"/>
      <c r="G207" s="16"/>
      <c r="H207" s="16"/>
      <c r="I207" s="15" t="str">
        <f t="shared" si="688"/>
        <v>NO APLICA</v>
      </c>
      <c r="J207" s="16"/>
      <c r="K207" s="16"/>
      <c r="L207" s="16"/>
      <c r="M207" s="16"/>
      <c r="N207" s="15" t="str">
        <f t="shared" si="691"/>
        <v>NO APLICA</v>
      </c>
      <c r="O207" s="16"/>
      <c r="P207" s="16"/>
      <c r="Q207" s="16"/>
      <c r="R207" s="16"/>
      <c r="S207" s="15" t="str">
        <f t="shared" si="689"/>
        <v>NO APLICA</v>
      </c>
      <c r="T207" s="16"/>
      <c r="U207" s="14"/>
      <c r="V207" s="14"/>
      <c r="W207" s="14"/>
      <c r="X207" s="65"/>
      <c r="Y207" s="15" t="str">
        <f t="shared" si="595"/>
        <v>NO APLICA</v>
      </c>
      <c r="Z207" s="12"/>
      <c r="AA207" s="12"/>
      <c r="AB207" s="12"/>
      <c r="AC207" s="12"/>
      <c r="AD207" s="12"/>
      <c r="AE207" s="15" t="str">
        <f t="shared" si="598"/>
        <v>NO APLICA</v>
      </c>
      <c r="AF207" s="14"/>
      <c r="AG207" s="14"/>
      <c r="AH207" s="14"/>
      <c r="AI207" s="65"/>
      <c r="AJ207" s="15" t="str">
        <f t="shared" si="592"/>
        <v>NO APLICA</v>
      </c>
      <c r="AK207" s="14"/>
      <c r="AL207" s="14"/>
      <c r="AM207" s="14"/>
      <c r="AN207" s="65"/>
      <c r="AO207" s="15" t="str">
        <f t="shared" si="692"/>
        <v>NO APLICA</v>
      </c>
      <c r="AP207" s="14"/>
      <c r="AQ207" s="14"/>
      <c r="AR207" s="14"/>
      <c r="AS207" s="65"/>
      <c r="AT207" s="15" t="str">
        <f t="shared" si="693"/>
        <v>NO APLICA</v>
      </c>
      <c r="AU207" s="14"/>
      <c r="AV207" s="14"/>
      <c r="AW207" s="14"/>
      <c r="AX207" s="65"/>
      <c r="AY207" s="15" t="str">
        <f t="shared" si="694"/>
        <v>NO APLICA</v>
      </c>
      <c r="AZ207" s="14"/>
      <c r="BA207" s="14"/>
      <c r="BB207" s="14"/>
      <c r="BC207" s="65"/>
      <c r="BD207" s="15" t="str">
        <f t="shared" si="695"/>
        <v>NO APLICA</v>
      </c>
      <c r="BE207" s="14"/>
      <c r="BF207" s="14"/>
      <c r="BG207" s="14"/>
      <c r="BH207" s="65"/>
      <c r="BI207" s="15" t="str">
        <f t="shared" si="696"/>
        <v>NO APLICA</v>
      </c>
      <c r="BJ207" s="14"/>
      <c r="BK207" s="14"/>
      <c r="BL207" s="14"/>
      <c r="BM207" s="65"/>
      <c r="BN207" s="15" t="str">
        <f t="shared" si="697"/>
        <v>NO APLICA</v>
      </c>
      <c r="BO207" s="14"/>
      <c r="BP207" s="14"/>
      <c r="BQ207" s="14"/>
      <c r="BR207" s="65"/>
      <c r="BS207" s="15" t="str">
        <f t="shared" si="698"/>
        <v>NO APLICA</v>
      </c>
      <c r="BT207" s="14"/>
      <c r="BU207" s="14"/>
      <c r="BV207" s="14"/>
      <c r="BW207" s="65"/>
      <c r="BX207" s="15" t="str">
        <f t="shared" si="699"/>
        <v>NO APLICA</v>
      </c>
      <c r="BY207" s="14"/>
      <c r="BZ207" s="14"/>
      <c r="CA207" s="14"/>
      <c r="CB207" s="65"/>
      <c r="CC207" s="15" t="str">
        <f t="shared" si="700"/>
        <v>NO APLICA</v>
      </c>
      <c r="CD207" s="12"/>
      <c r="CE207" s="12"/>
      <c r="CF207" s="12"/>
      <c r="CG207" s="12"/>
      <c r="CH207" s="12"/>
      <c r="CI207" s="15" t="str">
        <f t="shared" ref="CI207:CI238" si="758">IF(CH207&gt;=90,"VIGENTE",IF(CH207&gt;=1,"POR VENCER",IF(CH207&lt;=-1,"VENCIDA",IF(CH207=0,"NO APLICA"))))</f>
        <v>NO APLICA</v>
      </c>
      <c r="CJ207" s="14"/>
      <c r="CK207" s="14"/>
      <c r="CL207" s="14"/>
      <c r="CM207" s="65"/>
      <c r="CN207" s="15" t="str">
        <f t="shared" si="701"/>
        <v>NO APLICA</v>
      </c>
      <c r="CO207" s="14"/>
      <c r="CP207" s="14"/>
      <c r="CQ207" s="14"/>
      <c r="CR207" s="65"/>
      <c r="CS207" s="15" t="str">
        <f t="shared" si="702"/>
        <v>NO APLICA</v>
      </c>
      <c r="CT207" s="14"/>
      <c r="CU207" s="14"/>
      <c r="CV207" s="14"/>
      <c r="CW207" s="65"/>
      <c r="CX207" s="15" t="str">
        <f t="shared" si="703"/>
        <v>NO APLICA</v>
      </c>
      <c r="CY207" s="14"/>
      <c r="CZ207" s="14"/>
      <c r="DA207" s="14"/>
      <c r="DB207" s="65"/>
      <c r="DC207" s="15" t="str">
        <f t="shared" si="704"/>
        <v>NO APLICA</v>
      </c>
      <c r="DD207" s="14"/>
      <c r="DE207" s="14"/>
      <c r="DF207" s="14"/>
      <c r="DG207" s="65"/>
      <c r="DH207" s="15" t="str">
        <f t="shared" si="705"/>
        <v>NO APLICA</v>
      </c>
      <c r="DI207" s="14"/>
      <c r="DJ207" s="14"/>
      <c r="DK207" s="14"/>
      <c r="DL207" s="65"/>
      <c r="DM207" s="15" t="str">
        <f t="shared" si="706"/>
        <v>NO APLICA</v>
      </c>
      <c r="DN207" s="14"/>
      <c r="DO207" s="14"/>
      <c r="DP207" s="14"/>
      <c r="DQ207" s="65"/>
      <c r="DR207" s="15" t="str">
        <f t="shared" si="707"/>
        <v>NO APLICA</v>
      </c>
      <c r="DS207" s="14"/>
      <c r="DT207" s="14"/>
      <c r="DU207" s="14"/>
      <c r="DV207" s="65"/>
      <c r="DW207" s="15" t="str">
        <f t="shared" si="708"/>
        <v>NO APLICA</v>
      </c>
      <c r="DX207" s="14"/>
      <c r="DY207" s="14"/>
      <c r="DZ207" s="14"/>
      <c r="EA207" s="65"/>
      <c r="EB207" s="15" t="str">
        <f t="shared" si="709"/>
        <v>NO APLICA</v>
      </c>
      <c r="EC207" s="14"/>
      <c r="ED207" s="14"/>
      <c r="EE207" s="14"/>
      <c r="EF207" s="65"/>
      <c r="EG207" s="15" t="str">
        <f t="shared" si="710"/>
        <v>NO APLICA</v>
      </c>
      <c r="EH207" s="14"/>
      <c r="EI207" s="14"/>
      <c r="EJ207" s="14"/>
      <c r="EK207" s="14"/>
      <c r="EL207" s="14"/>
      <c r="EM207" s="65"/>
      <c r="EN207" s="15" t="str">
        <f t="shared" si="711"/>
        <v>NO APLICA</v>
      </c>
      <c r="EO207" s="14"/>
      <c r="EP207" s="16"/>
      <c r="EQ207" s="14"/>
      <c r="ER207" s="65"/>
      <c r="ES207" s="15" t="str">
        <f t="shared" si="712"/>
        <v>NO APLICA</v>
      </c>
      <c r="ET207" s="14"/>
      <c r="EU207" s="14"/>
      <c r="EV207" s="14"/>
      <c r="EW207" s="65"/>
      <c r="EX207" s="15" t="str">
        <f t="shared" si="713"/>
        <v>NO APLICA</v>
      </c>
      <c r="EY207" s="14"/>
      <c r="EZ207" s="14"/>
      <c r="FA207" s="14"/>
      <c r="FB207" s="65"/>
      <c r="FC207" s="15" t="str">
        <f t="shared" si="714"/>
        <v>NO APLICA</v>
      </c>
      <c r="FD207" s="16"/>
      <c r="FE207" s="16"/>
      <c r="FF207" s="14"/>
      <c r="FG207" s="65"/>
      <c r="FH207" s="15" t="str">
        <f t="shared" si="715"/>
        <v>NO APLICA</v>
      </c>
      <c r="FI207" s="14"/>
      <c r="FJ207" s="14"/>
      <c r="FK207" s="14"/>
      <c r="FL207" s="65"/>
      <c r="FM207" s="15" t="str">
        <f t="shared" si="716"/>
        <v>NO APLICA</v>
      </c>
      <c r="FN207" s="14"/>
      <c r="FO207" s="16"/>
      <c r="FP207" s="14"/>
      <c r="FQ207" s="65"/>
      <c r="FR207" s="15" t="str">
        <f t="shared" si="717"/>
        <v>NO APLICA</v>
      </c>
      <c r="FS207" s="14"/>
      <c r="FT207" s="14"/>
      <c r="FU207" s="14"/>
      <c r="FV207" s="65"/>
      <c r="FW207" s="15" t="str">
        <f t="shared" si="718"/>
        <v>NO APLICA</v>
      </c>
      <c r="FX207" s="14"/>
      <c r="FY207" s="14"/>
      <c r="FZ207" s="14"/>
      <c r="GA207" s="65"/>
      <c r="GB207" s="15" t="str">
        <f t="shared" si="719"/>
        <v>NO APLICA</v>
      </c>
      <c r="GC207" s="14"/>
      <c r="GD207" s="14"/>
      <c r="GE207" s="14"/>
      <c r="GF207" s="65"/>
      <c r="GG207" s="15" t="str">
        <f t="shared" si="720"/>
        <v>NO APLICA</v>
      </c>
      <c r="GH207" s="14"/>
      <c r="GI207" s="14"/>
      <c r="GJ207" s="14"/>
      <c r="GK207" s="65"/>
      <c r="GL207" s="15" t="str">
        <f t="shared" si="721"/>
        <v>NO APLICA</v>
      </c>
      <c r="GM207" s="14"/>
      <c r="GN207" s="16"/>
      <c r="GO207" s="14"/>
      <c r="GP207" s="65"/>
      <c r="GQ207" s="15" t="str">
        <f t="shared" si="722"/>
        <v>NO APLICA</v>
      </c>
      <c r="GR207" s="14"/>
      <c r="GS207" s="16"/>
      <c r="GT207" s="14"/>
      <c r="GU207" s="65"/>
      <c r="GV207" s="15" t="str">
        <f t="shared" si="601"/>
        <v>NO APLICA</v>
      </c>
      <c r="GW207" s="14"/>
      <c r="GX207" s="16"/>
      <c r="GY207" s="14"/>
      <c r="GZ207" s="65"/>
      <c r="HA207" s="15" t="str">
        <f t="shared" si="602"/>
        <v>NO APLICA</v>
      </c>
      <c r="HB207" s="16"/>
      <c r="HC207" s="16"/>
      <c r="HD207" s="14"/>
      <c r="HE207" s="65"/>
      <c r="HF207" s="15" t="str">
        <f t="shared" si="603"/>
        <v>NO APLICA</v>
      </c>
      <c r="HG207" s="16"/>
      <c r="HH207" s="16"/>
      <c r="HI207" s="14"/>
      <c r="HJ207" s="65"/>
      <c r="HK207" s="15" t="str">
        <f t="shared" si="690"/>
        <v>NO APLICA</v>
      </c>
      <c r="HL207" s="16"/>
      <c r="HM207" s="16"/>
      <c r="HN207" s="16"/>
      <c r="HO207" s="16"/>
      <c r="HP207" s="15" t="str">
        <f t="shared" si="686"/>
        <v>NO APLICA</v>
      </c>
      <c r="HQ207" s="16"/>
      <c r="HR207" s="16"/>
      <c r="HS207" s="16"/>
      <c r="HT207" s="16"/>
      <c r="HU207" s="15" t="str">
        <f t="shared" si="723"/>
        <v>NO APLICA</v>
      </c>
      <c r="HV207" s="16"/>
      <c r="HW207" s="16"/>
      <c r="HX207" s="16"/>
      <c r="HY207" s="16"/>
      <c r="HZ207" s="15" t="str">
        <f t="shared" si="724"/>
        <v>NO APLICA</v>
      </c>
      <c r="IA207" s="16"/>
      <c r="IB207" s="16"/>
      <c r="IC207" s="16"/>
      <c r="ID207" s="16"/>
      <c r="IE207" s="15" t="str">
        <f t="shared" si="725"/>
        <v>NO APLICA</v>
      </c>
      <c r="IF207" s="16"/>
      <c r="IG207" s="16"/>
      <c r="IH207" s="16"/>
      <c r="II207" s="16"/>
      <c r="IJ207" s="15" t="str">
        <f t="shared" si="726"/>
        <v>NO APLICA</v>
      </c>
      <c r="IK207" s="16"/>
      <c r="IL207" s="16"/>
      <c r="IM207" s="16"/>
      <c r="IN207" s="16"/>
      <c r="IO207" s="15" t="str">
        <f t="shared" si="727"/>
        <v>NO APLICA</v>
      </c>
      <c r="IP207" s="16"/>
      <c r="IQ207" s="16"/>
      <c r="IR207" s="16"/>
      <c r="IS207" s="16"/>
      <c r="IT207" s="15" t="str">
        <f t="shared" si="728"/>
        <v>NO APLICA</v>
      </c>
      <c r="IU207" s="16"/>
      <c r="IV207" s="16"/>
      <c r="IW207" s="16"/>
      <c r="IX207" s="16"/>
      <c r="IY207" s="15" t="str">
        <f t="shared" si="729"/>
        <v>NO APLICA</v>
      </c>
      <c r="IZ207" s="16"/>
      <c r="JA207" s="16"/>
      <c r="JB207" s="16"/>
      <c r="JC207" s="16"/>
      <c r="JD207" s="15" t="str">
        <f t="shared" si="730"/>
        <v>NO APLICA</v>
      </c>
      <c r="JE207" s="13">
        <v>45878</v>
      </c>
      <c r="JF207" s="13">
        <v>45879</v>
      </c>
      <c r="JG207" s="16"/>
      <c r="JH207" s="16"/>
      <c r="JI207" s="15" t="b">
        <f t="shared" si="731"/>
        <v>0</v>
      </c>
      <c r="JJ207" s="14">
        <v>45941</v>
      </c>
      <c r="JK207" s="16"/>
      <c r="JL207" s="16"/>
      <c r="JM207" s="15" t="b">
        <f t="shared" si="732"/>
        <v>0</v>
      </c>
      <c r="JN207" s="16"/>
      <c r="JO207" s="16"/>
      <c r="JP207" s="16"/>
      <c r="JQ207" s="15" t="str">
        <f t="shared" si="733"/>
        <v>NO APLICA</v>
      </c>
      <c r="JR207" s="14">
        <v>45892</v>
      </c>
      <c r="JS207" s="14">
        <v>45893</v>
      </c>
      <c r="JT207" s="16"/>
      <c r="JU207" s="16"/>
      <c r="JV207" s="15" t="b">
        <f t="shared" si="734"/>
        <v>0</v>
      </c>
      <c r="JW207" s="66">
        <v>45866</v>
      </c>
      <c r="JX207" s="13">
        <v>45948</v>
      </c>
      <c r="JY207" s="14">
        <f t="shared" ref="JY207:JY208" si="759">DATE(YEAR(JX207)+2,MONTH(JX207),DAY(JX207))</f>
        <v>46678</v>
      </c>
      <c r="JZ207" s="65">
        <f ca="1">JY207-TODAY()</f>
        <v>547</v>
      </c>
      <c r="KA207" s="15" t="str">
        <f ca="1">IF(JZ207&gt;=61,"VIGENTE",IF(JZ207&gt;=1,"POR VENCER",IF(JZ207&lt;=-1,"VENCIDA",IF(JX207=0,"NO APLICA"))))</f>
        <v>VIGENTE</v>
      </c>
      <c r="KB207" s="16"/>
      <c r="KC207" s="16"/>
      <c r="KD207" s="16"/>
      <c r="KE207" s="15" t="str">
        <f t="shared" si="736"/>
        <v>NO APLICA</v>
      </c>
      <c r="KF207" s="16"/>
      <c r="KG207" s="16"/>
      <c r="KH207" s="16"/>
      <c r="KI207" s="15" t="str">
        <f t="shared" si="749"/>
        <v>NO APLICA</v>
      </c>
      <c r="KJ207" s="16"/>
      <c r="KK207" s="16"/>
      <c r="KL207" s="16"/>
      <c r="KM207" s="15" t="str">
        <f t="shared" si="737"/>
        <v>NO APLICA</v>
      </c>
      <c r="KN207" s="13">
        <v>45346</v>
      </c>
      <c r="KO207" s="14">
        <f>DATE(YEAR(KN207)+5,MONTH(KN207),DAY(KN207))</f>
        <v>47173</v>
      </c>
      <c r="KP207" s="65">
        <f ca="1">KO207-TODAY()</f>
        <v>1042</v>
      </c>
      <c r="KQ207" s="15" t="str">
        <f ca="1">IF(KP207&gt;=61,"VIGENTE",IF(KP207&gt;=1,"POR VENCER",IF(KP207&lt;=-1,"VENCIDA",IF(KN207=0,"NO APLICA"))))</f>
        <v>VIGENTE</v>
      </c>
      <c r="KR207" s="16"/>
      <c r="KS207" s="16"/>
      <c r="KT207" s="16"/>
      <c r="KU207" s="16"/>
      <c r="KV207" s="15" t="str">
        <f t="shared" si="755"/>
        <v>NO APLICA</v>
      </c>
      <c r="KW207" s="16"/>
      <c r="KX207" s="16"/>
      <c r="KY207" s="16"/>
      <c r="KZ207" s="15" t="str">
        <f t="shared" si="751"/>
        <v>NO APLICA</v>
      </c>
      <c r="LA207" s="16"/>
      <c r="LB207" s="16"/>
      <c r="LC207" s="16"/>
      <c r="LD207" s="16"/>
      <c r="LE207" s="15" t="str">
        <f t="shared" si="590"/>
        <v>NO APLICA</v>
      </c>
      <c r="LF207" s="15"/>
      <c r="LG207" s="15"/>
      <c r="LH207" s="14"/>
      <c r="LI207" s="65"/>
      <c r="LJ207" s="15" t="str">
        <f t="shared" si="756"/>
        <v>NO APLICA</v>
      </c>
      <c r="LK207" s="16"/>
      <c r="LL207" s="16"/>
      <c r="LM207" s="16"/>
      <c r="LN207" s="16"/>
      <c r="LO207" s="15" t="str">
        <f t="shared" si="752"/>
        <v>NO APLICA</v>
      </c>
      <c r="LP207" s="16"/>
      <c r="LQ207" s="16"/>
      <c r="LR207" s="16"/>
      <c r="LS207" s="16"/>
      <c r="LT207" s="15" t="str">
        <f t="shared" si="753"/>
        <v>NO APLICA</v>
      </c>
      <c r="LU207" s="16"/>
      <c r="LV207" s="16"/>
      <c r="LW207" s="16"/>
      <c r="LX207" s="16"/>
      <c r="LY207" s="15" t="str">
        <f t="shared" si="754"/>
        <v>NO APLICA</v>
      </c>
      <c r="LZ207" s="16"/>
      <c r="MA207" s="16"/>
      <c r="MB207" s="16"/>
      <c r="MC207" s="16"/>
      <c r="MD207" s="15" t="str">
        <f t="shared" si="738"/>
        <v>NO APLICA</v>
      </c>
      <c r="ME207" s="16"/>
      <c r="MF207" s="16"/>
      <c r="MG207" s="16"/>
      <c r="MH207" s="16"/>
      <c r="MI207" s="15" t="str">
        <f t="shared" si="739"/>
        <v>NO APLICA</v>
      </c>
      <c r="MJ207" s="16"/>
      <c r="MK207" s="16"/>
      <c r="ML207" s="16"/>
      <c r="MM207" s="15" t="str">
        <f t="shared" si="740"/>
        <v>NO APLICA</v>
      </c>
      <c r="MN207" s="16"/>
      <c r="MO207" s="16"/>
      <c r="MP207" s="16"/>
      <c r="MQ207" s="15" t="str">
        <f t="shared" si="741"/>
        <v>NO APLICA</v>
      </c>
      <c r="MR207" s="16"/>
      <c r="MS207" s="16"/>
      <c r="MT207" s="16"/>
      <c r="MU207" s="16"/>
      <c r="MV207" s="15" t="str">
        <f t="shared" si="742"/>
        <v>NO APLICA</v>
      </c>
      <c r="MW207" s="16"/>
      <c r="MX207" s="16"/>
      <c r="MY207" s="16"/>
      <c r="MZ207" s="16"/>
      <c r="NA207" s="15" t="str">
        <f t="shared" si="743"/>
        <v>NO APLICA</v>
      </c>
      <c r="NB207" s="16"/>
      <c r="NC207" s="16"/>
      <c r="ND207" s="16"/>
      <c r="NE207" s="16"/>
      <c r="NF207" s="15" t="str">
        <f t="shared" si="744"/>
        <v>NO APLICA</v>
      </c>
      <c r="NG207" s="16"/>
      <c r="NH207" s="16"/>
      <c r="NI207" s="16"/>
      <c r="NJ207" s="16"/>
      <c r="NK207" s="15" t="str">
        <f t="shared" si="745"/>
        <v>NO APLICA</v>
      </c>
      <c r="NL207" s="16"/>
      <c r="NM207" s="16"/>
      <c r="NN207" s="16"/>
      <c r="NO207" s="16"/>
      <c r="NP207" s="15" t="str">
        <f t="shared" si="746"/>
        <v>NO APLICA</v>
      </c>
      <c r="NQ207" s="16"/>
      <c r="NR207" s="16"/>
      <c r="NS207" s="16"/>
      <c r="NT207" s="16"/>
      <c r="NU207" s="15" t="str">
        <f t="shared" si="747"/>
        <v>NO APLICA</v>
      </c>
      <c r="NV207" s="16"/>
      <c r="NW207" s="16"/>
      <c r="NX207" s="16"/>
      <c r="NY207" s="16"/>
      <c r="NZ207" s="15" t="str">
        <f t="shared" si="748"/>
        <v>NO APLICA</v>
      </c>
    </row>
    <row r="208" spans="1:390" ht="15.6" thickTop="1" thickBot="1" x14ac:dyDescent="0.35">
      <c r="A208" s="11">
        <v>1476</v>
      </c>
      <c r="B208" s="10" t="s">
        <v>707</v>
      </c>
      <c r="C208" s="21" t="s">
        <v>699</v>
      </c>
      <c r="D208" s="64" t="s">
        <v>708</v>
      </c>
      <c r="E208" s="16"/>
      <c r="F208" s="16"/>
      <c r="G208" s="16"/>
      <c r="H208" s="16"/>
      <c r="I208" s="15" t="str">
        <f t="shared" si="688"/>
        <v>NO APLICA</v>
      </c>
      <c r="J208" s="16"/>
      <c r="K208" s="16"/>
      <c r="L208" s="16"/>
      <c r="M208" s="16"/>
      <c r="N208" s="15" t="str">
        <f t="shared" si="691"/>
        <v>NO APLICA</v>
      </c>
      <c r="O208" s="16"/>
      <c r="P208" s="16"/>
      <c r="Q208" s="16"/>
      <c r="R208" s="16"/>
      <c r="S208" s="15" t="str">
        <f t="shared" si="689"/>
        <v>NO APLICA</v>
      </c>
      <c r="T208" s="16"/>
      <c r="U208" s="14"/>
      <c r="V208" s="14"/>
      <c r="W208" s="14"/>
      <c r="X208" s="65"/>
      <c r="Y208" s="15" t="str">
        <f t="shared" si="595"/>
        <v>NO APLICA</v>
      </c>
      <c r="Z208" s="16"/>
      <c r="AA208" s="16"/>
      <c r="AB208" s="16"/>
      <c r="AC208" s="16"/>
      <c r="AD208" s="16"/>
      <c r="AE208" s="15" t="str">
        <f t="shared" si="598"/>
        <v>NO APLICA</v>
      </c>
      <c r="AF208" s="14"/>
      <c r="AG208" s="14"/>
      <c r="AH208" s="14"/>
      <c r="AI208" s="16"/>
      <c r="AJ208" s="15" t="str">
        <f t="shared" si="592"/>
        <v>NO APLICA</v>
      </c>
      <c r="AK208" s="14"/>
      <c r="AL208" s="14"/>
      <c r="AM208" s="14"/>
      <c r="AN208" s="16"/>
      <c r="AO208" s="15" t="str">
        <f t="shared" si="692"/>
        <v>NO APLICA</v>
      </c>
      <c r="AP208" s="14"/>
      <c r="AQ208" s="14"/>
      <c r="AR208" s="14"/>
      <c r="AS208" s="16"/>
      <c r="AT208" s="15" t="str">
        <f t="shared" si="693"/>
        <v>NO APLICA</v>
      </c>
      <c r="AU208" s="14"/>
      <c r="AV208" s="14"/>
      <c r="AW208" s="14"/>
      <c r="AX208" s="16"/>
      <c r="AY208" s="15" t="str">
        <f t="shared" si="694"/>
        <v>NO APLICA</v>
      </c>
      <c r="AZ208" s="14"/>
      <c r="BA208" s="14"/>
      <c r="BB208" s="14"/>
      <c r="BC208" s="16"/>
      <c r="BD208" s="15" t="str">
        <f t="shared" si="695"/>
        <v>NO APLICA</v>
      </c>
      <c r="BE208" s="14"/>
      <c r="BF208" s="14"/>
      <c r="BG208" s="14"/>
      <c r="BH208" s="16"/>
      <c r="BI208" s="15" t="str">
        <f t="shared" si="696"/>
        <v>NO APLICA</v>
      </c>
      <c r="BJ208" s="14"/>
      <c r="BK208" s="14"/>
      <c r="BL208" s="14"/>
      <c r="BM208" s="16"/>
      <c r="BN208" s="15" t="str">
        <f t="shared" si="697"/>
        <v>NO APLICA</v>
      </c>
      <c r="BO208" s="14"/>
      <c r="BP208" s="14"/>
      <c r="BQ208" s="14"/>
      <c r="BR208" s="16"/>
      <c r="BS208" s="15" t="str">
        <f t="shared" si="698"/>
        <v>NO APLICA</v>
      </c>
      <c r="BT208" s="14"/>
      <c r="BU208" s="14"/>
      <c r="BV208" s="14"/>
      <c r="BW208" s="16"/>
      <c r="BX208" s="15" t="str">
        <f t="shared" si="699"/>
        <v>NO APLICA</v>
      </c>
      <c r="BY208" s="14"/>
      <c r="BZ208" s="14"/>
      <c r="CA208" s="14"/>
      <c r="CB208" s="16"/>
      <c r="CC208" s="15" t="str">
        <f t="shared" si="700"/>
        <v>NO APLICA</v>
      </c>
      <c r="CD208" s="16"/>
      <c r="CE208" s="16"/>
      <c r="CF208" s="16"/>
      <c r="CG208" s="16"/>
      <c r="CH208" s="16"/>
      <c r="CI208" s="15" t="str">
        <f t="shared" si="758"/>
        <v>NO APLICA</v>
      </c>
      <c r="CJ208" s="14"/>
      <c r="CK208" s="14"/>
      <c r="CL208" s="14"/>
      <c r="CM208" s="16"/>
      <c r="CN208" s="15" t="str">
        <f t="shared" si="701"/>
        <v>NO APLICA</v>
      </c>
      <c r="CO208" s="14"/>
      <c r="CP208" s="14"/>
      <c r="CQ208" s="14"/>
      <c r="CR208" s="16"/>
      <c r="CS208" s="15" t="str">
        <f t="shared" si="702"/>
        <v>NO APLICA</v>
      </c>
      <c r="CT208" s="14"/>
      <c r="CU208" s="14"/>
      <c r="CV208" s="14"/>
      <c r="CW208" s="16"/>
      <c r="CX208" s="15" t="str">
        <f t="shared" si="703"/>
        <v>NO APLICA</v>
      </c>
      <c r="CY208" s="14"/>
      <c r="CZ208" s="14"/>
      <c r="DA208" s="14"/>
      <c r="DB208" s="16"/>
      <c r="DC208" s="15" t="str">
        <f t="shared" si="704"/>
        <v>NO APLICA</v>
      </c>
      <c r="DD208" s="14"/>
      <c r="DE208" s="14"/>
      <c r="DF208" s="14"/>
      <c r="DG208" s="16"/>
      <c r="DH208" s="15" t="str">
        <f t="shared" si="705"/>
        <v>NO APLICA</v>
      </c>
      <c r="DI208" s="14"/>
      <c r="DJ208" s="14"/>
      <c r="DK208" s="14"/>
      <c r="DL208" s="16"/>
      <c r="DM208" s="15" t="str">
        <f t="shared" si="706"/>
        <v>NO APLICA</v>
      </c>
      <c r="DN208" s="14"/>
      <c r="DO208" s="14"/>
      <c r="DP208" s="14"/>
      <c r="DQ208" s="16"/>
      <c r="DR208" s="15" t="str">
        <f t="shared" si="707"/>
        <v>NO APLICA</v>
      </c>
      <c r="DS208" s="14"/>
      <c r="DT208" s="14"/>
      <c r="DU208" s="14"/>
      <c r="DV208" s="16"/>
      <c r="DW208" s="15" t="str">
        <f t="shared" si="708"/>
        <v>NO APLICA</v>
      </c>
      <c r="DX208" s="14"/>
      <c r="DY208" s="14"/>
      <c r="DZ208" s="14"/>
      <c r="EA208" s="16"/>
      <c r="EB208" s="15" t="str">
        <f t="shared" si="709"/>
        <v>NO APLICA</v>
      </c>
      <c r="EC208" s="14"/>
      <c r="ED208" s="14"/>
      <c r="EE208" s="14"/>
      <c r="EF208" s="16"/>
      <c r="EG208" s="15" t="str">
        <f t="shared" si="710"/>
        <v>NO APLICA</v>
      </c>
      <c r="EH208" s="14"/>
      <c r="EI208" s="14"/>
      <c r="EJ208" s="14"/>
      <c r="EK208" s="14"/>
      <c r="EL208" s="14"/>
      <c r="EM208" s="65"/>
      <c r="EN208" s="15" t="str">
        <f t="shared" si="711"/>
        <v>NO APLICA</v>
      </c>
      <c r="EO208" s="14"/>
      <c r="EP208" s="14"/>
      <c r="EQ208" s="14"/>
      <c r="ER208" s="65"/>
      <c r="ES208" s="15" t="str">
        <f t="shared" si="712"/>
        <v>NO APLICA</v>
      </c>
      <c r="ET208" s="14"/>
      <c r="EU208" s="14"/>
      <c r="EV208" s="14"/>
      <c r="EW208" s="65"/>
      <c r="EX208" s="15" t="str">
        <f t="shared" si="713"/>
        <v>NO APLICA</v>
      </c>
      <c r="EY208" s="14"/>
      <c r="EZ208" s="14"/>
      <c r="FA208" s="14"/>
      <c r="FB208" s="16"/>
      <c r="FC208" s="15" t="str">
        <f t="shared" si="714"/>
        <v>NO APLICA</v>
      </c>
      <c r="FD208" s="14"/>
      <c r="FE208" s="14"/>
      <c r="FF208" s="14"/>
      <c r="FG208" s="16"/>
      <c r="FH208" s="15" t="str">
        <f t="shared" si="715"/>
        <v>NO APLICA</v>
      </c>
      <c r="FI208" s="14"/>
      <c r="FJ208" s="14"/>
      <c r="FK208" s="14"/>
      <c r="FL208" s="16"/>
      <c r="FM208" s="15" t="str">
        <f t="shared" si="716"/>
        <v>NO APLICA</v>
      </c>
      <c r="FN208" s="14"/>
      <c r="FO208" s="14"/>
      <c r="FP208" s="14"/>
      <c r="FQ208" s="16"/>
      <c r="FR208" s="15" t="str">
        <f t="shared" si="717"/>
        <v>NO APLICA</v>
      </c>
      <c r="FS208" s="14"/>
      <c r="FT208" s="14"/>
      <c r="FU208" s="14"/>
      <c r="FV208" s="16"/>
      <c r="FW208" s="15" t="str">
        <f t="shared" si="718"/>
        <v>NO APLICA</v>
      </c>
      <c r="FX208" s="14"/>
      <c r="FY208" s="14"/>
      <c r="FZ208" s="14"/>
      <c r="GA208" s="16"/>
      <c r="GB208" s="15" t="str">
        <f t="shared" si="719"/>
        <v>NO APLICA</v>
      </c>
      <c r="GC208" s="14"/>
      <c r="GD208" s="14"/>
      <c r="GE208" s="14"/>
      <c r="GF208" s="16"/>
      <c r="GG208" s="15" t="str">
        <f t="shared" si="720"/>
        <v>NO APLICA</v>
      </c>
      <c r="GH208" s="14"/>
      <c r="GI208" s="14"/>
      <c r="GJ208" s="14"/>
      <c r="GK208" s="65"/>
      <c r="GL208" s="15" t="str">
        <f t="shared" si="721"/>
        <v>NO APLICA</v>
      </c>
      <c r="GM208" s="14"/>
      <c r="GN208" s="16"/>
      <c r="GO208" s="16"/>
      <c r="GP208" s="16"/>
      <c r="GQ208" s="15" t="str">
        <f t="shared" si="722"/>
        <v>NO APLICA</v>
      </c>
      <c r="GR208" s="14"/>
      <c r="GS208" s="16"/>
      <c r="GT208" s="16"/>
      <c r="GU208" s="16"/>
      <c r="GV208" s="15" t="str">
        <f t="shared" si="601"/>
        <v>NO APLICA</v>
      </c>
      <c r="GW208" s="14"/>
      <c r="GX208" s="16"/>
      <c r="GY208" s="16"/>
      <c r="GZ208" s="16"/>
      <c r="HA208" s="15" t="str">
        <f t="shared" si="602"/>
        <v>NO APLICA</v>
      </c>
      <c r="HB208" s="16"/>
      <c r="HC208" s="16"/>
      <c r="HD208" s="16"/>
      <c r="HE208" s="16"/>
      <c r="HF208" s="15" t="str">
        <f t="shared" si="603"/>
        <v>NO APLICA</v>
      </c>
      <c r="HG208" s="16"/>
      <c r="HH208" s="16"/>
      <c r="HI208" s="14"/>
      <c r="HJ208" s="65"/>
      <c r="HK208" s="15" t="str">
        <f t="shared" si="690"/>
        <v>NO APLICA</v>
      </c>
      <c r="HL208" s="16"/>
      <c r="HM208" s="16"/>
      <c r="HN208" s="16"/>
      <c r="HO208" s="16"/>
      <c r="HP208" s="15" t="str">
        <f t="shared" si="686"/>
        <v>NO APLICA</v>
      </c>
      <c r="HQ208" s="16"/>
      <c r="HR208" s="16"/>
      <c r="HS208" s="16"/>
      <c r="HT208" s="16"/>
      <c r="HU208" s="15" t="str">
        <f t="shared" si="723"/>
        <v>NO APLICA</v>
      </c>
      <c r="HV208" s="16"/>
      <c r="HW208" s="16"/>
      <c r="HX208" s="16"/>
      <c r="HY208" s="16"/>
      <c r="HZ208" s="15" t="str">
        <f t="shared" si="724"/>
        <v>NO APLICA</v>
      </c>
      <c r="IA208" s="16"/>
      <c r="IB208" s="16"/>
      <c r="IC208" s="16"/>
      <c r="ID208" s="16"/>
      <c r="IE208" s="15" t="str">
        <f t="shared" si="725"/>
        <v>NO APLICA</v>
      </c>
      <c r="IF208" s="16"/>
      <c r="IG208" s="16"/>
      <c r="IH208" s="16"/>
      <c r="II208" s="16"/>
      <c r="IJ208" s="15" t="str">
        <f t="shared" si="726"/>
        <v>NO APLICA</v>
      </c>
      <c r="IK208" s="16"/>
      <c r="IL208" s="16"/>
      <c r="IM208" s="16"/>
      <c r="IN208" s="16"/>
      <c r="IO208" s="15" t="str">
        <f t="shared" si="727"/>
        <v>NO APLICA</v>
      </c>
      <c r="IP208" s="16"/>
      <c r="IQ208" s="16"/>
      <c r="IR208" s="16"/>
      <c r="IS208" s="16"/>
      <c r="IT208" s="15" t="str">
        <f t="shared" si="728"/>
        <v>NO APLICA</v>
      </c>
      <c r="IU208" s="16"/>
      <c r="IV208" s="16"/>
      <c r="IW208" s="16"/>
      <c r="IX208" s="16"/>
      <c r="IY208" s="15" t="str">
        <f t="shared" si="729"/>
        <v>NO APLICA</v>
      </c>
      <c r="IZ208" s="16"/>
      <c r="JA208" s="16"/>
      <c r="JB208" s="16"/>
      <c r="JC208" s="16"/>
      <c r="JD208" s="15" t="str">
        <f t="shared" si="730"/>
        <v>NO APLICA</v>
      </c>
      <c r="JE208" s="13">
        <v>45878</v>
      </c>
      <c r="JF208" s="13">
        <v>45879</v>
      </c>
      <c r="JG208" s="16"/>
      <c r="JH208" s="16"/>
      <c r="JI208" s="15" t="b">
        <f t="shared" si="731"/>
        <v>0</v>
      </c>
      <c r="JJ208" s="14">
        <v>45941</v>
      </c>
      <c r="JK208" s="16"/>
      <c r="JL208" s="16"/>
      <c r="JM208" s="15" t="b">
        <f t="shared" si="732"/>
        <v>0</v>
      </c>
      <c r="JN208" s="16"/>
      <c r="JO208" s="16"/>
      <c r="JP208" s="16"/>
      <c r="JQ208" s="15" t="str">
        <f t="shared" si="733"/>
        <v>NO APLICA</v>
      </c>
      <c r="JR208" s="14">
        <v>45892</v>
      </c>
      <c r="JS208" s="14">
        <v>45893</v>
      </c>
      <c r="JT208" s="16"/>
      <c r="JU208" s="16"/>
      <c r="JV208" s="15" t="b">
        <f t="shared" si="734"/>
        <v>0</v>
      </c>
      <c r="JW208" s="15"/>
      <c r="JX208" s="13">
        <v>45948</v>
      </c>
      <c r="JY208" s="14">
        <f t="shared" si="759"/>
        <v>46678</v>
      </c>
      <c r="JZ208" s="65">
        <f ca="1">JY208-TODAY()</f>
        <v>547</v>
      </c>
      <c r="KA208" s="15" t="str">
        <f ca="1">IF(JZ208&gt;=61,"VIGENTE",IF(JZ208&gt;=1,"POR VENCER",IF(JZ208&lt;=-1,"VENCIDA",IF(JX208=0,"NO APLICA"))))</f>
        <v>VIGENTE</v>
      </c>
      <c r="KB208" s="16"/>
      <c r="KC208" s="16"/>
      <c r="KD208" s="16"/>
      <c r="KE208" s="15" t="str">
        <f t="shared" si="736"/>
        <v>NO APLICA</v>
      </c>
      <c r="KF208" s="16"/>
      <c r="KG208" s="16"/>
      <c r="KH208" s="16"/>
      <c r="KI208" s="15" t="str">
        <f t="shared" si="749"/>
        <v>NO APLICA</v>
      </c>
      <c r="KJ208" s="16"/>
      <c r="KK208" s="16"/>
      <c r="KL208" s="16"/>
      <c r="KM208" s="15" t="str">
        <f t="shared" si="737"/>
        <v>NO APLICA</v>
      </c>
      <c r="KN208" s="16"/>
      <c r="KO208" s="16"/>
      <c r="KP208" s="16"/>
      <c r="KQ208" s="15" t="str">
        <f t="shared" si="750"/>
        <v>NO APLICA</v>
      </c>
      <c r="KR208" s="16"/>
      <c r="KS208" s="16"/>
      <c r="KT208" s="16"/>
      <c r="KU208" s="16"/>
      <c r="KV208" s="15" t="str">
        <f t="shared" si="755"/>
        <v>NO APLICA</v>
      </c>
      <c r="KW208" s="16"/>
      <c r="KX208" s="16"/>
      <c r="KY208" s="16"/>
      <c r="KZ208" s="15" t="str">
        <f t="shared" si="751"/>
        <v>NO APLICA</v>
      </c>
      <c r="LA208" s="16"/>
      <c r="LB208" s="16"/>
      <c r="LC208" s="16"/>
      <c r="LD208" s="16"/>
      <c r="LE208" s="15" t="str">
        <f t="shared" si="590"/>
        <v>NO APLICA</v>
      </c>
      <c r="LF208" s="15"/>
      <c r="LG208" s="15"/>
      <c r="LH208" s="14"/>
      <c r="LI208" s="65"/>
      <c r="LJ208" s="15" t="str">
        <f t="shared" si="756"/>
        <v>NO APLICA</v>
      </c>
      <c r="LK208" s="16"/>
      <c r="LL208" s="16"/>
      <c r="LM208" s="16"/>
      <c r="LN208" s="16"/>
      <c r="LO208" s="15" t="str">
        <f t="shared" si="752"/>
        <v>NO APLICA</v>
      </c>
      <c r="LP208" s="16"/>
      <c r="LQ208" s="16"/>
      <c r="LR208" s="16"/>
      <c r="LS208" s="16"/>
      <c r="LT208" s="15" t="str">
        <f t="shared" si="753"/>
        <v>NO APLICA</v>
      </c>
      <c r="LU208" s="16"/>
      <c r="LV208" s="16"/>
      <c r="LW208" s="16"/>
      <c r="LX208" s="16"/>
      <c r="LY208" s="15" t="str">
        <f t="shared" si="754"/>
        <v>NO APLICA</v>
      </c>
      <c r="LZ208" s="16"/>
      <c r="MA208" s="16"/>
      <c r="MB208" s="16"/>
      <c r="MC208" s="16"/>
      <c r="MD208" s="15" t="str">
        <f t="shared" si="738"/>
        <v>NO APLICA</v>
      </c>
      <c r="ME208" s="16"/>
      <c r="MF208" s="16"/>
      <c r="MG208" s="16"/>
      <c r="MH208" s="16"/>
      <c r="MI208" s="15" t="str">
        <f t="shared" si="739"/>
        <v>NO APLICA</v>
      </c>
      <c r="MJ208" s="16"/>
      <c r="MK208" s="16"/>
      <c r="ML208" s="16"/>
      <c r="MM208" s="15" t="str">
        <f t="shared" si="740"/>
        <v>NO APLICA</v>
      </c>
      <c r="MN208" s="16"/>
      <c r="MO208" s="16"/>
      <c r="MP208" s="16"/>
      <c r="MQ208" s="15" t="str">
        <f t="shared" si="741"/>
        <v>NO APLICA</v>
      </c>
      <c r="MR208" s="16"/>
      <c r="MS208" s="16"/>
      <c r="MT208" s="16"/>
      <c r="MU208" s="16"/>
      <c r="MV208" s="15" t="str">
        <f t="shared" si="742"/>
        <v>NO APLICA</v>
      </c>
      <c r="MW208" s="16"/>
      <c r="MX208" s="16"/>
      <c r="MY208" s="16"/>
      <c r="MZ208" s="16"/>
      <c r="NA208" s="15" t="str">
        <f t="shared" si="743"/>
        <v>NO APLICA</v>
      </c>
      <c r="NB208" s="16"/>
      <c r="NC208" s="16"/>
      <c r="ND208" s="16"/>
      <c r="NE208" s="16"/>
      <c r="NF208" s="15" t="str">
        <f t="shared" si="744"/>
        <v>NO APLICA</v>
      </c>
      <c r="NG208" s="16"/>
      <c r="NH208" s="16"/>
      <c r="NI208" s="16"/>
      <c r="NJ208" s="16"/>
      <c r="NK208" s="15" t="str">
        <f t="shared" si="745"/>
        <v>NO APLICA</v>
      </c>
      <c r="NL208" s="16"/>
      <c r="NM208" s="16"/>
      <c r="NN208" s="16"/>
      <c r="NO208" s="16"/>
      <c r="NP208" s="15" t="str">
        <f t="shared" si="746"/>
        <v>NO APLICA</v>
      </c>
      <c r="NQ208" s="16"/>
      <c r="NR208" s="16"/>
      <c r="NS208" s="16"/>
      <c r="NT208" s="16"/>
      <c r="NU208" s="15" t="str">
        <f t="shared" si="747"/>
        <v>NO APLICA</v>
      </c>
      <c r="NV208" s="16"/>
      <c r="NW208" s="16"/>
      <c r="NX208" s="16"/>
      <c r="NY208" s="16"/>
      <c r="NZ208" s="15" t="str">
        <f t="shared" si="748"/>
        <v>NO APLICA</v>
      </c>
    </row>
    <row r="209" spans="1:390" ht="15.6" thickTop="1" thickBot="1" x14ac:dyDescent="0.35">
      <c r="A209" s="11">
        <v>1665</v>
      </c>
      <c r="B209" s="10" t="s">
        <v>709</v>
      </c>
      <c r="C209" s="21" t="s">
        <v>151</v>
      </c>
      <c r="D209" s="64" t="s">
        <v>710</v>
      </c>
      <c r="E209" s="16"/>
      <c r="F209" s="16"/>
      <c r="G209" s="16"/>
      <c r="H209" s="16"/>
      <c r="I209" s="15" t="str">
        <f t="shared" si="688"/>
        <v>NO APLICA</v>
      </c>
      <c r="J209" s="16"/>
      <c r="K209" s="16"/>
      <c r="L209" s="16"/>
      <c r="M209" s="16"/>
      <c r="N209" s="15" t="str">
        <f t="shared" si="691"/>
        <v>NO APLICA</v>
      </c>
      <c r="O209" s="16"/>
      <c r="P209" s="16"/>
      <c r="Q209" s="16"/>
      <c r="R209" s="16"/>
      <c r="S209" s="15" t="str">
        <f t="shared" si="689"/>
        <v>NO APLICA</v>
      </c>
      <c r="T209" s="16"/>
      <c r="U209" s="14"/>
      <c r="V209" s="14"/>
      <c r="W209" s="14"/>
      <c r="X209" s="65"/>
      <c r="Y209" s="15" t="str">
        <f t="shared" si="595"/>
        <v>NO APLICA</v>
      </c>
      <c r="Z209" s="16"/>
      <c r="AA209" s="16"/>
      <c r="AB209" s="16"/>
      <c r="AC209" s="16"/>
      <c r="AD209" s="16"/>
      <c r="AE209" s="15" t="str">
        <f t="shared" si="598"/>
        <v>NO APLICA</v>
      </c>
      <c r="AF209" s="14"/>
      <c r="AG209" s="14"/>
      <c r="AH209" s="14"/>
      <c r="AI209" s="16"/>
      <c r="AJ209" s="15" t="str">
        <f t="shared" si="592"/>
        <v>NO APLICA</v>
      </c>
      <c r="AK209" s="14"/>
      <c r="AL209" s="14"/>
      <c r="AM209" s="14"/>
      <c r="AN209" s="16"/>
      <c r="AO209" s="15" t="str">
        <f t="shared" si="692"/>
        <v>NO APLICA</v>
      </c>
      <c r="AP209" s="14"/>
      <c r="AQ209" s="14"/>
      <c r="AR209" s="14"/>
      <c r="AS209" s="16"/>
      <c r="AT209" s="15" t="str">
        <f t="shared" si="693"/>
        <v>NO APLICA</v>
      </c>
      <c r="AU209" s="14"/>
      <c r="AV209" s="14"/>
      <c r="AW209" s="14"/>
      <c r="AX209" s="16"/>
      <c r="AY209" s="15" t="str">
        <f t="shared" si="694"/>
        <v>NO APLICA</v>
      </c>
      <c r="AZ209" s="14"/>
      <c r="BA209" s="14"/>
      <c r="BB209" s="14"/>
      <c r="BC209" s="16"/>
      <c r="BD209" s="15" t="str">
        <f t="shared" si="695"/>
        <v>NO APLICA</v>
      </c>
      <c r="BE209" s="14"/>
      <c r="BF209" s="14"/>
      <c r="BG209" s="14"/>
      <c r="BH209" s="16"/>
      <c r="BI209" s="15" t="str">
        <f t="shared" si="696"/>
        <v>NO APLICA</v>
      </c>
      <c r="BJ209" s="14"/>
      <c r="BK209" s="14"/>
      <c r="BL209" s="14"/>
      <c r="BM209" s="16"/>
      <c r="BN209" s="15" t="str">
        <f t="shared" si="697"/>
        <v>NO APLICA</v>
      </c>
      <c r="BO209" s="14"/>
      <c r="BP209" s="14"/>
      <c r="BQ209" s="14"/>
      <c r="BR209" s="16"/>
      <c r="BS209" s="15" t="str">
        <f t="shared" si="698"/>
        <v>NO APLICA</v>
      </c>
      <c r="BT209" s="14"/>
      <c r="BU209" s="14"/>
      <c r="BV209" s="14"/>
      <c r="BW209" s="16"/>
      <c r="BX209" s="15" t="str">
        <f t="shared" si="699"/>
        <v>NO APLICA</v>
      </c>
      <c r="BY209" s="14"/>
      <c r="BZ209" s="14"/>
      <c r="CA209" s="14"/>
      <c r="CB209" s="16"/>
      <c r="CC209" s="15" t="str">
        <f t="shared" si="700"/>
        <v>NO APLICA</v>
      </c>
      <c r="CD209" s="16"/>
      <c r="CE209" s="16"/>
      <c r="CF209" s="16"/>
      <c r="CG209" s="16"/>
      <c r="CH209" s="16"/>
      <c r="CI209" s="15" t="str">
        <f t="shared" si="758"/>
        <v>NO APLICA</v>
      </c>
      <c r="CJ209" s="14"/>
      <c r="CK209" s="14"/>
      <c r="CL209" s="14"/>
      <c r="CM209" s="16"/>
      <c r="CN209" s="15" t="str">
        <f t="shared" si="701"/>
        <v>NO APLICA</v>
      </c>
      <c r="CO209" s="14"/>
      <c r="CP209" s="14"/>
      <c r="CQ209" s="14"/>
      <c r="CR209" s="16"/>
      <c r="CS209" s="15" t="str">
        <f t="shared" si="702"/>
        <v>NO APLICA</v>
      </c>
      <c r="CT209" s="14"/>
      <c r="CU209" s="14"/>
      <c r="CV209" s="14"/>
      <c r="CW209" s="16"/>
      <c r="CX209" s="15" t="str">
        <f t="shared" si="703"/>
        <v>NO APLICA</v>
      </c>
      <c r="CY209" s="14"/>
      <c r="CZ209" s="14"/>
      <c r="DA209" s="14"/>
      <c r="DB209" s="16"/>
      <c r="DC209" s="15" t="str">
        <f t="shared" si="704"/>
        <v>NO APLICA</v>
      </c>
      <c r="DD209" s="14"/>
      <c r="DE209" s="14"/>
      <c r="DF209" s="14"/>
      <c r="DG209" s="16"/>
      <c r="DH209" s="15" t="str">
        <f t="shared" si="705"/>
        <v>NO APLICA</v>
      </c>
      <c r="DI209" s="14"/>
      <c r="DJ209" s="14"/>
      <c r="DK209" s="14"/>
      <c r="DL209" s="16"/>
      <c r="DM209" s="15" t="str">
        <f t="shared" si="706"/>
        <v>NO APLICA</v>
      </c>
      <c r="DN209" s="14"/>
      <c r="DO209" s="14"/>
      <c r="DP209" s="14"/>
      <c r="DQ209" s="16"/>
      <c r="DR209" s="15" t="str">
        <f t="shared" si="707"/>
        <v>NO APLICA</v>
      </c>
      <c r="DS209" s="14"/>
      <c r="DT209" s="14"/>
      <c r="DU209" s="14"/>
      <c r="DV209" s="16"/>
      <c r="DW209" s="15" t="str">
        <f t="shared" si="708"/>
        <v>NO APLICA</v>
      </c>
      <c r="DX209" s="14"/>
      <c r="DY209" s="14"/>
      <c r="DZ209" s="14"/>
      <c r="EA209" s="16"/>
      <c r="EB209" s="15" t="str">
        <f t="shared" si="709"/>
        <v>NO APLICA</v>
      </c>
      <c r="EC209" s="14"/>
      <c r="ED209" s="14"/>
      <c r="EE209" s="14"/>
      <c r="EF209" s="16"/>
      <c r="EG209" s="15" t="str">
        <f t="shared" si="710"/>
        <v>NO APLICA</v>
      </c>
      <c r="EH209" s="14"/>
      <c r="EI209" s="14"/>
      <c r="EJ209" s="14"/>
      <c r="EK209" s="14"/>
      <c r="EL209" s="14"/>
      <c r="EM209" s="65"/>
      <c r="EN209" s="15" t="str">
        <f t="shared" si="711"/>
        <v>NO APLICA</v>
      </c>
      <c r="EO209" s="14"/>
      <c r="EP209" s="14"/>
      <c r="EQ209" s="14"/>
      <c r="ER209" s="65"/>
      <c r="ES209" s="15" t="str">
        <f t="shared" si="712"/>
        <v>NO APLICA</v>
      </c>
      <c r="ET209" s="14"/>
      <c r="EU209" s="14"/>
      <c r="EV209" s="14"/>
      <c r="EW209" s="65"/>
      <c r="EX209" s="15" t="str">
        <f t="shared" si="713"/>
        <v>NO APLICA</v>
      </c>
      <c r="EY209" s="14"/>
      <c r="EZ209" s="14"/>
      <c r="FA209" s="14"/>
      <c r="FB209" s="16"/>
      <c r="FC209" s="15" t="str">
        <f t="shared" si="714"/>
        <v>NO APLICA</v>
      </c>
      <c r="FD209" s="14"/>
      <c r="FE209" s="14"/>
      <c r="FF209" s="14"/>
      <c r="FG209" s="16"/>
      <c r="FH209" s="15" t="str">
        <f t="shared" si="715"/>
        <v>NO APLICA</v>
      </c>
      <c r="FI209" s="14"/>
      <c r="FJ209" s="14"/>
      <c r="FK209" s="14"/>
      <c r="FL209" s="16"/>
      <c r="FM209" s="15" t="str">
        <f t="shared" si="716"/>
        <v>NO APLICA</v>
      </c>
      <c r="FN209" s="14"/>
      <c r="FO209" s="14"/>
      <c r="FP209" s="14"/>
      <c r="FQ209" s="16"/>
      <c r="FR209" s="15" t="str">
        <f t="shared" si="717"/>
        <v>NO APLICA</v>
      </c>
      <c r="FS209" s="14"/>
      <c r="FT209" s="14"/>
      <c r="FU209" s="14"/>
      <c r="FV209" s="16"/>
      <c r="FW209" s="15" t="str">
        <f t="shared" si="718"/>
        <v>NO APLICA</v>
      </c>
      <c r="FX209" s="14"/>
      <c r="FY209" s="14"/>
      <c r="FZ209" s="14"/>
      <c r="GA209" s="16"/>
      <c r="GB209" s="15" t="str">
        <f t="shared" si="719"/>
        <v>NO APLICA</v>
      </c>
      <c r="GC209" s="14"/>
      <c r="GD209" s="14"/>
      <c r="GE209" s="14"/>
      <c r="GF209" s="16"/>
      <c r="GG209" s="15" t="str">
        <f t="shared" si="720"/>
        <v>NO APLICA</v>
      </c>
      <c r="GH209" s="14"/>
      <c r="GI209" s="14"/>
      <c r="GJ209" s="14"/>
      <c r="GK209" s="65"/>
      <c r="GL209" s="15" t="str">
        <f t="shared" si="721"/>
        <v>NO APLICA</v>
      </c>
      <c r="GM209" s="14"/>
      <c r="GN209" s="16"/>
      <c r="GO209" s="16"/>
      <c r="GP209" s="16"/>
      <c r="GQ209" s="15" t="str">
        <f t="shared" si="722"/>
        <v>NO APLICA</v>
      </c>
      <c r="GR209" s="14"/>
      <c r="GS209" s="16"/>
      <c r="GT209" s="16"/>
      <c r="GU209" s="16"/>
      <c r="GV209" s="15" t="str">
        <f t="shared" si="601"/>
        <v>NO APLICA</v>
      </c>
      <c r="GW209" s="14"/>
      <c r="GX209" s="16"/>
      <c r="GY209" s="16"/>
      <c r="GZ209" s="16"/>
      <c r="HA209" s="15" t="str">
        <f t="shared" si="602"/>
        <v>NO APLICA</v>
      </c>
      <c r="HB209" s="16"/>
      <c r="HC209" s="16"/>
      <c r="HD209" s="16"/>
      <c r="HE209" s="16"/>
      <c r="HF209" s="15" t="str">
        <f t="shared" si="603"/>
        <v>NO APLICA</v>
      </c>
      <c r="HG209" s="16"/>
      <c r="HH209" s="16"/>
      <c r="HI209" s="14"/>
      <c r="HJ209" s="65"/>
      <c r="HK209" s="15" t="str">
        <f t="shared" si="690"/>
        <v>NO APLICA</v>
      </c>
      <c r="HL209" s="16"/>
      <c r="HM209" s="16"/>
      <c r="HN209" s="16"/>
      <c r="HO209" s="16"/>
      <c r="HP209" s="15" t="str">
        <f t="shared" si="686"/>
        <v>NO APLICA</v>
      </c>
      <c r="HQ209" s="16"/>
      <c r="HR209" s="16"/>
      <c r="HS209" s="16"/>
      <c r="HT209" s="16"/>
      <c r="HU209" s="15" t="str">
        <f t="shared" si="723"/>
        <v>NO APLICA</v>
      </c>
      <c r="HV209" s="16"/>
      <c r="HW209" s="16"/>
      <c r="HX209" s="16"/>
      <c r="HY209" s="16"/>
      <c r="HZ209" s="15" t="str">
        <f t="shared" si="724"/>
        <v>NO APLICA</v>
      </c>
      <c r="IA209" s="16"/>
      <c r="IB209" s="16"/>
      <c r="IC209" s="16"/>
      <c r="ID209" s="16"/>
      <c r="IE209" s="15" t="str">
        <f t="shared" si="725"/>
        <v>NO APLICA</v>
      </c>
      <c r="IF209" s="16"/>
      <c r="IG209" s="16"/>
      <c r="IH209" s="16"/>
      <c r="II209" s="16"/>
      <c r="IJ209" s="15" t="str">
        <f t="shared" si="726"/>
        <v>NO APLICA</v>
      </c>
      <c r="IK209" s="16"/>
      <c r="IL209" s="16"/>
      <c r="IM209" s="16"/>
      <c r="IN209" s="16"/>
      <c r="IO209" s="15" t="str">
        <f t="shared" si="727"/>
        <v>NO APLICA</v>
      </c>
      <c r="IP209" s="16"/>
      <c r="IQ209" s="16"/>
      <c r="IR209" s="16"/>
      <c r="IS209" s="16"/>
      <c r="IT209" s="15" t="str">
        <f t="shared" si="728"/>
        <v>NO APLICA</v>
      </c>
      <c r="IU209" s="16"/>
      <c r="IV209" s="16"/>
      <c r="IW209" s="16"/>
      <c r="IX209" s="16"/>
      <c r="IY209" s="15" t="str">
        <f t="shared" si="729"/>
        <v>NO APLICA</v>
      </c>
      <c r="IZ209" s="16"/>
      <c r="JA209" s="16"/>
      <c r="JB209" s="16"/>
      <c r="JC209" s="16"/>
      <c r="JD209" s="15" t="str">
        <f t="shared" si="730"/>
        <v>NO APLICA</v>
      </c>
      <c r="JE209" s="16"/>
      <c r="JF209" s="16"/>
      <c r="JG209" s="16"/>
      <c r="JH209" s="16"/>
      <c r="JI209" s="15" t="str">
        <f t="shared" si="731"/>
        <v>NO APLICA</v>
      </c>
      <c r="JJ209" s="16"/>
      <c r="JK209" s="16"/>
      <c r="JL209" s="16"/>
      <c r="JM209" s="15" t="str">
        <f t="shared" si="732"/>
        <v>NO APLICA</v>
      </c>
      <c r="JN209" s="16"/>
      <c r="JO209" s="16"/>
      <c r="JP209" s="16"/>
      <c r="JQ209" s="15" t="str">
        <f t="shared" si="733"/>
        <v>NO APLICA</v>
      </c>
      <c r="JR209" s="16"/>
      <c r="JS209" s="16"/>
      <c r="JT209" s="16"/>
      <c r="JU209" s="16"/>
      <c r="JV209" s="15" t="str">
        <f t="shared" si="734"/>
        <v>NO APLICA</v>
      </c>
      <c r="JW209" s="15"/>
      <c r="JX209" s="15"/>
      <c r="JY209" s="15"/>
      <c r="JZ209" s="15"/>
      <c r="KA209" s="15" t="str">
        <f t="shared" si="735"/>
        <v>NO APLICA</v>
      </c>
      <c r="KB209" s="16"/>
      <c r="KC209" s="16"/>
      <c r="KD209" s="16"/>
      <c r="KE209" s="15" t="str">
        <f t="shared" si="736"/>
        <v>NO APLICA</v>
      </c>
      <c r="KF209" s="16"/>
      <c r="KG209" s="16"/>
      <c r="KH209" s="16"/>
      <c r="KI209" s="15" t="str">
        <f t="shared" si="749"/>
        <v>NO APLICA</v>
      </c>
      <c r="KJ209" s="16"/>
      <c r="KK209" s="16"/>
      <c r="KL209" s="16"/>
      <c r="KM209" s="15" t="str">
        <f t="shared" si="737"/>
        <v>NO APLICA</v>
      </c>
      <c r="KN209" s="16"/>
      <c r="KO209" s="16"/>
      <c r="KP209" s="16"/>
      <c r="KQ209" s="15" t="str">
        <f t="shared" si="750"/>
        <v>NO APLICA</v>
      </c>
      <c r="KR209" s="16"/>
      <c r="KS209" s="16"/>
      <c r="KT209" s="16"/>
      <c r="KU209" s="16"/>
      <c r="KV209" s="15" t="str">
        <f t="shared" si="755"/>
        <v>NO APLICA</v>
      </c>
      <c r="KW209" s="16"/>
      <c r="KX209" s="16"/>
      <c r="KY209" s="16"/>
      <c r="KZ209" s="15" t="str">
        <f t="shared" si="751"/>
        <v>NO APLICA</v>
      </c>
      <c r="LA209" s="16"/>
      <c r="LB209" s="16"/>
      <c r="LC209" s="16"/>
      <c r="LD209" s="16"/>
      <c r="LE209" s="15" t="str">
        <f t="shared" si="590"/>
        <v>NO APLICA</v>
      </c>
      <c r="LF209" s="15"/>
      <c r="LG209" s="15"/>
      <c r="LH209" s="14"/>
      <c r="LI209" s="65"/>
      <c r="LJ209" s="15" t="str">
        <f t="shared" si="756"/>
        <v>NO APLICA</v>
      </c>
      <c r="LK209" s="16"/>
      <c r="LL209" s="16"/>
      <c r="LM209" s="16"/>
      <c r="LN209" s="16"/>
      <c r="LO209" s="15" t="str">
        <f t="shared" si="752"/>
        <v>NO APLICA</v>
      </c>
      <c r="LP209" s="16"/>
      <c r="LQ209" s="16"/>
      <c r="LR209" s="16"/>
      <c r="LS209" s="16"/>
      <c r="LT209" s="15" t="str">
        <f t="shared" si="753"/>
        <v>NO APLICA</v>
      </c>
      <c r="LU209" s="16"/>
      <c r="LV209" s="16"/>
      <c r="LW209" s="16"/>
      <c r="LX209" s="16"/>
      <c r="LY209" s="15" t="str">
        <f t="shared" si="754"/>
        <v>NO APLICA</v>
      </c>
      <c r="LZ209" s="16"/>
      <c r="MA209" s="16"/>
      <c r="MB209" s="16"/>
      <c r="MC209" s="16"/>
      <c r="MD209" s="15" t="str">
        <f t="shared" si="738"/>
        <v>NO APLICA</v>
      </c>
      <c r="ME209" s="16"/>
      <c r="MF209" s="16"/>
      <c r="MG209" s="16"/>
      <c r="MH209" s="16"/>
      <c r="MI209" s="15" t="str">
        <f t="shared" si="739"/>
        <v>NO APLICA</v>
      </c>
      <c r="MJ209" s="16"/>
      <c r="MK209" s="16"/>
      <c r="ML209" s="16"/>
      <c r="MM209" s="15" t="str">
        <f t="shared" si="740"/>
        <v>NO APLICA</v>
      </c>
      <c r="MN209" s="16"/>
      <c r="MO209" s="16"/>
      <c r="MP209" s="16"/>
      <c r="MQ209" s="15" t="str">
        <f t="shared" si="741"/>
        <v>NO APLICA</v>
      </c>
      <c r="MR209" s="16"/>
      <c r="MS209" s="16"/>
      <c r="MT209" s="16"/>
      <c r="MU209" s="16"/>
      <c r="MV209" s="15" t="str">
        <f t="shared" si="742"/>
        <v>NO APLICA</v>
      </c>
      <c r="MW209" s="16"/>
      <c r="MX209" s="16"/>
      <c r="MY209" s="16"/>
      <c r="MZ209" s="16"/>
      <c r="NA209" s="15" t="str">
        <f t="shared" si="743"/>
        <v>NO APLICA</v>
      </c>
      <c r="NB209" s="16"/>
      <c r="NC209" s="16"/>
      <c r="ND209" s="16"/>
      <c r="NE209" s="16"/>
      <c r="NF209" s="15" t="str">
        <f t="shared" si="744"/>
        <v>NO APLICA</v>
      </c>
      <c r="NG209" s="16"/>
      <c r="NH209" s="16"/>
      <c r="NI209" s="16"/>
      <c r="NJ209" s="16"/>
      <c r="NK209" s="15" t="str">
        <f t="shared" si="745"/>
        <v>NO APLICA</v>
      </c>
      <c r="NL209" s="16"/>
      <c r="NM209" s="16"/>
      <c r="NN209" s="16"/>
      <c r="NO209" s="16"/>
      <c r="NP209" s="15" t="str">
        <f t="shared" si="746"/>
        <v>NO APLICA</v>
      </c>
      <c r="NQ209" s="16"/>
      <c r="NR209" s="16"/>
      <c r="NS209" s="16"/>
      <c r="NT209" s="16"/>
      <c r="NU209" s="15" t="str">
        <f t="shared" si="747"/>
        <v>NO APLICA</v>
      </c>
      <c r="NV209" s="16"/>
      <c r="NW209" s="16"/>
      <c r="NX209" s="16"/>
      <c r="NY209" s="16"/>
      <c r="NZ209" s="15" t="str">
        <f t="shared" si="748"/>
        <v>NO APLICA</v>
      </c>
    </row>
    <row r="210" spans="1:390" ht="15.6" thickTop="1" thickBot="1" x14ac:dyDescent="0.35">
      <c r="A210" s="11">
        <v>1738</v>
      </c>
      <c r="B210" s="10" t="s">
        <v>711</v>
      </c>
      <c r="C210" s="21" t="s">
        <v>151</v>
      </c>
      <c r="D210" s="64" t="s">
        <v>668</v>
      </c>
      <c r="E210" s="13"/>
      <c r="F210" s="14"/>
      <c r="G210" s="14"/>
      <c r="H210" s="65"/>
      <c r="I210" s="15" t="str">
        <f t="shared" si="688"/>
        <v>NO APLICA</v>
      </c>
      <c r="J210" s="12"/>
      <c r="K210" s="12"/>
      <c r="L210" s="12"/>
      <c r="M210" s="12"/>
      <c r="N210" s="15" t="str">
        <f t="shared" si="691"/>
        <v>NO APLICA</v>
      </c>
      <c r="O210" s="16"/>
      <c r="P210" s="16"/>
      <c r="Q210" s="14"/>
      <c r="R210" s="65"/>
      <c r="S210" s="15" t="str">
        <f t="shared" si="689"/>
        <v>NO APLICA</v>
      </c>
      <c r="T210" s="12"/>
      <c r="U210" s="13"/>
      <c r="V210" s="14"/>
      <c r="W210" s="14"/>
      <c r="X210" s="65"/>
      <c r="Y210" s="15" t="str">
        <f t="shared" si="595"/>
        <v>NO APLICA</v>
      </c>
      <c r="Z210" s="12"/>
      <c r="AA210" s="12"/>
      <c r="AB210" s="16"/>
      <c r="AC210" s="14"/>
      <c r="AD210" s="65"/>
      <c r="AE210" s="15" t="str">
        <f t="shared" si="598"/>
        <v>NO APLICA</v>
      </c>
      <c r="AF210" s="12"/>
      <c r="AG210" s="14"/>
      <c r="AH210" s="14"/>
      <c r="AI210" s="65"/>
      <c r="AJ210" s="15" t="str">
        <f t="shared" si="592"/>
        <v>NO APLICA</v>
      </c>
      <c r="AK210" s="12"/>
      <c r="AL210" s="14"/>
      <c r="AM210" s="14"/>
      <c r="AN210" s="65"/>
      <c r="AO210" s="15" t="str">
        <f t="shared" si="692"/>
        <v>NO APLICA</v>
      </c>
      <c r="AP210" s="12"/>
      <c r="AQ210" s="14"/>
      <c r="AR210" s="14"/>
      <c r="AS210" s="65"/>
      <c r="AT210" s="15" t="str">
        <f t="shared" si="693"/>
        <v>NO APLICA</v>
      </c>
      <c r="AU210" s="12"/>
      <c r="AV210" s="14"/>
      <c r="AW210" s="14"/>
      <c r="AX210" s="65"/>
      <c r="AY210" s="15" t="str">
        <f t="shared" si="694"/>
        <v>NO APLICA</v>
      </c>
      <c r="AZ210" s="13"/>
      <c r="BA210" s="14"/>
      <c r="BB210" s="14"/>
      <c r="BC210" s="65"/>
      <c r="BD210" s="15" t="str">
        <f t="shared" si="695"/>
        <v>NO APLICA</v>
      </c>
      <c r="BE210" s="12"/>
      <c r="BF210" s="14"/>
      <c r="BG210" s="14"/>
      <c r="BH210" s="65"/>
      <c r="BI210" s="15" t="str">
        <f t="shared" si="696"/>
        <v>NO APLICA</v>
      </c>
      <c r="BJ210" s="13"/>
      <c r="BK210" s="14"/>
      <c r="BL210" s="14"/>
      <c r="BM210" s="65"/>
      <c r="BN210" s="15" t="str">
        <f t="shared" si="697"/>
        <v>NO APLICA</v>
      </c>
      <c r="BO210" s="13"/>
      <c r="BP210" s="14"/>
      <c r="BQ210" s="14"/>
      <c r="BR210" s="65"/>
      <c r="BS210" s="15" t="str">
        <f t="shared" si="698"/>
        <v>NO APLICA</v>
      </c>
      <c r="BT210" s="12"/>
      <c r="BU210" s="14"/>
      <c r="BV210" s="14"/>
      <c r="BW210" s="65"/>
      <c r="BX210" s="15" t="str">
        <f t="shared" si="699"/>
        <v>NO APLICA</v>
      </c>
      <c r="BY210" s="12"/>
      <c r="BZ210" s="14"/>
      <c r="CA210" s="14"/>
      <c r="CB210" s="65"/>
      <c r="CC210" s="15" t="str">
        <f t="shared" si="700"/>
        <v>NO APLICA</v>
      </c>
      <c r="CD210" s="16"/>
      <c r="CE210" s="14"/>
      <c r="CF210" s="14"/>
      <c r="CG210" s="14"/>
      <c r="CH210" s="65"/>
      <c r="CI210" s="15" t="str">
        <f t="shared" si="758"/>
        <v>NO APLICA</v>
      </c>
      <c r="CJ210" s="16"/>
      <c r="CK210" s="14"/>
      <c r="CL210" s="14"/>
      <c r="CM210" s="65"/>
      <c r="CN210" s="15" t="str">
        <f t="shared" si="701"/>
        <v>NO APLICA</v>
      </c>
      <c r="CO210" s="12"/>
      <c r="CP210" s="14"/>
      <c r="CQ210" s="14"/>
      <c r="CR210" s="65"/>
      <c r="CS210" s="15" t="str">
        <f t="shared" si="702"/>
        <v>NO APLICA</v>
      </c>
      <c r="CT210" s="12"/>
      <c r="CU210" s="14"/>
      <c r="CV210" s="14"/>
      <c r="CW210" s="65"/>
      <c r="CX210" s="15" t="str">
        <f t="shared" si="703"/>
        <v>NO APLICA</v>
      </c>
      <c r="CY210" s="13"/>
      <c r="CZ210" s="14"/>
      <c r="DA210" s="14"/>
      <c r="DB210" s="65"/>
      <c r="DC210" s="15" t="str">
        <f t="shared" si="704"/>
        <v>NO APLICA</v>
      </c>
      <c r="DD210" s="13"/>
      <c r="DE210" s="14"/>
      <c r="DF210" s="14"/>
      <c r="DG210" s="65"/>
      <c r="DH210" s="15" t="str">
        <f t="shared" si="705"/>
        <v>NO APLICA</v>
      </c>
      <c r="DI210" s="12"/>
      <c r="DJ210" s="14"/>
      <c r="DK210" s="14"/>
      <c r="DL210" s="65"/>
      <c r="DM210" s="15" t="str">
        <f t="shared" si="706"/>
        <v>NO APLICA</v>
      </c>
      <c r="DN210" s="13"/>
      <c r="DO210" s="14"/>
      <c r="DP210" s="14"/>
      <c r="DQ210" s="65"/>
      <c r="DR210" s="15" t="str">
        <f t="shared" si="707"/>
        <v>NO APLICA</v>
      </c>
      <c r="DS210" s="12"/>
      <c r="DT210" s="14"/>
      <c r="DU210" s="14"/>
      <c r="DV210" s="65"/>
      <c r="DW210" s="15" t="str">
        <f t="shared" si="708"/>
        <v>NO APLICA</v>
      </c>
      <c r="DX210" s="13"/>
      <c r="DY210" s="14"/>
      <c r="DZ210" s="14"/>
      <c r="EA210" s="65"/>
      <c r="EB210" s="15" t="str">
        <f t="shared" si="709"/>
        <v>NO APLICA</v>
      </c>
      <c r="EC210" s="13"/>
      <c r="ED210" s="14"/>
      <c r="EE210" s="14"/>
      <c r="EF210" s="65"/>
      <c r="EG210" s="15" t="str">
        <f t="shared" si="710"/>
        <v>NO APLICA</v>
      </c>
      <c r="EH210" s="13"/>
      <c r="EI210" s="12"/>
      <c r="EJ210" s="12"/>
      <c r="EK210" s="14"/>
      <c r="EL210" s="14"/>
      <c r="EM210" s="65"/>
      <c r="EN210" s="15" t="str">
        <f t="shared" si="711"/>
        <v>NO APLICA</v>
      </c>
      <c r="EO210" s="13"/>
      <c r="EP210" s="14"/>
      <c r="EQ210" s="14"/>
      <c r="ER210" s="65"/>
      <c r="ES210" s="15" t="str">
        <f t="shared" si="712"/>
        <v>NO APLICA</v>
      </c>
      <c r="ET210" s="12"/>
      <c r="EU210" s="14"/>
      <c r="EV210" s="14"/>
      <c r="EW210" s="65"/>
      <c r="EX210" s="15" t="str">
        <f t="shared" si="713"/>
        <v>NO APLICA</v>
      </c>
      <c r="EY210" s="12"/>
      <c r="EZ210" s="14"/>
      <c r="FA210" s="14"/>
      <c r="FB210" s="65"/>
      <c r="FC210" s="15" t="str">
        <f t="shared" si="714"/>
        <v>NO APLICA</v>
      </c>
      <c r="FD210" s="12"/>
      <c r="FE210" s="14"/>
      <c r="FF210" s="14"/>
      <c r="FG210" s="65"/>
      <c r="FH210" s="15" t="str">
        <f t="shared" si="715"/>
        <v>NO APLICA</v>
      </c>
      <c r="FI210" s="12"/>
      <c r="FJ210" s="14"/>
      <c r="FK210" s="14"/>
      <c r="FL210" s="65"/>
      <c r="FM210" s="15" t="str">
        <f t="shared" si="716"/>
        <v>NO APLICA</v>
      </c>
      <c r="FN210" s="13"/>
      <c r="FO210" s="14"/>
      <c r="FP210" s="14"/>
      <c r="FQ210" s="65"/>
      <c r="FR210" s="15" t="str">
        <f t="shared" si="717"/>
        <v>NO APLICA</v>
      </c>
      <c r="FS210" s="13"/>
      <c r="FT210" s="14"/>
      <c r="FU210" s="14"/>
      <c r="FV210" s="65"/>
      <c r="FW210" s="15" t="str">
        <f t="shared" si="718"/>
        <v>NO APLICA</v>
      </c>
      <c r="FX210" s="13"/>
      <c r="FY210" s="14"/>
      <c r="FZ210" s="14"/>
      <c r="GA210" s="65"/>
      <c r="GB210" s="15" t="str">
        <f t="shared" si="719"/>
        <v>NO APLICA</v>
      </c>
      <c r="GC210" s="13"/>
      <c r="GD210" s="14"/>
      <c r="GE210" s="14"/>
      <c r="GF210" s="65"/>
      <c r="GG210" s="15" t="str">
        <f t="shared" si="720"/>
        <v>NO APLICA</v>
      </c>
      <c r="GH210" s="13"/>
      <c r="GI210" s="14"/>
      <c r="GJ210" s="14"/>
      <c r="GK210" s="65"/>
      <c r="GL210" s="15" t="str">
        <f t="shared" si="721"/>
        <v>NO APLICA</v>
      </c>
      <c r="GM210" s="13"/>
      <c r="GN210" s="14"/>
      <c r="GO210" s="14"/>
      <c r="GP210" s="65"/>
      <c r="GQ210" s="15" t="str">
        <f t="shared" si="722"/>
        <v>NO APLICA</v>
      </c>
      <c r="GR210" s="14"/>
      <c r="GS210" s="14"/>
      <c r="GT210" s="14"/>
      <c r="GU210" s="65"/>
      <c r="GV210" s="15" t="str">
        <f t="shared" si="601"/>
        <v>NO APLICA</v>
      </c>
      <c r="GW210" s="13"/>
      <c r="GX210" s="14"/>
      <c r="GY210" s="14"/>
      <c r="GZ210" s="65"/>
      <c r="HA210" s="15" t="str">
        <f t="shared" si="602"/>
        <v>NO APLICA</v>
      </c>
      <c r="HB210" s="12"/>
      <c r="HC210" s="14"/>
      <c r="HD210" s="14"/>
      <c r="HE210" s="65"/>
      <c r="HF210" s="15" t="str">
        <f t="shared" si="603"/>
        <v>NO APLICA</v>
      </c>
      <c r="HG210" s="16"/>
      <c r="HH210" s="16"/>
      <c r="HI210" s="14"/>
      <c r="HJ210" s="65"/>
      <c r="HK210" s="15" t="str">
        <f t="shared" si="690"/>
        <v>NO APLICA</v>
      </c>
      <c r="HL210" s="12"/>
      <c r="HM210" s="16"/>
      <c r="HN210" s="14"/>
      <c r="HO210" s="65"/>
      <c r="HP210" s="15" t="str">
        <f t="shared" si="686"/>
        <v>NO APLICA</v>
      </c>
      <c r="HQ210" s="12"/>
      <c r="HR210" s="12"/>
      <c r="HS210" s="14"/>
      <c r="HT210" s="12"/>
      <c r="HU210" s="15" t="str">
        <f t="shared" si="723"/>
        <v>NO APLICA</v>
      </c>
      <c r="HV210" s="12"/>
      <c r="HW210" s="16"/>
      <c r="HX210" s="14"/>
      <c r="HY210" s="65"/>
      <c r="HZ210" s="15" t="str">
        <f t="shared" si="724"/>
        <v>NO APLICA</v>
      </c>
      <c r="IA210" s="12"/>
      <c r="IB210" s="16"/>
      <c r="IC210" s="14"/>
      <c r="ID210" s="65"/>
      <c r="IE210" s="15" t="str">
        <f t="shared" si="725"/>
        <v>NO APLICA</v>
      </c>
      <c r="IF210" s="12"/>
      <c r="IG210" s="16"/>
      <c r="IH210" s="14"/>
      <c r="II210" s="65"/>
      <c r="IJ210" s="15" t="str">
        <f t="shared" si="726"/>
        <v>NO APLICA</v>
      </c>
      <c r="IK210" s="16"/>
      <c r="IL210" s="16"/>
      <c r="IM210" s="14"/>
      <c r="IN210" s="65"/>
      <c r="IO210" s="15" t="str">
        <f t="shared" si="727"/>
        <v>NO APLICA</v>
      </c>
      <c r="IP210" s="12"/>
      <c r="IQ210" s="16"/>
      <c r="IR210" s="14"/>
      <c r="IS210" s="65"/>
      <c r="IT210" s="15" t="str">
        <f t="shared" si="728"/>
        <v>NO APLICA</v>
      </c>
      <c r="IU210" s="12"/>
      <c r="IV210" s="16"/>
      <c r="IW210" s="14"/>
      <c r="IX210" s="65"/>
      <c r="IY210" s="15" t="str">
        <f t="shared" si="729"/>
        <v>NO APLICA</v>
      </c>
      <c r="IZ210" s="12"/>
      <c r="JA210" s="16"/>
      <c r="JB210" s="14"/>
      <c r="JC210" s="65"/>
      <c r="JD210" s="15" t="str">
        <f t="shared" si="730"/>
        <v>NO APLICA</v>
      </c>
      <c r="JE210" s="13"/>
      <c r="JF210" s="13"/>
      <c r="JG210" s="14"/>
      <c r="JH210" s="65"/>
      <c r="JI210" s="15" t="str">
        <f t="shared" si="731"/>
        <v>NO APLICA</v>
      </c>
      <c r="JJ210" s="16"/>
      <c r="JK210" s="16"/>
      <c r="JL210" s="16"/>
      <c r="JM210" s="15" t="str">
        <f t="shared" si="732"/>
        <v>NO APLICA</v>
      </c>
      <c r="JN210" s="16"/>
      <c r="JO210" s="16"/>
      <c r="JP210" s="16"/>
      <c r="JQ210" s="15" t="str">
        <f t="shared" si="733"/>
        <v>NO APLICA</v>
      </c>
      <c r="JR210" s="16"/>
      <c r="JS210" s="16"/>
      <c r="JT210" s="16"/>
      <c r="JU210" s="16"/>
      <c r="JV210" s="15" t="str">
        <f t="shared" si="734"/>
        <v>NO APLICA</v>
      </c>
      <c r="JW210" s="15"/>
      <c r="JX210" s="15"/>
      <c r="JY210" s="15"/>
      <c r="JZ210" s="15"/>
      <c r="KA210" s="15" t="str">
        <f t="shared" si="735"/>
        <v>NO APLICA</v>
      </c>
      <c r="KB210" s="12"/>
      <c r="KC210" s="14"/>
      <c r="KD210" s="65"/>
      <c r="KE210" s="15" t="str">
        <f t="shared" si="736"/>
        <v>NO APLICA</v>
      </c>
      <c r="KF210" s="12"/>
      <c r="KG210" s="14"/>
      <c r="KH210" s="65"/>
      <c r="KI210" s="15" t="str">
        <f t="shared" si="749"/>
        <v>NO APLICA</v>
      </c>
      <c r="KJ210" s="12"/>
      <c r="KK210" s="14"/>
      <c r="KL210" s="65"/>
      <c r="KM210" s="15" t="str">
        <f t="shared" si="737"/>
        <v>NO APLICA</v>
      </c>
      <c r="KN210" s="12"/>
      <c r="KO210" s="14"/>
      <c r="KP210" s="65"/>
      <c r="KQ210" s="15" t="str">
        <f t="shared" si="750"/>
        <v>NO APLICA</v>
      </c>
      <c r="KR210" s="12"/>
      <c r="KS210" s="16"/>
      <c r="KT210" s="14"/>
      <c r="KU210" s="65"/>
      <c r="KV210" s="15" t="str">
        <f t="shared" si="755"/>
        <v>NO APLICA</v>
      </c>
      <c r="KW210" s="16"/>
      <c r="KX210" s="14"/>
      <c r="KY210" s="65"/>
      <c r="KZ210" s="15" t="str">
        <f t="shared" si="751"/>
        <v>NO APLICA</v>
      </c>
      <c r="LA210" s="16"/>
      <c r="LB210" s="16"/>
      <c r="LC210" s="14"/>
      <c r="LD210" s="65"/>
      <c r="LE210" s="15" t="str">
        <f t="shared" si="590"/>
        <v>NO APLICA</v>
      </c>
      <c r="LF210" s="15"/>
      <c r="LG210" s="15"/>
      <c r="LH210" s="14"/>
      <c r="LI210" s="65"/>
      <c r="LJ210" s="15" t="str">
        <f t="shared" si="756"/>
        <v>NO APLICA</v>
      </c>
      <c r="LK210" s="12"/>
      <c r="LL210" s="16"/>
      <c r="LM210" s="14"/>
      <c r="LN210" s="65"/>
      <c r="LO210" s="15" t="str">
        <f t="shared" si="752"/>
        <v>NO APLICA</v>
      </c>
      <c r="LP210" s="16"/>
      <c r="LQ210" s="16"/>
      <c r="LR210" s="14"/>
      <c r="LS210" s="65"/>
      <c r="LT210" s="15" t="str">
        <f t="shared" si="753"/>
        <v>NO APLICA</v>
      </c>
      <c r="LU210" s="16"/>
      <c r="LV210" s="16"/>
      <c r="LW210" s="14"/>
      <c r="LX210" s="65"/>
      <c r="LY210" s="15" t="str">
        <f t="shared" si="754"/>
        <v>NO APLICA</v>
      </c>
      <c r="LZ210" s="12"/>
      <c r="MA210" s="12"/>
      <c r="MB210" s="14"/>
      <c r="MC210" s="65"/>
      <c r="MD210" s="15" t="str">
        <f t="shared" si="738"/>
        <v>NO APLICA</v>
      </c>
      <c r="ME210" s="12"/>
      <c r="MF210" s="12"/>
      <c r="MG210" s="14"/>
      <c r="MH210" s="65"/>
      <c r="MI210" s="15" t="str">
        <f t="shared" si="739"/>
        <v>NO APLICA</v>
      </c>
      <c r="MJ210" s="12"/>
      <c r="MK210" s="14"/>
      <c r="ML210" s="65"/>
      <c r="MM210" s="15" t="str">
        <f t="shared" si="740"/>
        <v>NO APLICA</v>
      </c>
      <c r="MN210" s="12"/>
      <c r="MO210" s="14"/>
      <c r="MP210" s="12"/>
      <c r="MQ210" s="15" t="str">
        <f t="shared" si="741"/>
        <v>NO APLICA</v>
      </c>
      <c r="MR210" s="12"/>
      <c r="MS210" s="16"/>
      <c r="MT210" s="14"/>
      <c r="MU210" s="65"/>
      <c r="MV210" s="15" t="str">
        <f t="shared" si="742"/>
        <v>NO APLICA</v>
      </c>
      <c r="MW210" s="12"/>
      <c r="MX210" s="16"/>
      <c r="MY210" s="14"/>
      <c r="MZ210" s="65"/>
      <c r="NA210" s="15" t="str">
        <f t="shared" si="743"/>
        <v>NO APLICA</v>
      </c>
      <c r="NB210" s="12"/>
      <c r="NC210" s="16"/>
      <c r="ND210" s="14"/>
      <c r="NE210" s="65"/>
      <c r="NF210" s="15" t="str">
        <f t="shared" si="744"/>
        <v>NO APLICA</v>
      </c>
      <c r="NG210" s="12"/>
      <c r="NH210" s="12"/>
      <c r="NI210" s="14"/>
      <c r="NJ210" s="65"/>
      <c r="NK210" s="15" t="str">
        <f t="shared" si="745"/>
        <v>NO APLICA</v>
      </c>
      <c r="NL210" s="12"/>
      <c r="NM210" s="12"/>
      <c r="NN210" s="14"/>
      <c r="NO210" s="12"/>
      <c r="NP210" s="15" t="str">
        <f t="shared" si="746"/>
        <v>NO APLICA</v>
      </c>
      <c r="NQ210" s="16"/>
      <c r="NR210" s="16"/>
      <c r="NS210" s="14"/>
      <c r="NT210" s="65"/>
      <c r="NU210" s="15" t="str">
        <f t="shared" si="747"/>
        <v>NO APLICA</v>
      </c>
      <c r="NV210" s="16"/>
      <c r="NW210" s="16"/>
      <c r="NX210" s="16"/>
      <c r="NY210" s="16"/>
      <c r="NZ210" s="15" t="str">
        <f t="shared" si="748"/>
        <v>NO APLICA</v>
      </c>
    </row>
    <row r="211" spans="1:390" ht="15.6" thickTop="1" thickBot="1" x14ac:dyDescent="0.35">
      <c r="A211" s="11">
        <v>855</v>
      </c>
      <c r="B211" s="10" t="s">
        <v>712</v>
      </c>
      <c r="C211" s="21" t="s">
        <v>104</v>
      </c>
      <c r="D211" s="64" t="s">
        <v>228</v>
      </c>
      <c r="E211" s="16"/>
      <c r="F211" s="16"/>
      <c r="G211" s="16"/>
      <c r="H211" s="16"/>
      <c r="I211" s="15" t="str">
        <f t="shared" si="688"/>
        <v>NO APLICA</v>
      </c>
      <c r="J211" s="16"/>
      <c r="K211" s="16"/>
      <c r="L211" s="16"/>
      <c r="M211" s="16"/>
      <c r="N211" s="15" t="str">
        <f t="shared" si="691"/>
        <v>NO APLICA</v>
      </c>
      <c r="O211" s="16"/>
      <c r="P211" s="16"/>
      <c r="Q211" s="16"/>
      <c r="R211" s="16"/>
      <c r="S211" s="15" t="str">
        <f t="shared" si="689"/>
        <v>NO APLICA</v>
      </c>
      <c r="T211" s="16" t="s">
        <v>713</v>
      </c>
      <c r="U211" s="14">
        <v>44917</v>
      </c>
      <c r="V211" s="14">
        <v>44918</v>
      </c>
      <c r="W211" s="14">
        <f>DATE(YEAR(V211)+5,MONTH(V211),DAY(V211))</f>
        <v>46744</v>
      </c>
      <c r="X211" s="65">
        <f ca="1">W211-TODAY()</f>
        <v>613</v>
      </c>
      <c r="Y211" s="15" t="str">
        <f ca="1">IF(X211&gt;=90,"VIGENTE",IF(X211&gt;=1,"POR VENCER",IF(X211&lt;=-1,"VENCIDA",IF(V211=0,"NO APLICA"))))</f>
        <v>VIGENTE</v>
      </c>
      <c r="Z211" s="16" t="s">
        <v>714</v>
      </c>
      <c r="AA211" s="14">
        <v>44987</v>
      </c>
      <c r="AB211" s="14">
        <v>44988</v>
      </c>
      <c r="AC211" s="14">
        <f>DATE(YEAR(AB211)+5,MONTH(AB211),DAY(AB211))</f>
        <v>46815</v>
      </c>
      <c r="AD211" s="65">
        <f ca="1">AC211-TODAY()</f>
        <v>684</v>
      </c>
      <c r="AE211" s="15" t="str">
        <f t="shared" ca="1" si="598"/>
        <v>VIGENTE</v>
      </c>
      <c r="AF211" s="14"/>
      <c r="AG211" s="14"/>
      <c r="AH211" s="14"/>
      <c r="AI211" s="16"/>
      <c r="AJ211" s="15" t="str">
        <f t="shared" si="592"/>
        <v>NO APLICA</v>
      </c>
      <c r="AK211" s="14"/>
      <c r="AL211" s="14"/>
      <c r="AM211" s="14"/>
      <c r="AN211" s="16"/>
      <c r="AO211" s="15" t="str">
        <f t="shared" si="692"/>
        <v>NO APLICA</v>
      </c>
      <c r="AP211" s="14"/>
      <c r="AQ211" s="14"/>
      <c r="AR211" s="14"/>
      <c r="AS211" s="16"/>
      <c r="AT211" s="15" t="str">
        <f t="shared" si="693"/>
        <v>NO APLICA</v>
      </c>
      <c r="AU211" s="14"/>
      <c r="AV211" s="14"/>
      <c r="AW211" s="14"/>
      <c r="AX211" s="16"/>
      <c r="AY211" s="15" t="str">
        <f t="shared" si="694"/>
        <v>NO APLICA</v>
      </c>
      <c r="AZ211" s="14"/>
      <c r="BA211" s="14"/>
      <c r="BB211" s="14"/>
      <c r="BC211" s="16"/>
      <c r="BD211" s="15" t="str">
        <f t="shared" si="695"/>
        <v>NO APLICA</v>
      </c>
      <c r="BE211" s="14"/>
      <c r="BF211" s="14"/>
      <c r="BG211" s="14"/>
      <c r="BH211" s="16"/>
      <c r="BI211" s="15" t="str">
        <f t="shared" si="696"/>
        <v>NO APLICA</v>
      </c>
      <c r="BJ211" s="14"/>
      <c r="BK211" s="14"/>
      <c r="BL211" s="14"/>
      <c r="BM211" s="16"/>
      <c r="BN211" s="15" t="str">
        <f t="shared" si="697"/>
        <v>NO APLICA</v>
      </c>
      <c r="BO211" s="14"/>
      <c r="BP211" s="14"/>
      <c r="BQ211" s="14"/>
      <c r="BR211" s="16"/>
      <c r="BS211" s="15" t="str">
        <f t="shared" si="698"/>
        <v>NO APLICA</v>
      </c>
      <c r="BT211" s="14"/>
      <c r="BU211" s="14"/>
      <c r="BV211" s="14"/>
      <c r="BW211" s="16"/>
      <c r="BX211" s="15" t="str">
        <f t="shared" si="699"/>
        <v>NO APLICA</v>
      </c>
      <c r="BY211" s="14"/>
      <c r="BZ211" s="14"/>
      <c r="CA211" s="14"/>
      <c r="CB211" s="16"/>
      <c r="CC211" s="15" t="str">
        <f t="shared" si="700"/>
        <v>NO APLICA</v>
      </c>
      <c r="CD211" s="16" t="s">
        <v>368</v>
      </c>
      <c r="CE211" s="14">
        <v>44900</v>
      </c>
      <c r="CF211" s="14">
        <v>44901</v>
      </c>
      <c r="CG211" s="14">
        <f>DATE(YEAR(CF211)+4,MONTH(CF211),DAY(CF211))</f>
        <v>46362</v>
      </c>
      <c r="CH211" s="65">
        <f ca="1">CG211-TODAY()</f>
        <v>231</v>
      </c>
      <c r="CI211" s="15" t="str">
        <f ca="1">IF(CH211&gt;=90,"VIGENTE",IF(CH211&gt;=1,"POR VENCER",IF(CH211&lt;=-1,"VENCIDA",IF(CH211=0,"NO APLICA"))))</f>
        <v>VIGENTE</v>
      </c>
      <c r="CJ211" s="14"/>
      <c r="CK211" s="14"/>
      <c r="CL211" s="14"/>
      <c r="CM211" s="16"/>
      <c r="CN211" s="15" t="str">
        <f t="shared" si="701"/>
        <v>NO APLICA</v>
      </c>
      <c r="CO211" s="14"/>
      <c r="CP211" s="14"/>
      <c r="CQ211" s="14"/>
      <c r="CR211" s="16"/>
      <c r="CS211" s="15" t="str">
        <f t="shared" si="702"/>
        <v>NO APLICA</v>
      </c>
      <c r="CT211" s="14"/>
      <c r="CU211" s="14"/>
      <c r="CV211" s="14"/>
      <c r="CW211" s="16"/>
      <c r="CX211" s="15" t="str">
        <f t="shared" si="703"/>
        <v>NO APLICA</v>
      </c>
      <c r="CY211" s="14"/>
      <c r="CZ211" s="14"/>
      <c r="DA211" s="14"/>
      <c r="DB211" s="16"/>
      <c r="DC211" s="15" t="str">
        <f t="shared" si="704"/>
        <v>NO APLICA</v>
      </c>
      <c r="DD211" s="14"/>
      <c r="DE211" s="14"/>
      <c r="DF211" s="14"/>
      <c r="DG211" s="16"/>
      <c r="DH211" s="15" t="str">
        <f t="shared" si="705"/>
        <v>NO APLICA</v>
      </c>
      <c r="DI211" s="14"/>
      <c r="DJ211" s="14"/>
      <c r="DK211" s="14"/>
      <c r="DL211" s="16"/>
      <c r="DM211" s="15" t="str">
        <f t="shared" si="706"/>
        <v>NO APLICA</v>
      </c>
      <c r="DN211" s="14"/>
      <c r="DO211" s="14"/>
      <c r="DP211" s="14"/>
      <c r="DQ211" s="16"/>
      <c r="DR211" s="15" t="str">
        <f t="shared" si="707"/>
        <v>NO APLICA</v>
      </c>
      <c r="DS211" s="14"/>
      <c r="DT211" s="14"/>
      <c r="DU211" s="14"/>
      <c r="DV211" s="16"/>
      <c r="DW211" s="15" t="str">
        <f t="shared" si="708"/>
        <v>NO APLICA</v>
      </c>
      <c r="DX211" s="14"/>
      <c r="DY211" s="14"/>
      <c r="DZ211" s="14"/>
      <c r="EA211" s="16"/>
      <c r="EB211" s="15" t="str">
        <f t="shared" si="709"/>
        <v>NO APLICA</v>
      </c>
      <c r="EC211" s="14"/>
      <c r="ED211" s="14"/>
      <c r="EE211" s="14"/>
      <c r="EF211" s="16"/>
      <c r="EG211" s="15" t="str">
        <f t="shared" si="710"/>
        <v>NO APLICA</v>
      </c>
      <c r="EH211" s="14"/>
      <c r="EI211" s="14"/>
      <c r="EJ211" s="14"/>
      <c r="EK211" s="14"/>
      <c r="EL211" s="14"/>
      <c r="EM211" s="65"/>
      <c r="EN211" s="15" t="str">
        <f t="shared" si="711"/>
        <v>NO APLICA</v>
      </c>
      <c r="EO211" s="14"/>
      <c r="EP211" s="14"/>
      <c r="EQ211" s="14"/>
      <c r="ER211" s="65"/>
      <c r="ES211" s="15" t="str">
        <f t="shared" si="712"/>
        <v>NO APLICA</v>
      </c>
      <c r="ET211" s="14"/>
      <c r="EU211" s="14"/>
      <c r="EV211" s="14"/>
      <c r="EW211" s="65"/>
      <c r="EX211" s="15" t="str">
        <f t="shared" si="713"/>
        <v>NO APLICA</v>
      </c>
      <c r="EY211" s="14"/>
      <c r="EZ211" s="14"/>
      <c r="FA211" s="14"/>
      <c r="FB211" s="16"/>
      <c r="FC211" s="15" t="str">
        <f t="shared" si="714"/>
        <v>NO APLICA</v>
      </c>
      <c r="FD211" s="14"/>
      <c r="FE211" s="14"/>
      <c r="FF211" s="14"/>
      <c r="FG211" s="16"/>
      <c r="FH211" s="15" t="str">
        <f t="shared" si="715"/>
        <v>NO APLICA</v>
      </c>
      <c r="FI211" s="14"/>
      <c r="FJ211" s="14"/>
      <c r="FK211" s="14"/>
      <c r="FL211" s="16"/>
      <c r="FM211" s="15" t="str">
        <f t="shared" si="716"/>
        <v>NO APLICA</v>
      </c>
      <c r="FN211" s="14"/>
      <c r="FO211" s="14"/>
      <c r="FP211" s="14"/>
      <c r="FQ211" s="16"/>
      <c r="FR211" s="15" t="str">
        <f t="shared" si="717"/>
        <v>NO APLICA</v>
      </c>
      <c r="FS211" s="14"/>
      <c r="FT211" s="14"/>
      <c r="FU211" s="14"/>
      <c r="FV211" s="16"/>
      <c r="FW211" s="15" t="str">
        <f t="shared" si="718"/>
        <v>NO APLICA</v>
      </c>
      <c r="FX211" s="14"/>
      <c r="FY211" s="14"/>
      <c r="FZ211" s="14"/>
      <c r="GA211" s="16"/>
      <c r="GB211" s="15" t="str">
        <f t="shared" si="719"/>
        <v>NO APLICA</v>
      </c>
      <c r="GC211" s="14"/>
      <c r="GD211" s="14"/>
      <c r="GE211" s="14"/>
      <c r="GF211" s="16"/>
      <c r="GG211" s="15" t="str">
        <f t="shared" si="720"/>
        <v>NO APLICA</v>
      </c>
      <c r="GH211" s="14"/>
      <c r="GI211" s="14"/>
      <c r="GJ211" s="14"/>
      <c r="GK211" s="65"/>
      <c r="GL211" s="15" t="str">
        <f t="shared" si="721"/>
        <v>NO APLICA</v>
      </c>
      <c r="GM211" s="14"/>
      <c r="GN211" s="16"/>
      <c r="GO211" s="16"/>
      <c r="GP211" s="16"/>
      <c r="GQ211" s="15" t="str">
        <f t="shared" si="722"/>
        <v>NO APLICA</v>
      </c>
      <c r="GR211" s="14"/>
      <c r="GS211" s="16"/>
      <c r="GT211" s="16"/>
      <c r="GU211" s="16"/>
      <c r="GV211" s="15" t="str">
        <f t="shared" si="601"/>
        <v>NO APLICA</v>
      </c>
      <c r="GW211" s="14"/>
      <c r="GX211" s="16"/>
      <c r="GY211" s="16"/>
      <c r="GZ211" s="16"/>
      <c r="HA211" s="15" t="str">
        <f t="shared" si="602"/>
        <v>NO APLICA</v>
      </c>
      <c r="HB211" s="16"/>
      <c r="HC211" s="16"/>
      <c r="HD211" s="16"/>
      <c r="HE211" s="16"/>
      <c r="HF211" s="15" t="str">
        <f t="shared" si="603"/>
        <v>NO APLICA</v>
      </c>
      <c r="HG211" s="16"/>
      <c r="HH211" s="16"/>
      <c r="HI211" s="14"/>
      <c r="HJ211" s="65"/>
      <c r="HK211" s="15" t="str">
        <f t="shared" si="690"/>
        <v>NO APLICA</v>
      </c>
      <c r="HL211" s="16"/>
      <c r="HM211" s="16"/>
      <c r="HN211" s="16"/>
      <c r="HO211" s="16"/>
      <c r="HP211" s="15" t="str">
        <f t="shared" si="686"/>
        <v>NO APLICA</v>
      </c>
      <c r="HQ211" s="16"/>
      <c r="HR211" s="16"/>
      <c r="HS211" s="16"/>
      <c r="HT211" s="16"/>
      <c r="HU211" s="15" t="str">
        <f t="shared" si="723"/>
        <v>NO APLICA</v>
      </c>
      <c r="HV211" s="16"/>
      <c r="HW211" s="16"/>
      <c r="HX211" s="16"/>
      <c r="HY211" s="16"/>
      <c r="HZ211" s="15" t="str">
        <f t="shared" si="724"/>
        <v>NO APLICA</v>
      </c>
      <c r="IA211" s="16"/>
      <c r="IB211" s="16"/>
      <c r="IC211" s="16"/>
      <c r="ID211" s="16"/>
      <c r="IE211" s="15" t="str">
        <f t="shared" si="725"/>
        <v>NO APLICA</v>
      </c>
      <c r="IF211" s="16"/>
      <c r="IG211" s="16"/>
      <c r="IH211" s="16"/>
      <c r="II211" s="16"/>
      <c r="IJ211" s="15" t="str">
        <f t="shared" si="726"/>
        <v>NO APLICA</v>
      </c>
      <c r="IK211" s="16"/>
      <c r="IL211" s="16"/>
      <c r="IM211" s="16"/>
      <c r="IN211" s="16"/>
      <c r="IO211" s="15" t="str">
        <f t="shared" si="727"/>
        <v>NO APLICA</v>
      </c>
      <c r="IP211" s="16"/>
      <c r="IQ211" s="16"/>
      <c r="IR211" s="16"/>
      <c r="IS211" s="16"/>
      <c r="IT211" s="15" t="str">
        <f t="shared" si="728"/>
        <v>NO APLICA</v>
      </c>
      <c r="IU211" s="16"/>
      <c r="IV211" s="16"/>
      <c r="IW211" s="16"/>
      <c r="IX211" s="16"/>
      <c r="IY211" s="15" t="str">
        <f t="shared" si="729"/>
        <v>NO APLICA</v>
      </c>
      <c r="IZ211" s="16"/>
      <c r="JA211" s="16"/>
      <c r="JB211" s="16"/>
      <c r="JC211" s="16"/>
      <c r="JD211" s="15" t="str">
        <f t="shared" si="730"/>
        <v>NO APLICA</v>
      </c>
      <c r="JE211" s="16"/>
      <c r="JF211" s="16"/>
      <c r="JG211" s="16"/>
      <c r="JH211" s="16"/>
      <c r="JI211" s="15" t="str">
        <f t="shared" si="731"/>
        <v>NO APLICA</v>
      </c>
      <c r="JJ211" s="16"/>
      <c r="JK211" s="16"/>
      <c r="JL211" s="16"/>
      <c r="JM211" s="15" t="str">
        <f t="shared" si="732"/>
        <v>NO APLICA</v>
      </c>
      <c r="JN211" s="16"/>
      <c r="JO211" s="16"/>
      <c r="JP211" s="16"/>
      <c r="JQ211" s="15" t="str">
        <f t="shared" si="733"/>
        <v>NO APLICA</v>
      </c>
      <c r="JR211" s="16"/>
      <c r="JS211" s="16"/>
      <c r="JT211" s="16"/>
      <c r="JU211" s="16"/>
      <c r="JV211" s="15" t="str">
        <f t="shared" si="734"/>
        <v>NO APLICA</v>
      </c>
      <c r="JW211" s="15"/>
      <c r="JX211" s="15"/>
      <c r="JY211" s="15"/>
      <c r="JZ211" s="15"/>
      <c r="KA211" s="15" t="str">
        <f t="shared" si="735"/>
        <v>NO APLICA</v>
      </c>
      <c r="KB211" s="16"/>
      <c r="KC211" s="16"/>
      <c r="KD211" s="16"/>
      <c r="KE211" s="15" t="str">
        <f t="shared" si="736"/>
        <v>NO APLICA</v>
      </c>
      <c r="KF211" s="16"/>
      <c r="KG211" s="16"/>
      <c r="KH211" s="16"/>
      <c r="KI211" s="15" t="str">
        <f t="shared" si="749"/>
        <v>NO APLICA</v>
      </c>
      <c r="KJ211" s="16"/>
      <c r="KK211" s="16"/>
      <c r="KL211" s="16"/>
      <c r="KM211" s="15" t="str">
        <f t="shared" si="737"/>
        <v>NO APLICA</v>
      </c>
      <c r="KN211" s="14">
        <v>45346</v>
      </c>
      <c r="KO211" s="14">
        <f>DATE(YEAR(KN211)+5,MONTH(KN211),DAY(KN211))</f>
        <v>47173</v>
      </c>
      <c r="KP211" s="65">
        <f ca="1">KO211-TODAY()</f>
        <v>1042</v>
      </c>
      <c r="KQ211" s="15" t="str">
        <f ca="1">IF(KP211&gt;=61,"VIGENTE",IF(KP211&gt;=1,"POR VENCER",IF(KP211&lt;=-1,"VENCIDA",IF(KN211=0,"NO APLICA"))))</f>
        <v>VIGENTE</v>
      </c>
      <c r="KR211" s="16"/>
      <c r="KS211" s="16"/>
      <c r="KT211" s="16"/>
      <c r="KU211" s="16"/>
      <c r="KV211" s="15" t="str">
        <f t="shared" si="755"/>
        <v>NO APLICA</v>
      </c>
      <c r="KW211" s="16"/>
      <c r="KX211" s="16"/>
      <c r="KY211" s="16"/>
      <c r="KZ211" s="15" t="str">
        <f t="shared" si="751"/>
        <v>NO APLICA</v>
      </c>
      <c r="LA211" s="16"/>
      <c r="LB211" s="16"/>
      <c r="LC211" s="16"/>
      <c r="LD211" s="16"/>
      <c r="LE211" s="15" t="str">
        <f t="shared" si="590"/>
        <v>NO APLICA</v>
      </c>
      <c r="LF211" s="15"/>
      <c r="LG211" s="15"/>
      <c r="LH211" s="14"/>
      <c r="LI211" s="65"/>
      <c r="LJ211" s="15" t="str">
        <f t="shared" si="756"/>
        <v>NO APLICA</v>
      </c>
      <c r="LK211" s="16"/>
      <c r="LL211" s="16"/>
      <c r="LM211" s="16"/>
      <c r="LN211" s="16"/>
      <c r="LO211" s="15" t="str">
        <f t="shared" si="752"/>
        <v>NO APLICA</v>
      </c>
      <c r="LP211" s="16"/>
      <c r="LQ211" s="16"/>
      <c r="LR211" s="16"/>
      <c r="LS211" s="16"/>
      <c r="LT211" s="15" t="str">
        <f t="shared" si="753"/>
        <v>NO APLICA</v>
      </c>
      <c r="LU211" s="16"/>
      <c r="LV211" s="16"/>
      <c r="LW211" s="16"/>
      <c r="LX211" s="16"/>
      <c r="LY211" s="15" t="str">
        <f t="shared" si="754"/>
        <v>NO APLICA</v>
      </c>
      <c r="LZ211" s="16"/>
      <c r="MA211" s="16"/>
      <c r="MB211" s="16"/>
      <c r="MC211" s="16"/>
      <c r="MD211" s="15" t="str">
        <f t="shared" si="738"/>
        <v>NO APLICA</v>
      </c>
      <c r="ME211" s="16"/>
      <c r="MF211" s="16"/>
      <c r="MG211" s="16"/>
      <c r="MH211" s="16"/>
      <c r="MI211" s="15" t="str">
        <f t="shared" si="739"/>
        <v>NO APLICA</v>
      </c>
      <c r="MJ211" s="16"/>
      <c r="MK211" s="16"/>
      <c r="ML211" s="16"/>
      <c r="MM211" s="15" t="str">
        <f t="shared" si="740"/>
        <v>NO APLICA</v>
      </c>
      <c r="MN211" s="16"/>
      <c r="MO211" s="16"/>
      <c r="MP211" s="16"/>
      <c r="MQ211" s="15" t="str">
        <f t="shared" si="741"/>
        <v>NO APLICA</v>
      </c>
      <c r="MR211" s="16"/>
      <c r="MS211" s="16"/>
      <c r="MT211" s="16"/>
      <c r="MU211" s="16"/>
      <c r="MV211" s="15" t="str">
        <f t="shared" si="742"/>
        <v>NO APLICA</v>
      </c>
      <c r="MW211" s="16"/>
      <c r="MX211" s="16"/>
      <c r="MY211" s="16"/>
      <c r="MZ211" s="16"/>
      <c r="NA211" s="15" t="str">
        <f t="shared" si="743"/>
        <v>NO APLICA</v>
      </c>
      <c r="NB211" s="16"/>
      <c r="NC211" s="16"/>
      <c r="ND211" s="16"/>
      <c r="NE211" s="16"/>
      <c r="NF211" s="15" t="str">
        <f t="shared" si="744"/>
        <v>NO APLICA</v>
      </c>
      <c r="NG211" s="16"/>
      <c r="NH211" s="16"/>
      <c r="NI211" s="16"/>
      <c r="NJ211" s="16"/>
      <c r="NK211" s="15" t="str">
        <f t="shared" si="745"/>
        <v>NO APLICA</v>
      </c>
      <c r="NL211" s="16"/>
      <c r="NM211" s="16"/>
      <c r="NN211" s="16"/>
      <c r="NO211" s="16"/>
      <c r="NP211" s="15" t="str">
        <f t="shared" si="746"/>
        <v>NO APLICA</v>
      </c>
      <c r="NQ211" s="16"/>
      <c r="NR211" s="16"/>
      <c r="NS211" s="16"/>
      <c r="NT211" s="16"/>
      <c r="NU211" s="15" t="str">
        <f t="shared" si="747"/>
        <v>NO APLICA</v>
      </c>
      <c r="NV211" s="16"/>
      <c r="NW211" s="16"/>
      <c r="NX211" s="16"/>
      <c r="NY211" s="16"/>
      <c r="NZ211" s="15" t="str">
        <f t="shared" si="748"/>
        <v>NO APLICA</v>
      </c>
    </row>
    <row r="212" spans="1:390" ht="15.6" thickTop="1" thickBot="1" x14ac:dyDescent="0.35">
      <c r="A212" s="11">
        <v>2</v>
      </c>
      <c r="B212" s="10" t="s">
        <v>715</v>
      </c>
      <c r="C212" s="21" t="s">
        <v>702</v>
      </c>
      <c r="D212" s="64" t="s">
        <v>716</v>
      </c>
      <c r="E212" s="13"/>
      <c r="F212" s="14"/>
      <c r="G212" s="14"/>
      <c r="H212" s="65"/>
      <c r="I212" s="15" t="str">
        <f t="shared" si="688"/>
        <v>NO APLICA</v>
      </c>
      <c r="J212" s="12"/>
      <c r="K212" s="12"/>
      <c r="L212" s="12"/>
      <c r="M212" s="12"/>
      <c r="N212" s="15" t="str">
        <f t="shared" si="691"/>
        <v>NO APLICA</v>
      </c>
      <c r="O212" s="16"/>
      <c r="P212" s="16"/>
      <c r="Q212" s="14"/>
      <c r="R212" s="65"/>
      <c r="S212" s="15" t="str">
        <f t="shared" si="689"/>
        <v>NO APLICA</v>
      </c>
      <c r="T212" s="12"/>
      <c r="U212" s="13"/>
      <c r="V212" s="14"/>
      <c r="W212" s="14"/>
      <c r="X212" s="65"/>
      <c r="Y212" s="15" t="str">
        <f t="shared" si="595"/>
        <v>NO APLICA</v>
      </c>
      <c r="Z212" s="12"/>
      <c r="AA212" s="12"/>
      <c r="AB212" s="16"/>
      <c r="AC212" s="14"/>
      <c r="AD212" s="65"/>
      <c r="AE212" s="15" t="str">
        <f t="shared" si="598"/>
        <v>NO APLICA</v>
      </c>
      <c r="AF212" s="12"/>
      <c r="AG212" s="14"/>
      <c r="AH212" s="14"/>
      <c r="AI212" s="65"/>
      <c r="AJ212" s="15" t="str">
        <f t="shared" si="592"/>
        <v>NO APLICA</v>
      </c>
      <c r="AK212" s="12"/>
      <c r="AL212" s="14"/>
      <c r="AM212" s="14"/>
      <c r="AN212" s="65"/>
      <c r="AO212" s="15" t="str">
        <f t="shared" si="692"/>
        <v>NO APLICA</v>
      </c>
      <c r="AP212" s="12"/>
      <c r="AQ212" s="14"/>
      <c r="AR212" s="14"/>
      <c r="AS212" s="65"/>
      <c r="AT212" s="15" t="str">
        <f t="shared" si="693"/>
        <v>NO APLICA</v>
      </c>
      <c r="AU212" s="12"/>
      <c r="AV212" s="14"/>
      <c r="AW212" s="14"/>
      <c r="AX212" s="65"/>
      <c r="AY212" s="15" t="str">
        <f t="shared" si="694"/>
        <v>NO APLICA</v>
      </c>
      <c r="AZ212" s="13"/>
      <c r="BA212" s="14"/>
      <c r="BB212" s="14"/>
      <c r="BC212" s="65"/>
      <c r="BD212" s="15" t="str">
        <f t="shared" si="695"/>
        <v>NO APLICA</v>
      </c>
      <c r="BE212" s="12"/>
      <c r="BF212" s="14"/>
      <c r="BG212" s="14"/>
      <c r="BH212" s="65"/>
      <c r="BI212" s="15" t="str">
        <f t="shared" si="696"/>
        <v>NO APLICA</v>
      </c>
      <c r="BJ212" s="13"/>
      <c r="BK212" s="14"/>
      <c r="BL212" s="14"/>
      <c r="BM212" s="65"/>
      <c r="BN212" s="15" t="str">
        <f t="shared" si="697"/>
        <v>NO APLICA</v>
      </c>
      <c r="BO212" s="13"/>
      <c r="BP212" s="14"/>
      <c r="BQ212" s="14"/>
      <c r="BR212" s="65"/>
      <c r="BS212" s="15" t="str">
        <f t="shared" si="698"/>
        <v>NO APLICA</v>
      </c>
      <c r="BT212" s="12"/>
      <c r="BU212" s="14"/>
      <c r="BV212" s="14"/>
      <c r="BW212" s="65"/>
      <c r="BX212" s="15" t="str">
        <f t="shared" si="699"/>
        <v>NO APLICA</v>
      </c>
      <c r="BY212" s="12"/>
      <c r="BZ212" s="14"/>
      <c r="CA212" s="14"/>
      <c r="CB212" s="65"/>
      <c r="CC212" s="15" t="str">
        <f t="shared" si="700"/>
        <v>NO APLICA</v>
      </c>
      <c r="CD212" s="16"/>
      <c r="CE212" s="14"/>
      <c r="CF212" s="14"/>
      <c r="CG212" s="14"/>
      <c r="CH212" s="65"/>
      <c r="CI212" s="15" t="str">
        <f t="shared" si="758"/>
        <v>NO APLICA</v>
      </c>
      <c r="CJ212" s="16"/>
      <c r="CK212" s="14"/>
      <c r="CL212" s="14"/>
      <c r="CM212" s="65"/>
      <c r="CN212" s="15" t="str">
        <f t="shared" si="701"/>
        <v>NO APLICA</v>
      </c>
      <c r="CO212" s="12"/>
      <c r="CP212" s="14"/>
      <c r="CQ212" s="14"/>
      <c r="CR212" s="65"/>
      <c r="CS212" s="15" t="str">
        <f t="shared" si="702"/>
        <v>NO APLICA</v>
      </c>
      <c r="CT212" s="12"/>
      <c r="CU212" s="14"/>
      <c r="CV212" s="14"/>
      <c r="CW212" s="65"/>
      <c r="CX212" s="15" t="str">
        <f t="shared" si="703"/>
        <v>NO APLICA</v>
      </c>
      <c r="CY212" s="13"/>
      <c r="CZ212" s="14"/>
      <c r="DA212" s="14"/>
      <c r="DB212" s="65"/>
      <c r="DC212" s="15" t="str">
        <f t="shared" si="704"/>
        <v>NO APLICA</v>
      </c>
      <c r="DD212" s="13"/>
      <c r="DE212" s="14"/>
      <c r="DF212" s="14"/>
      <c r="DG212" s="65"/>
      <c r="DH212" s="15" t="str">
        <f t="shared" si="705"/>
        <v>NO APLICA</v>
      </c>
      <c r="DI212" s="12"/>
      <c r="DJ212" s="14"/>
      <c r="DK212" s="14"/>
      <c r="DL212" s="65"/>
      <c r="DM212" s="15" t="str">
        <f t="shared" si="706"/>
        <v>NO APLICA</v>
      </c>
      <c r="DN212" s="13"/>
      <c r="DO212" s="14"/>
      <c r="DP212" s="14"/>
      <c r="DQ212" s="65"/>
      <c r="DR212" s="15" t="str">
        <f t="shared" si="707"/>
        <v>NO APLICA</v>
      </c>
      <c r="DS212" s="12"/>
      <c r="DT212" s="14"/>
      <c r="DU212" s="14"/>
      <c r="DV212" s="65"/>
      <c r="DW212" s="15" t="str">
        <f t="shared" si="708"/>
        <v>NO APLICA</v>
      </c>
      <c r="DX212" s="13"/>
      <c r="DY212" s="14"/>
      <c r="DZ212" s="14"/>
      <c r="EA212" s="65"/>
      <c r="EB212" s="15" t="str">
        <f t="shared" si="709"/>
        <v>NO APLICA</v>
      </c>
      <c r="EC212" s="13"/>
      <c r="ED212" s="14"/>
      <c r="EE212" s="14"/>
      <c r="EF212" s="65"/>
      <c r="EG212" s="15" t="str">
        <f t="shared" si="710"/>
        <v>NO APLICA</v>
      </c>
      <c r="EH212" s="13"/>
      <c r="EI212" s="12"/>
      <c r="EJ212" s="12"/>
      <c r="EK212" s="14"/>
      <c r="EL212" s="14"/>
      <c r="EM212" s="65"/>
      <c r="EN212" s="15" t="str">
        <f t="shared" si="711"/>
        <v>NO APLICA</v>
      </c>
      <c r="EO212" s="13"/>
      <c r="EP212" s="14"/>
      <c r="EQ212" s="14"/>
      <c r="ER212" s="65"/>
      <c r="ES212" s="15" t="str">
        <f t="shared" si="712"/>
        <v>NO APLICA</v>
      </c>
      <c r="ET212" s="12"/>
      <c r="EU212" s="14"/>
      <c r="EV212" s="14"/>
      <c r="EW212" s="65"/>
      <c r="EX212" s="15" t="str">
        <f t="shared" si="713"/>
        <v>NO APLICA</v>
      </c>
      <c r="EY212" s="12"/>
      <c r="EZ212" s="14"/>
      <c r="FA212" s="14"/>
      <c r="FB212" s="65"/>
      <c r="FC212" s="15" t="str">
        <f t="shared" si="714"/>
        <v>NO APLICA</v>
      </c>
      <c r="FD212" s="12"/>
      <c r="FE212" s="14"/>
      <c r="FF212" s="14"/>
      <c r="FG212" s="65"/>
      <c r="FH212" s="15" t="str">
        <f t="shared" si="715"/>
        <v>NO APLICA</v>
      </c>
      <c r="FI212" s="12"/>
      <c r="FJ212" s="14"/>
      <c r="FK212" s="14"/>
      <c r="FL212" s="65"/>
      <c r="FM212" s="15" t="str">
        <f t="shared" si="716"/>
        <v>NO APLICA</v>
      </c>
      <c r="FN212" s="13"/>
      <c r="FO212" s="14"/>
      <c r="FP212" s="14"/>
      <c r="FQ212" s="65"/>
      <c r="FR212" s="15" t="str">
        <f t="shared" si="717"/>
        <v>NO APLICA</v>
      </c>
      <c r="FS212" s="13"/>
      <c r="FT212" s="14"/>
      <c r="FU212" s="14"/>
      <c r="FV212" s="65"/>
      <c r="FW212" s="15" t="str">
        <f t="shared" si="718"/>
        <v>NO APLICA</v>
      </c>
      <c r="FX212" s="13"/>
      <c r="FY212" s="14"/>
      <c r="FZ212" s="14"/>
      <c r="GA212" s="65"/>
      <c r="GB212" s="15" t="str">
        <f t="shared" si="719"/>
        <v>NO APLICA</v>
      </c>
      <c r="GC212" s="13"/>
      <c r="GD212" s="14"/>
      <c r="GE212" s="14"/>
      <c r="GF212" s="65"/>
      <c r="GG212" s="15" t="str">
        <f t="shared" si="720"/>
        <v>NO APLICA</v>
      </c>
      <c r="GH212" s="13"/>
      <c r="GI212" s="14"/>
      <c r="GJ212" s="14"/>
      <c r="GK212" s="65"/>
      <c r="GL212" s="15" t="str">
        <f t="shared" si="721"/>
        <v>NO APLICA</v>
      </c>
      <c r="GM212" s="13"/>
      <c r="GN212" s="14"/>
      <c r="GO212" s="14"/>
      <c r="GP212" s="65"/>
      <c r="GQ212" s="15" t="str">
        <f t="shared" si="722"/>
        <v>NO APLICA</v>
      </c>
      <c r="GR212" s="14"/>
      <c r="GS212" s="14"/>
      <c r="GT212" s="14"/>
      <c r="GU212" s="65"/>
      <c r="GV212" s="15" t="str">
        <f t="shared" si="601"/>
        <v>NO APLICA</v>
      </c>
      <c r="GW212" s="13"/>
      <c r="GX212" s="14"/>
      <c r="GY212" s="14"/>
      <c r="GZ212" s="65"/>
      <c r="HA212" s="15" t="str">
        <f t="shared" si="602"/>
        <v>NO APLICA</v>
      </c>
      <c r="HB212" s="12"/>
      <c r="HC212" s="14"/>
      <c r="HD212" s="14"/>
      <c r="HE212" s="65"/>
      <c r="HF212" s="15" t="str">
        <f t="shared" si="603"/>
        <v>NO APLICA</v>
      </c>
      <c r="HG212" s="16"/>
      <c r="HH212" s="16"/>
      <c r="HI212" s="14"/>
      <c r="HJ212" s="65"/>
      <c r="HK212" s="15" t="str">
        <f t="shared" si="690"/>
        <v>NO APLICA</v>
      </c>
      <c r="HL212" s="12"/>
      <c r="HM212" s="16"/>
      <c r="HN212" s="14"/>
      <c r="HO212" s="65"/>
      <c r="HP212" s="15" t="str">
        <f t="shared" si="686"/>
        <v>NO APLICA</v>
      </c>
      <c r="HQ212" s="12"/>
      <c r="HR212" s="12"/>
      <c r="HS212" s="14"/>
      <c r="HT212" s="12"/>
      <c r="HU212" s="15" t="str">
        <f t="shared" si="723"/>
        <v>NO APLICA</v>
      </c>
      <c r="HV212" s="12"/>
      <c r="HW212" s="16"/>
      <c r="HX212" s="14"/>
      <c r="HY212" s="65"/>
      <c r="HZ212" s="15" t="str">
        <f t="shared" si="724"/>
        <v>NO APLICA</v>
      </c>
      <c r="IA212" s="12"/>
      <c r="IB212" s="16"/>
      <c r="IC212" s="14"/>
      <c r="ID212" s="65"/>
      <c r="IE212" s="15" t="str">
        <f t="shared" si="725"/>
        <v>NO APLICA</v>
      </c>
      <c r="IF212" s="12"/>
      <c r="IG212" s="16"/>
      <c r="IH212" s="14"/>
      <c r="II212" s="65"/>
      <c r="IJ212" s="15" t="str">
        <f t="shared" si="726"/>
        <v>NO APLICA</v>
      </c>
      <c r="IK212" s="16"/>
      <c r="IL212" s="16"/>
      <c r="IM212" s="14"/>
      <c r="IN212" s="65"/>
      <c r="IO212" s="15" t="str">
        <f t="shared" si="727"/>
        <v>NO APLICA</v>
      </c>
      <c r="IP212" s="12"/>
      <c r="IQ212" s="16"/>
      <c r="IR212" s="14"/>
      <c r="IS212" s="65"/>
      <c r="IT212" s="15" t="str">
        <f t="shared" si="728"/>
        <v>NO APLICA</v>
      </c>
      <c r="IU212" s="12"/>
      <c r="IV212" s="16"/>
      <c r="IW212" s="14"/>
      <c r="IX212" s="65"/>
      <c r="IY212" s="15" t="str">
        <f t="shared" si="729"/>
        <v>NO APLICA</v>
      </c>
      <c r="IZ212" s="12"/>
      <c r="JA212" s="16"/>
      <c r="JB212" s="14"/>
      <c r="JC212" s="65"/>
      <c r="JD212" s="15" t="str">
        <f t="shared" si="730"/>
        <v>NO APLICA</v>
      </c>
      <c r="JE212" s="13"/>
      <c r="JF212" s="13"/>
      <c r="JG212" s="14"/>
      <c r="JH212" s="65"/>
      <c r="JI212" s="15" t="str">
        <f t="shared" si="731"/>
        <v>NO APLICA</v>
      </c>
      <c r="JJ212" s="16"/>
      <c r="JK212" s="16"/>
      <c r="JL212" s="16"/>
      <c r="JM212" s="15" t="str">
        <f t="shared" si="732"/>
        <v>NO APLICA</v>
      </c>
      <c r="JN212" s="16"/>
      <c r="JO212" s="16"/>
      <c r="JP212" s="16"/>
      <c r="JQ212" s="15" t="str">
        <f t="shared" si="733"/>
        <v>NO APLICA</v>
      </c>
      <c r="JR212" s="16"/>
      <c r="JS212" s="16"/>
      <c r="JT212" s="16"/>
      <c r="JU212" s="16"/>
      <c r="JV212" s="15" t="str">
        <f t="shared" si="734"/>
        <v>NO APLICA</v>
      </c>
      <c r="JW212" s="15"/>
      <c r="JX212" s="15"/>
      <c r="JY212" s="15"/>
      <c r="JZ212" s="15"/>
      <c r="KA212" s="15" t="str">
        <f t="shared" si="735"/>
        <v>NO APLICA</v>
      </c>
      <c r="KB212" s="12"/>
      <c r="KC212" s="14"/>
      <c r="KD212" s="65"/>
      <c r="KE212" s="15" t="str">
        <f t="shared" si="736"/>
        <v>NO APLICA</v>
      </c>
      <c r="KF212" s="12"/>
      <c r="KG212" s="14"/>
      <c r="KH212" s="65"/>
      <c r="KI212" s="15" t="str">
        <f t="shared" si="749"/>
        <v>NO APLICA</v>
      </c>
      <c r="KJ212" s="12"/>
      <c r="KK212" s="14"/>
      <c r="KL212" s="65"/>
      <c r="KM212" s="15" t="str">
        <f t="shared" si="737"/>
        <v>NO APLICA</v>
      </c>
      <c r="KN212" s="12"/>
      <c r="KO212" s="14"/>
      <c r="KP212" s="65"/>
      <c r="KQ212" s="15" t="str">
        <f t="shared" si="750"/>
        <v>NO APLICA</v>
      </c>
      <c r="KR212" s="12"/>
      <c r="KS212" s="16"/>
      <c r="KT212" s="14"/>
      <c r="KU212" s="65"/>
      <c r="KV212" s="15" t="str">
        <f t="shared" si="755"/>
        <v>NO APLICA</v>
      </c>
      <c r="KW212" s="16"/>
      <c r="KX212" s="14"/>
      <c r="KY212" s="65"/>
      <c r="KZ212" s="15" t="str">
        <f t="shared" si="751"/>
        <v>NO APLICA</v>
      </c>
      <c r="LA212" s="16"/>
      <c r="LB212" s="16"/>
      <c r="LC212" s="14"/>
      <c r="LD212" s="65"/>
      <c r="LE212" s="15" t="str">
        <f t="shared" si="590"/>
        <v>NO APLICA</v>
      </c>
      <c r="LF212" s="15"/>
      <c r="LG212" s="15"/>
      <c r="LH212" s="14"/>
      <c r="LI212" s="65"/>
      <c r="LJ212" s="15" t="str">
        <f t="shared" si="756"/>
        <v>NO APLICA</v>
      </c>
      <c r="LK212" s="12"/>
      <c r="LL212" s="16"/>
      <c r="LM212" s="14"/>
      <c r="LN212" s="65"/>
      <c r="LO212" s="15" t="str">
        <f t="shared" si="752"/>
        <v>NO APLICA</v>
      </c>
      <c r="LP212" s="16"/>
      <c r="LQ212" s="16"/>
      <c r="LR212" s="14"/>
      <c r="LS212" s="65"/>
      <c r="LT212" s="15" t="str">
        <f t="shared" si="753"/>
        <v>NO APLICA</v>
      </c>
      <c r="LU212" s="16"/>
      <c r="LV212" s="16"/>
      <c r="LW212" s="14"/>
      <c r="LX212" s="65"/>
      <c r="LY212" s="15" t="str">
        <f t="shared" si="754"/>
        <v>NO APLICA</v>
      </c>
      <c r="LZ212" s="12"/>
      <c r="MA212" s="12"/>
      <c r="MB212" s="14"/>
      <c r="MC212" s="65"/>
      <c r="MD212" s="15" t="str">
        <f t="shared" si="738"/>
        <v>NO APLICA</v>
      </c>
      <c r="ME212" s="12"/>
      <c r="MF212" s="12"/>
      <c r="MG212" s="14"/>
      <c r="MH212" s="65"/>
      <c r="MI212" s="15" t="str">
        <f t="shared" si="739"/>
        <v>NO APLICA</v>
      </c>
      <c r="MJ212" s="12"/>
      <c r="MK212" s="14"/>
      <c r="ML212" s="65"/>
      <c r="MM212" s="15" t="str">
        <f t="shared" si="740"/>
        <v>NO APLICA</v>
      </c>
      <c r="MN212" s="12"/>
      <c r="MO212" s="14"/>
      <c r="MP212" s="12"/>
      <c r="MQ212" s="15" t="str">
        <f t="shared" si="741"/>
        <v>NO APLICA</v>
      </c>
      <c r="MR212" s="12"/>
      <c r="MS212" s="16"/>
      <c r="MT212" s="14"/>
      <c r="MU212" s="65"/>
      <c r="MV212" s="15" t="str">
        <f t="shared" si="742"/>
        <v>NO APLICA</v>
      </c>
      <c r="MW212" s="12"/>
      <c r="MX212" s="16"/>
      <c r="MY212" s="14"/>
      <c r="MZ212" s="65"/>
      <c r="NA212" s="15" t="str">
        <f t="shared" si="743"/>
        <v>NO APLICA</v>
      </c>
      <c r="NB212" s="12"/>
      <c r="NC212" s="16"/>
      <c r="ND212" s="14"/>
      <c r="NE212" s="65"/>
      <c r="NF212" s="15" t="str">
        <f t="shared" si="744"/>
        <v>NO APLICA</v>
      </c>
      <c r="NG212" s="12"/>
      <c r="NH212" s="12"/>
      <c r="NI212" s="14"/>
      <c r="NJ212" s="65"/>
      <c r="NK212" s="15" t="str">
        <f t="shared" si="745"/>
        <v>NO APLICA</v>
      </c>
      <c r="NL212" s="12"/>
      <c r="NM212" s="12"/>
      <c r="NN212" s="14"/>
      <c r="NO212" s="12"/>
      <c r="NP212" s="15" t="str">
        <f t="shared" si="746"/>
        <v>NO APLICA</v>
      </c>
      <c r="NQ212" s="16"/>
      <c r="NR212" s="16"/>
      <c r="NS212" s="14"/>
      <c r="NT212" s="65"/>
      <c r="NU212" s="15" t="str">
        <f t="shared" si="747"/>
        <v>NO APLICA</v>
      </c>
      <c r="NV212" s="16"/>
      <c r="NW212" s="16"/>
      <c r="NX212" s="16"/>
      <c r="NY212" s="16"/>
      <c r="NZ212" s="15" t="str">
        <f t="shared" si="748"/>
        <v>NO APLICA</v>
      </c>
    </row>
    <row r="213" spans="1:390" ht="15.6" thickTop="1" thickBot="1" x14ac:dyDescent="0.35">
      <c r="A213" s="11">
        <v>1104</v>
      </c>
      <c r="B213" s="10" t="s">
        <v>717</v>
      </c>
      <c r="C213" s="21" t="s">
        <v>151</v>
      </c>
      <c r="D213" s="64" t="s">
        <v>710</v>
      </c>
      <c r="E213" s="16"/>
      <c r="F213" s="16"/>
      <c r="G213" s="16"/>
      <c r="H213" s="16"/>
      <c r="I213" s="15" t="str">
        <f t="shared" si="688"/>
        <v>NO APLICA</v>
      </c>
      <c r="J213" s="16"/>
      <c r="K213" s="16"/>
      <c r="L213" s="16"/>
      <c r="M213" s="16"/>
      <c r="N213" s="15" t="str">
        <f t="shared" si="691"/>
        <v>NO APLICA</v>
      </c>
      <c r="O213" s="16"/>
      <c r="P213" s="16"/>
      <c r="Q213" s="16"/>
      <c r="R213" s="16"/>
      <c r="S213" s="15" t="str">
        <f t="shared" si="689"/>
        <v>NO APLICA</v>
      </c>
      <c r="T213" s="16"/>
      <c r="U213" s="14"/>
      <c r="V213" s="14"/>
      <c r="W213" s="14"/>
      <c r="X213" s="65"/>
      <c r="Y213" s="15" t="str">
        <f t="shared" si="595"/>
        <v>NO APLICA</v>
      </c>
      <c r="Z213" s="16"/>
      <c r="AA213" s="16"/>
      <c r="AB213" s="16"/>
      <c r="AC213" s="16"/>
      <c r="AD213" s="16"/>
      <c r="AE213" s="15" t="str">
        <f t="shared" si="598"/>
        <v>NO APLICA</v>
      </c>
      <c r="AF213" s="14"/>
      <c r="AG213" s="14"/>
      <c r="AH213" s="14"/>
      <c r="AI213" s="16"/>
      <c r="AJ213" s="15" t="str">
        <f t="shared" si="592"/>
        <v>NO APLICA</v>
      </c>
      <c r="AK213" s="14"/>
      <c r="AL213" s="14"/>
      <c r="AM213" s="14"/>
      <c r="AN213" s="16"/>
      <c r="AO213" s="15" t="str">
        <f t="shared" si="692"/>
        <v>NO APLICA</v>
      </c>
      <c r="AP213" s="14"/>
      <c r="AQ213" s="14"/>
      <c r="AR213" s="14"/>
      <c r="AS213" s="16"/>
      <c r="AT213" s="15" t="str">
        <f t="shared" si="693"/>
        <v>NO APLICA</v>
      </c>
      <c r="AU213" s="14"/>
      <c r="AV213" s="14"/>
      <c r="AW213" s="14"/>
      <c r="AX213" s="16"/>
      <c r="AY213" s="15" t="str">
        <f t="shared" si="694"/>
        <v>NO APLICA</v>
      </c>
      <c r="AZ213" s="14"/>
      <c r="BA213" s="14"/>
      <c r="BB213" s="14"/>
      <c r="BC213" s="16"/>
      <c r="BD213" s="15" t="str">
        <f t="shared" si="695"/>
        <v>NO APLICA</v>
      </c>
      <c r="BE213" s="14"/>
      <c r="BF213" s="14"/>
      <c r="BG213" s="14"/>
      <c r="BH213" s="16"/>
      <c r="BI213" s="15" t="str">
        <f t="shared" si="696"/>
        <v>NO APLICA</v>
      </c>
      <c r="BJ213" s="14"/>
      <c r="BK213" s="14"/>
      <c r="BL213" s="14"/>
      <c r="BM213" s="16"/>
      <c r="BN213" s="15" t="str">
        <f t="shared" si="697"/>
        <v>NO APLICA</v>
      </c>
      <c r="BO213" s="14"/>
      <c r="BP213" s="14"/>
      <c r="BQ213" s="14"/>
      <c r="BR213" s="16"/>
      <c r="BS213" s="15" t="str">
        <f t="shared" si="698"/>
        <v>NO APLICA</v>
      </c>
      <c r="BT213" s="14"/>
      <c r="BU213" s="14"/>
      <c r="BV213" s="14"/>
      <c r="BW213" s="16"/>
      <c r="BX213" s="15" t="str">
        <f t="shared" si="699"/>
        <v>NO APLICA</v>
      </c>
      <c r="BY213" s="14"/>
      <c r="BZ213" s="14"/>
      <c r="CA213" s="14"/>
      <c r="CB213" s="16"/>
      <c r="CC213" s="15" t="str">
        <f t="shared" si="700"/>
        <v>NO APLICA</v>
      </c>
      <c r="CD213" s="16"/>
      <c r="CE213" s="16"/>
      <c r="CF213" s="16"/>
      <c r="CG213" s="16"/>
      <c r="CH213" s="16"/>
      <c r="CI213" s="15" t="str">
        <f t="shared" si="758"/>
        <v>NO APLICA</v>
      </c>
      <c r="CJ213" s="14"/>
      <c r="CK213" s="14"/>
      <c r="CL213" s="14"/>
      <c r="CM213" s="16"/>
      <c r="CN213" s="15" t="str">
        <f t="shared" si="701"/>
        <v>NO APLICA</v>
      </c>
      <c r="CO213" s="14"/>
      <c r="CP213" s="14"/>
      <c r="CQ213" s="14"/>
      <c r="CR213" s="16"/>
      <c r="CS213" s="15" t="str">
        <f t="shared" si="702"/>
        <v>NO APLICA</v>
      </c>
      <c r="CT213" s="14"/>
      <c r="CU213" s="14"/>
      <c r="CV213" s="14"/>
      <c r="CW213" s="16"/>
      <c r="CX213" s="15" t="str">
        <f t="shared" si="703"/>
        <v>NO APLICA</v>
      </c>
      <c r="CY213" s="14"/>
      <c r="CZ213" s="14"/>
      <c r="DA213" s="14"/>
      <c r="DB213" s="16"/>
      <c r="DC213" s="15" t="str">
        <f t="shared" si="704"/>
        <v>NO APLICA</v>
      </c>
      <c r="DD213" s="14"/>
      <c r="DE213" s="14"/>
      <c r="DF213" s="14"/>
      <c r="DG213" s="16"/>
      <c r="DH213" s="15" t="str">
        <f t="shared" si="705"/>
        <v>NO APLICA</v>
      </c>
      <c r="DI213" s="14"/>
      <c r="DJ213" s="14"/>
      <c r="DK213" s="14"/>
      <c r="DL213" s="16"/>
      <c r="DM213" s="15" t="str">
        <f t="shared" si="706"/>
        <v>NO APLICA</v>
      </c>
      <c r="DN213" s="14"/>
      <c r="DO213" s="14"/>
      <c r="DP213" s="14"/>
      <c r="DQ213" s="16"/>
      <c r="DR213" s="15" t="str">
        <f t="shared" si="707"/>
        <v>NO APLICA</v>
      </c>
      <c r="DS213" s="14"/>
      <c r="DT213" s="14"/>
      <c r="DU213" s="14"/>
      <c r="DV213" s="16"/>
      <c r="DW213" s="15" t="str">
        <f t="shared" si="708"/>
        <v>NO APLICA</v>
      </c>
      <c r="DX213" s="14"/>
      <c r="DY213" s="14"/>
      <c r="DZ213" s="14"/>
      <c r="EA213" s="16"/>
      <c r="EB213" s="15" t="str">
        <f t="shared" si="709"/>
        <v>NO APLICA</v>
      </c>
      <c r="EC213" s="14"/>
      <c r="ED213" s="14"/>
      <c r="EE213" s="14"/>
      <c r="EF213" s="16"/>
      <c r="EG213" s="15" t="str">
        <f t="shared" si="710"/>
        <v>NO APLICA</v>
      </c>
      <c r="EH213" s="14"/>
      <c r="EI213" s="14"/>
      <c r="EJ213" s="14"/>
      <c r="EK213" s="14"/>
      <c r="EL213" s="14"/>
      <c r="EM213" s="65"/>
      <c r="EN213" s="15" t="str">
        <f t="shared" si="711"/>
        <v>NO APLICA</v>
      </c>
      <c r="EO213" s="14"/>
      <c r="EP213" s="14"/>
      <c r="EQ213" s="14"/>
      <c r="ER213" s="65"/>
      <c r="ES213" s="15" t="str">
        <f t="shared" si="712"/>
        <v>NO APLICA</v>
      </c>
      <c r="ET213" s="14"/>
      <c r="EU213" s="14"/>
      <c r="EV213" s="14"/>
      <c r="EW213" s="65"/>
      <c r="EX213" s="15" t="str">
        <f t="shared" si="713"/>
        <v>NO APLICA</v>
      </c>
      <c r="EY213" s="14"/>
      <c r="EZ213" s="14"/>
      <c r="FA213" s="14"/>
      <c r="FB213" s="16"/>
      <c r="FC213" s="15" t="str">
        <f t="shared" si="714"/>
        <v>NO APLICA</v>
      </c>
      <c r="FD213" s="14"/>
      <c r="FE213" s="14"/>
      <c r="FF213" s="14"/>
      <c r="FG213" s="16"/>
      <c r="FH213" s="15" t="str">
        <f t="shared" si="715"/>
        <v>NO APLICA</v>
      </c>
      <c r="FI213" s="14"/>
      <c r="FJ213" s="14"/>
      <c r="FK213" s="14"/>
      <c r="FL213" s="16"/>
      <c r="FM213" s="15" t="str">
        <f t="shared" si="716"/>
        <v>NO APLICA</v>
      </c>
      <c r="FN213" s="14"/>
      <c r="FO213" s="14"/>
      <c r="FP213" s="14"/>
      <c r="FQ213" s="16"/>
      <c r="FR213" s="15" t="str">
        <f t="shared" si="717"/>
        <v>NO APLICA</v>
      </c>
      <c r="FS213" s="14"/>
      <c r="FT213" s="14"/>
      <c r="FU213" s="14"/>
      <c r="FV213" s="16"/>
      <c r="FW213" s="15" t="str">
        <f t="shared" si="718"/>
        <v>NO APLICA</v>
      </c>
      <c r="FX213" s="14"/>
      <c r="FY213" s="14"/>
      <c r="FZ213" s="14"/>
      <c r="GA213" s="16"/>
      <c r="GB213" s="15" t="str">
        <f t="shared" si="719"/>
        <v>NO APLICA</v>
      </c>
      <c r="GC213" s="14"/>
      <c r="GD213" s="14"/>
      <c r="GE213" s="14"/>
      <c r="GF213" s="16"/>
      <c r="GG213" s="15" t="str">
        <f t="shared" si="720"/>
        <v>NO APLICA</v>
      </c>
      <c r="GH213" s="14"/>
      <c r="GI213" s="14"/>
      <c r="GJ213" s="14"/>
      <c r="GK213" s="65"/>
      <c r="GL213" s="15" t="str">
        <f t="shared" si="721"/>
        <v>NO APLICA</v>
      </c>
      <c r="GM213" s="14"/>
      <c r="GN213" s="16"/>
      <c r="GO213" s="16"/>
      <c r="GP213" s="16"/>
      <c r="GQ213" s="15" t="str">
        <f t="shared" si="722"/>
        <v>NO APLICA</v>
      </c>
      <c r="GR213" s="14"/>
      <c r="GS213" s="16"/>
      <c r="GT213" s="16"/>
      <c r="GU213" s="16"/>
      <c r="GV213" s="15" t="str">
        <f t="shared" si="601"/>
        <v>NO APLICA</v>
      </c>
      <c r="GW213" s="14"/>
      <c r="GX213" s="16"/>
      <c r="GY213" s="16"/>
      <c r="GZ213" s="16"/>
      <c r="HA213" s="15" t="str">
        <f t="shared" si="602"/>
        <v>NO APLICA</v>
      </c>
      <c r="HB213" s="16"/>
      <c r="HC213" s="16"/>
      <c r="HD213" s="16"/>
      <c r="HE213" s="16"/>
      <c r="HF213" s="15" t="str">
        <f t="shared" si="603"/>
        <v>NO APLICA</v>
      </c>
      <c r="HG213" s="16"/>
      <c r="HH213" s="16"/>
      <c r="HI213" s="14"/>
      <c r="HJ213" s="65"/>
      <c r="HK213" s="15" t="str">
        <f t="shared" si="690"/>
        <v>NO APLICA</v>
      </c>
      <c r="HL213" s="16"/>
      <c r="HM213" s="16"/>
      <c r="HN213" s="16"/>
      <c r="HO213" s="16"/>
      <c r="HP213" s="15" t="str">
        <f t="shared" si="686"/>
        <v>NO APLICA</v>
      </c>
      <c r="HQ213" s="16"/>
      <c r="HR213" s="16"/>
      <c r="HS213" s="16"/>
      <c r="HT213" s="16"/>
      <c r="HU213" s="15" t="str">
        <f t="shared" si="723"/>
        <v>NO APLICA</v>
      </c>
      <c r="HV213" s="16"/>
      <c r="HW213" s="16"/>
      <c r="HX213" s="16"/>
      <c r="HY213" s="16"/>
      <c r="HZ213" s="15" t="str">
        <f t="shared" si="724"/>
        <v>NO APLICA</v>
      </c>
      <c r="IA213" s="16"/>
      <c r="IB213" s="16"/>
      <c r="IC213" s="16"/>
      <c r="ID213" s="16"/>
      <c r="IE213" s="15" t="str">
        <f t="shared" si="725"/>
        <v>NO APLICA</v>
      </c>
      <c r="IF213" s="16"/>
      <c r="IG213" s="16"/>
      <c r="IH213" s="16"/>
      <c r="II213" s="16"/>
      <c r="IJ213" s="15" t="str">
        <f t="shared" si="726"/>
        <v>NO APLICA</v>
      </c>
      <c r="IK213" s="16"/>
      <c r="IL213" s="16"/>
      <c r="IM213" s="16"/>
      <c r="IN213" s="16"/>
      <c r="IO213" s="15" t="str">
        <f t="shared" si="727"/>
        <v>NO APLICA</v>
      </c>
      <c r="IP213" s="16"/>
      <c r="IQ213" s="16"/>
      <c r="IR213" s="16"/>
      <c r="IS213" s="16"/>
      <c r="IT213" s="15" t="str">
        <f t="shared" si="728"/>
        <v>NO APLICA</v>
      </c>
      <c r="IU213" s="16"/>
      <c r="IV213" s="16"/>
      <c r="IW213" s="16"/>
      <c r="IX213" s="16"/>
      <c r="IY213" s="15" t="str">
        <f t="shared" si="729"/>
        <v>NO APLICA</v>
      </c>
      <c r="IZ213" s="16"/>
      <c r="JA213" s="16"/>
      <c r="JB213" s="16"/>
      <c r="JC213" s="16"/>
      <c r="JD213" s="15" t="str">
        <f t="shared" si="730"/>
        <v>NO APLICA</v>
      </c>
      <c r="JE213" s="16"/>
      <c r="JF213" s="16"/>
      <c r="JG213" s="16"/>
      <c r="JH213" s="16"/>
      <c r="JI213" s="15" t="str">
        <f t="shared" si="731"/>
        <v>NO APLICA</v>
      </c>
      <c r="JJ213" s="16"/>
      <c r="JK213" s="16"/>
      <c r="JL213" s="16"/>
      <c r="JM213" s="15" t="str">
        <f t="shared" si="732"/>
        <v>NO APLICA</v>
      </c>
      <c r="JN213" s="16"/>
      <c r="JO213" s="16"/>
      <c r="JP213" s="16"/>
      <c r="JQ213" s="15" t="str">
        <f t="shared" si="733"/>
        <v>NO APLICA</v>
      </c>
      <c r="JR213" s="16"/>
      <c r="JS213" s="16"/>
      <c r="JT213" s="16"/>
      <c r="JU213" s="16"/>
      <c r="JV213" s="15" t="str">
        <f t="shared" si="734"/>
        <v>NO APLICA</v>
      </c>
      <c r="JW213" s="15"/>
      <c r="JX213" s="15"/>
      <c r="JY213" s="15"/>
      <c r="JZ213" s="15"/>
      <c r="KA213" s="15" t="str">
        <f t="shared" si="735"/>
        <v>NO APLICA</v>
      </c>
      <c r="KB213" s="16"/>
      <c r="KC213" s="16"/>
      <c r="KD213" s="16"/>
      <c r="KE213" s="15" t="str">
        <f t="shared" si="736"/>
        <v>NO APLICA</v>
      </c>
      <c r="KF213" s="16"/>
      <c r="KG213" s="16"/>
      <c r="KH213" s="16"/>
      <c r="KI213" s="15" t="str">
        <f t="shared" si="749"/>
        <v>NO APLICA</v>
      </c>
      <c r="KJ213" s="16"/>
      <c r="KK213" s="16"/>
      <c r="KL213" s="16"/>
      <c r="KM213" s="15" t="str">
        <f t="shared" si="737"/>
        <v>NO APLICA</v>
      </c>
      <c r="KN213" s="16"/>
      <c r="KO213" s="16"/>
      <c r="KP213" s="16"/>
      <c r="KQ213" s="15" t="str">
        <f t="shared" si="750"/>
        <v>NO APLICA</v>
      </c>
      <c r="KR213" s="16"/>
      <c r="KS213" s="16"/>
      <c r="KT213" s="16"/>
      <c r="KU213" s="16"/>
      <c r="KV213" s="15" t="str">
        <f t="shared" si="755"/>
        <v>NO APLICA</v>
      </c>
      <c r="KW213" s="16"/>
      <c r="KX213" s="16"/>
      <c r="KY213" s="16"/>
      <c r="KZ213" s="15" t="str">
        <f t="shared" si="751"/>
        <v>NO APLICA</v>
      </c>
      <c r="LA213" s="16"/>
      <c r="LB213" s="16"/>
      <c r="LC213" s="16"/>
      <c r="LD213" s="16"/>
      <c r="LE213" s="15" t="str">
        <f t="shared" si="590"/>
        <v>NO APLICA</v>
      </c>
      <c r="LF213" s="15"/>
      <c r="LG213" s="15"/>
      <c r="LH213" s="14"/>
      <c r="LI213" s="65"/>
      <c r="LJ213" s="15" t="str">
        <f t="shared" si="756"/>
        <v>NO APLICA</v>
      </c>
      <c r="LK213" s="16"/>
      <c r="LL213" s="16"/>
      <c r="LM213" s="16"/>
      <c r="LN213" s="16"/>
      <c r="LO213" s="15" t="str">
        <f t="shared" si="752"/>
        <v>NO APLICA</v>
      </c>
      <c r="LP213" s="16"/>
      <c r="LQ213" s="16"/>
      <c r="LR213" s="16"/>
      <c r="LS213" s="16"/>
      <c r="LT213" s="15" t="str">
        <f t="shared" si="753"/>
        <v>NO APLICA</v>
      </c>
      <c r="LU213" s="16"/>
      <c r="LV213" s="16"/>
      <c r="LW213" s="16"/>
      <c r="LX213" s="16"/>
      <c r="LY213" s="15" t="str">
        <f t="shared" si="754"/>
        <v>NO APLICA</v>
      </c>
      <c r="LZ213" s="16"/>
      <c r="MA213" s="16"/>
      <c r="MB213" s="16"/>
      <c r="MC213" s="16"/>
      <c r="MD213" s="15" t="str">
        <f t="shared" si="738"/>
        <v>NO APLICA</v>
      </c>
      <c r="ME213" s="16"/>
      <c r="MF213" s="16"/>
      <c r="MG213" s="16"/>
      <c r="MH213" s="16"/>
      <c r="MI213" s="15" t="str">
        <f t="shared" si="739"/>
        <v>NO APLICA</v>
      </c>
      <c r="MJ213" s="16"/>
      <c r="MK213" s="16"/>
      <c r="ML213" s="16"/>
      <c r="MM213" s="15" t="str">
        <f t="shared" si="740"/>
        <v>NO APLICA</v>
      </c>
      <c r="MN213" s="16"/>
      <c r="MO213" s="16"/>
      <c r="MP213" s="16"/>
      <c r="MQ213" s="15" t="str">
        <f t="shared" si="741"/>
        <v>NO APLICA</v>
      </c>
      <c r="MR213" s="16"/>
      <c r="MS213" s="16"/>
      <c r="MT213" s="16"/>
      <c r="MU213" s="16"/>
      <c r="MV213" s="15" t="str">
        <f t="shared" si="742"/>
        <v>NO APLICA</v>
      </c>
      <c r="MW213" s="16"/>
      <c r="MX213" s="16"/>
      <c r="MY213" s="16"/>
      <c r="MZ213" s="16"/>
      <c r="NA213" s="15" t="str">
        <f t="shared" si="743"/>
        <v>NO APLICA</v>
      </c>
      <c r="NB213" s="16"/>
      <c r="NC213" s="16"/>
      <c r="ND213" s="16"/>
      <c r="NE213" s="16"/>
      <c r="NF213" s="15" t="str">
        <f t="shared" si="744"/>
        <v>NO APLICA</v>
      </c>
      <c r="NG213" s="16"/>
      <c r="NH213" s="16"/>
      <c r="NI213" s="16"/>
      <c r="NJ213" s="16"/>
      <c r="NK213" s="15" t="str">
        <f t="shared" si="745"/>
        <v>NO APLICA</v>
      </c>
      <c r="NL213" s="16"/>
      <c r="NM213" s="16"/>
      <c r="NN213" s="16"/>
      <c r="NO213" s="16"/>
      <c r="NP213" s="15" t="str">
        <f t="shared" si="746"/>
        <v>NO APLICA</v>
      </c>
      <c r="NQ213" s="16"/>
      <c r="NR213" s="16"/>
      <c r="NS213" s="16"/>
      <c r="NT213" s="16"/>
      <c r="NU213" s="15" t="str">
        <f t="shared" si="747"/>
        <v>NO APLICA</v>
      </c>
      <c r="NV213" s="16"/>
      <c r="NW213" s="16"/>
      <c r="NX213" s="16"/>
      <c r="NY213" s="16"/>
      <c r="NZ213" s="15" t="str">
        <f t="shared" si="748"/>
        <v>NO APLICA</v>
      </c>
    </row>
    <row r="214" spans="1:390" ht="15.6" thickTop="1" thickBot="1" x14ac:dyDescent="0.35">
      <c r="A214" s="11">
        <v>1620</v>
      </c>
      <c r="B214" s="10" t="s">
        <v>718</v>
      </c>
      <c r="C214" s="21" t="s">
        <v>104</v>
      </c>
      <c r="D214" s="64" t="s">
        <v>681</v>
      </c>
      <c r="E214" s="16"/>
      <c r="F214" s="16"/>
      <c r="G214" s="16"/>
      <c r="H214" s="16"/>
      <c r="I214" s="15" t="str">
        <f t="shared" si="688"/>
        <v>NO APLICA</v>
      </c>
      <c r="J214" s="16"/>
      <c r="K214" s="16"/>
      <c r="L214" s="16"/>
      <c r="M214" s="16"/>
      <c r="N214" s="15" t="str">
        <f t="shared" si="691"/>
        <v>NO APLICA</v>
      </c>
      <c r="O214" s="16"/>
      <c r="P214" s="16"/>
      <c r="Q214" s="16"/>
      <c r="R214" s="16"/>
      <c r="S214" s="15" t="str">
        <f t="shared" si="689"/>
        <v>NO APLICA</v>
      </c>
      <c r="T214" s="16"/>
      <c r="U214" s="14">
        <v>44771</v>
      </c>
      <c r="V214" s="14">
        <v>44772</v>
      </c>
      <c r="W214" s="14">
        <f>DATE(YEAR(V214)+5,MONTH(V214),DAY(V214))</f>
        <v>46598</v>
      </c>
      <c r="X214" s="65">
        <f ca="1">W214-TODAY()</f>
        <v>467</v>
      </c>
      <c r="Y214" s="15" t="str">
        <f t="shared" ca="1" si="595"/>
        <v>VIGENTE</v>
      </c>
      <c r="Z214" s="16" t="s">
        <v>719</v>
      </c>
      <c r="AA214" s="14">
        <v>44987</v>
      </c>
      <c r="AB214" s="14">
        <v>44988</v>
      </c>
      <c r="AC214" s="14">
        <f>DATE(YEAR(AB214)+5,MONTH(AB214),DAY(AB214))</f>
        <v>46815</v>
      </c>
      <c r="AD214" s="65">
        <f ca="1">AC214-TODAY()</f>
        <v>684</v>
      </c>
      <c r="AE214" s="15" t="str">
        <f t="shared" ca="1" si="598"/>
        <v>VIGENTE</v>
      </c>
      <c r="AF214" s="14"/>
      <c r="AG214" s="14"/>
      <c r="AH214" s="14"/>
      <c r="AI214" s="16"/>
      <c r="AJ214" s="15" t="str">
        <f t="shared" si="592"/>
        <v>NO APLICA</v>
      </c>
      <c r="AK214" s="14"/>
      <c r="AL214" s="14"/>
      <c r="AM214" s="14"/>
      <c r="AN214" s="16"/>
      <c r="AO214" s="15" t="str">
        <f t="shared" si="692"/>
        <v>NO APLICA</v>
      </c>
      <c r="AP214" s="14"/>
      <c r="AQ214" s="14"/>
      <c r="AR214" s="14"/>
      <c r="AS214" s="16"/>
      <c r="AT214" s="15" t="str">
        <f t="shared" si="693"/>
        <v>NO APLICA</v>
      </c>
      <c r="AU214" s="14"/>
      <c r="AV214" s="14"/>
      <c r="AW214" s="14"/>
      <c r="AX214" s="16"/>
      <c r="AY214" s="15" t="str">
        <f t="shared" si="694"/>
        <v>NO APLICA</v>
      </c>
      <c r="AZ214" s="14"/>
      <c r="BA214" s="14"/>
      <c r="BB214" s="14"/>
      <c r="BC214" s="16"/>
      <c r="BD214" s="15" t="str">
        <f t="shared" si="695"/>
        <v>NO APLICA</v>
      </c>
      <c r="BE214" s="14"/>
      <c r="BF214" s="14"/>
      <c r="BG214" s="14"/>
      <c r="BH214" s="16"/>
      <c r="BI214" s="15" t="str">
        <f t="shared" si="696"/>
        <v>NO APLICA</v>
      </c>
      <c r="BJ214" s="14"/>
      <c r="BK214" s="14"/>
      <c r="BL214" s="14"/>
      <c r="BM214" s="16"/>
      <c r="BN214" s="15" t="str">
        <f t="shared" si="697"/>
        <v>NO APLICA</v>
      </c>
      <c r="BO214" s="14"/>
      <c r="BP214" s="14"/>
      <c r="BQ214" s="14"/>
      <c r="BR214" s="16"/>
      <c r="BS214" s="15" t="str">
        <f t="shared" si="698"/>
        <v>NO APLICA</v>
      </c>
      <c r="BT214" s="14"/>
      <c r="BU214" s="14"/>
      <c r="BV214" s="14"/>
      <c r="BW214" s="16"/>
      <c r="BX214" s="15" t="str">
        <f t="shared" si="699"/>
        <v>NO APLICA</v>
      </c>
      <c r="BY214" s="14"/>
      <c r="BZ214" s="14"/>
      <c r="CA214" s="14"/>
      <c r="CB214" s="16"/>
      <c r="CC214" s="15" t="str">
        <f t="shared" si="700"/>
        <v>NO APLICA</v>
      </c>
      <c r="CD214" s="16" t="s">
        <v>183</v>
      </c>
      <c r="CE214" s="14">
        <v>44774</v>
      </c>
      <c r="CF214" s="14">
        <v>44775</v>
      </c>
      <c r="CG214" s="14">
        <f>DATE(YEAR(CF214)+4,MONTH(CF214),DAY(CF214))</f>
        <v>46236</v>
      </c>
      <c r="CH214" s="65">
        <f ca="1">CG214-TODAY()</f>
        <v>105</v>
      </c>
      <c r="CI214" s="15" t="str">
        <f ca="1">IF(CH214&gt;=90,"VIGENTE",IF(CH214&gt;=1,"POR VENCER",IF(CH214&lt;=-1,"VENCIDA",IF(CH214=0,"NO APLICA"))))</f>
        <v>VIGENTE</v>
      </c>
      <c r="CJ214" s="14"/>
      <c r="CK214" s="14"/>
      <c r="CL214" s="14"/>
      <c r="CM214" s="16"/>
      <c r="CN214" s="15" t="str">
        <f t="shared" si="701"/>
        <v>NO APLICA</v>
      </c>
      <c r="CO214" s="14"/>
      <c r="CP214" s="14"/>
      <c r="CQ214" s="14"/>
      <c r="CR214" s="16"/>
      <c r="CS214" s="15" t="str">
        <f t="shared" si="702"/>
        <v>NO APLICA</v>
      </c>
      <c r="CT214" s="14"/>
      <c r="CU214" s="14"/>
      <c r="CV214" s="14"/>
      <c r="CW214" s="16"/>
      <c r="CX214" s="15" t="str">
        <f t="shared" si="703"/>
        <v>NO APLICA</v>
      </c>
      <c r="CY214" s="14"/>
      <c r="CZ214" s="14"/>
      <c r="DA214" s="14"/>
      <c r="DB214" s="16"/>
      <c r="DC214" s="15" t="str">
        <f t="shared" si="704"/>
        <v>NO APLICA</v>
      </c>
      <c r="DD214" s="14"/>
      <c r="DE214" s="14"/>
      <c r="DF214" s="14"/>
      <c r="DG214" s="16"/>
      <c r="DH214" s="15" t="str">
        <f t="shared" si="705"/>
        <v>NO APLICA</v>
      </c>
      <c r="DI214" s="14"/>
      <c r="DJ214" s="14"/>
      <c r="DK214" s="14"/>
      <c r="DL214" s="16"/>
      <c r="DM214" s="15" t="str">
        <f t="shared" si="706"/>
        <v>NO APLICA</v>
      </c>
      <c r="DN214" s="14"/>
      <c r="DO214" s="14"/>
      <c r="DP214" s="14"/>
      <c r="DQ214" s="16"/>
      <c r="DR214" s="15" t="str">
        <f t="shared" si="707"/>
        <v>NO APLICA</v>
      </c>
      <c r="DS214" s="14"/>
      <c r="DT214" s="14"/>
      <c r="DU214" s="14"/>
      <c r="DV214" s="16"/>
      <c r="DW214" s="15" t="str">
        <f t="shared" si="708"/>
        <v>NO APLICA</v>
      </c>
      <c r="DX214" s="14"/>
      <c r="DY214" s="14"/>
      <c r="DZ214" s="14"/>
      <c r="EA214" s="16"/>
      <c r="EB214" s="15" t="str">
        <f t="shared" si="709"/>
        <v>NO APLICA</v>
      </c>
      <c r="EC214" s="14"/>
      <c r="ED214" s="14"/>
      <c r="EE214" s="14"/>
      <c r="EF214" s="16"/>
      <c r="EG214" s="15" t="str">
        <f t="shared" si="710"/>
        <v>NO APLICA</v>
      </c>
      <c r="EH214" s="14"/>
      <c r="EI214" s="14"/>
      <c r="EJ214" s="14"/>
      <c r="EK214" s="14"/>
      <c r="EL214" s="14"/>
      <c r="EM214" s="65"/>
      <c r="EN214" s="15" t="str">
        <f t="shared" si="711"/>
        <v>NO APLICA</v>
      </c>
      <c r="EO214" s="14"/>
      <c r="EP214" s="14"/>
      <c r="EQ214" s="14"/>
      <c r="ER214" s="65"/>
      <c r="ES214" s="15" t="str">
        <f t="shared" si="712"/>
        <v>NO APLICA</v>
      </c>
      <c r="ET214" s="14"/>
      <c r="EU214" s="14"/>
      <c r="EV214" s="14"/>
      <c r="EW214" s="65"/>
      <c r="EX214" s="15" t="str">
        <f t="shared" si="713"/>
        <v>NO APLICA</v>
      </c>
      <c r="EY214" s="14"/>
      <c r="EZ214" s="14"/>
      <c r="FA214" s="14"/>
      <c r="FB214" s="16"/>
      <c r="FC214" s="15" t="str">
        <f t="shared" si="714"/>
        <v>NO APLICA</v>
      </c>
      <c r="FD214" s="14"/>
      <c r="FE214" s="14"/>
      <c r="FF214" s="14"/>
      <c r="FG214" s="16"/>
      <c r="FH214" s="15" t="str">
        <f t="shared" si="715"/>
        <v>NO APLICA</v>
      </c>
      <c r="FI214" s="14"/>
      <c r="FJ214" s="14"/>
      <c r="FK214" s="14"/>
      <c r="FL214" s="16"/>
      <c r="FM214" s="15" t="str">
        <f t="shared" si="716"/>
        <v>NO APLICA</v>
      </c>
      <c r="FN214" s="14"/>
      <c r="FO214" s="14"/>
      <c r="FP214" s="14"/>
      <c r="FQ214" s="16"/>
      <c r="FR214" s="15" t="str">
        <f t="shared" si="717"/>
        <v>NO APLICA</v>
      </c>
      <c r="FS214" s="14"/>
      <c r="FT214" s="14"/>
      <c r="FU214" s="14"/>
      <c r="FV214" s="16"/>
      <c r="FW214" s="15" t="str">
        <f t="shared" si="718"/>
        <v>NO APLICA</v>
      </c>
      <c r="FX214" s="14"/>
      <c r="FY214" s="14"/>
      <c r="FZ214" s="14"/>
      <c r="GA214" s="16"/>
      <c r="GB214" s="15" t="str">
        <f t="shared" si="719"/>
        <v>NO APLICA</v>
      </c>
      <c r="GC214" s="14"/>
      <c r="GD214" s="14"/>
      <c r="GE214" s="14"/>
      <c r="GF214" s="16"/>
      <c r="GG214" s="15" t="str">
        <f t="shared" si="720"/>
        <v>NO APLICA</v>
      </c>
      <c r="GH214" s="14"/>
      <c r="GI214" s="14"/>
      <c r="GJ214" s="14"/>
      <c r="GK214" s="65"/>
      <c r="GL214" s="15" t="str">
        <f t="shared" si="721"/>
        <v>NO APLICA</v>
      </c>
      <c r="GM214" s="14"/>
      <c r="GN214" s="16"/>
      <c r="GO214" s="16"/>
      <c r="GP214" s="16"/>
      <c r="GQ214" s="15" t="str">
        <f t="shared" si="722"/>
        <v>NO APLICA</v>
      </c>
      <c r="GR214" s="14"/>
      <c r="GS214" s="16"/>
      <c r="GT214" s="16"/>
      <c r="GU214" s="16"/>
      <c r="GV214" s="15" t="str">
        <f t="shared" si="601"/>
        <v>NO APLICA</v>
      </c>
      <c r="GW214" s="14"/>
      <c r="GX214" s="16"/>
      <c r="GY214" s="16"/>
      <c r="GZ214" s="16"/>
      <c r="HA214" s="15" t="str">
        <f t="shared" si="602"/>
        <v>NO APLICA</v>
      </c>
      <c r="HB214" s="16"/>
      <c r="HC214" s="16"/>
      <c r="HD214" s="16"/>
      <c r="HE214" s="16"/>
      <c r="HF214" s="15" t="str">
        <f t="shared" si="603"/>
        <v>NO APLICA</v>
      </c>
      <c r="HG214" s="16"/>
      <c r="HH214" s="16"/>
      <c r="HI214" s="14"/>
      <c r="HJ214" s="65"/>
      <c r="HK214" s="15" t="str">
        <f t="shared" si="690"/>
        <v>NO APLICA</v>
      </c>
      <c r="HL214" s="16"/>
      <c r="HM214" s="16"/>
      <c r="HN214" s="16"/>
      <c r="HO214" s="16"/>
      <c r="HP214" s="15" t="str">
        <f t="shared" si="686"/>
        <v>NO APLICA</v>
      </c>
      <c r="HQ214" s="16"/>
      <c r="HR214" s="16"/>
      <c r="HS214" s="16"/>
      <c r="HT214" s="16"/>
      <c r="HU214" s="15" t="str">
        <f t="shared" si="723"/>
        <v>NO APLICA</v>
      </c>
      <c r="HV214" s="16"/>
      <c r="HW214" s="16"/>
      <c r="HX214" s="16"/>
      <c r="HY214" s="16"/>
      <c r="HZ214" s="15" t="str">
        <f t="shared" si="724"/>
        <v>NO APLICA</v>
      </c>
      <c r="IA214" s="16"/>
      <c r="IB214" s="16"/>
      <c r="IC214" s="16"/>
      <c r="ID214" s="16"/>
      <c r="IE214" s="15" t="str">
        <f t="shared" si="725"/>
        <v>NO APLICA</v>
      </c>
      <c r="IF214" s="16"/>
      <c r="IG214" s="16"/>
      <c r="IH214" s="16"/>
      <c r="II214" s="16"/>
      <c r="IJ214" s="15" t="str">
        <f t="shared" si="726"/>
        <v>NO APLICA</v>
      </c>
      <c r="IK214" s="16"/>
      <c r="IL214" s="16"/>
      <c r="IM214" s="16"/>
      <c r="IN214" s="16"/>
      <c r="IO214" s="15" t="str">
        <f t="shared" si="727"/>
        <v>NO APLICA</v>
      </c>
      <c r="IP214" s="16"/>
      <c r="IQ214" s="16"/>
      <c r="IR214" s="16"/>
      <c r="IS214" s="16"/>
      <c r="IT214" s="15" t="str">
        <f t="shared" si="728"/>
        <v>NO APLICA</v>
      </c>
      <c r="IU214" s="16"/>
      <c r="IV214" s="16"/>
      <c r="IW214" s="16"/>
      <c r="IX214" s="16"/>
      <c r="IY214" s="15" t="str">
        <f t="shared" si="729"/>
        <v>NO APLICA</v>
      </c>
      <c r="IZ214" s="16"/>
      <c r="JA214" s="16"/>
      <c r="JB214" s="16"/>
      <c r="JC214" s="16"/>
      <c r="JD214" s="15" t="str">
        <f t="shared" si="730"/>
        <v>NO APLICA</v>
      </c>
      <c r="JE214" s="16"/>
      <c r="JF214" s="16"/>
      <c r="JG214" s="16"/>
      <c r="JH214" s="16"/>
      <c r="JI214" s="15" t="str">
        <f t="shared" si="731"/>
        <v>NO APLICA</v>
      </c>
      <c r="JJ214" s="16"/>
      <c r="JK214" s="16"/>
      <c r="JL214" s="16"/>
      <c r="JM214" s="15" t="str">
        <f t="shared" si="732"/>
        <v>NO APLICA</v>
      </c>
      <c r="JN214" s="16"/>
      <c r="JO214" s="16"/>
      <c r="JP214" s="16"/>
      <c r="JQ214" s="15" t="str">
        <f t="shared" si="733"/>
        <v>NO APLICA</v>
      </c>
      <c r="JR214" s="16"/>
      <c r="JS214" s="16"/>
      <c r="JT214" s="16"/>
      <c r="JU214" s="16"/>
      <c r="JV214" s="15" t="str">
        <f t="shared" si="734"/>
        <v>NO APLICA</v>
      </c>
      <c r="JW214" s="15"/>
      <c r="JX214" s="15"/>
      <c r="JY214" s="15"/>
      <c r="JZ214" s="15"/>
      <c r="KA214" s="15" t="str">
        <f t="shared" si="735"/>
        <v>NO APLICA</v>
      </c>
      <c r="KB214" s="16"/>
      <c r="KC214" s="16"/>
      <c r="KD214" s="16"/>
      <c r="KE214" s="15" t="str">
        <f t="shared" si="736"/>
        <v>NO APLICA</v>
      </c>
      <c r="KF214" s="16"/>
      <c r="KG214" s="16"/>
      <c r="KH214" s="16"/>
      <c r="KI214" s="15" t="str">
        <f t="shared" si="749"/>
        <v>NO APLICA</v>
      </c>
      <c r="KJ214" s="16"/>
      <c r="KK214" s="16"/>
      <c r="KL214" s="16"/>
      <c r="KM214" s="15" t="str">
        <f t="shared" si="737"/>
        <v>NO APLICA</v>
      </c>
      <c r="KN214" s="16"/>
      <c r="KO214" s="16"/>
      <c r="KP214" s="16"/>
      <c r="KQ214" s="15" t="str">
        <f t="shared" si="750"/>
        <v>NO APLICA</v>
      </c>
      <c r="KR214" s="16"/>
      <c r="KS214" s="16"/>
      <c r="KT214" s="16"/>
      <c r="KU214" s="16"/>
      <c r="KV214" s="15" t="str">
        <f t="shared" si="755"/>
        <v>NO APLICA</v>
      </c>
      <c r="KW214" s="16"/>
      <c r="KX214" s="16"/>
      <c r="KY214" s="16"/>
      <c r="KZ214" s="15" t="str">
        <f t="shared" si="751"/>
        <v>NO APLICA</v>
      </c>
      <c r="LA214" s="16"/>
      <c r="LB214" s="16"/>
      <c r="LC214" s="16"/>
      <c r="LD214" s="16"/>
      <c r="LE214" s="15" t="str">
        <f t="shared" si="590"/>
        <v>NO APLICA</v>
      </c>
      <c r="LF214" s="15"/>
      <c r="LG214" s="15"/>
      <c r="LH214" s="14"/>
      <c r="LI214" s="65"/>
      <c r="LJ214" s="15" t="str">
        <f t="shared" si="756"/>
        <v>NO APLICA</v>
      </c>
      <c r="LK214" s="16"/>
      <c r="LL214" s="16"/>
      <c r="LM214" s="16"/>
      <c r="LN214" s="16"/>
      <c r="LO214" s="15" t="str">
        <f t="shared" si="752"/>
        <v>NO APLICA</v>
      </c>
      <c r="LP214" s="16"/>
      <c r="LQ214" s="16"/>
      <c r="LR214" s="16"/>
      <c r="LS214" s="16"/>
      <c r="LT214" s="15" t="str">
        <f t="shared" si="753"/>
        <v>NO APLICA</v>
      </c>
      <c r="LU214" s="16"/>
      <c r="LV214" s="16"/>
      <c r="LW214" s="16"/>
      <c r="LX214" s="16"/>
      <c r="LY214" s="15" t="str">
        <f t="shared" si="754"/>
        <v>NO APLICA</v>
      </c>
      <c r="LZ214" s="16"/>
      <c r="MA214" s="16"/>
      <c r="MB214" s="16"/>
      <c r="MC214" s="16"/>
      <c r="MD214" s="15" t="str">
        <f t="shared" si="738"/>
        <v>NO APLICA</v>
      </c>
      <c r="ME214" s="16"/>
      <c r="MF214" s="16"/>
      <c r="MG214" s="16"/>
      <c r="MH214" s="16"/>
      <c r="MI214" s="15" t="str">
        <f t="shared" si="739"/>
        <v>NO APLICA</v>
      </c>
      <c r="MJ214" s="16"/>
      <c r="MK214" s="16"/>
      <c r="ML214" s="16"/>
      <c r="MM214" s="15" t="str">
        <f t="shared" si="740"/>
        <v>NO APLICA</v>
      </c>
      <c r="MN214" s="16"/>
      <c r="MO214" s="16"/>
      <c r="MP214" s="16"/>
      <c r="MQ214" s="15" t="str">
        <f t="shared" si="741"/>
        <v>NO APLICA</v>
      </c>
      <c r="MR214" s="16"/>
      <c r="MS214" s="16"/>
      <c r="MT214" s="16"/>
      <c r="MU214" s="16"/>
      <c r="MV214" s="15" t="str">
        <f t="shared" si="742"/>
        <v>NO APLICA</v>
      </c>
      <c r="MW214" s="16"/>
      <c r="MX214" s="16"/>
      <c r="MY214" s="16"/>
      <c r="MZ214" s="16"/>
      <c r="NA214" s="15" t="str">
        <f t="shared" si="743"/>
        <v>NO APLICA</v>
      </c>
      <c r="NB214" s="16"/>
      <c r="NC214" s="16"/>
      <c r="ND214" s="16"/>
      <c r="NE214" s="16"/>
      <c r="NF214" s="15" t="str">
        <f t="shared" si="744"/>
        <v>NO APLICA</v>
      </c>
      <c r="NG214" s="16"/>
      <c r="NH214" s="16"/>
      <c r="NI214" s="16"/>
      <c r="NJ214" s="16"/>
      <c r="NK214" s="15" t="str">
        <f t="shared" si="745"/>
        <v>NO APLICA</v>
      </c>
      <c r="NL214" s="16"/>
      <c r="NM214" s="16"/>
      <c r="NN214" s="16"/>
      <c r="NO214" s="16"/>
      <c r="NP214" s="15" t="str">
        <f t="shared" si="746"/>
        <v>NO APLICA</v>
      </c>
      <c r="NQ214" s="16"/>
      <c r="NR214" s="16"/>
      <c r="NS214" s="16"/>
      <c r="NT214" s="16"/>
      <c r="NU214" s="15" t="str">
        <f t="shared" si="747"/>
        <v>NO APLICA</v>
      </c>
      <c r="NV214" s="16"/>
      <c r="NW214" s="16"/>
      <c r="NX214" s="16"/>
      <c r="NY214" s="16"/>
      <c r="NZ214" s="15" t="str">
        <f t="shared" si="748"/>
        <v>NO APLICA</v>
      </c>
    </row>
    <row r="215" spans="1:390" ht="15.6" thickTop="1" thickBot="1" x14ac:dyDescent="0.35">
      <c r="A215" s="11">
        <v>1563</v>
      </c>
      <c r="B215" s="10" t="s">
        <v>720</v>
      </c>
      <c r="C215" s="21" t="s">
        <v>151</v>
      </c>
      <c r="D215" s="64" t="s">
        <v>710</v>
      </c>
      <c r="E215" s="16"/>
      <c r="F215" s="16"/>
      <c r="G215" s="16"/>
      <c r="H215" s="16"/>
      <c r="I215" s="15" t="str">
        <f t="shared" si="688"/>
        <v>NO APLICA</v>
      </c>
      <c r="J215" s="16"/>
      <c r="K215" s="16"/>
      <c r="L215" s="16"/>
      <c r="M215" s="16"/>
      <c r="N215" s="15" t="str">
        <f t="shared" si="691"/>
        <v>NO APLICA</v>
      </c>
      <c r="O215" s="16"/>
      <c r="P215" s="16"/>
      <c r="Q215" s="16"/>
      <c r="R215" s="16"/>
      <c r="S215" s="15" t="str">
        <f t="shared" si="689"/>
        <v>NO APLICA</v>
      </c>
      <c r="T215" s="16"/>
      <c r="U215" s="14"/>
      <c r="V215" s="14"/>
      <c r="W215" s="14"/>
      <c r="X215" s="65"/>
      <c r="Y215" s="15" t="str">
        <f t="shared" si="595"/>
        <v>NO APLICA</v>
      </c>
      <c r="Z215" s="16"/>
      <c r="AA215" s="16"/>
      <c r="AB215" s="16"/>
      <c r="AC215" s="16"/>
      <c r="AD215" s="16"/>
      <c r="AE215" s="15" t="str">
        <f t="shared" si="598"/>
        <v>NO APLICA</v>
      </c>
      <c r="AF215" s="14"/>
      <c r="AG215" s="14"/>
      <c r="AH215" s="14"/>
      <c r="AI215" s="16"/>
      <c r="AJ215" s="15" t="str">
        <f t="shared" si="592"/>
        <v>NO APLICA</v>
      </c>
      <c r="AK215" s="14"/>
      <c r="AL215" s="14"/>
      <c r="AM215" s="14"/>
      <c r="AN215" s="16"/>
      <c r="AO215" s="15" t="str">
        <f t="shared" si="692"/>
        <v>NO APLICA</v>
      </c>
      <c r="AP215" s="14"/>
      <c r="AQ215" s="14"/>
      <c r="AR215" s="14"/>
      <c r="AS215" s="16"/>
      <c r="AT215" s="15" t="str">
        <f t="shared" si="693"/>
        <v>NO APLICA</v>
      </c>
      <c r="AU215" s="14"/>
      <c r="AV215" s="14"/>
      <c r="AW215" s="14"/>
      <c r="AX215" s="16"/>
      <c r="AY215" s="15" t="str">
        <f t="shared" si="694"/>
        <v>NO APLICA</v>
      </c>
      <c r="AZ215" s="14"/>
      <c r="BA215" s="14"/>
      <c r="BB215" s="14"/>
      <c r="BC215" s="16"/>
      <c r="BD215" s="15" t="str">
        <f t="shared" si="695"/>
        <v>NO APLICA</v>
      </c>
      <c r="BE215" s="14"/>
      <c r="BF215" s="14"/>
      <c r="BG215" s="14"/>
      <c r="BH215" s="16"/>
      <c r="BI215" s="15" t="str">
        <f t="shared" si="696"/>
        <v>NO APLICA</v>
      </c>
      <c r="BJ215" s="14"/>
      <c r="BK215" s="14"/>
      <c r="BL215" s="14"/>
      <c r="BM215" s="16"/>
      <c r="BN215" s="15" t="str">
        <f t="shared" si="697"/>
        <v>NO APLICA</v>
      </c>
      <c r="BO215" s="14"/>
      <c r="BP215" s="14"/>
      <c r="BQ215" s="14"/>
      <c r="BR215" s="16"/>
      <c r="BS215" s="15" t="str">
        <f t="shared" si="698"/>
        <v>NO APLICA</v>
      </c>
      <c r="BT215" s="14"/>
      <c r="BU215" s="14"/>
      <c r="BV215" s="14"/>
      <c r="BW215" s="16"/>
      <c r="BX215" s="15" t="str">
        <f t="shared" si="699"/>
        <v>NO APLICA</v>
      </c>
      <c r="BY215" s="14"/>
      <c r="BZ215" s="14"/>
      <c r="CA215" s="14"/>
      <c r="CB215" s="16"/>
      <c r="CC215" s="15" t="str">
        <f t="shared" si="700"/>
        <v>NO APLICA</v>
      </c>
      <c r="CD215" s="16"/>
      <c r="CE215" s="16"/>
      <c r="CF215" s="16"/>
      <c r="CG215" s="16"/>
      <c r="CH215" s="16"/>
      <c r="CI215" s="15" t="str">
        <f t="shared" si="758"/>
        <v>NO APLICA</v>
      </c>
      <c r="CJ215" s="14"/>
      <c r="CK215" s="14"/>
      <c r="CL215" s="14"/>
      <c r="CM215" s="16"/>
      <c r="CN215" s="15" t="str">
        <f t="shared" si="701"/>
        <v>NO APLICA</v>
      </c>
      <c r="CO215" s="14"/>
      <c r="CP215" s="14"/>
      <c r="CQ215" s="14"/>
      <c r="CR215" s="16"/>
      <c r="CS215" s="15" t="str">
        <f t="shared" si="702"/>
        <v>NO APLICA</v>
      </c>
      <c r="CT215" s="14"/>
      <c r="CU215" s="14"/>
      <c r="CV215" s="14"/>
      <c r="CW215" s="16"/>
      <c r="CX215" s="15" t="str">
        <f t="shared" si="703"/>
        <v>NO APLICA</v>
      </c>
      <c r="CY215" s="14"/>
      <c r="CZ215" s="14"/>
      <c r="DA215" s="14"/>
      <c r="DB215" s="16"/>
      <c r="DC215" s="15" t="str">
        <f t="shared" si="704"/>
        <v>NO APLICA</v>
      </c>
      <c r="DD215" s="14"/>
      <c r="DE215" s="14"/>
      <c r="DF215" s="14"/>
      <c r="DG215" s="16"/>
      <c r="DH215" s="15" t="str">
        <f t="shared" si="705"/>
        <v>NO APLICA</v>
      </c>
      <c r="DI215" s="14"/>
      <c r="DJ215" s="14"/>
      <c r="DK215" s="14"/>
      <c r="DL215" s="16"/>
      <c r="DM215" s="15" t="str">
        <f t="shared" si="706"/>
        <v>NO APLICA</v>
      </c>
      <c r="DN215" s="14"/>
      <c r="DO215" s="14"/>
      <c r="DP215" s="14"/>
      <c r="DQ215" s="16"/>
      <c r="DR215" s="15" t="str">
        <f t="shared" si="707"/>
        <v>NO APLICA</v>
      </c>
      <c r="DS215" s="14"/>
      <c r="DT215" s="14"/>
      <c r="DU215" s="14"/>
      <c r="DV215" s="16"/>
      <c r="DW215" s="15" t="str">
        <f t="shared" si="708"/>
        <v>NO APLICA</v>
      </c>
      <c r="DX215" s="14"/>
      <c r="DY215" s="14"/>
      <c r="DZ215" s="14"/>
      <c r="EA215" s="16"/>
      <c r="EB215" s="15" t="str">
        <f t="shared" si="709"/>
        <v>NO APLICA</v>
      </c>
      <c r="EC215" s="14"/>
      <c r="ED215" s="14"/>
      <c r="EE215" s="14"/>
      <c r="EF215" s="16"/>
      <c r="EG215" s="15" t="str">
        <f t="shared" si="710"/>
        <v>NO APLICA</v>
      </c>
      <c r="EH215" s="14"/>
      <c r="EI215" s="14"/>
      <c r="EJ215" s="14"/>
      <c r="EK215" s="14"/>
      <c r="EL215" s="14"/>
      <c r="EM215" s="65"/>
      <c r="EN215" s="15" t="str">
        <f t="shared" si="711"/>
        <v>NO APLICA</v>
      </c>
      <c r="EO215" s="14"/>
      <c r="EP215" s="14"/>
      <c r="EQ215" s="14"/>
      <c r="ER215" s="65"/>
      <c r="ES215" s="15" t="str">
        <f t="shared" si="712"/>
        <v>NO APLICA</v>
      </c>
      <c r="ET215" s="14"/>
      <c r="EU215" s="14"/>
      <c r="EV215" s="14"/>
      <c r="EW215" s="65"/>
      <c r="EX215" s="15" t="str">
        <f t="shared" si="713"/>
        <v>NO APLICA</v>
      </c>
      <c r="EY215" s="14"/>
      <c r="EZ215" s="14"/>
      <c r="FA215" s="14"/>
      <c r="FB215" s="16"/>
      <c r="FC215" s="15" t="str">
        <f t="shared" si="714"/>
        <v>NO APLICA</v>
      </c>
      <c r="FD215" s="14"/>
      <c r="FE215" s="14"/>
      <c r="FF215" s="14"/>
      <c r="FG215" s="16"/>
      <c r="FH215" s="15" t="str">
        <f t="shared" si="715"/>
        <v>NO APLICA</v>
      </c>
      <c r="FI215" s="14"/>
      <c r="FJ215" s="14"/>
      <c r="FK215" s="14"/>
      <c r="FL215" s="16"/>
      <c r="FM215" s="15" t="str">
        <f t="shared" si="716"/>
        <v>NO APLICA</v>
      </c>
      <c r="FN215" s="14"/>
      <c r="FO215" s="14"/>
      <c r="FP215" s="14"/>
      <c r="FQ215" s="16"/>
      <c r="FR215" s="15" t="str">
        <f t="shared" si="717"/>
        <v>NO APLICA</v>
      </c>
      <c r="FS215" s="14"/>
      <c r="FT215" s="14"/>
      <c r="FU215" s="14"/>
      <c r="FV215" s="16"/>
      <c r="FW215" s="15" t="str">
        <f t="shared" si="718"/>
        <v>NO APLICA</v>
      </c>
      <c r="FX215" s="14"/>
      <c r="FY215" s="14"/>
      <c r="FZ215" s="14"/>
      <c r="GA215" s="16"/>
      <c r="GB215" s="15" t="str">
        <f t="shared" si="719"/>
        <v>NO APLICA</v>
      </c>
      <c r="GC215" s="14"/>
      <c r="GD215" s="14"/>
      <c r="GE215" s="14"/>
      <c r="GF215" s="16"/>
      <c r="GG215" s="15" t="str">
        <f t="shared" si="720"/>
        <v>NO APLICA</v>
      </c>
      <c r="GH215" s="14"/>
      <c r="GI215" s="14"/>
      <c r="GJ215" s="14"/>
      <c r="GK215" s="65"/>
      <c r="GL215" s="15" t="str">
        <f t="shared" si="721"/>
        <v>NO APLICA</v>
      </c>
      <c r="GM215" s="14"/>
      <c r="GN215" s="16"/>
      <c r="GO215" s="16"/>
      <c r="GP215" s="16"/>
      <c r="GQ215" s="15" t="str">
        <f t="shared" si="722"/>
        <v>NO APLICA</v>
      </c>
      <c r="GR215" s="14"/>
      <c r="GS215" s="16"/>
      <c r="GT215" s="16"/>
      <c r="GU215" s="16"/>
      <c r="GV215" s="15" t="str">
        <f t="shared" si="601"/>
        <v>NO APLICA</v>
      </c>
      <c r="GW215" s="14"/>
      <c r="GX215" s="16"/>
      <c r="GY215" s="16"/>
      <c r="GZ215" s="16"/>
      <c r="HA215" s="15" t="str">
        <f t="shared" si="602"/>
        <v>NO APLICA</v>
      </c>
      <c r="HB215" s="16"/>
      <c r="HC215" s="16"/>
      <c r="HD215" s="16"/>
      <c r="HE215" s="16"/>
      <c r="HF215" s="15" t="str">
        <f t="shared" si="603"/>
        <v>NO APLICA</v>
      </c>
      <c r="HG215" s="16"/>
      <c r="HH215" s="16"/>
      <c r="HI215" s="14"/>
      <c r="HJ215" s="65"/>
      <c r="HK215" s="15" t="str">
        <f t="shared" si="690"/>
        <v>NO APLICA</v>
      </c>
      <c r="HL215" s="16"/>
      <c r="HM215" s="16"/>
      <c r="HN215" s="16"/>
      <c r="HO215" s="16"/>
      <c r="HP215" s="15" t="str">
        <f t="shared" si="686"/>
        <v>NO APLICA</v>
      </c>
      <c r="HQ215" s="16"/>
      <c r="HR215" s="16"/>
      <c r="HS215" s="16"/>
      <c r="HT215" s="16"/>
      <c r="HU215" s="15" t="str">
        <f t="shared" si="723"/>
        <v>NO APLICA</v>
      </c>
      <c r="HV215" s="16"/>
      <c r="HW215" s="16"/>
      <c r="HX215" s="16"/>
      <c r="HY215" s="16"/>
      <c r="HZ215" s="15" t="str">
        <f t="shared" si="724"/>
        <v>NO APLICA</v>
      </c>
      <c r="IA215" s="16"/>
      <c r="IB215" s="16"/>
      <c r="IC215" s="16"/>
      <c r="ID215" s="16"/>
      <c r="IE215" s="15" t="str">
        <f t="shared" si="725"/>
        <v>NO APLICA</v>
      </c>
      <c r="IF215" s="16"/>
      <c r="IG215" s="16"/>
      <c r="IH215" s="16"/>
      <c r="II215" s="16"/>
      <c r="IJ215" s="15" t="str">
        <f t="shared" si="726"/>
        <v>NO APLICA</v>
      </c>
      <c r="IK215" s="16"/>
      <c r="IL215" s="16"/>
      <c r="IM215" s="16"/>
      <c r="IN215" s="16"/>
      <c r="IO215" s="15" t="str">
        <f t="shared" si="727"/>
        <v>NO APLICA</v>
      </c>
      <c r="IP215" s="16"/>
      <c r="IQ215" s="16"/>
      <c r="IR215" s="16"/>
      <c r="IS215" s="16"/>
      <c r="IT215" s="15" t="str">
        <f t="shared" si="728"/>
        <v>NO APLICA</v>
      </c>
      <c r="IU215" s="16"/>
      <c r="IV215" s="16"/>
      <c r="IW215" s="16"/>
      <c r="IX215" s="16"/>
      <c r="IY215" s="15" t="str">
        <f t="shared" si="729"/>
        <v>NO APLICA</v>
      </c>
      <c r="IZ215" s="16"/>
      <c r="JA215" s="16"/>
      <c r="JB215" s="16"/>
      <c r="JC215" s="16"/>
      <c r="JD215" s="15" t="str">
        <f t="shared" si="730"/>
        <v>NO APLICA</v>
      </c>
      <c r="JE215" s="16"/>
      <c r="JF215" s="16"/>
      <c r="JG215" s="16"/>
      <c r="JH215" s="16"/>
      <c r="JI215" s="15" t="str">
        <f t="shared" si="731"/>
        <v>NO APLICA</v>
      </c>
      <c r="JJ215" s="16"/>
      <c r="JK215" s="16"/>
      <c r="JL215" s="16"/>
      <c r="JM215" s="15" t="str">
        <f t="shared" si="732"/>
        <v>NO APLICA</v>
      </c>
      <c r="JN215" s="16"/>
      <c r="JO215" s="16"/>
      <c r="JP215" s="16"/>
      <c r="JQ215" s="15" t="str">
        <f t="shared" si="733"/>
        <v>NO APLICA</v>
      </c>
      <c r="JR215" s="16"/>
      <c r="JS215" s="16"/>
      <c r="JT215" s="16"/>
      <c r="JU215" s="16"/>
      <c r="JV215" s="15" t="str">
        <f t="shared" si="734"/>
        <v>NO APLICA</v>
      </c>
      <c r="JW215" s="15"/>
      <c r="JX215" s="15"/>
      <c r="JY215" s="15"/>
      <c r="JZ215" s="15"/>
      <c r="KA215" s="15" t="str">
        <f t="shared" si="735"/>
        <v>NO APLICA</v>
      </c>
      <c r="KB215" s="16"/>
      <c r="KC215" s="16"/>
      <c r="KD215" s="16"/>
      <c r="KE215" s="15" t="str">
        <f t="shared" si="736"/>
        <v>NO APLICA</v>
      </c>
      <c r="KF215" s="16"/>
      <c r="KG215" s="16"/>
      <c r="KH215" s="16"/>
      <c r="KI215" s="15" t="str">
        <f t="shared" si="749"/>
        <v>NO APLICA</v>
      </c>
      <c r="KJ215" s="16"/>
      <c r="KK215" s="16"/>
      <c r="KL215" s="16"/>
      <c r="KM215" s="15" t="str">
        <f t="shared" si="737"/>
        <v>NO APLICA</v>
      </c>
      <c r="KN215" s="16"/>
      <c r="KO215" s="16"/>
      <c r="KP215" s="16"/>
      <c r="KQ215" s="15" t="str">
        <f t="shared" si="750"/>
        <v>NO APLICA</v>
      </c>
      <c r="KR215" s="16"/>
      <c r="KS215" s="16"/>
      <c r="KT215" s="16"/>
      <c r="KU215" s="16"/>
      <c r="KV215" s="15" t="str">
        <f t="shared" si="755"/>
        <v>NO APLICA</v>
      </c>
      <c r="KW215" s="16"/>
      <c r="KX215" s="16"/>
      <c r="KY215" s="16"/>
      <c r="KZ215" s="15" t="str">
        <f t="shared" si="751"/>
        <v>NO APLICA</v>
      </c>
      <c r="LA215" s="16"/>
      <c r="LB215" s="16"/>
      <c r="LC215" s="16"/>
      <c r="LD215" s="16"/>
      <c r="LE215" s="15" t="str">
        <f t="shared" si="590"/>
        <v>NO APLICA</v>
      </c>
      <c r="LF215" s="15"/>
      <c r="LG215" s="15"/>
      <c r="LH215" s="14"/>
      <c r="LI215" s="65"/>
      <c r="LJ215" s="15" t="str">
        <f t="shared" si="756"/>
        <v>NO APLICA</v>
      </c>
      <c r="LK215" s="16"/>
      <c r="LL215" s="16"/>
      <c r="LM215" s="16"/>
      <c r="LN215" s="16"/>
      <c r="LO215" s="15" t="str">
        <f t="shared" si="752"/>
        <v>NO APLICA</v>
      </c>
      <c r="LP215" s="16"/>
      <c r="LQ215" s="16"/>
      <c r="LR215" s="16"/>
      <c r="LS215" s="16"/>
      <c r="LT215" s="15" t="str">
        <f t="shared" si="753"/>
        <v>NO APLICA</v>
      </c>
      <c r="LU215" s="16"/>
      <c r="LV215" s="16"/>
      <c r="LW215" s="16"/>
      <c r="LX215" s="16"/>
      <c r="LY215" s="15" t="str">
        <f t="shared" si="754"/>
        <v>NO APLICA</v>
      </c>
      <c r="LZ215" s="16"/>
      <c r="MA215" s="16"/>
      <c r="MB215" s="16"/>
      <c r="MC215" s="16"/>
      <c r="MD215" s="15" t="str">
        <f t="shared" si="738"/>
        <v>NO APLICA</v>
      </c>
      <c r="ME215" s="16"/>
      <c r="MF215" s="16"/>
      <c r="MG215" s="16"/>
      <c r="MH215" s="16"/>
      <c r="MI215" s="15" t="str">
        <f t="shared" si="739"/>
        <v>NO APLICA</v>
      </c>
      <c r="MJ215" s="16"/>
      <c r="MK215" s="16"/>
      <c r="ML215" s="16"/>
      <c r="MM215" s="15" t="str">
        <f t="shared" si="740"/>
        <v>NO APLICA</v>
      </c>
      <c r="MN215" s="16"/>
      <c r="MO215" s="16"/>
      <c r="MP215" s="16"/>
      <c r="MQ215" s="15" t="str">
        <f t="shared" si="741"/>
        <v>NO APLICA</v>
      </c>
      <c r="MR215" s="16"/>
      <c r="MS215" s="16"/>
      <c r="MT215" s="16"/>
      <c r="MU215" s="16"/>
      <c r="MV215" s="15" t="str">
        <f t="shared" si="742"/>
        <v>NO APLICA</v>
      </c>
      <c r="MW215" s="16"/>
      <c r="MX215" s="16"/>
      <c r="MY215" s="16"/>
      <c r="MZ215" s="16"/>
      <c r="NA215" s="15" t="str">
        <f t="shared" si="743"/>
        <v>NO APLICA</v>
      </c>
      <c r="NB215" s="16"/>
      <c r="NC215" s="16"/>
      <c r="ND215" s="16"/>
      <c r="NE215" s="16"/>
      <c r="NF215" s="15" t="str">
        <f t="shared" si="744"/>
        <v>NO APLICA</v>
      </c>
      <c r="NG215" s="16"/>
      <c r="NH215" s="16"/>
      <c r="NI215" s="16"/>
      <c r="NJ215" s="16"/>
      <c r="NK215" s="15" t="str">
        <f t="shared" si="745"/>
        <v>NO APLICA</v>
      </c>
      <c r="NL215" s="16"/>
      <c r="NM215" s="16"/>
      <c r="NN215" s="16"/>
      <c r="NO215" s="16"/>
      <c r="NP215" s="15" t="str">
        <f t="shared" si="746"/>
        <v>NO APLICA</v>
      </c>
      <c r="NQ215" s="16"/>
      <c r="NR215" s="16"/>
      <c r="NS215" s="16"/>
      <c r="NT215" s="16"/>
      <c r="NU215" s="15" t="str">
        <f t="shared" si="747"/>
        <v>NO APLICA</v>
      </c>
      <c r="NV215" s="16"/>
      <c r="NW215" s="16"/>
      <c r="NX215" s="16"/>
      <c r="NY215" s="16"/>
      <c r="NZ215" s="15" t="str">
        <f t="shared" si="748"/>
        <v>NO APLICA</v>
      </c>
    </row>
    <row r="216" spans="1:390" ht="15.6" thickTop="1" thickBot="1" x14ac:dyDescent="0.35">
      <c r="A216" s="11">
        <v>610</v>
      </c>
      <c r="B216" s="10" t="s">
        <v>721</v>
      </c>
      <c r="C216" s="21" t="s">
        <v>699</v>
      </c>
      <c r="D216" s="64" t="s">
        <v>722</v>
      </c>
      <c r="E216" s="16"/>
      <c r="F216" s="16"/>
      <c r="G216" s="16"/>
      <c r="H216" s="16"/>
      <c r="I216" s="15" t="str">
        <f t="shared" si="688"/>
        <v>NO APLICA</v>
      </c>
      <c r="J216" s="16"/>
      <c r="K216" s="16"/>
      <c r="L216" s="16"/>
      <c r="M216" s="16"/>
      <c r="N216" s="15" t="str">
        <f t="shared" si="691"/>
        <v>NO APLICA</v>
      </c>
      <c r="O216" s="16"/>
      <c r="P216" s="16"/>
      <c r="Q216" s="16"/>
      <c r="R216" s="16"/>
      <c r="S216" s="15" t="str">
        <f t="shared" si="689"/>
        <v>NO APLICA</v>
      </c>
      <c r="T216" s="16"/>
      <c r="U216" s="14"/>
      <c r="V216" s="14"/>
      <c r="W216" s="14"/>
      <c r="X216" s="65"/>
      <c r="Y216" s="15" t="str">
        <f t="shared" si="595"/>
        <v>NO APLICA</v>
      </c>
      <c r="Z216" s="16"/>
      <c r="AA216" s="16"/>
      <c r="AB216" s="16"/>
      <c r="AC216" s="16"/>
      <c r="AD216" s="16"/>
      <c r="AE216" s="15" t="str">
        <f t="shared" si="598"/>
        <v>NO APLICA</v>
      </c>
      <c r="AF216" s="14"/>
      <c r="AG216" s="14"/>
      <c r="AH216" s="14"/>
      <c r="AI216" s="16"/>
      <c r="AJ216" s="15" t="str">
        <f t="shared" si="592"/>
        <v>NO APLICA</v>
      </c>
      <c r="AK216" s="14"/>
      <c r="AL216" s="14"/>
      <c r="AM216" s="14"/>
      <c r="AN216" s="16"/>
      <c r="AO216" s="15" t="str">
        <f t="shared" si="692"/>
        <v>NO APLICA</v>
      </c>
      <c r="AP216" s="14"/>
      <c r="AQ216" s="14"/>
      <c r="AR216" s="14"/>
      <c r="AS216" s="16"/>
      <c r="AT216" s="15" t="str">
        <f t="shared" si="693"/>
        <v>NO APLICA</v>
      </c>
      <c r="AU216" s="14"/>
      <c r="AV216" s="14"/>
      <c r="AW216" s="14"/>
      <c r="AX216" s="16"/>
      <c r="AY216" s="15" t="str">
        <f t="shared" si="694"/>
        <v>NO APLICA</v>
      </c>
      <c r="AZ216" s="14"/>
      <c r="BA216" s="14"/>
      <c r="BB216" s="14"/>
      <c r="BC216" s="16"/>
      <c r="BD216" s="15" t="str">
        <f t="shared" si="695"/>
        <v>NO APLICA</v>
      </c>
      <c r="BE216" s="14"/>
      <c r="BF216" s="14"/>
      <c r="BG216" s="14"/>
      <c r="BH216" s="16"/>
      <c r="BI216" s="15" t="str">
        <f t="shared" si="696"/>
        <v>NO APLICA</v>
      </c>
      <c r="BJ216" s="14"/>
      <c r="BK216" s="14"/>
      <c r="BL216" s="14"/>
      <c r="BM216" s="16"/>
      <c r="BN216" s="15" t="str">
        <f t="shared" si="697"/>
        <v>NO APLICA</v>
      </c>
      <c r="BO216" s="14"/>
      <c r="BP216" s="14"/>
      <c r="BQ216" s="14"/>
      <c r="BR216" s="16"/>
      <c r="BS216" s="15" t="str">
        <f t="shared" si="698"/>
        <v>NO APLICA</v>
      </c>
      <c r="BT216" s="14"/>
      <c r="BU216" s="14"/>
      <c r="BV216" s="14"/>
      <c r="BW216" s="16"/>
      <c r="BX216" s="15" t="str">
        <f t="shared" si="699"/>
        <v>NO APLICA</v>
      </c>
      <c r="BY216" s="14"/>
      <c r="BZ216" s="14"/>
      <c r="CA216" s="14"/>
      <c r="CB216" s="16"/>
      <c r="CC216" s="15" t="str">
        <f t="shared" si="700"/>
        <v>NO APLICA</v>
      </c>
      <c r="CD216" s="16"/>
      <c r="CE216" s="16"/>
      <c r="CF216" s="16"/>
      <c r="CG216" s="16"/>
      <c r="CH216" s="16"/>
      <c r="CI216" s="15" t="str">
        <f t="shared" si="758"/>
        <v>NO APLICA</v>
      </c>
      <c r="CJ216" s="14"/>
      <c r="CK216" s="14"/>
      <c r="CL216" s="14"/>
      <c r="CM216" s="16"/>
      <c r="CN216" s="15" t="str">
        <f t="shared" si="701"/>
        <v>NO APLICA</v>
      </c>
      <c r="CO216" s="14"/>
      <c r="CP216" s="14"/>
      <c r="CQ216" s="14"/>
      <c r="CR216" s="16"/>
      <c r="CS216" s="15" t="str">
        <f t="shared" si="702"/>
        <v>NO APLICA</v>
      </c>
      <c r="CT216" s="14"/>
      <c r="CU216" s="14"/>
      <c r="CV216" s="14"/>
      <c r="CW216" s="16"/>
      <c r="CX216" s="15" t="str">
        <f t="shared" si="703"/>
        <v>NO APLICA</v>
      </c>
      <c r="CY216" s="14"/>
      <c r="CZ216" s="14"/>
      <c r="DA216" s="14"/>
      <c r="DB216" s="16"/>
      <c r="DC216" s="15" t="str">
        <f t="shared" si="704"/>
        <v>NO APLICA</v>
      </c>
      <c r="DD216" s="14"/>
      <c r="DE216" s="14"/>
      <c r="DF216" s="14"/>
      <c r="DG216" s="16"/>
      <c r="DH216" s="15" t="str">
        <f t="shared" si="705"/>
        <v>NO APLICA</v>
      </c>
      <c r="DI216" s="14"/>
      <c r="DJ216" s="14"/>
      <c r="DK216" s="14"/>
      <c r="DL216" s="16"/>
      <c r="DM216" s="15" t="str">
        <f t="shared" si="706"/>
        <v>NO APLICA</v>
      </c>
      <c r="DN216" s="14"/>
      <c r="DO216" s="14"/>
      <c r="DP216" s="14"/>
      <c r="DQ216" s="16"/>
      <c r="DR216" s="15" t="str">
        <f t="shared" si="707"/>
        <v>NO APLICA</v>
      </c>
      <c r="DS216" s="14"/>
      <c r="DT216" s="14"/>
      <c r="DU216" s="14"/>
      <c r="DV216" s="16"/>
      <c r="DW216" s="15" t="str">
        <f t="shared" si="708"/>
        <v>NO APLICA</v>
      </c>
      <c r="DX216" s="14"/>
      <c r="DY216" s="14"/>
      <c r="DZ216" s="14"/>
      <c r="EA216" s="16"/>
      <c r="EB216" s="15" t="str">
        <f t="shared" si="709"/>
        <v>NO APLICA</v>
      </c>
      <c r="EC216" s="14"/>
      <c r="ED216" s="14"/>
      <c r="EE216" s="14"/>
      <c r="EF216" s="16"/>
      <c r="EG216" s="15" t="str">
        <f t="shared" si="710"/>
        <v>NO APLICA</v>
      </c>
      <c r="EH216" s="14"/>
      <c r="EI216" s="14"/>
      <c r="EJ216" s="14"/>
      <c r="EK216" s="14"/>
      <c r="EL216" s="14"/>
      <c r="EM216" s="65"/>
      <c r="EN216" s="15" t="str">
        <f t="shared" si="711"/>
        <v>NO APLICA</v>
      </c>
      <c r="EO216" s="14"/>
      <c r="EP216" s="14"/>
      <c r="EQ216" s="14"/>
      <c r="ER216" s="65"/>
      <c r="ES216" s="15" t="str">
        <f t="shared" si="712"/>
        <v>NO APLICA</v>
      </c>
      <c r="ET216" s="14"/>
      <c r="EU216" s="14"/>
      <c r="EV216" s="14"/>
      <c r="EW216" s="65"/>
      <c r="EX216" s="15" t="str">
        <f t="shared" si="713"/>
        <v>NO APLICA</v>
      </c>
      <c r="EY216" s="14"/>
      <c r="EZ216" s="14"/>
      <c r="FA216" s="14"/>
      <c r="FB216" s="16"/>
      <c r="FC216" s="15" t="str">
        <f t="shared" si="714"/>
        <v>NO APLICA</v>
      </c>
      <c r="FD216" s="14"/>
      <c r="FE216" s="14"/>
      <c r="FF216" s="14"/>
      <c r="FG216" s="16"/>
      <c r="FH216" s="15" t="str">
        <f t="shared" si="715"/>
        <v>NO APLICA</v>
      </c>
      <c r="FI216" s="14"/>
      <c r="FJ216" s="14"/>
      <c r="FK216" s="14"/>
      <c r="FL216" s="16"/>
      <c r="FM216" s="15" t="str">
        <f t="shared" si="716"/>
        <v>NO APLICA</v>
      </c>
      <c r="FN216" s="14"/>
      <c r="FO216" s="14"/>
      <c r="FP216" s="14"/>
      <c r="FQ216" s="16"/>
      <c r="FR216" s="15" t="str">
        <f t="shared" si="717"/>
        <v>NO APLICA</v>
      </c>
      <c r="FS216" s="14"/>
      <c r="FT216" s="14"/>
      <c r="FU216" s="14"/>
      <c r="FV216" s="16"/>
      <c r="FW216" s="15" t="str">
        <f t="shared" si="718"/>
        <v>NO APLICA</v>
      </c>
      <c r="FX216" s="14"/>
      <c r="FY216" s="14"/>
      <c r="FZ216" s="14"/>
      <c r="GA216" s="16"/>
      <c r="GB216" s="15" t="str">
        <f t="shared" si="719"/>
        <v>NO APLICA</v>
      </c>
      <c r="GC216" s="14"/>
      <c r="GD216" s="14"/>
      <c r="GE216" s="14"/>
      <c r="GF216" s="16"/>
      <c r="GG216" s="15" t="str">
        <f t="shared" si="720"/>
        <v>NO APLICA</v>
      </c>
      <c r="GH216" s="14"/>
      <c r="GI216" s="14"/>
      <c r="GJ216" s="14"/>
      <c r="GK216" s="65"/>
      <c r="GL216" s="15" t="str">
        <f t="shared" si="721"/>
        <v>NO APLICA</v>
      </c>
      <c r="GM216" s="14"/>
      <c r="GN216" s="16"/>
      <c r="GO216" s="16"/>
      <c r="GP216" s="16"/>
      <c r="GQ216" s="15" t="str">
        <f t="shared" si="722"/>
        <v>NO APLICA</v>
      </c>
      <c r="GR216" s="14"/>
      <c r="GS216" s="16"/>
      <c r="GT216" s="16"/>
      <c r="GU216" s="16"/>
      <c r="GV216" s="15" t="str">
        <f t="shared" si="601"/>
        <v>NO APLICA</v>
      </c>
      <c r="GW216" s="14"/>
      <c r="GX216" s="16"/>
      <c r="GY216" s="16"/>
      <c r="GZ216" s="16"/>
      <c r="HA216" s="15" t="str">
        <f t="shared" si="602"/>
        <v>NO APLICA</v>
      </c>
      <c r="HB216" s="16"/>
      <c r="HC216" s="16"/>
      <c r="HD216" s="16"/>
      <c r="HE216" s="16"/>
      <c r="HF216" s="15" t="str">
        <f t="shared" si="603"/>
        <v>NO APLICA</v>
      </c>
      <c r="HG216" s="16"/>
      <c r="HH216" s="16"/>
      <c r="HI216" s="14"/>
      <c r="HJ216" s="65"/>
      <c r="HK216" s="15" t="str">
        <f t="shared" si="690"/>
        <v>NO APLICA</v>
      </c>
      <c r="HL216" s="16"/>
      <c r="HM216" s="16"/>
      <c r="HN216" s="16"/>
      <c r="HO216" s="16"/>
      <c r="HP216" s="15" t="str">
        <f t="shared" si="686"/>
        <v>NO APLICA</v>
      </c>
      <c r="HQ216" s="16"/>
      <c r="HR216" s="16"/>
      <c r="HS216" s="16"/>
      <c r="HT216" s="16"/>
      <c r="HU216" s="15" t="str">
        <f t="shared" si="723"/>
        <v>NO APLICA</v>
      </c>
      <c r="HV216" s="16"/>
      <c r="HW216" s="16"/>
      <c r="HX216" s="16"/>
      <c r="HY216" s="16"/>
      <c r="HZ216" s="15" t="str">
        <f t="shared" si="724"/>
        <v>NO APLICA</v>
      </c>
      <c r="IA216" s="16"/>
      <c r="IB216" s="16"/>
      <c r="IC216" s="16"/>
      <c r="ID216" s="16"/>
      <c r="IE216" s="15" t="str">
        <f t="shared" si="725"/>
        <v>NO APLICA</v>
      </c>
      <c r="IF216" s="16"/>
      <c r="IG216" s="16"/>
      <c r="IH216" s="16"/>
      <c r="II216" s="16"/>
      <c r="IJ216" s="15" t="str">
        <f t="shared" si="726"/>
        <v>NO APLICA</v>
      </c>
      <c r="IK216" s="16"/>
      <c r="IL216" s="16"/>
      <c r="IM216" s="16"/>
      <c r="IN216" s="16"/>
      <c r="IO216" s="15" t="str">
        <f t="shared" si="727"/>
        <v>NO APLICA</v>
      </c>
      <c r="IP216" s="16"/>
      <c r="IQ216" s="16"/>
      <c r="IR216" s="16"/>
      <c r="IS216" s="16"/>
      <c r="IT216" s="15" t="str">
        <f t="shared" si="728"/>
        <v>NO APLICA</v>
      </c>
      <c r="IU216" s="16"/>
      <c r="IV216" s="16"/>
      <c r="IW216" s="16"/>
      <c r="IX216" s="16"/>
      <c r="IY216" s="15" t="str">
        <f t="shared" si="729"/>
        <v>NO APLICA</v>
      </c>
      <c r="IZ216" s="16"/>
      <c r="JA216" s="16"/>
      <c r="JB216" s="16"/>
      <c r="JC216" s="16"/>
      <c r="JD216" s="15" t="str">
        <f t="shared" si="730"/>
        <v>NO APLICA</v>
      </c>
      <c r="JE216" s="13">
        <v>45878</v>
      </c>
      <c r="JF216" s="13">
        <v>45879</v>
      </c>
      <c r="JG216" s="16"/>
      <c r="JH216" s="16"/>
      <c r="JI216" s="15" t="b">
        <f t="shared" si="731"/>
        <v>0</v>
      </c>
      <c r="JJ216" s="16"/>
      <c r="JK216" s="16"/>
      <c r="JL216" s="16"/>
      <c r="JM216" s="15" t="str">
        <f t="shared" si="732"/>
        <v>NO APLICA</v>
      </c>
      <c r="JN216" s="16"/>
      <c r="JO216" s="16"/>
      <c r="JP216" s="16"/>
      <c r="JQ216" s="15" t="str">
        <f t="shared" si="733"/>
        <v>NO APLICA</v>
      </c>
      <c r="JR216" s="14">
        <v>45919</v>
      </c>
      <c r="JS216" s="14">
        <v>45920</v>
      </c>
      <c r="JT216" s="16"/>
      <c r="JU216" s="16"/>
      <c r="JV216" s="15" t="b">
        <f t="shared" si="734"/>
        <v>0</v>
      </c>
      <c r="JW216" s="15"/>
      <c r="JX216" s="13">
        <v>45948</v>
      </c>
      <c r="JY216" s="14">
        <f>DATE(YEAR(JX216)+2,MONTH(JX216),DAY(JX216))</f>
        <v>46678</v>
      </c>
      <c r="JZ216" s="65">
        <f ca="1">JY216-TODAY()</f>
        <v>547</v>
      </c>
      <c r="KA216" s="15" t="str">
        <f ca="1">IF(JZ216&gt;=61,"VIGENTE",IF(JZ216&gt;=1,"POR VENCER",IF(JZ216&lt;=-1,"VENCIDA",IF(JX216=0,"NO APLICA"))))</f>
        <v>VIGENTE</v>
      </c>
      <c r="KB216" s="16"/>
      <c r="KC216" s="16"/>
      <c r="KD216" s="16"/>
      <c r="KE216" s="15" t="str">
        <f t="shared" si="736"/>
        <v>NO APLICA</v>
      </c>
      <c r="KF216" s="16"/>
      <c r="KG216" s="16"/>
      <c r="KH216" s="16"/>
      <c r="KI216" s="15" t="str">
        <f t="shared" si="749"/>
        <v>NO APLICA</v>
      </c>
      <c r="KJ216" s="16"/>
      <c r="KK216" s="16"/>
      <c r="KL216" s="16"/>
      <c r="KM216" s="15" t="str">
        <f t="shared" si="737"/>
        <v>NO APLICA</v>
      </c>
      <c r="KN216" s="16"/>
      <c r="KO216" s="16"/>
      <c r="KP216" s="16"/>
      <c r="KQ216" s="15" t="str">
        <f t="shared" si="750"/>
        <v>NO APLICA</v>
      </c>
      <c r="KR216" s="16"/>
      <c r="KS216" s="16"/>
      <c r="KT216" s="16"/>
      <c r="KU216" s="16"/>
      <c r="KV216" s="15" t="str">
        <f t="shared" si="755"/>
        <v>NO APLICA</v>
      </c>
      <c r="KW216" s="16"/>
      <c r="KX216" s="16"/>
      <c r="KY216" s="16"/>
      <c r="KZ216" s="15" t="str">
        <f t="shared" si="751"/>
        <v>NO APLICA</v>
      </c>
      <c r="LA216" s="16"/>
      <c r="LB216" s="16"/>
      <c r="LC216" s="16"/>
      <c r="LD216" s="16"/>
      <c r="LE216" s="15" t="str">
        <f t="shared" si="590"/>
        <v>NO APLICA</v>
      </c>
      <c r="LF216" s="15"/>
      <c r="LG216" s="15"/>
      <c r="LH216" s="14"/>
      <c r="LI216" s="65"/>
      <c r="LJ216" s="15" t="str">
        <f t="shared" si="756"/>
        <v>NO APLICA</v>
      </c>
      <c r="LK216" s="16"/>
      <c r="LL216" s="16"/>
      <c r="LM216" s="16"/>
      <c r="LN216" s="16"/>
      <c r="LO216" s="15" t="str">
        <f t="shared" si="752"/>
        <v>NO APLICA</v>
      </c>
      <c r="LP216" s="16"/>
      <c r="LQ216" s="16"/>
      <c r="LR216" s="16"/>
      <c r="LS216" s="16"/>
      <c r="LT216" s="15" t="str">
        <f t="shared" si="753"/>
        <v>NO APLICA</v>
      </c>
      <c r="LU216" s="16"/>
      <c r="LV216" s="16"/>
      <c r="LW216" s="16"/>
      <c r="LX216" s="16"/>
      <c r="LY216" s="15" t="str">
        <f t="shared" si="754"/>
        <v>NO APLICA</v>
      </c>
      <c r="LZ216" s="16"/>
      <c r="MA216" s="16"/>
      <c r="MB216" s="16"/>
      <c r="MC216" s="16"/>
      <c r="MD216" s="15" t="str">
        <f t="shared" si="738"/>
        <v>NO APLICA</v>
      </c>
      <c r="ME216" s="16"/>
      <c r="MF216" s="16"/>
      <c r="MG216" s="16"/>
      <c r="MH216" s="16"/>
      <c r="MI216" s="15" t="str">
        <f t="shared" si="739"/>
        <v>NO APLICA</v>
      </c>
      <c r="MJ216" s="16"/>
      <c r="MK216" s="16"/>
      <c r="ML216" s="16"/>
      <c r="MM216" s="15" t="str">
        <f t="shared" si="740"/>
        <v>NO APLICA</v>
      </c>
      <c r="MN216" s="16"/>
      <c r="MO216" s="16"/>
      <c r="MP216" s="16"/>
      <c r="MQ216" s="15" t="str">
        <f t="shared" si="741"/>
        <v>NO APLICA</v>
      </c>
      <c r="MR216" s="16"/>
      <c r="MS216" s="16"/>
      <c r="MT216" s="16"/>
      <c r="MU216" s="16"/>
      <c r="MV216" s="15" t="str">
        <f t="shared" si="742"/>
        <v>NO APLICA</v>
      </c>
      <c r="MW216" s="16"/>
      <c r="MX216" s="16"/>
      <c r="MY216" s="16"/>
      <c r="MZ216" s="16"/>
      <c r="NA216" s="15" t="str">
        <f t="shared" si="743"/>
        <v>NO APLICA</v>
      </c>
      <c r="NB216" s="16"/>
      <c r="NC216" s="16"/>
      <c r="ND216" s="16"/>
      <c r="NE216" s="16"/>
      <c r="NF216" s="15" t="str">
        <f t="shared" si="744"/>
        <v>NO APLICA</v>
      </c>
      <c r="NG216" s="16"/>
      <c r="NH216" s="16"/>
      <c r="NI216" s="16"/>
      <c r="NJ216" s="16"/>
      <c r="NK216" s="15" t="str">
        <f t="shared" si="745"/>
        <v>NO APLICA</v>
      </c>
      <c r="NL216" s="16"/>
      <c r="NM216" s="16"/>
      <c r="NN216" s="16"/>
      <c r="NO216" s="16"/>
      <c r="NP216" s="15" t="str">
        <f t="shared" si="746"/>
        <v>NO APLICA</v>
      </c>
      <c r="NQ216" s="16"/>
      <c r="NR216" s="16"/>
      <c r="NS216" s="16"/>
      <c r="NT216" s="16"/>
      <c r="NU216" s="15" t="str">
        <f t="shared" si="747"/>
        <v>NO APLICA</v>
      </c>
      <c r="NV216" s="16"/>
      <c r="NW216" s="16"/>
      <c r="NX216" s="16"/>
      <c r="NY216" s="16"/>
      <c r="NZ216" s="15" t="str">
        <f t="shared" si="748"/>
        <v>NO APLICA</v>
      </c>
    </row>
    <row r="217" spans="1:390" ht="15.6" thickTop="1" thickBot="1" x14ac:dyDescent="0.35">
      <c r="A217" s="11">
        <v>1635</v>
      </c>
      <c r="B217" s="10" t="s">
        <v>723</v>
      </c>
      <c r="C217" s="21" t="s">
        <v>151</v>
      </c>
      <c r="D217" s="64" t="s">
        <v>724</v>
      </c>
      <c r="E217" s="16"/>
      <c r="F217" s="16"/>
      <c r="G217" s="16"/>
      <c r="H217" s="16"/>
      <c r="I217" s="15" t="str">
        <f t="shared" si="688"/>
        <v>NO APLICA</v>
      </c>
      <c r="J217" s="16"/>
      <c r="K217" s="16"/>
      <c r="L217" s="16"/>
      <c r="M217" s="16"/>
      <c r="N217" s="15" t="str">
        <f t="shared" si="691"/>
        <v>NO APLICA</v>
      </c>
      <c r="O217" s="16"/>
      <c r="P217" s="16"/>
      <c r="Q217" s="16"/>
      <c r="R217" s="16"/>
      <c r="S217" s="15" t="str">
        <f t="shared" si="689"/>
        <v>NO APLICA</v>
      </c>
      <c r="T217" s="16"/>
      <c r="U217" s="14"/>
      <c r="V217" s="14"/>
      <c r="W217" s="14"/>
      <c r="X217" s="65"/>
      <c r="Y217" s="15" t="str">
        <f t="shared" si="595"/>
        <v>NO APLICA</v>
      </c>
      <c r="Z217" s="16"/>
      <c r="AA217" s="16"/>
      <c r="AB217" s="16"/>
      <c r="AC217" s="16"/>
      <c r="AD217" s="16"/>
      <c r="AE217" s="15" t="str">
        <f t="shared" si="598"/>
        <v>NO APLICA</v>
      </c>
      <c r="AF217" s="14"/>
      <c r="AG217" s="14"/>
      <c r="AH217" s="14"/>
      <c r="AI217" s="16"/>
      <c r="AJ217" s="15" t="str">
        <f t="shared" si="592"/>
        <v>NO APLICA</v>
      </c>
      <c r="AK217" s="14"/>
      <c r="AL217" s="14"/>
      <c r="AM217" s="14"/>
      <c r="AN217" s="16"/>
      <c r="AO217" s="15" t="str">
        <f t="shared" si="692"/>
        <v>NO APLICA</v>
      </c>
      <c r="AP217" s="14"/>
      <c r="AQ217" s="14"/>
      <c r="AR217" s="14"/>
      <c r="AS217" s="16"/>
      <c r="AT217" s="15" t="str">
        <f t="shared" si="693"/>
        <v>NO APLICA</v>
      </c>
      <c r="AU217" s="14"/>
      <c r="AV217" s="14"/>
      <c r="AW217" s="14"/>
      <c r="AX217" s="16"/>
      <c r="AY217" s="15" t="str">
        <f t="shared" si="694"/>
        <v>NO APLICA</v>
      </c>
      <c r="AZ217" s="14"/>
      <c r="BA217" s="14"/>
      <c r="BB217" s="14"/>
      <c r="BC217" s="16"/>
      <c r="BD217" s="15" t="str">
        <f t="shared" si="695"/>
        <v>NO APLICA</v>
      </c>
      <c r="BE217" s="14"/>
      <c r="BF217" s="14"/>
      <c r="BG217" s="14"/>
      <c r="BH217" s="16"/>
      <c r="BI217" s="15" t="str">
        <f t="shared" si="696"/>
        <v>NO APLICA</v>
      </c>
      <c r="BJ217" s="14"/>
      <c r="BK217" s="14"/>
      <c r="BL217" s="14"/>
      <c r="BM217" s="16"/>
      <c r="BN217" s="15" t="str">
        <f t="shared" si="697"/>
        <v>NO APLICA</v>
      </c>
      <c r="BO217" s="14"/>
      <c r="BP217" s="14"/>
      <c r="BQ217" s="14"/>
      <c r="BR217" s="16"/>
      <c r="BS217" s="15" t="str">
        <f t="shared" si="698"/>
        <v>NO APLICA</v>
      </c>
      <c r="BT217" s="14"/>
      <c r="BU217" s="14"/>
      <c r="BV217" s="14"/>
      <c r="BW217" s="16"/>
      <c r="BX217" s="15" t="str">
        <f t="shared" si="699"/>
        <v>NO APLICA</v>
      </c>
      <c r="BY217" s="14"/>
      <c r="BZ217" s="14"/>
      <c r="CA217" s="14"/>
      <c r="CB217" s="16"/>
      <c r="CC217" s="15" t="str">
        <f t="shared" si="700"/>
        <v>NO APLICA</v>
      </c>
      <c r="CD217" s="16"/>
      <c r="CE217" s="16"/>
      <c r="CF217" s="16"/>
      <c r="CG217" s="16"/>
      <c r="CH217" s="16"/>
      <c r="CI217" s="15" t="str">
        <f t="shared" si="758"/>
        <v>NO APLICA</v>
      </c>
      <c r="CJ217" s="14"/>
      <c r="CK217" s="14"/>
      <c r="CL217" s="14"/>
      <c r="CM217" s="16"/>
      <c r="CN217" s="15" t="str">
        <f t="shared" si="701"/>
        <v>NO APLICA</v>
      </c>
      <c r="CO217" s="14"/>
      <c r="CP217" s="14"/>
      <c r="CQ217" s="14"/>
      <c r="CR217" s="16"/>
      <c r="CS217" s="15" t="str">
        <f t="shared" si="702"/>
        <v>NO APLICA</v>
      </c>
      <c r="CT217" s="14"/>
      <c r="CU217" s="14"/>
      <c r="CV217" s="14"/>
      <c r="CW217" s="16"/>
      <c r="CX217" s="15" t="str">
        <f t="shared" si="703"/>
        <v>NO APLICA</v>
      </c>
      <c r="CY217" s="14"/>
      <c r="CZ217" s="14"/>
      <c r="DA217" s="14"/>
      <c r="DB217" s="16"/>
      <c r="DC217" s="15" t="str">
        <f t="shared" si="704"/>
        <v>NO APLICA</v>
      </c>
      <c r="DD217" s="14"/>
      <c r="DE217" s="14"/>
      <c r="DF217" s="14"/>
      <c r="DG217" s="16"/>
      <c r="DH217" s="15" t="str">
        <f t="shared" si="705"/>
        <v>NO APLICA</v>
      </c>
      <c r="DI217" s="14"/>
      <c r="DJ217" s="14"/>
      <c r="DK217" s="14"/>
      <c r="DL217" s="16"/>
      <c r="DM217" s="15" t="str">
        <f t="shared" si="706"/>
        <v>NO APLICA</v>
      </c>
      <c r="DN217" s="14"/>
      <c r="DO217" s="14"/>
      <c r="DP217" s="14"/>
      <c r="DQ217" s="16"/>
      <c r="DR217" s="15" t="str">
        <f t="shared" si="707"/>
        <v>NO APLICA</v>
      </c>
      <c r="DS217" s="14"/>
      <c r="DT217" s="14"/>
      <c r="DU217" s="14"/>
      <c r="DV217" s="16"/>
      <c r="DW217" s="15" t="str">
        <f t="shared" si="708"/>
        <v>NO APLICA</v>
      </c>
      <c r="DX217" s="14"/>
      <c r="DY217" s="14"/>
      <c r="DZ217" s="14"/>
      <c r="EA217" s="16"/>
      <c r="EB217" s="15" t="str">
        <f t="shared" si="709"/>
        <v>NO APLICA</v>
      </c>
      <c r="EC217" s="14"/>
      <c r="ED217" s="14"/>
      <c r="EE217" s="14"/>
      <c r="EF217" s="16"/>
      <c r="EG217" s="15" t="str">
        <f t="shared" si="710"/>
        <v>NO APLICA</v>
      </c>
      <c r="EH217" s="14"/>
      <c r="EI217" s="14"/>
      <c r="EJ217" s="14"/>
      <c r="EK217" s="14"/>
      <c r="EL217" s="14"/>
      <c r="EM217" s="65"/>
      <c r="EN217" s="15" t="str">
        <f t="shared" si="711"/>
        <v>NO APLICA</v>
      </c>
      <c r="EO217" s="14"/>
      <c r="EP217" s="14"/>
      <c r="EQ217" s="14"/>
      <c r="ER217" s="65"/>
      <c r="ES217" s="15" t="str">
        <f t="shared" si="712"/>
        <v>NO APLICA</v>
      </c>
      <c r="ET217" s="14"/>
      <c r="EU217" s="14"/>
      <c r="EV217" s="14"/>
      <c r="EW217" s="65"/>
      <c r="EX217" s="15" t="str">
        <f t="shared" si="713"/>
        <v>NO APLICA</v>
      </c>
      <c r="EY217" s="14"/>
      <c r="EZ217" s="14"/>
      <c r="FA217" s="14"/>
      <c r="FB217" s="16"/>
      <c r="FC217" s="15" t="str">
        <f t="shared" si="714"/>
        <v>NO APLICA</v>
      </c>
      <c r="FD217" s="14"/>
      <c r="FE217" s="14"/>
      <c r="FF217" s="14"/>
      <c r="FG217" s="16"/>
      <c r="FH217" s="15" t="str">
        <f t="shared" si="715"/>
        <v>NO APLICA</v>
      </c>
      <c r="FI217" s="14"/>
      <c r="FJ217" s="14"/>
      <c r="FK217" s="14"/>
      <c r="FL217" s="16"/>
      <c r="FM217" s="15" t="str">
        <f t="shared" si="716"/>
        <v>NO APLICA</v>
      </c>
      <c r="FN217" s="14"/>
      <c r="FO217" s="14"/>
      <c r="FP217" s="14"/>
      <c r="FQ217" s="16"/>
      <c r="FR217" s="15" t="str">
        <f t="shared" si="717"/>
        <v>NO APLICA</v>
      </c>
      <c r="FS217" s="14"/>
      <c r="FT217" s="14"/>
      <c r="FU217" s="14"/>
      <c r="FV217" s="16"/>
      <c r="FW217" s="15" t="str">
        <f t="shared" si="718"/>
        <v>NO APLICA</v>
      </c>
      <c r="FX217" s="14"/>
      <c r="FY217" s="14"/>
      <c r="FZ217" s="14"/>
      <c r="GA217" s="16"/>
      <c r="GB217" s="15" t="str">
        <f t="shared" si="719"/>
        <v>NO APLICA</v>
      </c>
      <c r="GC217" s="14"/>
      <c r="GD217" s="14"/>
      <c r="GE217" s="14"/>
      <c r="GF217" s="16"/>
      <c r="GG217" s="15" t="str">
        <f t="shared" si="720"/>
        <v>NO APLICA</v>
      </c>
      <c r="GH217" s="14"/>
      <c r="GI217" s="14"/>
      <c r="GJ217" s="14"/>
      <c r="GK217" s="65"/>
      <c r="GL217" s="15" t="str">
        <f t="shared" si="721"/>
        <v>NO APLICA</v>
      </c>
      <c r="GM217" s="14"/>
      <c r="GN217" s="16"/>
      <c r="GO217" s="16"/>
      <c r="GP217" s="16"/>
      <c r="GQ217" s="15" t="str">
        <f t="shared" si="722"/>
        <v>NO APLICA</v>
      </c>
      <c r="GR217" s="14"/>
      <c r="GS217" s="16"/>
      <c r="GT217" s="16"/>
      <c r="GU217" s="16"/>
      <c r="GV217" s="15" t="str">
        <f t="shared" si="601"/>
        <v>NO APLICA</v>
      </c>
      <c r="GW217" s="14"/>
      <c r="GX217" s="16"/>
      <c r="GY217" s="16"/>
      <c r="GZ217" s="16"/>
      <c r="HA217" s="15" t="str">
        <f t="shared" si="602"/>
        <v>NO APLICA</v>
      </c>
      <c r="HB217" s="16"/>
      <c r="HC217" s="16"/>
      <c r="HD217" s="16"/>
      <c r="HE217" s="16"/>
      <c r="HF217" s="15" t="str">
        <f t="shared" si="603"/>
        <v>NO APLICA</v>
      </c>
      <c r="HG217" s="16"/>
      <c r="HH217" s="16"/>
      <c r="HI217" s="14"/>
      <c r="HJ217" s="65"/>
      <c r="HK217" s="15" t="str">
        <f t="shared" si="690"/>
        <v>NO APLICA</v>
      </c>
      <c r="HL217" s="16"/>
      <c r="HM217" s="16"/>
      <c r="HN217" s="16"/>
      <c r="HO217" s="16"/>
      <c r="HP217" s="15" t="str">
        <f t="shared" si="686"/>
        <v>NO APLICA</v>
      </c>
      <c r="HQ217" s="16"/>
      <c r="HR217" s="16"/>
      <c r="HS217" s="16"/>
      <c r="HT217" s="16"/>
      <c r="HU217" s="15" t="str">
        <f t="shared" si="723"/>
        <v>NO APLICA</v>
      </c>
      <c r="HV217" s="16"/>
      <c r="HW217" s="16"/>
      <c r="HX217" s="16"/>
      <c r="HY217" s="16"/>
      <c r="HZ217" s="15" t="str">
        <f t="shared" si="724"/>
        <v>NO APLICA</v>
      </c>
      <c r="IA217" s="16"/>
      <c r="IB217" s="16"/>
      <c r="IC217" s="16"/>
      <c r="ID217" s="16"/>
      <c r="IE217" s="15" t="str">
        <f t="shared" si="725"/>
        <v>NO APLICA</v>
      </c>
      <c r="IF217" s="16"/>
      <c r="IG217" s="16"/>
      <c r="IH217" s="16"/>
      <c r="II217" s="16"/>
      <c r="IJ217" s="15" t="str">
        <f t="shared" si="726"/>
        <v>NO APLICA</v>
      </c>
      <c r="IK217" s="16"/>
      <c r="IL217" s="16"/>
      <c r="IM217" s="16"/>
      <c r="IN217" s="16"/>
      <c r="IO217" s="15" t="str">
        <f t="shared" si="727"/>
        <v>NO APLICA</v>
      </c>
      <c r="IP217" s="16"/>
      <c r="IQ217" s="16"/>
      <c r="IR217" s="16"/>
      <c r="IS217" s="16"/>
      <c r="IT217" s="15" t="str">
        <f t="shared" si="728"/>
        <v>NO APLICA</v>
      </c>
      <c r="IU217" s="16"/>
      <c r="IV217" s="16"/>
      <c r="IW217" s="16"/>
      <c r="IX217" s="16"/>
      <c r="IY217" s="15" t="str">
        <f t="shared" si="729"/>
        <v>NO APLICA</v>
      </c>
      <c r="IZ217" s="16"/>
      <c r="JA217" s="16"/>
      <c r="JB217" s="16"/>
      <c r="JC217" s="16"/>
      <c r="JD217" s="15" t="str">
        <f t="shared" si="730"/>
        <v>NO APLICA</v>
      </c>
      <c r="JE217" s="16"/>
      <c r="JF217" s="16"/>
      <c r="JG217" s="16"/>
      <c r="JH217" s="16"/>
      <c r="JI217" s="15" t="str">
        <f t="shared" si="731"/>
        <v>NO APLICA</v>
      </c>
      <c r="JJ217" s="16"/>
      <c r="JK217" s="16"/>
      <c r="JL217" s="16"/>
      <c r="JM217" s="15" t="str">
        <f t="shared" si="732"/>
        <v>NO APLICA</v>
      </c>
      <c r="JN217" s="16"/>
      <c r="JO217" s="16"/>
      <c r="JP217" s="16"/>
      <c r="JQ217" s="15" t="str">
        <f t="shared" si="733"/>
        <v>NO APLICA</v>
      </c>
      <c r="JR217" s="16"/>
      <c r="JS217" s="16"/>
      <c r="JT217" s="16"/>
      <c r="JU217" s="16"/>
      <c r="JV217" s="15" t="str">
        <f t="shared" si="734"/>
        <v>NO APLICA</v>
      </c>
      <c r="JW217" s="15"/>
      <c r="JX217" s="15"/>
      <c r="JY217" s="15"/>
      <c r="JZ217" s="15"/>
      <c r="KA217" s="15" t="str">
        <f t="shared" si="735"/>
        <v>NO APLICA</v>
      </c>
      <c r="KB217" s="16"/>
      <c r="KC217" s="16"/>
      <c r="KD217" s="16"/>
      <c r="KE217" s="15" t="str">
        <f t="shared" si="736"/>
        <v>NO APLICA</v>
      </c>
      <c r="KF217" s="16"/>
      <c r="KG217" s="16"/>
      <c r="KH217" s="16"/>
      <c r="KI217" s="15" t="str">
        <f t="shared" si="749"/>
        <v>NO APLICA</v>
      </c>
      <c r="KJ217" s="16"/>
      <c r="KK217" s="16"/>
      <c r="KL217" s="16"/>
      <c r="KM217" s="15" t="str">
        <f t="shared" si="737"/>
        <v>NO APLICA</v>
      </c>
      <c r="KN217" s="16"/>
      <c r="KO217" s="16"/>
      <c r="KP217" s="16"/>
      <c r="KQ217" s="15" t="str">
        <f t="shared" si="750"/>
        <v>NO APLICA</v>
      </c>
      <c r="KR217" s="16"/>
      <c r="KS217" s="16"/>
      <c r="KT217" s="16"/>
      <c r="KU217" s="16"/>
      <c r="KV217" s="15" t="str">
        <f t="shared" si="755"/>
        <v>NO APLICA</v>
      </c>
      <c r="KW217" s="16"/>
      <c r="KX217" s="16"/>
      <c r="KY217" s="16"/>
      <c r="KZ217" s="15" t="str">
        <f t="shared" si="751"/>
        <v>NO APLICA</v>
      </c>
      <c r="LA217" s="16"/>
      <c r="LB217" s="16"/>
      <c r="LC217" s="16"/>
      <c r="LD217" s="16"/>
      <c r="LE217" s="15" t="str">
        <f t="shared" si="590"/>
        <v>NO APLICA</v>
      </c>
      <c r="LF217" s="15"/>
      <c r="LG217" s="15"/>
      <c r="LH217" s="14"/>
      <c r="LI217" s="65"/>
      <c r="LJ217" s="15" t="str">
        <f t="shared" si="756"/>
        <v>NO APLICA</v>
      </c>
      <c r="LK217" s="16"/>
      <c r="LL217" s="16"/>
      <c r="LM217" s="16"/>
      <c r="LN217" s="16"/>
      <c r="LO217" s="15" t="str">
        <f t="shared" si="752"/>
        <v>NO APLICA</v>
      </c>
      <c r="LP217" s="16"/>
      <c r="LQ217" s="16"/>
      <c r="LR217" s="16"/>
      <c r="LS217" s="16"/>
      <c r="LT217" s="15" t="str">
        <f t="shared" si="753"/>
        <v>NO APLICA</v>
      </c>
      <c r="LU217" s="16"/>
      <c r="LV217" s="16"/>
      <c r="LW217" s="16"/>
      <c r="LX217" s="16"/>
      <c r="LY217" s="15" t="str">
        <f t="shared" si="754"/>
        <v>NO APLICA</v>
      </c>
      <c r="LZ217" s="16"/>
      <c r="MA217" s="16"/>
      <c r="MB217" s="16"/>
      <c r="MC217" s="16"/>
      <c r="MD217" s="15" t="str">
        <f t="shared" si="738"/>
        <v>NO APLICA</v>
      </c>
      <c r="ME217" s="16"/>
      <c r="MF217" s="16"/>
      <c r="MG217" s="16"/>
      <c r="MH217" s="16"/>
      <c r="MI217" s="15" t="str">
        <f t="shared" si="739"/>
        <v>NO APLICA</v>
      </c>
      <c r="MJ217" s="16"/>
      <c r="MK217" s="16"/>
      <c r="ML217" s="16"/>
      <c r="MM217" s="15" t="str">
        <f t="shared" si="740"/>
        <v>NO APLICA</v>
      </c>
      <c r="MN217" s="16"/>
      <c r="MO217" s="16"/>
      <c r="MP217" s="16"/>
      <c r="MQ217" s="15" t="str">
        <f t="shared" si="741"/>
        <v>NO APLICA</v>
      </c>
      <c r="MR217" s="16"/>
      <c r="MS217" s="16"/>
      <c r="MT217" s="16"/>
      <c r="MU217" s="16"/>
      <c r="MV217" s="15" t="str">
        <f t="shared" si="742"/>
        <v>NO APLICA</v>
      </c>
      <c r="MW217" s="16"/>
      <c r="MX217" s="16"/>
      <c r="MY217" s="16"/>
      <c r="MZ217" s="16"/>
      <c r="NA217" s="15" t="str">
        <f t="shared" si="743"/>
        <v>NO APLICA</v>
      </c>
      <c r="NB217" s="16"/>
      <c r="NC217" s="16"/>
      <c r="ND217" s="16"/>
      <c r="NE217" s="16"/>
      <c r="NF217" s="15" t="str">
        <f t="shared" si="744"/>
        <v>NO APLICA</v>
      </c>
      <c r="NG217" s="16"/>
      <c r="NH217" s="16"/>
      <c r="NI217" s="16"/>
      <c r="NJ217" s="16"/>
      <c r="NK217" s="15" t="str">
        <f t="shared" si="745"/>
        <v>NO APLICA</v>
      </c>
      <c r="NL217" s="16"/>
      <c r="NM217" s="16"/>
      <c r="NN217" s="16"/>
      <c r="NO217" s="16"/>
      <c r="NP217" s="15" t="str">
        <f t="shared" si="746"/>
        <v>NO APLICA</v>
      </c>
      <c r="NQ217" s="16"/>
      <c r="NR217" s="16"/>
      <c r="NS217" s="16"/>
      <c r="NT217" s="16"/>
      <c r="NU217" s="15" t="str">
        <f t="shared" si="747"/>
        <v>NO APLICA</v>
      </c>
      <c r="NV217" s="16"/>
      <c r="NW217" s="16"/>
      <c r="NX217" s="16"/>
      <c r="NY217" s="16"/>
      <c r="NZ217" s="15" t="str">
        <f t="shared" si="748"/>
        <v>NO APLICA</v>
      </c>
    </row>
    <row r="218" spans="1:390" ht="15.6" thickTop="1" thickBot="1" x14ac:dyDescent="0.35">
      <c r="A218" s="11">
        <v>1533</v>
      </c>
      <c r="B218" s="10" t="s">
        <v>725</v>
      </c>
      <c r="C218" s="21" t="s">
        <v>687</v>
      </c>
      <c r="D218" s="64" t="s">
        <v>688</v>
      </c>
      <c r="E218" s="16"/>
      <c r="F218" s="16"/>
      <c r="G218" s="16"/>
      <c r="H218" s="16"/>
      <c r="I218" s="15" t="str">
        <f t="shared" si="688"/>
        <v>NO APLICA</v>
      </c>
      <c r="J218" s="16"/>
      <c r="K218" s="16"/>
      <c r="L218" s="16"/>
      <c r="M218" s="16"/>
      <c r="N218" s="15" t="str">
        <f t="shared" si="691"/>
        <v>NO APLICA</v>
      </c>
      <c r="O218" s="16"/>
      <c r="P218" s="16"/>
      <c r="Q218" s="16"/>
      <c r="R218" s="16"/>
      <c r="S218" s="15" t="str">
        <f t="shared" si="689"/>
        <v>NO APLICA</v>
      </c>
      <c r="T218" s="16"/>
      <c r="U218" s="14"/>
      <c r="V218" s="14"/>
      <c r="W218" s="14"/>
      <c r="X218" s="65"/>
      <c r="Y218" s="15" t="str">
        <f t="shared" si="595"/>
        <v>NO APLICA</v>
      </c>
      <c r="Z218" s="16"/>
      <c r="AA218" s="16"/>
      <c r="AB218" s="16"/>
      <c r="AC218" s="16"/>
      <c r="AD218" s="16"/>
      <c r="AE218" s="15" t="str">
        <f t="shared" si="598"/>
        <v>NO APLICA</v>
      </c>
      <c r="AF218" s="14"/>
      <c r="AG218" s="14"/>
      <c r="AH218" s="14"/>
      <c r="AI218" s="16"/>
      <c r="AJ218" s="15" t="str">
        <f t="shared" si="592"/>
        <v>NO APLICA</v>
      </c>
      <c r="AK218" s="14"/>
      <c r="AL218" s="14"/>
      <c r="AM218" s="14"/>
      <c r="AN218" s="16"/>
      <c r="AO218" s="15" t="str">
        <f t="shared" si="692"/>
        <v>NO APLICA</v>
      </c>
      <c r="AP218" s="14"/>
      <c r="AQ218" s="14"/>
      <c r="AR218" s="14"/>
      <c r="AS218" s="16"/>
      <c r="AT218" s="15" t="str">
        <f t="shared" si="693"/>
        <v>NO APLICA</v>
      </c>
      <c r="AU218" s="14"/>
      <c r="AV218" s="14"/>
      <c r="AW218" s="14"/>
      <c r="AX218" s="16"/>
      <c r="AY218" s="15" t="str">
        <f t="shared" si="694"/>
        <v>NO APLICA</v>
      </c>
      <c r="AZ218" s="14"/>
      <c r="BA218" s="14"/>
      <c r="BB218" s="14"/>
      <c r="BC218" s="16"/>
      <c r="BD218" s="15" t="str">
        <f t="shared" si="695"/>
        <v>NO APLICA</v>
      </c>
      <c r="BE218" s="14"/>
      <c r="BF218" s="14"/>
      <c r="BG218" s="14"/>
      <c r="BH218" s="16"/>
      <c r="BI218" s="15" t="str">
        <f t="shared" si="696"/>
        <v>NO APLICA</v>
      </c>
      <c r="BJ218" s="14"/>
      <c r="BK218" s="14"/>
      <c r="BL218" s="14"/>
      <c r="BM218" s="16"/>
      <c r="BN218" s="15" t="str">
        <f t="shared" si="697"/>
        <v>NO APLICA</v>
      </c>
      <c r="BO218" s="14"/>
      <c r="BP218" s="14"/>
      <c r="BQ218" s="14"/>
      <c r="BR218" s="16"/>
      <c r="BS218" s="15" t="str">
        <f t="shared" si="698"/>
        <v>NO APLICA</v>
      </c>
      <c r="BT218" s="14"/>
      <c r="BU218" s="14"/>
      <c r="BV218" s="14"/>
      <c r="BW218" s="16"/>
      <c r="BX218" s="15" t="str">
        <f t="shared" si="699"/>
        <v>NO APLICA</v>
      </c>
      <c r="BY218" s="14"/>
      <c r="BZ218" s="14"/>
      <c r="CA218" s="14"/>
      <c r="CB218" s="16"/>
      <c r="CC218" s="15" t="str">
        <f t="shared" si="700"/>
        <v>NO APLICA</v>
      </c>
      <c r="CD218" s="16"/>
      <c r="CE218" s="16"/>
      <c r="CF218" s="16"/>
      <c r="CG218" s="16"/>
      <c r="CH218" s="16"/>
      <c r="CI218" s="15" t="str">
        <f t="shared" si="758"/>
        <v>NO APLICA</v>
      </c>
      <c r="CJ218" s="14"/>
      <c r="CK218" s="14"/>
      <c r="CL218" s="14"/>
      <c r="CM218" s="16"/>
      <c r="CN218" s="15" t="str">
        <f t="shared" si="701"/>
        <v>NO APLICA</v>
      </c>
      <c r="CO218" s="14"/>
      <c r="CP218" s="14"/>
      <c r="CQ218" s="14"/>
      <c r="CR218" s="16"/>
      <c r="CS218" s="15" t="str">
        <f t="shared" si="702"/>
        <v>NO APLICA</v>
      </c>
      <c r="CT218" s="14"/>
      <c r="CU218" s="14"/>
      <c r="CV218" s="14"/>
      <c r="CW218" s="16"/>
      <c r="CX218" s="15" t="str">
        <f t="shared" si="703"/>
        <v>NO APLICA</v>
      </c>
      <c r="CY218" s="14"/>
      <c r="CZ218" s="14"/>
      <c r="DA218" s="14"/>
      <c r="DB218" s="16"/>
      <c r="DC218" s="15" t="str">
        <f t="shared" si="704"/>
        <v>NO APLICA</v>
      </c>
      <c r="DD218" s="14"/>
      <c r="DE218" s="14"/>
      <c r="DF218" s="14"/>
      <c r="DG218" s="16"/>
      <c r="DH218" s="15" t="str">
        <f t="shared" si="705"/>
        <v>NO APLICA</v>
      </c>
      <c r="DI218" s="14"/>
      <c r="DJ218" s="14"/>
      <c r="DK218" s="14"/>
      <c r="DL218" s="16"/>
      <c r="DM218" s="15" t="str">
        <f t="shared" si="706"/>
        <v>NO APLICA</v>
      </c>
      <c r="DN218" s="14"/>
      <c r="DO218" s="14"/>
      <c r="DP218" s="14"/>
      <c r="DQ218" s="16"/>
      <c r="DR218" s="15" t="str">
        <f t="shared" si="707"/>
        <v>NO APLICA</v>
      </c>
      <c r="DS218" s="14"/>
      <c r="DT218" s="14"/>
      <c r="DU218" s="14"/>
      <c r="DV218" s="16"/>
      <c r="DW218" s="15" t="str">
        <f t="shared" si="708"/>
        <v>NO APLICA</v>
      </c>
      <c r="DX218" s="14"/>
      <c r="DY218" s="14"/>
      <c r="DZ218" s="14"/>
      <c r="EA218" s="16"/>
      <c r="EB218" s="15" t="str">
        <f t="shared" si="709"/>
        <v>NO APLICA</v>
      </c>
      <c r="EC218" s="14"/>
      <c r="ED218" s="14"/>
      <c r="EE218" s="14"/>
      <c r="EF218" s="16"/>
      <c r="EG218" s="15" t="str">
        <f t="shared" si="710"/>
        <v>NO APLICA</v>
      </c>
      <c r="EH218" s="14"/>
      <c r="EI218" s="14"/>
      <c r="EJ218" s="14"/>
      <c r="EK218" s="14"/>
      <c r="EL218" s="14"/>
      <c r="EM218" s="65"/>
      <c r="EN218" s="15" t="str">
        <f t="shared" si="711"/>
        <v>NO APLICA</v>
      </c>
      <c r="EO218" s="14"/>
      <c r="EP218" s="14"/>
      <c r="EQ218" s="14"/>
      <c r="ER218" s="65"/>
      <c r="ES218" s="15" t="str">
        <f t="shared" si="712"/>
        <v>NO APLICA</v>
      </c>
      <c r="ET218" s="14"/>
      <c r="EU218" s="14"/>
      <c r="EV218" s="14"/>
      <c r="EW218" s="65"/>
      <c r="EX218" s="15" t="str">
        <f t="shared" si="713"/>
        <v>NO APLICA</v>
      </c>
      <c r="EY218" s="14"/>
      <c r="EZ218" s="14"/>
      <c r="FA218" s="14"/>
      <c r="FB218" s="16"/>
      <c r="FC218" s="15" t="str">
        <f t="shared" si="714"/>
        <v>NO APLICA</v>
      </c>
      <c r="FD218" s="14"/>
      <c r="FE218" s="14"/>
      <c r="FF218" s="14"/>
      <c r="FG218" s="16"/>
      <c r="FH218" s="15" t="str">
        <f t="shared" si="715"/>
        <v>NO APLICA</v>
      </c>
      <c r="FI218" s="14"/>
      <c r="FJ218" s="14"/>
      <c r="FK218" s="14"/>
      <c r="FL218" s="16"/>
      <c r="FM218" s="15" t="str">
        <f t="shared" si="716"/>
        <v>NO APLICA</v>
      </c>
      <c r="FN218" s="14"/>
      <c r="FO218" s="14"/>
      <c r="FP218" s="14"/>
      <c r="FQ218" s="16"/>
      <c r="FR218" s="15" t="str">
        <f t="shared" si="717"/>
        <v>NO APLICA</v>
      </c>
      <c r="FS218" s="14"/>
      <c r="FT218" s="14"/>
      <c r="FU218" s="14"/>
      <c r="FV218" s="16"/>
      <c r="FW218" s="15" t="str">
        <f t="shared" si="718"/>
        <v>NO APLICA</v>
      </c>
      <c r="FX218" s="14"/>
      <c r="FY218" s="14"/>
      <c r="FZ218" s="14"/>
      <c r="GA218" s="16"/>
      <c r="GB218" s="15" t="str">
        <f t="shared" si="719"/>
        <v>NO APLICA</v>
      </c>
      <c r="GC218" s="14"/>
      <c r="GD218" s="14"/>
      <c r="GE218" s="14"/>
      <c r="GF218" s="16"/>
      <c r="GG218" s="15" t="str">
        <f t="shared" si="720"/>
        <v>NO APLICA</v>
      </c>
      <c r="GH218" s="14"/>
      <c r="GI218" s="14"/>
      <c r="GJ218" s="14"/>
      <c r="GK218" s="65"/>
      <c r="GL218" s="15" t="str">
        <f t="shared" si="721"/>
        <v>NO APLICA</v>
      </c>
      <c r="GM218" s="14"/>
      <c r="GN218" s="16"/>
      <c r="GO218" s="16"/>
      <c r="GP218" s="16"/>
      <c r="GQ218" s="15" t="str">
        <f t="shared" si="722"/>
        <v>NO APLICA</v>
      </c>
      <c r="GR218" s="14"/>
      <c r="GS218" s="16"/>
      <c r="GT218" s="16"/>
      <c r="GU218" s="16"/>
      <c r="GV218" s="15" t="str">
        <f t="shared" si="601"/>
        <v>NO APLICA</v>
      </c>
      <c r="GW218" s="14"/>
      <c r="GX218" s="16"/>
      <c r="GY218" s="16"/>
      <c r="GZ218" s="16"/>
      <c r="HA218" s="15" t="str">
        <f t="shared" si="602"/>
        <v>NO APLICA</v>
      </c>
      <c r="HB218" s="16"/>
      <c r="HC218" s="16"/>
      <c r="HD218" s="16"/>
      <c r="HE218" s="16"/>
      <c r="HF218" s="15" t="str">
        <f t="shared" si="603"/>
        <v>NO APLICA</v>
      </c>
      <c r="HG218" s="16"/>
      <c r="HH218" s="16"/>
      <c r="HI218" s="14"/>
      <c r="HJ218" s="65"/>
      <c r="HK218" s="15" t="str">
        <f t="shared" si="690"/>
        <v>NO APLICA</v>
      </c>
      <c r="HL218" s="16"/>
      <c r="HM218" s="16"/>
      <c r="HN218" s="16"/>
      <c r="HO218" s="16"/>
      <c r="HP218" s="15" t="str">
        <f t="shared" si="686"/>
        <v>NO APLICA</v>
      </c>
      <c r="HQ218" s="16"/>
      <c r="HR218" s="16"/>
      <c r="HS218" s="16"/>
      <c r="HT218" s="16"/>
      <c r="HU218" s="15" t="str">
        <f t="shared" si="723"/>
        <v>NO APLICA</v>
      </c>
      <c r="HV218" s="16"/>
      <c r="HW218" s="16"/>
      <c r="HX218" s="16"/>
      <c r="HY218" s="16"/>
      <c r="HZ218" s="15" t="str">
        <f t="shared" si="724"/>
        <v>NO APLICA</v>
      </c>
      <c r="IA218" s="16"/>
      <c r="IB218" s="16"/>
      <c r="IC218" s="16"/>
      <c r="ID218" s="16"/>
      <c r="IE218" s="15" t="str">
        <f t="shared" si="725"/>
        <v>NO APLICA</v>
      </c>
      <c r="IF218" s="16"/>
      <c r="IG218" s="16"/>
      <c r="IH218" s="16"/>
      <c r="II218" s="16"/>
      <c r="IJ218" s="15" t="str">
        <f t="shared" si="726"/>
        <v>NO APLICA</v>
      </c>
      <c r="IK218" s="16"/>
      <c r="IL218" s="16"/>
      <c r="IM218" s="16"/>
      <c r="IN218" s="16"/>
      <c r="IO218" s="15" t="str">
        <f t="shared" si="727"/>
        <v>NO APLICA</v>
      </c>
      <c r="IP218" s="16"/>
      <c r="IQ218" s="16"/>
      <c r="IR218" s="16"/>
      <c r="IS218" s="16"/>
      <c r="IT218" s="15" t="str">
        <f t="shared" si="728"/>
        <v>NO APLICA</v>
      </c>
      <c r="IU218" s="16"/>
      <c r="IV218" s="16"/>
      <c r="IW218" s="16"/>
      <c r="IX218" s="16"/>
      <c r="IY218" s="15" t="str">
        <f t="shared" si="729"/>
        <v>NO APLICA</v>
      </c>
      <c r="IZ218" s="16"/>
      <c r="JA218" s="16"/>
      <c r="JB218" s="16"/>
      <c r="JC218" s="16"/>
      <c r="JD218" s="15" t="str">
        <f t="shared" si="730"/>
        <v>NO APLICA</v>
      </c>
      <c r="JE218" s="16"/>
      <c r="JF218" s="16"/>
      <c r="JG218" s="16"/>
      <c r="JH218" s="16"/>
      <c r="JI218" s="15" t="str">
        <f t="shared" si="731"/>
        <v>NO APLICA</v>
      </c>
      <c r="JJ218" s="16"/>
      <c r="JK218" s="16"/>
      <c r="JL218" s="16"/>
      <c r="JM218" s="15" t="str">
        <f t="shared" si="732"/>
        <v>NO APLICA</v>
      </c>
      <c r="JN218" s="16"/>
      <c r="JO218" s="16"/>
      <c r="JP218" s="16"/>
      <c r="JQ218" s="15" t="str">
        <f t="shared" si="733"/>
        <v>NO APLICA</v>
      </c>
      <c r="JR218" s="16"/>
      <c r="JS218" s="16"/>
      <c r="JT218" s="16"/>
      <c r="JU218" s="16"/>
      <c r="JV218" s="15" t="str">
        <f t="shared" si="734"/>
        <v>NO APLICA</v>
      </c>
      <c r="JW218" s="15"/>
      <c r="JX218" s="13">
        <v>45948</v>
      </c>
      <c r="JY218" s="14">
        <f>DATE(YEAR(JX218)+2,MONTH(JX218),DAY(JX218))</f>
        <v>46678</v>
      </c>
      <c r="JZ218" s="65">
        <f ca="1">JY218-TODAY()</f>
        <v>547</v>
      </c>
      <c r="KA218" s="15" t="str">
        <f ca="1">IF(JZ218&gt;=61,"VIGENTE",IF(JZ218&gt;=1,"POR VENCER",IF(JZ218&lt;=-1,"VENCIDA",IF(JX218=0,"NO APLICA"))))</f>
        <v>VIGENTE</v>
      </c>
      <c r="KB218" s="16"/>
      <c r="KC218" s="16"/>
      <c r="KD218" s="16"/>
      <c r="KE218" s="15" t="str">
        <f t="shared" si="736"/>
        <v>NO APLICA</v>
      </c>
      <c r="KF218" s="16"/>
      <c r="KG218" s="16"/>
      <c r="KH218" s="16"/>
      <c r="KI218" s="15" t="str">
        <f t="shared" si="749"/>
        <v>NO APLICA</v>
      </c>
      <c r="KJ218" s="16"/>
      <c r="KK218" s="16"/>
      <c r="KL218" s="16"/>
      <c r="KM218" s="15" t="str">
        <f t="shared" si="737"/>
        <v>NO APLICA</v>
      </c>
      <c r="KN218" s="16"/>
      <c r="KO218" s="16"/>
      <c r="KP218" s="16"/>
      <c r="KQ218" s="15" t="str">
        <f t="shared" si="750"/>
        <v>NO APLICA</v>
      </c>
      <c r="KR218" s="16"/>
      <c r="KS218" s="16"/>
      <c r="KT218" s="16"/>
      <c r="KU218" s="16"/>
      <c r="KV218" s="15" t="str">
        <f t="shared" si="755"/>
        <v>NO APLICA</v>
      </c>
      <c r="KW218" s="16"/>
      <c r="KX218" s="16"/>
      <c r="KY218" s="16"/>
      <c r="KZ218" s="15" t="str">
        <f t="shared" si="751"/>
        <v>NO APLICA</v>
      </c>
      <c r="LA218" s="16"/>
      <c r="LB218" s="16"/>
      <c r="LC218" s="16"/>
      <c r="LD218" s="16"/>
      <c r="LE218" s="15" t="str">
        <f t="shared" si="590"/>
        <v>NO APLICA</v>
      </c>
      <c r="LF218" s="15"/>
      <c r="LG218" s="15"/>
      <c r="LH218" s="14"/>
      <c r="LI218" s="65"/>
      <c r="LJ218" s="15" t="str">
        <f t="shared" si="756"/>
        <v>NO APLICA</v>
      </c>
      <c r="LK218" s="16"/>
      <c r="LL218" s="16"/>
      <c r="LM218" s="16"/>
      <c r="LN218" s="16"/>
      <c r="LO218" s="15" t="str">
        <f t="shared" si="752"/>
        <v>NO APLICA</v>
      </c>
      <c r="LP218" s="16"/>
      <c r="LQ218" s="16"/>
      <c r="LR218" s="16"/>
      <c r="LS218" s="16"/>
      <c r="LT218" s="15" t="str">
        <f t="shared" si="753"/>
        <v>NO APLICA</v>
      </c>
      <c r="LU218" s="16"/>
      <c r="LV218" s="16"/>
      <c r="LW218" s="16"/>
      <c r="LX218" s="16"/>
      <c r="LY218" s="15" t="str">
        <f t="shared" si="754"/>
        <v>NO APLICA</v>
      </c>
      <c r="LZ218" s="16"/>
      <c r="MA218" s="16"/>
      <c r="MB218" s="16"/>
      <c r="MC218" s="16"/>
      <c r="MD218" s="15" t="str">
        <f t="shared" si="738"/>
        <v>NO APLICA</v>
      </c>
      <c r="ME218" s="16"/>
      <c r="MF218" s="16"/>
      <c r="MG218" s="16"/>
      <c r="MH218" s="16"/>
      <c r="MI218" s="15" t="str">
        <f t="shared" si="739"/>
        <v>NO APLICA</v>
      </c>
      <c r="MJ218" s="16"/>
      <c r="MK218" s="16"/>
      <c r="ML218" s="16"/>
      <c r="MM218" s="15" t="str">
        <f t="shared" si="740"/>
        <v>NO APLICA</v>
      </c>
      <c r="MN218" s="16"/>
      <c r="MO218" s="16"/>
      <c r="MP218" s="16"/>
      <c r="MQ218" s="15" t="str">
        <f t="shared" si="741"/>
        <v>NO APLICA</v>
      </c>
      <c r="MR218" s="16"/>
      <c r="MS218" s="16"/>
      <c r="MT218" s="16"/>
      <c r="MU218" s="16"/>
      <c r="MV218" s="15" t="str">
        <f t="shared" si="742"/>
        <v>NO APLICA</v>
      </c>
      <c r="MW218" s="16"/>
      <c r="MX218" s="16"/>
      <c r="MY218" s="16"/>
      <c r="MZ218" s="16"/>
      <c r="NA218" s="15" t="str">
        <f t="shared" si="743"/>
        <v>NO APLICA</v>
      </c>
      <c r="NB218" s="16"/>
      <c r="NC218" s="16"/>
      <c r="ND218" s="16"/>
      <c r="NE218" s="16"/>
      <c r="NF218" s="15" t="str">
        <f t="shared" si="744"/>
        <v>NO APLICA</v>
      </c>
      <c r="NG218" s="16"/>
      <c r="NH218" s="16"/>
      <c r="NI218" s="16"/>
      <c r="NJ218" s="16"/>
      <c r="NK218" s="15" t="str">
        <f t="shared" si="745"/>
        <v>NO APLICA</v>
      </c>
      <c r="NL218" s="16"/>
      <c r="NM218" s="16"/>
      <c r="NN218" s="16"/>
      <c r="NO218" s="16"/>
      <c r="NP218" s="15" t="str">
        <f t="shared" si="746"/>
        <v>NO APLICA</v>
      </c>
      <c r="NQ218" s="16"/>
      <c r="NR218" s="16"/>
      <c r="NS218" s="16"/>
      <c r="NT218" s="16"/>
      <c r="NU218" s="15" t="str">
        <f t="shared" si="747"/>
        <v>NO APLICA</v>
      </c>
      <c r="NV218" s="16"/>
      <c r="NW218" s="16"/>
      <c r="NX218" s="16"/>
      <c r="NY218" s="16"/>
      <c r="NZ218" s="15" t="str">
        <f t="shared" si="748"/>
        <v>NO APLICA</v>
      </c>
    </row>
    <row r="219" spans="1:390" ht="15.6" thickTop="1" thickBot="1" x14ac:dyDescent="0.35">
      <c r="A219" s="11">
        <v>644</v>
      </c>
      <c r="B219" s="10" t="s">
        <v>726</v>
      </c>
      <c r="C219" s="21" t="s">
        <v>687</v>
      </c>
      <c r="D219" s="64" t="s">
        <v>727</v>
      </c>
      <c r="E219" s="16"/>
      <c r="F219" s="16"/>
      <c r="G219" s="16"/>
      <c r="H219" s="16"/>
      <c r="I219" s="15" t="str">
        <f t="shared" si="688"/>
        <v>NO APLICA</v>
      </c>
      <c r="J219" s="16"/>
      <c r="K219" s="16"/>
      <c r="L219" s="16"/>
      <c r="M219" s="16"/>
      <c r="N219" s="15" t="str">
        <f t="shared" si="691"/>
        <v>NO APLICA</v>
      </c>
      <c r="O219" s="16"/>
      <c r="P219" s="16"/>
      <c r="Q219" s="16"/>
      <c r="R219" s="16"/>
      <c r="S219" s="15" t="str">
        <f t="shared" si="689"/>
        <v>NO APLICA</v>
      </c>
      <c r="T219" s="16"/>
      <c r="U219" s="14"/>
      <c r="V219" s="14"/>
      <c r="W219" s="14"/>
      <c r="X219" s="65"/>
      <c r="Y219" s="15" t="str">
        <f t="shared" si="595"/>
        <v>NO APLICA</v>
      </c>
      <c r="Z219" s="16"/>
      <c r="AA219" s="16"/>
      <c r="AB219" s="16"/>
      <c r="AC219" s="16"/>
      <c r="AD219" s="16"/>
      <c r="AE219" s="15" t="str">
        <f t="shared" si="598"/>
        <v>NO APLICA</v>
      </c>
      <c r="AF219" s="14"/>
      <c r="AG219" s="14"/>
      <c r="AH219" s="14"/>
      <c r="AI219" s="16"/>
      <c r="AJ219" s="15" t="str">
        <f t="shared" si="592"/>
        <v>NO APLICA</v>
      </c>
      <c r="AK219" s="14"/>
      <c r="AL219" s="14"/>
      <c r="AM219" s="14"/>
      <c r="AN219" s="16"/>
      <c r="AO219" s="15" t="str">
        <f t="shared" si="692"/>
        <v>NO APLICA</v>
      </c>
      <c r="AP219" s="14"/>
      <c r="AQ219" s="14"/>
      <c r="AR219" s="14"/>
      <c r="AS219" s="16"/>
      <c r="AT219" s="15" t="str">
        <f t="shared" si="693"/>
        <v>NO APLICA</v>
      </c>
      <c r="AU219" s="14"/>
      <c r="AV219" s="14"/>
      <c r="AW219" s="14"/>
      <c r="AX219" s="16"/>
      <c r="AY219" s="15" t="str">
        <f t="shared" si="694"/>
        <v>NO APLICA</v>
      </c>
      <c r="AZ219" s="14"/>
      <c r="BA219" s="14"/>
      <c r="BB219" s="14"/>
      <c r="BC219" s="16"/>
      <c r="BD219" s="15" t="str">
        <f t="shared" si="695"/>
        <v>NO APLICA</v>
      </c>
      <c r="BE219" s="14"/>
      <c r="BF219" s="14"/>
      <c r="BG219" s="14"/>
      <c r="BH219" s="16"/>
      <c r="BI219" s="15" t="str">
        <f t="shared" si="696"/>
        <v>NO APLICA</v>
      </c>
      <c r="BJ219" s="14"/>
      <c r="BK219" s="14"/>
      <c r="BL219" s="14"/>
      <c r="BM219" s="16"/>
      <c r="BN219" s="15" t="str">
        <f t="shared" si="697"/>
        <v>NO APLICA</v>
      </c>
      <c r="BO219" s="14"/>
      <c r="BP219" s="14"/>
      <c r="BQ219" s="14"/>
      <c r="BR219" s="16"/>
      <c r="BS219" s="15" t="str">
        <f t="shared" si="698"/>
        <v>NO APLICA</v>
      </c>
      <c r="BT219" s="14"/>
      <c r="BU219" s="14"/>
      <c r="BV219" s="14"/>
      <c r="BW219" s="16"/>
      <c r="BX219" s="15" t="str">
        <f t="shared" si="699"/>
        <v>NO APLICA</v>
      </c>
      <c r="BY219" s="14"/>
      <c r="BZ219" s="14"/>
      <c r="CA219" s="14"/>
      <c r="CB219" s="16"/>
      <c r="CC219" s="15" t="str">
        <f t="shared" si="700"/>
        <v>NO APLICA</v>
      </c>
      <c r="CD219" s="16"/>
      <c r="CE219" s="16"/>
      <c r="CF219" s="16"/>
      <c r="CG219" s="16"/>
      <c r="CH219" s="16"/>
      <c r="CI219" s="15" t="str">
        <f t="shared" si="758"/>
        <v>NO APLICA</v>
      </c>
      <c r="CJ219" s="14"/>
      <c r="CK219" s="14"/>
      <c r="CL219" s="14"/>
      <c r="CM219" s="16"/>
      <c r="CN219" s="15" t="str">
        <f t="shared" si="701"/>
        <v>NO APLICA</v>
      </c>
      <c r="CO219" s="14"/>
      <c r="CP219" s="14"/>
      <c r="CQ219" s="14"/>
      <c r="CR219" s="16"/>
      <c r="CS219" s="15" t="str">
        <f t="shared" si="702"/>
        <v>NO APLICA</v>
      </c>
      <c r="CT219" s="14"/>
      <c r="CU219" s="14"/>
      <c r="CV219" s="14"/>
      <c r="CW219" s="16"/>
      <c r="CX219" s="15" t="str">
        <f t="shared" si="703"/>
        <v>NO APLICA</v>
      </c>
      <c r="CY219" s="14"/>
      <c r="CZ219" s="14"/>
      <c r="DA219" s="14"/>
      <c r="DB219" s="16"/>
      <c r="DC219" s="15" t="str">
        <f t="shared" si="704"/>
        <v>NO APLICA</v>
      </c>
      <c r="DD219" s="14"/>
      <c r="DE219" s="14"/>
      <c r="DF219" s="14"/>
      <c r="DG219" s="16"/>
      <c r="DH219" s="15" t="str">
        <f t="shared" si="705"/>
        <v>NO APLICA</v>
      </c>
      <c r="DI219" s="14"/>
      <c r="DJ219" s="14"/>
      <c r="DK219" s="14"/>
      <c r="DL219" s="16"/>
      <c r="DM219" s="15" t="str">
        <f t="shared" si="706"/>
        <v>NO APLICA</v>
      </c>
      <c r="DN219" s="14"/>
      <c r="DO219" s="14"/>
      <c r="DP219" s="14"/>
      <c r="DQ219" s="16"/>
      <c r="DR219" s="15" t="str">
        <f t="shared" si="707"/>
        <v>NO APLICA</v>
      </c>
      <c r="DS219" s="14"/>
      <c r="DT219" s="14"/>
      <c r="DU219" s="14"/>
      <c r="DV219" s="16"/>
      <c r="DW219" s="15" t="str">
        <f t="shared" si="708"/>
        <v>NO APLICA</v>
      </c>
      <c r="DX219" s="14"/>
      <c r="DY219" s="14"/>
      <c r="DZ219" s="14"/>
      <c r="EA219" s="16"/>
      <c r="EB219" s="15" t="str">
        <f t="shared" si="709"/>
        <v>NO APLICA</v>
      </c>
      <c r="EC219" s="14"/>
      <c r="ED219" s="14"/>
      <c r="EE219" s="14"/>
      <c r="EF219" s="16"/>
      <c r="EG219" s="15" t="str">
        <f t="shared" si="710"/>
        <v>NO APLICA</v>
      </c>
      <c r="EH219" s="14"/>
      <c r="EI219" s="14"/>
      <c r="EJ219" s="14"/>
      <c r="EK219" s="14"/>
      <c r="EL219" s="14"/>
      <c r="EM219" s="65"/>
      <c r="EN219" s="15" t="str">
        <f t="shared" si="711"/>
        <v>NO APLICA</v>
      </c>
      <c r="EO219" s="14"/>
      <c r="EP219" s="14"/>
      <c r="EQ219" s="14"/>
      <c r="ER219" s="65"/>
      <c r="ES219" s="15" t="str">
        <f t="shared" si="712"/>
        <v>NO APLICA</v>
      </c>
      <c r="ET219" s="14"/>
      <c r="EU219" s="14"/>
      <c r="EV219" s="14"/>
      <c r="EW219" s="65"/>
      <c r="EX219" s="15" t="str">
        <f t="shared" si="713"/>
        <v>NO APLICA</v>
      </c>
      <c r="EY219" s="14"/>
      <c r="EZ219" s="14"/>
      <c r="FA219" s="14"/>
      <c r="FB219" s="16"/>
      <c r="FC219" s="15" t="str">
        <f t="shared" si="714"/>
        <v>NO APLICA</v>
      </c>
      <c r="FD219" s="14"/>
      <c r="FE219" s="14"/>
      <c r="FF219" s="14"/>
      <c r="FG219" s="16"/>
      <c r="FH219" s="15" t="str">
        <f t="shared" si="715"/>
        <v>NO APLICA</v>
      </c>
      <c r="FI219" s="14"/>
      <c r="FJ219" s="14"/>
      <c r="FK219" s="14"/>
      <c r="FL219" s="16"/>
      <c r="FM219" s="15" t="str">
        <f t="shared" si="716"/>
        <v>NO APLICA</v>
      </c>
      <c r="FN219" s="14"/>
      <c r="FO219" s="14"/>
      <c r="FP219" s="14"/>
      <c r="FQ219" s="16"/>
      <c r="FR219" s="15" t="str">
        <f t="shared" si="717"/>
        <v>NO APLICA</v>
      </c>
      <c r="FS219" s="14"/>
      <c r="FT219" s="14"/>
      <c r="FU219" s="14"/>
      <c r="FV219" s="16"/>
      <c r="FW219" s="15" t="str">
        <f t="shared" si="718"/>
        <v>NO APLICA</v>
      </c>
      <c r="FX219" s="14"/>
      <c r="FY219" s="14"/>
      <c r="FZ219" s="14"/>
      <c r="GA219" s="16"/>
      <c r="GB219" s="15" t="str">
        <f t="shared" si="719"/>
        <v>NO APLICA</v>
      </c>
      <c r="GC219" s="14"/>
      <c r="GD219" s="14"/>
      <c r="GE219" s="14"/>
      <c r="GF219" s="16"/>
      <c r="GG219" s="15" t="str">
        <f t="shared" si="720"/>
        <v>NO APLICA</v>
      </c>
      <c r="GH219" s="14"/>
      <c r="GI219" s="14"/>
      <c r="GJ219" s="14"/>
      <c r="GK219" s="65"/>
      <c r="GL219" s="15" t="str">
        <f t="shared" si="721"/>
        <v>NO APLICA</v>
      </c>
      <c r="GM219" s="14"/>
      <c r="GN219" s="16"/>
      <c r="GO219" s="16"/>
      <c r="GP219" s="16"/>
      <c r="GQ219" s="15" t="str">
        <f t="shared" si="722"/>
        <v>NO APLICA</v>
      </c>
      <c r="GR219" s="14"/>
      <c r="GS219" s="16"/>
      <c r="GT219" s="16"/>
      <c r="GU219" s="16"/>
      <c r="GV219" s="15" t="str">
        <f t="shared" si="601"/>
        <v>NO APLICA</v>
      </c>
      <c r="GW219" s="14"/>
      <c r="GX219" s="16"/>
      <c r="GY219" s="16"/>
      <c r="GZ219" s="16"/>
      <c r="HA219" s="15" t="str">
        <f t="shared" si="602"/>
        <v>NO APLICA</v>
      </c>
      <c r="HB219" s="16"/>
      <c r="HC219" s="16"/>
      <c r="HD219" s="16"/>
      <c r="HE219" s="16"/>
      <c r="HF219" s="15" t="str">
        <f t="shared" si="603"/>
        <v>NO APLICA</v>
      </c>
      <c r="HG219" s="16"/>
      <c r="HH219" s="16"/>
      <c r="HI219" s="14"/>
      <c r="HJ219" s="65"/>
      <c r="HK219" s="15" t="str">
        <f t="shared" si="690"/>
        <v>NO APLICA</v>
      </c>
      <c r="HL219" s="16"/>
      <c r="HM219" s="16"/>
      <c r="HN219" s="16"/>
      <c r="HO219" s="16"/>
      <c r="HP219" s="15" t="str">
        <f t="shared" si="686"/>
        <v>NO APLICA</v>
      </c>
      <c r="HQ219" s="16"/>
      <c r="HR219" s="16"/>
      <c r="HS219" s="16"/>
      <c r="HT219" s="16"/>
      <c r="HU219" s="15" t="str">
        <f t="shared" si="723"/>
        <v>NO APLICA</v>
      </c>
      <c r="HV219" s="16"/>
      <c r="HW219" s="16"/>
      <c r="HX219" s="16"/>
      <c r="HY219" s="16"/>
      <c r="HZ219" s="15" t="str">
        <f t="shared" si="724"/>
        <v>NO APLICA</v>
      </c>
      <c r="IA219" s="16"/>
      <c r="IB219" s="16"/>
      <c r="IC219" s="16"/>
      <c r="ID219" s="16"/>
      <c r="IE219" s="15" t="str">
        <f t="shared" si="725"/>
        <v>NO APLICA</v>
      </c>
      <c r="IF219" s="16"/>
      <c r="IG219" s="16"/>
      <c r="IH219" s="16"/>
      <c r="II219" s="16"/>
      <c r="IJ219" s="15" t="str">
        <f t="shared" si="726"/>
        <v>NO APLICA</v>
      </c>
      <c r="IK219" s="16"/>
      <c r="IL219" s="16"/>
      <c r="IM219" s="16"/>
      <c r="IN219" s="16"/>
      <c r="IO219" s="15" t="str">
        <f t="shared" si="727"/>
        <v>NO APLICA</v>
      </c>
      <c r="IP219" s="16"/>
      <c r="IQ219" s="16"/>
      <c r="IR219" s="16"/>
      <c r="IS219" s="16"/>
      <c r="IT219" s="15" t="str">
        <f t="shared" si="728"/>
        <v>NO APLICA</v>
      </c>
      <c r="IU219" s="16"/>
      <c r="IV219" s="16"/>
      <c r="IW219" s="16"/>
      <c r="IX219" s="16"/>
      <c r="IY219" s="15" t="str">
        <f t="shared" si="729"/>
        <v>NO APLICA</v>
      </c>
      <c r="IZ219" s="16"/>
      <c r="JA219" s="16"/>
      <c r="JB219" s="16"/>
      <c r="JC219" s="16"/>
      <c r="JD219" s="15" t="str">
        <f t="shared" si="730"/>
        <v>NO APLICA</v>
      </c>
      <c r="JE219" s="16"/>
      <c r="JF219" s="16"/>
      <c r="JG219" s="16"/>
      <c r="JH219" s="16"/>
      <c r="JI219" s="15" t="str">
        <f t="shared" si="731"/>
        <v>NO APLICA</v>
      </c>
      <c r="JJ219" s="16"/>
      <c r="JK219" s="16"/>
      <c r="JL219" s="16"/>
      <c r="JM219" s="15" t="str">
        <f t="shared" si="732"/>
        <v>NO APLICA</v>
      </c>
      <c r="JN219" s="16"/>
      <c r="JO219" s="16"/>
      <c r="JP219" s="16"/>
      <c r="JQ219" s="15" t="str">
        <f t="shared" si="733"/>
        <v>NO APLICA</v>
      </c>
      <c r="JR219" s="16"/>
      <c r="JS219" s="16"/>
      <c r="JT219" s="16"/>
      <c r="JU219" s="16"/>
      <c r="JV219" s="15" t="str">
        <f t="shared" si="734"/>
        <v>NO APLICA</v>
      </c>
      <c r="JW219" s="15"/>
      <c r="JX219" s="15"/>
      <c r="JY219" s="15"/>
      <c r="JZ219" s="15"/>
      <c r="KA219" s="15" t="str">
        <f t="shared" si="735"/>
        <v>NO APLICA</v>
      </c>
      <c r="KB219" s="16"/>
      <c r="KC219" s="16"/>
      <c r="KD219" s="16"/>
      <c r="KE219" s="15" t="str">
        <f t="shared" si="736"/>
        <v>NO APLICA</v>
      </c>
      <c r="KF219" s="16"/>
      <c r="KG219" s="16"/>
      <c r="KH219" s="16"/>
      <c r="KI219" s="15" t="str">
        <f t="shared" si="749"/>
        <v>NO APLICA</v>
      </c>
      <c r="KJ219" s="16"/>
      <c r="KK219" s="16"/>
      <c r="KL219" s="16"/>
      <c r="KM219" s="15" t="str">
        <f t="shared" si="737"/>
        <v>NO APLICA</v>
      </c>
      <c r="KN219" s="16"/>
      <c r="KO219" s="16"/>
      <c r="KP219" s="16"/>
      <c r="KQ219" s="15" t="str">
        <f t="shared" si="750"/>
        <v>NO APLICA</v>
      </c>
      <c r="KR219" s="16"/>
      <c r="KS219" s="16"/>
      <c r="KT219" s="16"/>
      <c r="KU219" s="16"/>
      <c r="KV219" s="15" t="str">
        <f t="shared" si="755"/>
        <v>NO APLICA</v>
      </c>
      <c r="KW219" s="16"/>
      <c r="KX219" s="16"/>
      <c r="KY219" s="16"/>
      <c r="KZ219" s="15" t="str">
        <f t="shared" si="751"/>
        <v>NO APLICA</v>
      </c>
      <c r="LA219" s="16"/>
      <c r="LB219" s="16"/>
      <c r="LC219" s="16"/>
      <c r="LD219" s="16"/>
      <c r="LE219" s="15" t="str">
        <f t="shared" si="590"/>
        <v>NO APLICA</v>
      </c>
      <c r="LF219" s="15"/>
      <c r="LG219" s="15"/>
      <c r="LH219" s="14"/>
      <c r="LI219" s="65"/>
      <c r="LJ219" s="15" t="str">
        <f t="shared" si="756"/>
        <v>NO APLICA</v>
      </c>
      <c r="LK219" s="16"/>
      <c r="LL219" s="16"/>
      <c r="LM219" s="16"/>
      <c r="LN219" s="16"/>
      <c r="LO219" s="15" t="str">
        <f t="shared" si="752"/>
        <v>NO APLICA</v>
      </c>
      <c r="LP219" s="16"/>
      <c r="LQ219" s="16"/>
      <c r="LR219" s="16"/>
      <c r="LS219" s="16"/>
      <c r="LT219" s="15" t="str">
        <f t="shared" si="753"/>
        <v>NO APLICA</v>
      </c>
      <c r="LU219" s="16"/>
      <c r="LV219" s="16"/>
      <c r="LW219" s="16"/>
      <c r="LX219" s="16"/>
      <c r="LY219" s="15" t="str">
        <f t="shared" si="754"/>
        <v>NO APLICA</v>
      </c>
      <c r="LZ219" s="16"/>
      <c r="MA219" s="16"/>
      <c r="MB219" s="16"/>
      <c r="MC219" s="16"/>
      <c r="MD219" s="15" t="str">
        <f t="shared" si="738"/>
        <v>NO APLICA</v>
      </c>
      <c r="ME219" s="16"/>
      <c r="MF219" s="16"/>
      <c r="MG219" s="16"/>
      <c r="MH219" s="16"/>
      <c r="MI219" s="15" t="str">
        <f t="shared" si="739"/>
        <v>NO APLICA</v>
      </c>
      <c r="MJ219" s="16"/>
      <c r="MK219" s="16"/>
      <c r="ML219" s="16"/>
      <c r="MM219" s="15" t="str">
        <f t="shared" si="740"/>
        <v>NO APLICA</v>
      </c>
      <c r="MN219" s="16"/>
      <c r="MO219" s="16"/>
      <c r="MP219" s="16"/>
      <c r="MQ219" s="15" t="str">
        <f t="shared" si="741"/>
        <v>NO APLICA</v>
      </c>
      <c r="MR219" s="16"/>
      <c r="MS219" s="16"/>
      <c r="MT219" s="16"/>
      <c r="MU219" s="16"/>
      <c r="MV219" s="15" t="str">
        <f t="shared" si="742"/>
        <v>NO APLICA</v>
      </c>
      <c r="MW219" s="16"/>
      <c r="MX219" s="16"/>
      <c r="MY219" s="16"/>
      <c r="MZ219" s="16"/>
      <c r="NA219" s="15" t="str">
        <f t="shared" si="743"/>
        <v>NO APLICA</v>
      </c>
      <c r="NB219" s="16"/>
      <c r="NC219" s="16"/>
      <c r="ND219" s="16"/>
      <c r="NE219" s="16"/>
      <c r="NF219" s="15" t="str">
        <f t="shared" si="744"/>
        <v>NO APLICA</v>
      </c>
      <c r="NG219" s="16"/>
      <c r="NH219" s="16"/>
      <c r="NI219" s="16"/>
      <c r="NJ219" s="16"/>
      <c r="NK219" s="15" t="str">
        <f t="shared" si="745"/>
        <v>NO APLICA</v>
      </c>
      <c r="NL219" s="16"/>
      <c r="NM219" s="16"/>
      <c r="NN219" s="16"/>
      <c r="NO219" s="16"/>
      <c r="NP219" s="15" t="str">
        <f t="shared" si="746"/>
        <v>NO APLICA</v>
      </c>
      <c r="NQ219" s="16"/>
      <c r="NR219" s="16"/>
      <c r="NS219" s="16"/>
      <c r="NT219" s="16"/>
      <c r="NU219" s="15" t="str">
        <f t="shared" si="747"/>
        <v>NO APLICA</v>
      </c>
      <c r="NV219" s="16"/>
      <c r="NW219" s="16"/>
      <c r="NX219" s="16"/>
      <c r="NY219" s="16"/>
      <c r="NZ219" s="15" t="str">
        <f t="shared" si="748"/>
        <v>NO APLICA</v>
      </c>
    </row>
    <row r="220" spans="1:390" ht="15.6" thickTop="1" thickBot="1" x14ac:dyDescent="0.35">
      <c r="A220" s="11">
        <v>1537</v>
      </c>
      <c r="B220" s="10" t="s">
        <v>728</v>
      </c>
      <c r="C220" s="21" t="s">
        <v>675</v>
      </c>
      <c r="D220" s="64" t="s">
        <v>729</v>
      </c>
      <c r="E220" s="16"/>
      <c r="F220" s="16"/>
      <c r="G220" s="16"/>
      <c r="H220" s="16"/>
      <c r="I220" s="15" t="str">
        <f t="shared" si="688"/>
        <v>NO APLICA</v>
      </c>
      <c r="J220" s="13"/>
      <c r="K220" s="14"/>
      <c r="L220" s="16"/>
      <c r="M220" s="16"/>
      <c r="N220" s="15" t="str">
        <f t="shared" si="691"/>
        <v>NO APLICA</v>
      </c>
      <c r="O220" s="16"/>
      <c r="P220" s="16"/>
      <c r="Q220" s="16"/>
      <c r="R220" s="16"/>
      <c r="S220" s="15" t="str">
        <f t="shared" si="689"/>
        <v>NO APLICA</v>
      </c>
      <c r="T220" s="16" t="s">
        <v>730</v>
      </c>
      <c r="U220" s="14">
        <v>46068</v>
      </c>
      <c r="V220" s="14">
        <v>46069</v>
      </c>
      <c r="W220" s="14">
        <f>DATE(YEAR(V220)+5,MONTH(V220),DAY(V220))</f>
        <v>47895</v>
      </c>
      <c r="X220" s="65">
        <f ca="1">W220-TODAY()</f>
        <v>1764</v>
      </c>
      <c r="Y220" s="15" t="str">
        <f ca="1">IF(X220&gt;=90,"VIGENTE",IF(X220&gt;=1,"POR VENCER",IF(X220&lt;=-1,"VENCIDA",IF(V220=0,"NO APLICA"))))</f>
        <v>VIGENTE</v>
      </c>
      <c r="Z220" s="16"/>
      <c r="AA220" s="16"/>
      <c r="AB220" s="16"/>
      <c r="AC220" s="16"/>
      <c r="AD220" s="16"/>
      <c r="AE220" s="15" t="str">
        <f t="shared" si="598"/>
        <v>NO APLICA</v>
      </c>
      <c r="AF220" s="14">
        <v>45334</v>
      </c>
      <c r="AG220" s="14">
        <v>46006</v>
      </c>
      <c r="AH220" s="14">
        <f>DATE(YEAR(AG220)+2,MONTH(AG220),DAY(AG220))</f>
        <v>46736</v>
      </c>
      <c r="AI220" s="65">
        <f ca="1">AH220-TODAY()</f>
        <v>605</v>
      </c>
      <c r="AJ220" s="15" t="str">
        <f ca="1">IF(AI220&gt;=91,"VIGENTE",IF(AI220&gt;=1,"POR VENCER",IF(AI220&lt;=-1,"VENCIDA",IF(AG220=0,"NO APLICA"))))</f>
        <v>VIGENTE</v>
      </c>
      <c r="AK220" s="14">
        <v>45307</v>
      </c>
      <c r="AL220" s="14">
        <v>45959</v>
      </c>
      <c r="AM220" s="14">
        <f>DATE(YEAR(AL220)+2,MONTH(AL220),DAY(AL220))</f>
        <v>46689</v>
      </c>
      <c r="AN220" s="65">
        <f ca="1">AM220-TODAY()</f>
        <v>558</v>
      </c>
      <c r="AO220" s="15" t="str">
        <f ca="1">IF(AN220&gt;=91,"VIGENTE",IF(AN220&gt;=1,"POR VENCER",IF(AN220&lt;=-1,"VENCIDA",IF(AL220=0,"NO APLICA"))))</f>
        <v>VIGENTE</v>
      </c>
      <c r="AP220" s="14">
        <v>45357</v>
      </c>
      <c r="AQ220" s="14">
        <v>45989</v>
      </c>
      <c r="AR220" s="14">
        <f>DATE(YEAR(AQ220)+2,MONTH(AQ220),DAY(AQ220))</f>
        <v>46719</v>
      </c>
      <c r="AS220" s="65">
        <f ca="1">AR220-TODAY()</f>
        <v>588</v>
      </c>
      <c r="AT220" s="15" t="str">
        <f ca="1">IF(AS220&gt;=91,"VIGENTE",IF(AS220&gt;=1,"POR VENCER",IF(AS220&lt;=-1,"VENCIDA",IF(AQ220=0,"NO APLICA"))))</f>
        <v>VIGENTE</v>
      </c>
      <c r="AU220" s="14"/>
      <c r="AV220" s="14">
        <v>45927</v>
      </c>
      <c r="AW220" s="14">
        <f>DATE(YEAR(AV220)+2,MONTH(AV220),DAY(AV220))</f>
        <v>46657</v>
      </c>
      <c r="AX220" s="65">
        <f ca="1">AW220-TODAY()</f>
        <v>526</v>
      </c>
      <c r="AY220" s="15" t="str">
        <f ca="1">IF(AX220&gt;=91,"VIGENTE",IF(AX220&gt;=1,"POR VENCER",IF(AX220&lt;=-1,"VENCIDA",IF(AV220=0,"NO APLICA"))))</f>
        <v>VIGENTE</v>
      </c>
      <c r="AZ220" s="14">
        <v>45387</v>
      </c>
      <c r="BA220" s="14">
        <v>45980</v>
      </c>
      <c r="BB220" s="14">
        <f>DATE(YEAR(BA220)+2,MONTH(BA220),DAY(BA220))</f>
        <v>46710</v>
      </c>
      <c r="BC220" s="65">
        <f ca="1">BB220-TODAY()</f>
        <v>579</v>
      </c>
      <c r="BD220" s="15" t="str">
        <f ca="1">IF(BC220&gt;=91,"VIGENTE",IF(BC220&gt;=1,"POR VENCER",IF(BC220&lt;=-1,"VENCIDA",IF(BA220=0,"NO APLICA"))))</f>
        <v>VIGENTE</v>
      </c>
      <c r="BE220" s="14">
        <v>45369</v>
      </c>
      <c r="BF220" s="14">
        <v>45997</v>
      </c>
      <c r="BG220" s="14">
        <f>DATE(YEAR(BF220)+2,MONTH(BF220),DAY(BF220))</f>
        <v>46727</v>
      </c>
      <c r="BH220" s="65">
        <f ca="1">BG220-TODAY()</f>
        <v>596</v>
      </c>
      <c r="BI220" s="15" t="str">
        <f ca="1">IF(BH220&gt;=91,"VIGENTE",IF(BH220&gt;=1,"POR VENCER",IF(BH220&lt;=-1,"VENCIDA",IF(BF220=0,"NO APLICA"))))</f>
        <v>VIGENTE</v>
      </c>
      <c r="BJ220" s="14">
        <v>45348</v>
      </c>
      <c r="BK220" s="14">
        <v>46017</v>
      </c>
      <c r="BL220" s="14">
        <f>DATE(YEAR(BK220)+2,MONTH(BK220),DAY(BK220))</f>
        <v>46747</v>
      </c>
      <c r="BM220" s="65">
        <f ca="1">BL220-TODAY()</f>
        <v>616</v>
      </c>
      <c r="BN220" s="15" t="str">
        <f ca="1">IF(BM220&gt;=91,"VIGENTE",IF(BM220&gt;=1,"POR VENCER",IF(BM220&lt;=-1,"VENCIDA",IF(BK220=0,"NO APLICA"))))</f>
        <v>VIGENTE</v>
      </c>
      <c r="BO220" s="14"/>
      <c r="BP220" s="14">
        <v>45988</v>
      </c>
      <c r="BQ220" s="14">
        <f>DATE(YEAR(BP220)+2,MONTH(BP220),DAY(BP220))</f>
        <v>46718</v>
      </c>
      <c r="BR220" s="65">
        <f ca="1">BQ220-TODAY()</f>
        <v>587</v>
      </c>
      <c r="BS220" s="15" t="str">
        <f ca="1">IF(BR220&gt;=91,"VIGENTE",IF(BR220&gt;=1,"POR VENCER",IF(BR220&lt;=-1,"VENCIDA",IF(BP220=0,"NO APLICA"))))</f>
        <v>VIGENTE</v>
      </c>
      <c r="BT220" s="14">
        <v>45362</v>
      </c>
      <c r="BU220" s="14">
        <v>45961</v>
      </c>
      <c r="BV220" s="14">
        <f>DATE(YEAR(BU220)+2,MONTH(BU220),DAY(BU220))</f>
        <v>46691</v>
      </c>
      <c r="BW220" s="65">
        <f ca="1">BV220-TODAY()</f>
        <v>560</v>
      </c>
      <c r="BX220" s="15" t="str">
        <f ca="1">IF(BW220&gt;=91,"VIGENTE",IF(BW220&gt;=1,"POR VENCER",IF(BW220&lt;=-1,"VENCIDA",IF(BU220=0,"NO APLICA"))))</f>
        <v>VIGENTE</v>
      </c>
      <c r="BY220" s="14"/>
      <c r="BZ220" s="14">
        <v>45986</v>
      </c>
      <c r="CA220" s="14">
        <f>DATE(YEAR(BZ220)+2,MONTH(BZ220),DAY(BZ220))</f>
        <v>46716</v>
      </c>
      <c r="CB220" s="65">
        <f ca="1">CA220-TODAY()</f>
        <v>585</v>
      </c>
      <c r="CC220" s="15" t="str">
        <f ca="1">IF(CB220&gt;=91,"VIGENTE",IF(CB220&gt;=1,"POR VENCER",IF(CB220&lt;=-1,"VENCIDA",IF(BZ220=0,"NO APLICA"))))</f>
        <v>VIGENTE</v>
      </c>
      <c r="CD220" s="16"/>
      <c r="CE220" s="16"/>
      <c r="CF220" s="16"/>
      <c r="CG220" s="16"/>
      <c r="CH220" s="16"/>
      <c r="CI220" s="15" t="str">
        <f t="shared" si="758"/>
        <v>NO APLICA</v>
      </c>
      <c r="CJ220" s="14">
        <v>45353</v>
      </c>
      <c r="CK220" s="14">
        <v>46018</v>
      </c>
      <c r="CL220" s="14">
        <f>DATE(YEAR(CK220)+2,MONTH(CK220),DAY(CK220))</f>
        <v>46748</v>
      </c>
      <c r="CM220" s="65">
        <f ca="1">CL220-TODAY()</f>
        <v>617</v>
      </c>
      <c r="CN220" s="15" t="str">
        <f ca="1">IF(CM220&gt;=91,"VIGENTE",IF(CM220&gt;=1,"POR VENCER",IF(CM220&lt;=-1,"VENCIDA",IF(CK220=0,"NO APLICA"))))</f>
        <v>VIGENTE</v>
      </c>
      <c r="CO220" s="14">
        <v>45379</v>
      </c>
      <c r="CP220" s="14">
        <v>45979</v>
      </c>
      <c r="CQ220" s="14">
        <f>DATE(YEAR(CP220)+2,MONTH(CP220),DAY(CP220))</f>
        <v>46709</v>
      </c>
      <c r="CR220" s="65">
        <f ca="1">CQ220-TODAY()</f>
        <v>578</v>
      </c>
      <c r="CS220" s="15" t="str">
        <f ca="1">IF(CR220&gt;=91,"VIGENTE",IF(CR220&gt;=1,"POR VENCER",IF(CR220&lt;=-1,"VENCIDA",IF(CP220=0,"NO APLICA"))))</f>
        <v>VIGENTE</v>
      </c>
      <c r="CT220" s="14">
        <v>45377</v>
      </c>
      <c r="CU220" s="14">
        <v>45965</v>
      </c>
      <c r="CV220" s="14">
        <f>DATE(YEAR(CU220)+2,MONTH(CU220),DAY(CU220))</f>
        <v>46695</v>
      </c>
      <c r="CW220" s="65">
        <f ca="1">CV220-TODAY()</f>
        <v>564</v>
      </c>
      <c r="CX220" s="15" t="str">
        <f ca="1">IF(CW220&gt;=91,"VIGENTE",IF(CW220&gt;=1,"POR VENCER",IF(CW220&lt;=-1,"VENCIDA",IF(CU220=0,"NO APLICA"))))</f>
        <v>VIGENTE</v>
      </c>
      <c r="CY220" s="14"/>
      <c r="CZ220" s="14">
        <v>46000</v>
      </c>
      <c r="DA220" s="14">
        <f>DATE(YEAR(CZ220)+2,MONTH(CZ220),DAY(CZ220))</f>
        <v>46730</v>
      </c>
      <c r="DB220" s="65">
        <f ca="1">DA220-TODAY()</f>
        <v>599</v>
      </c>
      <c r="DC220" s="15" t="str">
        <f ca="1">IF(DB220&gt;=91,"VIGENTE",IF(DB220&gt;=1,"POR VENCER",IF(DB220&lt;=-1,"VENCIDA",IF(CZ220=0,"NO APLICA"))))</f>
        <v>VIGENTE</v>
      </c>
      <c r="DD220" s="14">
        <v>45365</v>
      </c>
      <c r="DE220" s="14">
        <v>45996</v>
      </c>
      <c r="DF220" s="14">
        <f>DATE(YEAR(DE220)+2,MONTH(DE220),DAY(DE220))</f>
        <v>46726</v>
      </c>
      <c r="DG220" s="65">
        <f ca="1">DF220-TODAY()</f>
        <v>595</v>
      </c>
      <c r="DH220" s="15" t="str">
        <f ca="1">IF(DG220&gt;=91,"VIGENTE",IF(DG220&gt;=1,"POR VENCER",IF(DG220&lt;=-1,"VENCIDA",IF(DE220=0,"NO APLICA"))))</f>
        <v>VIGENTE</v>
      </c>
      <c r="DI220" s="14">
        <v>45296</v>
      </c>
      <c r="DJ220" s="14">
        <v>45955</v>
      </c>
      <c r="DK220" s="14">
        <f>DATE(YEAR(DJ220)+2,MONTH(DJ220),DAY(DJ220))</f>
        <v>46685</v>
      </c>
      <c r="DL220" s="65">
        <f ca="1">DK220-TODAY()</f>
        <v>554</v>
      </c>
      <c r="DM220" s="15" t="str">
        <f ca="1">IF(DL220&gt;=91,"VIGENTE",IF(DL220&gt;=1,"POR VENCER",IF(DL220&lt;=-1,"VENCIDA",IF(DJ220=0,"NO APLICA"))))</f>
        <v>VIGENTE</v>
      </c>
      <c r="DN220" s="14">
        <v>45378</v>
      </c>
      <c r="DO220" s="14">
        <v>46008</v>
      </c>
      <c r="DP220" s="14">
        <f>DATE(YEAR(DO220)+2,MONTH(DO220),DAY(DO220))</f>
        <v>46738</v>
      </c>
      <c r="DQ220" s="65">
        <f ca="1">DP220-TODAY()</f>
        <v>607</v>
      </c>
      <c r="DR220" s="15" t="str">
        <f ca="1">IF(DQ220&gt;=91,"VIGENTE",IF(DQ220&gt;=1,"POR VENCER",IF(DQ220&lt;=-1,"VENCIDA",IF(DO220=0,"NO APLICA"))))</f>
        <v>VIGENTE</v>
      </c>
      <c r="DS220" s="14">
        <v>45336</v>
      </c>
      <c r="DT220" s="13">
        <v>46009</v>
      </c>
      <c r="DU220" s="14">
        <f>DATE(YEAR(DT220)+2,MONTH(DT220),DAY(DT220))</f>
        <v>46739</v>
      </c>
      <c r="DV220" s="65">
        <f ca="1">DU220-TODAY()</f>
        <v>608</v>
      </c>
      <c r="DW220" s="15" t="str">
        <f ca="1">IF(DV220&gt;=91,"VIGENTE",IF(DV220&gt;=1,"POR VENCER",IF(DV220&lt;=-1,"VENCIDA",IF(DT220=0,"NO APLICA"))))</f>
        <v>VIGENTE</v>
      </c>
      <c r="DX220" s="14">
        <v>45355</v>
      </c>
      <c r="DY220" s="14">
        <v>46020</v>
      </c>
      <c r="DZ220" s="14">
        <f>DATE(YEAR(DY220)+2,MONTH(DY220),DAY(DY220))</f>
        <v>46750</v>
      </c>
      <c r="EA220" s="65">
        <f ca="1">DZ220-TODAY()</f>
        <v>619</v>
      </c>
      <c r="EB220" s="15" t="str">
        <f ca="1">IF(EA220&gt;=91,"VIGENTE",IF(EA220&gt;=1,"POR VENCER",IF(EA220&lt;=-1,"VENCIDA",IF(DY220=0,"NO APLICA"))))</f>
        <v>VIGENTE</v>
      </c>
      <c r="EC220" s="14">
        <v>45341</v>
      </c>
      <c r="ED220" s="14">
        <v>45994</v>
      </c>
      <c r="EE220" s="14">
        <f>DATE(YEAR(ED220)+2,MONTH(ED220),DAY(ED220))</f>
        <v>46724</v>
      </c>
      <c r="EF220" s="65">
        <f ca="1">EE220-TODAY()</f>
        <v>593</v>
      </c>
      <c r="EG220" s="15" t="str">
        <f ca="1">IF(EF220&gt;=91,"VIGENTE",IF(EF220&gt;=1,"POR VENCER",IF(EF220&lt;=-1,"VENCIDA",IF(ED220=0,"NO APLICA"))))</f>
        <v>VIGENTE</v>
      </c>
      <c r="EH220" s="14"/>
      <c r="EI220" s="13">
        <v>46013</v>
      </c>
      <c r="EJ220" s="13">
        <v>46014</v>
      </c>
      <c r="EK220" s="13">
        <v>46015</v>
      </c>
      <c r="EL220" s="14">
        <f t="shared" ref="EL220:EL237" si="760">DATE(YEAR(EK220)+1,MONTH(EK220),DAY(EK220))</f>
        <v>46380</v>
      </c>
      <c r="EM220" s="65">
        <f ca="1">EL220-TODAY()</f>
        <v>249</v>
      </c>
      <c r="EN220" s="15" t="str">
        <f ca="1">IF(EM220&gt;=91,"VIGENTE",IF(EM220&gt;=1,"POR VENCER",IF(EM220&lt;=-1,"VENCIDA",IF(EK220=0,"NO APLICA"))))</f>
        <v>VIGENTE</v>
      </c>
      <c r="EO220" s="13">
        <v>45346</v>
      </c>
      <c r="EP220" s="14">
        <v>45983</v>
      </c>
      <c r="EQ220" s="14">
        <f>DATE(YEAR(EP220)+2,MONTH(EP220),DAY(EP220))</f>
        <v>46713</v>
      </c>
      <c r="ER220" s="65">
        <f ca="1">EQ220-TODAY()</f>
        <v>582</v>
      </c>
      <c r="ES220" s="15" t="str">
        <f ca="1">IF(ER220&gt;=91,"VIGENTE",IF(ER220&gt;=1,"POR VENCER",IF(ER220&lt;=-1,"VENCIDA",IF(EP220=0,"NO APLICA"))))</f>
        <v>VIGENTE</v>
      </c>
      <c r="ET220" s="14"/>
      <c r="EU220" s="14">
        <v>45999</v>
      </c>
      <c r="EV220" s="14">
        <f>DATE(YEAR(EU220)+2,MONTH(EU220),DAY(EU220))</f>
        <v>46729</v>
      </c>
      <c r="EW220" s="65">
        <f ca="1">EV220-TODAY()</f>
        <v>598</v>
      </c>
      <c r="EX220" s="15" t="str">
        <f ca="1">IF(EW220&gt;=91,"VIGENTE",IF(EW220&gt;=1,"POR VENCER",IF(EW220&lt;=-1,"VENCIDA",IF(EU220=0,"NO APLICA"))))</f>
        <v>VIGENTE</v>
      </c>
      <c r="EY220" s="14">
        <v>45373</v>
      </c>
      <c r="EZ220" s="14">
        <v>45964</v>
      </c>
      <c r="FA220" s="14">
        <f>DATE(YEAR(EZ220)+2,MONTH(EZ220),DAY(EZ220))</f>
        <v>46694</v>
      </c>
      <c r="FB220" s="65">
        <f ca="1">FA220-TODAY()</f>
        <v>563</v>
      </c>
      <c r="FC220" s="15" t="str">
        <f ca="1">IF(FB220&gt;=91,"VIGENTE",IF(FB220&gt;=1,"POR VENCER",IF(FB220&lt;=-1,"VENCIDA",IF(EZ220=0,"NO APLICA"))))</f>
        <v>VIGENTE</v>
      </c>
      <c r="FD220" s="14">
        <v>45297</v>
      </c>
      <c r="FE220" s="14">
        <v>46010</v>
      </c>
      <c r="FF220" s="14">
        <f>DATE(YEAR(FE220)+2,MONTH(FE220),DAY(FE220))</f>
        <v>46740</v>
      </c>
      <c r="FG220" s="65">
        <f ca="1">FF220-TODAY()</f>
        <v>609</v>
      </c>
      <c r="FH220" s="15" t="str">
        <f ca="1">IF(FG220&gt;=91,"VIGENTE",IF(FG220&gt;=1,"POR VENCER",IF(FG220&lt;=-1,"VENCIDA",IF(FE220=0,"NO APLICA"))))</f>
        <v>VIGENTE</v>
      </c>
      <c r="FI220" s="14">
        <v>45374</v>
      </c>
      <c r="FJ220" s="14">
        <v>45992</v>
      </c>
      <c r="FK220" s="14">
        <f>DATE(YEAR(FJ220)+2,MONTH(FJ220),DAY(FJ220))</f>
        <v>46722</v>
      </c>
      <c r="FL220" s="65">
        <f ca="1">FK220-TODAY()</f>
        <v>591</v>
      </c>
      <c r="FM220" s="15" t="str">
        <f ca="1">IF(FL220&gt;=91,"VIGENTE",IF(FL220&gt;=1,"POR VENCER",IF(FL220&lt;=-1,"VENCIDA",IF(FJ220=0,"NO APLICA"))))</f>
        <v>VIGENTE</v>
      </c>
      <c r="FN220" s="14">
        <v>45359</v>
      </c>
      <c r="FO220" s="14">
        <v>45933</v>
      </c>
      <c r="FP220" s="14">
        <f>DATE(YEAR(FO220)+2,MONTH(FO220),DAY(FO220))</f>
        <v>46663</v>
      </c>
      <c r="FQ220" s="65">
        <f ca="1">FP220-TODAY()</f>
        <v>532</v>
      </c>
      <c r="FR220" s="15" t="str">
        <f ca="1">IF(FQ220&gt;=91,"VIGENTE",IF(FQ220&gt;=1,"POR VENCER",IF(FQ220&lt;=-1,"VENCIDA",IF(FO220=0,"NO APLICA"))))</f>
        <v>VIGENTE</v>
      </c>
      <c r="FS220" s="14">
        <v>45358</v>
      </c>
      <c r="FT220" s="14">
        <v>45957</v>
      </c>
      <c r="FU220" s="14">
        <f>DATE(YEAR(FT220)+2,MONTH(FT220),DAY(FT220))</f>
        <v>46687</v>
      </c>
      <c r="FV220" s="65">
        <f ca="1">FU220-TODAY()</f>
        <v>556</v>
      </c>
      <c r="FW220" s="15" t="str">
        <f ca="1">IF(FV220&gt;=91,"VIGENTE",IF(FV220&gt;=1,"POR VENCER",IF(FV220&lt;=-1,"VENCIDA",IF(FT220=0,"NO APLICA"))))</f>
        <v>VIGENTE</v>
      </c>
      <c r="FX220" s="14">
        <v>45324</v>
      </c>
      <c r="FY220" s="14">
        <v>46004</v>
      </c>
      <c r="FZ220" s="14">
        <f>DATE(YEAR(FY220)+2,MONTH(FY220),DAY(FY220))</f>
        <v>46734</v>
      </c>
      <c r="GA220" s="65">
        <f ca="1">FZ220-TODAY()</f>
        <v>603</v>
      </c>
      <c r="GB220" s="15" t="str">
        <f ca="1">IF(GA220&gt;=91,"VIGENTE",IF(GA220&gt;=1,"POR VENCER",IF(GA220&lt;=-1,"VENCIDA",IF(FY220=0,"NO APLICA"))))</f>
        <v>VIGENTE</v>
      </c>
      <c r="GC220" s="14">
        <v>45371</v>
      </c>
      <c r="GD220" s="14">
        <v>46003</v>
      </c>
      <c r="GE220" s="14">
        <f>DATE(YEAR(GD220)+2,MONTH(GD220),DAY(GD220))</f>
        <v>46733</v>
      </c>
      <c r="GF220" s="65">
        <f ca="1">GE220-TODAY()</f>
        <v>602</v>
      </c>
      <c r="GG220" s="15" t="str">
        <f ca="1">IF(GF220&gt;=91,"VIGENTE",IF(GF220&gt;=1,"POR VENCER",IF(GF220&lt;=-1,"VENCIDA",IF(GD220=0,"NO APLICA"))))</f>
        <v>VIGENTE</v>
      </c>
      <c r="GH220" s="14">
        <v>45332</v>
      </c>
      <c r="GI220" s="14">
        <v>45985</v>
      </c>
      <c r="GJ220" s="14">
        <f>DATE(YEAR(GI220)+2,MONTH(GI220),DAY(GI220))</f>
        <v>46715</v>
      </c>
      <c r="GK220" s="65">
        <f ca="1">GJ220-TODAY()</f>
        <v>584</v>
      </c>
      <c r="GL220" s="15" t="str">
        <f ca="1">IF(GK220&gt;=91,"VIGENTE",IF(GK220&gt;=1,"POR VENCER",IF(GK220&lt;=-1,"VENCIDA",IF(GI220=0,"NO APLICA"))))</f>
        <v>VIGENTE</v>
      </c>
      <c r="GM220" s="14"/>
      <c r="GN220" s="14">
        <v>45958</v>
      </c>
      <c r="GO220" s="14">
        <f>DATE(YEAR(GN220)+2,MONTH(GN220),DAY(GN220))</f>
        <v>46688</v>
      </c>
      <c r="GP220" s="65">
        <f ca="1">GO220-TODAY()</f>
        <v>557</v>
      </c>
      <c r="GQ220" s="15" t="str">
        <f ca="1">IF(GP220&gt;=61,"VIGENTE",IF(GP220&gt;=1,"POR VENCER",IF(GP220&lt;=-1,"VENCIDA",IF(GN220=0,"NO APLICA"))))</f>
        <v>VIGENTE</v>
      </c>
      <c r="GR220" s="14"/>
      <c r="GS220" s="16"/>
      <c r="GT220" s="16"/>
      <c r="GU220" s="16"/>
      <c r="GV220" s="15" t="str">
        <f t="shared" si="601"/>
        <v>NO APLICA</v>
      </c>
      <c r="GW220" s="14"/>
      <c r="GX220" s="16"/>
      <c r="GY220" s="16"/>
      <c r="GZ220" s="16"/>
      <c r="HA220" s="15" t="str">
        <f t="shared" si="602"/>
        <v>NO APLICA</v>
      </c>
      <c r="HB220" s="16"/>
      <c r="HC220" s="16"/>
      <c r="HD220" s="16"/>
      <c r="HE220" s="16"/>
      <c r="HF220" s="15" t="str">
        <f t="shared" si="603"/>
        <v>NO APLICA</v>
      </c>
      <c r="HG220" s="16"/>
      <c r="HH220" s="16"/>
      <c r="HI220" s="14"/>
      <c r="HJ220" s="65"/>
      <c r="HK220" s="15" t="str">
        <f t="shared" si="690"/>
        <v>NO APLICA</v>
      </c>
      <c r="HL220" s="16"/>
      <c r="HM220" s="16"/>
      <c r="HN220" s="16"/>
      <c r="HO220" s="16"/>
      <c r="HP220" s="15" t="str">
        <f t="shared" si="686"/>
        <v>NO APLICA</v>
      </c>
      <c r="HQ220" s="16"/>
      <c r="HR220" s="16"/>
      <c r="HS220" s="16"/>
      <c r="HT220" s="16"/>
      <c r="HU220" s="15" t="str">
        <f t="shared" si="723"/>
        <v>NO APLICA</v>
      </c>
      <c r="HV220" s="16"/>
      <c r="HW220" s="16"/>
      <c r="HX220" s="16"/>
      <c r="HY220" s="16"/>
      <c r="HZ220" s="15" t="str">
        <f t="shared" si="724"/>
        <v>NO APLICA</v>
      </c>
      <c r="IA220" s="16"/>
      <c r="IB220" s="16"/>
      <c r="IC220" s="16"/>
      <c r="ID220" s="16"/>
      <c r="IE220" s="15" t="str">
        <f t="shared" si="725"/>
        <v>NO APLICA</v>
      </c>
      <c r="IF220" s="16"/>
      <c r="IG220" s="16"/>
      <c r="IH220" s="16"/>
      <c r="II220" s="16"/>
      <c r="IJ220" s="15" t="str">
        <f t="shared" si="726"/>
        <v>NO APLICA</v>
      </c>
      <c r="IK220" s="16"/>
      <c r="IL220" s="16"/>
      <c r="IM220" s="16"/>
      <c r="IN220" s="16"/>
      <c r="IO220" s="15" t="str">
        <f t="shared" si="727"/>
        <v>NO APLICA</v>
      </c>
      <c r="IP220" s="16"/>
      <c r="IQ220" s="16"/>
      <c r="IR220" s="16"/>
      <c r="IS220" s="16"/>
      <c r="IT220" s="15" t="str">
        <f t="shared" si="728"/>
        <v>NO APLICA</v>
      </c>
      <c r="IU220" s="16"/>
      <c r="IV220" s="16"/>
      <c r="IW220" s="16"/>
      <c r="IX220" s="16"/>
      <c r="IY220" s="15" t="str">
        <f t="shared" si="729"/>
        <v>NO APLICA</v>
      </c>
      <c r="IZ220" s="16"/>
      <c r="JA220" s="16"/>
      <c r="JB220" s="16"/>
      <c r="JC220" s="16"/>
      <c r="JD220" s="15" t="str">
        <f t="shared" si="730"/>
        <v>NO APLICA</v>
      </c>
      <c r="JE220" s="16"/>
      <c r="JF220" s="16"/>
      <c r="JG220" s="16"/>
      <c r="JH220" s="16"/>
      <c r="JI220" s="15" t="str">
        <f t="shared" si="731"/>
        <v>NO APLICA</v>
      </c>
      <c r="JJ220" s="16"/>
      <c r="JK220" s="16"/>
      <c r="JL220" s="16"/>
      <c r="JM220" s="15" t="str">
        <f t="shared" si="732"/>
        <v>NO APLICA</v>
      </c>
      <c r="JN220" s="16"/>
      <c r="JO220" s="16"/>
      <c r="JP220" s="16"/>
      <c r="JQ220" s="15" t="str">
        <f t="shared" si="733"/>
        <v>NO APLICA</v>
      </c>
      <c r="JR220" s="16"/>
      <c r="JS220" s="16"/>
      <c r="JT220" s="16"/>
      <c r="JU220" s="16"/>
      <c r="JV220" s="15" t="str">
        <f t="shared" si="734"/>
        <v>NO APLICA</v>
      </c>
      <c r="JW220" s="15"/>
      <c r="JX220" s="13">
        <v>45948</v>
      </c>
      <c r="JY220" s="14">
        <f t="shared" ref="JY220:JY221" si="761">DATE(YEAR(JX220)+2,MONTH(JX220),DAY(JX220))</f>
        <v>46678</v>
      </c>
      <c r="JZ220" s="65">
        <f ca="1">JY220-TODAY()</f>
        <v>547</v>
      </c>
      <c r="KA220" s="15" t="str">
        <f ca="1">IF(JZ220&gt;=61,"VIGENTE",IF(JZ220&gt;=1,"POR VENCER",IF(JZ220&lt;=-1,"VENCIDA",IF(JX220=0,"NO APLICA"))))</f>
        <v>VIGENTE</v>
      </c>
      <c r="KB220" s="16"/>
      <c r="KC220" s="16"/>
      <c r="KD220" s="16"/>
      <c r="KE220" s="15" t="str">
        <f t="shared" si="736"/>
        <v>NO APLICA</v>
      </c>
      <c r="KF220" s="16"/>
      <c r="KG220" s="16"/>
      <c r="KH220" s="16"/>
      <c r="KI220" s="15" t="str">
        <f t="shared" si="749"/>
        <v>NO APLICA</v>
      </c>
      <c r="KJ220" s="16"/>
      <c r="KK220" s="16"/>
      <c r="KL220" s="16"/>
      <c r="KM220" s="15" t="str">
        <f t="shared" si="737"/>
        <v>NO APLICA</v>
      </c>
      <c r="KN220" s="16"/>
      <c r="KO220" s="16"/>
      <c r="KP220" s="16"/>
      <c r="KQ220" s="15" t="str">
        <f t="shared" si="750"/>
        <v>NO APLICA</v>
      </c>
      <c r="KR220" s="16"/>
      <c r="KS220" s="16"/>
      <c r="KT220" s="16"/>
      <c r="KU220" s="16"/>
      <c r="KV220" s="15" t="str">
        <f t="shared" si="755"/>
        <v>NO APLICA</v>
      </c>
      <c r="KW220" s="16"/>
      <c r="KX220" s="16"/>
      <c r="KY220" s="16"/>
      <c r="KZ220" s="15" t="str">
        <f t="shared" si="751"/>
        <v>NO APLICA</v>
      </c>
      <c r="LA220" s="16"/>
      <c r="LB220" s="16"/>
      <c r="LC220" s="16"/>
      <c r="LD220" s="16"/>
      <c r="LE220" s="15" t="str">
        <f t="shared" si="590"/>
        <v>NO APLICA</v>
      </c>
      <c r="LF220" s="15"/>
      <c r="LG220" s="15"/>
      <c r="LH220" s="14"/>
      <c r="LI220" s="65"/>
      <c r="LJ220" s="15" t="str">
        <f t="shared" si="756"/>
        <v>NO APLICA</v>
      </c>
      <c r="LK220" s="16"/>
      <c r="LL220" s="16"/>
      <c r="LM220" s="16"/>
      <c r="LN220" s="16"/>
      <c r="LO220" s="15" t="str">
        <f t="shared" si="752"/>
        <v>NO APLICA</v>
      </c>
      <c r="LP220" s="16"/>
      <c r="LQ220" s="16"/>
      <c r="LR220" s="16"/>
      <c r="LS220" s="16"/>
      <c r="LT220" s="15" t="str">
        <f t="shared" si="753"/>
        <v>NO APLICA</v>
      </c>
      <c r="LU220" s="16"/>
      <c r="LV220" s="16"/>
      <c r="LW220" s="16"/>
      <c r="LX220" s="16"/>
      <c r="LY220" s="15" t="str">
        <f t="shared" si="754"/>
        <v>NO APLICA</v>
      </c>
      <c r="LZ220" s="16"/>
      <c r="MA220" s="16"/>
      <c r="MB220" s="16"/>
      <c r="MC220" s="16"/>
      <c r="MD220" s="15" t="str">
        <f t="shared" si="738"/>
        <v>NO APLICA</v>
      </c>
      <c r="ME220" s="16"/>
      <c r="MF220" s="16"/>
      <c r="MG220" s="16"/>
      <c r="MH220" s="16"/>
      <c r="MI220" s="15" t="str">
        <f t="shared" si="739"/>
        <v>NO APLICA</v>
      </c>
      <c r="MJ220" s="16"/>
      <c r="MK220" s="16"/>
      <c r="ML220" s="16"/>
      <c r="MM220" s="15" t="str">
        <f t="shared" si="740"/>
        <v>NO APLICA</v>
      </c>
      <c r="MN220" s="16"/>
      <c r="MO220" s="16"/>
      <c r="MP220" s="16"/>
      <c r="MQ220" s="15" t="str">
        <f t="shared" si="741"/>
        <v>NO APLICA</v>
      </c>
      <c r="MR220" s="16"/>
      <c r="MS220" s="16"/>
      <c r="MT220" s="16"/>
      <c r="MU220" s="16"/>
      <c r="MV220" s="15" t="str">
        <f t="shared" si="742"/>
        <v>NO APLICA</v>
      </c>
      <c r="MW220" s="16"/>
      <c r="MX220" s="16"/>
      <c r="MY220" s="16"/>
      <c r="MZ220" s="16"/>
      <c r="NA220" s="15" t="str">
        <f t="shared" si="743"/>
        <v>NO APLICA</v>
      </c>
      <c r="NB220" s="16"/>
      <c r="NC220" s="16"/>
      <c r="ND220" s="16"/>
      <c r="NE220" s="16"/>
      <c r="NF220" s="15" t="str">
        <f t="shared" si="744"/>
        <v>NO APLICA</v>
      </c>
      <c r="NG220" s="16"/>
      <c r="NH220" s="16"/>
      <c r="NI220" s="16"/>
      <c r="NJ220" s="16"/>
      <c r="NK220" s="15" t="str">
        <f t="shared" si="745"/>
        <v>NO APLICA</v>
      </c>
      <c r="NL220" s="16"/>
      <c r="NM220" s="16"/>
      <c r="NN220" s="16"/>
      <c r="NO220" s="16"/>
      <c r="NP220" s="15" t="str">
        <f t="shared" si="746"/>
        <v>NO APLICA</v>
      </c>
      <c r="NQ220" s="16"/>
      <c r="NR220" s="16"/>
      <c r="NS220" s="16"/>
      <c r="NT220" s="16"/>
      <c r="NU220" s="15" t="str">
        <f t="shared" si="747"/>
        <v>NO APLICA</v>
      </c>
      <c r="NV220" s="16"/>
      <c r="NW220" s="16"/>
      <c r="NX220" s="16"/>
      <c r="NY220" s="16"/>
      <c r="NZ220" s="15" t="str">
        <f t="shared" si="748"/>
        <v>NO APLICA</v>
      </c>
    </row>
    <row r="221" spans="1:390" ht="15.6" thickTop="1" thickBot="1" x14ac:dyDescent="0.35">
      <c r="A221" s="11">
        <v>1525</v>
      </c>
      <c r="B221" s="10" t="s">
        <v>731</v>
      </c>
      <c r="C221" s="21" t="s">
        <v>687</v>
      </c>
      <c r="D221" s="64" t="s">
        <v>688</v>
      </c>
      <c r="E221" s="16"/>
      <c r="F221" s="16"/>
      <c r="G221" s="16"/>
      <c r="H221" s="16"/>
      <c r="I221" s="15" t="str">
        <f t="shared" si="688"/>
        <v>NO APLICA</v>
      </c>
      <c r="J221" s="16"/>
      <c r="K221" s="16"/>
      <c r="L221" s="16"/>
      <c r="M221" s="16"/>
      <c r="N221" s="15" t="str">
        <f t="shared" si="691"/>
        <v>NO APLICA</v>
      </c>
      <c r="O221" s="16"/>
      <c r="P221" s="16"/>
      <c r="Q221" s="16"/>
      <c r="R221" s="16"/>
      <c r="S221" s="15" t="str">
        <f t="shared" si="689"/>
        <v>NO APLICA</v>
      </c>
      <c r="T221" s="16"/>
      <c r="U221" s="14"/>
      <c r="V221" s="14"/>
      <c r="W221" s="14"/>
      <c r="X221" s="65"/>
      <c r="Y221" s="15" t="str">
        <f t="shared" si="595"/>
        <v>NO APLICA</v>
      </c>
      <c r="Z221" s="16"/>
      <c r="AA221" s="16"/>
      <c r="AB221" s="16"/>
      <c r="AC221" s="16"/>
      <c r="AD221" s="16"/>
      <c r="AE221" s="15" t="str">
        <f t="shared" si="598"/>
        <v>NO APLICA</v>
      </c>
      <c r="AF221" s="14"/>
      <c r="AG221" s="14"/>
      <c r="AH221" s="14"/>
      <c r="AI221" s="16"/>
      <c r="AJ221" s="15" t="str">
        <f t="shared" si="592"/>
        <v>NO APLICA</v>
      </c>
      <c r="AK221" s="14"/>
      <c r="AL221" s="14"/>
      <c r="AM221" s="14"/>
      <c r="AN221" s="16"/>
      <c r="AO221" s="15" t="str">
        <f t="shared" si="692"/>
        <v>NO APLICA</v>
      </c>
      <c r="AP221" s="14"/>
      <c r="AQ221" s="14"/>
      <c r="AR221" s="14"/>
      <c r="AS221" s="16"/>
      <c r="AT221" s="15" t="str">
        <f t="shared" si="693"/>
        <v>NO APLICA</v>
      </c>
      <c r="AU221" s="14"/>
      <c r="AV221" s="14"/>
      <c r="AW221" s="14"/>
      <c r="AX221" s="16"/>
      <c r="AY221" s="15" t="str">
        <f t="shared" si="694"/>
        <v>NO APLICA</v>
      </c>
      <c r="AZ221" s="14"/>
      <c r="BA221" s="14"/>
      <c r="BB221" s="14"/>
      <c r="BC221" s="16"/>
      <c r="BD221" s="15" t="str">
        <f t="shared" si="695"/>
        <v>NO APLICA</v>
      </c>
      <c r="BE221" s="14"/>
      <c r="BF221" s="14"/>
      <c r="BG221" s="14"/>
      <c r="BH221" s="16"/>
      <c r="BI221" s="15" t="str">
        <f t="shared" si="696"/>
        <v>NO APLICA</v>
      </c>
      <c r="BJ221" s="14"/>
      <c r="BK221" s="14"/>
      <c r="BL221" s="14"/>
      <c r="BM221" s="16"/>
      <c r="BN221" s="15" t="str">
        <f t="shared" si="697"/>
        <v>NO APLICA</v>
      </c>
      <c r="BO221" s="14"/>
      <c r="BP221" s="14"/>
      <c r="BQ221" s="14"/>
      <c r="BR221" s="16"/>
      <c r="BS221" s="15" t="str">
        <f t="shared" si="698"/>
        <v>NO APLICA</v>
      </c>
      <c r="BT221" s="14"/>
      <c r="BU221" s="14"/>
      <c r="BV221" s="14"/>
      <c r="BW221" s="16"/>
      <c r="BX221" s="15" t="str">
        <f t="shared" si="699"/>
        <v>NO APLICA</v>
      </c>
      <c r="BY221" s="14"/>
      <c r="BZ221" s="14"/>
      <c r="CA221" s="14"/>
      <c r="CB221" s="16"/>
      <c r="CC221" s="15" t="str">
        <f t="shared" si="700"/>
        <v>NO APLICA</v>
      </c>
      <c r="CD221" s="16"/>
      <c r="CE221" s="16"/>
      <c r="CF221" s="16"/>
      <c r="CG221" s="16"/>
      <c r="CH221" s="16"/>
      <c r="CI221" s="15" t="str">
        <f t="shared" si="758"/>
        <v>NO APLICA</v>
      </c>
      <c r="CJ221" s="14"/>
      <c r="CK221" s="14"/>
      <c r="CL221" s="14"/>
      <c r="CM221" s="16"/>
      <c r="CN221" s="15" t="str">
        <f t="shared" si="701"/>
        <v>NO APLICA</v>
      </c>
      <c r="CO221" s="14"/>
      <c r="CP221" s="14"/>
      <c r="CQ221" s="14"/>
      <c r="CR221" s="16"/>
      <c r="CS221" s="15" t="str">
        <f t="shared" si="702"/>
        <v>NO APLICA</v>
      </c>
      <c r="CT221" s="14"/>
      <c r="CU221" s="14"/>
      <c r="CV221" s="14"/>
      <c r="CW221" s="16"/>
      <c r="CX221" s="15" t="str">
        <f t="shared" si="703"/>
        <v>NO APLICA</v>
      </c>
      <c r="CY221" s="14"/>
      <c r="CZ221" s="14"/>
      <c r="DA221" s="14"/>
      <c r="DB221" s="16"/>
      <c r="DC221" s="15" t="str">
        <f t="shared" si="704"/>
        <v>NO APLICA</v>
      </c>
      <c r="DD221" s="14"/>
      <c r="DE221" s="14"/>
      <c r="DF221" s="14"/>
      <c r="DG221" s="16"/>
      <c r="DH221" s="15" t="str">
        <f t="shared" si="705"/>
        <v>NO APLICA</v>
      </c>
      <c r="DI221" s="14"/>
      <c r="DJ221" s="14"/>
      <c r="DK221" s="14"/>
      <c r="DL221" s="16"/>
      <c r="DM221" s="15" t="str">
        <f t="shared" si="706"/>
        <v>NO APLICA</v>
      </c>
      <c r="DN221" s="14"/>
      <c r="DO221" s="14"/>
      <c r="DP221" s="14"/>
      <c r="DQ221" s="16"/>
      <c r="DR221" s="15" t="str">
        <f t="shared" si="707"/>
        <v>NO APLICA</v>
      </c>
      <c r="DS221" s="14"/>
      <c r="DT221" s="14"/>
      <c r="DU221" s="14"/>
      <c r="DV221" s="16"/>
      <c r="DW221" s="15" t="str">
        <f t="shared" si="708"/>
        <v>NO APLICA</v>
      </c>
      <c r="DX221" s="14"/>
      <c r="DY221" s="14"/>
      <c r="DZ221" s="14"/>
      <c r="EA221" s="16"/>
      <c r="EB221" s="15" t="str">
        <f t="shared" si="709"/>
        <v>NO APLICA</v>
      </c>
      <c r="EC221" s="14"/>
      <c r="ED221" s="14"/>
      <c r="EE221" s="14"/>
      <c r="EF221" s="16"/>
      <c r="EG221" s="15" t="str">
        <f t="shared" si="710"/>
        <v>NO APLICA</v>
      </c>
      <c r="EH221" s="14"/>
      <c r="EI221" s="14"/>
      <c r="EJ221" s="14"/>
      <c r="EK221" s="14"/>
      <c r="EL221" s="14"/>
      <c r="EM221" s="65"/>
      <c r="EN221" s="15" t="str">
        <f t="shared" si="711"/>
        <v>NO APLICA</v>
      </c>
      <c r="EO221" s="14"/>
      <c r="EP221" s="14"/>
      <c r="EQ221" s="14"/>
      <c r="ER221" s="65"/>
      <c r="ES221" s="15" t="str">
        <f t="shared" si="712"/>
        <v>NO APLICA</v>
      </c>
      <c r="ET221" s="14"/>
      <c r="EU221" s="14"/>
      <c r="EV221" s="14"/>
      <c r="EW221" s="65"/>
      <c r="EX221" s="15" t="str">
        <f t="shared" si="713"/>
        <v>NO APLICA</v>
      </c>
      <c r="EY221" s="14"/>
      <c r="EZ221" s="14"/>
      <c r="FA221" s="14"/>
      <c r="FB221" s="16"/>
      <c r="FC221" s="15" t="str">
        <f t="shared" si="714"/>
        <v>NO APLICA</v>
      </c>
      <c r="FD221" s="14"/>
      <c r="FE221" s="14"/>
      <c r="FF221" s="14"/>
      <c r="FG221" s="16"/>
      <c r="FH221" s="15" t="str">
        <f t="shared" si="715"/>
        <v>NO APLICA</v>
      </c>
      <c r="FI221" s="14"/>
      <c r="FJ221" s="14"/>
      <c r="FK221" s="14"/>
      <c r="FL221" s="16"/>
      <c r="FM221" s="15" t="str">
        <f t="shared" si="716"/>
        <v>NO APLICA</v>
      </c>
      <c r="FN221" s="14"/>
      <c r="FO221" s="14"/>
      <c r="FP221" s="14"/>
      <c r="FQ221" s="16"/>
      <c r="FR221" s="15" t="str">
        <f t="shared" si="717"/>
        <v>NO APLICA</v>
      </c>
      <c r="FS221" s="14"/>
      <c r="FT221" s="14"/>
      <c r="FU221" s="14"/>
      <c r="FV221" s="16"/>
      <c r="FW221" s="15" t="str">
        <f t="shared" si="718"/>
        <v>NO APLICA</v>
      </c>
      <c r="FX221" s="14"/>
      <c r="FY221" s="14"/>
      <c r="FZ221" s="14"/>
      <c r="GA221" s="16"/>
      <c r="GB221" s="15" t="str">
        <f t="shared" si="719"/>
        <v>NO APLICA</v>
      </c>
      <c r="GC221" s="14"/>
      <c r="GD221" s="14"/>
      <c r="GE221" s="14"/>
      <c r="GF221" s="16"/>
      <c r="GG221" s="15" t="str">
        <f t="shared" si="720"/>
        <v>NO APLICA</v>
      </c>
      <c r="GH221" s="14"/>
      <c r="GI221" s="14"/>
      <c r="GJ221" s="14"/>
      <c r="GK221" s="65"/>
      <c r="GL221" s="15" t="str">
        <f t="shared" si="721"/>
        <v>NO APLICA</v>
      </c>
      <c r="GM221" s="14"/>
      <c r="GN221" s="16"/>
      <c r="GO221" s="16"/>
      <c r="GP221" s="16"/>
      <c r="GQ221" s="15" t="str">
        <f t="shared" si="722"/>
        <v>NO APLICA</v>
      </c>
      <c r="GR221" s="14"/>
      <c r="GS221" s="16"/>
      <c r="GT221" s="16"/>
      <c r="GU221" s="16"/>
      <c r="GV221" s="15" t="str">
        <f t="shared" si="601"/>
        <v>NO APLICA</v>
      </c>
      <c r="GW221" s="14"/>
      <c r="GX221" s="16"/>
      <c r="GY221" s="16"/>
      <c r="GZ221" s="16"/>
      <c r="HA221" s="15" t="str">
        <f t="shared" si="602"/>
        <v>NO APLICA</v>
      </c>
      <c r="HB221" s="16"/>
      <c r="HC221" s="16"/>
      <c r="HD221" s="16"/>
      <c r="HE221" s="16"/>
      <c r="HF221" s="15" t="str">
        <f t="shared" si="603"/>
        <v>NO APLICA</v>
      </c>
      <c r="HG221" s="16"/>
      <c r="HH221" s="16"/>
      <c r="HI221" s="14"/>
      <c r="HJ221" s="65"/>
      <c r="HK221" s="15" t="str">
        <f t="shared" si="690"/>
        <v>NO APLICA</v>
      </c>
      <c r="HL221" s="16"/>
      <c r="HM221" s="16"/>
      <c r="HN221" s="16"/>
      <c r="HO221" s="16"/>
      <c r="HP221" s="15" t="str">
        <f t="shared" si="686"/>
        <v>NO APLICA</v>
      </c>
      <c r="HQ221" s="16"/>
      <c r="HR221" s="16"/>
      <c r="HS221" s="16"/>
      <c r="HT221" s="16"/>
      <c r="HU221" s="15" t="str">
        <f t="shared" si="723"/>
        <v>NO APLICA</v>
      </c>
      <c r="HV221" s="16"/>
      <c r="HW221" s="16"/>
      <c r="HX221" s="16"/>
      <c r="HY221" s="16"/>
      <c r="HZ221" s="15" t="str">
        <f t="shared" si="724"/>
        <v>NO APLICA</v>
      </c>
      <c r="IA221" s="16"/>
      <c r="IB221" s="16"/>
      <c r="IC221" s="16"/>
      <c r="ID221" s="16"/>
      <c r="IE221" s="15" t="str">
        <f t="shared" si="725"/>
        <v>NO APLICA</v>
      </c>
      <c r="IF221" s="16"/>
      <c r="IG221" s="16"/>
      <c r="IH221" s="16"/>
      <c r="II221" s="16"/>
      <c r="IJ221" s="15" t="str">
        <f t="shared" si="726"/>
        <v>NO APLICA</v>
      </c>
      <c r="IK221" s="16"/>
      <c r="IL221" s="16"/>
      <c r="IM221" s="16"/>
      <c r="IN221" s="16"/>
      <c r="IO221" s="15" t="str">
        <f t="shared" si="727"/>
        <v>NO APLICA</v>
      </c>
      <c r="IP221" s="16"/>
      <c r="IQ221" s="16"/>
      <c r="IR221" s="16"/>
      <c r="IS221" s="16"/>
      <c r="IT221" s="15" t="str">
        <f t="shared" si="728"/>
        <v>NO APLICA</v>
      </c>
      <c r="IU221" s="16"/>
      <c r="IV221" s="16"/>
      <c r="IW221" s="16"/>
      <c r="IX221" s="16"/>
      <c r="IY221" s="15" t="str">
        <f t="shared" si="729"/>
        <v>NO APLICA</v>
      </c>
      <c r="IZ221" s="16"/>
      <c r="JA221" s="16"/>
      <c r="JB221" s="16"/>
      <c r="JC221" s="16"/>
      <c r="JD221" s="15" t="str">
        <f t="shared" si="730"/>
        <v>NO APLICA</v>
      </c>
      <c r="JE221" s="16"/>
      <c r="JF221" s="16"/>
      <c r="JG221" s="16"/>
      <c r="JH221" s="16"/>
      <c r="JI221" s="15" t="str">
        <f t="shared" si="731"/>
        <v>NO APLICA</v>
      </c>
      <c r="JJ221" s="16"/>
      <c r="JK221" s="16"/>
      <c r="JL221" s="16"/>
      <c r="JM221" s="15" t="str">
        <f t="shared" si="732"/>
        <v>NO APLICA</v>
      </c>
      <c r="JN221" s="16"/>
      <c r="JO221" s="16"/>
      <c r="JP221" s="16"/>
      <c r="JQ221" s="15" t="str">
        <f t="shared" si="733"/>
        <v>NO APLICA</v>
      </c>
      <c r="JR221" s="16"/>
      <c r="JS221" s="16"/>
      <c r="JT221" s="16"/>
      <c r="JU221" s="16"/>
      <c r="JV221" s="15" t="str">
        <f t="shared" si="734"/>
        <v>NO APLICA</v>
      </c>
      <c r="JW221" s="15"/>
      <c r="JX221" s="13">
        <v>45948</v>
      </c>
      <c r="JY221" s="14">
        <f t="shared" si="761"/>
        <v>46678</v>
      </c>
      <c r="JZ221" s="65">
        <f ca="1">JY221-TODAY()</f>
        <v>547</v>
      </c>
      <c r="KA221" s="15" t="str">
        <f ca="1">IF(JZ221&gt;=61,"VIGENTE",IF(JZ221&gt;=1,"POR VENCER",IF(JZ221&lt;=-1,"VENCIDA",IF(JX221=0,"NO APLICA"))))</f>
        <v>VIGENTE</v>
      </c>
      <c r="KB221" s="16"/>
      <c r="KC221" s="16"/>
      <c r="KD221" s="16"/>
      <c r="KE221" s="15" t="str">
        <f t="shared" si="736"/>
        <v>NO APLICA</v>
      </c>
      <c r="KF221" s="16"/>
      <c r="KG221" s="16"/>
      <c r="KH221" s="16"/>
      <c r="KI221" s="15" t="str">
        <f t="shared" si="749"/>
        <v>NO APLICA</v>
      </c>
      <c r="KJ221" s="16"/>
      <c r="KK221" s="16"/>
      <c r="KL221" s="16"/>
      <c r="KM221" s="15" t="str">
        <f t="shared" si="737"/>
        <v>NO APLICA</v>
      </c>
      <c r="KN221" s="16"/>
      <c r="KO221" s="16"/>
      <c r="KP221" s="16"/>
      <c r="KQ221" s="15" t="str">
        <f t="shared" si="750"/>
        <v>NO APLICA</v>
      </c>
      <c r="KR221" s="16"/>
      <c r="KS221" s="16"/>
      <c r="KT221" s="16"/>
      <c r="KU221" s="16"/>
      <c r="KV221" s="15" t="str">
        <f t="shared" si="755"/>
        <v>NO APLICA</v>
      </c>
      <c r="KW221" s="16"/>
      <c r="KX221" s="16"/>
      <c r="KY221" s="16"/>
      <c r="KZ221" s="15" t="str">
        <f t="shared" si="751"/>
        <v>NO APLICA</v>
      </c>
      <c r="LA221" s="16"/>
      <c r="LB221" s="16"/>
      <c r="LC221" s="16"/>
      <c r="LD221" s="16"/>
      <c r="LE221" s="15" t="str">
        <f t="shared" si="590"/>
        <v>NO APLICA</v>
      </c>
      <c r="LF221" s="15"/>
      <c r="LG221" s="15"/>
      <c r="LH221" s="14"/>
      <c r="LI221" s="65"/>
      <c r="LJ221" s="15" t="str">
        <f t="shared" si="756"/>
        <v>NO APLICA</v>
      </c>
      <c r="LK221" s="16"/>
      <c r="LL221" s="16"/>
      <c r="LM221" s="16"/>
      <c r="LN221" s="16"/>
      <c r="LO221" s="15" t="str">
        <f t="shared" si="752"/>
        <v>NO APLICA</v>
      </c>
      <c r="LP221" s="16"/>
      <c r="LQ221" s="16"/>
      <c r="LR221" s="16"/>
      <c r="LS221" s="16"/>
      <c r="LT221" s="15" t="str">
        <f t="shared" si="753"/>
        <v>NO APLICA</v>
      </c>
      <c r="LU221" s="16"/>
      <c r="LV221" s="16"/>
      <c r="LW221" s="16"/>
      <c r="LX221" s="16"/>
      <c r="LY221" s="15" t="str">
        <f t="shared" si="754"/>
        <v>NO APLICA</v>
      </c>
      <c r="LZ221" s="16"/>
      <c r="MA221" s="16"/>
      <c r="MB221" s="16"/>
      <c r="MC221" s="16"/>
      <c r="MD221" s="15" t="str">
        <f t="shared" si="738"/>
        <v>NO APLICA</v>
      </c>
      <c r="ME221" s="16"/>
      <c r="MF221" s="16"/>
      <c r="MG221" s="16"/>
      <c r="MH221" s="16"/>
      <c r="MI221" s="15" t="str">
        <f t="shared" si="739"/>
        <v>NO APLICA</v>
      </c>
      <c r="MJ221" s="16"/>
      <c r="MK221" s="16"/>
      <c r="ML221" s="16"/>
      <c r="MM221" s="15" t="str">
        <f t="shared" si="740"/>
        <v>NO APLICA</v>
      </c>
      <c r="MN221" s="16"/>
      <c r="MO221" s="16"/>
      <c r="MP221" s="16"/>
      <c r="MQ221" s="15" t="str">
        <f t="shared" si="741"/>
        <v>NO APLICA</v>
      </c>
      <c r="MR221" s="16"/>
      <c r="MS221" s="16"/>
      <c r="MT221" s="16"/>
      <c r="MU221" s="16"/>
      <c r="MV221" s="15" t="str">
        <f t="shared" si="742"/>
        <v>NO APLICA</v>
      </c>
      <c r="MW221" s="16"/>
      <c r="MX221" s="16"/>
      <c r="MY221" s="16"/>
      <c r="MZ221" s="16"/>
      <c r="NA221" s="15" t="str">
        <f t="shared" si="743"/>
        <v>NO APLICA</v>
      </c>
      <c r="NB221" s="16"/>
      <c r="NC221" s="16"/>
      <c r="ND221" s="16"/>
      <c r="NE221" s="16"/>
      <c r="NF221" s="15" t="str">
        <f t="shared" si="744"/>
        <v>NO APLICA</v>
      </c>
      <c r="NG221" s="16"/>
      <c r="NH221" s="16"/>
      <c r="NI221" s="16"/>
      <c r="NJ221" s="16"/>
      <c r="NK221" s="15" t="str">
        <f t="shared" si="745"/>
        <v>NO APLICA</v>
      </c>
      <c r="NL221" s="16"/>
      <c r="NM221" s="16"/>
      <c r="NN221" s="16"/>
      <c r="NO221" s="16"/>
      <c r="NP221" s="15" t="str">
        <f t="shared" si="746"/>
        <v>NO APLICA</v>
      </c>
      <c r="NQ221" s="16"/>
      <c r="NR221" s="16"/>
      <c r="NS221" s="16"/>
      <c r="NT221" s="16"/>
      <c r="NU221" s="15" t="str">
        <f t="shared" si="747"/>
        <v>NO APLICA</v>
      </c>
      <c r="NV221" s="16"/>
      <c r="NW221" s="16"/>
      <c r="NX221" s="16"/>
      <c r="NY221" s="16"/>
      <c r="NZ221" s="15" t="str">
        <f t="shared" si="748"/>
        <v>NO APLICA</v>
      </c>
    </row>
    <row r="222" spans="1:390" ht="15.6" thickTop="1" thickBot="1" x14ac:dyDescent="0.35">
      <c r="A222" s="11">
        <v>603</v>
      </c>
      <c r="B222" s="10" t="s">
        <v>732</v>
      </c>
      <c r="C222" s="21" t="s">
        <v>693</v>
      </c>
      <c r="D222" s="64" t="s">
        <v>733</v>
      </c>
      <c r="E222" s="16"/>
      <c r="F222" s="16"/>
      <c r="G222" s="16"/>
      <c r="H222" s="16"/>
      <c r="I222" s="15" t="str">
        <f t="shared" si="688"/>
        <v>NO APLICA</v>
      </c>
      <c r="J222" s="16"/>
      <c r="K222" s="16"/>
      <c r="L222" s="16"/>
      <c r="M222" s="16"/>
      <c r="N222" s="15" t="str">
        <f t="shared" si="691"/>
        <v>NO APLICA</v>
      </c>
      <c r="O222" s="16"/>
      <c r="P222" s="16"/>
      <c r="Q222" s="16"/>
      <c r="R222" s="16"/>
      <c r="S222" s="15" t="str">
        <f t="shared" si="689"/>
        <v>NO APLICA</v>
      </c>
      <c r="T222" s="16"/>
      <c r="U222" s="14"/>
      <c r="V222" s="14"/>
      <c r="W222" s="14"/>
      <c r="X222" s="65"/>
      <c r="Y222" s="15" t="str">
        <f t="shared" si="595"/>
        <v>NO APLICA</v>
      </c>
      <c r="Z222" s="16"/>
      <c r="AA222" s="16"/>
      <c r="AB222" s="16"/>
      <c r="AC222" s="16"/>
      <c r="AD222" s="16"/>
      <c r="AE222" s="15" t="str">
        <f t="shared" si="598"/>
        <v>NO APLICA</v>
      </c>
      <c r="AF222" s="14"/>
      <c r="AG222" s="14"/>
      <c r="AH222" s="14"/>
      <c r="AI222" s="16"/>
      <c r="AJ222" s="15" t="str">
        <f t="shared" si="592"/>
        <v>NO APLICA</v>
      </c>
      <c r="AK222" s="14"/>
      <c r="AL222" s="14"/>
      <c r="AM222" s="14"/>
      <c r="AN222" s="16"/>
      <c r="AO222" s="15" t="str">
        <f t="shared" si="692"/>
        <v>NO APLICA</v>
      </c>
      <c r="AP222" s="14"/>
      <c r="AQ222" s="14"/>
      <c r="AR222" s="14"/>
      <c r="AS222" s="16"/>
      <c r="AT222" s="15" t="str">
        <f t="shared" si="693"/>
        <v>NO APLICA</v>
      </c>
      <c r="AU222" s="14"/>
      <c r="AV222" s="14"/>
      <c r="AW222" s="14"/>
      <c r="AX222" s="16"/>
      <c r="AY222" s="15" t="str">
        <f t="shared" si="694"/>
        <v>NO APLICA</v>
      </c>
      <c r="AZ222" s="14"/>
      <c r="BA222" s="14"/>
      <c r="BB222" s="14"/>
      <c r="BC222" s="16"/>
      <c r="BD222" s="15" t="str">
        <f t="shared" si="695"/>
        <v>NO APLICA</v>
      </c>
      <c r="BE222" s="14"/>
      <c r="BF222" s="14"/>
      <c r="BG222" s="14"/>
      <c r="BH222" s="16"/>
      <c r="BI222" s="15" t="str">
        <f t="shared" si="696"/>
        <v>NO APLICA</v>
      </c>
      <c r="BJ222" s="14"/>
      <c r="BK222" s="14"/>
      <c r="BL222" s="14"/>
      <c r="BM222" s="16"/>
      <c r="BN222" s="15" t="str">
        <f t="shared" si="697"/>
        <v>NO APLICA</v>
      </c>
      <c r="BO222" s="14"/>
      <c r="BP222" s="14"/>
      <c r="BQ222" s="14"/>
      <c r="BR222" s="16"/>
      <c r="BS222" s="15" t="str">
        <f t="shared" si="698"/>
        <v>NO APLICA</v>
      </c>
      <c r="BT222" s="14"/>
      <c r="BU222" s="14"/>
      <c r="BV222" s="14"/>
      <c r="BW222" s="16"/>
      <c r="BX222" s="15" t="str">
        <f t="shared" si="699"/>
        <v>NO APLICA</v>
      </c>
      <c r="BY222" s="14"/>
      <c r="BZ222" s="14"/>
      <c r="CA222" s="14"/>
      <c r="CB222" s="16"/>
      <c r="CC222" s="15" t="str">
        <f t="shared" si="700"/>
        <v>NO APLICA</v>
      </c>
      <c r="CD222" s="16"/>
      <c r="CE222" s="16"/>
      <c r="CF222" s="16"/>
      <c r="CG222" s="16"/>
      <c r="CH222" s="16"/>
      <c r="CI222" s="15" t="str">
        <f t="shared" si="758"/>
        <v>NO APLICA</v>
      </c>
      <c r="CJ222" s="14"/>
      <c r="CK222" s="14"/>
      <c r="CL222" s="14"/>
      <c r="CM222" s="16"/>
      <c r="CN222" s="15" t="str">
        <f t="shared" si="701"/>
        <v>NO APLICA</v>
      </c>
      <c r="CO222" s="14"/>
      <c r="CP222" s="14"/>
      <c r="CQ222" s="14"/>
      <c r="CR222" s="16"/>
      <c r="CS222" s="15" t="str">
        <f t="shared" si="702"/>
        <v>NO APLICA</v>
      </c>
      <c r="CT222" s="14"/>
      <c r="CU222" s="14"/>
      <c r="CV222" s="14"/>
      <c r="CW222" s="16"/>
      <c r="CX222" s="15" t="str">
        <f t="shared" si="703"/>
        <v>NO APLICA</v>
      </c>
      <c r="CY222" s="14"/>
      <c r="CZ222" s="14"/>
      <c r="DA222" s="14"/>
      <c r="DB222" s="16"/>
      <c r="DC222" s="15" t="str">
        <f t="shared" si="704"/>
        <v>NO APLICA</v>
      </c>
      <c r="DD222" s="14"/>
      <c r="DE222" s="14"/>
      <c r="DF222" s="14"/>
      <c r="DG222" s="16"/>
      <c r="DH222" s="15" t="str">
        <f t="shared" si="705"/>
        <v>NO APLICA</v>
      </c>
      <c r="DI222" s="14"/>
      <c r="DJ222" s="14"/>
      <c r="DK222" s="14"/>
      <c r="DL222" s="16"/>
      <c r="DM222" s="15" t="str">
        <f t="shared" si="706"/>
        <v>NO APLICA</v>
      </c>
      <c r="DN222" s="14"/>
      <c r="DO222" s="14"/>
      <c r="DP222" s="14"/>
      <c r="DQ222" s="16"/>
      <c r="DR222" s="15" t="str">
        <f t="shared" si="707"/>
        <v>NO APLICA</v>
      </c>
      <c r="DS222" s="14"/>
      <c r="DT222" s="14"/>
      <c r="DU222" s="14"/>
      <c r="DV222" s="16"/>
      <c r="DW222" s="15" t="str">
        <f t="shared" si="708"/>
        <v>NO APLICA</v>
      </c>
      <c r="DX222" s="14"/>
      <c r="DY222" s="14"/>
      <c r="DZ222" s="14"/>
      <c r="EA222" s="16"/>
      <c r="EB222" s="15" t="str">
        <f t="shared" si="709"/>
        <v>NO APLICA</v>
      </c>
      <c r="EC222" s="14"/>
      <c r="ED222" s="14"/>
      <c r="EE222" s="14"/>
      <c r="EF222" s="16"/>
      <c r="EG222" s="15" t="str">
        <f t="shared" si="710"/>
        <v>NO APLICA</v>
      </c>
      <c r="EH222" s="14"/>
      <c r="EI222" s="14"/>
      <c r="EJ222" s="14"/>
      <c r="EK222" s="14"/>
      <c r="EL222" s="14"/>
      <c r="EM222" s="65"/>
      <c r="EN222" s="15" t="str">
        <f t="shared" si="711"/>
        <v>NO APLICA</v>
      </c>
      <c r="EO222" s="14"/>
      <c r="EP222" s="14"/>
      <c r="EQ222" s="14"/>
      <c r="ER222" s="65"/>
      <c r="ES222" s="15" t="str">
        <f t="shared" si="712"/>
        <v>NO APLICA</v>
      </c>
      <c r="ET222" s="14"/>
      <c r="EU222" s="14"/>
      <c r="EV222" s="14"/>
      <c r="EW222" s="65"/>
      <c r="EX222" s="15" t="str">
        <f t="shared" si="713"/>
        <v>NO APLICA</v>
      </c>
      <c r="EY222" s="14"/>
      <c r="EZ222" s="14"/>
      <c r="FA222" s="14"/>
      <c r="FB222" s="16"/>
      <c r="FC222" s="15" t="str">
        <f t="shared" si="714"/>
        <v>NO APLICA</v>
      </c>
      <c r="FD222" s="14"/>
      <c r="FE222" s="14"/>
      <c r="FF222" s="14"/>
      <c r="FG222" s="16"/>
      <c r="FH222" s="15" t="str">
        <f t="shared" si="715"/>
        <v>NO APLICA</v>
      </c>
      <c r="FI222" s="14"/>
      <c r="FJ222" s="14"/>
      <c r="FK222" s="14"/>
      <c r="FL222" s="16"/>
      <c r="FM222" s="15" t="str">
        <f t="shared" si="716"/>
        <v>NO APLICA</v>
      </c>
      <c r="FN222" s="14"/>
      <c r="FO222" s="14"/>
      <c r="FP222" s="14"/>
      <c r="FQ222" s="16"/>
      <c r="FR222" s="15" t="str">
        <f t="shared" si="717"/>
        <v>NO APLICA</v>
      </c>
      <c r="FS222" s="14"/>
      <c r="FT222" s="14"/>
      <c r="FU222" s="14"/>
      <c r="FV222" s="16"/>
      <c r="FW222" s="15" t="str">
        <f t="shared" si="718"/>
        <v>NO APLICA</v>
      </c>
      <c r="FX222" s="14"/>
      <c r="FY222" s="14"/>
      <c r="FZ222" s="14"/>
      <c r="GA222" s="16"/>
      <c r="GB222" s="15" t="str">
        <f t="shared" si="719"/>
        <v>NO APLICA</v>
      </c>
      <c r="GC222" s="14"/>
      <c r="GD222" s="14"/>
      <c r="GE222" s="14"/>
      <c r="GF222" s="16"/>
      <c r="GG222" s="15" t="str">
        <f t="shared" si="720"/>
        <v>NO APLICA</v>
      </c>
      <c r="GH222" s="14"/>
      <c r="GI222" s="14"/>
      <c r="GJ222" s="14"/>
      <c r="GK222" s="65"/>
      <c r="GL222" s="15" t="str">
        <f t="shared" si="721"/>
        <v>NO APLICA</v>
      </c>
      <c r="GM222" s="14"/>
      <c r="GN222" s="16"/>
      <c r="GO222" s="16"/>
      <c r="GP222" s="16"/>
      <c r="GQ222" s="15" t="str">
        <f t="shared" si="722"/>
        <v>NO APLICA</v>
      </c>
      <c r="GR222" s="14"/>
      <c r="GS222" s="16"/>
      <c r="GT222" s="16"/>
      <c r="GU222" s="16"/>
      <c r="GV222" s="15" t="str">
        <f t="shared" si="601"/>
        <v>NO APLICA</v>
      </c>
      <c r="GW222" s="14"/>
      <c r="GX222" s="16"/>
      <c r="GY222" s="16"/>
      <c r="GZ222" s="16"/>
      <c r="HA222" s="15" t="str">
        <f t="shared" si="602"/>
        <v>NO APLICA</v>
      </c>
      <c r="HB222" s="16"/>
      <c r="HC222" s="16"/>
      <c r="HD222" s="16"/>
      <c r="HE222" s="16"/>
      <c r="HF222" s="15" t="str">
        <f t="shared" si="603"/>
        <v>NO APLICA</v>
      </c>
      <c r="HG222" s="16"/>
      <c r="HH222" s="16"/>
      <c r="HI222" s="14"/>
      <c r="HJ222" s="65"/>
      <c r="HK222" s="15" t="str">
        <f t="shared" si="690"/>
        <v>NO APLICA</v>
      </c>
      <c r="HL222" s="16"/>
      <c r="HM222" s="16"/>
      <c r="HN222" s="16"/>
      <c r="HO222" s="16"/>
      <c r="HP222" s="15" t="str">
        <f t="shared" si="686"/>
        <v>NO APLICA</v>
      </c>
      <c r="HQ222" s="16"/>
      <c r="HR222" s="16"/>
      <c r="HS222" s="16"/>
      <c r="HT222" s="16"/>
      <c r="HU222" s="15" t="str">
        <f t="shared" si="723"/>
        <v>NO APLICA</v>
      </c>
      <c r="HV222" s="16"/>
      <c r="HW222" s="16"/>
      <c r="HX222" s="16"/>
      <c r="HY222" s="16"/>
      <c r="HZ222" s="15" t="str">
        <f t="shared" si="724"/>
        <v>NO APLICA</v>
      </c>
      <c r="IA222" s="16"/>
      <c r="IB222" s="16"/>
      <c r="IC222" s="16"/>
      <c r="ID222" s="16"/>
      <c r="IE222" s="15" t="str">
        <f t="shared" si="725"/>
        <v>NO APLICA</v>
      </c>
      <c r="IF222" s="16"/>
      <c r="IG222" s="16"/>
      <c r="IH222" s="16"/>
      <c r="II222" s="16"/>
      <c r="IJ222" s="15" t="str">
        <f t="shared" si="726"/>
        <v>NO APLICA</v>
      </c>
      <c r="IK222" s="16"/>
      <c r="IL222" s="16"/>
      <c r="IM222" s="16"/>
      <c r="IN222" s="16"/>
      <c r="IO222" s="15" t="str">
        <f t="shared" si="727"/>
        <v>NO APLICA</v>
      </c>
      <c r="IP222" s="16"/>
      <c r="IQ222" s="16"/>
      <c r="IR222" s="16"/>
      <c r="IS222" s="16"/>
      <c r="IT222" s="15" t="str">
        <f t="shared" si="728"/>
        <v>NO APLICA</v>
      </c>
      <c r="IU222" s="16"/>
      <c r="IV222" s="16"/>
      <c r="IW222" s="16"/>
      <c r="IX222" s="16"/>
      <c r="IY222" s="15" t="str">
        <f t="shared" si="729"/>
        <v>NO APLICA</v>
      </c>
      <c r="IZ222" s="16"/>
      <c r="JA222" s="16"/>
      <c r="JB222" s="16"/>
      <c r="JC222" s="16"/>
      <c r="JD222" s="15" t="str">
        <f t="shared" si="730"/>
        <v>NO APLICA</v>
      </c>
      <c r="JE222" s="16"/>
      <c r="JF222" s="16"/>
      <c r="JG222" s="16"/>
      <c r="JH222" s="16"/>
      <c r="JI222" s="15" t="str">
        <f t="shared" si="731"/>
        <v>NO APLICA</v>
      </c>
      <c r="JJ222" s="16"/>
      <c r="JK222" s="16"/>
      <c r="JL222" s="16"/>
      <c r="JM222" s="15" t="str">
        <f t="shared" si="732"/>
        <v>NO APLICA</v>
      </c>
      <c r="JN222" s="16"/>
      <c r="JO222" s="16"/>
      <c r="JP222" s="16"/>
      <c r="JQ222" s="15" t="str">
        <f t="shared" si="733"/>
        <v>NO APLICA</v>
      </c>
      <c r="JR222" s="16"/>
      <c r="JS222" s="16"/>
      <c r="JT222" s="16"/>
      <c r="JU222" s="16"/>
      <c r="JV222" s="15" t="str">
        <f t="shared" si="734"/>
        <v>NO APLICA</v>
      </c>
      <c r="JW222" s="15"/>
      <c r="JX222" s="15"/>
      <c r="JY222" s="15"/>
      <c r="JZ222" s="15"/>
      <c r="KA222" s="15" t="str">
        <f t="shared" si="735"/>
        <v>NO APLICA</v>
      </c>
      <c r="KB222" s="16"/>
      <c r="KC222" s="16"/>
      <c r="KD222" s="16"/>
      <c r="KE222" s="15" t="str">
        <f t="shared" si="736"/>
        <v>NO APLICA</v>
      </c>
      <c r="KF222" s="16"/>
      <c r="KG222" s="16"/>
      <c r="KH222" s="16"/>
      <c r="KI222" s="15" t="str">
        <f t="shared" si="749"/>
        <v>NO APLICA</v>
      </c>
      <c r="KJ222" s="16"/>
      <c r="KK222" s="16"/>
      <c r="KL222" s="16"/>
      <c r="KM222" s="15" t="str">
        <f t="shared" si="737"/>
        <v>NO APLICA</v>
      </c>
      <c r="KN222" s="16"/>
      <c r="KO222" s="16"/>
      <c r="KP222" s="16"/>
      <c r="KQ222" s="15" t="str">
        <f t="shared" si="750"/>
        <v>NO APLICA</v>
      </c>
      <c r="KR222" s="16"/>
      <c r="KS222" s="16"/>
      <c r="KT222" s="16"/>
      <c r="KU222" s="16"/>
      <c r="KV222" s="15" t="str">
        <f t="shared" si="755"/>
        <v>NO APLICA</v>
      </c>
      <c r="KW222" s="16"/>
      <c r="KX222" s="16"/>
      <c r="KY222" s="16"/>
      <c r="KZ222" s="15" t="str">
        <f t="shared" si="751"/>
        <v>NO APLICA</v>
      </c>
      <c r="LA222" s="16"/>
      <c r="LB222" s="16"/>
      <c r="LC222" s="16"/>
      <c r="LD222" s="16"/>
      <c r="LE222" s="15" t="str">
        <f t="shared" si="590"/>
        <v>NO APLICA</v>
      </c>
      <c r="LF222" s="15"/>
      <c r="LG222" s="15"/>
      <c r="LH222" s="14"/>
      <c r="LI222" s="65"/>
      <c r="LJ222" s="15" t="str">
        <f t="shared" si="756"/>
        <v>NO APLICA</v>
      </c>
      <c r="LK222" s="16"/>
      <c r="LL222" s="16"/>
      <c r="LM222" s="16"/>
      <c r="LN222" s="16"/>
      <c r="LO222" s="15" t="str">
        <f t="shared" si="752"/>
        <v>NO APLICA</v>
      </c>
      <c r="LP222" s="16"/>
      <c r="LQ222" s="16"/>
      <c r="LR222" s="16"/>
      <c r="LS222" s="16"/>
      <c r="LT222" s="15" t="str">
        <f t="shared" si="753"/>
        <v>NO APLICA</v>
      </c>
      <c r="LU222" s="16"/>
      <c r="LV222" s="16"/>
      <c r="LW222" s="16"/>
      <c r="LX222" s="16"/>
      <c r="LY222" s="15" t="str">
        <f t="shared" si="754"/>
        <v>NO APLICA</v>
      </c>
      <c r="LZ222" s="16"/>
      <c r="MA222" s="16"/>
      <c r="MB222" s="16"/>
      <c r="MC222" s="16"/>
      <c r="MD222" s="15" t="str">
        <f t="shared" si="738"/>
        <v>NO APLICA</v>
      </c>
      <c r="ME222" s="16"/>
      <c r="MF222" s="16"/>
      <c r="MG222" s="16"/>
      <c r="MH222" s="16"/>
      <c r="MI222" s="15" t="str">
        <f t="shared" si="739"/>
        <v>NO APLICA</v>
      </c>
      <c r="MJ222" s="16"/>
      <c r="MK222" s="16"/>
      <c r="ML222" s="16"/>
      <c r="MM222" s="15" t="str">
        <f t="shared" si="740"/>
        <v>NO APLICA</v>
      </c>
      <c r="MN222" s="16"/>
      <c r="MO222" s="16"/>
      <c r="MP222" s="16"/>
      <c r="MQ222" s="15" t="str">
        <f t="shared" si="741"/>
        <v>NO APLICA</v>
      </c>
      <c r="MR222" s="16"/>
      <c r="MS222" s="16"/>
      <c r="MT222" s="16"/>
      <c r="MU222" s="16"/>
      <c r="MV222" s="15" t="str">
        <f t="shared" si="742"/>
        <v>NO APLICA</v>
      </c>
      <c r="MW222" s="16"/>
      <c r="MX222" s="16"/>
      <c r="MY222" s="16"/>
      <c r="MZ222" s="16"/>
      <c r="NA222" s="15" t="str">
        <f t="shared" si="743"/>
        <v>NO APLICA</v>
      </c>
      <c r="NB222" s="16"/>
      <c r="NC222" s="16"/>
      <c r="ND222" s="16"/>
      <c r="NE222" s="16"/>
      <c r="NF222" s="15" t="str">
        <f t="shared" si="744"/>
        <v>NO APLICA</v>
      </c>
      <c r="NG222" s="16"/>
      <c r="NH222" s="16"/>
      <c r="NI222" s="16"/>
      <c r="NJ222" s="16"/>
      <c r="NK222" s="15" t="str">
        <f t="shared" si="745"/>
        <v>NO APLICA</v>
      </c>
      <c r="NL222" s="16"/>
      <c r="NM222" s="16"/>
      <c r="NN222" s="16"/>
      <c r="NO222" s="16"/>
      <c r="NP222" s="15" t="str">
        <f t="shared" si="746"/>
        <v>NO APLICA</v>
      </c>
      <c r="NQ222" s="16"/>
      <c r="NR222" s="16"/>
      <c r="NS222" s="16"/>
      <c r="NT222" s="16"/>
      <c r="NU222" s="15" t="str">
        <f t="shared" si="747"/>
        <v>NO APLICA</v>
      </c>
      <c r="NV222" s="16"/>
      <c r="NW222" s="16"/>
      <c r="NX222" s="16"/>
      <c r="NY222" s="16"/>
      <c r="NZ222" s="15" t="str">
        <f t="shared" si="748"/>
        <v>NO APLICA</v>
      </c>
    </row>
    <row r="223" spans="1:390" ht="15.6" thickTop="1" thickBot="1" x14ac:dyDescent="0.35">
      <c r="A223" s="11">
        <v>1657</v>
      </c>
      <c r="B223" s="10" t="s">
        <v>734</v>
      </c>
      <c r="C223" s="21" t="s">
        <v>735</v>
      </c>
      <c r="D223" s="64" t="s">
        <v>736</v>
      </c>
      <c r="E223" s="16"/>
      <c r="F223" s="16"/>
      <c r="G223" s="16"/>
      <c r="H223" s="16"/>
      <c r="I223" s="15" t="str">
        <f t="shared" si="688"/>
        <v>NO APLICA</v>
      </c>
      <c r="J223" s="16"/>
      <c r="K223" s="16"/>
      <c r="L223" s="16"/>
      <c r="M223" s="16"/>
      <c r="N223" s="15" t="str">
        <f t="shared" si="691"/>
        <v>NO APLICA</v>
      </c>
      <c r="O223" s="16"/>
      <c r="P223" s="16"/>
      <c r="Q223" s="16"/>
      <c r="R223" s="16"/>
      <c r="S223" s="15" t="str">
        <f t="shared" si="689"/>
        <v>NO APLICA</v>
      </c>
      <c r="T223" s="16"/>
      <c r="U223" s="14"/>
      <c r="V223" s="14"/>
      <c r="W223" s="14"/>
      <c r="X223" s="65"/>
      <c r="Y223" s="15" t="str">
        <f t="shared" si="595"/>
        <v>NO APLICA</v>
      </c>
      <c r="Z223" s="16"/>
      <c r="AA223" s="16"/>
      <c r="AB223" s="16"/>
      <c r="AC223" s="16"/>
      <c r="AD223" s="16"/>
      <c r="AE223" s="15" t="str">
        <f t="shared" si="598"/>
        <v>NO APLICA</v>
      </c>
      <c r="AF223" s="14"/>
      <c r="AG223" s="14"/>
      <c r="AH223" s="14"/>
      <c r="AI223" s="16"/>
      <c r="AJ223" s="15" t="str">
        <f t="shared" si="592"/>
        <v>NO APLICA</v>
      </c>
      <c r="AK223" s="14"/>
      <c r="AL223" s="14"/>
      <c r="AM223" s="14"/>
      <c r="AN223" s="16"/>
      <c r="AO223" s="15" t="str">
        <f t="shared" si="692"/>
        <v>NO APLICA</v>
      </c>
      <c r="AP223" s="14"/>
      <c r="AQ223" s="14"/>
      <c r="AR223" s="14"/>
      <c r="AS223" s="16"/>
      <c r="AT223" s="15" t="str">
        <f t="shared" si="693"/>
        <v>NO APLICA</v>
      </c>
      <c r="AU223" s="14"/>
      <c r="AV223" s="14"/>
      <c r="AW223" s="14"/>
      <c r="AX223" s="16"/>
      <c r="AY223" s="15" t="str">
        <f t="shared" si="694"/>
        <v>NO APLICA</v>
      </c>
      <c r="AZ223" s="14"/>
      <c r="BA223" s="14"/>
      <c r="BB223" s="14"/>
      <c r="BC223" s="16"/>
      <c r="BD223" s="15" t="str">
        <f t="shared" si="695"/>
        <v>NO APLICA</v>
      </c>
      <c r="BE223" s="14"/>
      <c r="BF223" s="14"/>
      <c r="BG223" s="14"/>
      <c r="BH223" s="16"/>
      <c r="BI223" s="15" t="str">
        <f t="shared" si="696"/>
        <v>NO APLICA</v>
      </c>
      <c r="BJ223" s="14"/>
      <c r="BK223" s="14"/>
      <c r="BL223" s="14"/>
      <c r="BM223" s="16"/>
      <c r="BN223" s="15" t="str">
        <f t="shared" si="697"/>
        <v>NO APLICA</v>
      </c>
      <c r="BO223" s="14"/>
      <c r="BP223" s="14"/>
      <c r="BQ223" s="14"/>
      <c r="BR223" s="16"/>
      <c r="BS223" s="15" t="str">
        <f t="shared" si="698"/>
        <v>NO APLICA</v>
      </c>
      <c r="BT223" s="14"/>
      <c r="BU223" s="14"/>
      <c r="BV223" s="14"/>
      <c r="BW223" s="16"/>
      <c r="BX223" s="15" t="str">
        <f t="shared" si="699"/>
        <v>NO APLICA</v>
      </c>
      <c r="BY223" s="14"/>
      <c r="BZ223" s="14"/>
      <c r="CA223" s="14"/>
      <c r="CB223" s="16"/>
      <c r="CC223" s="15" t="str">
        <f t="shared" si="700"/>
        <v>NO APLICA</v>
      </c>
      <c r="CD223" s="16"/>
      <c r="CE223" s="16"/>
      <c r="CF223" s="16"/>
      <c r="CG223" s="16"/>
      <c r="CH223" s="16"/>
      <c r="CI223" s="15" t="str">
        <f t="shared" si="758"/>
        <v>NO APLICA</v>
      </c>
      <c r="CJ223" s="14"/>
      <c r="CK223" s="14"/>
      <c r="CL223" s="14"/>
      <c r="CM223" s="16"/>
      <c r="CN223" s="15" t="str">
        <f t="shared" si="701"/>
        <v>NO APLICA</v>
      </c>
      <c r="CO223" s="14"/>
      <c r="CP223" s="14"/>
      <c r="CQ223" s="14"/>
      <c r="CR223" s="16"/>
      <c r="CS223" s="15" t="str">
        <f t="shared" si="702"/>
        <v>NO APLICA</v>
      </c>
      <c r="CT223" s="14"/>
      <c r="CU223" s="14"/>
      <c r="CV223" s="14"/>
      <c r="CW223" s="16"/>
      <c r="CX223" s="15" t="str">
        <f t="shared" si="703"/>
        <v>NO APLICA</v>
      </c>
      <c r="CY223" s="14"/>
      <c r="CZ223" s="14"/>
      <c r="DA223" s="14"/>
      <c r="DB223" s="16"/>
      <c r="DC223" s="15" t="str">
        <f t="shared" si="704"/>
        <v>NO APLICA</v>
      </c>
      <c r="DD223" s="14"/>
      <c r="DE223" s="14"/>
      <c r="DF223" s="14"/>
      <c r="DG223" s="16"/>
      <c r="DH223" s="15" t="str">
        <f t="shared" si="705"/>
        <v>NO APLICA</v>
      </c>
      <c r="DI223" s="14"/>
      <c r="DJ223" s="14"/>
      <c r="DK223" s="14"/>
      <c r="DL223" s="16"/>
      <c r="DM223" s="15" t="str">
        <f t="shared" si="706"/>
        <v>NO APLICA</v>
      </c>
      <c r="DN223" s="14"/>
      <c r="DO223" s="14"/>
      <c r="DP223" s="14"/>
      <c r="DQ223" s="16"/>
      <c r="DR223" s="15" t="str">
        <f t="shared" si="707"/>
        <v>NO APLICA</v>
      </c>
      <c r="DS223" s="14"/>
      <c r="DT223" s="14"/>
      <c r="DU223" s="14"/>
      <c r="DV223" s="16"/>
      <c r="DW223" s="15" t="str">
        <f t="shared" si="708"/>
        <v>NO APLICA</v>
      </c>
      <c r="DX223" s="14"/>
      <c r="DY223" s="14"/>
      <c r="DZ223" s="14"/>
      <c r="EA223" s="16"/>
      <c r="EB223" s="15" t="str">
        <f t="shared" si="709"/>
        <v>NO APLICA</v>
      </c>
      <c r="EC223" s="14"/>
      <c r="ED223" s="14"/>
      <c r="EE223" s="14"/>
      <c r="EF223" s="16"/>
      <c r="EG223" s="15" t="str">
        <f t="shared" si="710"/>
        <v>NO APLICA</v>
      </c>
      <c r="EH223" s="14"/>
      <c r="EI223" s="14"/>
      <c r="EJ223" s="14"/>
      <c r="EK223" s="14"/>
      <c r="EL223" s="14"/>
      <c r="EM223" s="65"/>
      <c r="EN223" s="15" t="str">
        <f t="shared" si="711"/>
        <v>NO APLICA</v>
      </c>
      <c r="EO223" s="14"/>
      <c r="EP223" s="14"/>
      <c r="EQ223" s="14"/>
      <c r="ER223" s="65"/>
      <c r="ES223" s="15" t="str">
        <f t="shared" si="712"/>
        <v>NO APLICA</v>
      </c>
      <c r="ET223" s="14"/>
      <c r="EU223" s="14"/>
      <c r="EV223" s="14"/>
      <c r="EW223" s="65"/>
      <c r="EX223" s="15" t="str">
        <f t="shared" si="713"/>
        <v>NO APLICA</v>
      </c>
      <c r="EY223" s="14"/>
      <c r="EZ223" s="14"/>
      <c r="FA223" s="14"/>
      <c r="FB223" s="16"/>
      <c r="FC223" s="15" t="str">
        <f t="shared" si="714"/>
        <v>NO APLICA</v>
      </c>
      <c r="FD223" s="14"/>
      <c r="FE223" s="14"/>
      <c r="FF223" s="14"/>
      <c r="FG223" s="16"/>
      <c r="FH223" s="15" t="str">
        <f t="shared" si="715"/>
        <v>NO APLICA</v>
      </c>
      <c r="FI223" s="14"/>
      <c r="FJ223" s="14"/>
      <c r="FK223" s="14"/>
      <c r="FL223" s="16"/>
      <c r="FM223" s="15" t="str">
        <f t="shared" si="716"/>
        <v>NO APLICA</v>
      </c>
      <c r="FN223" s="14"/>
      <c r="FO223" s="14"/>
      <c r="FP223" s="14"/>
      <c r="FQ223" s="16"/>
      <c r="FR223" s="15" t="str">
        <f t="shared" si="717"/>
        <v>NO APLICA</v>
      </c>
      <c r="FS223" s="14"/>
      <c r="FT223" s="14"/>
      <c r="FU223" s="14"/>
      <c r="FV223" s="16"/>
      <c r="FW223" s="15" t="str">
        <f t="shared" si="718"/>
        <v>NO APLICA</v>
      </c>
      <c r="FX223" s="14"/>
      <c r="FY223" s="14"/>
      <c r="FZ223" s="14"/>
      <c r="GA223" s="16"/>
      <c r="GB223" s="15" t="str">
        <f t="shared" si="719"/>
        <v>NO APLICA</v>
      </c>
      <c r="GC223" s="14"/>
      <c r="GD223" s="14"/>
      <c r="GE223" s="14"/>
      <c r="GF223" s="16"/>
      <c r="GG223" s="15" t="str">
        <f t="shared" si="720"/>
        <v>NO APLICA</v>
      </c>
      <c r="GH223" s="14"/>
      <c r="GI223" s="14"/>
      <c r="GJ223" s="14"/>
      <c r="GK223" s="65"/>
      <c r="GL223" s="15" t="str">
        <f t="shared" si="721"/>
        <v>NO APLICA</v>
      </c>
      <c r="GM223" s="14"/>
      <c r="GN223" s="16"/>
      <c r="GO223" s="16"/>
      <c r="GP223" s="16"/>
      <c r="GQ223" s="15" t="str">
        <f t="shared" si="722"/>
        <v>NO APLICA</v>
      </c>
      <c r="GR223" s="14"/>
      <c r="GS223" s="16"/>
      <c r="GT223" s="16"/>
      <c r="GU223" s="16"/>
      <c r="GV223" s="15" t="str">
        <f t="shared" si="601"/>
        <v>NO APLICA</v>
      </c>
      <c r="GW223" s="14"/>
      <c r="GX223" s="16"/>
      <c r="GY223" s="16"/>
      <c r="GZ223" s="16"/>
      <c r="HA223" s="15" t="str">
        <f t="shared" si="602"/>
        <v>NO APLICA</v>
      </c>
      <c r="HB223" s="16"/>
      <c r="HC223" s="16"/>
      <c r="HD223" s="16"/>
      <c r="HE223" s="16"/>
      <c r="HF223" s="15" t="str">
        <f t="shared" si="603"/>
        <v>NO APLICA</v>
      </c>
      <c r="HG223" s="16"/>
      <c r="HH223" s="16"/>
      <c r="HI223" s="14"/>
      <c r="HJ223" s="65"/>
      <c r="HK223" s="15" t="str">
        <f t="shared" si="690"/>
        <v>NO APLICA</v>
      </c>
      <c r="HL223" s="16"/>
      <c r="HM223" s="16"/>
      <c r="HN223" s="16"/>
      <c r="HO223" s="16"/>
      <c r="HP223" s="15" t="str">
        <f t="shared" si="686"/>
        <v>NO APLICA</v>
      </c>
      <c r="HQ223" s="16"/>
      <c r="HR223" s="16"/>
      <c r="HS223" s="16"/>
      <c r="HT223" s="16"/>
      <c r="HU223" s="15" t="str">
        <f t="shared" si="723"/>
        <v>NO APLICA</v>
      </c>
      <c r="HV223" s="16"/>
      <c r="HW223" s="16"/>
      <c r="HX223" s="16"/>
      <c r="HY223" s="16"/>
      <c r="HZ223" s="15" t="str">
        <f t="shared" si="724"/>
        <v>NO APLICA</v>
      </c>
      <c r="IA223" s="16"/>
      <c r="IB223" s="16"/>
      <c r="IC223" s="16"/>
      <c r="ID223" s="16"/>
      <c r="IE223" s="15" t="str">
        <f t="shared" si="725"/>
        <v>NO APLICA</v>
      </c>
      <c r="IF223" s="16"/>
      <c r="IG223" s="16"/>
      <c r="IH223" s="16"/>
      <c r="II223" s="16"/>
      <c r="IJ223" s="15" t="str">
        <f t="shared" si="726"/>
        <v>NO APLICA</v>
      </c>
      <c r="IK223" s="16"/>
      <c r="IL223" s="16"/>
      <c r="IM223" s="16"/>
      <c r="IN223" s="16"/>
      <c r="IO223" s="15" t="str">
        <f t="shared" si="727"/>
        <v>NO APLICA</v>
      </c>
      <c r="IP223" s="16"/>
      <c r="IQ223" s="16"/>
      <c r="IR223" s="16"/>
      <c r="IS223" s="16"/>
      <c r="IT223" s="15" t="str">
        <f t="shared" si="728"/>
        <v>NO APLICA</v>
      </c>
      <c r="IU223" s="16"/>
      <c r="IV223" s="16"/>
      <c r="IW223" s="16"/>
      <c r="IX223" s="16"/>
      <c r="IY223" s="15" t="str">
        <f t="shared" si="729"/>
        <v>NO APLICA</v>
      </c>
      <c r="IZ223" s="16"/>
      <c r="JA223" s="16"/>
      <c r="JB223" s="16"/>
      <c r="JC223" s="16"/>
      <c r="JD223" s="15" t="str">
        <f t="shared" si="730"/>
        <v>NO APLICA</v>
      </c>
      <c r="JE223" s="20">
        <v>45934</v>
      </c>
      <c r="JF223" s="20">
        <v>45935</v>
      </c>
      <c r="JG223" s="14">
        <f>DATE(YEAR(JF223)+2,MONTH(JF223),DAY(JF223))</f>
        <v>46665</v>
      </c>
      <c r="JH223" s="65">
        <f ca="1">JG223-TODAY()</f>
        <v>534</v>
      </c>
      <c r="JI223" s="15" t="str">
        <f ca="1">IF(JH223&gt;=61,"VIGENTE",IF(JH223&gt;=1,"POR VENCER",IF(JH223&lt;=-1,"VENCIDA",IF(JF223=0,"NO APLICA"))))</f>
        <v>VIGENTE</v>
      </c>
      <c r="JJ223" s="20">
        <v>45941</v>
      </c>
      <c r="JK223" s="14">
        <f>DATE(YEAR(JJ223)+2,MONTH(JJ223),DAY(JJ223))</f>
        <v>46671</v>
      </c>
      <c r="JL223" s="65">
        <f ca="1">JK223-TODAY()</f>
        <v>540</v>
      </c>
      <c r="JM223" s="15" t="str">
        <f ca="1">IF(JL223&gt;=61,"VIGENTE",IF(JL223&gt;=1,"POR VENCER",IF(JL223&lt;=-1,"VENCIDA",IF(JJ223=0,"NO APLICA"))))</f>
        <v>VIGENTE</v>
      </c>
      <c r="JN223" s="16"/>
      <c r="JO223" s="16"/>
      <c r="JP223" s="16"/>
      <c r="JQ223" s="15" t="str">
        <f t="shared" si="733"/>
        <v>NO APLICA</v>
      </c>
      <c r="JR223" s="20">
        <v>45919</v>
      </c>
      <c r="JS223" s="20">
        <v>45920</v>
      </c>
      <c r="JT223" s="14">
        <f>DATE(YEAR(JS223)+2,MONTH(JS223),DAY(JS223))</f>
        <v>46650</v>
      </c>
      <c r="JU223" s="65">
        <f ca="1">JT223-TODAY()</f>
        <v>519</v>
      </c>
      <c r="JV223" s="15" t="str">
        <f ca="1">IF(JU223&gt;=61,"VIGENTE",IF(JU223&gt;=1,"POR VENCER",IF(JU223&lt;=-1,"VENCIDA",IF(JS223=0,"NO APLICA"))))</f>
        <v>VIGENTE</v>
      </c>
      <c r="JW223" s="66">
        <v>45866</v>
      </c>
      <c r="JX223" s="71">
        <v>45948</v>
      </c>
      <c r="JY223" s="14">
        <f>DATE(YEAR(JX223)+2,MONTH(JX223),DAY(JX223))</f>
        <v>46678</v>
      </c>
      <c r="JZ223" s="65">
        <f ca="1">JY223-TODAY()</f>
        <v>547</v>
      </c>
      <c r="KA223" s="15" t="str">
        <f ca="1">IF(JZ223&gt;=61,"VIGENTE",IF(JZ223&gt;=1,"POR VENCER",IF(JZ223&lt;=-1,"VENCIDA",IF(JX223=0,"NO APLICA"))))</f>
        <v>VIGENTE</v>
      </c>
      <c r="KB223" s="16"/>
      <c r="KC223" s="16"/>
      <c r="KD223" s="16"/>
      <c r="KE223" s="15" t="str">
        <f t="shared" si="736"/>
        <v>NO APLICA</v>
      </c>
      <c r="KF223" s="16"/>
      <c r="KG223" s="16"/>
      <c r="KH223" s="16"/>
      <c r="KI223" s="15" t="str">
        <f t="shared" si="749"/>
        <v>NO APLICA</v>
      </c>
      <c r="KJ223" s="16"/>
      <c r="KK223" s="16"/>
      <c r="KL223" s="16"/>
      <c r="KM223" s="15" t="str">
        <f t="shared" si="737"/>
        <v>NO APLICA</v>
      </c>
      <c r="KN223" s="16"/>
      <c r="KO223" s="16"/>
      <c r="KP223" s="16"/>
      <c r="KQ223" s="15" t="str">
        <f t="shared" si="750"/>
        <v>NO APLICA</v>
      </c>
      <c r="KR223" s="16"/>
      <c r="KS223" s="16"/>
      <c r="KT223" s="16"/>
      <c r="KU223" s="16"/>
      <c r="KV223" s="15" t="str">
        <f t="shared" si="755"/>
        <v>NO APLICA</v>
      </c>
      <c r="KW223" s="16"/>
      <c r="KX223" s="16"/>
      <c r="KY223" s="16"/>
      <c r="KZ223" s="15" t="str">
        <f t="shared" si="751"/>
        <v>NO APLICA</v>
      </c>
      <c r="LA223" s="16"/>
      <c r="LB223" s="16"/>
      <c r="LC223" s="16"/>
      <c r="LD223" s="16"/>
      <c r="LE223" s="15" t="str">
        <f t="shared" si="590"/>
        <v>NO APLICA</v>
      </c>
      <c r="LF223" s="15"/>
      <c r="LG223" s="15"/>
      <c r="LH223" s="14"/>
      <c r="LI223" s="65"/>
      <c r="LJ223" s="15" t="str">
        <f t="shared" si="756"/>
        <v>NO APLICA</v>
      </c>
      <c r="LK223" s="16"/>
      <c r="LL223" s="16"/>
      <c r="LM223" s="16"/>
      <c r="LN223" s="16"/>
      <c r="LO223" s="15" t="str">
        <f t="shared" si="752"/>
        <v>NO APLICA</v>
      </c>
      <c r="LP223" s="16"/>
      <c r="LQ223" s="16"/>
      <c r="LR223" s="16"/>
      <c r="LS223" s="16"/>
      <c r="LT223" s="15" t="str">
        <f t="shared" si="753"/>
        <v>NO APLICA</v>
      </c>
      <c r="LU223" s="16"/>
      <c r="LV223" s="16"/>
      <c r="LW223" s="16"/>
      <c r="LX223" s="16"/>
      <c r="LY223" s="15" t="str">
        <f t="shared" si="754"/>
        <v>NO APLICA</v>
      </c>
      <c r="LZ223" s="16"/>
      <c r="MA223" s="16"/>
      <c r="MB223" s="16"/>
      <c r="MC223" s="16"/>
      <c r="MD223" s="15" t="str">
        <f t="shared" si="738"/>
        <v>NO APLICA</v>
      </c>
      <c r="ME223" s="16"/>
      <c r="MF223" s="16"/>
      <c r="MG223" s="16"/>
      <c r="MH223" s="16"/>
      <c r="MI223" s="15" t="str">
        <f t="shared" si="739"/>
        <v>NO APLICA</v>
      </c>
      <c r="MJ223" s="16"/>
      <c r="MK223" s="16"/>
      <c r="ML223" s="16"/>
      <c r="MM223" s="15" t="str">
        <f t="shared" si="740"/>
        <v>NO APLICA</v>
      </c>
      <c r="MN223" s="16"/>
      <c r="MO223" s="16"/>
      <c r="MP223" s="16"/>
      <c r="MQ223" s="15" t="str">
        <f t="shared" si="741"/>
        <v>NO APLICA</v>
      </c>
      <c r="MR223" s="16"/>
      <c r="MS223" s="16"/>
      <c r="MT223" s="16"/>
      <c r="MU223" s="16"/>
      <c r="MV223" s="15" t="str">
        <f t="shared" si="742"/>
        <v>NO APLICA</v>
      </c>
      <c r="MW223" s="16"/>
      <c r="MX223" s="16"/>
      <c r="MY223" s="16"/>
      <c r="MZ223" s="16"/>
      <c r="NA223" s="15" t="str">
        <f t="shared" si="743"/>
        <v>NO APLICA</v>
      </c>
      <c r="NB223" s="16"/>
      <c r="NC223" s="16"/>
      <c r="ND223" s="16"/>
      <c r="NE223" s="16"/>
      <c r="NF223" s="15" t="str">
        <f t="shared" si="744"/>
        <v>NO APLICA</v>
      </c>
      <c r="NG223" s="16"/>
      <c r="NH223" s="16"/>
      <c r="NI223" s="16"/>
      <c r="NJ223" s="16"/>
      <c r="NK223" s="15" t="str">
        <f t="shared" si="745"/>
        <v>NO APLICA</v>
      </c>
      <c r="NL223" s="16"/>
      <c r="NM223" s="16"/>
      <c r="NN223" s="16"/>
      <c r="NO223" s="16"/>
      <c r="NP223" s="15" t="str">
        <f t="shared" si="746"/>
        <v>NO APLICA</v>
      </c>
      <c r="NQ223" s="16"/>
      <c r="NR223" s="16"/>
      <c r="NS223" s="16"/>
      <c r="NT223" s="16"/>
      <c r="NU223" s="15" t="str">
        <f t="shared" si="747"/>
        <v>NO APLICA</v>
      </c>
      <c r="NV223" s="16"/>
      <c r="NW223" s="16"/>
      <c r="NX223" s="16"/>
      <c r="NY223" s="16"/>
      <c r="NZ223" s="15" t="str">
        <f t="shared" si="748"/>
        <v>NO APLICA</v>
      </c>
    </row>
    <row r="224" spans="1:390" ht="15.6" thickTop="1" thickBot="1" x14ac:dyDescent="0.35">
      <c r="A224" s="11">
        <v>201</v>
      </c>
      <c r="B224" s="10" t="s">
        <v>737</v>
      </c>
      <c r="C224" s="21" t="s">
        <v>670</v>
      </c>
      <c r="D224" s="64" t="s">
        <v>671</v>
      </c>
      <c r="E224" s="13"/>
      <c r="F224" s="14"/>
      <c r="G224" s="14"/>
      <c r="H224" s="65"/>
      <c r="I224" s="15" t="str">
        <f t="shared" si="688"/>
        <v>NO APLICA</v>
      </c>
      <c r="J224" s="12"/>
      <c r="K224" s="12"/>
      <c r="L224" s="12"/>
      <c r="M224" s="12"/>
      <c r="N224" s="15" t="str">
        <f t="shared" si="691"/>
        <v>NO APLICA</v>
      </c>
      <c r="O224" s="16"/>
      <c r="P224" s="16"/>
      <c r="Q224" s="14"/>
      <c r="R224" s="65"/>
      <c r="S224" s="15" t="str">
        <f t="shared" si="689"/>
        <v>NO APLICA</v>
      </c>
      <c r="T224" s="12"/>
      <c r="U224" s="13"/>
      <c r="V224" s="14"/>
      <c r="W224" s="14"/>
      <c r="X224" s="65"/>
      <c r="Y224" s="15" t="str">
        <f t="shared" si="595"/>
        <v>NO APLICA</v>
      </c>
      <c r="Z224" s="12"/>
      <c r="AA224" s="12"/>
      <c r="AB224" s="16"/>
      <c r="AC224" s="14"/>
      <c r="AD224" s="65"/>
      <c r="AE224" s="15" t="str">
        <f t="shared" si="598"/>
        <v>NO APLICA</v>
      </c>
      <c r="AF224" s="12"/>
      <c r="AG224" s="14"/>
      <c r="AH224" s="14"/>
      <c r="AI224" s="65"/>
      <c r="AJ224" s="15" t="str">
        <f t="shared" si="592"/>
        <v>NO APLICA</v>
      </c>
      <c r="AK224" s="12"/>
      <c r="AL224" s="14"/>
      <c r="AM224" s="14"/>
      <c r="AN224" s="65"/>
      <c r="AO224" s="15" t="str">
        <f t="shared" si="692"/>
        <v>NO APLICA</v>
      </c>
      <c r="AP224" s="12"/>
      <c r="AQ224" s="14"/>
      <c r="AR224" s="14"/>
      <c r="AS224" s="65"/>
      <c r="AT224" s="15" t="str">
        <f t="shared" si="693"/>
        <v>NO APLICA</v>
      </c>
      <c r="AU224" s="12"/>
      <c r="AV224" s="14"/>
      <c r="AW224" s="14"/>
      <c r="AX224" s="65"/>
      <c r="AY224" s="15" t="str">
        <f t="shared" si="694"/>
        <v>NO APLICA</v>
      </c>
      <c r="AZ224" s="13"/>
      <c r="BA224" s="14"/>
      <c r="BB224" s="14"/>
      <c r="BC224" s="65"/>
      <c r="BD224" s="15" t="str">
        <f t="shared" si="695"/>
        <v>NO APLICA</v>
      </c>
      <c r="BE224" s="12"/>
      <c r="BF224" s="14"/>
      <c r="BG224" s="14"/>
      <c r="BH224" s="65"/>
      <c r="BI224" s="15" t="str">
        <f t="shared" si="696"/>
        <v>NO APLICA</v>
      </c>
      <c r="BJ224" s="13"/>
      <c r="BK224" s="14"/>
      <c r="BL224" s="14"/>
      <c r="BM224" s="65"/>
      <c r="BN224" s="15" t="str">
        <f t="shared" si="697"/>
        <v>NO APLICA</v>
      </c>
      <c r="BO224" s="13"/>
      <c r="BP224" s="14"/>
      <c r="BQ224" s="14"/>
      <c r="BR224" s="65"/>
      <c r="BS224" s="15" t="str">
        <f t="shared" si="698"/>
        <v>NO APLICA</v>
      </c>
      <c r="BT224" s="12"/>
      <c r="BU224" s="14"/>
      <c r="BV224" s="14"/>
      <c r="BW224" s="65"/>
      <c r="BX224" s="15" t="str">
        <f t="shared" si="699"/>
        <v>NO APLICA</v>
      </c>
      <c r="BY224" s="12"/>
      <c r="BZ224" s="14"/>
      <c r="CA224" s="14"/>
      <c r="CB224" s="65"/>
      <c r="CC224" s="15" t="str">
        <f t="shared" si="700"/>
        <v>NO APLICA</v>
      </c>
      <c r="CD224" s="16"/>
      <c r="CE224" s="14"/>
      <c r="CF224" s="14"/>
      <c r="CG224" s="14"/>
      <c r="CH224" s="65"/>
      <c r="CI224" s="15" t="str">
        <f t="shared" si="758"/>
        <v>NO APLICA</v>
      </c>
      <c r="CJ224" s="16"/>
      <c r="CK224" s="14"/>
      <c r="CL224" s="14"/>
      <c r="CM224" s="65"/>
      <c r="CN224" s="15" t="str">
        <f t="shared" si="701"/>
        <v>NO APLICA</v>
      </c>
      <c r="CO224" s="12"/>
      <c r="CP224" s="14"/>
      <c r="CQ224" s="14"/>
      <c r="CR224" s="65"/>
      <c r="CS224" s="15" t="str">
        <f t="shared" si="702"/>
        <v>NO APLICA</v>
      </c>
      <c r="CT224" s="12"/>
      <c r="CU224" s="14"/>
      <c r="CV224" s="14"/>
      <c r="CW224" s="65"/>
      <c r="CX224" s="15" t="str">
        <f t="shared" si="703"/>
        <v>NO APLICA</v>
      </c>
      <c r="CY224" s="13"/>
      <c r="CZ224" s="14"/>
      <c r="DA224" s="14"/>
      <c r="DB224" s="65"/>
      <c r="DC224" s="15" t="str">
        <f t="shared" si="704"/>
        <v>NO APLICA</v>
      </c>
      <c r="DD224" s="13"/>
      <c r="DE224" s="14"/>
      <c r="DF224" s="14"/>
      <c r="DG224" s="65"/>
      <c r="DH224" s="15" t="str">
        <f t="shared" si="705"/>
        <v>NO APLICA</v>
      </c>
      <c r="DI224" s="12"/>
      <c r="DJ224" s="14"/>
      <c r="DK224" s="14"/>
      <c r="DL224" s="65"/>
      <c r="DM224" s="15" t="str">
        <f t="shared" si="706"/>
        <v>NO APLICA</v>
      </c>
      <c r="DN224" s="13"/>
      <c r="DO224" s="14"/>
      <c r="DP224" s="14"/>
      <c r="DQ224" s="65"/>
      <c r="DR224" s="15" t="str">
        <f t="shared" si="707"/>
        <v>NO APLICA</v>
      </c>
      <c r="DS224" s="12"/>
      <c r="DT224" s="14"/>
      <c r="DU224" s="14"/>
      <c r="DV224" s="65"/>
      <c r="DW224" s="15" t="str">
        <f t="shared" si="708"/>
        <v>NO APLICA</v>
      </c>
      <c r="DX224" s="13"/>
      <c r="DY224" s="14"/>
      <c r="DZ224" s="14"/>
      <c r="EA224" s="65"/>
      <c r="EB224" s="15" t="str">
        <f t="shared" si="709"/>
        <v>NO APLICA</v>
      </c>
      <c r="EC224" s="13"/>
      <c r="ED224" s="14"/>
      <c r="EE224" s="14"/>
      <c r="EF224" s="65"/>
      <c r="EG224" s="15" t="str">
        <f t="shared" si="710"/>
        <v>NO APLICA</v>
      </c>
      <c r="EH224" s="13"/>
      <c r="EI224" s="12"/>
      <c r="EJ224" s="12"/>
      <c r="EK224" s="14"/>
      <c r="EL224" s="14"/>
      <c r="EM224" s="65"/>
      <c r="EN224" s="15" t="str">
        <f t="shared" si="711"/>
        <v>NO APLICA</v>
      </c>
      <c r="EO224" s="13"/>
      <c r="EP224" s="14"/>
      <c r="EQ224" s="14"/>
      <c r="ER224" s="65"/>
      <c r="ES224" s="15" t="str">
        <f t="shared" si="712"/>
        <v>NO APLICA</v>
      </c>
      <c r="ET224" s="12"/>
      <c r="EU224" s="14"/>
      <c r="EV224" s="14"/>
      <c r="EW224" s="65"/>
      <c r="EX224" s="15" t="str">
        <f t="shared" si="713"/>
        <v>NO APLICA</v>
      </c>
      <c r="EY224" s="12"/>
      <c r="EZ224" s="14"/>
      <c r="FA224" s="14"/>
      <c r="FB224" s="65"/>
      <c r="FC224" s="15" t="str">
        <f t="shared" si="714"/>
        <v>NO APLICA</v>
      </c>
      <c r="FD224" s="12"/>
      <c r="FE224" s="14"/>
      <c r="FF224" s="14"/>
      <c r="FG224" s="65"/>
      <c r="FH224" s="15" t="str">
        <f t="shared" si="715"/>
        <v>NO APLICA</v>
      </c>
      <c r="FI224" s="12"/>
      <c r="FJ224" s="14"/>
      <c r="FK224" s="14"/>
      <c r="FL224" s="65"/>
      <c r="FM224" s="15" t="str">
        <f t="shared" si="716"/>
        <v>NO APLICA</v>
      </c>
      <c r="FN224" s="13"/>
      <c r="FO224" s="14"/>
      <c r="FP224" s="14"/>
      <c r="FQ224" s="65"/>
      <c r="FR224" s="15" t="str">
        <f t="shared" si="717"/>
        <v>NO APLICA</v>
      </c>
      <c r="FS224" s="13"/>
      <c r="FT224" s="14"/>
      <c r="FU224" s="14"/>
      <c r="FV224" s="65"/>
      <c r="FW224" s="15" t="str">
        <f t="shared" si="718"/>
        <v>NO APLICA</v>
      </c>
      <c r="FX224" s="13"/>
      <c r="FY224" s="14"/>
      <c r="FZ224" s="14"/>
      <c r="GA224" s="65"/>
      <c r="GB224" s="15" t="str">
        <f t="shared" si="719"/>
        <v>NO APLICA</v>
      </c>
      <c r="GC224" s="13"/>
      <c r="GD224" s="14"/>
      <c r="GE224" s="14"/>
      <c r="GF224" s="65"/>
      <c r="GG224" s="15" t="str">
        <f t="shared" si="720"/>
        <v>NO APLICA</v>
      </c>
      <c r="GH224" s="13"/>
      <c r="GI224" s="14"/>
      <c r="GJ224" s="14"/>
      <c r="GK224" s="65"/>
      <c r="GL224" s="15" t="str">
        <f t="shared" si="721"/>
        <v>NO APLICA</v>
      </c>
      <c r="GM224" s="13"/>
      <c r="GN224" s="14"/>
      <c r="GO224" s="14"/>
      <c r="GP224" s="65"/>
      <c r="GQ224" s="15" t="str">
        <f t="shared" si="722"/>
        <v>NO APLICA</v>
      </c>
      <c r="GR224" s="14"/>
      <c r="GS224" s="14"/>
      <c r="GT224" s="14"/>
      <c r="GU224" s="65"/>
      <c r="GV224" s="15" t="str">
        <f t="shared" si="601"/>
        <v>NO APLICA</v>
      </c>
      <c r="GW224" s="13"/>
      <c r="GX224" s="14"/>
      <c r="GY224" s="14"/>
      <c r="GZ224" s="65"/>
      <c r="HA224" s="15" t="str">
        <f t="shared" si="602"/>
        <v>NO APLICA</v>
      </c>
      <c r="HB224" s="12"/>
      <c r="HC224" s="14"/>
      <c r="HD224" s="14"/>
      <c r="HE224" s="65"/>
      <c r="HF224" s="15" t="str">
        <f t="shared" si="603"/>
        <v>NO APLICA</v>
      </c>
      <c r="HG224" s="16"/>
      <c r="HH224" s="16"/>
      <c r="HI224" s="14"/>
      <c r="HJ224" s="65"/>
      <c r="HK224" s="15" t="str">
        <f t="shared" si="690"/>
        <v>NO APLICA</v>
      </c>
      <c r="HL224" s="12"/>
      <c r="HM224" s="16"/>
      <c r="HN224" s="14"/>
      <c r="HO224" s="65"/>
      <c r="HP224" s="15" t="str">
        <f t="shared" si="686"/>
        <v>NO APLICA</v>
      </c>
      <c r="HQ224" s="12"/>
      <c r="HR224" s="12"/>
      <c r="HS224" s="14"/>
      <c r="HT224" s="12"/>
      <c r="HU224" s="15" t="str">
        <f t="shared" si="723"/>
        <v>NO APLICA</v>
      </c>
      <c r="HV224" s="12"/>
      <c r="HW224" s="16"/>
      <c r="HX224" s="14"/>
      <c r="HY224" s="65"/>
      <c r="HZ224" s="15" t="str">
        <f t="shared" si="724"/>
        <v>NO APLICA</v>
      </c>
      <c r="IA224" s="12"/>
      <c r="IB224" s="16"/>
      <c r="IC224" s="14"/>
      <c r="ID224" s="65"/>
      <c r="IE224" s="15" t="str">
        <f t="shared" si="725"/>
        <v>NO APLICA</v>
      </c>
      <c r="IF224" s="12"/>
      <c r="IG224" s="16"/>
      <c r="IH224" s="14"/>
      <c r="II224" s="65"/>
      <c r="IJ224" s="15" t="str">
        <f t="shared" si="726"/>
        <v>NO APLICA</v>
      </c>
      <c r="IK224" s="16"/>
      <c r="IL224" s="16"/>
      <c r="IM224" s="14"/>
      <c r="IN224" s="65"/>
      <c r="IO224" s="15" t="str">
        <f t="shared" si="727"/>
        <v>NO APLICA</v>
      </c>
      <c r="IP224" s="12"/>
      <c r="IQ224" s="16"/>
      <c r="IR224" s="14"/>
      <c r="IS224" s="65"/>
      <c r="IT224" s="15" t="str">
        <f t="shared" si="728"/>
        <v>NO APLICA</v>
      </c>
      <c r="IU224" s="12"/>
      <c r="IV224" s="16"/>
      <c r="IW224" s="14"/>
      <c r="IX224" s="65"/>
      <c r="IY224" s="15" t="str">
        <f t="shared" si="729"/>
        <v>NO APLICA</v>
      </c>
      <c r="IZ224" s="12"/>
      <c r="JA224" s="16"/>
      <c r="JB224" s="14"/>
      <c r="JC224" s="65"/>
      <c r="JD224" s="15" t="str">
        <f t="shared" si="730"/>
        <v>NO APLICA</v>
      </c>
      <c r="JE224" s="13"/>
      <c r="JF224" s="13"/>
      <c r="JG224" s="14"/>
      <c r="JH224" s="65"/>
      <c r="JI224" s="15" t="str">
        <f t="shared" si="731"/>
        <v>NO APLICA</v>
      </c>
      <c r="JJ224" s="16"/>
      <c r="JK224" s="16"/>
      <c r="JL224" s="16"/>
      <c r="JM224" s="15" t="str">
        <f t="shared" si="732"/>
        <v>NO APLICA</v>
      </c>
      <c r="JN224" s="16"/>
      <c r="JO224" s="16"/>
      <c r="JP224" s="16"/>
      <c r="JQ224" s="15" t="str">
        <f t="shared" si="733"/>
        <v>NO APLICA</v>
      </c>
      <c r="JR224" s="16"/>
      <c r="JS224" s="16"/>
      <c r="JT224" s="16"/>
      <c r="JU224" s="16"/>
      <c r="JV224" s="15" t="str">
        <f t="shared" si="734"/>
        <v>NO APLICA</v>
      </c>
      <c r="JW224" s="15"/>
      <c r="JX224" s="15"/>
      <c r="JY224" s="15"/>
      <c r="JZ224" s="15"/>
      <c r="KA224" s="15" t="str">
        <f t="shared" si="735"/>
        <v>NO APLICA</v>
      </c>
      <c r="KB224" s="12"/>
      <c r="KC224" s="14"/>
      <c r="KD224" s="65"/>
      <c r="KE224" s="15" t="str">
        <f t="shared" si="736"/>
        <v>NO APLICA</v>
      </c>
      <c r="KF224" s="12"/>
      <c r="KG224" s="14"/>
      <c r="KH224" s="65"/>
      <c r="KI224" s="15" t="str">
        <f t="shared" si="749"/>
        <v>NO APLICA</v>
      </c>
      <c r="KJ224" s="12"/>
      <c r="KK224" s="14"/>
      <c r="KL224" s="65"/>
      <c r="KM224" s="15" t="str">
        <f t="shared" si="737"/>
        <v>NO APLICA</v>
      </c>
      <c r="KN224" s="12"/>
      <c r="KO224" s="14"/>
      <c r="KP224" s="65"/>
      <c r="KQ224" s="15" t="str">
        <f t="shared" si="750"/>
        <v>NO APLICA</v>
      </c>
      <c r="KR224" s="12"/>
      <c r="KS224" s="16"/>
      <c r="KT224" s="14"/>
      <c r="KU224" s="65"/>
      <c r="KV224" s="15" t="str">
        <f t="shared" si="755"/>
        <v>NO APLICA</v>
      </c>
      <c r="KW224" s="16"/>
      <c r="KX224" s="14"/>
      <c r="KY224" s="65"/>
      <c r="KZ224" s="15" t="str">
        <f t="shared" si="751"/>
        <v>NO APLICA</v>
      </c>
      <c r="LA224" s="16"/>
      <c r="LB224" s="16"/>
      <c r="LC224" s="14"/>
      <c r="LD224" s="65"/>
      <c r="LE224" s="15" t="str">
        <f t="shared" si="590"/>
        <v>NO APLICA</v>
      </c>
      <c r="LF224" s="15"/>
      <c r="LG224" s="15"/>
      <c r="LH224" s="14"/>
      <c r="LI224" s="65"/>
      <c r="LJ224" s="15" t="str">
        <f t="shared" si="756"/>
        <v>NO APLICA</v>
      </c>
      <c r="LK224" s="12"/>
      <c r="LL224" s="16"/>
      <c r="LM224" s="14"/>
      <c r="LN224" s="65"/>
      <c r="LO224" s="15" t="str">
        <f t="shared" si="752"/>
        <v>NO APLICA</v>
      </c>
      <c r="LP224" s="16"/>
      <c r="LQ224" s="16"/>
      <c r="LR224" s="14"/>
      <c r="LS224" s="65"/>
      <c r="LT224" s="15" t="str">
        <f t="shared" si="753"/>
        <v>NO APLICA</v>
      </c>
      <c r="LU224" s="16"/>
      <c r="LV224" s="16"/>
      <c r="LW224" s="14"/>
      <c r="LX224" s="65"/>
      <c r="LY224" s="15" t="str">
        <f t="shared" si="754"/>
        <v>NO APLICA</v>
      </c>
      <c r="LZ224" s="12"/>
      <c r="MA224" s="12"/>
      <c r="MB224" s="14"/>
      <c r="MC224" s="65"/>
      <c r="MD224" s="15" t="str">
        <f t="shared" si="738"/>
        <v>NO APLICA</v>
      </c>
      <c r="ME224" s="12"/>
      <c r="MF224" s="12"/>
      <c r="MG224" s="14"/>
      <c r="MH224" s="65"/>
      <c r="MI224" s="15" t="str">
        <f t="shared" si="739"/>
        <v>NO APLICA</v>
      </c>
      <c r="MJ224" s="12"/>
      <c r="MK224" s="14"/>
      <c r="ML224" s="65"/>
      <c r="MM224" s="15" t="str">
        <f t="shared" si="740"/>
        <v>NO APLICA</v>
      </c>
      <c r="MN224" s="12"/>
      <c r="MO224" s="14"/>
      <c r="MP224" s="12"/>
      <c r="MQ224" s="15" t="str">
        <f t="shared" si="741"/>
        <v>NO APLICA</v>
      </c>
      <c r="MR224" s="12"/>
      <c r="MS224" s="16"/>
      <c r="MT224" s="14"/>
      <c r="MU224" s="65"/>
      <c r="MV224" s="15" t="str">
        <f t="shared" si="742"/>
        <v>NO APLICA</v>
      </c>
      <c r="MW224" s="12"/>
      <c r="MX224" s="16"/>
      <c r="MY224" s="14"/>
      <c r="MZ224" s="65"/>
      <c r="NA224" s="15" t="str">
        <f t="shared" si="743"/>
        <v>NO APLICA</v>
      </c>
      <c r="NB224" s="12"/>
      <c r="NC224" s="16"/>
      <c r="ND224" s="14"/>
      <c r="NE224" s="65"/>
      <c r="NF224" s="15" t="str">
        <f t="shared" si="744"/>
        <v>NO APLICA</v>
      </c>
      <c r="NG224" s="12"/>
      <c r="NH224" s="12"/>
      <c r="NI224" s="14"/>
      <c r="NJ224" s="65"/>
      <c r="NK224" s="15" t="str">
        <f t="shared" si="745"/>
        <v>NO APLICA</v>
      </c>
      <c r="NL224" s="12"/>
      <c r="NM224" s="12"/>
      <c r="NN224" s="14"/>
      <c r="NO224" s="12"/>
      <c r="NP224" s="15" t="str">
        <f t="shared" si="746"/>
        <v>NO APLICA</v>
      </c>
      <c r="NQ224" s="16"/>
      <c r="NR224" s="16"/>
      <c r="NS224" s="14"/>
      <c r="NT224" s="65"/>
      <c r="NU224" s="15" t="str">
        <f t="shared" si="747"/>
        <v>NO APLICA</v>
      </c>
      <c r="NV224" s="16"/>
      <c r="NW224" s="16"/>
      <c r="NX224" s="16"/>
      <c r="NY224" s="16"/>
      <c r="NZ224" s="15" t="str">
        <f t="shared" si="748"/>
        <v>NO APLICA</v>
      </c>
    </row>
    <row r="225" spans="1:390" ht="15.6" thickTop="1" thickBot="1" x14ac:dyDescent="0.35">
      <c r="A225" s="11">
        <v>7</v>
      </c>
      <c r="B225" s="10" t="s">
        <v>738</v>
      </c>
      <c r="C225" s="21" t="s">
        <v>670</v>
      </c>
      <c r="D225" s="64" t="s">
        <v>739</v>
      </c>
      <c r="E225" s="13"/>
      <c r="F225" s="14"/>
      <c r="G225" s="14"/>
      <c r="H225" s="65"/>
      <c r="I225" s="15" t="str">
        <f t="shared" si="688"/>
        <v>NO APLICA</v>
      </c>
      <c r="J225" s="12"/>
      <c r="K225" s="12"/>
      <c r="L225" s="12"/>
      <c r="M225" s="12"/>
      <c r="N225" s="15" t="str">
        <f t="shared" si="691"/>
        <v>NO APLICA</v>
      </c>
      <c r="O225" s="16"/>
      <c r="P225" s="16"/>
      <c r="Q225" s="14"/>
      <c r="R225" s="65"/>
      <c r="S225" s="15" t="str">
        <f t="shared" si="689"/>
        <v>NO APLICA</v>
      </c>
      <c r="T225" s="12"/>
      <c r="U225" s="13"/>
      <c r="V225" s="14"/>
      <c r="W225" s="14"/>
      <c r="X225" s="65"/>
      <c r="Y225" s="15" t="str">
        <f t="shared" si="595"/>
        <v>NO APLICA</v>
      </c>
      <c r="Z225" s="12"/>
      <c r="AA225" s="12"/>
      <c r="AB225" s="16"/>
      <c r="AC225" s="14"/>
      <c r="AD225" s="65"/>
      <c r="AE225" s="15" t="str">
        <f t="shared" si="598"/>
        <v>NO APLICA</v>
      </c>
      <c r="AF225" s="12"/>
      <c r="AG225" s="14"/>
      <c r="AH225" s="14"/>
      <c r="AI225" s="65"/>
      <c r="AJ225" s="15" t="str">
        <f t="shared" si="592"/>
        <v>NO APLICA</v>
      </c>
      <c r="AK225" s="12"/>
      <c r="AL225" s="14"/>
      <c r="AM225" s="14"/>
      <c r="AN225" s="65"/>
      <c r="AO225" s="15" t="str">
        <f t="shared" si="692"/>
        <v>NO APLICA</v>
      </c>
      <c r="AP225" s="12"/>
      <c r="AQ225" s="14"/>
      <c r="AR225" s="14"/>
      <c r="AS225" s="65"/>
      <c r="AT225" s="15" t="str">
        <f t="shared" si="693"/>
        <v>NO APLICA</v>
      </c>
      <c r="AU225" s="12"/>
      <c r="AV225" s="14"/>
      <c r="AW225" s="14"/>
      <c r="AX225" s="65"/>
      <c r="AY225" s="15" t="str">
        <f t="shared" si="694"/>
        <v>NO APLICA</v>
      </c>
      <c r="AZ225" s="13"/>
      <c r="BA225" s="14"/>
      <c r="BB225" s="14"/>
      <c r="BC225" s="65"/>
      <c r="BD225" s="15" t="str">
        <f t="shared" si="695"/>
        <v>NO APLICA</v>
      </c>
      <c r="BE225" s="12"/>
      <c r="BF225" s="14"/>
      <c r="BG225" s="14"/>
      <c r="BH225" s="65"/>
      <c r="BI225" s="15" t="str">
        <f t="shared" si="696"/>
        <v>NO APLICA</v>
      </c>
      <c r="BJ225" s="13"/>
      <c r="BK225" s="14"/>
      <c r="BL225" s="14"/>
      <c r="BM225" s="65"/>
      <c r="BN225" s="15" t="str">
        <f t="shared" si="697"/>
        <v>NO APLICA</v>
      </c>
      <c r="BO225" s="13"/>
      <c r="BP225" s="14"/>
      <c r="BQ225" s="14"/>
      <c r="BR225" s="65"/>
      <c r="BS225" s="15" t="str">
        <f t="shared" si="698"/>
        <v>NO APLICA</v>
      </c>
      <c r="BT225" s="12"/>
      <c r="BU225" s="14"/>
      <c r="BV225" s="14"/>
      <c r="BW225" s="65"/>
      <c r="BX225" s="15" t="str">
        <f t="shared" si="699"/>
        <v>NO APLICA</v>
      </c>
      <c r="BY225" s="12"/>
      <c r="BZ225" s="14"/>
      <c r="CA225" s="14"/>
      <c r="CB225" s="65"/>
      <c r="CC225" s="15" t="str">
        <f t="shared" si="700"/>
        <v>NO APLICA</v>
      </c>
      <c r="CD225" s="16"/>
      <c r="CE225" s="14"/>
      <c r="CF225" s="14"/>
      <c r="CG225" s="14"/>
      <c r="CH225" s="65"/>
      <c r="CI225" s="15" t="str">
        <f t="shared" si="758"/>
        <v>NO APLICA</v>
      </c>
      <c r="CJ225" s="16"/>
      <c r="CK225" s="14"/>
      <c r="CL225" s="14"/>
      <c r="CM225" s="65"/>
      <c r="CN225" s="15" t="str">
        <f t="shared" si="701"/>
        <v>NO APLICA</v>
      </c>
      <c r="CO225" s="12"/>
      <c r="CP225" s="14"/>
      <c r="CQ225" s="14"/>
      <c r="CR225" s="65"/>
      <c r="CS225" s="15" t="str">
        <f t="shared" si="702"/>
        <v>NO APLICA</v>
      </c>
      <c r="CT225" s="12"/>
      <c r="CU225" s="14"/>
      <c r="CV225" s="14"/>
      <c r="CW225" s="65"/>
      <c r="CX225" s="15" t="str">
        <f t="shared" si="703"/>
        <v>NO APLICA</v>
      </c>
      <c r="CY225" s="13"/>
      <c r="CZ225" s="14"/>
      <c r="DA225" s="14"/>
      <c r="DB225" s="65"/>
      <c r="DC225" s="15" t="str">
        <f t="shared" si="704"/>
        <v>NO APLICA</v>
      </c>
      <c r="DD225" s="13"/>
      <c r="DE225" s="14"/>
      <c r="DF225" s="14"/>
      <c r="DG225" s="65"/>
      <c r="DH225" s="15" t="str">
        <f t="shared" si="705"/>
        <v>NO APLICA</v>
      </c>
      <c r="DI225" s="12"/>
      <c r="DJ225" s="14"/>
      <c r="DK225" s="14"/>
      <c r="DL225" s="65"/>
      <c r="DM225" s="15" t="str">
        <f t="shared" si="706"/>
        <v>NO APLICA</v>
      </c>
      <c r="DN225" s="13"/>
      <c r="DO225" s="14"/>
      <c r="DP225" s="14"/>
      <c r="DQ225" s="65"/>
      <c r="DR225" s="15" t="str">
        <f t="shared" si="707"/>
        <v>NO APLICA</v>
      </c>
      <c r="DS225" s="12"/>
      <c r="DT225" s="14"/>
      <c r="DU225" s="14"/>
      <c r="DV225" s="65"/>
      <c r="DW225" s="15" t="str">
        <f t="shared" si="708"/>
        <v>NO APLICA</v>
      </c>
      <c r="DX225" s="13"/>
      <c r="DY225" s="14"/>
      <c r="DZ225" s="14"/>
      <c r="EA225" s="65"/>
      <c r="EB225" s="15" t="str">
        <f t="shared" si="709"/>
        <v>NO APLICA</v>
      </c>
      <c r="EC225" s="13"/>
      <c r="ED225" s="14"/>
      <c r="EE225" s="14"/>
      <c r="EF225" s="65"/>
      <c r="EG225" s="15" t="str">
        <f t="shared" si="710"/>
        <v>NO APLICA</v>
      </c>
      <c r="EH225" s="13"/>
      <c r="EI225" s="12"/>
      <c r="EJ225" s="12"/>
      <c r="EK225" s="14"/>
      <c r="EL225" s="14"/>
      <c r="EM225" s="65"/>
      <c r="EN225" s="15" t="str">
        <f t="shared" si="711"/>
        <v>NO APLICA</v>
      </c>
      <c r="EO225" s="13"/>
      <c r="EP225" s="14"/>
      <c r="EQ225" s="14"/>
      <c r="ER225" s="65"/>
      <c r="ES225" s="15" t="str">
        <f t="shared" si="712"/>
        <v>NO APLICA</v>
      </c>
      <c r="ET225" s="12"/>
      <c r="EU225" s="14"/>
      <c r="EV225" s="14"/>
      <c r="EW225" s="65"/>
      <c r="EX225" s="15" t="str">
        <f t="shared" si="713"/>
        <v>NO APLICA</v>
      </c>
      <c r="EY225" s="12"/>
      <c r="EZ225" s="14"/>
      <c r="FA225" s="14"/>
      <c r="FB225" s="65"/>
      <c r="FC225" s="15" t="str">
        <f t="shared" si="714"/>
        <v>NO APLICA</v>
      </c>
      <c r="FD225" s="12"/>
      <c r="FE225" s="14"/>
      <c r="FF225" s="14"/>
      <c r="FG225" s="65"/>
      <c r="FH225" s="15" t="str">
        <f t="shared" si="715"/>
        <v>NO APLICA</v>
      </c>
      <c r="FI225" s="12"/>
      <c r="FJ225" s="14"/>
      <c r="FK225" s="14"/>
      <c r="FL225" s="65"/>
      <c r="FM225" s="15" t="str">
        <f t="shared" si="716"/>
        <v>NO APLICA</v>
      </c>
      <c r="FN225" s="13"/>
      <c r="FO225" s="14"/>
      <c r="FP225" s="14"/>
      <c r="FQ225" s="65"/>
      <c r="FR225" s="15" t="str">
        <f t="shared" si="717"/>
        <v>NO APLICA</v>
      </c>
      <c r="FS225" s="13"/>
      <c r="FT225" s="14"/>
      <c r="FU225" s="14"/>
      <c r="FV225" s="65"/>
      <c r="FW225" s="15" t="str">
        <f t="shared" si="718"/>
        <v>NO APLICA</v>
      </c>
      <c r="FX225" s="13"/>
      <c r="FY225" s="14"/>
      <c r="FZ225" s="14"/>
      <c r="GA225" s="65"/>
      <c r="GB225" s="15" t="str">
        <f t="shared" si="719"/>
        <v>NO APLICA</v>
      </c>
      <c r="GC225" s="13"/>
      <c r="GD225" s="14"/>
      <c r="GE225" s="14"/>
      <c r="GF225" s="65"/>
      <c r="GG225" s="15" t="str">
        <f t="shared" si="720"/>
        <v>NO APLICA</v>
      </c>
      <c r="GH225" s="13"/>
      <c r="GI225" s="14"/>
      <c r="GJ225" s="14"/>
      <c r="GK225" s="65"/>
      <c r="GL225" s="15" t="str">
        <f t="shared" si="721"/>
        <v>NO APLICA</v>
      </c>
      <c r="GM225" s="13"/>
      <c r="GN225" s="14"/>
      <c r="GO225" s="14"/>
      <c r="GP225" s="65"/>
      <c r="GQ225" s="15" t="str">
        <f t="shared" si="722"/>
        <v>NO APLICA</v>
      </c>
      <c r="GR225" s="14"/>
      <c r="GS225" s="14"/>
      <c r="GT225" s="14"/>
      <c r="GU225" s="65"/>
      <c r="GV225" s="15" t="str">
        <f t="shared" si="601"/>
        <v>NO APLICA</v>
      </c>
      <c r="GW225" s="13"/>
      <c r="GX225" s="14"/>
      <c r="GY225" s="14"/>
      <c r="GZ225" s="65"/>
      <c r="HA225" s="15" t="str">
        <f t="shared" si="602"/>
        <v>NO APLICA</v>
      </c>
      <c r="HB225" s="12"/>
      <c r="HC225" s="14"/>
      <c r="HD225" s="14"/>
      <c r="HE225" s="65"/>
      <c r="HF225" s="15" t="str">
        <f t="shared" si="603"/>
        <v>NO APLICA</v>
      </c>
      <c r="HG225" s="16"/>
      <c r="HH225" s="16"/>
      <c r="HI225" s="14"/>
      <c r="HJ225" s="65"/>
      <c r="HK225" s="15" t="str">
        <f t="shared" si="690"/>
        <v>NO APLICA</v>
      </c>
      <c r="HL225" s="12"/>
      <c r="HM225" s="16"/>
      <c r="HN225" s="14"/>
      <c r="HO225" s="65"/>
      <c r="HP225" s="15" t="str">
        <f t="shared" si="686"/>
        <v>NO APLICA</v>
      </c>
      <c r="HQ225" s="12"/>
      <c r="HR225" s="12"/>
      <c r="HS225" s="14"/>
      <c r="HT225" s="12"/>
      <c r="HU225" s="15" t="str">
        <f t="shared" si="723"/>
        <v>NO APLICA</v>
      </c>
      <c r="HV225" s="12"/>
      <c r="HW225" s="16"/>
      <c r="HX225" s="14"/>
      <c r="HY225" s="65"/>
      <c r="HZ225" s="15" t="str">
        <f t="shared" si="724"/>
        <v>NO APLICA</v>
      </c>
      <c r="IA225" s="12"/>
      <c r="IB225" s="16"/>
      <c r="IC225" s="14"/>
      <c r="ID225" s="65"/>
      <c r="IE225" s="15" t="str">
        <f t="shared" si="725"/>
        <v>NO APLICA</v>
      </c>
      <c r="IF225" s="12"/>
      <c r="IG225" s="16"/>
      <c r="IH225" s="14"/>
      <c r="II225" s="65"/>
      <c r="IJ225" s="15" t="str">
        <f t="shared" si="726"/>
        <v>NO APLICA</v>
      </c>
      <c r="IK225" s="16"/>
      <c r="IL225" s="16"/>
      <c r="IM225" s="14"/>
      <c r="IN225" s="65"/>
      <c r="IO225" s="15" t="str">
        <f t="shared" si="727"/>
        <v>NO APLICA</v>
      </c>
      <c r="IP225" s="12"/>
      <c r="IQ225" s="16"/>
      <c r="IR225" s="14"/>
      <c r="IS225" s="65"/>
      <c r="IT225" s="15" t="str">
        <f t="shared" si="728"/>
        <v>NO APLICA</v>
      </c>
      <c r="IU225" s="12"/>
      <c r="IV225" s="16"/>
      <c r="IW225" s="14"/>
      <c r="IX225" s="65"/>
      <c r="IY225" s="15" t="str">
        <f t="shared" si="729"/>
        <v>NO APLICA</v>
      </c>
      <c r="IZ225" s="12"/>
      <c r="JA225" s="16"/>
      <c r="JB225" s="14"/>
      <c r="JC225" s="65"/>
      <c r="JD225" s="15" t="str">
        <f t="shared" si="730"/>
        <v>NO APLICA</v>
      </c>
      <c r="JE225" s="13"/>
      <c r="JF225" s="13"/>
      <c r="JG225" s="14"/>
      <c r="JH225" s="65"/>
      <c r="JI225" s="15" t="str">
        <f t="shared" si="731"/>
        <v>NO APLICA</v>
      </c>
      <c r="JJ225" s="16"/>
      <c r="JK225" s="16"/>
      <c r="JL225" s="16"/>
      <c r="JM225" s="15" t="str">
        <f t="shared" si="732"/>
        <v>NO APLICA</v>
      </c>
      <c r="JN225" s="16"/>
      <c r="JO225" s="16"/>
      <c r="JP225" s="16"/>
      <c r="JQ225" s="15" t="str">
        <f t="shared" si="733"/>
        <v>NO APLICA</v>
      </c>
      <c r="JR225" s="16"/>
      <c r="JS225" s="16"/>
      <c r="JT225" s="16"/>
      <c r="JU225" s="16"/>
      <c r="JV225" s="15" t="str">
        <f t="shared" si="734"/>
        <v>NO APLICA</v>
      </c>
      <c r="JW225" s="15"/>
      <c r="JX225" s="15"/>
      <c r="JY225" s="15"/>
      <c r="JZ225" s="15"/>
      <c r="KA225" s="15" t="str">
        <f t="shared" si="735"/>
        <v>NO APLICA</v>
      </c>
      <c r="KB225" s="12"/>
      <c r="KC225" s="14"/>
      <c r="KD225" s="65"/>
      <c r="KE225" s="15" t="str">
        <f t="shared" si="736"/>
        <v>NO APLICA</v>
      </c>
      <c r="KF225" s="12"/>
      <c r="KG225" s="14"/>
      <c r="KH225" s="65"/>
      <c r="KI225" s="15" t="str">
        <f t="shared" si="749"/>
        <v>NO APLICA</v>
      </c>
      <c r="KJ225" s="12"/>
      <c r="KK225" s="14"/>
      <c r="KL225" s="65"/>
      <c r="KM225" s="15" t="str">
        <f t="shared" si="737"/>
        <v>NO APLICA</v>
      </c>
      <c r="KN225" s="12"/>
      <c r="KO225" s="14"/>
      <c r="KP225" s="65"/>
      <c r="KQ225" s="15" t="str">
        <f t="shared" si="750"/>
        <v>NO APLICA</v>
      </c>
      <c r="KR225" s="12"/>
      <c r="KS225" s="16"/>
      <c r="KT225" s="14"/>
      <c r="KU225" s="65"/>
      <c r="KV225" s="15" t="str">
        <f t="shared" si="755"/>
        <v>NO APLICA</v>
      </c>
      <c r="KW225" s="16"/>
      <c r="KX225" s="14"/>
      <c r="KY225" s="65"/>
      <c r="KZ225" s="15" t="str">
        <f t="shared" si="751"/>
        <v>NO APLICA</v>
      </c>
      <c r="LA225" s="16"/>
      <c r="LB225" s="16"/>
      <c r="LC225" s="14"/>
      <c r="LD225" s="65"/>
      <c r="LE225" s="15" t="str">
        <f t="shared" si="590"/>
        <v>NO APLICA</v>
      </c>
      <c r="LF225" s="15"/>
      <c r="LG225" s="15"/>
      <c r="LH225" s="14"/>
      <c r="LI225" s="65"/>
      <c r="LJ225" s="15" t="str">
        <f t="shared" si="756"/>
        <v>NO APLICA</v>
      </c>
      <c r="LK225" s="12"/>
      <c r="LL225" s="16"/>
      <c r="LM225" s="14"/>
      <c r="LN225" s="65"/>
      <c r="LO225" s="15" t="str">
        <f t="shared" si="752"/>
        <v>NO APLICA</v>
      </c>
      <c r="LP225" s="16"/>
      <c r="LQ225" s="16"/>
      <c r="LR225" s="14"/>
      <c r="LS225" s="65"/>
      <c r="LT225" s="15" t="str">
        <f t="shared" si="753"/>
        <v>NO APLICA</v>
      </c>
      <c r="LU225" s="16"/>
      <c r="LV225" s="16"/>
      <c r="LW225" s="14"/>
      <c r="LX225" s="65"/>
      <c r="LY225" s="15" t="str">
        <f t="shared" si="754"/>
        <v>NO APLICA</v>
      </c>
      <c r="LZ225" s="12"/>
      <c r="MA225" s="12"/>
      <c r="MB225" s="14"/>
      <c r="MC225" s="65"/>
      <c r="MD225" s="15" t="str">
        <f t="shared" si="738"/>
        <v>NO APLICA</v>
      </c>
      <c r="ME225" s="12"/>
      <c r="MF225" s="12"/>
      <c r="MG225" s="14"/>
      <c r="MH225" s="65"/>
      <c r="MI225" s="15" t="str">
        <f t="shared" si="739"/>
        <v>NO APLICA</v>
      </c>
      <c r="MJ225" s="12"/>
      <c r="MK225" s="14"/>
      <c r="ML225" s="65"/>
      <c r="MM225" s="15" t="str">
        <f t="shared" si="740"/>
        <v>NO APLICA</v>
      </c>
      <c r="MN225" s="12"/>
      <c r="MO225" s="14"/>
      <c r="MP225" s="12"/>
      <c r="MQ225" s="15" t="str">
        <f t="shared" si="741"/>
        <v>NO APLICA</v>
      </c>
      <c r="MR225" s="12"/>
      <c r="MS225" s="16"/>
      <c r="MT225" s="14"/>
      <c r="MU225" s="65"/>
      <c r="MV225" s="15" t="str">
        <f t="shared" si="742"/>
        <v>NO APLICA</v>
      </c>
      <c r="MW225" s="12"/>
      <c r="MX225" s="16"/>
      <c r="MY225" s="14"/>
      <c r="MZ225" s="65"/>
      <c r="NA225" s="15" t="str">
        <f t="shared" si="743"/>
        <v>NO APLICA</v>
      </c>
      <c r="NB225" s="12"/>
      <c r="NC225" s="16"/>
      <c r="ND225" s="14"/>
      <c r="NE225" s="65"/>
      <c r="NF225" s="15" t="str">
        <f t="shared" si="744"/>
        <v>NO APLICA</v>
      </c>
      <c r="NG225" s="12"/>
      <c r="NH225" s="12"/>
      <c r="NI225" s="14"/>
      <c r="NJ225" s="65"/>
      <c r="NK225" s="15" t="str">
        <f t="shared" si="745"/>
        <v>NO APLICA</v>
      </c>
      <c r="NL225" s="12"/>
      <c r="NM225" s="12"/>
      <c r="NN225" s="14"/>
      <c r="NO225" s="12"/>
      <c r="NP225" s="15" t="str">
        <f t="shared" si="746"/>
        <v>NO APLICA</v>
      </c>
      <c r="NQ225" s="16"/>
      <c r="NR225" s="16"/>
      <c r="NS225" s="14"/>
      <c r="NT225" s="65"/>
      <c r="NU225" s="15" t="str">
        <f t="shared" si="747"/>
        <v>NO APLICA</v>
      </c>
      <c r="NV225" s="16"/>
      <c r="NW225" s="16"/>
      <c r="NX225" s="16"/>
      <c r="NY225" s="16"/>
      <c r="NZ225" s="15" t="str">
        <f t="shared" si="748"/>
        <v>NO APLICA</v>
      </c>
    </row>
    <row r="226" spans="1:390" ht="15.6" thickTop="1" thickBot="1" x14ac:dyDescent="0.35">
      <c r="A226" s="11">
        <v>11</v>
      </c>
      <c r="B226" s="10" t="s">
        <v>740</v>
      </c>
      <c r="C226" s="21" t="s">
        <v>670</v>
      </c>
      <c r="D226" s="64" t="s">
        <v>741</v>
      </c>
      <c r="E226" s="13"/>
      <c r="F226" s="14"/>
      <c r="G226" s="14"/>
      <c r="H226" s="65"/>
      <c r="I226" s="15" t="str">
        <f t="shared" si="688"/>
        <v>NO APLICA</v>
      </c>
      <c r="J226" s="12"/>
      <c r="K226" s="12"/>
      <c r="L226" s="12"/>
      <c r="M226" s="12"/>
      <c r="N226" s="15" t="str">
        <f t="shared" si="691"/>
        <v>NO APLICA</v>
      </c>
      <c r="O226" s="16"/>
      <c r="P226" s="16"/>
      <c r="Q226" s="14"/>
      <c r="R226" s="65"/>
      <c r="S226" s="15" t="str">
        <f t="shared" si="689"/>
        <v>NO APLICA</v>
      </c>
      <c r="T226" s="12"/>
      <c r="U226" s="13"/>
      <c r="V226" s="14"/>
      <c r="W226" s="14"/>
      <c r="X226" s="65"/>
      <c r="Y226" s="15" t="str">
        <f t="shared" si="595"/>
        <v>NO APLICA</v>
      </c>
      <c r="Z226" s="12"/>
      <c r="AA226" s="12"/>
      <c r="AB226" s="16"/>
      <c r="AC226" s="14"/>
      <c r="AD226" s="65"/>
      <c r="AE226" s="15" t="str">
        <f t="shared" si="598"/>
        <v>NO APLICA</v>
      </c>
      <c r="AF226" s="12"/>
      <c r="AG226" s="14"/>
      <c r="AH226" s="14"/>
      <c r="AI226" s="65"/>
      <c r="AJ226" s="15" t="str">
        <f t="shared" si="592"/>
        <v>NO APLICA</v>
      </c>
      <c r="AK226" s="12"/>
      <c r="AL226" s="14"/>
      <c r="AM226" s="14"/>
      <c r="AN226" s="65"/>
      <c r="AO226" s="15" t="str">
        <f t="shared" si="692"/>
        <v>NO APLICA</v>
      </c>
      <c r="AP226" s="12"/>
      <c r="AQ226" s="14"/>
      <c r="AR226" s="14"/>
      <c r="AS226" s="65"/>
      <c r="AT226" s="15" t="str">
        <f t="shared" si="693"/>
        <v>NO APLICA</v>
      </c>
      <c r="AU226" s="12"/>
      <c r="AV226" s="14"/>
      <c r="AW226" s="14"/>
      <c r="AX226" s="65"/>
      <c r="AY226" s="15" t="str">
        <f t="shared" si="694"/>
        <v>NO APLICA</v>
      </c>
      <c r="AZ226" s="13"/>
      <c r="BA226" s="14"/>
      <c r="BB226" s="14"/>
      <c r="BC226" s="65"/>
      <c r="BD226" s="15" t="str">
        <f t="shared" si="695"/>
        <v>NO APLICA</v>
      </c>
      <c r="BE226" s="12"/>
      <c r="BF226" s="14"/>
      <c r="BG226" s="14"/>
      <c r="BH226" s="65"/>
      <c r="BI226" s="15" t="str">
        <f t="shared" si="696"/>
        <v>NO APLICA</v>
      </c>
      <c r="BJ226" s="13"/>
      <c r="BK226" s="14"/>
      <c r="BL226" s="14"/>
      <c r="BM226" s="65"/>
      <c r="BN226" s="15" t="str">
        <f t="shared" si="697"/>
        <v>NO APLICA</v>
      </c>
      <c r="BO226" s="13"/>
      <c r="BP226" s="14"/>
      <c r="BQ226" s="14"/>
      <c r="BR226" s="65"/>
      <c r="BS226" s="15" t="str">
        <f t="shared" si="698"/>
        <v>NO APLICA</v>
      </c>
      <c r="BT226" s="12"/>
      <c r="BU226" s="14"/>
      <c r="BV226" s="14"/>
      <c r="BW226" s="65"/>
      <c r="BX226" s="15" t="str">
        <f t="shared" si="699"/>
        <v>NO APLICA</v>
      </c>
      <c r="BY226" s="12"/>
      <c r="BZ226" s="14"/>
      <c r="CA226" s="14"/>
      <c r="CB226" s="65"/>
      <c r="CC226" s="15" t="str">
        <f t="shared" si="700"/>
        <v>NO APLICA</v>
      </c>
      <c r="CD226" s="16"/>
      <c r="CE226" s="14"/>
      <c r="CF226" s="14"/>
      <c r="CG226" s="14"/>
      <c r="CH226" s="65"/>
      <c r="CI226" s="15" t="str">
        <f t="shared" si="758"/>
        <v>NO APLICA</v>
      </c>
      <c r="CJ226" s="16"/>
      <c r="CK226" s="14"/>
      <c r="CL226" s="14"/>
      <c r="CM226" s="65"/>
      <c r="CN226" s="15" t="str">
        <f t="shared" si="701"/>
        <v>NO APLICA</v>
      </c>
      <c r="CO226" s="12"/>
      <c r="CP226" s="14"/>
      <c r="CQ226" s="14"/>
      <c r="CR226" s="65"/>
      <c r="CS226" s="15" t="str">
        <f t="shared" si="702"/>
        <v>NO APLICA</v>
      </c>
      <c r="CT226" s="12"/>
      <c r="CU226" s="14"/>
      <c r="CV226" s="14"/>
      <c r="CW226" s="65"/>
      <c r="CX226" s="15" t="str">
        <f t="shared" si="703"/>
        <v>NO APLICA</v>
      </c>
      <c r="CY226" s="13"/>
      <c r="CZ226" s="14"/>
      <c r="DA226" s="14"/>
      <c r="DB226" s="65"/>
      <c r="DC226" s="15" t="str">
        <f t="shared" si="704"/>
        <v>NO APLICA</v>
      </c>
      <c r="DD226" s="13"/>
      <c r="DE226" s="14"/>
      <c r="DF226" s="14"/>
      <c r="DG226" s="65"/>
      <c r="DH226" s="15" t="str">
        <f t="shared" si="705"/>
        <v>NO APLICA</v>
      </c>
      <c r="DI226" s="12"/>
      <c r="DJ226" s="14"/>
      <c r="DK226" s="14"/>
      <c r="DL226" s="65"/>
      <c r="DM226" s="15" t="str">
        <f t="shared" si="706"/>
        <v>NO APLICA</v>
      </c>
      <c r="DN226" s="13"/>
      <c r="DO226" s="14"/>
      <c r="DP226" s="14"/>
      <c r="DQ226" s="65"/>
      <c r="DR226" s="15" t="str">
        <f t="shared" si="707"/>
        <v>NO APLICA</v>
      </c>
      <c r="DS226" s="12"/>
      <c r="DT226" s="14"/>
      <c r="DU226" s="14"/>
      <c r="DV226" s="65"/>
      <c r="DW226" s="15" t="str">
        <f t="shared" si="708"/>
        <v>NO APLICA</v>
      </c>
      <c r="DX226" s="13"/>
      <c r="DY226" s="14"/>
      <c r="DZ226" s="14"/>
      <c r="EA226" s="65"/>
      <c r="EB226" s="15" t="str">
        <f t="shared" si="709"/>
        <v>NO APLICA</v>
      </c>
      <c r="EC226" s="13"/>
      <c r="ED226" s="14"/>
      <c r="EE226" s="14"/>
      <c r="EF226" s="65"/>
      <c r="EG226" s="15" t="str">
        <f t="shared" si="710"/>
        <v>NO APLICA</v>
      </c>
      <c r="EH226" s="13"/>
      <c r="EI226" s="12"/>
      <c r="EJ226" s="12"/>
      <c r="EK226" s="14"/>
      <c r="EL226" s="14"/>
      <c r="EM226" s="65"/>
      <c r="EN226" s="15" t="str">
        <f t="shared" si="711"/>
        <v>NO APLICA</v>
      </c>
      <c r="EO226" s="13"/>
      <c r="EP226" s="14"/>
      <c r="EQ226" s="14"/>
      <c r="ER226" s="65"/>
      <c r="ES226" s="15" t="str">
        <f t="shared" si="712"/>
        <v>NO APLICA</v>
      </c>
      <c r="ET226" s="12"/>
      <c r="EU226" s="14"/>
      <c r="EV226" s="14"/>
      <c r="EW226" s="65"/>
      <c r="EX226" s="15" t="str">
        <f t="shared" si="713"/>
        <v>NO APLICA</v>
      </c>
      <c r="EY226" s="12"/>
      <c r="EZ226" s="14"/>
      <c r="FA226" s="14"/>
      <c r="FB226" s="65"/>
      <c r="FC226" s="15" t="str">
        <f t="shared" si="714"/>
        <v>NO APLICA</v>
      </c>
      <c r="FD226" s="12"/>
      <c r="FE226" s="14"/>
      <c r="FF226" s="14"/>
      <c r="FG226" s="65"/>
      <c r="FH226" s="15" t="str">
        <f t="shared" si="715"/>
        <v>NO APLICA</v>
      </c>
      <c r="FI226" s="12"/>
      <c r="FJ226" s="14"/>
      <c r="FK226" s="14"/>
      <c r="FL226" s="65"/>
      <c r="FM226" s="15" t="str">
        <f t="shared" si="716"/>
        <v>NO APLICA</v>
      </c>
      <c r="FN226" s="13"/>
      <c r="FO226" s="14"/>
      <c r="FP226" s="14"/>
      <c r="FQ226" s="65"/>
      <c r="FR226" s="15" t="str">
        <f t="shared" si="717"/>
        <v>NO APLICA</v>
      </c>
      <c r="FS226" s="13"/>
      <c r="FT226" s="14"/>
      <c r="FU226" s="14"/>
      <c r="FV226" s="65"/>
      <c r="FW226" s="15" t="str">
        <f t="shared" si="718"/>
        <v>NO APLICA</v>
      </c>
      <c r="FX226" s="13"/>
      <c r="FY226" s="14"/>
      <c r="FZ226" s="14"/>
      <c r="GA226" s="65"/>
      <c r="GB226" s="15" t="str">
        <f t="shared" si="719"/>
        <v>NO APLICA</v>
      </c>
      <c r="GC226" s="13"/>
      <c r="GD226" s="14"/>
      <c r="GE226" s="14"/>
      <c r="GF226" s="65"/>
      <c r="GG226" s="15" t="str">
        <f t="shared" si="720"/>
        <v>NO APLICA</v>
      </c>
      <c r="GH226" s="13"/>
      <c r="GI226" s="14"/>
      <c r="GJ226" s="14"/>
      <c r="GK226" s="65"/>
      <c r="GL226" s="15" t="str">
        <f t="shared" si="721"/>
        <v>NO APLICA</v>
      </c>
      <c r="GM226" s="13"/>
      <c r="GN226" s="14"/>
      <c r="GO226" s="14"/>
      <c r="GP226" s="65"/>
      <c r="GQ226" s="15" t="str">
        <f t="shared" si="722"/>
        <v>NO APLICA</v>
      </c>
      <c r="GR226" s="14"/>
      <c r="GS226" s="14"/>
      <c r="GT226" s="14"/>
      <c r="GU226" s="65"/>
      <c r="GV226" s="15" t="str">
        <f t="shared" si="601"/>
        <v>NO APLICA</v>
      </c>
      <c r="GW226" s="13"/>
      <c r="GX226" s="14"/>
      <c r="GY226" s="14"/>
      <c r="GZ226" s="65"/>
      <c r="HA226" s="15" t="str">
        <f t="shared" si="602"/>
        <v>NO APLICA</v>
      </c>
      <c r="HB226" s="12"/>
      <c r="HC226" s="14"/>
      <c r="HD226" s="14"/>
      <c r="HE226" s="65"/>
      <c r="HF226" s="15" t="str">
        <f t="shared" si="603"/>
        <v>NO APLICA</v>
      </c>
      <c r="HG226" s="16"/>
      <c r="HH226" s="16"/>
      <c r="HI226" s="14"/>
      <c r="HJ226" s="65"/>
      <c r="HK226" s="15" t="str">
        <f t="shared" si="690"/>
        <v>NO APLICA</v>
      </c>
      <c r="HL226" s="12"/>
      <c r="HM226" s="16"/>
      <c r="HN226" s="14"/>
      <c r="HO226" s="65"/>
      <c r="HP226" s="15" t="str">
        <f t="shared" si="686"/>
        <v>NO APLICA</v>
      </c>
      <c r="HQ226" s="12"/>
      <c r="HR226" s="12"/>
      <c r="HS226" s="14"/>
      <c r="HT226" s="12"/>
      <c r="HU226" s="15" t="str">
        <f t="shared" si="723"/>
        <v>NO APLICA</v>
      </c>
      <c r="HV226" s="12"/>
      <c r="HW226" s="16"/>
      <c r="HX226" s="14"/>
      <c r="HY226" s="65"/>
      <c r="HZ226" s="15" t="str">
        <f t="shared" si="724"/>
        <v>NO APLICA</v>
      </c>
      <c r="IA226" s="12"/>
      <c r="IB226" s="16"/>
      <c r="IC226" s="14"/>
      <c r="ID226" s="65"/>
      <c r="IE226" s="15" t="str">
        <f t="shared" si="725"/>
        <v>NO APLICA</v>
      </c>
      <c r="IF226" s="12"/>
      <c r="IG226" s="16"/>
      <c r="IH226" s="14"/>
      <c r="II226" s="65"/>
      <c r="IJ226" s="15" t="str">
        <f t="shared" si="726"/>
        <v>NO APLICA</v>
      </c>
      <c r="IK226" s="16"/>
      <c r="IL226" s="16"/>
      <c r="IM226" s="14"/>
      <c r="IN226" s="65"/>
      <c r="IO226" s="15" t="str">
        <f t="shared" si="727"/>
        <v>NO APLICA</v>
      </c>
      <c r="IP226" s="12"/>
      <c r="IQ226" s="16"/>
      <c r="IR226" s="14"/>
      <c r="IS226" s="65"/>
      <c r="IT226" s="15" t="str">
        <f t="shared" si="728"/>
        <v>NO APLICA</v>
      </c>
      <c r="IU226" s="12"/>
      <c r="IV226" s="16"/>
      <c r="IW226" s="14"/>
      <c r="IX226" s="65"/>
      <c r="IY226" s="15" t="str">
        <f t="shared" si="729"/>
        <v>NO APLICA</v>
      </c>
      <c r="IZ226" s="12"/>
      <c r="JA226" s="16"/>
      <c r="JB226" s="14"/>
      <c r="JC226" s="65"/>
      <c r="JD226" s="15" t="str">
        <f t="shared" si="730"/>
        <v>NO APLICA</v>
      </c>
      <c r="JE226" s="13"/>
      <c r="JF226" s="13"/>
      <c r="JG226" s="14"/>
      <c r="JH226" s="65"/>
      <c r="JI226" s="15" t="str">
        <f t="shared" si="731"/>
        <v>NO APLICA</v>
      </c>
      <c r="JJ226" s="16"/>
      <c r="JK226" s="16"/>
      <c r="JL226" s="16"/>
      <c r="JM226" s="15" t="str">
        <f t="shared" si="732"/>
        <v>NO APLICA</v>
      </c>
      <c r="JN226" s="16"/>
      <c r="JO226" s="16"/>
      <c r="JP226" s="16"/>
      <c r="JQ226" s="15" t="str">
        <f t="shared" si="733"/>
        <v>NO APLICA</v>
      </c>
      <c r="JR226" s="16"/>
      <c r="JS226" s="16"/>
      <c r="JT226" s="16"/>
      <c r="JU226" s="16"/>
      <c r="JV226" s="15" t="str">
        <f t="shared" si="734"/>
        <v>NO APLICA</v>
      </c>
      <c r="JW226" s="15"/>
      <c r="JX226" s="13">
        <v>45948</v>
      </c>
      <c r="JY226" s="14">
        <f t="shared" ref="JY226:JY227" si="762">DATE(YEAR(JX226)+2,MONTH(JX226),DAY(JX226))</f>
        <v>46678</v>
      </c>
      <c r="JZ226" s="65">
        <f ca="1">JY226-TODAY()</f>
        <v>547</v>
      </c>
      <c r="KA226" s="15" t="str">
        <f ca="1">IF(JZ226&gt;=61,"VIGENTE",IF(JZ226&gt;=1,"POR VENCER",IF(JZ226&lt;=-1,"VENCIDA",IF(JX226=0,"NO APLICA"))))</f>
        <v>VIGENTE</v>
      </c>
      <c r="KB226" s="12"/>
      <c r="KC226" s="14"/>
      <c r="KD226" s="65"/>
      <c r="KE226" s="15" t="str">
        <f t="shared" si="736"/>
        <v>NO APLICA</v>
      </c>
      <c r="KF226" s="12"/>
      <c r="KG226" s="14"/>
      <c r="KH226" s="65"/>
      <c r="KI226" s="15" t="str">
        <f t="shared" si="749"/>
        <v>NO APLICA</v>
      </c>
      <c r="KJ226" s="12"/>
      <c r="KK226" s="14"/>
      <c r="KL226" s="65"/>
      <c r="KM226" s="15" t="str">
        <f t="shared" si="737"/>
        <v>NO APLICA</v>
      </c>
      <c r="KN226" s="12"/>
      <c r="KO226" s="14"/>
      <c r="KP226" s="65"/>
      <c r="KQ226" s="15" t="str">
        <f t="shared" si="750"/>
        <v>NO APLICA</v>
      </c>
      <c r="KR226" s="12"/>
      <c r="KS226" s="16"/>
      <c r="KT226" s="14"/>
      <c r="KU226" s="65"/>
      <c r="KV226" s="15" t="str">
        <f t="shared" si="755"/>
        <v>NO APLICA</v>
      </c>
      <c r="KW226" s="16"/>
      <c r="KX226" s="14"/>
      <c r="KY226" s="65"/>
      <c r="KZ226" s="15" t="str">
        <f t="shared" si="751"/>
        <v>NO APLICA</v>
      </c>
      <c r="LA226" s="16"/>
      <c r="LB226" s="16"/>
      <c r="LC226" s="14"/>
      <c r="LD226" s="65"/>
      <c r="LE226" s="15" t="str">
        <f t="shared" si="590"/>
        <v>NO APLICA</v>
      </c>
      <c r="LF226" s="15"/>
      <c r="LG226" s="15"/>
      <c r="LH226" s="14"/>
      <c r="LI226" s="65"/>
      <c r="LJ226" s="15" t="str">
        <f t="shared" si="756"/>
        <v>NO APLICA</v>
      </c>
      <c r="LK226" s="12"/>
      <c r="LL226" s="16"/>
      <c r="LM226" s="14"/>
      <c r="LN226" s="65"/>
      <c r="LO226" s="15" t="str">
        <f t="shared" si="752"/>
        <v>NO APLICA</v>
      </c>
      <c r="LP226" s="16"/>
      <c r="LQ226" s="16"/>
      <c r="LR226" s="14"/>
      <c r="LS226" s="65"/>
      <c r="LT226" s="15" t="str">
        <f t="shared" si="753"/>
        <v>NO APLICA</v>
      </c>
      <c r="LU226" s="16"/>
      <c r="LV226" s="16"/>
      <c r="LW226" s="14"/>
      <c r="LX226" s="65"/>
      <c r="LY226" s="15" t="str">
        <f t="shared" si="754"/>
        <v>NO APLICA</v>
      </c>
      <c r="LZ226" s="12"/>
      <c r="MA226" s="12"/>
      <c r="MB226" s="14"/>
      <c r="MC226" s="65"/>
      <c r="MD226" s="15" t="str">
        <f t="shared" si="738"/>
        <v>NO APLICA</v>
      </c>
      <c r="ME226" s="12"/>
      <c r="MF226" s="12"/>
      <c r="MG226" s="14"/>
      <c r="MH226" s="65"/>
      <c r="MI226" s="15" t="str">
        <f t="shared" si="739"/>
        <v>NO APLICA</v>
      </c>
      <c r="MJ226" s="12"/>
      <c r="MK226" s="14"/>
      <c r="ML226" s="65"/>
      <c r="MM226" s="15" t="str">
        <f t="shared" si="740"/>
        <v>NO APLICA</v>
      </c>
      <c r="MN226" s="12"/>
      <c r="MO226" s="14"/>
      <c r="MP226" s="12"/>
      <c r="MQ226" s="15" t="str">
        <f t="shared" si="741"/>
        <v>NO APLICA</v>
      </c>
      <c r="MR226" s="12"/>
      <c r="MS226" s="16"/>
      <c r="MT226" s="14"/>
      <c r="MU226" s="65"/>
      <c r="MV226" s="15" t="str">
        <f t="shared" si="742"/>
        <v>NO APLICA</v>
      </c>
      <c r="MW226" s="12"/>
      <c r="MX226" s="16"/>
      <c r="MY226" s="14"/>
      <c r="MZ226" s="65"/>
      <c r="NA226" s="15" t="str">
        <f t="shared" si="743"/>
        <v>NO APLICA</v>
      </c>
      <c r="NB226" s="12"/>
      <c r="NC226" s="16"/>
      <c r="ND226" s="14"/>
      <c r="NE226" s="65"/>
      <c r="NF226" s="15" t="str">
        <f t="shared" si="744"/>
        <v>NO APLICA</v>
      </c>
      <c r="NG226" s="12"/>
      <c r="NH226" s="12"/>
      <c r="NI226" s="14"/>
      <c r="NJ226" s="65"/>
      <c r="NK226" s="15" t="str">
        <f t="shared" si="745"/>
        <v>NO APLICA</v>
      </c>
      <c r="NL226" s="12"/>
      <c r="NM226" s="12"/>
      <c r="NN226" s="14"/>
      <c r="NO226" s="12"/>
      <c r="NP226" s="15" t="str">
        <f t="shared" si="746"/>
        <v>NO APLICA</v>
      </c>
      <c r="NQ226" s="16"/>
      <c r="NR226" s="16"/>
      <c r="NS226" s="14"/>
      <c r="NT226" s="65"/>
      <c r="NU226" s="15" t="str">
        <f t="shared" si="747"/>
        <v>NO APLICA</v>
      </c>
      <c r="NV226" s="16"/>
      <c r="NW226" s="16"/>
      <c r="NX226" s="16"/>
      <c r="NY226" s="16"/>
      <c r="NZ226" s="15" t="str">
        <f t="shared" si="748"/>
        <v>NO APLICA</v>
      </c>
    </row>
    <row r="227" spans="1:390" ht="15.6" thickTop="1" thickBot="1" x14ac:dyDescent="0.35">
      <c r="A227" s="11">
        <v>1720</v>
      </c>
      <c r="B227" s="10" t="s">
        <v>742</v>
      </c>
      <c r="C227" s="21" t="s">
        <v>675</v>
      </c>
      <c r="D227" s="64" t="s">
        <v>708</v>
      </c>
      <c r="E227" s="13"/>
      <c r="F227" s="14"/>
      <c r="G227" s="14"/>
      <c r="H227" s="65"/>
      <c r="I227" s="15" t="str">
        <f t="shared" si="688"/>
        <v>NO APLICA</v>
      </c>
      <c r="J227" s="12"/>
      <c r="K227" s="12"/>
      <c r="L227" s="12"/>
      <c r="M227" s="12"/>
      <c r="N227" s="15" t="str">
        <f t="shared" si="691"/>
        <v>NO APLICA</v>
      </c>
      <c r="O227" s="16"/>
      <c r="P227" s="16"/>
      <c r="Q227" s="14"/>
      <c r="R227" s="65"/>
      <c r="S227" s="15" t="str">
        <f t="shared" si="689"/>
        <v>NO APLICA</v>
      </c>
      <c r="T227" s="12"/>
      <c r="U227" s="13"/>
      <c r="V227" s="14"/>
      <c r="W227" s="14"/>
      <c r="X227" s="65"/>
      <c r="Y227" s="15" t="str">
        <f t="shared" si="595"/>
        <v>NO APLICA</v>
      </c>
      <c r="Z227" s="12"/>
      <c r="AA227" s="12"/>
      <c r="AB227" s="16"/>
      <c r="AC227" s="14"/>
      <c r="AD227" s="65"/>
      <c r="AE227" s="15" t="str">
        <f t="shared" si="598"/>
        <v>NO APLICA</v>
      </c>
      <c r="AF227" s="12"/>
      <c r="AG227" s="14"/>
      <c r="AH227" s="14"/>
      <c r="AI227" s="65"/>
      <c r="AJ227" s="15" t="str">
        <f t="shared" si="592"/>
        <v>NO APLICA</v>
      </c>
      <c r="AK227" s="12"/>
      <c r="AL227" s="14"/>
      <c r="AM227" s="14"/>
      <c r="AN227" s="65"/>
      <c r="AO227" s="15" t="str">
        <f t="shared" si="692"/>
        <v>NO APLICA</v>
      </c>
      <c r="AP227" s="12"/>
      <c r="AQ227" s="14"/>
      <c r="AR227" s="14"/>
      <c r="AS227" s="65"/>
      <c r="AT227" s="15" t="str">
        <f t="shared" si="693"/>
        <v>NO APLICA</v>
      </c>
      <c r="AU227" s="12"/>
      <c r="AV227" s="14"/>
      <c r="AW227" s="14"/>
      <c r="AX227" s="65"/>
      <c r="AY227" s="15" t="str">
        <f t="shared" si="694"/>
        <v>NO APLICA</v>
      </c>
      <c r="AZ227" s="13"/>
      <c r="BA227" s="14"/>
      <c r="BB227" s="14"/>
      <c r="BC227" s="65"/>
      <c r="BD227" s="15" t="str">
        <f t="shared" si="695"/>
        <v>NO APLICA</v>
      </c>
      <c r="BE227" s="12"/>
      <c r="BF227" s="14"/>
      <c r="BG227" s="14"/>
      <c r="BH227" s="65"/>
      <c r="BI227" s="15" t="str">
        <f t="shared" si="696"/>
        <v>NO APLICA</v>
      </c>
      <c r="BJ227" s="13"/>
      <c r="BK227" s="14"/>
      <c r="BL227" s="14"/>
      <c r="BM227" s="65"/>
      <c r="BN227" s="15" t="str">
        <f t="shared" si="697"/>
        <v>NO APLICA</v>
      </c>
      <c r="BO227" s="13"/>
      <c r="BP227" s="14"/>
      <c r="BQ227" s="14"/>
      <c r="BR227" s="65"/>
      <c r="BS227" s="15" t="str">
        <f t="shared" si="698"/>
        <v>NO APLICA</v>
      </c>
      <c r="BT227" s="12"/>
      <c r="BU227" s="14"/>
      <c r="BV227" s="14"/>
      <c r="BW227" s="65"/>
      <c r="BX227" s="15" t="str">
        <f t="shared" si="699"/>
        <v>NO APLICA</v>
      </c>
      <c r="BY227" s="12"/>
      <c r="BZ227" s="14"/>
      <c r="CA227" s="14"/>
      <c r="CB227" s="65"/>
      <c r="CC227" s="15" t="str">
        <f t="shared" si="700"/>
        <v>NO APLICA</v>
      </c>
      <c r="CD227" s="16"/>
      <c r="CE227" s="14"/>
      <c r="CF227" s="14"/>
      <c r="CG227" s="14"/>
      <c r="CH227" s="65"/>
      <c r="CI227" s="15" t="str">
        <f t="shared" si="758"/>
        <v>NO APLICA</v>
      </c>
      <c r="CJ227" s="16"/>
      <c r="CK227" s="14"/>
      <c r="CL227" s="14"/>
      <c r="CM227" s="65"/>
      <c r="CN227" s="15" t="str">
        <f t="shared" si="701"/>
        <v>NO APLICA</v>
      </c>
      <c r="CO227" s="12"/>
      <c r="CP227" s="14"/>
      <c r="CQ227" s="14"/>
      <c r="CR227" s="65"/>
      <c r="CS227" s="15" t="str">
        <f t="shared" si="702"/>
        <v>NO APLICA</v>
      </c>
      <c r="CT227" s="12"/>
      <c r="CU227" s="14"/>
      <c r="CV227" s="14"/>
      <c r="CW227" s="65"/>
      <c r="CX227" s="15" t="str">
        <f t="shared" si="703"/>
        <v>NO APLICA</v>
      </c>
      <c r="CY227" s="13"/>
      <c r="CZ227" s="14"/>
      <c r="DA227" s="14"/>
      <c r="DB227" s="65"/>
      <c r="DC227" s="15" t="str">
        <f t="shared" si="704"/>
        <v>NO APLICA</v>
      </c>
      <c r="DD227" s="13"/>
      <c r="DE227" s="14"/>
      <c r="DF227" s="14"/>
      <c r="DG227" s="65"/>
      <c r="DH227" s="15" t="str">
        <f t="shared" si="705"/>
        <v>NO APLICA</v>
      </c>
      <c r="DI227" s="12"/>
      <c r="DJ227" s="14"/>
      <c r="DK227" s="14"/>
      <c r="DL227" s="65"/>
      <c r="DM227" s="15" t="str">
        <f t="shared" si="706"/>
        <v>NO APLICA</v>
      </c>
      <c r="DN227" s="13"/>
      <c r="DO227" s="14"/>
      <c r="DP227" s="14"/>
      <c r="DQ227" s="65"/>
      <c r="DR227" s="15" t="str">
        <f t="shared" si="707"/>
        <v>NO APLICA</v>
      </c>
      <c r="DS227" s="12"/>
      <c r="DT227" s="14"/>
      <c r="DU227" s="14"/>
      <c r="DV227" s="65"/>
      <c r="DW227" s="15" t="str">
        <f t="shared" si="708"/>
        <v>NO APLICA</v>
      </c>
      <c r="DX227" s="13"/>
      <c r="DY227" s="14"/>
      <c r="DZ227" s="14"/>
      <c r="EA227" s="65"/>
      <c r="EB227" s="15" t="str">
        <f t="shared" si="709"/>
        <v>NO APLICA</v>
      </c>
      <c r="EC227" s="13"/>
      <c r="ED227" s="14"/>
      <c r="EE227" s="14"/>
      <c r="EF227" s="65"/>
      <c r="EG227" s="15" t="str">
        <f t="shared" si="710"/>
        <v>NO APLICA</v>
      </c>
      <c r="EH227" s="13"/>
      <c r="EI227" s="12"/>
      <c r="EJ227" s="12"/>
      <c r="EK227" s="14"/>
      <c r="EL227" s="14"/>
      <c r="EM227" s="65"/>
      <c r="EN227" s="15" t="str">
        <f t="shared" si="711"/>
        <v>NO APLICA</v>
      </c>
      <c r="EO227" s="13"/>
      <c r="EP227" s="14"/>
      <c r="EQ227" s="14"/>
      <c r="ER227" s="65"/>
      <c r="ES227" s="15" t="str">
        <f t="shared" si="712"/>
        <v>NO APLICA</v>
      </c>
      <c r="ET227" s="12"/>
      <c r="EU227" s="14"/>
      <c r="EV227" s="14"/>
      <c r="EW227" s="65"/>
      <c r="EX227" s="15" t="str">
        <f t="shared" si="713"/>
        <v>NO APLICA</v>
      </c>
      <c r="EY227" s="12"/>
      <c r="EZ227" s="14"/>
      <c r="FA227" s="14"/>
      <c r="FB227" s="65"/>
      <c r="FC227" s="15" t="str">
        <f t="shared" si="714"/>
        <v>NO APLICA</v>
      </c>
      <c r="FD227" s="12"/>
      <c r="FE227" s="14"/>
      <c r="FF227" s="14"/>
      <c r="FG227" s="65"/>
      <c r="FH227" s="15" t="str">
        <f t="shared" si="715"/>
        <v>NO APLICA</v>
      </c>
      <c r="FI227" s="12"/>
      <c r="FJ227" s="14"/>
      <c r="FK227" s="14"/>
      <c r="FL227" s="65"/>
      <c r="FM227" s="15" t="str">
        <f t="shared" si="716"/>
        <v>NO APLICA</v>
      </c>
      <c r="FN227" s="13"/>
      <c r="FO227" s="14"/>
      <c r="FP227" s="14"/>
      <c r="FQ227" s="65"/>
      <c r="FR227" s="15" t="str">
        <f t="shared" si="717"/>
        <v>NO APLICA</v>
      </c>
      <c r="FS227" s="13"/>
      <c r="FT227" s="14"/>
      <c r="FU227" s="14"/>
      <c r="FV227" s="65"/>
      <c r="FW227" s="15" t="str">
        <f t="shared" si="718"/>
        <v>NO APLICA</v>
      </c>
      <c r="FX227" s="13"/>
      <c r="FY227" s="14"/>
      <c r="FZ227" s="14"/>
      <c r="GA227" s="65"/>
      <c r="GB227" s="15" t="str">
        <f t="shared" si="719"/>
        <v>NO APLICA</v>
      </c>
      <c r="GC227" s="13"/>
      <c r="GD227" s="14"/>
      <c r="GE227" s="14"/>
      <c r="GF227" s="65"/>
      <c r="GG227" s="15" t="str">
        <f t="shared" si="720"/>
        <v>NO APLICA</v>
      </c>
      <c r="GH227" s="13"/>
      <c r="GI227" s="14"/>
      <c r="GJ227" s="14"/>
      <c r="GK227" s="65"/>
      <c r="GL227" s="15" t="str">
        <f t="shared" si="721"/>
        <v>NO APLICA</v>
      </c>
      <c r="GM227" s="13"/>
      <c r="GN227" s="14"/>
      <c r="GO227" s="14"/>
      <c r="GP227" s="65"/>
      <c r="GQ227" s="15" t="str">
        <f t="shared" si="722"/>
        <v>NO APLICA</v>
      </c>
      <c r="GR227" s="14"/>
      <c r="GS227" s="14"/>
      <c r="GT227" s="14"/>
      <c r="GU227" s="65"/>
      <c r="GV227" s="15" t="str">
        <f t="shared" si="601"/>
        <v>NO APLICA</v>
      </c>
      <c r="GW227" s="13"/>
      <c r="GX227" s="14"/>
      <c r="GY227" s="14"/>
      <c r="GZ227" s="65"/>
      <c r="HA227" s="15" t="str">
        <f t="shared" si="602"/>
        <v>NO APLICA</v>
      </c>
      <c r="HB227" s="12"/>
      <c r="HC227" s="14"/>
      <c r="HD227" s="14"/>
      <c r="HE227" s="65"/>
      <c r="HF227" s="15" t="str">
        <f t="shared" si="603"/>
        <v>NO APLICA</v>
      </c>
      <c r="HG227" s="16"/>
      <c r="HH227" s="16"/>
      <c r="HI227" s="14"/>
      <c r="HJ227" s="65"/>
      <c r="HK227" s="15" t="str">
        <f t="shared" si="690"/>
        <v>NO APLICA</v>
      </c>
      <c r="HL227" s="12"/>
      <c r="HM227" s="16"/>
      <c r="HN227" s="14"/>
      <c r="HO227" s="65"/>
      <c r="HP227" s="15" t="str">
        <f t="shared" si="686"/>
        <v>NO APLICA</v>
      </c>
      <c r="HQ227" s="12"/>
      <c r="HR227" s="12"/>
      <c r="HS227" s="14"/>
      <c r="HT227" s="12"/>
      <c r="HU227" s="15" t="str">
        <f t="shared" si="723"/>
        <v>NO APLICA</v>
      </c>
      <c r="HV227" s="12"/>
      <c r="HW227" s="16"/>
      <c r="HX227" s="14"/>
      <c r="HY227" s="65"/>
      <c r="HZ227" s="15" t="str">
        <f t="shared" si="724"/>
        <v>NO APLICA</v>
      </c>
      <c r="IA227" s="12"/>
      <c r="IB227" s="16"/>
      <c r="IC227" s="14"/>
      <c r="ID227" s="65"/>
      <c r="IE227" s="15" t="str">
        <f t="shared" si="725"/>
        <v>NO APLICA</v>
      </c>
      <c r="IF227" s="12"/>
      <c r="IG227" s="16"/>
      <c r="IH227" s="14"/>
      <c r="II227" s="65"/>
      <c r="IJ227" s="15" t="str">
        <f t="shared" si="726"/>
        <v>NO APLICA</v>
      </c>
      <c r="IK227" s="16"/>
      <c r="IL227" s="16"/>
      <c r="IM227" s="14"/>
      <c r="IN227" s="65"/>
      <c r="IO227" s="15" t="str">
        <f t="shared" si="727"/>
        <v>NO APLICA</v>
      </c>
      <c r="IP227" s="12"/>
      <c r="IQ227" s="16"/>
      <c r="IR227" s="14"/>
      <c r="IS227" s="65"/>
      <c r="IT227" s="15" t="str">
        <f t="shared" si="728"/>
        <v>NO APLICA</v>
      </c>
      <c r="IU227" s="12"/>
      <c r="IV227" s="16"/>
      <c r="IW227" s="14"/>
      <c r="IX227" s="65"/>
      <c r="IY227" s="15" t="str">
        <f t="shared" si="729"/>
        <v>NO APLICA</v>
      </c>
      <c r="IZ227" s="12"/>
      <c r="JA227" s="16"/>
      <c r="JB227" s="14"/>
      <c r="JC227" s="65"/>
      <c r="JD227" s="15" t="str">
        <f t="shared" si="730"/>
        <v>NO APLICA</v>
      </c>
      <c r="JE227" s="13"/>
      <c r="JF227" s="13"/>
      <c r="JG227" s="14"/>
      <c r="JH227" s="65"/>
      <c r="JI227" s="15" t="str">
        <f t="shared" si="731"/>
        <v>NO APLICA</v>
      </c>
      <c r="JJ227" s="16"/>
      <c r="JK227" s="16"/>
      <c r="JL227" s="16"/>
      <c r="JM227" s="15" t="str">
        <f t="shared" si="732"/>
        <v>NO APLICA</v>
      </c>
      <c r="JN227" s="16"/>
      <c r="JO227" s="16"/>
      <c r="JP227" s="16"/>
      <c r="JQ227" s="15" t="str">
        <f t="shared" si="733"/>
        <v>NO APLICA</v>
      </c>
      <c r="JR227" s="16"/>
      <c r="JS227" s="16"/>
      <c r="JT227" s="16"/>
      <c r="JU227" s="16"/>
      <c r="JV227" s="15" t="str">
        <f t="shared" si="734"/>
        <v>NO APLICA</v>
      </c>
      <c r="JW227" s="15"/>
      <c r="JX227" s="13">
        <v>45948</v>
      </c>
      <c r="JY227" s="14">
        <f t="shared" si="762"/>
        <v>46678</v>
      </c>
      <c r="JZ227" s="65">
        <f ca="1">JY227-TODAY()</f>
        <v>547</v>
      </c>
      <c r="KA227" s="15" t="str">
        <f ca="1">IF(JZ227&gt;=61,"VIGENTE",IF(JZ227&gt;=1,"POR VENCER",IF(JZ227&lt;=-1,"VENCIDA",IF(JX227=0,"NO APLICA"))))</f>
        <v>VIGENTE</v>
      </c>
      <c r="KB227" s="12"/>
      <c r="KC227" s="14"/>
      <c r="KD227" s="65"/>
      <c r="KE227" s="15" t="str">
        <f t="shared" si="736"/>
        <v>NO APLICA</v>
      </c>
      <c r="KF227" s="12"/>
      <c r="KG227" s="14"/>
      <c r="KH227" s="65"/>
      <c r="KI227" s="15" t="str">
        <f t="shared" si="749"/>
        <v>NO APLICA</v>
      </c>
      <c r="KJ227" s="12"/>
      <c r="KK227" s="14"/>
      <c r="KL227" s="65"/>
      <c r="KM227" s="15" t="str">
        <f t="shared" si="737"/>
        <v>NO APLICA</v>
      </c>
      <c r="KN227" s="12"/>
      <c r="KO227" s="14"/>
      <c r="KP227" s="65"/>
      <c r="KQ227" s="15" t="str">
        <f t="shared" si="750"/>
        <v>NO APLICA</v>
      </c>
      <c r="KR227" s="12"/>
      <c r="KS227" s="16"/>
      <c r="KT227" s="14"/>
      <c r="KU227" s="65"/>
      <c r="KV227" s="15" t="str">
        <f t="shared" si="755"/>
        <v>NO APLICA</v>
      </c>
      <c r="KW227" s="16"/>
      <c r="KX227" s="14"/>
      <c r="KY227" s="65"/>
      <c r="KZ227" s="15" t="str">
        <f t="shared" si="751"/>
        <v>NO APLICA</v>
      </c>
      <c r="LA227" s="16"/>
      <c r="LB227" s="16"/>
      <c r="LC227" s="14"/>
      <c r="LD227" s="65"/>
      <c r="LE227" s="15" t="str">
        <f t="shared" si="590"/>
        <v>NO APLICA</v>
      </c>
      <c r="LF227" s="15"/>
      <c r="LG227" s="15"/>
      <c r="LH227" s="14"/>
      <c r="LI227" s="65"/>
      <c r="LJ227" s="15" t="str">
        <f t="shared" si="756"/>
        <v>NO APLICA</v>
      </c>
      <c r="LK227" s="12"/>
      <c r="LL227" s="16"/>
      <c r="LM227" s="14"/>
      <c r="LN227" s="65"/>
      <c r="LO227" s="15" t="str">
        <f t="shared" si="752"/>
        <v>NO APLICA</v>
      </c>
      <c r="LP227" s="16"/>
      <c r="LQ227" s="16"/>
      <c r="LR227" s="14"/>
      <c r="LS227" s="65"/>
      <c r="LT227" s="15" t="str">
        <f t="shared" si="753"/>
        <v>NO APLICA</v>
      </c>
      <c r="LU227" s="16"/>
      <c r="LV227" s="16"/>
      <c r="LW227" s="14"/>
      <c r="LX227" s="65"/>
      <c r="LY227" s="15" t="str">
        <f t="shared" si="754"/>
        <v>NO APLICA</v>
      </c>
      <c r="LZ227" s="12"/>
      <c r="MA227" s="12"/>
      <c r="MB227" s="14"/>
      <c r="MC227" s="65"/>
      <c r="MD227" s="15" t="str">
        <f t="shared" si="738"/>
        <v>NO APLICA</v>
      </c>
      <c r="ME227" s="12"/>
      <c r="MF227" s="12"/>
      <c r="MG227" s="14"/>
      <c r="MH227" s="65"/>
      <c r="MI227" s="15" t="str">
        <f t="shared" si="739"/>
        <v>NO APLICA</v>
      </c>
      <c r="MJ227" s="12"/>
      <c r="MK227" s="14"/>
      <c r="ML227" s="65"/>
      <c r="MM227" s="15" t="str">
        <f t="shared" si="740"/>
        <v>NO APLICA</v>
      </c>
      <c r="MN227" s="12"/>
      <c r="MO227" s="14"/>
      <c r="MP227" s="12"/>
      <c r="MQ227" s="15" t="str">
        <f t="shared" si="741"/>
        <v>NO APLICA</v>
      </c>
      <c r="MR227" s="12"/>
      <c r="MS227" s="16"/>
      <c r="MT227" s="14"/>
      <c r="MU227" s="65"/>
      <c r="MV227" s="15" t="str">
        <f t="shared" si="742"/>
        <v>NO APLICA</v>
      </c>
      <c r="MW227" s="12"/>
      <c r="MX227" s="16"/>
      <c r="MY227" s="14"/>
      <c r="MZ227" s="65"/>
      <c r="NA227" s="15" t="str">
        <f t="shared" si="743"/>
        <v>NO APLICA</v>
      </c>
      <c r="NB227" s="12"/>
      <c r="NC227" s="16"/>
      <c r="ND227" s="14"/>
      <c r="NE227" s="65"/>
      <c r="NF227" s="15" t="str">
        <f t="shared" si="744"/>
        <v>NO APLICA</v>
      </c>
      <c r="NG227" s="12"/>
      <c r="NH227" s="12"/>
      <c r="NI227" s="14"/>
      <c r="NJ227" s="65"/>
      <c r="NK227" s="15" t="str">
        <f t="shared" si="745"/>
        <v>NO APLICA</v>
      </c>
      <c r="NL227" s="12"/>
      <c r="NM227" s="12"/>
      <c r="NN227" s="14"/>
      <c r="NO227" s="12"/>
      <c r="NP227" s="15" t="str">
        <f t="shared" si="746"/>
        <v>NO APLICA</v>
      </c>
      <c r="NQ227" s="16"/>
      <c r="NR227" s="16"/>
      <c r="NS227" s="14"/>
      <c r="NT227" s="65"/>
      <c r="NU227" s="15" t="str">
        <f t="shared" si="747"/>
        <v>NO APLICA</v>
      </c>
      <c r="NV227" s="16"/>
      <c r="NW227" s="16"/>
      <c r="NX227" s="16"/>
      <c r="NY227" s="16"/>
      <c r="NZ227" s="15" t="str">
        <f t="shared" si="748"/>
        <v>NO APLICA</v>
      </c>
    </row>
    <row r="228" spans="1:390" ht="15.6" thickTop="1" thickBot="1" x14ac:dyDescent="0.35">
      <c r="A228" s="11">
        <v>1122</v>
      </c>
      <c r="B228" s="10" t="s">
        <v>743</v>
      </c>
      <c r="C228" s="21" t="s">
        <v>104</v>
      </c>
      <c r="D228" s="64" t="s">
        <v>681</v>
      </c>
      <c r="E228" s="16"/>
      <c r="F228" s="16"/>
      <c r="G228" s="16"/>
      <c r="H228" s="16"/>
      <c r="I228" s="15" t="str">
        <f t="shared" si="688"/>
        <v>NO APLICA</v>
      </c>
      <c r="J228" s="16"/>
      <c r="K228" s="16"/>
      <c r="L228" s="16"/>
      <c r="M228" s="16"/>
      <c r="N228" s="15" t="str">
        <f t="shared" si="691"/>
        <v>NO APLICA</v>
      </c>
      <c r="O228" s="16"/>
      <c r="P228" s="16"/>
      <c r="Q228" s="16"/>
      <c r="R228" s="16"/>
      <c r="S228" s="15" t="str">
        <f t="shared" si="689"/>
        <v>NO APLICA</v>
      </c>
      <c r="T228" s="16"/>
      <c r="U228" s="14"/>
      <c r="V228" s="14"/>
      <c r="W228" s="14"/>
      <c r="X228" s="65"/>
      <c r="Y228" s="15" t="str">
        <f t="shared" si="595"/>
        <v>NO APLICA</v>
      </c>
      <c r="Z228" s="16"/>
      <c r="AA228" s="16"/>
      <c r="AB228" s="16"/>
      <c r="AC228" s="16"/>
      <c r="AD228" s="16"/>
      <c r="AE228" s="15" t="str">
        <f t="shared" si="598"/>
        <v>NO APLICA</v>
      </c>
      <c r="AF228" s="14"/>
      <c r="AG228" s="14"/>
      <c r="AH228" s="14"/>
      <c r="AI228" s="16"/>
      <c r="AJ228" s="15" t="str">
        <f t="shared" si="592"/>
        <v>NO APLICA</v>
      </c>
      <c r="AK228" s="14"/>
      <c r="AL228" s="14"/>
      <c r="AM228" s="14"/>
      <c r="AN228" s="16"/>
      <c r="AO228" s="15" t="str">
        <f t="shared" si="692"/>
        <v>NO APLICA</v>
      </c>
      <c r="AP228" s="14"/>
      <c r="AQ228" s="14"/>
      <c r="AR228" s="14"/>
      <c r="AS228" s="16"/>
      <c r="AT228" s="15" t="str">
        <f t="shared" si="693"/>
        <v>NO APLICA</v>
      </c>
      <c r="AU228" s="14"/>
      <c r="AV228" s="14"/>
      <c r="AW228" s="14"/>
      <c r="AX228" s="16"/>
      <c r="AY228" s="15" t="str">
        <f t="shared" si="694"/>
        <v>NO APLICA</v>
      </c>
      <c r="AZ228" s="14"/>
      <c r="BA228" s="14"/>
      <c r="BB228" s="14"/>
      <c r="BC228" s="16"/>
      <c r="BD228" s="15" t="str">
        <f t="shared" si="695"/>
        <v>NO APLICA</v>
      </c>
      <c r="BE228" s="14"/>
      <c r="BF228" s="14"/>
      <c r="BG228" s="14"/>
      <c r="BH228" s="16"/>
      <c r="BI228" s="15" t="str">
        <f t="shared" si="696"/>
        <v>NO APLICA</v>
      </c>
      <c r="BJ228" s="14"/>
      <c r="BK228" s="14"/>
      <c r="BL228" s="14"/>
      <c r="BM228" s="16"/>
      <c r="BN228" s="15" t="str">
        <f t="shared" si="697"/>
        <v>NO APLICA</v>
      </c>
      <c r="BO228" s="14"/>
      <c r="BP228" s="14"/>
      <c r="BQ228" s="14"/>
      <c r="BR228" s="16"/>
      <c r="BS228" s="15" t="str">
        <f t="shared" si="698"/>
        <v>NO APLICA</v>
      </c>
      <c r="BT228" s="14"/>
      <c r="BU228" s="14"/>
      <c r="BV228" s="14"/>
      <c r="BW228" s="16"/>
      <c r="BX228" s="15" t="str">
        <f t="shared" si="699"/>
        <v>NO APLICA</v>
      </c>
      <c r="BY228" s="14"/>
      <c r="BZ228" s="14"/>
      <c r="CA228" s="14"/>
      <c r="CB228" s="16"/>
      <c r="CC228" s="15" t="str">
        <f t="shared" si="700"/>
        <v>NO APLICA</v>
      </c>
      <c r="CD228" s="16"/>
      <c r="CE228" s="16"/>
      <c r="CF228" s="16"/>
      <c r="CG228" s="16"/>
      <c r="CH228" s="16"/>
      <c r="CI228" s="15" t="str">
        <f t="shared" si="758"/>
        <v>NO APLICA</v>
      </c>
      <c r="CJ228" s="14"/>
      <c r="CK228" s="14"/>
      <c r="CL228" s="14"/>
      <c r="CM228" s="16"/>
      <c r="CN228" s="15" t="str">
        <f t="shared" si="701"/>
        <v>NO APLICA</v>
      </c>
      <c r="CO228" s="14"/>
      <c r="CP228" s="14"/>
      <c r="CQ228" s="14"/>
      <c r="CR228" s="16"/>
      <c r="CS228" s="15" t="str">
        <f t="shared" si="702"/>
        <v>NO APLICA</v>
      </c>
      <c r="CT228" s="14"/>
      <c r="CU228" s="14"/>
      <c r="CV228" s="14"/>
      <c r="CW228" s="16"/>
      <c r="CX228" s="15" t="str">
        <f t="shared" si="703"/>
        <v>NO APLICA</v>
      </c>
      <c r="CY228" s="14"/>
      <c r="CZ228" s="14"/>
      <c r="DA228" s="14"/>
      <c r="DB228" s="16"/>
      <c r="DC228" s="15" t="str">
        <f t="shared" si="704"/>
        <v>NO APLICA</v>
      </c>
      <c r="DD228" s="14"/>
      <c r="DE228" s="14"/>
      <c r="DF228" s="14"/>
      <c r="DG228" s="16"/>
      <c r="DH228" s="15" t="str">
        <f t="shared" si="705"/>
        <v>NO APLICA</v>
      </c>
      <c r="DI228" s="14"/>
      <c r="DJ228" s="14"/>
      <c r="DK228" s="14"/>
      <c r="DL228" s="16"/>
      <c r="DM228" s="15" t="str">
        <f t="shared" si="706"/>
        <v>NO APLICA</v>
      </c>
      <c r="DN228" s="14"/>
      <c r="DO228" s="14"/>
      <c r="DP228" s="14"/>
      <c r="DQ228" s="16"/>
      <c r="DR228" s="15" t="str">
        <f t="shared" si="707"/>
        <v>NO APLICA</v>
      </c>
      <c r="DS228" s="14"/>
      <c r="DT228" s="14"/>
      <c r="DU228" s="14"/>
      <c r="DV228" s="16"/>
      <c r="DW228" s="15" t="str">
        <f t="shared" si="708"/>
        <v>NO APLICA</v>
      </c>
      <c r="DX228" s="14"/>
      <c r="DY228" s="14"/>
      <c r="DZ228" s="14"/>
      <c r="EA228" s="16"/>
      <c r="EB228" s="15" t="str">
        <f t="shared" si="709"/>
        <v>NO APLICA</v>
      </c>
      <c r="EC228" s="14"/>
      <c r="ED228" s="14"/>
      <c r="EE228" s="14"/>
      <c r="EF228" s="16"/>
      <c r="EG228" s="15" t="str">
        <f t="shared" si="710"/>
        <v>NO APLICA</v>
      </c>
      <c r="EH228" s="14"/>
      <c r="EI228" s="14"/>
      <c r="EJ228" s="14"/>
      <c r="EK228" s="14"/>
      <c r="EL228" s="14"/>
      <c r="EM228" s="65"/>
      <c r="EN228" s="15" t="str">
        <f t="shared" si="711"/>
        <v>NO APLICA</v>
      </c>
      <c r="EO228" s="14"/>
      <c r="EP228" s="14"/>
      <c r="EQ228" s="14"/>
      <c r="ER228" s="65"/>
      <c r="ES228" s="15" t="str">
        <f t="shared" si="712"/>
        <v>NO APLICA</v>
      </c>
      <c r="ET228" s="14"/>
      <c r="EU228" s="14"/>
      <c r="EV228" s="14"/>
      <c r="EW228" s="65"/>
      <c r="EX228" s="15" t="str">
        <f t="shared" si="713"/>
        <v>NO APLICA</v>
      </c>
      <c r="EY228" s="14"/>
      <c r="EZ228" s="14"/>
      <c r="FA228" s="14"/>
      <c r="FB228" s="16"/>
      <c r="FC228" s="15" t="str">
        <f t="shared" si="714"/>
        <v>NO APLICA</v>
      </c>
      <c r="FD228" s="14"/>
      <c r="FE228" s="14"/>
      <c r="FF228" s="14"/>
      <c r="FG228" s="16"/>
      <c r="FH228" s="15" t="str">
        <f t="shared" si="715"/>
        <v>NO APLICA</v>
      </c>
      <c r="FI228" s="14"/>
      <c r="FJ228" s="14"/>
      <c r="FK228" s="14"/>
      <c r="FL228" s="16"/>
      <c r="FM228" s="15" t="str">
        <f t="shared" si="716"/>
        <v>NO APLICA</v>
      </c>
      <c r="FN228" s="14"/>
      <c r="FO228" s="14"/>
      <c r="FP228" s="14"/>
      <c r="FQ228" s="16"/>
      <c r="FR228" s="15" t="str">
        <f t="shared" si="717"/>
        <v>NO APLICA</v>
      </c>
      <c r="FS228" s="14"/>
      <c r="FT228" s="14"/>
      <c r="FU228" s="14"/>
      <c r="FV228" s="16"/>
      <c r="FW228" s="15" t="str">
        <f t="shared" si="718"/>
        <v>NO APLICA</v>
      </c>
      <c r="FX228" s="14"/>
      <c r="FY228" s="14"/>
      <c r="FZ228" s="14"/>
      <c r="GA228" s="16"/>
      <c r="GB228" s="15" t="str">
        <f t="shared" si="719"/>
        <v>NO APLICA</v>
      </c>
      <c r="GC228" s="14"/>
      <c r="GD228" s="14"/>
      <c r="GE228" s="14"/>
      <c r="GF228" s="16"/>
      <c r="GG228" s="15" t="str">
        <f t="shared" si="720"/>
        <v>NO APLICA</v>
      </c>
      <c r="GH228" s="14"/>
      <c r="GI228" s="14"/>
      <c r="GJ228" s="14"/>
      <c r="GK228" s="65"/>
      <c r="GL228" s="15" t="str">
        <f t="shared" si="721"/>
        <v>NO APLICA</v>
      </c>
      <c r="GM228" s="14"/>
      <c r="GN228" s="16"/>
      <c r="GO228" s="16"/>
      <c r="GP228" s="16"/>
      <c r="GQ228" s="15" t="str">
        <f t="shared" si="722"/>
        <v>NO APLICA</v>
      </c>
      <c r="GR228" s="14"/>
      <c r="GS228" s="16"/>
      <c r="GT228" s="16"/>
      <c r="GU228" s="16"/>
      <c r="GV228" s="15" t="str">
        <f t="shared" si="601"/>
        <v>NO APLICA</v>
      </c>
      <c r="GW228" s="14"/>
      <c r="GX228" s="16"/>
      <c r="GY228" s="16"/>
      <c r="GZ228" s="16"/>
      <c r="HA228" s="15" t="str">
        <f t="shared" si="602"/>
        <v>NO APLICA</v>
      </c>
      <c r="HB228" s="16"/>
      <c r="HC228" s="16"/>
      <c r="HD228" s="16"/>
      <c r="HE228" s="16"/>
      <c r="HF228" s="15" t="str">
        <f t="shared" si="603"/>
        <v>NO APLICA</v>
      </c>
      <c r="HG228" s="16"/>
      <c r="HH228" s="16"/>
      <c r="HI228" s="14"/>
      <c r="HJ228" s="65"/>
      <c r="HK228" s="15" t="str">
        <f t="shared" si="690"/>
        <v>NO APLICA</v>
      </c>
      <c r="HL228" s="16"/>
      <c r="HM228" s="16"/>
      <c r="HN228" s="16"/>
      <c r="HO228" s="16"/>
      <c r="HP228" s="15" t="str">
        <f t="shared" si="686"/>
        <v>NO APLICA</v>
      </c>
      <c r="HQ228" s="16"/>
      <c r="HR228" s="16"/>
      <c r="HS228" s="16"/>
      <c r="HT228" s="16"/>
      <c r="HU228" s="15" t="str">
        <f t="shared" si="723"/>
        <v>NO APLICA</v>
      </c>
      <c r="HV228" s="16"/>
      <c r="HW228" s="16"/>
      <c r="HX228" s="16"/>
      <c r="HY228" s="16"/>
      <c r="HZ228" s="15" t="str">
        <f t="shared" si="724"/>
        <v>NO APLICA</v>
      </c>
      <c r="IA228" s="16"/>
      <c r="IB228" s="16"/>
      <c r="IC228" s="16"/>
      <c r="ID228" s="16"/>
      <c r="IE228" s="15" t="str">
        <f t="shared" si="725"/>
        <v>NO APLICA</v>
      </c>
      <c r="IF228" s="16"/>
      <c r="IG228" s="16"/>
      <c r="IH228" s="16"/>
      <c r="II228" s="16"/>
      <c r="IJ228" s="15" t="str">
        <f t="shared" si="726"/>
        <v>NO APLICA</v>
      </c>
      <c r="IK228" s="16"/>
      <c r="IL228" s="16"/>
      <c r="IM228" s="16"/>
      <c r="IN228" s="16"/>
      <c r="IO228" s="15" t="str">
        <f t="shared" si="727"/>
        <v>NO APLICA</v>
      </c>
      <c r="IP228" s="16"/>
      <c r="IQ228" s="16"/>
      <c r="IR228" s="16"/>
      <c r="IS228" s="16"/>
      <c r="IT228" s="15" t="str">
        <f t="shared" si="728"/>
        <v>NO APLICA</v>
      </c>
      <c r="IU228" s="16"/>
      <c r="IV228" s="16"/>
      <c r="IW228" s="16"/>
      <c r="IX228" s="16"/>
      <c r="IY228" s="15" t="str">
        <f t="shared" si="729"/>
        <v>NO APLICA</v>
      </c>
      <c r="IZ228" s="16"/>
      <c r="JA228" s="16"/>
      <c r="JB228" s="16"/>
      <c r="JC228" s="16"/>
      <c r="JD228" s="15" t="str">
        <f t="shared" si="730"/>
        <v>NO APLICA</v>
      </c>
      <c r="JE228" s="16"/>
      <c r="JF228" s="16"/>
      <c r="JG228" s="16"/>
      <c r="JH228" s="16"/>
      <c r="JI228" s="15" t="str">
        <f t="shared" si="731"/>
        <v>NO APLICA</v>
      </c>
      <c r="JJ228" s="16"/>
      <c r="JK228" s="16"/>
      <c r="JL228" s="16"/>
      <c r="JM228" s="15" t="str">
        <f t="shared" si="732"/>
        <v>NO APLICA</v>
      </c>
      <c r="JN228" s="16"/>
      <c r="JO228" s="16"/>
      <c r="JP228" s="16"/>
      <c r="JQ228" s="15" t="str">
        <f t="shared" si="733"/>
        <v>NO APLICA</v>
      </c>
      <c r="JR228" s="16"/>
      <c r="JS228" s="16"/>
      <c r="JT228" s="16"/>
      <c r="JU228" s="16"/>
      <c r="JV228" s="15" t="str">
        <f t="shared" si="734"/>
        <v>NO APLICA</v>
      </c>
      <c r="JW228" s="15"/>
      <c r="JX228" s="15"/>
      <c r="JY228" s="15"/>
      <c r="JZ228" s="15"/>
      <c r="KA228" s="15" t="str">
        <f t="shared" si="735"/>
        <v>NO APLICA</v>
      </c>
      <c r="KB228" s="16"/>
      <c r="KC228" s="16"/>
      <c r="KD228" s="16"/>
      <c r="KE228" s="15" t="str">
        <f t="shared" si="736"/>
        <v>NO APLICA</v>
      </c>
      <c r="KF228" s="16"/>
      <c r="KG228" s="16"/>
      <c r="KH228" s="16"/>
      <c r="KI228" s="15" t="str">
        <f t="shared" si="749"/>
        <v>NO APLICA</v>
      </c>
      <c r="KJ228" s="16"/>
      <c r="KK228" s="16"/>
      <c r="KL228" s="16"/>
      <c r="KM228" s="15" t="str">
        <f t="shared" si="737"/>
        <v>NO APLICA</v>
      </c>
      <c r="KN228" s="16"/>
      <c r="KO228" s="16"/>
      <c r="KP228" s="16"/>
      <c r="KQ228" s="15" t="str">
        <f t="shared" si="750"/>
        <v>NO APLICA</v>
      </c>
      <c r="KR228" s="16"/>
      <c r="KS228" s="16"/>
      <c r="KT228" s="16"/>
      <c r="KU228" s="16"/>
      <c r="KV228" s="15" t="str">
        <f t="shared" si="755"/>
        <v>NO APLICA</v>
      </c>
      <c r="KW228" s="16"/>
      <c r="KX228" s="16"/>
      <c r="KY228" s="16"/>
      <c r="KZ228" s="15" t="str">
        <f t="shared" si="751"/>
        <v>NO APLICA</v>
      </c>
      <c r="LA228" s="16"/>
      <c r="LB228" s="16"/>
      <c r="LC228" s="16"/>
      <c r="LD228" s="16"/>
      <c r="LE228" s="15" t="str">
        <f t="shared" si="590"/>
        <v>NO APLICA</v>
      </c>
      <c r="LF228" s="15"/>
      <c r="LG228" s="15"/>
      <c r="LH228" s="14"/>
      <c r="LI228" s="65"/>
      <c r="LJ228" s="15" t="str">
        <f t="shared" si="756"/>
        <v>NO APLICA</v>
      </c>
      <c r="LK228" s="16"/>
      <c r="LL228" s="16"/>
      <c r="LM228" s="16"/>
      <c r="LN228" s="16"/>
      <c r="LO228" s="15" t="str">
        <f t="shared" si="752"/>
        <v>NO APLICA</v>
      </c>
      <c r="LP228" s="16"/>
      <c r="LQ228" s="16"/>
      <c r="LR228" s="16"/>
      <c r="LS228" s="16"/>
      <c r="LT228" s="15" t="str">
        <f t="shared" si="753"/>
        <v>NO APLICA</v>
      </c>
      <c r="LU228" s="16"/>
      <c r="LV228" s="16"/>
      <c r="LW228" s="16"/>
      <c r="LX228" s="16"/>
      <c r="LY228" s="15" t="str">
        <f t="shared" si="754"/>
        <v>NO APLICA</v>
      </c>
      <c r="LZ228" s="16"/>
      <c r="MA228" s="16"/>
      <c r="MB228" s="16"/>
      <c r="MC228" s="16"/>
      <c r="MD228" s="15" t="str">
        <f t="shared" si="738"/>
        <v>NO APLICA</v>
      </c>
      <c r="ME228" s="16"/>
      <c r="MF228" s="16"/>
      <c r="MG228" s="16"/>
      <c r="MH228" s="16"/>
      <c r="MI228" s="15" t="str">
        <f t="shared" si="739"/>
        <v>NO APLICA</v>
      </c>
      <c r="MJ228" s="16"/>
      <c r="MK228" s="16"/>
      <c r="ML228" s="16"/>
      <c r="MM228" s="15" t="str">
        <f t="shared" si="740"/>
        <v>NO APLICA</v>
      </c>
      <c r="MN228" s="16"/>
      <c r="MO228" s="16"/>
      <c r="MP228" s="16"/>
      <c r="MQ228" s="15" t="str">
        <f t="shared" si="741"/>
        <v>NO APLICA</v>
      </c>
      <c r="MR228" s="16"/>
      <c r="MS228" s="16"/>
      <c r="MT228" s="16"/>
      <c r="MU228" s="16"/>
      <c r="MV228" s="15" t="str">
        <f t="shared" si="742"/>
        <v>NO APLICA</v>
      </c>
      <c r="MW228" s="16"/>
      <c r="MX228" s="16"/>
      <c r="MY228" s="16"/>
      <c r="MZ228" s="16"/>
      <c r="NA228" s="15" t="str">
        <f t="shared" si="743"/>
        <v>NO APLICA</v>
      </c>
      <c r="NB228" s="16"/>
      <c r="NC228" s="16"/>
      <c r="ND228" s="16"/>
      <c r="NE228" s="16"/>
      <c r="NF228" s="15" t="str">
        <f t="shared" si="744"/>
        <v>NO APLICA</v>
      </c>
      <c r="NG228" s="16"/>
      <c r="NH228" s="16"/>
      <c r="NI228" s="16"/>
      <c r="NJ228" s="16"/>
      <c r="NK228" s="15" t="str">
        <f t="shared" si="745"/>
        <v>NO APLICA</v>
      </c>
      <c r="NL228" s="16"/>
      <c r="NM228" s="16"/>
      <c r="NN228" s="16"/>
      <c r="NO228" s="16"/>
      <c r="NP228" s="15" t="str">
        <f t="shared" si="746"/>
        <v>NO APLICA</v>
      </c>
      <c r="NQ228" s="16"/>
      <c r="NR228" s="16"/>
      <c r="NS228" s="16"/>
      <c r="NT228" s="16"/>
      <c r="NU228" s="15" t="str">
        <f t="shared" si="747"/>
        <v>NO APLICA</v>
      </c>
      <c r="NV228" s="16"/>
      <c r="NW228" s="16"/>
      <c r="NX228" s="16"/>
      <c r="NY228" s="16"/>
      <c r="NZ228" s="15" t="str">
        <f t="shared" si="748"/>
        <v>NO APLICA</v>
      </c>
    </row>
    <row r="229" spans="1:390" ht="15.6" thickTop="1" thickBot="1" x14ac:dyDescent="0.35">
      <c r="A229" s="11">
        <v>1374</v>
      </c>
      <c r="B229" s="10" t="s">
        <v>744</v>
      </c>
      <c r="C229" s="21" t="s">
        <v>151</v>
      </c>
      <c r="D229" s="64" t="s">
        <v>668</v>
      </c>
      <c r="E229" s="16"/>
      <c r="F229" s="16"/>
      <c r="G229" s="16"/>
      <c r="H229" s="16"/>
      <c r="I229" s="15" t="str">
        <f t="shared" si="688"/>
        <v>NO APLICA</v>
      </c>
      <c r="J229" s="16"/>
      <c r="K229" s="16"/>
      <c r="L229" s="16"/>
      <c r="M229" s="16"/>
      <c r="N229" s="15" t="str">
        <f t="shared" si="691"/>
        <v>NO APLICA</v>
      </c>
      <c r="O229" s="16"/>
      <c r="P229" s="16"/>
      <c r="Q229" s="16"/>
      <c r="R229" s="16"/>
      <c r="S229" s="15" t="str">
        <f t="shared" si="689"/>
        <v>NO APLICA</v>
      </c>
      <c r="T229" s="16"/>
      <c r="U229" s="14"/>
      <c r="V229" s="14"/>
      <c r="W229" s="14"/>
      <c r="X229" s="65"/>
      <c r="Y229" s="15" t="str">
        <f t="shared" si="595"/>
        <v>NO APLICA</v>
      </c>
      <c r="Z229" s="16"/>
      <c r="AA229" s="16"/>
      <c r="AB229" s="16"/>
      <c r="AC229" s="16"/>
      <c r="AD229" s="16"/>
      <c r="AE229" s="15" t="str">
        <f t="shared" si="598"/>
        <v>NO APLICA</v>
      </c>
      <c r="AF229" s="14"/>
      <c r="AG229" s="14"/>
      <c r="AH229" s="14"/>
      <c r="AI229" s="16"/>
      <c r="AJ229" s="15" t="str">
        <f t="shared" si="592"/>
        <v>NO APLICA</v>
      </c>
      <c r="AK229" s="14"/>
      <c r="AL229" s="14"/>
      <c r="AM229" s="14"/>
      <c r="AN229" s="16"/>
      <c r="AO229" s="15" t="str">
        <f t="shared" si="692"/>
        <v>NO APLICA</v>
      </c>
      <c r="AP229" s="14"/>
      <c r="AQ229" s="14"/>
      <c r="AR229" s="14"/>
      <c r="AS229" s="16"/>
      <c r="AT229" s="15" t="str">
        <f t="shared" si="693"/>
        <v>NO APLICA</v>
      </c>
      <c r="AU229" s="14"/>
      <c r="AV229" s="14"/>
      <c r="AW229" s="14"/>
      <c r="AX229" s="16"/>
      <c r="AY229" s="15" t="str">
        <f t="shared" si="694"/>
        <v>NO APLICA</v>
      </c>
      <c r="AZ229" s="14"/>
      <c r="BA229" s="14"/>
      <c r="BB229" s="14"/>
      <c r="BC229" s="16"/>
      <c r="BD229" s="15" t="str">
        <f t="shared" si="695"/>
        <v>NO APLICA</v>
      </c>
      <c r="BE229" s="14"/>
      <c r="BF229" s="14"/>
      <c r="BG229" s="14"/>
      <c r="BH229" s="16"/>
      <c r="BI229" s="15" t="str">
        <f t="shared" si="696"/>
        <v>NO APLICA</v>
      </c>
      <c r="BJ229" s="14"/>
      <c r="BK229" s="14"/>
      <c r="BL229" s="14"/>
      <c r="BM229" s="16"/>
      <c r="BN229" s="15" t="str">
        <f t="shared" si="697"/>
        <v>NO APLICA</v>
      </c>
      <c r="BO229" s="14"/>
      <c r="BP229" s="14"/>
      <c r="BQ229" s="14"/>
      <c r="BR229" s="16"/>
      <c r="BS229" s="15" t="str">
        <f t="shared" si="698"/>
        <v>NO APLICA</v>
      </c>
      <c r="BT229" s="14"/>
      <c r="BU229" s="14"/>
      <c r="BV229" s="14"/>
      <c r="BW229" s="16"/>
      <c r="BX229" s="15" t="str">
        <f t="shared" si="699"/>
        <v>NO APLICA</v>
      </c>
      <c r="BY229" s="14"/>
      <c r="BZ229" s="14"/>
      <c r="CA229" s="14"/>
      <c r="CB229" s="16"/>
      <c r="CC229" s="15" t="str">
        <f t="shared" si="700"/>
        <v>NO APLICA</v>
      </c>
      <c r="CD229" s="16"/>
      <c r="CE229" s="16"/>
      <c r="CF229" s="16"/>
      <c r="CG229" s="16"/>
      <c r="CH229" s="16"/>
      <c r="CI229" s="15" t="str">
        <f t="shared" si="758"/>
        <v>NO APLICA</v>
      </c>
      <c r="CJ229" s="14"/>
      <c r="CK229" s="14"/>
      <c r="CL229" s="14"/>
      <c r="CM229" s="16"/>
      <c r="CN229" s="15" t="str">
        <f t="shared" si="701"/>
        <v>NO APLICA</v>
      </c>
      <c r="CO229" s="14"/>
      <c r="CP229" s="14"/>
      <c r="CQ229" s="14"/>
      <c r="CR229" s="16"/>
      <c r="CS229" s="15" t="str">
        <f t="shared" si="702"/>
        <v>NO APLICA</v>
      </c>
      <c r="CT229" s="14"/>
      <c r="CU229" s="14"/>
      <c r="CV229" s="14"/>
      <c r="CW229" s="16"/>
      <c r="CX229" s="15" t="str">
        <f t="shared" si="703"/>
        <v>NO APLICA</v>
      </c>
      <c r="CY229" s="14"/>
      <c r="CZ229" s="14"/>
      <c r="DA229" s="14"/>
      <c r="DB229" s="16"/>
      <c r="DC229" s="15" t="str">
        <f t="shared" si="704"/>
        <v>NO APLICA</v>
      </c>
      <c r="DD229" s="14"/>
      <c r="DE229" s="14"/>
      <c r="DF229" s="14"/>
      <c r="DG229" s="16"/>
      <c r="DH229" s="15" t="str">
        <f t="shared" si="705"/>
        <v>NO APLICA</v>
      </c>
      <c r="DI229" s="14"/>
      <c r="DJ229" s="14"/>
      <c r="DK229" s="14"/>
      <c r="DL229" s="16"/>
      <c r="DM229" s="15" t="str">
        <f t="shared" si="706"/>
        <v>NO APLICA</v>
      </c>
      <c r="DN229" s="14"/>
      <c r="DO229" s="14"/>
      <c r="DP229" s="14"/>
      <c r="DQ229" s="16"/>
      <c r="DR229" s="15" t="str">
        <f t="shared" si="707"/>
        <v>NO APLICA</v>
      </c>
      <c r="DS229" s="14"/>
      <c r="DT229" s="14"/>
      <c r="DU229" s="14"/>
      <c r="DV229" s="16"/>
      <c r="DW229" s="15" t="str">
        <f t="shared" si="708"/>
        <v>NO APLICA</v>
      </c>
      <c r="DX229" s="14"/>
      <c r="DY229" s="14"/>
      <c r="DZ229" s="14"/>
      <c r="EA229" s="16"/>
      <c r="EB229" s="15" t="str">
        <f t="shared" si="709"/>
        <v>NO APLICA</v>
      </c>
      <c r="EC229" s="14"/>
      <c r="ED229" s="14"/>
      <c r="EE229" s="14"/>
      <c r="EF229" s="16"/>
      <c r="EG229" s="15" t="str">
        <f t="shared" si="710"/>
        <v>NO APLICA</v>
      </c>
      <c r="EH229" s="14"/>
      <c r="EI229" s="14"/>
      <c r="EJ229" s="14"/>
      <c r="EK229" s="14"/>
      <c r="EL229" s="14"/>
      <c r="EM229" s="65"/>
      <c r="EN229" s="15" t="str">
        <f t="shared" si="711"/>
        <v>NO APLICA</v>
      </c>
      <c r="EO229" s="14"/>
      <c r="EP229" s="14"/>
      <c r="EQ229" s="14"/>
      <c r="ER229" s="65"/>
      <c r="ES229" s="15" t="str">
        <f t="shared" si="712"/>
        <v>NO APLICA</v>
      </c>
      <c r="ET229" s="14"/>
      <c r="EU229" s="14"/>
      <c r="EV229" s="14"/>
      <c r="EW229" s="65"/>
      <c r="EX229" s="15" t="str">
        <f t="shared" si="713"/>
        <v>NO APLICA</v>
      </c>
      <c r="EY229" s="14"/>
      <c r="EZ229" s="14"/>
      <c r="FA229" s="14"/>
      <c r="FB229" s="16"/>
      <c r="FC229" s="15" t="str">
        <f t="shared" si="714"/>
        <v>NO APLICA</v>
      </c>
      <c r="FD229" s="14"/>
      <c r="FE229" s="14"/>
      <c r="FF229" s="14"/>
      <c r="FG229" s="16"/>
      <c r="FH229" s="15" t="str">
        <f t="shared" si="715"/>
        <v>NO APLICA</v>
      </c>
      <c r="FI229" s="14"/>
      <c r="FJ229" s="14"/>
      <c r="FK229" s="14"/>
      <c r="FL229" s="16"/>
      <c r="FM229" s="15" t="str">
        <f t="shared" si="716"/>
        <v>NO APLICA</v>
      </c>
      <c r="FN229" s="14"/>
      <c r="FO229" s="14"/>
      <c r="FP229" s="14"/>
      <c r="FQ229" s="16"/>
      <c r="FR229" s="15" t="str">
        <f t="shared" si="717"/>
        <v>NO APLICA</v>
      </c>
      <c r="FS229" s="14"/>
      <c r="FT229" s="14"/>
      <c r="FU229" s="14"/>
      <c r="FV229" s="16"/>
      <c r="FW229" s="15" t="str">
        <f t="shared" si="718"/>
        <v>NO APLICA</v>
      </c>
      <c r="FX229" s="14"/>
      <c r="FY229" s="14"/>
      <c r="FZ229" s="14"/>
      <c r="GA229" s="16"/>
      <c r="GB229" s="15" t="str">
        <f t="shared" si="719"/>
        <v>NO APLICA</v>
      </c>
      <c r="GC229" s="14"/>
      <c r="GD229" s="14"/>
      <c r="GE229" s="14"/>
      <c r="GF229" s="16"/>
      <c r="GG229" s="15" t="str">
        <f t="shared" si="720"/>
        <v>NO APLICA</v>
      </c>
      <c r="GH229" s="14"/>
      <c r="GI229" s="14"/>
      <c r="GJ229" s="14"/>
      <c r="GK229" s="65"/>
      <c r="GL229" s="15" t="str">
        <f t="shared" si="721"/>
        <v>NO APLICA</v>
      </c>
      <c r="GM229" s="14"/>
      <c r="GN229" s="16"/>
      <c r="GO229" s="16"/>
      <c r="GP229" s="16"/>
      <c r="GQ229" s="15" t="str">
        <f t="shared" si="722"/>
        <v>NO APLICA</v>
      </c>
      <c r="GR229" s="14"/>
      <c r="GS229" s="16"/>
      <c r="GT229" s="16"/>
      <c r="GU229" s="16"/>
      <c r="GV229" s="15" t="str">
        <f t="shared" si="601"/>
        <v>NO APLICA</v>
      </c>
      <c r="GW229" s="14"/>
      <c r="GX229" s="16"/>
      <c r="GY229" s="16"/>
      <c r="GZ229" s="16"/>
      <c r="HA229" s="15" t="str">
        <f t="shared" si="602"/>
        <v>NO APLICA</v>
      </c>
      <c r="HB229" s="16"/>
      <c r="HC229" s="16"/>
      <c r="HD229" s="16"/>
      <c r="HE229" s="16"/>
      <c r="HF229" s="15" t="str">
        <f t="shared" si="603"/>
        <v>NO APLICA</v>
      </c>
      <c r="HG229" s="16"/>
      <c r="HH229" s="16"/>
      <c r="HI229" s="14"/>
      <c r="HJ229" s="65"/>
      <c r="HK229" s="15" t="str">
        <f t="shared" si="690"/>
        <v>NO APLICA</v>
      </c>
      <c r="HL229" s="16"/>
      <c r="HM229" s="16"/>
      <c r="HN229" s="16"/>
      <c r="HO229" s="16"/>
      <c r="HP229" s="15" t="str">
        <f t="shared" si="686"/>
        <v>NO APLICA</v>
      </c>
      <c r="HQ229" s="16"/>
      <c r="HR229" s="16"/>
      <c r="HS229" s="16"/>
      <c r="HT229" s="16"/>
      <c r="HU229" s="15" t="str">
        <f t="shared" si="723"/>
        <v>NO APLICA</v>
      </c>
      <c r="HV229" s="16"/>
      <c r="HW229" s="16"/>
      <c r="HX229" s="16"/>
      <c r="HY229" s="16"/>
      <c r="HZ229" s="15" t="str">
        <f t="shared" si="724"/>
        <v>NO APLICA</v>
      </c>
      <c r="IA229" s="16"/>
      <c r="IB229" s="16"/>
      <c r="IC229" s="16"/>
      <c r="ID229" s="16"/>
      <c r="IE229" s="15" t="str">
        <f t="shared" si="725"/>
        <v>NO APLICA</v>
      </c>
      <c r="IF229" s="16"/>
      <c r="IG229" s="16"/>
      <c r="IH229" s="16"/>
      <c r="II229" s="16"/>
      <c r="IJ229" s="15" t="str">
        <f t="shared" si="726"/>
        <v>NO APLICA</v>
      </c>
      <c r="IK229" s="16"/>
      <c r="IL229" s="16"/>
      <c r="IM229" s="16"/>
      <c r="IN229" s="16"/>
      <c r="IO229" s="15" t="str">
        <f t="shared" si="727"/>
        <v>NO APLICA</v>
      </c>
      <c r="IP229" s="16"/>
      <c r="IQ229" s="16"/>
      <c r="IR229" s="16"/>
      <c r="IS229" s="16"/>
      <c r="IT229" s="15" t="str">
        <f t="shared" si="728"/>
        <v>NO APLICA</v>
      </c>
      <c r="IU229" s="16"/>
      <c r="IV229" s="16"/>
      <c r="IW229" s="16"/>
      <c r="IX229" s="16"/>
      <c r="IY229" s="15" t="str">
        <f t="shared" si="729"/>
        <v>NO APLICA</v>
      </c>
      <c r="IZ229" s="16"/>
      <c r="JA229" s="16"/>
      <c r="JB229" s="16"/>
      <c r="JC229" s="16"/>
      <c r="JD229" s="15" t="str">
        <f t="shared" si="730"/>
        <v>NO APLICA</v>
      </c>
      <c r="JE229" s="16"/>
      <c r="JF229" s="16"/>
      <c r="JG229" s="16"/>
      <c r="JH229" s="16"/>
      <c r="JI229" s="15" t="str">
        <f t="shared" si="731"/>
        <v>NO APLICA</v>
      </c>
      <c r="JJ229" s="16"/>
      <c r="JK229" s="16"/>
      <c r="JL229" s="16"/>
      <c r="JM229" s="15" t="str">
        <f t="shared" si="732"/>
        <v>NO APLICA</v>
      </c>
      <c r="JN229" s="16"/>
      <c r="JO229" s="16"/>
      <c r="JP229" s="16"/>
      <c r="JQ229" s="15" t="str">
        <f t="shared" si="733"/>
        <v>NO APLICA</v>
      </c>
      <c r="JR229" s="16"/>
      <c r="JS229" s="16"/>
      <c r="JT229" s="16"/>
      <c r="JU229" s="16"/>
      <c r="JV229" s="15" t="str">
        <f t="shared" si="734"/>
        <v>NO APLICA</v>
      </c>
      <c r="JW229" s="15"/>
      <c r="JX229" s="15"/>
      <c r="JY229" s="15"/>
      <c r="JZ229" s="15"/>
      <c r="KA229" s="15" t="str">
        <f t="shared" si="735"/>
        <v>NO APLICA</v>
      </c>
      <c r="KB229" s="16"/>
      <c r="KC229" s="16"/>
      <c r="KD229" s="16"/>
      <c r="KE229" s="15" t="str">
        <f t="shared" si="736"/>
        <v>NO APLICA</v>
      </c>
      <c r="KF229" s="16"/>
      <c r="KG229" s="16"/>
      <c r="KH229" s="16"/>
      <c r="KI229" s="15" t="str">
        <f t="shared" si="749"/>
        <v>NO APLICA</v>
      </c>
      <c r="KJ229" s="16"/>
      <c r="KK229" s="16"/>
      <c r="KL229" s="16"/>
      <c r="KM229" s="15" t="str">
        <f t="shared" si="737"/>
        <v>NO APLICA</v>
      </c>
      <c r="KN229" s="16"/>
      <c r="KO229" s="16"/>
      <c r="KP229" s="16"/>
      <c r="KQ229" s="15" t="str">
        <f t="shared" si="750"/>
        <v>NO APLICA</v>
      </c>
      <c r="KR229" s="16"/>
      <c r="KS229" s="16"/>
      <c r="KT229" s="16"/>
      <c r="KU229" s="16"/>
      <c r="KV229" s="15" t="str">
        <f t="shared" si="755"/>
        <v>NO APLICA</v>
      </c>
      <c r="KW229" s="16"/>
      <c r="KX229" s="16"/>
      <c r="KY229" s="16"/>
      <c r="KZ229" s="15" t="str">
        <f t="shared" si="751"/>
        <v>NO APLICA</v>
      </c>
      <c r="LA229" s="16"/>
      <c r="LB229" s="16"/>
      <c r="LC229" s="16"/>
      <c r="LD229" s="16"/>
      <c r="LE229" s="15" t="str">
        <f t="shared" si="590"/>
        <v>NO APLICA</v>
      </c>
      <c r="LF229" s="15"/>
      <c r="LG229" s="15"/>
      <c r="LH229" s="14"/>
      <c r="LI229" s="65"/>
      <c r="LJ229" s="15" t="str">
        <f t="shared" si="756"/>
        <v>NO APLICA</v>
      </c>
      <c r="LK229" s="16"/>
      <c r="LL229" s="16"/>
      <c r="LM229" s="16"/>
      <c r="LN229" s="16"/>
      <c r="LO229" s="15" t="str">
        <f t="shared" si="752"/>
        <v>NO APLICA</v>
      </c>
      <c r="LP229" s="16"/>
      <c r="LQ229" s="16"/>
      <c r="LR229" s="16"/>
      <c r="LS229" s="16"/>
      <c r="LT229" s="15" t="str">
        <f t="shared" si="753"/>
        <v>NO APLICA</v>
      </c>
      <c r="LU229" s="16"/>
      <c r="LV229" s="16"/>
      <c r="LW229" s="16"/>
      <c r="LX229" s="16"/>
      <c r="LY229" s="15" t="str">
        <f t="shared" si="754"/>
        <v>NO APLICA</v>
      </c>
      <c r="LZ229" s="16"/>
      <c r="MA229" s="16"/>
      <c r="MB229" s="16"/>
      <c r="MC229" s="16"/>
      <c r="MD229" s="15" t="str">
        <f t="shared" si="738"/>
        <v>NO APLICA</v>
      </c>
      <c r="ME229" s="16"/>
      <c r="MF229" s="16"/>
      <c r="MG229" s="16"/>
      <c r="MH229" s="16"/>
      <c r="MI229" s="15" t="str">
        <f t="shared" si="739"/>
        <v>NO APLICA</v>
      </c>
      <c r="MJ229" s="16"/>
      <c r="MK229" s="16"/>
      <c r="ML229" s="16"/>
      <c r="MM229" s="15" t="str">
        <f t="shared" si="740"/>
        <v>NO APLICA</v>
      </c>
      <c r="MN229" s="16"/>
      <c r="MO229" s="16"/>
      <c r="MP229" s="16"/>
      <c r="MQ229" s="15" t="str">
        <f t="shared" si="741"/>
        <v>NO APLICA</v>
      </c>
      <c r="MR229" s="16"/>
      <c r="MS229" s="16"/>
      <c r="MT229" s="16"/>
      <c r="MU229" s="16"/>
      <c r="MV229" s="15" t="str">
        <f t="shared" si="742"/>
        <v>NO APLICA</v>
      </c>
      <c r="MW229" s="16"/>
      <c r="MX229" s="16"/>
      <c r="MY229" s="16"/>
      <c r="MZ229" s="16"/>
      <c r="NA229" s="15" t="str">
        <f t="shared" si="743"/>
        <v>NO APLICA</v>
      </c>
      <c r="NB229" s="16"/>
      <c r="NC229" s="16"/>
      <c r="ND229" s="16"/>
      <c r="NE229" s="16"/>
      <c r="NF229" s="15" t="str">
        <f t="shared" si="744"/>
        <v>NO APLICA</v>
      </c>
      <c r="NG229" s="16"/>
      <c r="NH229" s="16"/>
      <c r="NI229" s="16"/>
      <c r="NJ229" s="16"/>
      <c r="NK229" s="15" t="str">
        <f t="shared" si="745"/>
        <v>NO APLICA</v>
      </c>
      <c r="NL229" s="16"/>
      <c r="NM229" s="16"/>
      <c r="NN229" s="16"/>
      <c r="NO229" s="16"/>
      <c r="NP229" s="15" t="str">
        <f t="shared" si="746"/>
        <v>NO APLICA</v>
      </c>
      <c r="NQ229" s="16"/>
      <c r="NR229" s="16"/>
      <c r="NS229" s="16"/>
      <c r="NT229" s="16"/>
      <c r="NU229" s="15" t="str">
        <f t="shared" si="747"/>
        <v>NO APLICA</v>
      </c>
      <c r="NV229" s="16"/>
      <c r="NW229" s="16"/>
      <c r="NX229" s="16"/>
      <c r="NY229" s="16"/>
      <c r="NZ229" s="15" t="str">
        <f t="shared" si="748"/>
        <v>NO APLICA</v>
      </c>
    </row>
    <row r="230" spans="1:390" ht="15.6" thickTop="1" thickBot="1" x14ac:dyDescent="0.35">
      <c r="A230" s="11">
        <v>1542</v>
      </c>
      <c r="B230" s="10" t="s">
        <v>745</v>
      </c>
      <c r="C230" s="21" t="s">
        <v>151</v>
      </c>
      <c r="D230" s="64" t="s">
        <v>746</v>
      </c>
      <c r="E230" s="16"/>
      <c r="F230" s="16"/>
      <c r="G230" s="16"/>
      <c r="H230" s="16"/>
      <c r="I230" s="15" t="str">
        <f t="shared" si="688"/>
        <v>NO APLICA</v>
      </c>
      <c r="J230" s="16"/>
      <c r="K230" s="16"/>
      <c r="L230" s="16"/>
      <c r="M230" s="16"/>
      <c r="N230" s="15" t="str">
        <f t="shared" si="691"/>
        <v>NO APLICA</v>
      </c>
      <c r="O230" s="16"/>
      <c r="P230" s="16"/>
      <c r="Q230" s="16"/>
      <c r="R230" s="16"/>
      <c r="S230" s="15" t="str">
        <f t="shared" si="689"/>
        <v>NO APLICA</v>
      </c>
      <c r="T230" s="16" t="s">
        <v>747</v>
      </c>
      <c r="U230" s="14">
        <v>45425</v>
      </c>
      <c r="V230" s="14">
        <v>45426</v>
      </c>
      <c r="W230" s="14">
        <f>DATE(YEAR(V230)+5,MONTH(V230),DAY(V230))</f>
        <v>47252</v>
      </c>
      <c r="X230" s="65">
        <f ca="1">W230-TODAY()</f>
        <v>1121</v>
      </c>
      <c r="Y230" s="15" t="str">
        <f ca="1">IF(X230&gt;=90,"VIGENTE",IF(X230&gt;=1,"POR VENCER",IF(X230&lt;=-1,"VENCIDA",IF(V230=0,"NO APLICA"))))</f>
        <v>VIGENTE</v>
      </c>
      <c r="Z230" s="16"/>
      <c r="AA230" s="16"/>
      <c r="AB230" s="16"/>
      <c r="AC230" s="16"/>
      <c r="AD230" s="16"/>
      <c r="AE230" s="15" t="str">
        <f t="shared" si="598"/>
        <v>NO APLICA</v>
      </c>
      <c r="AF230" s="14">
        <v>45061</v>
      </c>
      <c r="AG230" s="14">
        <v>45721</v>
      </c>
      <c r="AH230" s="14">
        <f>DATE(YEAR(AG230)+2,MONTH(AG230),DAY(AG230)-1)</f>
        <v>46450</v>
      </c>
      <c r="AI230" s="65">
        <f ca="1">AH230-TODAY()</f>
        <v>319</v>
      </c>
      <c r="AJ230" s="15" t="str">
        <f ca="1">IF(AI230&gt;=91,"VIGENTE",IF(AI230&gt;=1,"POR VENCER",IF(AI230&lt;=-1,"VENCIDA",IF(AG230=0,"NO APLICA"))))</f>
        <v>VIGENTE</v>
      </c>
      <c r="AK230" s="14">
        <v>44978</v>
      </c>
      <c r="AL230" s="14">
        <v>45710</v>
      </c>
      <c r="AM230" s="14">
        <f>DATE(YEAR(AL230)+2,MONTH(AL230),DAY(AL230)-1)</f>
        <v>46439</v>
      </c>
      <c r="AN230" s="65">
        <f ca="1">AM230-TODAY()</f>
        <v>308</v>
      </c>
      <c r="AO230" s="15" t="str">
        <f ca="1">IF(AN230&gt;=91,"VIGENTE",IF(AN230&gt;=1,"POR VENCER",IF(AN230&lt;=-1,"VENCIDA",IF(AL230=0,"NO APLICA"))))</f>
        <v>VIGENTE</v>
      </c>
      <c r="AP230" s="14">
        <v>45047</v>
      </c>
      <c r="AQ230" s="14">
        <v>45775</v>
      </c>
      <c r="AR230" s="14">
        <f>DATE(YEAR(AQ230)+2,MONTH(AQ230),DAY(AQ230))</f>
        <v>46505</v>
      </c>
      <c r="AS230" s="65">
        <f ca="1">AR230-TODAY()</f>
        <v>374</v>
      </c>
      <c r="AT230" s="15" t="str">
        <f ca="1">IF(AS230&gt;=91,"VIGENTE",IF(AS230&gt;=1,"POR VENCER",IF(AS230&lt;=-1,"VENCIDA",IF(AQ230=0,"NO APLICA"))))</f>
        <v>VIGENTE</v>
      </c>
      <c r="AU230" s="14">
        <v>45021</v>
      </c>
      <c r="AV230" s="14">
        <v>45745</v>
      </c>
      <c r="AW230" s="14">
        <f>DATE(YEAR(AV230)+2,MONTH(AV230),DAY(AV230)-1)</f>
        <v>46474</v>
      </c>
      <c r="AX230" s="65">
        <f ca="1">AW230-TODAY()</f>
        <v>343</v>
      </c>
      <c r="AY230" s="15" t="str">
        <f ca="1">IF(AX230&gt;=91,"VIGENTE",IF(AX230&gt;=1,"POR VENCER",IF(AX230&lt;=-1,"VENCIDA",IF(AV230=0,"NO APLICA"))))</f>
        <v>VIGENTE</v>
      </c>
      <c r="AZ230" s="14">
        <v>44973</v>
      </c>
      <c r="BA230" s="14">
        <v>45687</v>
      </c>
      <c r="BB230" s="14">
        <f>DATE(YEAR(BA230)+2,MONTH(BA230),DAY(BA230)-1)</f>
        <v>46416</v>
      </c>
      <c r="BC230" s="65">
        <f ca="1">BB230-TODAY()</f>
        <v>285</v>
      </c>
      <c r="BD230" s="15" t="str">
        <f ca="1">IF(BC230&gt;=91,"VIGENTE",IF(BC230&gt;=1,"POR VENCER",IF(BC230&lt;=-1,"VENCIDA",IF(BA230=0,"NO APLICA"))))</f>
        <v>VIGENTE</v>
      </c>
      <c r="BE230" s="14">
        <v>45052</v>
      </c>
      <c r="BF230" s="14">
        <v>45692</v>
      </c>
      <c r="BG230" s="14">
        <f>DATE(YEAR(BF230)+2,MONTH(BF230),DAY(BF230)-1)</f>
        <v>46421</v>
      </c>
      <c r="BH230" s="65">
        <f ca="1">BG230-TODAY()</f>
        <v>290</v>
      </c>
      <c r="BI230" s="15" t="str">
        <f ca="1">IF(BH230&gt;=91,"VIGENTE",IF(BH230&gt;=1,"POR VENCER",IF(BH230&lt;=-1,"VENCIDA",IF(BF230=0,"NO APLICA"))))</f>
        <v>VIGENTE</v>
      </c>
      <c r="BJ230" s="14">
        <v>44956</v>
      </c>
      <c r="BK230" s="14">
        <v>45652</v>
      </c>
      <c r="BL230" s="14">
        <f>DATE(YEAR(BK230)+2,MONTH(BK230),DAY(BK230)-1)</f>
        <v>46381</v>
      </c>
      <c r="BM230" s="65">
        <f ca="1">BL230-TODAY()</f>
        <v>250</v>
      </c>
      <c r="BN230" s="15" t="str">
        <f ca="1">IF(BM230&gt;=91,"VIGENTE",IF(BM230&gt;=1,"POR VENCER",IF(BM230&lt;=-1,"VENCIDA",IF(BK230=0,"NO APLICA"))))</f>
        <v>VIGENTE</v>
      </c>
      <c r="BO230" s="14">
        <v>45031</v>
      </c>
      <c r="BP230" s="14">
        <v>45701</v>
      </c>
      <c r="BQ230" s="14">
        <f>DATE(YEAR(BP230)+2,MONTH(BP230),DAY(BP230)-1)</f>
        <v>46430</v>
      </c>
      <c r="BR230" s="65">
        <f ca="1">BQ230-TODAY()</f>
        <v>299</v>
      </c>
      <c r="BS230" s="15" t="str">
        <f ca="1">IF(BR230&gt;=91,"VIGENTE",IF(BR230&gt;=1,"POR VENCER",IF(BR230&lt;=-1,"VENCIDA",IF(BP230=0,"NO APLICA"))))</f>
        <v>VIGENTE</v>
      </c>
      <c r="BT230" s="14">
        <v>44953</v>
      </c>
      <c r="BU230" s="14">
        <v>45695</v>
      </c>
      <c r="BV230" s="14">
        <f>DATE(YEAR(BU230)+2,MONTH(BU230),DAY(BU230)-1)</f>
        <v>46424</v>
      </c>
      <c r="BW230" s="65">
        <f ca="1">BV230-TODAY()</f>
        <v>293</v>
      </c>
      <c r="BX230" s="15" t="str">
        <f ca="1">IF(BW230&gt;=91,"VIGENTE",IF(BW230&gt;=1,"POR VENCER",IF(BW230&lt;=-1,"VENCIDA",IF(BU230=0,"NO APLICA"))))</f>
        <v>VIGENTE</v>
      </c>
      <c r="BY230" s="14">
        <v>44960</v>
      </c>
      <c r="BZ230" s="14">
        <v>45672</v>
      </c>
      <c r="CA230" s="14">
        <f>DATE(YEAR(BZ230)+2,MONTH(BZ230),DAY(BZ230)-1)</f>
        <v>46401</v>
      </c>
      <c r="CB230" s="65">
        <f ca="1">CA230-TODAY()</f>
        <v>270</v>
      </c>
      <c r="CC230" s="15" t="str">
        <f ca="1">IF(CB230&gt;=91,"VIGENTE",IF(CB230&gt;=1,"POR VENCER",IF(CB230&lt;=-1,"VENCIDA",IF(BZ230=0,"NO APLICA"))))</f>
        <v>VIGENTE</v>
      </c>
      <c r="CD230" s="16" t="s">
        <v>183</v>
      </c>
      <c r="CE230" s="14">
        <v>44689</v>
      </c>
      <c r="CF230" s="14">
        <v>44690</v>
      </c>
      <c r="CG230" s="14">
        <f>DATE(YEAR(CF230)+4,MONTH(CF230),DAY(CF230))</f>
        <v>46151</v>
      </c>
      <c r="CH230" s="65">
        <f ca="1">CG230-TODAY()</f>
        <v>20</v>
      </c>
      <c r="CI230" s="15" t="str">
        <f ca="1">IF(CH230&gt;=90,"VIGENTE",IF(CH230&gt;=1,"POR VENCER",IF(CH230&lt;=-1,"VENCIDA",IF(CH230=0,"NO APLICA"))))</f>
        <v>POR VENCER</v>
      </c>
      <c r="CJ230" s="14">
        <v>44964</v>
      </c>
      <c r="CK230" s="14">
        <v>45688</v>
      </c>
      <c r="CL230" s="14">
        <f>DATE(YEAR(CK230)+2,MONTH(CK230),DAY(CK230)-1)</f>
        <v>46417</v>
      </c>
      <c r="CM230" s="65">
        <f ca="1">CL230-TODAY()</f>
        <v>286</v>
      </c>
      <c r="CN230" s="15" t="str">
        <f ca="1">IF(CM230&gt;=91,"VIGENTE",IF(CM230&gt;=1,"POR VENCER",IF(CM230&lt;=-1,"VENCIDA",IF(CK230=0,"NO APLICA"))))</f>
        <v>VIGENTE</v>
      </c>
      <c r="CO230" s="14">
        <v>45050</v>
      </c>
      <c r="CP230" s="14">
        <v>45769</v>
      </c>
      <c r="CQ230" s="14">
        <f>DATE(YEAR(CP230)+2,MONTH(CP230),DAY(CP230))</f>
        <v>46499</v>
      </c>
      <c r="CR230" s="65">
        <f ca="1">CQ230-TODAY()</f>
        <v>368</v>
      </c>
      <c r="CS230" s="15" t="str">
        <f ca="1">IF(CR230&gt;=91,"VIGENTE",IF(CR230&gt;=1,"POR VENCER",IF(CR230&lt;=-1,"VENCIDA",IF(CP230=0,"NO APLICA"))))</f>
        <v>VIGENTE</v>
      </c>
      <c r="CT230" s="14">
        <v>45086</v>
      </c>
      <c r="CU230" s="14">
        <v>45805</v>
      </c>
      <c r="CV230" s="14">
        <f>DATE(YEAR(CU230)+2,MONTH(CU230),DAY(CU230))</f>
        <v>46535</v>
      </c>
      <c r="CW230" s="65">
        <f ca="1">CV230-TODAY()</f>
        <v>404</v>
      </c>
      <c r="CX230" s="15" t="str">
        <f ca="1">IF(CW230&gt;=91,"VIGENTE",IF(CW230&gt;=1,"POR VENCER",IF(CW230&lt;=-1,"VENCIDA",IF(CU230=0,"NO APLICA"))))</f>
        <v>VIGENTE</v>
      </c>
      <c r="CY230" s="14">
        <v>45057</v>
      </c>
      <c r="CZ230" s="14">
        <v>45744</v>
      </c>
      <c r="DA230" s="14">
        <f>DATE(YEAR(CZ230)+2,MONTH(CZ230),DAY(CZ230)-1)</f>
        <v>46473</v>
      </c>
      <c r="DB230" s="65">
        <f ca="1">DA230-TODAY()</f>
        <v>342</v>
      </c>
      <c r="DC230" s="15" t="str">
        <f ca="1">IF(DB230&gt;=91,"VIGENTE",IF(DB230&gt;=1,"POR VENCER",IF(DB230&lt;=-1,"VENCIDA",IF(CZ230=0,"NO APLICA"))))</f>
        <v>VIGENTE</v>
      </c>
      <c r="DD230" s="14">
        <v>44968</v>
      </c>
      <c r="DE230" s="14">
        <v>45689</v>
      </c>
      <c r="DF230" s="14">
        <f>DATE(YEAR(DE230)+2,MONTH(DE230),DAY(DE230)-1)</f>
        <v>46418</v>
      </c>
      <c r="DG230" s="65">
        <f ca="1">DF230-TODAY()</f>
        <v>287</v>
      </c>
      <c r="DH230" s="15" t="str">
        <f ca="1">IF(DG230&gt;=91,"VIGENTE",IF(DG230&gt;=1,"POR VENCER",IF(DG230&lt;=-1,"VENCIDA",IF(DE230=0,"NO APLICA"))))</f>
        <v>VIGENTE</v>
      </c>
      <c r="DI230" s="14">
        <v>45038</v>
      </c>
      <c r="DJ230" s="14">
        <v>45734</v>
      </c>
      <c r="DK230" s="14">
        <f>DATE(YEAR(DJ230)+2,MONTH(DJ230),DAY(DJ230)-1)</f>
        <v>46463</v>
      </c>
      <c r="DL230" s="65">
        <f ca="1">DK230-TODAY()</f>
        <v>332</v>
      </c>
      <c r="DM230" s="15" t="str">
        <f ca="1">IF(DL230&gt;=91,"VIGENTE",IF(DL230&gt;=1,"POR VENCER",IF(DL230&lt;=-1,"VENCIDA",IF(DJ230=0,"NO APLICA"))))</f>
        <v>VIGENTE</v>
      </c>
      <c r="DN230" s="14">
        <v>44954</v>
      </c>
      <c r="DO230" s="14">
        <v>45731</v>
      </c>
      <c r="DP230" s="14">
        <f>DATE(YEAR(DO230)+2,MONTH(DO230),DAY(DO230)-1)</f>
        <v>46460</v>
      </c>
      <c r="DQ230" s="65">
        <f ca="1">DP230-TODAY()</f>
        <v>329</v>
      </c>
      <c r="DR230" s="15" t="str">
        <f ca="1">IF(DQ230&gt;=91,"VIGENTE",IF(DQ230&gt;=1,"POR VENCER",IF(DQ230&lt;=-1,"VENCIDA",IF(DO230=0,"NO APLICA"))))</f>
        <v>VIGENTE</v>
      </c>
      <c r="DS230" s="14">
        <v>45035</v>
      </c>
      <c r="DT230" s="14">
        <v>45770</v>
      </c>
      <c r="DU230" s="14">
        <f>DATE(YEAR(DT230)+2,MONTH(DT230),DAY(DT230))</f>
        <v>46500</v>
      </c>
      <c r="DV230" s="65">
        <f ca="1">DU230-TODAY()</f>
        <v>369</v>
      </c>
      <c r="DW230" s="15" t="str">
        <f ca="1">IF(DV230&gt;=91,"VIGENTE",IF(DV230&gt;=1,"POR VENCER",IF(DV230&lt;=-1,"VENCIDA",IF(DT230=0,"NO APLICA"))))</f>
        <v>VIGENTE</v>
      </c>
      <c r="DX230" s="14">
        <v>45089</v>
      </c>
      <c r="DY230" s="14">
        <v>45804</v>
      </c>
      <c r="DZ230" s="14">
        <f>DATE(YEAR(DY230)+2,MONTH(DY230),DAY(DY230))</f>
        <v>46534</v>
      </c>
      <c r="EA230" s="65">
        <f ca="1">DZ230-TODAY()</f>
        <v>403</v>
      </c>
      <c r="EB230" s="15" t="str">
        <f ca="1">IF(EA230&gt;=91,"VIGENTE",IF(EA230&gt;=1,"POR VENCER",IF(EA230&lt;=-1,"VENCIDA",IF(DY230=0,"NO APLICA"))))</f>
        <v>VIGENTE</v>
      </c>
      <c r="EC230" s="14">
        <v>44982</v>
      </c>
      <c r="ED230" s="14">
        <v>45674</v>
      </c>
      <c r="EE230" s="14">
        <f>DATE(YEAR(ED230)+2,MONTH(ED230),DAY(ED230)-1)</f>
        <v>46403</v>
      </c>
      <c r="EF230" s="65">
        <f ca="1">EE230-TODAY()</f>
        <v>272</v>
      </c>
      <c r="EG230" s="15" t="str">
        <f ca="1">IF(EF230&gt;=91,"VIGENTE",IF(EF230&gt;=1,"POR VENCER",IF(EF230&lt;=-1,"VENCIDA",IF(ED230=0,"NO APLICA"))))</f>
        <v>VIGENTE</v>
      </c>
      <c r="EH230" s="14">
        <v>45000</v>
      </c>
      <c r="EI230" s="13">
        <v>46013</v>
      </c>
      <c r="EJ230" s="13">
        <v>46014</v>
      </c>
      <c r="EK230" s="13">
        <v>46015</v>
      </c>
      <c r="EL230" s="14">
        <f t="shared" si="760"/>
        <v>46380</v>
      </c>
      <c r="EM230" s="65">
        <f ca="1">EL230-TODAY()</f>
        <v>249</v>
      </c>
      <c r="EN230" s="15" t="str">
        <f ca="1">IF(EM230&gt;=91,"VIGENTE",IF(EM230&gt;=1,"POR VENCER",IF(EM230&lt;=-1,"VENCIDA",IF(EK230=0,"NO APLICA"))))</f>
        <v>VIGENTE</v>
      </c>
      <c r="EO230" s="14">
        <v>44993</v>
      </c>
      <c r="EP230" s="14">
        <v>45705</v>
      </c>
      <c r="EQ230" s="14">
        <f>DATE(YEAR(EP230)+2,MONTH(EP230),DAY(EP230)-1)</f>
        <v>46434</v>
      </c>
      <c r="ER230" s="65">
        <f ca="1">EQ230-TODAY()</f>
        <v>303</v>
      </c>
      <c r="ES230" s="15" t="str">
        <f ca="1">IF(ER230&gt;=91,"VIGENTE",IF(ER230&gt;=1,"POR VENCER",IF(ER230&lt;=-1,"VENCIDA",IF(EP230=0,"NO APLICA"))))</f>
        <v>VIGENTE</v>
      </c>
      <c r="ET230" s="14"/>
      <c r="EU230" s="14">
        <v>45735</v>
      </c>
      <c r="EV230" s="14">
        <f>DATE(YEAR(EU230)+2,MONTH(EU230),DAY(EU230)-1)</f>
        <v>46464</v>
      </c>
      <c r="EW230" s="65">
        <f ca="1">EV230-TODAY()</f>
        <v>333</v>
      </c>
      <c r="EX230" s="15" t="str">
        <f ca="1">IF(EW230&gt;=91,"VIGENTE",IF(EW230&gt;=1,"POR VENCER",IF(EW230&lt;=-1,"VENCIDA",IF(EU230=0,"NO APLICA"))))</f>
        <v>VIGENTE</v>
      </c>
      <c r="EY230" s="14">
        <v>44957</v>
      </c>
      <c r="EZ230" s="14">
        <v>45630</v>
      </c>
      <c r="FA230" s="14">
        <f>DATE(YEAR(EZ230)+2,MONTH(EZ230),DAY(EZ230)-1)</f>
        <v>46359</v>
      </c>
      <c r="FB230" s="16">
        <v>593</v>
      </c>
      <c r="FC230" s="15" t="str">
        <f t="shared" si="714"/>
        <v>VIGENTE</v>
      </c>
      <c r="FD230" s="14">
        <v>45069</v>
      </c>
      <c r="FE230" s="14">
        <v>45729</v>
      </c>
      <c r="FF230" s="14">
        <f>DATE(YEAR(FE230)+2,MONTH(FE230),DAY(FE230)-1)</f>
        <v>46458</v>
      </c>
      <c r="FG230" s="16">
        <v>692</v>
      </c>
      <c r="FH230" s="15" t="str">
        <f t="shared" si="715"/>
        <v>VIGENTE</v>
      </c>
      <c r="FI230" s="14">
        <v>45006</v>
      </c>
      <c r="FJ230" s="14">
        <v>45722</v>
      </c>
      <c r="FK230" s="14">
        <f>DATE(YEAR(FJ230)+2,MONTH(FJ230),DAY(FJ230))</f>
        <v>46452</v>
      </c>
      <c r="FL230" s="65">
        <f ca="1">FK230-TODAY()</f>
        <v>321</v>
      </c>
      <c r="FM230" s="15" t="str">
        <f ca="1">IF(FL230&gt;=91,"VIGENTE",IF(FL230&gt;=1,"POR VENCER",IF(FL230&lt;=-1,"VENCIDA",IF(FJ230=0,"NO APLICA"))))</f>
        <v>VIGENTE</v>
      </c>
      <c r="FN230" s="14">
        <v>44947</v>
      </c>
      <c r="FO230" s="14">
        <v>45637</v>
      </c>
      <c r="FP230" s="14">
        <f>DATE(YEAR(FO230)+2,MONTH(FO230),DAY(FO230)-1)</f>
        <v>46366</v>
      </c>
      <c r="FQ230" s="16">
        <v>600</v>
      </c>
      <c r="FR230" s="15" t="str">
        <f t="shared" si="717"/>
        <v>VIGENTE</v>
      </c>
      <c r="FS230" s="14">
        <v>44998</v>
      </c>
      <c r="FT230" s="14">
        <v>45724</v>
      </c>
      <c r="FU230" s="14">
        <f>DATE(YEAR(FT230)+2,MONTH(FT230),DAY(FT230)-1)</f>
        <v>46453</v>
      </c>
      <c r="FV230" s="65">
        <f ca="1">FU230-TODAY()</f>
        <v>322</v>
      </c>
      <c r="FW230" s="15" t="str">
        <f ca="1">IF(FV230&gt;=91,"VIGENTE",IF(FV230&gt;=1,"POR VENCER",IF(FV230&lt;=-1,"VENCIDA",IF(FT230=0,"NO APLICA"))))</f>
        <v>VIGENTE</v>
      </c>
      <c r="FX230" s="14">
        <v>45028</v>
      </c>
      <c r="FY230" s="14">
        <v>45700</v>
      </c>
      <c r="FZ230" s="14">
        <f>DATE(YEAR(FY230)+2,MONTH(FY230),DAY(FY230)-1)</f>
        <v>46429</v>
      </c>
      <c r="GA230" s="16">
        <v>663</v>
      </c>
      <c r="GB230" s="15" t="str">
        <f t="shared" si="719"/>
        <v>VIGENTE</v>
      </c>
      <c r="GC230" s="14">
        <v>44995</v>
      </c>
      <c r="GD230" s="14">
        <v>45715</v>
      </c>
      <c r="GE230" s="14">
        <f>DATE(YEAR(GD230)+2,MONTH(GD230),DAY(GD230)-1)</f>
        <v>46444</v>
      </c>
      <c r="GF230" s="16">
        <v>678</v>
      </c>
      <c r="GG230" s="15" t="str">
        <f t="shared" si="720"/>
        <v>VIGENTE</v>
      </c>
      <c r="GH230" s="14">
        <v>44996</v>
      </c>
      <c r="GI230" s="14">
        <v>45712</v>
      </c>
      <c r="GJ230" s="14">
        <f>DATE(YEAR(GI230)+2,MONTH(GI230),DAY(GI230)-1)</f>
        <v>46441</v>
      </c>
      <c r="GK230" s="65">
        <f ca="1">GJ230-TODAY()</f>
        <v>310</v>
      </c>
      <c r="GL230" s="15" t="str">
        <f ca="1">IF(GK230&gt;=91,"VIGENTE",IF(GK230&gt;=1,"POR VENCER",IF(GK230&lt;=-1,"VENCIDA",IF(GI230=0,"NO APLICA"))))</f>
        <v>VIGENTE</v>
      </c>
      <c r="GM230" s="14"/>
      <c r="GN230" s="14">
        <v>45764</v>
      </c>
      <c r="GO230" s="14">
        <f>DATE(YEAR(GN230)+2,MONTH(GN230),DAY(GN230))</f>
        <v>46494</v>
      </c>
      <c r="GP230" s="65">
        <f ca="1">GO230-TODAY()</f>
        <v>363</v>
      </c>
      <c r="GQ230" s="15" t="str">
        <f ca="1">IF(GP230&gt;=61,"VIGENTE",IF(GP230&gt;=1,"POR VENCER",IF(GP230&lt;=-1,"VENCIDA",IF(GN230=0,"NO APLICA"))))</f>
        <v>VIGENTE</v>
      </c>
      <c r="GR230" s="14"/>
      <c r="GS230" s="16"/>
      <c r="GT230" s="16"/>
      <c r="GU230" s="16"/>
      <c r="GV230" s="15" t="str">
        <f t="shared" si="601"/>
        <v>NO APLICA</v>
      </c>
      <c r="GW230" s="14"/>
      <c r="GX230" s="16"/>
      <c r="GY230" s="16"/>
      <c r="GZ230" s="16"/>
      <c r="HA230" s="15" t="str">
        <f t="shared" si="602"/>
        <v>NO APLICA</v>
      </c>
      <c r="HB230" s="16"/>
      <c r="HC230" s="16"/>
      <c r="HD230" s="16"/>
      <c r="HE230" s="16"/>
      <c r="HF230" s="15" t="str">
        <f t="shared" si="603"/>
        <v>NO APLICA</v>
      </c>
      <c r="HG230" s="16"/>
      <c r="HH230" s="16"/>
      <c r="HI230" s="14"/>
      <c r="HJ230" s="65"/>
      <c r="HK230" s="15" t="str">
        <f t="shared" si="690"/>
        <v>NO APLICA</v>
      </c>
      <c r="HL230" s="16"/>
      <c r="HM230" s="16"/>
      <c r="HN230" s="16"/>
      <c r="HO230" s="16"/>
      <c r="HP230" s="15" t="str">
        <f t="shared" si="686"/>
        <v>NO APLICA</v>
      </c>
      <c r="HQ230" s="16"/>
      <c r="HR230" s="16"/>
      <c r="HS230" s="16"/>
      <c r="HT230" s="16"/>
      <c r="HU230" s="15" t="str">
        <f t="shared" si="723"/>
        <v>NO APLICA</v>
      </c>
      <c r="HV230" s="16"/>
      <c r="HW230" s="16"/>
      <c r="HX230" s="16"/>
      <c r="HY230" s="16"/>
      <c r="HZ230" s="15" t="str">
        <f t="shared" si="724"/>
        <v>NO APLICA</v>
      </c>
      <c r="IA230" s="16"/>
      <c r="IB230" s="16"/>
      <c r="IC230" s="16"/>
      <c r="ID230" s="16"/>
      <c r="IE230" s="15" t="str">
        <f t="shared" si="725"/>
        <v>NO APLICA</v>
      </c>
      <c r="IF230" s="16"/>
      <c r="IG230" s="16"/>
      <c r="IH230" s="16"/>
      <c r="II230" s="16"/>
      <c r="IJ230" s="15" t="str">
        <f t="shared" si="726"/>
        <v>NO APLICA</v>
      </c>
      <c r="IK230" s="16"/>
      <c r="IL230" s="16"/>
      <c r="IM230" s="16"/>
      <c r="IN230" s="16"/>
      <c r="IO230" s="15" t="str">
        <f t="shared" si="727"/>
        <v>NO APLICA</v>
      </c>
      <c r="IP230" s="16"/>
      <c r="IQ230" s="16"/>
      <c r="IR230" s="16"/>
      <c r="IS230" s="16"/>
      <c r="IT230" s="15" t="str">
        <f t="shared" si="728"/>
        <v>NO APLICA</v>
      </c>
      <c r="IU230" s="16"/>
      <c r="IV230" s="16"/>
      <c r="IW230" s="16"/>
      <c r="IX230" s="16"/>
      <c r="IY230" s="15" t="str">
        <f t="shared" si="729"/>
        <v>NO APLICA</v>
      </c>
      <c r="IZ230" s="16"/>
      <c r="JA230" s="16"/>
      <c r="JB230" s="16"/>
      <c r="JC230" s="16"/>
      <c r="JD230" s="15" t="str">
        <f t="shared" si="730"/>
        <v>NO APLICA</v>
      </c>
      <c r="JE230" s="16"/>
      <c r="JF230" s="16"/>
      <c r="JG230" s="16"/>
      <c r="JH230" s="16"/>
      <c r="JI230" s="15" t="str">
        <f t="shared" si="731"/>
        <v>NO APLICA</v>
      </c>
      <c r="JJ230" s="16"/>
      <c r="JK230" s="16"/>
      <c r="JL230" s="16"/>
      <c r="JM230" s="15" t="str">
        <f t="shared" si="732"/>
        <v>NO APLICA</v>
      </c>
      <c r="JN230" s="16"/>
      <c r="JO230" s="16"/>
      <c r="JP230" s="16"/>
      <c r="JQ230" s="15" t="str">
        <f t="shared" si="733"/>
        <v>NO APLICA</v>
      </c>
      <c r="JR230" s="16"/>
      <c r="JS230" s="16"/>
      <c r="JT230" s="16"/>
      <c r="JU230" s="16"/>
      <c r="JV230" s="15" t="str">
        <f t="shared" si="734"/>
        <v>NO APLICA</v>
      </c>
      <c r="JW230" s="15"/>
      <c r="JX230" s="15"/>
      <c r="JY230" s="15"/>
      <c r="JZ230" s="15"/>
      <c r="KA230" s="15" t="str">
        <f t="shared" si="735"/>
        <v>NO APLICA</v>
      </c>
      <c r="KB230" s="14">
        <v>45362</v>
      </c>
      <c r="KC230" s="14">
        <f>DATE(YEAR(KB230)+5,MONTH(KB230),DAY(KB230))</f>
        <v>47188</v>
      </c>
      <c r="KD230" s="65">
        <f ca="1">KC230-TODAY()</f>
        <v>1057</v>
      </c>
      <c r="KE230" s="15" t="str">
        <f ca="1">IF(KD230&gt;=61,"VIGENTE",IF(KD230&gt;=1,"POR VENCER",IF(KD230&lt;=-1,"VENCIDA",IF(KB230=0,"NO APLICA"))))</f>
        <v>VIGENTE</v>
      </c>
      <c r="KF230" s="16"/>
      <c r="KG230" s="16"/>
      <c r="KH230" s="16"/>
      <c r="KI230" s="15" t="str">
        <f t="shared" si="749"/>
        <v>NO APLICA</v>
      </c>
      <c r="KJ230" s="14">
        <v>45364</v>
      </c>
      <c r="KK230" s="14">
        <f>DATE(YEAR(KJ230)+5,MONTH(KJ230),DAY(KJ230))</f>
        <v>47190</v>
      </c>
      <c r="KL230" s="65">
        <f ca="1">KK230-TODAY()</f>
        <v>1059</v>
      </c>
      <c r="KM230" s="15" t="str">
        <f ca="1">IF(KL230&gt;=61,"VIGENTE",IF(KL230&gt;=1,"POR VENCER",IF(KL230&lt;=-1,"VENCIDA",IF(KJ230=0,"NO APLICA"))))</f>
        <v>VIGENTE</v>
      </c>
      <c r="KN230" s="14">
        <v>45346</v>
      </c>
      <c r="KO230" s="14">
        <f>DATE(YEAR(KN230)+5,MONTH(KN230),DAY(KN230))</f>
        <v>47173</v>
      </c>
      <c r="KP230" s="65">
        <f ca="1">KO230-TODAY()</f>
        <v>1042</v>
      </c>
      <c r="KQ230" s="15" t="str">
        <f ca="1">IF(KP230&gt;=61,"VIGENTE",IF(KP230&gt;=1,"POR VENCER",IF(KP230&lt;=-1,"VENCIDA",IF(KN230=0,"NO APLICA"))))</f>
        <v>VIGENTE</v>
      </c>
      <c r="KR230" s="16"/>
      <c r="KS230" s="16"/>
      <c r="KT230" s="16"/>
      <c r="KU230" s="16"/>
      <c r="KV230" s="15" t="str">
        <f t="shared" si="755"/>
        <v>NO APLICA</v>
      </c>
      <c r="KW230" s="14">
        <v>44545</v>
      </c>
      <c r="KX230" s="14">
        <f>DATE(YEAR(KW230)+5,MONTH(KW230),DAY(KW230))</f>
        <v>46371</v>
      </c>
      <c r="KY230" s="65">
        <f ca="1">KX230-TODAY()</f>
        <v>240</v>
      </c>
      <c r="KZ230" s="15" t="str">
        <f ca="1">IF(KY230&gt;=61,"VIGENTE",IF(KY230&gt;=1,"POR VENCER",IF(KY230&lt;=-1,"VENCIDA",IF(KW230=0,"NO APLICA"))))</f>
        <v>VIGENTE</v>
      </c>
      <c r="LA230" s="16"/>
      <c r="LB230" s="16"/>
      <c r="LC230" s="16"/>
      <c r="LD230" s="16"/>
      <c r="LE230" s="15" t="str">
        <f t="shared" si="590"/>
        <v>NO APLICA</v>
      </c>
      <c r="LF230" s="15"/>
      <c r="LG230" s="15"/>
      <c r="LH230" s="14"/>
      <c r="LI230" s="65"/>
      <c r="LJ230" s="15" t="str">
        <f t="shared" si="756"/>
        <v>NO APLICA</v>
      </c>
      <c r="LK230" s="16"/>
      <c r="LL230" s="16"/>
      <c r="LM230" s="16"/>
      <c r="LN230" s="16"/>
      <c r="LO230" s="15" t="str">
        <f t="shared" si="752"/>
        <v>NO APLICA</v>
      </c>
      <c r="LP230" s="16"/>
      <c r="LQ230" s="16"/>
      <c r="LR230" s="16"/>
      <c r="LS230" s="16"/>
      <c r="LT230" s="15" t="str">
        <f t="shared" si="753"/>
        <v>NO APLICA</v>
      </c>
      <c r="LU230" s="16"/>
      <c r="LV230" s="16"/>
      <c r="LW230" s="16"/>
      <c r="LX230" s="16"/>
      <c r="LY230" s="15" t="str">
        <f t="shared" si="754"/>
        <v>NO APLICA</v>
      </c>
      <c r="LZ230" s="16"/>
      <c r="MA230" s="16"/>
      <c r="MB230" s="16"/>
      <c r="MC230" s="16"/>
      <c r="MD230" s="15" t="str">
        <f t="shared" si="738"/>
        <v>NO APLICA</v>
      </c>
      <c r="ME230" s="16"/>
      <c r="MF230" s="16"/>
      <c r="MG230" s="16"/>
      <c r="MH230" s="16"/>
      <c r="MI230" s="15" t="str">
        <f t="shared" si="739"/>
        <v>NO APLICA</v>
      </c>
      <c r="MJ230" s="16"/>
      <c r="MK230" s="16"/>
      <c r="ML230" s="16"/>
      <c r="MM230" s="15" t="str">
        <f t="shared" si="740"/>
        <v>NO APLICA</v>
      </c>
      <c r="MN230" s="16"/>
      <c r="MO230" s="16"/>
      <c r="MP230" s="16"/>
      <c r="MQ230" s="15" t="str">
        <f t="shared" si="741"/>
        <v>NO APLICA</v>
      </c>
      <c r="MR230" s="16"/>
      <c r="MS230" s="14">
        <v>44834</v>
      </c>
      <c r="MT230" s="14">
        <f>DATE(YEAR(MS230)+5,MONTH(MS230),DAY(MS230))</f>
        <v>46660</v>
      </c>
      <c r="MU230" s="65">
        <f ca="1">MT230-TODAY()</f>
        <v>529</v>
      </c>
      <c r="MV230" s="15" t="str">
        <f ca="1">IF(MU230&gt;=61,"VIGENTE",IF(MU230&gt;=1,"POR VENCER",IF(MU230&lt;=-1,"VENCIDA",IF(MS230=0,"NO APLICA"))))</f>
        <v>VIGENTE</v>
      </c>
      <c r="MW230" s="16"/>
      <c r="MX230" s="14">
        <v>44835</v>
      </c>
      <c r="MY230" s="14">
        <f>DATE(YEAR(MX230)+5,MONTH(MX230),DAY(MX230))</f>
        <v>46661</v>
      </c>
      <c r="MZ230" s="65">
        <f ca="1">MY230-TODAY()</f>
        <v>530</v>
      </c>
      <c r="NA230" s="15" t="str">
        <f ca="1">IF(MZ230&gt;=61,"VIGENTE",IF(MZ230&gt;=1,"POR VENCER",IF(MZ230&lt;=-1,"VENCIDA",IF(MX230=0,"NO APLICA"))))</f>
        <v>VIGENTE</v>
      </c>
      <c r="NB230" s="14"/>
      <c r="NC230" s="14">
        <v>44751</v>
      </c>
      <c r="ND230" s="14">
        <f>DATE(YEAR(NC230)+5,MONTH(NC230),DAY(NC230))</f>
        <v>46577</v>
      </c>
      <c r="NE230" s="65">
        <f ca="1">ND230-TODAY()</f>
        <v>446</v>
      </c>
      <c r="NF230" s="15" t="str">
        <f ca="1">IF(NE230&gt;=61,"VIGENTE",IF(NE230&gt;=1,"POR VENCER",IF(NE230&lt;=-1,"VENCIDA",IF(NC230=0,"NO APLICA"))))</f>
        <v>VIGENTE</v>
      </c>
      <c r="NG230" s="14">
        <v>45001</v>
      </c>
      <c r="NH230" s="14">
        <v>45001</v>
      </c>
      <c r="NI230" s="14">
        <f>DATE(YEAR(NH230)+5,MONTH(NH230),DAY(NH230))</f>
        <v>46828</v>
      </c>
      <c r="NJ230" s="65">
        <f ca="1">NI230-TODAY()</f>
        <v>697</v>
      </c>
      <c r="NK230" s="15" t="str">
        <f ca="1">IF(NJ230&gt;=61,"VIGENTE",IF(NJ230&gt;=1,"POR VENCER",IF(NJ230&lt;=-1,"VENCIDA",IF(NH230=0,"NO APLICA"))))</f>
        <v>VIGENTE</v>
      </c>
      <c r="NL230" s="16"/>
      <c r="NM230" s="16"/>
      <c r="NN230" s="16"/>
      <c r="NO230" s="16"/>
      <c r="NP230" s="15" t="str">
        <f t="shared" si="746"/>
        <v>NO APLICA</v>
      </c>
      <c r="NQ230" s="16"/>
      <c r="NR230" s="16"/>
      <c r="NS230" s="16"/>
      <c r="NT230" s="16"/>
      <c r="NU230" s="15" t="str">
        <f t="shared" si="747"/>
        <v>NO APLICA</v>
      </c>
      <c r="NV230" s="16"/>
      <c r="NW230" s="16"/>
      <c r="NX230" s="16"/>
      <c r="NY230" s="16"/>
      <c r="NZ230" s="15" t="str">
        <f t="shared" si="748"/>
        <v>NO APLICA</v>
      </c>
    </row>
    <row r="231" spans="1:390" ht="15.6" thickTop="1" thickBot="1" x14ac:dyDescent="0.35">
      <c r="A231" s="11">
        <v>1530</v>
      </c>
      <c r="B231" s="10" t="s">
        <v>748</v>
      </c>
      <c r="C231" s="21" t="s">
        <v>151</v>
      </c>
      <c r="D231" s="64" t="s">
        <v>710</v>
      </c>
      <c r="E231" s="13"/>
      <c r="F231" s="14"/>
      <c r="G231" s="14"/>
      <c r="H231" s="65"/>
      <c r="I231" s="15" t="str">
        <f t="shared" si="688"/>
        <v>NO APLICA</v>
      </c>
      <c r="J231" s="12"/>
      <c r="K231" s="12"/>
      <c r="L231" s="12"/>
      <c r="M231" s="12"/>
      <c r="N231" s="15" t="str">
        <f t="shared" si="691"/>
        <v>NO APLICA</v>
      </c>
      <c r="O231" s="16"/>
      <c r="P231" s="16"/>
      <c r="Q231" s="14"/>
      <c r="R231" s="65"/>
      <c r="S231" s="15" t="str">
        <f t="shared" si="689"/>
        <v>NO APLICA</v>
      </c>
      <c r="T231" s="12"/>
      <c r="U231" s="13"/>
      <c r="V231" s="14"/>
      <c r="W231" s="14"/>
      <c r="X231" s="65"/>
      <c r="Y231" s="15" t="str">
        <f t="shared" si="595"/>
        <v>NO APLICA</v>
      </c>
      <c r="Z231" s="12"/>
      <c r="AA231" s="12"/>
      <c r="AB231" s="16"/>
      <c r="AC231" s="14"/>
      <c r="AD231" s="65"/>
      <c r="AE231" s="15" t="str">
        <f t="shared" si="598"/>
        <v>NO APLICA</v>
      </c>
      <c r="AF231" s="12"/>
      <c r="AG231" s="14"/>
      <c r="AH231" s="14"/>
      <c r="AI231" s="65"/>
      <c r="AJ231" s="15" t="str">
        <f t="shared" ref="AJ231:AJ238" si="763">IF(AI231&gt;=91,"VIGENTE",IF(AI231&gt;=1,"POR VENCER",IF(AI231&lt;=-1,"VENCIDA",IF(AG231=0,"NO APLICA"))))</f>
        <v>NO APLICA</v>
      </c>
      <c r="AK231" s="12"/>
      <c r="AL231" s="14"/>
      <c r="AM231" s="14"/>
      <c r="AN231" s="65"/>
      <c r="AO231" s="15" t="str">
        <f t="shared" si="692"/>
        <v>NO APLICA</v>
      </c>
      <c r="AP231" s="12"/>
      <c r="AQ231" s="14"/>
      <c r="AR231" s="14"/>
      <c r="AS231" s="65"/>
      <c r="AT231" s="15" t="str">
        <f t="shared" si="693"/>
        <v>NO APLICA</v>
      </c>
      <c r="AU231" s="12"/>
      <c r="AV231" s="14"/>
      <c r="AW231" s="14"/>
      <c r="AX231" s="65"/>
      <c r="AY231" s="15" t="str">
        <f t="shared" si="694"/>
        <v>NO APLICA</v>
      </c>
      <c r="AZ231" s="13"/>
      <c r="BA231" s="14"/>
      <c r="BB231" s="14"/>
      <c r="BC231" s="65"/>
      <c r="BD231" s="15" t="str">
        <f t="shared" si="695"/>
        <v>NO APLICA</v>
      </c>
      <c r="BE231" s="12"/>
      <c r="BF231" s="14"/>
      <c r="BG231" s="14"/>
      <c r="BH231" s="65"/>
      <c r="BI231" s="15" t="str">
        <f t="shared" si="696"/>
        <v>NO APLICA</v>
      </c>
      <c r="BJ231" s="13"/>
      <c r="BK231" s="14"/>
      <c r="BL231" s="14"/>
      <c r="BM231" s="65"/>
      <c r="BN231" s="15" t="str">
        <f t="shared" si="697"/>
        <v>NO APLICA</v>
      </c>
      <c r="BO231" s="13"/>
      <c r="BP231" s="14"/>
      <c r="BQ231" s="14"/>
      <c r="BR231" s="65"/>
      <c r="BS231" s="15" t="str">
        <f t="shared" si="698"/>
        <v>NO APLICA</v>
      </c>
      <c r="BT231" s="12"/>
      <c r="BU231" s="14"/>
      <c r="BV231" s="14"/>
      <c r="BW231" s="65"/>
      <c r="BX231" s="15" t="str">
        <f t="shared" si="699"/>
        <v>NO APLICA</v>
      </c>
      <c r="BY231" s="12"/>
      <c r="BZ231" s="14"/>
      <c r="CA231" s="14"/>
      <c r="CB231" s="65"/>
      <c r="CC231" s="15" t="str">
        <f t="shared" si="700"/>
        <v>NO APLICA</v>
      </c>
      <c r="CD231" s="16"/>
      <c r="CE231" s="14"/>
      <c r="CF231" s="14"/>
      <c r="CG231" s="14"/>
      <c r="CH231" s="65"/>
      <c r="CI231" s="15" t="str">
        <f t="shared" si="758"/>
        <v>NO APLICA</v>
      </c>
      <c r="CJ231" s="16"/>
      <c r="CK231" s="14"/>
      <c r="CL231" s="14"/>
      <c r="CM231" s="65"/>
      <c r="CN231" s="15" t="str">
        <f t="shared" si="701"/>
        <v>NO APLICA</v>
      </c>
      <c r="CO231" s="12"/>
      <c r="CP231" s="14"/>
      <c r="CQ231" s="14"/>
      <c r="CR231" s="65"/>
      <c r="CS231" s="15" t="str">
        <f t="shared" si="702"/>
        <v>NO APLICA</v>
      </c>
      <c r="CT231" s="12"/>
      <c r="CU231" s="14"/>
      <c r="CV231" s="14"/>
      <c r="CW231" s="65"/>
      <c r="CX231" s="15" t="str">
        <f t="shared" si="703"/>
        <v>NO APLICA</v>
      </c>
      <c r="CY231" s="13"/>
      <c r="CZ231" s="14"/>
      <c r="DA231" s="14"/>
      <c r="DB231" s="65"/>
      <c r="DC231" s="15" t="str">
        <f t="shared" si="704"/>
        <v>NO APLICA</v>
      </c>
      <c r="DD231" s="13"/>
      <c r="DE231" s="14"/>
      <c r="DF231" s="14"/>
      <c r="DG231" s="65"/>
      <c r="DH231" s="15" t="str">
        <f t="shared" si="705"/>
        <v>NO APLICA</v>
      </c>
      <c r="DI231" s="12"/>
      <c r="DJ231" s="14"/>
      <c r="DK231" s="14"/>
      <c r="DL231" s="65"/>
      <c r="DM231" s="15" t="str">
        <f t="shared" si="706"/>
        <v>NO APLICA</v>
      </c>
      <c r="DN231" s="13"/>
      <c r="DO231" s="14"/>
      <c r="DP231" s="14"/>
      <c r="DQ231" s="65"/>
      <c r="DR231" s="15" t="str">
        <f t="shared" si="707"/>
        <v>NO APLICA</v>
      </c>
      <c r="DS231" s="12"/>
      <c r="DT231" s="14"/>
      <c r="DU231" s="14"/>
      <c r="DV231" s="65"/>
      <c r="DW231" s="15" t="str">
        <f t="shared" si="708"/>
        <v>NO APLICA</v>
      </c>
      <c r="DX231" s="13"/>
      <c r="DY231" s="14"/>
      <c r="DZ231" s="14"/>
      <c r="EA231" s="65"/>
      <c r="EB231" s="15" t="str">
        <f t="shared" si="709"/>
        <v>NO APLICA</v>
      </c>
      <c r="EC231" s="13"/>
      <c r="ED231" s="14"/>
      <c r="EE231" s="14"/>
      <c r="EF231" s="65"/>
      <c r="EG231" s="15" t="str">
        <f t="shared" si="710"/>
        <v>NO APLICA</v>
      </c>
      <c r="EH231" s="13"/>
      <c r="EI231" s="12"/>
      <c r="EJ231" s="12"/>
      <c r="EK231" s="14"/>
      <c r="EL231" s="14"/>
      <c r="EM231" s="65"/>
      <c r="EN231" s="15" t="str">
        <f t="shared" si="711"/>
        <v>NO APLICA</v>
      </c>
      <c r="EO231" s="13"/>
      <c r="EP231" s="14"/>
      <c r="EQ231" s="14"/>
      <c r="ER231" s="65"/>
      <c r="ES231" s="15" t="str">
        <f t="shared" si="712"/>
        <v>NO APLICA</v>
      </c>
      <c r="ET231" s="12"/>
      <c r="EU231" s="14"/>
      <c r="EV231" s="14"/>
      <c r="EW231" s="65"/>
      <c r="EX231" s="15" t="str">
        <f t="shared" si="713"/>
        <v>NO APLICA</v>
      </c>
      <c r="EY231" s="12"/>
      <c r="EZ231" s="14"/>
      <c r="FA231" s="14"/>
      <c r="FB231" s="65"/>
      <c r="FC231" s="15" t="str">
        <f t="shared" si="714"/>
        <v>NO APLICA</v>
      </c>
      <c r="FD231" s="12"/>
      <c r="FE231" s="14"/>
      <c r="FF231" s="14"/>
      <c r="FG231" s="65"/>
      <c r="FH231" s="15" t="str">
        <f t="shared" si="715"/>
        <v>NO APLICA</v>
      </c>
      <c r="FI231" s="12"/>
      <c r="FJ231" s="14"/>
      <c r="FK231" s="14"/>
      <c r="FL231" s="65"/>
      <c r="FM231" s="15" t="str">
        <f t="shared" si="716"/>
        <v>NO APLICA</v>
      </c>
      <c r="FN231" s="13"/>
      <c r="FO231" s="14"/>
      <c r="FP231" s="14"/>
      <c r="FQ231" s="65"/>
      <c r="FR231" s="15" t="str">
        <f t="shared" si="717"/>
        <v>NO APLICA</v>
      </c>
      <c r="FS231" s="13"/>
      <c r="FT231" s="14"/>
      <c r="FU231" s="14"/>
      <c r="FV231" s="65"/>
      <c r="FW231" s="15" t="str">
        <f t="shared" si="718"/>
        <v>NO APLICA</v>
      </c>
      <c r="FX231" s="13"/>
      <c r="FY231" s="14"/>
      <c r="FZ231" s="14"/>
      <c r="GA231" s="65"/>
      <c r="GB231" s="15" t="str">
        <f t="shared" si="719"/>
        <v>NO APLICA</v>
      </c>
      <c r="GC231" s="13"/>
      <c r="GD231" s="14"/>
      <c r="GE231" s="14"/>
      <c r="GF231" s="65"/>
      <c r="GG231" s="15" t="str">
        <f t="shared" si="720"/>
        <v>NO APLICA</v>
      </c>
      <c r="GH231" s="13"/>
      <c r="GI231" s="14"/>
      <c r="GJ231" s="14"/>
      <c r="GK231" s="65"/>
      <c r="GL231" s="15" t="str">
        <f t="shared" si="721"/>
        <v>NO APLICA</v>
      </c>
      <c r="GM231" s="13"/>
      <c r="GN231" s="14"/>
      <c r="GO231" s="14"/>
      <c r="GP231" s="65"/>
      <c r="GQ231" s="15" t="str">
        <f t="shared" si="722"/>
        <v>NO APLICA</v>
      </c>
      <c r="GR231" s="14"/>
      <c r="GS231" s="14"/>
      <c r="GT231" s="14"/>
      <c r="GU231" s="65"/>
      <c r="GV231" s="15" t="str">
        <f t="shared" si="601"/>
        <v>NO APLICA</v>
      </c>
      <c r="GW231" s="13"/>
      <c r="GX231" s="14"/>
      <c r="GY231" s="14"/>
      <c r="GZ231" s="65"/>
      <c r="HA231" s="15" t="str">
        <f t="shared" si="602"/>
        <v>NO APLICA</v>
      </c>
      <c r="HB231" s="12"/>
      <c r="HC231" s="14"/>
      <c r="HD231" s="14"/>
      <c r="HE231" s="65"/>
      <c r="HF231" s="15" t="str">
        <f t="shared" si="603"/>
        <v>NO APLICA</v>
      </c>
      <c r="HG231" s="16"/>
      <c r="HH231" s="16"/>
      <c r="HI231" s="14"/>
      <c r="HJ231" s="65"/>
      <c r="HK231" s="15" t="str">
        <f t="shared" si="690"/>
        <v>NO APLICA</v>
      </c>
      <c r="HL231" s="12"/>
      <c r="HM231" s="16"/>
      <c r="HN231" s="14"/>
      <c r="HO231" s="65"/>
      <c r="HP231" s="15" t="str">
        <f t="shared" si="686"/>
        <v>NO APLICA</v>
      </c>
      <c r="HQ231" s="12"/>
      <c r="HR231" s="12"/>
      <c r="HS231" s="14"/>
      <c r="HT231" s="12"/>
      <c r="HU231" s="15" t="str">
        <f t="shared" si="723"/>
        <v>NO APLICA</v>
      </c>
      <c r="HV231" s="12"/>
      <c r="HW231" s="16"/>
      <c r="HX231" s="14"/>
      <c r="HY231" s="65"/>
      <c r="HZ231" s="15" t="str">
        <f t="shared" si="724"/>
        <v>NO APLICA</v>
      </c>
      <c r="IA231" s="12"/>
      <c r="IB231" s="16"/>
      <c r="IC231" s="14"/>
      <c r="ID231" s="65"/>
      <c r="IE231" s="15" t="str">
        <f t="shared" si="725"/>
        <v>NO APLICA</v>
      </c>
      <c r="IF231" s="12"/>
      <c r="IG231" s="16"/>
      <c r="IH231" s="14"/>
      <c r="II231" s="65"/>
      <c r="IJ231" s="15" t="str">
        <f t="shared" si="726"/>
        <v>NO APLICA</v>
      </c>
      <c r="IK231" s="16"/>
      <c r="IL231" s="16"/>
      <c r="IM231" s="14"/>
      <c r="IN231" s="65"/>
      <c r="IO231" s="15" t="str">
        <f t="shared" si="727"/>
        <v>NO APLICA</v>
      </c>
      <c r="IP231" s="12"/>
      <c r="IQ231" s="16"/>
      <c r="IR231" s="14"/>
      <c r="IS231" s="65"/>
      <c r="IT231" s="15" t="str">
        <f t="shared" si="728"/>
        <v>NO APLICA</v>
      </c>
      <c r="IU231" s="12"/>
      <c r="IV231" s="16"/>
      <c r="IW231" s="14"/>
      <c r="IX231" s="65"/>
      <c r="IY231" s="15" t="str">
        <f t="shared" si="729"/>
        <v>NO APLICA</v>
      </c>
      <c r="IZ231" s="12"/>
      <c r="JA231" s="16"/>
      <c r="JB231" s="14"/>
      <c r="JC231" s="65"/>
      <c r="JD231" s="15" t="str">
        <f t="shared" si="730"/>
        <v>NO APLICA</v>
      </c>
      <c r="JE231" s="13"/>
      <c r="JF231" s="13"/>
      <c r="JG231" s="14"/>
      <c r="JH231" s="65"/>
      <c r="JI231" s="15" t="str">
        <f t="shared" si="731"/>
        <v>NO APLICA</v>
      </c>
      <c r="JJ231" s="16"/>
      <c r="JK231" s="16"/>
      <c r="JL231" s="16"/>
      <c r="JM231" s="15" t="str">
        <f t="shared" si="732"/>
        <v>NO APLICA</v>
      </c>
      <c r="JN231" s="16"/>
      <c r="JO231" s="16"/>
      <c r="JP231" s="16"/>
      <c r="JQ231" s="15" t="str">
        <f t="shared" si="733"/>
        <v>NO APLICA</v>
      </c>
      <c r="JR231" s="16"/>
      <c r="JS231" s="16"/>
      <c r="JT231" s="16"/>
      <c r="JU231" s="16"/>
      <c r="JV231" s="15" t="str">
        <f t="shared" si="734"/>
        <v>NO APLICA</v>
      </c>
      <c r="JW231" s="15"/>
      <c r="JX231" s="15"/>
      <c r="JY231" s="15"/>
      <c r="JZ231" s="15"/>
      <c r="KA231" s="15" t="str">
        <f t="shared" si="735"/>
        <v>NO APLICA</v>
      </c>
      <c r="KB231" s="12"/>
      <c r="KC231" s="14"/>
      <c r="KD231" s="65"/>
      <c r="KE231" s="15" t="str">
        <f t="shared" si="736"/>
        <v>NO APLICA</v>
      </c>
      <c r="KF231" s="12"/>
      <c r="KG231" s="14"/>
      <c r="KH231" s="65"/>
      <c r="KI231" s="15" t="str">
        <f t="shared" si="749"/>
        <v>NO APLICA</v>
      </c>
      <c r="KJ231" s="12"/>
      <c r="KK231" s="14"/>
      <c r="KL231" s="65"/>
      <c r="KM231" s="15" t="str">
        <f t="shared" si="737"/>
        <v>NO APLICA</v>
      </c>
      <c r="KN231" s="12"/>
      <c r="KO231" s="14"/>
      <c r="KP231" s="65"/>
      <c r="KQ231" s="15" t="str">
        <f t="shared" si="750"/>
        <v>NO APLICA</v>
      </c>
      <c r="KR231" s="12"/>
      <c r="KS231" s="16"/>
      <c r="KT231" s="14"/>
      <c r="KU231" s="65"/>
      <c r="KV231" s="15" t="str">
        <f t="shared" si="755"/>
        <v>NO APLICA</v>
      </c>
      <c r="KW231" s="16"/>
      <c r="KX231" s="14"/>
      <c r="KY231" s="65"/>
      <c r="KZ231" s="15" t="str">
        <f t="shared" si="751"/>
        <v>NO APLICA</v>
      </c>
      <c r="LA231" s="16"/>
      <c r="LB231" s="16"/>
      <c r="LC231" s="14"/>
      <c r="LD231" s="65"/>
      <c r="LE231" s="15" t="str">
        <f t="shared" ref="LE231:LE238" si="764">IF(LD231&gt;=61,"VIGENTE",IF(LD231&gt;=1,"POR VENCER",IF(LD231&lt;=-1,"VENCIDA",IF(LB231=0,"NO APLICA"))))</f>
        <v>NO APLICA</v>
      </c>
      <c r="LF231" s="15"/>
      <c r="LG231" s="15"/>
      <c r="LH231" s="14"/>
      <c r="LI231" s="65"/>
      <c r="LJ231" s="15" t="str">
        <f t="shared" si="756"/>
        <v>NO APLICA</v>
      </c>
      <c r="LK231" s="12"/>
      <c r="LL231" s="16"/>
      <c r="LM231" s="14"/>
      <c r="LN231" s="65"/>
      <c r="LO231" s="15" t="str">
        <f t="shared" si="752"/>
        <v>NO APLICA</v>
      </c>
      <c r="LP231" s="16"/>
      <c r="LQ231" s="16"/>
      <c r="LR231" s="14"/>
      <c r="LS231" s="65"/>
      <c r="LT231" s="15" t="str">
        <f t="shared" si="753"/>
        <v>NO APLICA</v>
      </c>
      <c r="LU231" s="16"/>
      <c r="LV231" s="16"/>
      <c r="LW231" s="14"/>
      <c r="LX231" s="65"/>
      <c r="LY231" s="15" t="str">
        <f t="shared" si="754"/>
        <v>NO APLICA</v>
      </c>
      <c r="LZ231" s="12"/>
      <c r="MA231" s="12"/>
      <c r="MB231" s="14"/>
      <c r="MC231" s="65"/>
      <c r="MD231" s="15" t="str">
        <f t="shared" si="738"/>
        <v>NO APLICA</v>
      </c>
      <c r="ME231" s="12"/>
      <c r="MF231" s="12"/>
      <c r="MG231" s="14"/>
      <c r="MH231" s="65"/>
      <c r="MI231" s="15" t="str">
        <f t="shared" si="739"/>
        <v>NO APLICA</v>
      </c>
      <c r="MJ231" s="12"/>
      <c r="MK231" s="14"/>
      <c r="ML231" s="65"/>
      <c r="MM231" s="15" t="str">
        <f t="shared" si="740"/>
        <v>NO APLICA</v>
      </c>
      <c r="MN231" s="12"/>
      <c r="MO231" s="14"/>
      <c r="MP231" s="12"/>
      <c r="MQ231" s="15" t="str">
        <f t="shared" si="741"/>
        <v>NO APLICA</v>
      </c>
      <c r="MR231" s="12"/>
      <c r="MS231" s="16"/>
      <c r="MT231" s="14"/>
      <c r="MU231" s="65"/>
      <c r="MV231" s="15" t="str">
        <f t="shared" si="742"/>
        <v>NO APLICA</v>
      </c>
      <c r="MW231" s="12"/>
      <c r="MX231" s="16"/>
      <c r="MY231" s="14"/>
      <c r="MZ231" s="65"/>
      <c r="NA231" s="15" t="str">
        <f t="shared" si="743"/>
        <v>NO APLICA</v>
      </c>
      <c r="NB231" s="12"/>
      <c r="NC231" s="16"/>
      <c r="ND231" s="14"/>
      <c r="NE231" s="65"/>
      <c r="NF231" s="15" t="str">
        <f t="shared" si="744"/>
        <v>NO APLICA</v>
      </c>
      <c r="NG231" s="12"/>
      <c r="NH231" s="12"/>
      <c r="NI231" s="14"/>
      <c r="NJ231" s="65"/>
      <c r="NK231" s="15" t="str">
        <f t="shared" si="745"/>
        <v>NO APLICA</v>
      </c>
      <c r="NL231" s="12"/>
      <c r="NM231" s="12"/>
      <c r="NN231" s="14"/>
      <c r="NO231" s="12"/>
      <c r="NP231" s="15" t="str">
        <f t="shared" si="746"/>
        <v>NO APLICA</v>
      </c>
      <c r="NQ231" s="16"/>
      <c r="NR231" s="16"/>
      <c r="NS231" s="14"/>
      <c r="NT231" s="65"/>
      <c r="NU231" s="15" t="str">
        <f t="shared" si="747"/>
        <v>NO APLICA</v>
      </c>
      <c r="NV231" s="16"/>
      <c r="NW231" s="16"/>
      <c r="NX231" s="16"/>
      <c r="NY231" s="16"/>
      <c r="NZ231" s="15" t="str">
        <f t="shared" si="748"/>
        <v>NO APLICA</v>
      </c>
    </row>
    <row r="232" spans="1:390" ht="15.6" thickTop="1" thickBot="1" x14ac:dyDescent="0.35">
      <c r="A232" s="11">
        <v>1686</v>
      </c>
      <c r="B232" s="10" t="s">
        <v>749</v>
      </c>
      <c r="C232" s="21" t="s">
        <v>98</v>
      </c>
      <c r="D232" s="64" t="s">
        <v>118</v>
      </c>
      <c r="E232" s="16"/>
      <c r="F232" s="16"/>
      <c r="G232" s="16"/>
      <c r="H232" s="16"/>
      <c r="I232" s="15" t="str">
        <f t="shared" si="688"/>
        <v>NO APLICA</v>
      </c>
      <c r="J232" s="16"/>
      <c r="K232" s="16"/>
      <c r="L232" s="16"/>
      <c r="M232" s="16"/>
      <c r="N232" s="15" t="str">
        <f t="shared" si="691"/>
        <v>NO APLICA</v>
      </c>
      <c r="O232" s="14">
        <v>45596</v>
      </c>
      <c r="P232" s="14">
        <v>45597</v>
      </c>
      <c r="Q232" s="16"/>
      <c r="R232" s="16"/>
      <c r="S232" s="15" t="str">
        <f t="shared" si="689"/>
        <v>NO APLICA</v>
      </c>
      <c r="T232" s="16" t="s">
        <v>750</v>
      </c>
      <c r="U232" s="14">
        <v>43879</v>
      </c>
      <c r="V232" s="14">
        <v>43880</v>
      </c>
      <c r="W232" s="14"/>
      <c r="X232" s="65"/>
      <c r="Y232" s="15" t="str">
        <f>IF(X232&gt;=90,"VIGENTE",IF(X232&gt;=1,"POR VENCER",IF(X232&lt;=-1,"VENCIDA",IF(X232=0,"NO APLICA"))))</f>
        <v>NO APLICA</v>
      </c>
      <c r="Z232" s="16"/>
      <c r="AA232" s="16"/>
      <c r="AB232" s="16"/>
      <c r="AC232" s="16"/>
      <c r="AD232" s="16"/>
      <c r="AE232" s="15" t="str">
        <f t="shared" si="598"/>
        <v>NO APLICA</v>
      </c>
      <c r="AF232" s="14">
        <v>45394</v>
      </c>
      <c r="AG232" s="14">
        <v>46085</v>
      </c>
      <c r="AH232" s="14">
        <f>DATE(YEAR(AG232)+2,MONTH(AG232),DAY(AG232))</f>
        <v>46816</v>
      </c>
      <c r="AI232" s="65">
        <f ca="1">AH232-TODAY()</f>
        <v>685</v>
      </c>
      <c r="AJ232" s="15" t="str">
        <f ca="1">IF(AI232&gt;=91,"VIGENTE",IF(AI232&gt;=1,"POR VENCER",IF(AI232&lt;=-1,"VENCIDA",IF(AG232=0,"NO APLICA"))))</f>
        <v>VIGENTE</v>
      </c>
      <c r="AK232" s="14"/>
      <c r="AL232" s="14">
        <v>46062</v>
      </c>
      <c r="AM232" s="14">
        <f>DATE(YEAR(AL232)+2,MONTH(AL232),DAY(AL232))</f>
        <v>46792</v>
      </c>
      <c r="AN232" s="65">
        <f ca="1">AM232-TODAY()</f>
        <v>661</v>
      </c>
      <c r="AO232" s="15" t="str">
        <f ca="1">IF(AN232&gt;=91,"VIGENTE",IF(AN232&gt;=1,"POR VENCER",IF(AN232&lt;=-1,"VENCIDA",IF(AL232=0,"NO APLICA"))))</f>
        <v>VIGENTE</v>
      </c>
      <c r="AP232" s="14"/>
      <c r="AQ232" s="14">
        <v>46048</v>
      </c>
      <c r="AR232" s="14">
        <f>DATE(YEAR(AQ232)+2,MONTH(AQ232),DAY(AQ232))</f>
        <v>46778</v>
      </c>
      <c r="AS232" s="65">
        <f ca="1">AR232-TODAY()</f>
        <v>647</v>
      </c>
      <c r="AT232" s="15" t="str">
        <f ca="1">IF(AS232&gt;=91,"VIGENTE",IF(AS232&gt;=1,"POR VENCER",IF(AS232&lt;=-1,"VENCIDA",IF(AQ232=0,"NO APLICA"))))</f>
        <v>VIGENTE</v>
      </c>
      <c r="AU232" s="14"/>
      <c r="AV232" s="14">
        <v>46070</v>
      </c>
      <c r="AW232" s="14">
        <f>DATE(YEAR(AV232)+2,MONTH(AV232),DAY(AV232))</f>
        <v>46800</v>
      </c>
      <c r="AX232" s="65">
        <f ca="1">AW232-TODAY()</f>
        <v>669</v>
      </c>
      <c r="AY232" s="15" t="str">
        <f ca="1">IF(AX232&gt;=91,"VIGENTE",IF(AX232&gt;=1,"POR VENCER",IF(AX232&lt;=-1,"VENCIDA",IF(AV232=0,"NO APLICA"))))</f>
        <v>VIGENTE</v>
      </c>
      <c r="AZ232" s="13">
        <v>45387</v>
      </c>
      <c r="BA232" s="14">
        <v>46041</v>
      </c>
      <c r="BB232" s="14">
        <f>DATE(YEAR(BA232)+2,MONTH(BA232),DAY(BA232))</f>
        <v>46771</v>
      </c>
      <c r="BC232" s="65">
        <f ca="1">BB232-TODAY()</f>
        <v>640</v>
      </c>
      <c r="BD232" s="15" t="str">
        <f ca="1">IF(BC232&gt;=91,"VIGENTE",IF(BC232&gt;=1,"POR VENCER",IF(BC232&lt;=-1,"VENCIDA",IF(BA232=0,"NO APLICA"))))</f>
        <v>VIGENTE</v>
      </c>
      <c r="BE232" s="14">
        <v>45399</v>
      </c>
      <c r="BF232" s="14">
        <v>46027</v>
      </c>
      <c r="BG232" s="14">
        <f>DATE(YEAR(BF232)+2,MONTH(BF232),DAY(BF232))</f>
        <v>46757</v>
      </c>
      <c r="BH232" s="65">
        <f ca="1">BG232-TODAY()</f>
        <v>626</v>
      </c>
      <c r="BI232" s="15" t="str">
        <f ca="1">IF(BH232&gt;=91,"VIGENTE",IF(BH232&gt;=1,"POR VENCER",IF(BH232&lt;=-1,"VENCIDA",IF(BF232=0,"NO APLICA"))))</f>
        <v>VIGENTE</v>
      </c>
      <c r="BJ232" s="14">
        <v>45389</v>
      </c>
      <c r="BK232" s="14">
        <v>46035</v>
      </c>
      <c r="BL232" s="14">
        <f>DATE(YEAR(BK232)+2,MONTH(BK232),DAY(BK232))</f>
        <v>46765</v>
      </c>
      <c r="BM232" s="65">
        <f ca="1">BL232-TODAY()</f>
        <v>634</v>
      </c>
      <c r="BN232" s="15" t="str">
        <f ca="1">IF(BM232&gt;=91,"VIGENTE",IF(BM232&gt;=1,"POR VENCER",IF(BM232&lt;=-1,"VENCIDA",IF(BK232=0,"NO APLICA"))))</f>
        <v>VIGENTE</v>
      </c>
      <c r="BO232" s="14"/>
      <c r="BP232" s="14">
        <v>46050</v>
      </c>
      <c r="BQ232" s="14">
        <f>DATE(YEAR(BP232)+2,MONTH(BP232),DAY(BP232))</f>
        <v>46780</v>
      </c>
      <c r="BR232" s="65">
        <f ca="1">BQ232-TODAY()</f>
        <v>649</v>
      </c>
      <c r="BS232" s="15" t="str">
        <f ca="1">IF(BR232&gt;=91,"VIGENTE",IF(BR232&gt;=1,"POR VENCER",IF(BR232&lt;=-1,"VENCIDA",IF(BP232=0,"NO APLICA"))))</f>
        <v>VIGENTE</v>
      </c>
      <c r="BT232" s="14"/>
      <c r="BU232" s="14">
        <v>46063</v>
      </c>
      <c r="BV232" s="14">
        <f>DATE(YEAR(BU232)+2,MONTH(BU232),DAY(BU232))</f>
        <v>46793</v>
      </c>
      <c r="BW232" s="65">
        <f ca="1">BV232-TODAY()</f>
        <v>662</v>
      </c>
      <c r="BX232" s="15" t="str">
        <f ca="1">IF(BW232&gt;=91,"VIGENTE",IF(BW232&gt;=1,"POR VENCER",IF(BW232&lt;=-1,"VENCIDA",IF(BU232=0,"NO APLICA"))))</f>
        <v>VIGENTE</v>
      </c>
      <c r="BY232" s="14"/>
      <c r="BZ232" s="14">
        <v>45818</v>
      </c>
      <c r="CA232" s="14">
        <f>DATE(YEAR(BZ232)+2,MONTH(BZ232),DAY(BZ232))</f>
        <v>46548</v>
      </c>
      <c r="CB232" s="65">
        <f ca="1">CA232-TODAY()</f>
        <v>417</v>
      </c>
      <c r="CC232" s="15" t="str">
        <f ca="1">IF(CB232&gt;=91,"VIGENTE",IF(CB232&gt;=1,"POR VENCER",IF(CB232&lt;=-1,"VENCIDA",IF(BZ232=0,"NO APLICA"))))</f>
        <v>VIGENTE</v>
      </c>
      <c r="CD232" s="16" t="s">
        <v>523</v>
      </c>
      <c r="CE232" s="14">
        <v>45125</v>
      </c>
      <c r="CF232" s="14">
        <v>45126</v>
      </c>
      <c r="CG232" s="14">
        <f>DATE(YEAR(CF232)+4,MONTH(CF232),DAY(CF232))</f>
        <v>46587</v>
      </c>
      <c r="CH232" s="65">
        <f ca="1">CG232-TODAY()</f>
        <v>456</v>
      </c>
      <c r="CI232" s="15" t="str">
        <f ca="1">IF(CH232&gt;=90,"VIGENTE",IF(CH232&gt;=1,"POR VENCER",IF(CH232&lt;=-1,"VENCIDA",IF(CH232=0,"NO APLICA"))))</f>
        <v>VIGENTE</v>
      </c>
      <c r="CJ232" s="14"/>
      <c r="CK232" s="14">
        <v>45787</v>
      </c>
      <c r="CL232" s="14">
        <f>DATE(YEAR(CK232)+2,MONTH(CK232),DAY(CK232)-1)</f>
        <v>46516</v>
      </c>
      <c r="CM232" s="65">
        <f ca="1">CL232-TODAY()</f>
        <v>385</v>
      </c>
      <c r="CN232" s="15" t="str">
        <f ca="1">IF(CM232&gt;=91,"VIGENTE",IF(CM232&gt;=1,"POR VENCER",IF(CM232&lt;=-1,"VENCIDA",IF(CK232=0,"NO APLICA"))))</f>
        <v>VIGENTE</v>
      </c>
      <c r="CO232" s="14"/>
      <c r="CP232" s="14">
        <v>45882</v>
      </c>
      <c r="CQ232" s="14">
        <f>DATE(YEAR(CP232)+2,MONTH(CP232),DAY(CP232))</f>
        <v>46612</v>
      </c>
      <c r="CR232" s="65">
        <f ca="1">CQ232-TODAY()</f>
        <v>481</v>
      </c>
      <c r="CS232" s="15" t="str">
        <f ca="1">IF(CR232&gt;=91,"VIGENTE",IF(CR232&gt;=1,"POR VENCER",IF(CR232&lt;=-1,"VENCIDA",IF(CP232=0,"NO APLICA"))))</f>
        <v>VIGENTE</v>
      </c>
      <c r="CT232" s="14">
        <v>45408</v>
      </c>
      <c r="CU232" s="14">
        <v>46043</v>
      </c>
      <c r="CV232" s="14">
        <f>DATE(YEAR(CU232)+2,MONTH(CU232),DAY(CU232))</f>
        <v>46773</v>
      </c>
      <c r="CW232" s="65">
        <f ca="1">CV232-TODAY()</f>
        <v>642</v>
      </c>
      <c r="CX232" s="15" t="str">
        <f ca="1">IF(CW232&gt;=91,"VIGENTE",IF(CW232&gt;=1,"POR VENCER",IF(CW232&lt;=-1,"VENCIDA",IF(CU232=0,"NO APLICA"))))</f>
        <v>VIGENTE</v>
      </c>
      <c r="CY232" s="14"/>
      <c r="CZ232" s="14">
        <v>45835</v>
      </c>
      <c r="DA232" s="14">
        <f>DATE(YEAR(CZ232)+2,MONTH(CZ232),DAY(CZ232))</f>
        <v>46565</v>
      </c>
      <c r="DB232" s="65">
        <f ca="1">DA232-TODAY()</f>
        <v>434</v>
      </c>
      <c r="DC232" s="15" t="str">
        <f ca="1">IF(DB232&gt;=91,"VIGENTE",IF(DB232&gt;=1,"POR VENCER",IF(DB232&lt;=-1,"VENCIDA",IF(CZ232=0,"NO APLICA"))))</f>
        <v>VIGENTE</v>
      </c>
      <c r="DD232" s="14">
        <v>45404</v>
      </c>
      <c r="DE232" s="14">
        <v>46045</v>
      </c>
      <c r="DF232" s="14">
        <f>DATE(YEAR(DE232)+2,MONTH(DE232),DAY(DE232))</f>
        <v>46775</v>
      </c>
      <c r="DG232" s="65">
        <f ca="1">DF232-TODAY()</f>
        <v>644</v>
      </c>
      <c r="DH232" s="15" t="str">
        <f ca="1">IF(DG232&gt;=91,"VIGENTE",IF(DG232&gt;=1,"POR VENCER",IF(DG232&lt;=-1,"VENCIDA",IF(DE232=0,"NO APLICA"))))</f>
        <v>VIGENTE</v>
      </c>
      <c r="DI232" s="14">
        <v>45386</v>
      </c>
      <c r="DJ232" s="14">
        <v>46029</v>
      </c>
      <c r="DK232" s="14">
        <f>DATE(YEAR(DJ232)+2,MONTH(DJ232),DAY(DJ232))</f>
        <v>46759</v>
      </c>
      <c r="DL232" s="65">
        <f ca="1">DK232-TODAY()</f>
        <v>628</v>
      </c>
      <c r="DM232" s="15" t="str">
        <f ca="1">IF(DL232&gt;=91,"VIGENTE",IF(DL232&gt;=1,"POR VENCER",IF(DL232&lt;=-1,"VENCIDA",IF(DJ232=0,"NO APLICA"))))</f>
        <v>VIGENTE</v>
      </c>
      <c r="DN232" s="14"/>
      <c r="DO232" s="14">
        <v>46046</v>
      </c>
      <c r="DP232" s="14">
        <f>DATE(YEAR(DO232)+2,MONTH(DO232),DAY(DO232))</f>
        <v>46776</v>
      </c>
      <c r="DQ232" s="65">
        <f ca="1">DP232-TODAY()</f>
        <v>645</v>
      </c>
      <c r="DR232" s="15" t="str">
        <f ca="1">IF(DQ232&gt;=91,"VIGENTE",IF(DQ232&gt;=1,"POR VENCER",IF(DQ232&lt;=-1,"VENCIDA",IF(DO232=0,"NO APLICA"))))</f>
        <v>VIGENTE</v>
      </c>
      <c r="DS232" s="14"/>
      <c r="DT232" s="14">
        <v>46053</v>
      </c>
      <c r="DU232" s="14">
        <f>DATE(YEAR(DT232)+2,MONTH(DT232),DAY(DT232))</f>
        <v>46783</v>
      </c>
      <c r="DV232" s="65">
        <f ca="1">DU232-TODAY()</f>
        <v>652</v>
      </c>
      <c r="DW232" s="15" t="str">
        <f ca="1">IF(DV232&gt;=91,"VIGENTE",IF(DV232&gt;=1,"POR VENCER",IF(DV232&lt;=-1,"VENCIDA",IF(DT232=0,"NO APLICA"))))</f>
        <v>VIGENTE</v>
      </c>
      <c r="DX232" s="14"/>
      <c r="DY232" s="14">
        <v>45847</v>
      </c>
      <c r="DZ232" s="14">
        <f>DATE(YEAR(DY232)+2,MONTH(DY232),DAY(DY232))</f>
        <v>46577</v>
      </c>
      <c r="EA232" s="65">
        <f ca="1">DZ232-TODAY()</f>
        <v>446</v>
      </c>
      <c r="EB232" s="15" t="str">
        <f ca="1">IF(EA232&gt;=91,"VIGENTE",IF(EA232&gt;=1,"POR VENCER",IF(EA232&lt;=-1,"VENCIDA",IF(DY232=0,"NO APLICA"))))</f>
        <v>VIGENTE</v>
      </c>
      <c r="EC232" s="14"/>
      <c r="ED232" s="14">
        <v>45829</v>
      </c>
      <c r="EE232" s="14">
        <f>DATE(YEAR(ED232)+2,MONTH(ED232),DAY(ED232))</f>
        <v>46559</v>
      </c>
      <c r="EF232" s="65">
        <f ca="1">EE232-TODAY()</f>
        <v>428</v>
      </c>
      <c r="EG232" s="15" t="str">
        <f ca="1">IF(EF232&gt;=91,"VIGENTE",IF(EF232&gt;=1,"POR VENCER",IF(EF232&lt;=-1,"VENCIDA",IF(ED232=0,"NO APLICA"))))</f>
        <v>VIGENTE</v>
      </c>
      <c r="EH232" s="14">
        <v>45423</v>
      </c>
      <c r="EI232" s="13">
        <v>46058</v>
      </c>
      <c r="EJ232" s="13">
        <v>46059</v>
      </c>
      <c r="EK232" s="13">
        <v>46060</v>
      </c>
      <c r="EL232" s="14">
        <f t="shared" si="760"/>
        <v>46425</v>
      </c>
      <c r="EM232" s="65">
        <f ca="1">EL232-TODAY()</f>
        <v>294</v>
      </c>
      <c r="EN232" s="15" t="str">
        <f ca="1">IF(EM232&gt;=91,"VIGENTE",IF(EM232&gt;=1,"POR VENCER",IF(EM232&lt;=-1,"VENCIDA",IF(EK232=0,"NO APLICA"))))</f>
        <v>VIGENTE</v>
      </c>
      <c r="EO232" s="14"/>
      <c r="EP232" s="14"/>
      <c r="EQ232" s="14"/>
      <c r="ER232" s="65"/>
      <c r="ES232" s="15" t="str">
        <f t="shared" si="712"/>
        <v>NO APLICA</v>
      </c>
      <c r="ET232" s="14"/>
      <c r="EU232" s="14"/>
      <c r="EV232" s="14"/>
      <c r="EW232" s="65"/>
      <c r="EX232" s="15" t="str">
        <f t="shared" si="713"/>
        <v>NO APLICA</v>
      </c>
      <c r="EY232" s="14"/>
      <c r="EZ232" s="14"/>
      <c r="FA232" s="14"/>
      <c r="FB232" s="16"/>
      <c r="FC232" s="15" t="str">
        <f t="shared" si="714"/>
        <v>NO APLICA</v>
      </c>
      <c r="FD232" s="14"/>
      <c r="FE232" s="14">
        <v>46091</v>
      </c>
      <c r="FF232" s="14">
        <f>DATE(YEAR(FE232)+2,MONTH(FE232),DAY(FE232))</f>
        <v>46822</v>
      </c>
      <c r="FG232" s="65">
        <f ca="1">FF232-TODAY()</f>
        <v>691</v>
      </c>
      <c r="FH232" s="15" t="str">
        <f ca="1">IF(FG232&gt;=91,"VIGENTE",IF(FG232&gt;=1,"POR VENCER",IF(FG232&lt;=-1,"VENCIDA",IF(FE232=0,"NO APLICA"))))</f>
        <v>VIGENTE</v>
      </c>
      <c r="FI232" s="14"/>
      <c r="FJ232" s="14"/>
      <c r="FK232" s="14"/>
      <c r="FL232" s="16"/>
      <c r="FM232" s="15" t="str">
        <f t="shared" si="716"/>
        <v>NO APLICA</v>
      </c>
      <c r="FN232" s="14">
        <v>45395</v>
      </c>
      <c r="FO232" s="14">
        <v>46039</v>
      </c>
      <c r="FP232" s="14">
        <f>DATE(YEAR(FO232)+2,MONTH(FO232),DAY(FO232))</f>
        <v>46769</v>
      </c>
      <c r="FQ232" s="65">
        <f ca="1">FP232-TODAY()</f>
        <v>638</v>
      </c>
      <c r="FR232" s="15" t="str">
        <f ca="1">IF(FQ232&gt;=91,"VIGENTE",IF(FQ232&gt;=1,"POR VENCER",IF(FQ232&lt;=-1,"VENCIDA",IF(FO232=0,"NO APLICA"))))</f>
        <v>VIGENTE</v>
      </c>
      <c r="FS232" s="14"/>
      <c r="FT232" s="14"/>
      <c r="FU232" s="14"/>
      <c r="FV232" s="16"/>
      <c r="FW232" s="15" t="str">
        <f t="shared" si="718"/>
        <v>NO APLICA</v>
      </c>
      <c r="FX232" s="14"/>
      <c r="FY232" s="14"/>
      <c r="FZ232" s="14"/>
      <c r="GA232" s="16"/>
      <c r="GB232" s="15" t="str">
        <f t="shared" si="719"/>
        <v>NO APLICA</v>
      </c>
      <c r="GC232" s="14">
        <v>45396</v>
      </c>
      <c r="GD232" s="14">
        <v>46030</v>
      </c>
      <c r="GE232" s="14">
        <f>DATE(YEAR(GD232)+2,MONTH(GD232),DAY(GD232))</f>
        <v>46760</v>
      </c>
      <c r="GF232" s="65">
        <f ca="1">GE232-TODAY()</f>
        <v>629</v>
      </c>
      <c r="GG232" s="15" t="str">
        <f ca="1">IF(GF232&gt;=91,"VIGENTE",IF(GF232&gt;=1,"POR VENCER",IF(GF232&lt;=-1,"VENCIDA",IF(GD232=0,"NO APLICA"))))</f>
        <v>VIGENTE</v>
      </c>
      <c r="GH232" s="14">
        <v>45391</v>
      </c>
      <c r="GI232" s="14">
        <v>46036</v>
      </c>
      <c r="GJ232" s="14">
        <f>DATE(YEAR(GI232)+2,MONTH(GI232),DAY(GI232))</f>
        <v>46766</v>
      </c>
      <c r="GK232" s="65">
        <f ca="1">GJ232-TODAY()</f>
        <v>635</v>
      </c>
      <c r="GL232" s="15" t="str">
        <f ca="1">IF(GK232&gt;=91,"VIGENTE",IF(GK232&gt;=1,"POR VENCER",IF(GK232&lt;=-1,"VENCIDA",IF(GI232=0,"NO APLICA"))))</f>
        <v>VIGENTE</v>
      </c>
      <c r="GM232" s="14"/>
      <c r="GN232" s="16"/>
      <c r="GO232" s="16"/>
      <c r="GP232" s="16"/>
      <c r="GQ232" s="15" t="str">
        <f t="shared" si="722"/>
        <v>NO APLICA</v>
      </c>
      <c r="GR232" s="14"/>
      <c r="GS232" s="16"/>
      <c r="GT232" s="16"/>
      <c r="GU232" s="16"/>
      <c r="GV232" s="15" t="str">
        <f t="shared" si="601"/>
        <v>NO APLICA</v>
      </c>
      <c r="GW232" s="14"/>
      <c r="GX232" s="16"/>
      <c r="GY232" s="16"/>
      <c r="GZ232" s="16"/>
      <c r="HA232" s="15" t="str">
        <f t="shared" si="602"/>
        <v>NO APLICA</v>
      </c>
      <c r="HB232" s="16"/>
      <c r="HC232" s="16"/>
      <c r="HD232" s="16"/>
      <c r="HE232" s="16"/>
      <c r="HF232" s="15" t="str">
        <f t="shared" si="603"/>
        <v>NO APLICA</v>
      </c>
      <c r="HG232" s="16"/>
      <c r="HH232" s="16"/>
      <c r="HI232" s="14"/>
      <c r="HJ232" s="65"/>
      <c r="HK232" s="15" t="str">
        <f t="shared" si="690"/>
        <v>NO APLICA</v>
      </c>
      <c r="HL232" s="16"/>
      <c r="HM232" s="16"/>
      <c r="HN232" s="16"/>
      <c r="HO232" s="16"/>
      <c r="HP232" s="15" t="str">
        <f t="shared" si="686"/>
        <v>NO APLICA</v>
      </c>
      <c r="HQ232" s="16"/>
      <c r="HR232" s="16"/>
      <c r="HS232" s="16"/>
      <c r="HT232" s="16"/>
      <c r="HU232" s="15" t="str">
        <f t="shared" si="723"/>
        <v>NO APLICA</v>
      </c>
      <c r="HV232" s="16"/>
      <c r="HW232" s="16"/>
      <c r="HX232" s="16"/>
      <c r="HY232" s="16"/>
      <c r="HZ232" s="15" t="str">
        <f t="shared" si="724"/>
        <v>NO APLICA</v>
      </c>
      <c r="IA232" s="16"/>
      <c r="IB232" s="16"/>
      <c r="IC232" s="16"/>
      <c r="ID232" s="16"/>
      <c r="IE232" s="15" t="str">
        <f t="shared" si="725"/>
        <v>NO APLICA</v>
      </c>
      <c r="IF232" s="16"/>
      <c r="IG232" s="16"/>
      <c r="IH232" s="16"/>
      <c r="II232" s="16"/>
      <c r="IJ232" s="15" t="str">
        <f t="shared" si="726"/>
        <v>NO APLICA</v>
      </c>
      <c r="IK232" s="16"/>
      <c r="IL232" s="16"/>
      <c r="IM232" s="16"/>
      <c r="IN232" s="16"/>
      <c r="IO232" s="15" t="str">
        <f t="shared" si="727"/>
        <v>NO APLICA</v>
      </c>
      <c r="IP232" s="16"/>
      <c r="IQ232" s="16"/>
      <c r="IR232" s="16"/>
      <c r="IS232" s="16"/>
      <c r="IT232" s="15" t="str">
        <f t="shared" si="728"/>
        <v>NO APLICA</v>
      </c>
      <c r="IU232" s="16"/>
      <c r="IV232" s="16"/>
      <c r="IW232" s="16"/>
      <c r="IX232" s="16"/>
      <c r="IY232" s="15" t="str">
        <f t="shared" si="729"/>
        <v>NO APLICA</v>
      </c>
      <c r="IZ232" s="16"/>
      <c r="JA232" s="16"/>
      <c r="JB232" s="16"/>
      <c r="JC232" s="16"/>
      <c r="JD232" s="15" t="str">
        <f t="shared" si="730"/>
        <v>NO APLICA</v>
      </c>
      <c r="JE232" s="16"/>
      <c r="JF232" s="16"/>
      <c r="JG232" s="16"/>
      <c r="JH232" s="16"/>
      <c r="JI232" s="15" t="str">
        <f t="shared" si="731"/>
        <v>NO APLICA</v>
      </c>
      <c r="JJ232" s="16"/>
      <c r="JK232" s="16"/>
      <c r="JL232" s="16"/>
      <c r="JM232" s="15" t="str">
        <f t="shared" si="732"/>
        <v>NO APLICA</v>
      </c>
      <c r="JN232" s="16"/>
      <c r="JO232" s="16"/>
      <c r="JP232" s="16"/>
      <c r="JQ232" s="15" t="str">
        <f t="shared" si="733"/>
        <v>NO APLICA</v>
      </c>
      <c r="JR232" s="16"/>
      <c r="JS232" s="16"/>
      <c r="JT232" s="16"/>
      <c r="JU232" s="16"/>
      <c r="JV232" s="15" t="str">
        <f t="shared" si="734"/>
        <v>NO APLICA</v>
      </c>
      <c r="JW232" s="15"/>
      <c r="JX232" s="15"/>
      <c r="JY232" s="15"/>
      <c r="JZ232" s="15"/>
      <c r="KA232" s="15" t="str">
        <f t="shared" si="735"/>
        <v>NO APLICA</v>
      </c>
      <c r="KB232" s="16"/>
      <c r="KC232" s="16"/>
      <c r="KD232" s="16"/>
      <c r="KE232" s="15" t="str">
        <f t="shared" si="736"/>
        <v>NO APLICA</v>
      </c>
      <c r="KF232" s="16"/>
      <c r="KG232" s="16"/>
      <c r="KH232" s="16"/>
      <c r="KI232" s="15" t="str">
        <f t="shared" si="749"/>
        <v>NO APLICA</v>
      </c>
      <c r="KJ232" s="16"/>
      <c r="KK232" s="16"/>
      <c r="KL232" s="16"/>
      <c r="KM232" s="15" t="str">
        <f t="shared" si="737"/>
        <v>NO APLICA</v>
      </c>
      <c r="KN232" s="16"/>
      <c r="KO232" s="16"/>
      <c r="KP232" s="16"/>
      <c r="KQ232" s="15" t="str">
        <f t="shared" si="750"/>
        <v>NO APLICA</v>
      </c>
      <c r="KR232" s="16"/>
      <c r="KS232" s="16"/>
      <c r="KT232" s="16"/>
      <c r="KU232" s="16"/>
      <c r="KV232" s="15" t="str">
        <f t="shared" si="755"/>
        <v>NO APLICA</v>
      </c>
      <c r="KW232" s="16"/>
      <c r="KX232" s="16"/>
      <c r="KY232" s="16"/>
      <c r="KZ232" s="15" t="str">
        <f t="shared" si="751"/>
        <v>NO APLICA</v>
      </c>
      <c r="LA232" s="16"/>
      <c r="LB232" s="16"/>
      <c r="LC232" s="16"/>
      <c r="LD232" s="16"/>
      <c r="LE232" s="15" t="str">
        <f t="shared" si="764"/>
        <v>NO APLICA</v>
      </c>
      <c r="LF232" s="15"/>
      <c r="LG232" s="15"/>
      <c r="LH232" s="14"/>
      <c r="LI232" s="65"/>
      <c r="LJ232" s="15" t="str">
        <f t="shared" si="756"/>
        <v>NO APLICA</v>
      </c>
      <c r="LK232" s="16"/>
      <c r="LL232" s="16"/>
      <c r="LM232" s="16"/>
      <c r="LN232" s="16"/>
      <c r="LO232" s="15" t="str">
        <f t="shared" si="752"/>
        <v>NO APLICA</v>
      </c>
      <c r="LP232" s="16"/>
      <c r="LQ232" s="16"/>
      <c r="LR232" s="16"/>
      <c r="LS232" s="16"/>
      <c r="LT232" s="15" t="str">
        <f t="shared" si="753"/>
        <v>NO APLICA</v>
      </c>
      <c r="LU232" s="16"/>
      <c r="LV232" s="16"/>
      <c r="LW232" s="16"/>
      <c r="LX232" s="16"/>
      <c r="LY232" s="15" t="str">
        <f t="shared" si="754"/>
        <v>NO APLICA</v>
      </c>
      <c r="LZ232" s="16"/>
      <c r="MA232" s="16"/>
      <c r="MB232" s="16"/>
      <c r="MC232" s="16"/>
      <c r="MD232" s="15" t="str">
        <f t="shared" si="738"/>
        <v>NO APLICA</v>
      </c>
      <c r="ME232" s="16"/>
      <c r="MF232" s="16"/>
      <c r="MG232" s="16"/>
      <c r="MH232" s="16"/>
      <c r="MI232" s="15" t="str">
        <f t="shared" si="739"/>
        <v>NO APLICA</v>
      </c>
      <c r="MJ232" s="16"/>
      <c r="MK232" s="16"/>
      <c r="ML232" s="16"/>
      <c r="MM232" s="15" t="str">
        <f t="shared" si="740"/>
        <v>NO APLICA</v>
      </c>
      <c r="MN232" s="16"/>
      <c r="MO232" s="16"/>
      <c r="MP232" s="16"/>
      <c r="MQ232" s="15" t="str">
        <f t="shared" si="741"/>
        <v>NO APLICA</v>
      </c>
      <c r="MR232" s="16"/>
      <c r="MS232" s="16"/>
      <c r="MT232" s="16"/>
      <c r="MU232" s="16"/>
      <c r="MV232" s="15" t="str">
        <f t="shared" si="742"/>
        <v>NO APLICA</v>
      </c>
      <c r="MW232" s="16"/>
      <c r="MX232" s="16"/>
      <c r="MY232" s="16"/>
      <c r="MZ232" s="16"/>
      <c r="NA232" s="15" t="str">
        <f t="shared" si="743"/>
        <v>NO APLICA</v>
      </c>
      <c r="NB232" s="16"/>
      <c r="NC232" s="16"/>
      <c r="ND232" s="16"/>
      <c r="NE232" s="16"/>
      <c r="NF232" s="15" t="str">
        <f t="shared" si="744"/>
        <v>NO APLICA</v>
      </c>
      <c r="NG232" s="16"/>
      <c r="NH232" s="16"/>
      <c r="NI232" s="16"/>
      <c r="NJ232" s="16"/>
      <c r="NK232" s="15" t="str">
        <f t="shared" si="745"/>
        <v>NO APLICA</v>
      </c>
      <c r="NL232" s="16"/>
      <c r="NM232" s="16"/>
      <c r="NN232" s="16"/>
      <c r="NO232" s="16"/>
      <c r="NP232" s="15" t="str">
        <f t="shared" si="746"/>
        <v>NO APLICA</v>
      </c>
      <c r="NQ232" s="16"/>
      <c r="NR232" s="16"/>
      <c r="NS232" s="16"/>
      <c r="NT232" s="16"/>
      <c r="NU232" s="15" t="str">
        <f t="shared" si="747"/>
        <v>NO APLICA</v>
      </c>
      <c r="NV232" s="16"/>
      <c r="NW232" s="16"/>
      <c r="NX232" s="16"/>
      <c r="NY232" s="16"/>
      <c r="NZ232" s="15" t="str">
        <f t="shared" si="748"/>
        <v>NO APLICA</v>
      </c>
    </row>
    <row r="233" spans="1:390" ht="15.6" thickTop="1" thickBot="1" x14ac:dyDescent="0.35">
      <c r="A233" s="11">
        <v>382</v>
      </c>
      <c r="B233" s="10" t="s">
        <v>751</v>
      </c>
      <c r="C233" s="21" t="s">
        <v>735</v>
      </c>
      <c r="D233" s="64" t="s">
        <v>752</v>
      </c>
      <c r="E233" s="16"/>
      <c r="F233" s="16"/>
      <c r="G233" s="16"/>
      <c r="H233" s="16"/>
      <c r="I233" s="15" t="str">
        <f t="shared" si="688"/>
        <v>NO APLICA</v>
      </c>
      <c r="J233" s="16"/>
      <c r="K233" s="16"/>
      <c r="L233" s="16"/>
      <c r="M233" s="16"/>
      <c r="N233" s="15" t="str">
        <f t="shared" si="691"/>
        <v>NO APLICA</v>
      </c>
      <c r="O233" s="16"/>
      <c r="P233" s="16"/>
      <c r="Q233" s="16"/>
      <c r="R233" s="16"/>
      <c r="S233" s="15" t="str">
        <f t="shared" si="689"/>
        <v>NO APLICA</v>
      </c>
      <c r="T233" s="16"/>
      <c r="U233" s="14"/>
      <c r="V233" s="14"/>
      <c r="W233" s="14"/>
      <c r="X233" s="65"/>
      <c r="Y233" s="15" t="str">
        <f>IF(X233&gt;=90,"VIGENTE",IF(X233&gt;=1,"POR VENCER",IF(X233&lt;=-1,"VENCIDA",IF(V233=0,"NO APLICA"))))</f>
        <v>NO APLICA</v>
      </c>
      <c r="Z233" s="16"/>
      <c r="AA233" s="16"/>
      <c r="AB233" s="16"/>
      <c r="AC233" s="16"/>
      <c r="AD233" s="16"/>
      <c r="AE233" s="15" t="str">
        <f t="shared" si="598"/>
        <v>NO APLICA</v>
      </c>
      <c r="AF233" s="14"/>
      <c r="AG233" s="14"/>
      <c r="AH233" s="14"/>
      <c r="AI233" s="16"/>
      <c r="AJ233" s="15" t="str">
        <f t="shared" si="763"/>
        <v>NO APLICA</v>
      </c>
      <c r="AK233" s="14"/>
      <c r="AL233" s="14"/>
      <c r="AM233" s="14"/>
      <c r="AN233" s="16"/>
      <c r="AO233" s="15" t="str">
        <f t="shared" si="692"/>
        <v>NO APLICA</v>
      </c>
      <c r="AP233" s="14"/>
      <c r="AQ233" s="14"/>
      <c r="AR233" s="14"/>
      <c r="AS233" s="16"/>
      <c r="AT233" s="15" t="str">
        <f t="shared" si="693"/>
        <v>NO APLICA</v>
      </c>
      <c r="AU233" s="14"/>
      <c r="AV233" s="14"/>
      <c r="AW233" s="14"/>
      <c r="AX233" s="16"/>
      <c r="AY233" s="15" t="str">
        <f t="shared" si="694"/>
        <v>NO APLICA</v>
      </c>
      <c r="AZ233" s="14"/>
      <c r="BA233" s="14"/>
      <c r="BB233" s="14"/>
      <c r="BC233" s="16"/>
      <c r="BD233" s="15" t="str">
        <f t="shared" si="695"/>
        <v>NO APLICA</v>
      </c>
      <c r="BE233" s="14"/>
      <c r="BF233" s="14"/>
      <c r="BG233" s="14"/>
      <c r="BH233" s="16"/>
      <c r="BI233" s="15" t="str">
        <f t="shared" si="696"/>
        <v>NO APLICA</v>
      </c>
      <c r="BJ233" s="14"/>
      <c r="BK233" s="14"/>
      <c r="BL233" s="14"/>
      <c r="BM233" s="16"/>
      <c r="BN233" s="15" t="str">
        <f t="shared" si="697"/>
        <v>NO APLICA</v>
      </c>
      <c r="BO233" s="14"/>
      <c r="BP233" s="14"/>
      <c r="BQ233" s="14"/>
      <c r="BR233" s="16"/>
      <c r="BS233" s="15" t="str">
        <f t="shared" si="698"/>
        <v>NO APLICA</v>
      </c>
      <c r="BT233" s="14"/>
      <c r="BU233" s="14"/>
      <c r="BV233" s="14"/>
      <c r="BW233" s="16"/>
      <c r="BX233" s="15" t="str">
        <f t="shared" si="699"/>
        <v>NO APLICA</v>
      </c>
      <c r="BY233" s="14"/>
      <c r="BZ233" s="14"/>
      <c r="CA233" s="14"/>
      <c r="CB233" s="16"/>
      <c r="CC233" s="15" t="str">
        <f t="shared" si="700"/>
        <v>NO APLICA</v>
      </c>
      <c r="CD233" s="16"/>
      <c r="CE233" s="16"/>
      <c r="CF233" s="16"/>
      <c r="CG233" s="16"/>
      <c r="CH233" s="16"/>
      <c r="CI233" s="15" t="str">
        <f t="shared" si="758"/>
        <v>NO APLICA</v>
      </c>
      <c r="CJ233" s="14"/>
      <c r="CK233" s="14"/>
      <c r="CL233" s="14"/>
      <c r="CM233" s="16"/>
      <c r="CN233" s="15" t="str">
        <f t="shared" si="701"/>
        <v>NO APLICA</v>
      </c>
      <c r="CO233" s="14"/>
      <c r="CP233" s="14"/>
      <c r="CQ233" s="14"/>
      <c r="CR233" s="16"/>
      <c r="CS233" s="15" t="str">
        <f t="shared" si="702"/>
        <v>NO APLICA</v>
      </c>
      <c r="CT233" s="14"/>
      <c r="CU233" s="14"/>
      <c r="CV233" s="14"/>
      <c r="CW233" s="16"/>
      <c r="CX233" s="15" t="str">
        <f t="shared" si="703"/>
        <v>NO APLICA</v>
      </c>
      <c r="CY233" s="14"/>
      <c r="CZ233" s="14"/>
      <c r="DA233" s="14"/>
      <c r="DB233" s="16"/>
      <c r="DC233" s="15" t="str">
        <f t="shared" si="704"/>
        <v>NO APLICA</v>
      </c>
      <c r="DD233" s="14"/>
      <c r="DE233" s="14"/>
      <c r="DF233" s="14"/>
      <c r="DG233" s="16"/>
      <c r="DH233" s="15" t="str">
        <f t="shared" si="705"/>
        <v>NO APLICA</v>
      </c>
      <c r="DI233" s="14"/>
      <c r="DJ233" s="14"/>
      <c r="DK233" s="14"/>
      <c r="DL233" s="16"/>
      <c r="DM233" s="15" t="str">
        <f t="shared" si="706"/>
        <v>NO APLICA</v>
      </c>
      <c r="DN233" s="14"/>
      <c r="DO233" s="14"/>
      <c r="DP233" s="14"/>
      <c r="DQ233" s="16"/>
      <c r="DR233" s="15" t="str">
        <f t="shared" si="707"/>
        <v>NO APLICA</v>
      </c>
      <c r="DS233" s="14"/>
      <c r="DT233" s="14"/>
      <c r="DU233" s="14"/>
      <c r="DV233" s="16"/>
      <c r="DW233" s="15" t="str">
        <f t="shared" si="708"/>
        <v>NO APLICA</v>
      </c>
      <c r="DX233" s="14"/>
      <c r="DY233" s="14"/>
      <c r="DZ233" s="14"/>
      <c r="EA233" s="16"/>
      <c r="EB233" s="15" t="str">
        <f t="shared" si="709"/>
        <v>NO APLICA</v>
      </c>
      <c r="EC233" s="14"/>
      <c r="ED233" s="14"/>
      <c r="EE233" s="14"/>
      <c r="EF233" s="16"/>
      <c r="EG233" s="15" t="str">
        <f t="shared" si="710"/>
        <v>NO APLICA</v>
      </c>
      <c r="EH233" s="14"/>
      <c r="EI233" s="14"/>
      <c r="EJ233" s="14"/>
      <c r="EK233" s="14"/>
      <c r="EL233" s="14"/>
      <c r="EM233" s="65"/>
      <c r="EN233" s="15" t="str">
        <f t="shared" si="711"/>
        <v>NO APLICA</v>
      </c>
      <c r="EO233" s="14"/>
      <c r="EP233" s="14"/>
      <c r="EQ233" s="14"/>
      <c r="ER233" s="65"/>
      <c r="ES233" s="15" t="str">
        <f t="shared" si="712"/>
        <v>NO APLICA</v>
      </c>
      <c r="ET233" s="14"/>
      <c r="EU233" s="14"/>
      <c r="EV233" s="14"/>
      <c r="EW233" s="65"/>
      <c r="EX233" s="15" t="str">
        <f t="shared" si="713"/>
        <v>NO APLICA</v>
      </c>
      <c r="EY233" s="14"/>
      <c r="EZ233" s="14"/>
      <c r="FA233" s="14"/>
      <c r="FB233" s="16"/>
      <c r="FC233" s="15" t="str">
        <f t="shared" si="714"/>
        <v>NO APLICA</v>
      </c>
      <c r="FD233" s="14"/>
      <c r="FE233" s="14"/>
      <c r="FF233" s="14"/>
      <c r="FG233" s="16"/>
      <c r="FH233" s="15" t="str">
        <f t="shared" si="715"/>
        <v>NO APLICA</v>
      </c>
      <c r="FI233" s="14"/>
      <c r="FJ233" s="14"/>
      <c r="FK233" s="14"/>
      <c r="FL233" s="16"/>
      <c r="FM233" s="15" t="str">
        <f t="shared" si="716"/>
        <v>NO APLICA</v>
      </c>
      <c r="FN233" s="14"/>
      <c r="FO233" s="14"/>
      <c r="FP233" s="14"/>
      <c r="FQ233" s="16"/>
      <c r="FR233" s="15" t="str">
        <f t="shared" si="717"/>
        <v>NO APLICA</v>
      </c>
      <c r="FS233" s="14"/>
      <c r="FT233" s="14"/>
      <c r="FU233" s="14"/>
      <c r="FV233" s="16"/>
      <c r="FW233" s="15" t="str">
        <f t="shared" si="718"/>
        <v>NO APLICA</v>
      </c>
      <c r="FX233" s="14"/>
      <c r="FY233" s="14"/>
      <c r="FZ233" s="14"/>
      <c r="GA233" s="16"/>
      <c r="GB233" s="15" t="str">
        <f t="shared" si="719"/>
        <v>NO APLICA</v>
      </c>
      <c r="GC233" s="14"/>
      <c r="GD233" s="14"/>
      <c r="GE233" s="14"/>
      <c r="GF233" s="16"/>
      <c r="GG233" s="15" t="str">
        <f t="shared" si="720"/>
        <v>NO APLICA</v>
      </c>
      <c r="GH233" s="14"/>
      <c r="GI233" s="14"/>
      <c r="GJ233" s="14"/>
      <c r="GK233" s="65"/>
      <c r="GL233" s="15" t="str">
        <f t="shared" si="721"/>
        <v>NO APLICA</v>
      </c>
      <c r="GM233" s="14"/>
      <c r="GN233" s="16"/>
      <c r="GO233" s="16"/>
      <c r="GP233" s="16"/>
      <c r="GQ233" s="15" t="str">
        <f t="shared" si="722"/>
        <v>NO APLICA</v>
      </c>
      <c r="GR233" s="14"/>
      <c r="GS233" s="16"/>
      <c r="GT233" s="16"/>
      <c r="GU233" s="16"/>
      <c r="GV233" s="15" t="str">
        <f t="shared" si="601"/>
        <v>NO APLICA</v>
      </c>
      <c r="GW233" s="14"/>
      <c r="GX233" s="16"/>
      <c r="GY233" s="16"/>
      <c r="GZ233" s="16"/>
      <c r="HA233" s="15" t="str">
        <f t="shared" si="602"/>
        <v>NO APLICA</v>
      </c>
      <c r="HB233" s="16"/>
      <c r="HC233" s="16"/>
      <c r="HD233" s="16"/>
      <c r="HE233" s="16"/>
      <c r="HF233" s="15" t="str">
        <f t="shared" si="603"/>
        <v>NO APLICA</v>
      </c>
      <c r="HG233" s="16"/>
      <c r="HH233" s="16"/>
      <c r="HI233" s="14"/>
      <c r="HJ233" s="65"/>
      <c r="HK233" s="15" t="str">
        <f t="shared" si="690"/>
        <v>NO APLICA</v>
      </c>
      <c r="HL233" s="16"/>
      <c r="HM233" s="16"/>
      <c r="HN233" s="16"/>
      <c r="HO233" s="16"/>
      <c r="HP233" s="15" t="str">
        <f t="shared" si="686"/>
        <v>NO APLICA</v>
      </c>
      <c r="HQ233" s="16"/>
      <c r="HR233" s="16"/>
      <c r="HS233" s="16"/>
      <c r="HT233" s="16"/>
      <c r="HU233" s="15" t="str">
        <f t="shared" si="723"/>
        <v>NO APLICA</v>
      </c>
      <c r="HV233" s="16"/>
      <c r="HW233" s="16"/>
      <c r="HX233" s="16"/>
      <c r="HY233" s="16"/>
      <c r="HZ233" s="15" t="str">
        <f t="shared" si="724"/>
        <v>NO APLICA</v>
      </c>
      <c r="IA233" s="16"/>
      <c r="IB233" s="16"/>
      <c r="IC233" s="16"/>
      <c r="ID233" s="16"/>
      <c r="IE233" s="15" t="str">
        <f t="shared" si="725"/>
        <v>NO APLICA</v>
      </c>
      <c r="IF233" s="16"/>
      <c r="IG233" s="16"/>
      <c r="IH233" s="16"/>
      <c r="II233" s="16"/>
      <c r="IJ233" s="15" t="str">
        <f t="shared" si="726"/>
        <v>NO APLICA</v>
      </c>
      <c r="IK233" s="16"/>
      <c r="IL233" s="16"/>
      <c r="IM233" s="16"/>
      <c r="IN233" s="16"/>
      <c r="IO233" s="15" t="str">
        <f t="shared" si="727"/>
        <v>NO APLICA</v>
      </c>
      <c r="IP233" s="16"/>
      <c r="IQ233" s="16"/>
      <c r="IR233" s="16"/>
      <c r="IS233" s="16"/>
      <c r="IT233" s="15" t="str">
        <f t="shared" si="728"/>
        <v>NO APLICA</v>
      </c>
      <c r="IU233" s="16"/>
      <c r="IV233" s="16"/>
      <c r="IW233" s="16"/>
      <c r="IX233" s="16"/>
      <c r="IY233" s="15" t="str">
        <f t="shared" si="729"/>
        <v>NO APLICA</v>
      </c>
      <c r="IZ233" s="16"/>
      <c r="JA233" s="16"/>
      <c r="JB233" s="16"/>
      <c r="JC233" s="16"/>
      <c r="JD233" s="15" t="str">
        <f t="shared" si="730"/>
        <v>NO APLICA</v>
      </c>
      <c r="JE233" s="20">
        <v>45934</v>
      </c>
      <c r="JF233" s="20">
        <v>45935</v>
      </c>
      <c r="JG233" s="14">
        <f>DATE(YEAR(JF233)+2,MONTH(JF233),DAY(JF233))</f>
        <v>46665</v>
      </c>
      <c r="JH233" s="65">
        <f ca="1">JG233-TODAY()</f>
        <v>534</v>
      </c>
      <c r="JI233" s="15" t="str">
        <f ca="1">IF(JH233&gt;=61,"VIGENTE",IF(JH233&gt;=1,"POR VENCER",IF(JH233&lt;=-1,"VENCIDA",IF(JF233=0,"NO APLICA"))))</f>
        <v>VIGENTE</v>
      </c>
      <c r="JJ233" s="20">
        <v>45941</v>
      </c>
      <c r="JK233" s="14">
        <f>DATE(YEAR(JJ233)+2,MONTH(JJ233),DAY(JJ233))</f>
        <v>46671</v>
      </c>
      <c r="JL233" s="65">
        <f ca="1">JK233-TODAY()</f>
        <v>540</v>
      </c>
      <c r="JM233" s="15" t="str">
        <f ca="1">IF(JL233&gt;=61,"VIGENTE",IF(JL233&gt;=1,"POR VENCER",IF(JL233&lt;=-1,"VENCIDA",IF(JJ233=0,"NO APLICA"))))</f>
        <v>VIGENTE</v>
      </c>
      <c r="JN233" s="16"/>
      <c r="JO233" s="16"/>
      <c r="JP233" s="16"/>
      <c r="JQ233" s="15" t="str">
        <f t="shared" si="733"/>
        <v>NO APLICA</v>
      </c>
      <c r="JR233" s="20">
        <v>45919</v>
      </c>
      <c r="JS233" s="20">
        <v>45920</v>
      </c>
      <c r="JT233" s="14">
        <f>DATE(YEAR(JS233)+2,MONTH(JS233),DAY(JS233))</f>
        <v>46650</v>
      </c>
      <c r="JU233" s="65">
        <f ca="1">JT233-TODAY()</f>
        <v>519</v>
      </c>
      <c r="JV233" s="15" t="str">
        <f ca="1">IF(JU233&gt;=61,"VIGENTE",IF(JU233&gt;=1,"POR VENCER",IF(JU233&lt;=-1,"VENCIDA",IF(JS233=0,"NO APLICA"))))</f>
        <v>VIGENTE</v>
      </c>
      <c r="JW233" s="66">
        <v>45866</v>
      </c>
      <c r="JX233" s="71">
        <v>45948</v>
      </c>
      <c r="JY233" s="14">
        <f t="shared" ref="JY233:JY234" si="765">DATE(YEAR(JX233)+2,MONTH(JX233),DAY(JX233))</f>
        <v>46678</v>
      </c>
      <c r="JZ233" s="65">
        <f ca="1">JY233-TODAY()</f>
        <v>547</v>
      </c>
      <c r="KA233" s="15" t="str">
        <f ca="1">IF(JZ233&gt;=61,"VIGENTE",IF(JZ233&gt;=1,"POR VENCER",IF(JZ233&lt;=-1,"VENCIDA",IF(JX233=0,"NO APLICA"))))</f>
        <v>VIGENTE</v>
      </c>
      <c r="KB233" s="16"/>
      <c r="KC233" s="16"/>
      <c r="KD233" s="16"/>
      <c r="KE233" s="15" t="str">
        <f t="shared" si="736"/>
        <v>NO APLICA</v>
      </c>
      <c r="KF233" s="16"/>
      <c r="KG233" s="16"/>
      <c r="KH233" s="16"/>
      <c r="KI233" s="15" t="str">
        <f t="shared" si="749"/>
        <v>NO APLICA</v>
      </c>
      <c r="KJ233" s="16"/>
      <c r="KK233" s="16"/>
      <c r="KL233" s="16"/>
      <c r="KM233" s="15" t="str">
        <f t="shared" si="737"/>
        <v>NO APLICA</v>
      </c>
      <c r="KN233" s="16"/>
      <c r="KO233" s="16"/>
      <c r="KP233" s="16"/>
      <c r="KQ233" s="15" t="str">
        <f t="shared" si="750"/>
        <v>NO APLICA</v>
      </c>
      <c r="KR233" s="16"/>
      <c r="KS233" s="16"/>
      <c r="KT233" s="16"/>
      <c r="KU233" s="16"/>
      <c r="KV233" s="15" t="str">
        <f t="shared" si="755"/>
        <v>NO APLICA</v>
      </c>
      <c r="KW233" s="16"/>
      <c r="KX233" s="16"/>
      <c r="KY233" s="16"/>
      <c r="KZ233" s="15" t="str">
        <f t="shared" si="751"/>
        <v>NO APLICA</v>
      </c>
      <c r="LA233" s="16"/>
      <c r="LB233" s="16"/>
      <c r="LC233" s="16"/>
      <c r="LD233" s="16"/>
      <c r="LE233" s="15" t="str">
        <f t="shared" si="764"/>
        <v>NO APLICA</v>
      </c>
      <c r="LF233" s="15"/>
      <c r="LG233" s="15"/>
      <c r="LH233" s="14"/>
      <c r="LI233" s="65"/>
      <c r="LJ233" s="15" t="str">
        <f t="shared" si="756"/>
        <v>NO APLICA</v>
      </c>
      <c r="LK233" s="16"/>
      <c r="LL233" s="16"/>
      <c r="LM233" s="16"/>
      <c r="LN233" s="16"/>
      <c r="LO233" s="15" t="str">
        <f t="shared" si="752"/>
        <v>NO APLICA</v>
      </c>
      <c r="LP233" s="16"/>
      <c r="LQ233" s="16"/>
      <c r="LR233" s="16"/>
      <c r="LS233" s="16"/>
      <c r="LT233" s="15" t="str">
        <f t="shared" si="753"/>
        <v>NO APLICA</v>
      </c>
      <c r="LU233" s="16"/>
      <c r="LV233" s="16"/>
      <c r="LW233" s="16"/>
      <c r="LX233" s="16"/>
      <c r="LY233" s="15" t="str">
        <f t="shared" si="754"/>
        <v>NO APLICA</v>
      </c>
      <c r="LZ233" s="16"/>
      <c r="MA233" s="16"/>
      <c r="MB233" s="16"/>
      <c r="MC233" s="16"/>
      <c r="MD233" s="15" t="str">
        <f t="shared" si="738"/>
        <v>NO APLICA</v>
      </c>
      <c r="ME233" s="16"/>
      <c r="MF233" s="16"/>
      <c r="MG233" s="16"/>
      <c r="MH233" s="16"/>
      <c r="MI233" s="15" t="str">
        <f t="shared" si="739"/>
        <v>NO APLICA</v>
      </c>
      <c r="MJ233" s="16"/>
      <c r="MK233" s="16"/>
      <c r="ML233" s="16"/>
      <c r="MM233" s="15" t="str">
        <f t="shared" si="740"/>
        <v>NO APLICA</v>
      </c>
      <c r="MN233" s="16"/>
      <c r="MO233" s="16"/>
      <c r="MP233" s="16"/>
      <c r="MQ233" s="15" t="str">
        <f t="shared" si="741"/>
        <v>NO APLICA</v>
      </c>
      <c r="MR233" s="16"/>
      <c r="MS233" s="16"/>
      <c r="MT233" s="16"/>
      <c r="MU233" s="16"/>
      <c r="MV233" s="15" t="str">
        <f t="shared" si="742"/>
        <v>NO APLICA</v>
      </c>
      <c r="MW233" s="16"/>
      <c r="MX233" s="16"/>
      <c r="MY233" s="16"/>
      <c r="MZ233" s="16"/>
      <c r="NA233" s="15" t="str">
        <f t="shared" si="743"/>
        <v>NO APLICA</v>
      </c>
      <c r="NB233" s="16"/>
      <c r="NC233" s="16"/>
      <c r="ND233" s="16"/>
      <c r="NE233" s="16"/>
      <c r="NF233" s="15" t="str">
        <f t="shared" si="744"/>
        <v>NO APLICA</v>
      </c>
      <c r="NG233" s="16"/>
      <c r="NH233" s="16"/>
      <c r="NI233" s="16"/>
      <c r="NJ233" s="16"/>
      <c r="NK233" s="15" t="str">
        <f t="shared" si="745"/>
        <v>NO APLICA</v>
      </c>
      <c r="NL233" s="16"/>
      <c r="NM233" s="16"/>
      <c r="NN233" s="16"/>
      <c r="NO233" s="16"/>
      <c r="NP233" s="15" t="str">
        <f t="shared" si="746"/>
        <v>NO APLICA</v>
      </c>
      <c r="NQ233" s="16"/>
      <c r="NR233" s="16"/>
      <c r="NS233" s="16"/>
      <c r="NT233" s="16"/>
      <c r="NU233" s="15" t="str">
        <f t="shared" si="747"/>
        <v>NO APLICA</v>
      </c>
      <c r="NV233" s="16"/>
      <c r="NW233" s="16"/>
      <c r="NX233" s="16"/>
      <c r="NY233" s="16"/>
      <c r="NZ233" s="15" t="str">
        <f t="shared" si="748"/>
        <v>NO APLICA</v>
      </c>
    </row>
    <row r="234" spans="1:390" ht="15.6" thickTop="1" thickBot="1" x14ac:dyDescent="0.35">
      <c r="A234" s="9">
        <v>1575</v>
      </c>
      <c r="B234" s="10" t="s">
        <v>753</v>
      </c>
      <c r="C234" s="21" t="s">
        <v>675</v>
      </c>
      <c r="D234" s="64" t="s">
        <v>708</v>
      </c>
      <c r="E234" s="16"/>
      <c r="F234" s="16"/>
      <c r="G234" s="16"/>
      <c r="H234" s="16"/>
      <c r="I234" s="15" t="str">
        <f t="shared" si="688"/>
        <v>NO APLICA</v>
      </c>
      <c r="J234" s="16"/>
      <c r="K234" s="16"/>
      <c r="L234" s="16"/>
      <c r="M234" s="16"/>
      <c r="N234" s="15" t="str">
        <f t="shared" si="691"/>
        <v>NO APLICA</v>
      </c>
      <c r="O234" s="16"/>
      <c r="P234" s="16"/>
      <c r="Q234" s="16"/>
      <c r="R234" s="16"/>
      <c r="S234" s="15" t="str">
        <f t="shared" si="689"/>
        <v>NO APLICA</v>
      </c>
      <c r="T234" s="16"/>
      <c r="U234" s="14"/>
      <c r="V234" s="14"/>
      <c r="W234" s="14"/>
      <c r="X234" s="65"/>
      <c r="Y234" s="15" t="str">
        <f>IF(X234&gt;=90,"VIGENTE",IF(X234&gt;=1,"POR VENCER",IF(X234&lt;=-1,"VENCIDA",IF(V234=0,"NO APLICA"))))</f>
        <v>NO APLICA</v>
      </c>
      <c r="Z234" s="12"/>
      <c r="AA234" s="12"/>
      <c r="AB234" s="12"/>
      <c r="AC234" s="12"/>
      <c r="AD234" s="12"/>
      <c r="AE234" s="15" t="str">
        <f t="shared" si="598"/>
        <v>NO APLICA</v>
      </c>
      <c r="AF234" s="14"/>
      <c r="AG234" s="14"/>
      <c r="AH234" s="14"/>
      <c r="AI234" s="16"/>
      <c r="AJ234" s="15" t="str">
        <f t="shared" si="763"/>
        <v>NO APLICA</v>
      </c>
      <c r="AK234" s="14"/>
      <c r="AL234" s="14"/>
      <c r="AM234" s="14"/>
      <c r="AN234" s="65"/>
      <c r="AO234" s="15" t="str">
        <f t="shared" si="692"/>
        <v>NO APLICA</v>
      </c>
      <c r="AP234" s="14"/>
      <c r="AQ234" s="14"/>
      <c r="AR234" s="14"/>
      <c r="AS234" s="65"/>
      <c r="AT234" s="15" t="str">
        <f t="shared" si="693"/>
        <v>NO APLICA</v>
      </c>
      <c r="AU234" s="14"/>
      <c r="AV234" s="14"/>
      <c r="AW234" s="14"/>
      <c r="AX234" s="65"/>
      <c r="AY234" s="15" t="str">
        <f t="shared" si="694"/>
        <v>NO APLICA</v>
      </c>
      <c r="AZ234" s="14"/>
      <c r="BA234" s="14"/>
      <c r="BB234" s="14"/>
      <c r="BC234" s="65"/>
      <c r="BD234" s="15" t="str">
        <f t="shared" si="695"/>
        <v>NO APLICA</v>
      </c>
      <c r="BE234" s="14"/>
      <c r="BF234" s="14"/>
      <c r="BG234" s="14"/>
      <c r="BH234" s="65"/>
      <c r="BI234" s="15" t="str">
        <f t="shared" si="696"/>
        <v>NO APLICA</v>
      </c>
      <c r="BJ234" s="14"/>
      <c r="BK234" s="14"/>
      <c r="BL234" s="14"/>
      <c r="BM234" s="65"/>
      <c r="BN234" s="15" t="str">
        <f t="shared" si="697"/>
        <v>NO APLICA</v>
      </c>
      <c r="BO234" s="14"/>
      <c r="BP234" s="14"/>
      <c r="BQ234" s="14"/>
      <c r="BR234" s="65"/>
      <c r="BS234" s="15" t="str">
        <f t="shared" si="698"/>
        <v>NO APLICA</v>
      </c>
      <c r="BT234" s="14"/>
      <c r="BU234" s="14"/>
      <c r="BV234" s="14"/>
      <c r="BW234" s="65"/>
      <c r="BX234" s="15" t="str">
        <f t="shared" si="699"/>
        <v>NO APLICA</v>
      </c>
      <c r="BY234" s="14"/>
      <c r="BZ234" s="14"/>
      <c r="CA234" s="14"/>
      <c r="CB234" s="65"/>
      <c r="CC234" s="15" t="str">
        <f t="shared" si="700"/>
        <v>NO APLICA</v>
      </c>
      <c r="CD234" s="12"/>
      <c r="CE234" s="12"/>
      <c r="CF234" s="12"/>
      <c r="CG234" s="12"/>
      <c r="CH234" s="12"/>
      <c r="CI234" s="15" t="str">
        <f t="shared" si="758"/>
        <v>NO APLICA</v>
      </c>
      <c r="CJ234" s="14"/>
      <c r="CK234" s="14"/>
      <c r="CL234" s="14"/>
      <c r="CM234" s="65"/>
      <c r="CN234" s="15" t="str">
        <f t="shared" si="701"/>
        <v>NO APLICA</v>
      </c>
      <c r="CO234" s="14"/>
      <c r="CP234" s="14"/>
      <c r="CQ234" s="14"/>
      <c r="CR234" s="65"/>
      <c r="CS234" s="15" t="str">
        <f t="shared" si="702"/>
        <v>NO APLICA</v>
      </c>
      <c r="CT234" s="14"/>
      <c r="CU234" s="14"/>
      <c r="CV234" s="14"/>
      <c r="CW234" s="65"/>
      <c r="CX234" s="15" t="str">
        <f t="shared" si="703"/>
        <v>NO APLICA</v>
      </c>
      <c r="CY234" s="14"/>
      <c r="CZ234" s="14"/>
      <c r="DA234" s="14"/>
      <c r="DB234" s="65"/>
      <c r="DC234" s="15" t="str">
        <f t="shared" si="704"/>
        <v>NO APLICA</v>
      </c>
      <c r="DD234" s="14"/>
      <c r="DE234" s="14"/>
      <c r="DF234" s="14"/>
      <c r="DG234" s="65"/>
      <c r="DH234" s="15" t="str">
        <f t="shared" si="705"/>
        <v>NO APLICA</v>
      </c>
      <c r="DI234" s="14"/>
      <c r="DJ234" s="14"/>
      <c r="DK234" s="14"/>
      <c r="DL234" s="65"/>
      <c r="DM234" s="15" t="str">
        <f t="shared" si="706"/>
        <v>NO APLICA</v>
      </c>
      <c r="DN234" s="14"/>
      <c r="DO234" s="14"/>
      <c r="DP234" s="14"/>
      <c r="DQ234" s="65"/>
      <c r="DR234" s="15" t="str">
        <f t="shared" si="707"/>
        <v>NO APLICA</v>
      </c>
      <c r="DS234" s="14"/>
      <c r="DT234" s="14"/>
      <c r="DU234" s="14"/>
      <c r="DV234" s="65"/>
      <c r="DW234" s="15" t="str">
        <f t="shared" si="708"/>
        <v>NO APLICA</v>
      </c>
      <c r="DX234" s="14"/>
      <c r="DY234" s="14"/>
      <c r="DZ234" s="14"/>
      <c r="EA234" s="65"/>
      <c r="EB234" s="15" t="str">
        <f t="shared" si="709"/>
        <v>NO APLICA</v>
      </c>
      <c r="EC234" s="14"/>
      <c r="ED234" s="14"/>
      <c r="EE234" s="14"/>
      <c r="EF234" s="65"/>
      <c r="EG234" s="15" t="str">
        <f t="shared" si="710"/>
        <v>NO APLICA</v>
      </c>
      <c r="EH234" s="14"/>
      <c r="EI234" s="14"/>
      <c r="EJ234" s="14"/>
      <c r="EK234" s="14"/>
      <c r="EL234" s="14"/>
      <c r="EM234" s="65"/>
      <c r="EN234" s="15" t="str">
        <f t="shared" si="711"/>
        <v>NO APLICA</v>
      </c>
      <c r="EO234" s="14"/>
      <c r="EP234" s="16"/>
      <c r="EQ234" s="14"/>
      <c r="ER234" s="65"/>
      <c r="ES234" s="15" t="str">
        <f t="shared" si="712"/>
        <v>NO APLICA</v>
      </c>
      <c r="ET234" s="14"/>
      <c r="EU234" s="14"/>
      <c r="EV234" s="14"/>
      <c r="EW234" s="65"/>
      <c r="EX234" s="15" t="str">
        <f t="shared" si="713"/>
        <v>NO APLICA</v>
      </c>
      <c r="EY234" s="14"/>
      <c r="EZ234" s="14"/>
      <c r="FA234" s="14"/>
      <c r="FB234" s="65"/>
      <c r="FC234" s="15" t="str">
        <f t="shared" si="714"/>
        <v>NO APLICA</v>
      </c>
      <c r="FD234" s="14"/>
      <c r="FE234" s="14"/>
      <c r="FF234" s="14"/>
      <c r="FG234" s="65"/>
      <c r="FH234" s="15" t="str">
        <f t="shared" si="715"/>
        <v>NO APLICA</v>
      </c>
      <c r="FI234" s="14"/>
      <c r="FJ234" s="14"/>
      <c r="FK234" s="14"/>
      <c r="FL234" s="65"/>
      <c r="FM234" s="15" t="str">
        <f t="shared" si="716"/>
        <v>NO APLICA</v>
      </c>
      <c r="FN234" s="14"/>
      <c r="FO234" s="14"/>
      <c r="FP234" s="14"/>
      <c r="FQ234" s="65"/>
      <c r="FR234" s="15" t="str">
        <f t="shared" si="717"/>
        <v>NO APLICA</v>
      </c>
      <c r="FS234" s="14"/>
      <c r="FT234" s="14"/>
      <c r="FU234" s="14"/>
      <c r="FV234" s="65"/>
      <c r="FW234" s="15" t="str">
        <f t="shared" si="718"/>
        <v>NO APLICA</v>
      </c>
      <c r="FX234" s="14"/>
      <c r="FY234" s="14"/>
      <c r="FZ234" s="14"/>
      <c r="GA234" s="65"/>
      <c r="GB234" s="15" t="str">
        <f t="shared" si="719"/>
        <v>NO APLICA</v>
      </c>
      <c r="GC234" s="14"/>
      <c r="GD234" s="14"/>
      <c r="GE234" s="14"/>
      <c r="GF234" s="65"/>
      <c r="GG234" s="15" t="str">
        <f t="shared" si="720"/>
        <v>NO APLICA</v>
      </c>
      <c r="GH234" s="14"/>
      <c r="GI234" s="14"/>
      <c r="GJ234" s="14"/>
      <c r="GK234" s="65"/>
      <c r="GL234" s="15" t="str">
        <f t="shared" si="721"/>
        <v>NO APLICA</v>
      </c>
      <c r="GM234" s="14"/>
      <c r="GN234" s="16"/>
      <c r="GO234" s="14"/>
      <c r="GP234" s="65"/>
      <c r="GQ234" s="15" t="str">
        <f t="shared" si="722"/>
        <v>NO APLICA</v>
      </c>
      <c r="GR234" s="14"/>
      <c r="GS234" s="16"/>
      <c r="GT234" s="14"/>
      <c r="GU234" s="65"/>
      <c r="GV234" s="15" t="str">
        <f t="shared" si="601"/>
        <v>NO APLICA</v>
      </c>
      <c r="GW234" s="14"/>
      <c r="GX234" s="16"/>
      <c r="GY234" s="14"/>
      <c r="GZ234" s="65"/>
      <c r="HA234" s="15" t="str">
        <f t="shared" si="602"/>
        <v>NO APLICA</v>
      </c>
      <c r="HB234" s="16"/>
      <c r="HC234" s="16"/>
      <c r="HD234" s="14"/>
      <c r="HE234" s="65"/>
      <c r="HF234" s="15" t="str">
        <f t="shared" si="603"/>
        <v>NO APLICA</v>
      </c>
      <c r="HG234" s="16"/>
      <c r="HH234" s="16"/>
      <c r="HI234" s="14"/>
      <c r="HJ234" s="65"/>
      <c r="HK234" s="15" t="str">
        <f t="shared" si="690"/>
        <v>NO APLICA</v>
      </c>
      <c r="HL234" s="16"/>
      <c r="HM234" s="16"/>
      <c r="HN234" s="16"/>
      <c r="HO234" s="16"/>
      <c r="HP234" s="15" t="str">
        <f t="shared" si="686"/>
        <v>NO APLICA</v>
      </c>
      <c r="HQ234" s="16"/>
      <c r="HR234" s="16"/>
      <c r="HS234" s="16"/>
      <c r="HT234" s="16"/>
      <c r="HU234" s="15" t="str">
        <f t="shared" si="723"/>
        <v>NO APLICA</v>
      </c>
      <c r="HV234" s="16"/>
      <c r="HW234" s="16"/>
      <c r="HX234" s="16"/>
      <c r="HY234" s="16"/>
      <c r="HZ234" s="15" t="str">
        <f t="shared" si="724"/>
        <v>NO APLICA</v>
      </c>
      <c r="IA234" s="16"/>
      <c r="IB234" s="16"/>
      <c r="IC234" s="16"/>
      <c r="ID234" s="16"/>
      <c r="IE234" s="15" t="str">
        <f t="shared" si="725"/>
        <v>NO APLICA</v>
      </c>
      <c r="IF234" s="16"/>
      <c r="IG234" s="16"/>
      <c r="IH234" s="16"/>
      <c r="II234" s="16"/>
      <c r="IJ234" s="15" t="str">
        <f t="shared" si="726"/>
        <v>NO APLICA</v>
      </c>
      <c r="IK234" s="16"/>
      <c r="IL234" s="16"/>
      <c r="IM234" s="16"/>
      <c r="IN234" s="16"/>
      <c r="IO234" s="15" t="str">
        <f t="shared" si="727"/>
        <v>NO APLICA</v>
      </c>
      <c r="IP234" s="16"/>
      <c r="IQ234" s="16"/>
      <c r="IR234" s="16"/>
      <c r="IS234" s="16"/>
      <c r="IT234" s="15" t="str">
        <f t="shared" si="728"/>
        <v>NO APLICA</v>
      </c>
      <c r="IU234" s="16"/>
      <c r="IV234" s="16"/>
      <c r="IW234" s="16"/>
      <c r="IX234" s="16"/>
      <c r="IY234" s="15" t="str">
        <f t="shared" si="729"/>
        <v>NO APLICA</v>
      </c>
      <c r="IZ234" s="16"/>
      <c r="JA234" s="16"/>
      <c r="JB234" s="16"/>
      <c r="JC234" s="16"/>
      <c r="JD234" s="15" t="str">
        <f t="shared" si="730"/>
        <v>NO APLICA</v>
      </c>
      <c r="JE234" s="16"/>
      <c r="JF234" s="16"/>
      <c r="JG234" s="16"/>
      <c r="JH234" s="16"/>
      <c r="JI234" s="15" t="str">
        <f t="shared" si="731"/>
        <v>NO APLICA</v>
      </c>
      <c r="JJ234" s="16"/>
      <c r="JK234" s="16"/>
      <c r="JL234" s="16"/>
      <c r="JM234" s="15" t="str">
        <f t="shared" si="732"/>
        <v>NO APLICA</v>
      </c>
      <c r="JN234" s="16"/>
      <c r="JO234" s="16"/>
      <c r="JP234" s="16"/>
      <c r="JQ234" s="15" t="str">
        <f t="shared" si="733"/>
        <v>NO APLICA</v>
      </c>
      <c r="JR234" s="16"/>
      <c r="JS234" s="16"/>
      <c r="JT234" s="16"/>
      <c r="JU234" s="16"/>
      <c r="JV234" s="15" t="str">
        <f t="shared" si="734"/>
        <v>NO APLICA</v>
      </c>
      <c r="JW234" s="15"/>
      <c r="JX234" s="13">
        <v>45948</v>
      </c>
      <c r="JY234" s="14">
        <f t="shared" si="765"/>
        <v>46678</v>
      </c>
      <c r="JZ234" s="65">
        <f ca="1">JY234-TODAY()</f>
        <v>547</v>
      </c>
      <c r="KA234" s="15" t="str">
        <f ca="1">IF(JZ234&gt;=61,"VIGENTE",IF(JZ234&gt;=1,"POR VENCER",IF(JZ234&lt;=-1,"VENCIDA",IF(JX234=0,"NO APLICA"))))</f>
        <v>VIGENTE</v>
      </c>
      <c r="KB234" s="16"/>
      <c r="KC234" s="16"/>
      <c r="KD234" s="16"/>
      <c r="KE234" s="15" t="str">
        <f t="shared" si="736"/>
        <v>NO APLICA</v>
      </c>
      <c r="KF234" s="16"/>
      <c r="KG234" s="16"/>
      <c r="KH234" s="16"/>
      <c r="KI234" s="15" t="str">
        <f t="shared" si="749"/>
        <v>NO APLICA</v>
      </c>
      <c r="KJ234" s="16"/>
      <c r="KK234" s="16"/>
      <c r="KL234" s="16"/>
      <c r="KM234" s="15" t="str">
        <f t="shared" si="737"/>
        <v>NO APLICA</v>
      </c>
      <c r="KN234" s="12"/>
      <c r="KO234" s="12"/>
      <c r="KP234" s="12"/>
      <c r="KQ234" s="15" t="str">
        <f t="shared" si="750"/>
        <v>NO APLICA</v>
      </c>
      <c r="KR234" s="16"/>
      <c r="KS234" s="16"/>
      <c r="KT234" s="16"/>
      <c r="KU234" s="16"/>
      <c r="KV234" s="15" t="str">
        <f t="shared" si="755"/>
        <v>NO APLICA</v>
      </c>
      <c r="KW234" s="16"/>
      <c r="KX234" s="16"/>
      <c r="KY234" s="16"/>
      <c r="KZ234" s="15" t="str">
        <f t="shared" si="751"/>
        <v>NO APLICA</v>
      </c>
      <c r="LA234" s="12"/>
      <c r="LB234" s="16"/>
      <c r="LC234" s="16"/>
      <c r="LD234" s="16"/>
      <c r="LE234" s="15" t="str">
        <f t="shared" si="764"/>
        <v>NO APLICA</v>
      </c>
      <c r="LF234" s="15"/>
      <c r="LG234" s="15"/>
      <c r="LH234" s="14"/>
      <c r="LI234" s="65"/>
      <c r="LJ234" s="15" t="str">
        <f t="shared" si="756"/>
        <v>NO APLICA</v>
      </c>
      <c r="LK234" s="16"/>
      <c r="LL234" s="16"/>
      <c r="LM234" s="16"/>
      <c r="LN234" s="16"/>
      <c r="LO234" s="15" t="str">
        <f t="shared" si="752"/>
        <v>NO APLICA</v>
      </c>
      <c r="LP234" s="16"/>
      <c r="LQ234" s="16"/>
      <c r="LR234" s="16"/>
      <c r="LS234" s="16"/>
      <c r="LT234" s="15" t="str">
        <f t="shared" si="753"/>
        <v>NO APLICA</v>
      </c>
      <c r="LU234" s="16"/>
      <c r="LV234" s="16"/>
      <c r="LW234" s="16"/>
      <c r="LX234" s="16"/>
      <c r="LY234" s="15" t="str">
        <f t="shared" si="754"/>
        <v>NO APLICA</v>
      </c>
      <c r="LZ234" s="16"/>
      <c r="MA234" s="16"/>
      <c r="MB234" s="16"/>
      <c r="MC234" s="16"/>
      <c r="MD234" s="15" t="str">
        <f t="shared" si="738"/>
        <v>NO APLICA</v>
      </c>
      <c r="ME234" s="16"/>
      <c r="MF234" s="16"/>
      <c r="MG234" s="16"/>
      <c r="MH234" s="16"/>
      <c r="MI234" s="15" t="str">
        <f t="shared" si="739"/>
        <v>NO APLICA</v>
      </c>
      <c r="MJ234" s="16"/>
      <c r="MK234" s="16"/>
      <c r="ML234" s="16"/>
      <c r="MM234" s="15" t="str">
        <f t="shared" si="740"/>
        <v>NO APLICA</v>
      </c>
      <c r="MN234" s="16"/>
      <c r="MO234" s="16"/>
      <c r="MP234" s="16"/>
      <c r="MQ234" s="15" t="str">
        <f t="shared" si="741"/>
        <v>NO APLICA</v>
      </c>
      <c r="MR234" s="16"/>
      <c r="MS234" s="16"/>
      <c r="MT234" s="16"/>
      <c r="MU234" s="16"/>
      <c r="MV234" s="15" t="str">
        <f t="shared" si="742"/>
        <v>NO APLICA</v>
      </c>
      <c r="MW234" s="16"/>
      <c r="MX234" s="16"/>
      <c r="MY234" s="16"/>
      <c r="MZ234" s="16"/>
      <c r="NA234" s="15" t="str">
        <f t="shared" si="743"/>
        <v>NO APLICA</v>
      </c>
      <c r="NB234" s="16"/>
      <c r="NC234" s="16"/>
      <c r="ND234" s="16"/>
      <c r="NE234" s="16"/>
      <c r="NF234" s="15" t="str">
        <f t="shared" si="744"/>
        <v>NO APLICA</v>
      </c>
      <c r="NG234" s="16"/>
      <c r="NH234" s="16"/>
      <c r="NI234" s="16"/>
      <c r="NJ234" s="16"/>
      <c r="NK234" s="15" t="str">
        <f t="shared" si="745"/>
        <v>NO APLICA</v>
      </c>
      <c r="NL234" s="16"/>
      <c r="NM234" s="16"/>
      <c r="NN234" s="16"/>
      <c r="NO234" s="16"/>
      <c r="NP234" s="15" t="str">
        <f t="shared" si="746"/>
        <v>NO APLICA</v>
      </c>
      <c r="NQ234" s="16"/>
      <c r="NR234" s="16"/>
      <c r="NS234" s="16"/>
      <c r="NT234" s="16"/>
      <c r="NU234" s="15" t="str">
        <f t="shared" si="747"/>
        <v>NO APLICA</v>
      </c>
      <c r="NV234" s="16"/>
      <c r="NW234" s="16"/>
      <c r="NX234" s="16"/>
      <c r="NY234" s="16"/>
      <c r="NZ234" s="15" t="str">
        <f t="shared" si="748"/>
        <v>NO APLICA</v>
      </c>
    </row>
    <row r="235" spans="1:390" ht="15.6" thickTop="1" thickBot="1" x14ac:dyDescent="0.35">
      <c r="A235" s="11">
        <v>1719</v>
      </c>
      <c r="B235" s="10" t="s">
        <v>754</v>
      </c>
      <c r="C235" s="21" t="s">
        <v>98</v>
      </c>
      <c r="D235" s="64" t="s">
        <v>755</v>
      </c>
      <c r="E235" s="16"/>
      <c r="F235" s="16"/>
      <c r="G235" s="16"/>
      <c r="H235" s="16"/>
      <c r="I235" s="15" t="str">
        <f t="shared" si="688"/>
        <v>NO APLICA</v>
      </c>
      <c r="J235" s="16"/>
      <c r="K235" s="16"/>
      <c r="L235" s="16"/>
      <c r="M235" s="16"/>
      <c r="N235" s="15" t="str">
        <f t="shared" si="691"/>
        <v>NO APLICA</v>
      </c>
      <c r="O235" s="16"/>
      <c r="P235" s="16"/>
      <c r="Q235" s="16"/>
      <c r="R235" s="16"/>
      <c r="S235" s="15" t="str">
        <f t="shared" si="689"/>
        <v>NO APLICA</v>
      </c>
      <c r="T235" s="16" t="s">
        <v>756</v>
      </c>
      <c r="U235" s="14">
        <v>45308</v>
      </c>
      <c r="V235" s="14">
        <v>45309</v>
      </c>
      <c r="W235" s="14">
        <f>DATE(YEAR(V235)+5,MONTH(V235),DAY(V235))</f>
        <v>47136</v>
      </c>
      <c r="X235" s="65">
        <f ca="1">W235-TODAY()</f>
        <v>1005</v>
      </c>
      <c r="Y235" s="15" t="str">
        <f ca="1">IF(X235&gt;=90,"VIGENTE",IF(X235&gt;=1,"POR VENCER",IF(X235&lt;=-1,"VENCIDA",IF(V235=0,"NO APLICA"))))</f>
        <v>VIGENTE</v>
      </c>
      <c r="Z235" s="16"/>
      <c r="AA235" s="16"/>
      <c r="AB235" s="16"/>
      <c r="AC235" s="16"/>
      <c r="AD235" s="16"/>
      <c r="AE235" s="15" t="str">
        <f t="shared" si="598"/>
        <v>NO APLICA</v>
      </c>
      <c r="AF235" s="14"/>
      <c r="AG235" s="14"/>
      <c r="AH235" s="14"/>
      <c r="AI235" s="16"/>
      <c r="AJ235" s="15" t="str">
        <f t="shared" si="763"/>
        <v>NO APLICA</v>
      </c>
      <c r="AK235" s="14"/>
      <c r="AL235" s="14"/>
      <c r="AM235" s="14"/>
      <c r="AN235" s="16"/>
      <c r="AO235" s="15" t="str">
        <f t="shared" si="692"/>
        <v>NO APLICA</v>
      </c>
      <c r="AP235" s="14"/>
      <c r="AQ235" s="14"/>
      <c r="AR235" s="14"/>
      <c r="AS235" s="16"/>
      <c r="AT235" s="15" t="str">
        <f t="shared" si="693"/>
        <v>NO APLICA</v>
      </c>
      <c r="AU235" s="14"/>
      <c r="AV235" s="14"/>
      <c r="AW235" s="14"/>
      <c r="AX235" s="16"/>
      <c r="AY235" s="15" t="str">
        <f t="shared" si="694"/>
        <v>NO APLICA</v>
      </c>
      <c r="AZ235" s="14"/>
      <c r="BA235" s="14"/>
      <c r="BB235" s="14"/>
      <c r="BC235" s="16"/>
      <c r="BD235" s="15" t="str">
        <f t="shared" si="695"/>
        <v>NO APLICA</v>
      </c>
      <c r="BE235" s="14"/>
      <c r="BF235" s="14"/>
      <c r="BG235" s="14"/>
      <c r="BH235" s="16"/>
      <c r="BI235" s="15" t="str">
        <f t="shared" si="696"/>
        <v>NO APLICA</v>
      </c>
      <c r="BJ235" s="14"/>
      <c r="BK235" s="14"/>
      <c r="BL235" s="14"/>
      <c r="BM235" s="16"/>
      <c r="BN235" s="15" t="str">
        <f t="shared" si="697"/>
        <v>NO APLICA</v>
      </c>
      <c r="BO235" s="14"/>
      <c r="BP235" s="14"/>
      <c r="BQ235" s="14"/>
      <c r="BR235" s="16"/>
      <c r="BS235" s="15" t="str">
        <f t="shared" si="698"/>
        <v>NO APLICA</v>
      </c>
      <c r="BT235" s="14"/>
      <c r="BU235" s="14"/>
      <c r="BV235" s="14"/>
      <c r="BW235" s="16"/>
      <c r="BX235" s="15" t="str">
        <f t="shared" si="699"/>
        <v>NO APLICA</v>
      </c>
      <c r="BY235" s="14"/>
      <c r="BZ235" s="14"/>
      <c r="CA235" s="14"/>
      <c r="CB235" s="16"/>
      <c r="CC235" s="15" t="str">
        <f t="shared" si="700"/>
        <v>NO APLICA</v>
      </c>
      <c r="CD235" s="16"/>
      <c r="CE235" s="16"/>
      <c r="CF235" s="16"/>
      <c r="CG235" s="16"/>
      <c r="CH235" s="16"/>
      <c r="CI235" s="15" t="str">
        <f t="shared" si="758"/>
        <v>NO APLICA</v>
      </c>
      <c r="CJ235" s="14"/>
      <c r="CK235" s="14"/>
      <c r="CL235" s="14"/>
      <c r="CM235" s="16"/>
      <c r="CN235" s="15" t="str">
        <f t="shared" si="701"/>
        <v>NO APLICA</v>
      </c>
      <c r="CO235" s="14"/>
      <c r="CP235" s="14"/>
      <c r="CQ235" s="14"/>
      <c r="CR235" s="16"/>
      <c r="CS235" s="15" t="str">
        <f t="shared" si="702"/>
        <v>NO APLICA</v>
      </c>
      <c r="CT235" s="14"/>
      <c r="CU235" s="14"/>
      <c r="CV235" s="14"/>
      <c r="CW235" s="16"/>
      <c r="CX235" s="15" t="str">
        <f t="shared" si="703"/>
        <v>NO APLICA</v>
      </c>
      <c r="CY235" s="14"/>
      <c r="CZ235" s="14"/>
      <c r="DA235" s="14"/>
      <c r="DB235" s="16"/>
      <c r="DC235" s="15" t="str">
        <f t="shared" si="704"/>
        <v>NO APLICA</v>
      </c>
      <c r="DD235" s="14"/>
      <c r="DE235" s="14"/>
      <c r="DF235" s="14"/>
      <c r="DG235" s="16"/>
      <c r="DH235" s="15" t="str">
        <f t="shared" si="705"/>
        <v>NO APLICA</v>
      </c>
      <c r="DI235" s="14"/>
      <c r="DJ235" s="14"/>
      <c r="DK235" s="14"/>
      <c r="DL235" s="16"/>
      <c r="DM235" s="15" t="str">
        <f t="shared" si="706"/>
        <v>NO APLICA</v>
      </c>
      <c r="DN235" s="14"/>
      <c r="DO235" s="14"/>
      <c r="DP235" s="14"/>
      <c r="DQ235" s="16"/>
      <c r="DR235" s="15" t="str">
        <f t="shared" si="707"/>
        <v>NO APLICA</v>
      </c>
      <c r="DS235" s="14"/>
      <c r="DT235" s="14"/>
      <c r="DU235" s="14"/>
      <c r="DV235" s="16"/>
      <c r="DW235" s="15" t="str">
        <f t="shared" si="708"/>
        <v>NO APLICA</v>
      </c>
      <c r="DX235" s="14"/>
      <c r="DY235" s="14"/>
      <c r="DZ235" s="14"/>
      <c r="EA235" s="16"/>
      <c r="EB235" s="15" t="str">
        <f t="shared" si="709"/>
        <v>NO APLICA</v>
      </c>
      <c r="EC235" s="14"/>
      <c r="ED235" s="14"/>
      <c r="EE235" s="14"/>
      <c r="EF235" s="16"/>
      <c r="EG235" s="15" t="str">
        <f t="shared" si="710"/>
        <v>NO APLICA</v>
      </c>
      <c r="EH235" s="14"/>
      <c r="EI235" s="14"/>
      <c r="EJ235" s="14"/>
      <c r="EK235" s="14"/>
      <c r="EL235" s="14"/>
      <c r="EM235" s="65"/>
      <c r="EN235" s="15" t="str">
        <f t="shared" si="711"/>
        <v>NO APLICA</v>
      </c>
      <c r="EO235" s="14"/>
      <c r="EP235" s="14"/>
      <c r="EQ235" s="14"/>
      <c r="ER235" s="65"/>
      <c r="ES235" s="15" t="str">
        <f t="shared" si="712"/>
        <v>NO APLICA</v>
      </c>
      <c r="ET235" s="14"/>
      <c r="EU235" s="14"/>
      <c r="EV235" s="14"/>
      <c r="EW235" s="65"/>
      <c r="EX235" s="15" t="str">
        <f t="shared" si="713"/>
        <v>NO APLICA</v>
      </c>
      <c r="EY235" s="14"/>
      <c r="EZ235" s="14"/>
      <c r="FA235" s="14"/>
      <c r="FB235" s="16"/>
      <c r="FC235" s="15" t="str">
        <f t="shared" si="714"/>
        <v>NO APLICA</v>
      </c>
      <c r="FD235" s="14"/>
      <c r="FE235" s="14"/>
      <c r="FF235" s="14"/>
      <c r="FG235" s="16"/>
      <c r="FH235" s="15" t="str">
        <f t="shared" si="715"/>
        <v>NO APLICA</v>
      </c>
      <c r="FI235" s="14"/>
      <c r="FJ235" s="14"/>
      <c r="FK235" s="14"/>
      <c r="FL235" s="16"/>
      <c r="FM235" s="15" t="str">
        <f t="shared" si="716"/>
        <v>NO APLICA</v>
      </c>
      <c r="FN235" s="14"/>
      <c r="FO235" s="14"/>
      <c r="FP235" s="14"/>
      <c r="FQ235" s="16"/>
      <c r="FR235" s="15" t="str">
        <f t="shared" si="717"/>
        <v>NO APLICA</v>
      </c>
      <c r="FS235" s="14"/>
      <c r="FT235" s="14"/>
      <c r="FU235" s="14"/>
      <c r="FV235" s="16"/>
      <c r="FW235" s="15" t="str">
        <f t="shared" si="718"/>
        <v>NO APLICA</v>
      </c>
      <c r="FX235" s="14"/>
      <c r="FY235" s="14"/>
      <c r="FZ235" s="14"/>
      <c r="GA235" s="16"/>
      <c r="GB235" s="15" t="str">
        <f t="shared" si="719"/>
        <v>NO APLICA</v>
      </c>
      <c r="GC235" s="14"/>
      <c r="GD235" s="14"/>
      <c r="GE235" s="14"/>
      <c r="GF235" s="16"/>
      <c r="GG235" s="15" t="str">
        <f t="shared" si="720"/>
        <v>NO APLICA</v>
      </c>
      <c r="GH235" s="14"/>
      <c r="GI235" s="14"/>
      <c r="GJ235" s="14"/>
      <c r="GK235" s="65"/>
      <c r="GL235" s="15" t="str">
        <f t="shared" si="721"/>
        <v>NO APLICA</v>
      </c>
      <c r="GM235" s="14"/>
      <c r="GN235" s="16"/>
      <c r="GO235" s="16"/>
      <c r="GP235" s="16"/>
      <c r="GQ235" s="15" t="str">
        <f t="shared" si="722"/>
        <v>NO APLICA</v>
      </c>
      <c r="GR235" s="14"/>
      <c r="GS235" s="16"/>
      <c r="GT235" s="16"/>
      <c r="GU235" s="16"/>
      <c r="GV235" s="15" t="str">
        <f t="shared" si="601"/>
        <v>NO APLICA</v>
      </c>
      <c r="GW235" s="14"/>
      <c r="GX235" s="16"/>
      <c r="GY235" s="16"/>
      <c r="GZ235" s="16"/>
      <c r="HA235" s="15" t="str">
        <f t="shared" si="602"/>
        <v>NO APLICA</v>
      </c>
      <c r="HB235" s="16"/>
      <c r="HC235" s="16"/>
      <c r="HD235" s="16"/>
      <c r="HE235" s="16"/>
      <c r="HF235" s="15" t="str">
        <f t="shared" si="603"/>
        <v>NO APLICA</v>
      </c>
      <c r="HG235" s="16"/>
      <c r="HH235" s="16"/>
      <c r="HI235" s="14"/>
      <c r="HJ235" s="65"/>
      <c r="HK235" s="15" t="str">
        <f t="shared" si="690"/>
        <v>NO APLICA</v>
      </c>
      <c r="HL235" s="16"/>
      <c r="HM235" s="16"/>
      <c r="HN235" s="16"/>
      <c r="HO235" s="16"/>
      <c r="HP235" s="15" t="str">
        <f t="shared" si="686"/>
        <v>NO APLICA</v>
      </c>
      <c r="HQ235" s="16"/>
      <c r="HR235" s="16"/>
      <c r="HS235" s="16"/>
      <c r="HT235" s="16"/>
      <c r="HU235" s="15" t="str">
        <f t="shared" si="723"/>
        <v>NO APLICA</v>
      </c>
      <c r="HV235" s="16"/>
      <c r="HW235" s="16"/>
      <c r="HX235" s="16"/>
      <c r="HY235" s="16"/>
      <c r="HZ235" s="15" t="str">
        <f t="shared" si="724"/>
        <v>NO APLICA</v>
      </c>
      <c r="IA235" s="16"/>
      <c r="IB235" s="16"/>
      <c r="IC235" s="16"/>
      <c r="ID235" s="16"/>
      <c r="IE235" s="15" t="str">
        <f t="shared" si="725"/>
        <v>NO APLICA</v>
      </c>
      <c r="IF235" s="16"/>
      <c r="IG235" s="16"/>
      <c r="IH235" s="16"/>
      <c r="II235" s="16"/>
      <c r="IJ235" s="15" t="str">
        <f t="shared" si="726"/>
        <v>NO APLICA</v>
      </c>
      <c r="IK235" s="16"/>
      <c r="IL235" s="16"/>
      <c r="IM235" s="16"/>
      <c r="IN235" s="16"/>
      <c r="IO235" s="15" t="str">
        <f t="shared" si="727"/>
        <v>NO APLICA</v>
      </c>
      <c r="IP235" s="16"/>
      <c r="IQ235" s="16"/>
      <c r="IR235" s="16"/>
      <c r="IS235" s="16"/>
      <c r="IT235" s="15" t="str">
        <f t="shared" si="728"/>
        <v>NO APLICA</v>
      </c>
      <c r="IU235" s="16"/>
      <c r="IV235" s="16"/>
      <c r="IW235" s="16"/>
      <c r="IX235" s="16"/>
      <c r="IY235" s="15" t="str">
        <f t="shared" si="729"/>
        <v>NO APLICA</v>
      </c>
      <c r="IZ235" s="16"/>
      <c r="JA235" s="16"/>
      <c r="JB235" s="16"/>
      <c r="JC235" s="16"/>
      <c r="JD235" s="15" t="str">
        <f t="shared" si="730"/>
        <v>NO APLICA</v>
      </c>
      <c r="JE235" s="16"/>
      <c r="JF235" s="16"/>
      <c r="JG235" s="16"/>
      <c r="JH235" s="16"/>
      <c r="JI235" s="15" t="str">
        <f t="shared" si="731"/>
        <v>NO APLICA</v>
      </c>
      <c r="JJ235" s="16"/>
      <c r="JK235" s="16"/>
      <c r="JL235" s="16"/>
      <c r="JM235" s="15" t="str">
        <f t="shared" si="732"/>
        <v>NO APLICA</v>
      </c>
      <c r="JN235" s="16"/>
      <c r="JO235" s="16"/>
      <c r="JP235" s="16"/>
      <c r="JQ235" s="15" t="str">
        <f t="shared" si="733"/>
        <v>NO APLICA</v>
      </c>
      <c r="JR235" s="16"/>
      <c r="JS235" s="16"/>
      <c r="JT235" s="16"/>
      <c r="JU235" s="16"/>
      <c r="JV235" s="15" t="str">
        <f t="shared" si="734"/>
        <v>NO APLICA</v>
      </c>
      <c r="JW235" s="15"/>
      <c r="JX235" s="15"/>
      <c r="JY235" s="15"/>
      <c r="JZ235" s="15"/>
      <c r="KA235" s="15" t="str">
        <f t="shared" si="735"/>
        <v>NO APLICA</v>
      </c>
      <c r="KB235" s="16"/>
      <c r="KC235" s="16"/>
      <c r="KD235" s="16"/>
      <c r="KE235" s="15" t="str">
        <f t="shared" si="736"/>
        <v>NO APLICA</v>
      </c>
      <c r="KF235" s="16"/>
      <c r="KG235" s="16"/>
      <c r="KH235" s="16"/>
      <c r="KI235" s="15" t="str">
        <f t="shared" si="749"/>
        <v>NO APLICA</v>
      </c>
      <c r="KJ235" s="16"/>
      <c r="KK235" s="16"/>
      <c r="KL235" s="16"/>
      <c r="KM235" s="15" t="str">
        <f t="shared" si="737"/>
        <v>NO APLICA</v>
      </c>
      <c r="KN235" s="16"/>
      <c r="KO235" s="16"/>
      <c r="KP235" s="16"/>
      <c r="KQ235" s="15" t="str">
        <f t="shared" si="750"/>
        <v>NO APLICA</v>
      </c>
      <c r="KR235" s="16"/>
      <c r="KS235" s="16"/>
      <c r="KT235" s="16"/>
      <c r="KU235" s="16"/>
      <c r="KV235" s="15" t="str">
        <f t="shared" si="755"/>
        <v>NO APLICA</v>
      </c>
      <c r="KW235" s="16"/>
      <c r="KX235" s="16"/>
      <c r="KY235" s="16"/>
      <c r="KZ235" s="15" t="str">
        <f t="shared" si="751"/>
        <v>NO APLICA</v>
      </c>
      <c r="LA235" s="16"/>
      <c r="LB235" s="16"/>
      <c r="LC235" s="16"/>
      <c r="LD235" s="16"/>
      <c r="LE235" s="15" t="str">
        <f t="shared" si="764"/>
        <v>NO APLICA</v>
      </c>
      <c r="LF235" s="15"/>
      <c r="LG235" s="15"/>
      <c r="LH235" s="14"/>
      <c r="LI235" s="65"/>
      <c r="LJ235" s="15" t="str">
        <f t="shared" si="756"/>
        <v>NO APLICA</v>
      </c>
      <c r="LK235" s="16"/>
      <c r="LL235" s="16"/>
      <c r="LM235" s="16"/>
      <c r="LN235" s="16"/>
      <c r="LO235" s="15" t="str">
        <f t="shared" si="752"/>
        <v>NO APLICA</v>
      </c>
      <c r="LP235" s="16"/>
      <c r="LQ235" s="16"/>
      <c r="LR235" s="16"/>
      <c r="LS235" s="16"/>
      <c r="LT235" s="15" t="str">
        <f t="shared" si="753"/>
        <v>NO APLICA</v>
      </c>
      <c r="LU235" s="16"/>
      <c r="LV235" s="16"/>
      <c r="LW235" s="16"/>
      <c r="LX235" s="16"/>
      <c r="LY235" s="15" t="str">
        <f t="shared" si="754"/>
        <v>NO APLICA</v>
      </c>
      <c r="LZ235" s="16"/>
      <c r="MA235" s="16"/>
      <c r="MB235" s="16"/>
      <c r="MC235" s="16"/>
      <c r="MD235" s="15" t="str">
        <f t="shared" si="738"/>
        <v>NO APLICA</v>
      </c>
      <c r="ME235" s="16"/>
      <c r="MF235" s="16"/>
      <c r="MG235" s="16"/>
      <c r="MH235" s="16"/>
      <c r="MI235" s="15" t="str">
        <f t="shared" si="739"/>
        <v>NO APLICA</v>
      </c>
      <c r="MJ235" s="16"/>
      <c r="MK235" s="16"/>
      <c r="ML235" s="16"/>
      <c r="MM235" s="15" t="str">
        <f t="shared" si="740"/>
        <v>NO APLICA</v>
      </c>
      <c r="MN235" s="16"/>
      <c r="MO235" s="16"/>
      <c r="MP235" s="16"/>
      <c r="MQ235" s="15" t="str">
        <f t="shared" si="741"/>
        <v>NO APLICA</v>
      </c>
      <c r="MR235" s="16"/>
      <c r="MS235" s="16"/>
      <c r="MT235" s="16"/>
      <c r="MU235" s="16"/>
      <c r="MV235" s="15" t="str">
        <f t="shared" si="742"/>
        <v>NO APLICA</v>
      </c>
      <c r="MW235" s="16"/>
      <c r="MX235" s="16"/>
      <c r="MY235" s="16"/>
      <c r="MZ235" s="16"/>
      <c r="NA235" s="15" t="str">
        <f t="shared" si="743"/>
        <v>NO APLICA</v>
      </c>
      <c r="NB235" s="16"/>
      <c r="NC235" s="16"/>
      <c r="ND235" s="16"/>
      <c r="NE235" s="16"/>
      <c r="NF235" s="15" t="str">
        <f t="shared" si="744"/>
        <v>NO APLICA</v>
      </c>
      <c r="NG235" s="16"/>
      <c r="NH235" s="16"/>
      <c r="NI235" s="16"/>
      <c r="NJ235" s="16"/>
      <c r="NK235" s="15" t="str">
        <f t="shared" si="745"/>
        <v>NO APLICA</v>
      </c>
      <c r="NL235" s="16"/>
      <c r="NM235" s="16"/>
      <c r="NN235" s="16"/>
      <c r="NO235" s="16"/>
      <c r="NP235" s="15" t="str">
        <f t="shared" si="746"/>
        <v>NO APLICA</v>
      </c>
      <c r="NQ235" s="16"/>
      <c r="NR235" s="16"/>
      <c r="NS235" s="16"/>
      <c r="NT235" s="16"/>
      <c r="NU235" s="15" t="str">
        <f t="shared" si="747"/>
        <v>NO APLICA</v>
      </c>
      <c r="NV235" s="16"/>
      <c r="NW235" s="16"/>
      <c r="NX235" s="16"/>
      <c r="NY235" s="16"/>
      <c r="NZ235" s="15" t="str">
        <f t="shared" si="748"/>
        <v>NO APLICA</v>
      </c>
    </row>
    <row r="236" spans="1:390" ht="15.6" thickTop="1" thickBot="1" x14ac:dyDescent="0.35">
      <c r="A236" s="11">
        <v>1675</v>
      </c>
      <c r="B236" s="10" t="s">
        <v>757</v>
      </c>
      <c r="C236" s="21" t="s">
        <v>675</v>
      </c>
      <c r="D236" s="64" t="s">
        <v>708</v>
      </c>
      <c r="E236" s="13"/>
      <c r="F236" s="14"/>
      <c r="G236" s="14"/>
      <c r="H236" s="65"/>
      <c r="I236" s="15" t="str">
        <f t="shared" si="688"/>
        <v>NO APLICA</v>
      </c>
      <c r="J236" s="12"/>
      <c r="K236" s="12"/>
      <c r="L236" s="12"/>
      <c r="M236" s="12"/>
      <c r="N236" s="15" t="str">
        <f t="shared" si="691"/>
        <v>NO APLICA</v>
      </c>
      <c r="O236" s="16"/>
      <c r="P236" s="16"/>
      <c r="Q236" s="14"/>
      <c r="R236" s="65"/>
      <c r="S236" s="15" t="str">
        <f t="shared" si="689"/>
        <v>NO APLICA</v>
      </c>
      <c r="T236" s="12"/>
      <c r="U236" s="13"/>
      <c r="V236" s="14"/>
      <c r="W236" s="14"/>
      <c r="X236" s="65"/>
      <c r="Y236" s="15" t="str">
        <f>IF(X236&gt;=90,"VIGENTE",IF(X236&gt;=1,"POR VENCER",IF(X236&lt;=-1,"VENCIDA",IF(V236=0,"NO APLICA"))))</f>
        <v>NO APLICA</v>
      </c>
      <c r="Z236" s="12"/>
      <c r="AA236" s="12"/>
      <c r="AB236" s="16"/>
      <c r="AC236" s="14"/>
      <c r="AD236" s="65"/>
      <c r="AE236" s="15" t="str">
        <f t="shared" si="598"/>
        <v>NO APLICA</v>
      </c>
      <c r="AF236" s="12"/>
      <c r="AG236" s="14"/>
      <c r="AH236" s="14"/>
      <c r="AI236" s="16"/>
      <c r="AJ236" s="15" t="str">
        <f t="shared" si="763"/>
        <v>NO APLICA</v>
      </c>
      <c r="AK236" s="12"/>
      <c r="AL236" s="14"/>
      <c r="AM236" s="14"/>
      <c r="AN236" s="65"/>
      <c r="AO236" s="15" t="str">
        <f t="shared" si="692"/>
        <v>NO APLICA</v>
      </c>
      <c r="AP236" s="12"/>
      <c r="AQ236" s="14"/>
      <c r="AR236" s="14"/>
      <c r="AS236" s="65"/>
      <c r="AT236" s="15" t="str">
        <f t="shared" si="693"/>
        <v>NO APLICA</v>
      </c>
      <c r="AU236" s="12"/>
      <c r="AV236" s="14"/>
      <c r="AW236" s="14"/>
      <c r="AX236" s="65"/>
      <c r="AY236" s="15" t="str">
        <f t="shared" si="694"/>
        <v>NO APLICA</v>
      </c>
      <c r="AZ236" s="13"/>
      <c r="BA236" s="14"/>
      <c r="BB236" s="14"/>
      <c r="BC236" s="65"/>
      <c r="BD236" s="15" t="str">
        <f t="shared" si="695"/>
        <v>NO APLICA</v>
      </c>
      <c r="BE236" s="12"/>
      <c r="BF236" s="14"/>
      <c r="BG236" s="14"/>
      <c r="BH236" s="65"/>
      <c r="BI236" s="15" t="str">
        <f t="shared" si="696"/>
        <v>NO APLICA</v>
      </c>
      <c r="BJ236" s="13"/>
      <c r="BK236" s="14"/>
      <c r="BL236" s="14"/>
      <c r="BM236" s="65"/>
      <c r="BN236" s="15" t="str">
        <f t="shared" si="697"/>
        <v>NO APLICA</v>
      </c>
      <c r="BO236" s="13"/>
      <c r="BP236" s="14"/>
      <c r="BQ236" s="14"/>
      <c r="BR236" s="65"/>
      <c r="BS236" s="15" t="str">
        <f t="shared" si="698"/>
        <v>NO APLICA</v>
      </c>
      <c r="BT236" s="12"/>
      <c r="BU236" s="14"/>
      <c r="BV236" s="14"/>
      <c r="BW236" s="65"/>
      <c r="BX236" s="15" t="str">
        <f t="shared" si="699"/>
        <v>NO APLICA</v>
      </c>
      <c r="BY236" s="12"/>
      <c r="BZ236" s="14"/>
      <c r="CA236" s="14"/>
      <c r="CB236" s="65"/>
      <c r="CC236" s="15" t="str">
        <f t="shared" si="700"/>
        <v>NO APLICA</v>
      </c>
      <c r="CD236" s="16"/>
      <c r="CE236" s="14"/>
      <c r="CF236" s="14"/>
      <c r="CG236" s="14"/>
      <c r="CH236" s="65"/>
      <c r="CI236" s="15" t="str">
        <f t="shared" si="758"/>
        <v>NO APLICA</v>
      </c>
      <c r="CJ236" s="16"/>
      <c r="CK236" s="14"/>
      <c r="CL236" s="14"/>
      <c r="CM236" s="65"/>
      <c r="CN236" s="15" t="str">
        <f t="shared" si="701"/>
        <v>NO APLICA</v>
      </c>
      <c r="CO236" s="12"/>
      <c r="CP236" s="14"/>
      <c r="CQ236" s="14"/>
      <c r="CR236" s="65"/>
      <c r="CS236" s="15" t="str">
        <f t="shared" si="702"/>
        <v>NO APLICA</v>
      </c>
      <c r="CT236" s="12"/>
      <c r="CU236" s="14"/>
      <c r="CV236" s="14"/>
      <c r="CW236" s="65"/>
      <c r="CX236" s="15" t="str">
        <f t="shared" si="703"/>
        <v>NO APLICA</v>
      </c>
      <c r="CY236" s="13"/>
      <c r="CZ236" s="14"/>
      <c r="DA236" s="14"/>
      <c r="DB236" s="65"/>
      <c r="DC236" s="15" t="str">
        <f t="shared" si="704"/>
        <v>NO APLICA</v>
      </c>
      <c r="DD236" s="13"/>
      <c r="DE236" s="14"/>
      <c r="DF236" s="14"/>
      <c r="DG236" s="65"/>
      <c r="DH236" s="15" t="str">
        <f t="shared" si="705"/>
        <v>NO APLICA</v>
      </c>
      <c r="DI236" s="12"/>
      <c r="DJ236" s="14"/>
      <c r="DK236" s="14"/>
      <c r="DL236" s="65"/>
      <c r="DM236" s="15" t="str">
        <f t="shared" si="706"/>
        <v>NO APLICA</v>
      </c>
      <c r="DN236" s="13"/>
      <c r="DO236" s="14"/>
      <c r="DP236" s="14"/>
      <c r="DQ236" s="65"/>
      <c r="DR236" s="15" t="str">
        <f t="shared" si="707"/>
        <v>NO APLICA</v>
      </c>
      <c r="DS236" s="12"/>
      <c r="DT236" s="14"/>
      <c r="DU236" s="14"/>
      <c r="DV236" s="65"/>
      <c r="DW236" s="15" t="str">
        <f t="shared" si="708"/>
        <v>NO APLICA</v>
      </c>
      <c r="DX236" s="13"/>
      <c r="DY236" s="14"/>
      <c r="DZ236" s="14"/>
      <c r="EA236" s="65"/>
      <c r="EB236" s="15" t="str">
        <f t="shared" si="709"/>
        <v>NO APLICA</v>
      </c>
      <c r="EC236" s="13"/>
      <c r="ED236" s="14"/>
      <c r="EE236" s="14"/>
      <c r="EF236" s="65"/>
      <c r="EG236" s="15" t="str">
        <f t="shared" si="710"/>
        <v>NO APLICA</v>
      </c>
      <c r="EH236" s="13"/>
      <c r="EI236" s="12"/>
      <c r="EJ236" s="12"/>
      <c r="EK236" s="14"/>
      <c r="EL236" s="14"/>
      <c r="EM236" s="65"/>
      <c r="EN236" s="15" t="str">
        <f t="shared" si="711"/>
        <v>NO APLICA</v>
      </c>
      <c r="EO236" s="13"/>
      <c r="EP236" s="14"/>
      <c r="EQ236" s="14"/>
      <c r="ER236" s="65"/>
      <c r="ES236" s="15" t="str">
        <f t="shared" si="712"/>
        <v>NO APLICA</v>
      </c>
      <c r="ET236" s="12"/>
      <c r="EU236" s="14"/>
      <c r="EV236" s="14"/>
      <c r="EW236" s="65"/>
      <c r="EX236" s="15" t="str">
        <f t="shared" si="713"/>
        <v>NO APLICA</v>
      </c>
      <c r="EY236" s="12"/>
      <c r="EZ236" s="14"/>
      <c r="FA236" s="14"/>
      <c r="FB236" s="65"/>
      <c r="FC236" s="15" t="str">
        <f t="shared" si="714"/>
        <v>NO APLICA</v>
      </c>
      <c r="FD236" s="12"/>
      <c r="FE236" s="14"/>
      <c r="FF236" s="14"/>
      <c r="FG236" s="65"/>
      <c r="FH236" s="15" t="str">
        <f t="shared" si="715"/>
        <v>NO APLICA</v>
      </c>
      <c r="FI236" s="12"/>
      <c r="FJ236" s="14"/>
      <c r="FK236" s="14"/>
      <c r="FL236" s="65"/>
      <c r="FM236" s="15" t="str">
        <f t="shared" si="716"/>
        <v>NO APLICA</v>
      </c>
      <c r="FN236" s="13"/>
      <c r="FO236" s="14"/>
      <c r="FP236" s="14"/>
      <c r="FQ236" s="65"/>
      <c r="FR236" s="15" t="str">
        <f t="shared" si="717"/>
        <v>NO APLICA</v>
      </c>
      <c r="FS236" s="13"/>
      <c r="FT236" s="14"/>
      <c r="FU236" s="14"/>
      <c r="FV236" s="65"/>
      <c r="FW236" s="15" t="str">
        <f t="shared" si="718"/>
        <v>NO APLICA</v>
      </c>
      <c r="FX236" s="13"/>
      <c r="FY236" s="14"/>
      <c r="FZ236" s="14"/>
      <c r="GA236" s="65"/>
      <c r="GB236" s="15" t="str">
        <f t="shared" si="719"/>
        <v>NO APLICA</v>
      </c>
      <c r="GC236" s="13"/>
      <c r="GD236" s="14"/>
      <c r="GE236" s="14"/>
      <c r="GF236" s="65"/>
      <c r="GG236" s="15" t="str">
        <f t="shared" si="720"/>
        <v>NO APLICA</v>
      </c>
      <c r="GH236" s="13"/>
      <c r="GI236" s="14"/>
      <c r="GJ236" s="14"/>
      <c r="GK236" s="65"/>
      <c r="GL236" s="15" t="str">
        <f t="shared" si="721"/>
        <v>NO APLICA</v>
      </c>
      <c r="GM236" s="13"/>
      <c r="GN236" s="14"/>
      <c r="GO236" s="14"/>
      <c r="GP236" s="65"/>
      <c r="GQ236" s="15" t="str">
        <f t="shared" si="722"/>
        <v>NO APLICA</v>
      </c>
      <c r="GR236" s="14"/>
      <c r="GS236" s="14"/>
      <c r="GT236" s="14"/>
      <c r="GU236" s="65"/>
      <c r="GV236" s="15" t="str">
        <f t="shared" si="601"/>
        <v>NO APLICA</v>
      </c>
      <c r="GW236" s="13"/>
      <c r="GX236" s="14"/>
      <c r="GY236" s="14"/>
      <c r="GZ236" s="65"/>
      <c r="HA236" s="15" t="str">
        <f t="shared" si="602"/>
        <v>NO APLICA</v>
      </c>
      <c r="HB236" s="12"/>
      <c r="HC236" s="14"/>
      <c r="HD236" s="14"/>
      <c r="HE236" s="65"/>
      <c r="HF236" s="15" t="str">
        <f t="shared" si="603"/>
        <v>NO APLICA</v>
      </c>
      <c r="HG236" s="16"/>
      <c r="HH236" s="16"/>
      <c r="HI236" s="14"/>
      <c r="HJ236" s="65"/>
      <c r="HK236" s="15" t="str">
        <f t="shared" si="690"/>
        <v>NO APLICA</v>
      </c>
      <c r="HL236" s="12"/>
      <c r="HM236" s="16"/>
      <c r="HN236" s="14"/>
      <c r="HO236" s="65"/>
      <c r="HP236" s="15" t="str">
        <f t="shared" si="686"/>
        <v>NO APLICA</v>
      </c>
      <c r="HQ236" s="12"/>
      <c r="HR236" s="12"/>
      <c r="HS236" s="14"/>
      <c r="HT236" s="12"/>
      <c r="HU236" s="15" t="str">
        <f t="shared" si="723"/>
        <v>NO APLICA</v>
      </c>
      <c r="HV236" s="12"/>
      <c r="HW236" s="16"/>
      <c r="HX236" s="14"/>
      <c r="HY236" s="65"/>
      <c r="HZ236" s="15" t="str">
        <f t="shared" si="724"/>
        <v>NO APLICA</v>
      </c>
      <c r="IA236" s="12"/>
      <c r="IB236" s="16"/>
      <c r="IC236" s="14"/>
      <c r="ID236" s="65"/>
      <c r="IE236" s="15" t="str">
        <f t="shared" si="725"/>
        <v>NO APLICA</v>
      </c>
      <c r="IF236" s="12"/>
      <c r="IG236" s="16"/>
      <c r="IH236" s="14"/>
      <c r="II236" s="65"/>
      <c r="IJ236" s="15" t="str">
        <f t="shared" si="726"/>
        <v>NO APLICA</v>
      </c>
      <c r="IK236" s="16"/>
      <c r="IL236" s="16"/>
      <c r="IM236" s="14"/>
      <c r="IN236" s="65"/>
      <c r="IO236" s="15" t="str">
        <f t="shared" si="727"/>
        <v>NO APLICA</v>
      </c>
      <c r="IP236" s="12"/>
      <c r="IQ236" s="16"/>
      <c r="IR236" s="14"/>
      <c r="IS236" s="65"/>
      <c r="IT236" s="15" t="str">
        <f t="shared" si="728"/>
        <v>NO APLICA</v>
      </c>
      <c r="IU236" s="12"/>
      <c r="IV236" s="16"/>
      <c r="IW236" s="14"/>
      <c r="IX236" s="65"/>
      <c r="IY236" s="15" t="str">
        <f t="shared" si="729"/>
        <v>NO APLICA</v>
      </c>
      <c r="IZ236" s="12"/>
      <c r="JA236" s="16"/>
      <c r="JB236" s="14"/>
      <c r="JC236" s="65"/>
      <c r="JD236" s="15" t="str">
        <f t="shared" si="730"/>
        <v>NO APLICA</v>
      </c>
      <c r="JE236" s="13"/>
      <c r="JF236" s="13"/>
      <c r="JG236" s="14"/>
      <c r="JH236" s="65"/>
      <c r="JI236" s="15" t="str">
        <f t="shared" si="731"/>
        <v>NO APLICA</v>
      </c>
      <c r="JJ236" s="16"/>
      <c r="JK236" s="16"/>
      <c r="JL236" s="16"/>
      <c r="JM236" s="15" t="str">
        <f t="shared" si="732"/>
        <v>NO APLICA</v>
      </c>
      <c r="JN236" s="16"/>
      <c r="JO236" s="16"/>
      <c r="JP236" s="16"/>
      <c r="JQ236" s="15" t="str">
        <f t="shared" si="733"/>
        <v>NO APLICA</v>
      </c>
      <c r="JR236" s="16"/>
      <c r="JS236" s="16"/>
      <c r="JT236" s="16"/>
      <c r="JU236" s="16"/>
      <c r="JV236" s="15" t="str">
        <f t="shared" si="734"/>
        <v>NO APLICA</v>
      </c>
      <c r="JW236" s="15"/>
      <c r="JX236" s="13">
        <v>45948</v>
      </c>
      <c r="JY236" s="14">
        <f>DATE(YEAR(JX236)+2,MONTH(JX236),DAY(JX236))</f>
        <v>46678</v>
      </c>
      <c r="JZ236" s="65">
        <f ca="1">JY236-TODAY()</f>
        <v>547</v>
      </c>
      <c r="KA236" s="15" t="str">
        <f ca="1">IF(JZ236&gt;=61,"VIGENTE",IF(JZ236&gt;=1,"POR VENCER",IF(JZ236&lt;=-1,"VENCIDA",IF(JX236=0,"NO APLICA"))))</f>
        <v>VIGENTE</v>
      </c>
      <c r="KB236" s="12"/>
      <c r="KC236" s="14"/>
      <c r="KD236" s="65"/>
      <c r="KE236" s="15" t="str">
        <f t="shared" si="736"/>
        <v>NO APLICA</v>
      </c>
      <c r="KF236" s="12"/>
      <c r="KG236" s="14"/>
      <c r="KH236" s="65"/>
      <c r="KI236" s="15" t="str">
        <f t="shared" si="749"/>
        <v>NO APLICA</v>
      </c>
      <c r="KJ236" s="12"/>
      <c r="KK236" s="14"/>
      <c r="KL236" s="65"/>
      <c r="KM236" s="15" t="str">
        <f t="shared" si="737"/>
        <v>NO APLICA</v>
      </c>
      <c r="KN236" s="12"/>
      <c r="KO236" s="14"/>
      <c r="KP236" s="65"/>
      <c r="KQ236" s="15" t="str">
        <f t="shared" si="750"/>
        <v>NO APLICA</v>
      </c>
      <c r="KR236" s="12"/>
      <c r="KS236" s="16"/>
      <c r="KT236" s="14"/>
      <c r="KU236" s="65"/>
      <c r="KV236" s="15" t="str">
        <f t="shared" si="755"/>
        <v>NO APLICA</v>
      </c>
      <c r="KW236" s="16"/>
      <c r="KX236" s="14"/>
      <c r="KY236" s="65"/>
      <c r="KZ236" s="15" t="str">
        <f t="shared" si="751"/>
        <v>NO APLICA</v>
      </c>
      <c r="LA236" s="16"/>
      <c r="LB236" s="16"/>
      <c r="LC236" s="14"/>
      <c r="LD236" s="65"/>
      <c r="LE236" s="15" t="str">
        <f t="shared" si="764"/>
        <v>NO APLICA</v>
      </c>
      <c r="LF236" s="15"/>
      <c r="LG236" s="15"/>
      <c r="LH236" s="14"/>
      <c r="LI236" s="65"/>
      <c r="LJ236" s="15" t="str">
        <f t="shared" si="756"/>
        <v>NO APLICA</v>
      </c>
      <c r="LK236" s="12"/>
      <c r="LL236" s="16"/>
      <c r="LM236" s="14"/>
      <c r="LN236" s="65"/>
      <c r="LO236" s="15" t="str">
        <f t="shared" si="752"/>
        <v>NO APLICA</v>
      </c>
      <c r="LP236" s="16"/>
      <c r="LQ236" s="16"/>
      <c r="LR236" s="14"/>
      <c r="LS236" s="65"/>
      <c r="LT236" s="15" t="str">
        <f t="shared" si="753"/>
        <v>NO APLICA</v>
      </c>
      <c r="LU236" s="16"/>
      <c r="LV236" s="16"/>
      <c r="LW236" s="14"/>
      <c r="LX236" s="65"/>
      <c r="LY236" s="15" t="str">
        <f t="shared" si="754"/>
        <v>NO APLICA</v>
      </c>
      <c r="LZ236" s="12"/>
      <c r="MA236" s="12"/>
      <c r="MB236" s="14"/>
      <c r="MC236" s="65"/>
      <c r="MD236" s="15" t="str">
        <f t="shared" si="738"/>
        <v>NO APLICA</v>
      </c>
      <c r="ME236" s="12"/>
      <c r="MF236" s="12"/>
      <c r="MG236" s="14"/>
      <c r="MH236" s="65"/>
      <c r="MI236" s="15" t="str">
        <f t="shared" si="739"/>
        <v>NO APLICA</v>
      </c>
      <c r="MJ236" s="12"/>
      <c r="MK236" s="14"/>
      <c r="ML236" s="65"/>
      <c r="MM236" s="15" t="str">
        <f t="shared" si="740"/>
        <v>NO APLICA</v>
      </c>
      <c r="MN236" s="12"/>
      <c r="MO236" s="14"/>
      <c r="MP236" s="12"/>
      <c r="MQ236" s="15" t="str">
        <f t="shared" si="741"/>
        <v>NO APLICA</v>
      </c>
      <c r="MR236" s="12"/>
      <c r="MS236" s="16"/>
      <c r="MT236" s="14"/>
      <c r="MU236" s="65"/>
      <c r="MV236" s="15" t="str">
        <f t="shared" si="742"/>
        <v>NO APLICA</v>
      </c>
      <c r="MW236" s="12"/>
      <c r="MX236" s="16"/>
      <c r="MY236" s="14"/>
      <c r="MZ236" s="65"/>
      <c r="NA236" s="15" t="str">
        <f t="shared" si="743"/>
        <v>NO APLICA</v>
      </c>
      <c r="NB236" s="12"/>
      <c r="NC236" s="16"/>
      <c r="ND236" s="14"/>
      <c r="NE236" s="65"/>
      <c r="NF236" s="15" t="str">
        <f t="shared" si="744"/>
        <v>NO APLICA</v>
      </c>
      <c r="NG236" s="12"/>
      <c r="NH236" s="12"/>
      <c r="NI236" s="14"/>
      <c r="NJ236" s="65"/>
      <c r="NK236" s="15" t="str">
        <f t="shared" si="745"/>
        <v>NO APLICA</v>
      </c>
      <c r="NL236" s="12"/>
      <c r="NM236" s="12"/>
      <c r="NN236" s="14"/>
      <c r="NO236" s="12"/>
      <c r="NP236" s="15" t="str">
        <f t="shared" si="746"/>
        <v>NO APLICA</v>
      </c>
      <c r="NQ236" s="16"/>
      <c r="NR236" s="16"/>
      <c r="NS236" s="14"/>
      <c r="NT236" s="65"/>
      <c r="NU236" s="15" t="str">
        <f t="shared" si="747"/>
        <v>NO APLICA</v>
      </c>
      <c r="NV236" s="16"/>
      <c r="NW236" s="16"/>
      <c r="NX236" s="16"/>
      <c r="NY236" s="16"/>
      <c r="NZ236" s="15" t="str">
        <f t="shared" si="748"/>
        <v>NO APLICA</v>
      </c>
    </row>
    <row r="237" spans="1:390" ht="15.6" thickTop="1" thickBot="1" x14ac:dyDescent="0.35">
      <c r="A237" s="11">
        <v>1206</v>
      </c>
      <c r="B237" s="10" t="s">
        <v>758</v>
      </c>
      <c r="C237" s="21" t="s">
        <v>151</v>
      </c>
      <c r="D237" s="64" t="s">
        <v>759</v>
      </c>
      <c r="E237" s="13">
        <v>46118</v>
      </c>
      <c r="F237" s="14">
        <v>46119</v>
      </c>
      <c r="G237" s="14">
        <f>DATE(YEAR(F237)+2,MONTH(F237),DAY(F237))</f>
        <v>46850</v>
      </c>
      <c r="H237" s="65">
        <f ca="1">G237-TODAY()</f>
        <v>719</v>
      </c>
      <c r="I237" s="15" t="str">
        <f t="shared" ca="1" si="688"/>
        <v>VIGENTE</v>
      </c>
      <c r="J237" s="12"/>
      <c r="K237" s="12"/>
      <c r="L237" s="12"/>
      <c r="M237" s="12"/>
      <c r="N237" s="15" t="str">
        <f t="shared" si="691"/>
        <v>NO APLICA</v>
      </c>
      <c r="O237" s="16"/>
      <c r="P237" s="16"/>
      <c r="Q237" s="14"/>
      <c r="R237" s="65"/>
      <c r="S237" s="15" t="str">
        <f t="shared" si="689"/>
        <v>NO APLICA</v>
      </c>
      <c r="T237" s="12" t="s">
        <v>760</v>
      </c>
      <c r="U237" s="13">
        <v>46068</v>
      </c>
      <c r="V237" s="14">
        <v>46069</v>
      </c>
      <c r="W237" s="14">
        <f>DATE(YEAR(V237)+5,MONTH(V237),DAY(V237))</f>
        <v>47895</v>
      </c>
      <c r="X237" s="65">
        <f ca="1">W237-TODAY()</f>
        <v>1764</v>
      </c>
      <c r="Y237" s="15" t="str">
        <f ca="1">IF(X237&gt;=90,"VIGENTE",IF(X237&gt;=1,"POR VENCER",IF(X237&lt;=-1,"VENCIDA",IF(V237=0,"NO APLICA"))))</f>
        <v>VIGENTE</v>
      </c>
      <c r="Z237" s="12"/>
      <c r="AA237" s="12"/>
      <c r="AB237" s="16"/>
      <c r="AC237" s="14"/>
      <c r="AD237" s="65"/>
      <c r="AE237" s="15" t="str">
        <f t="shared" si="598"/>
        <v>NO APLICA</v>
      </c>
      <c r="AF237" s="12"/>
      <c r="AG237" s="14">
        <v>46085</v>
      </c>
      <c r="AH237" s="14">
        <f>DATE(YEAR(AG237)+2,MONTH(AG237),DAY(AG237))</f>
        <v>46816</v>
      </c>
      <c r="AI237" s="65">
        <f ca="1">AH237-TODAY()</f>
        <v>685</v>
      </c>
      <c r="AJ237" s="15" t="str">
        <f ca="1">IF(AI237&gt;=91,"VIGENTE",IF(AI237&gt;=1,"POR VENCER",IF(AI237&lt;=-1,"VENCIDA",IF(AG237=0,"NO APLICA"))))</f>
        <v>VIGENTE</v>
      </c>
      <c r="AK237" s="12"/>
      <c r="AL237" s="14">
        <v>46084</v>
      </c>
      <c r="AM237" s="14">
        <f>DATE(YEAR(AL237)+2,MONTH(AL237),DAY(AL237))</f>
        <v>46815</v>
      </c>
      <c r="AN237" s="65">
        <f ca="1">AM237-TODAY()</f>
        <v>684</v>
      </c>
      <c r="AO237" s="15" t="str">
        <f ca="1">IF(AN237&gt;=91,"VIGENTE",IF(AN237&gt;=1,"POR VENCER",IF(AN237&lt;=-1,"VENCIDA",IF(AL237=0,"NO APLICA"))))</f>
        <v>VIGENTE</v>
      </c>
      <c r="AP237" s="12"/>
      <c r="AQ237" s="14">
        <v>46048</v>
      </c>
      <c r="AR237" s="14">
        <f>DATE(YEAR(AQ237)+2,MONTH(AQ237),DAY(AQ237))</f>
        <v>46778</v>
      </c>
      <c r="AS237" s="65">
        <f ca="1">AR237-TODAY()</f>
        <v>647</v>
      </c>
      <c r="AT237" s="15" t="str">
        <f ca="1">IF(AS237&gt;=91,"VIGENTE",IF(AS237&gt;=1,"POR VENCER",IF(AS237&lt;=-1,"VENCIDA",IF(AQ237=0,"NO APLICA"))))</f>
        <v>VIGENTE</v>
      </c>
      <c r="AU237" s="12"/>
      <c r="AV237" s="14">
        <v>46070</v>
      </c>
      <c r="AW237" s="14">
        <f>DATE(YEAR(AV237)+2,MONTH(AV237),DAY(AV237))</f>
        <v>46800</v>
      </c>
      <c r="AX237" s="65">
        <f ca="1">AW237-TODAY()</f>
        <v>669</v>
      </c>
      <c r="AY237" s="15" t="str">
        <f ca="1">IF(AX237&gt;=91,"VIGENTE",IF(AX237&gt;=1,"POR VENCER",IF(AX237&lt;=-1,"VENCIDA",IF(AV237=0,"NO APLICA"))))</f>
        <v>VIGENTE</v>
      </c>
      <c r="AZ237" s="13"/>
      <c r="BA237" s="14">
        <v>46041</v>
      </c>
      <c r="BB237" s="14">
        <f>DATE(YEAR(BA237)+2,MONTH(BA237),DAY(BA237))</f>
        <v>46771</v>
      </c>
      <c r="BC237" s="65">
        <f ca="1">BB237-TODAY()</f>
        <v>640</v>
      </c>
      <c r="BD237" s="15" t="str">
        <f ca="1">IF(BC237&gt;=91,"VIGENTE",IF(BC237&gt;=1,"POR VENCER",IF(BC237&lt;=-1,"VENCIDA",IF(BA237=0,"NO APLICA"))))</f>
        <v>VIGENTE</v>
      </c>
      <c r="BE237" s="12"/>
      <c r="BF237" s="14">
        <v>46067</v>
      </c>
      <c r="BG237" s="14">
        <f>DATE(YEAR(BF237)+2,MONTH(BF237),DAY(BF237))</f>
        <v>46797</v>
      </c>
      <c r="BH237" s="65">
        <f ca="1">BG237-TODAY()</f>
        <v>666</v>
      </c>
      <c r="BI237" s="15" t="str">
        <f ca="1">IF(BH237&gt;=91,"VIGENTE",IF(BH237&gt;=1,"POR VENCER",IF(BH237&lt;=-1,"VENCIDA",IF(BF237=0,"NO APLICA"))))</f>
        <v>VIGENTE</v>
      </c>
      <c r="BJ237" s="13"/>
      <c r="BK237" s="14">
        <v>46035</v>
      </c>
      <c r="BL237" s="14">
        <f>DATE(YEAR(BK237)+2,MONTH(BK237),DAY(BK237))</f>
        <v>46765</v>
      </c>
      <c r="BM237" s="65">
        <f ca="1">BL237-TODAY()</f>
        <v>634</v>
      </c>
      <c r="BN237" s="15" t="str">
        <f ca="1">IF(BM237&gt;=91,"VIGENTE",IF(BM237&gt;=1,"POR VENCER",IF(BM237&lt;=-1,"VENCIDA",IF(BK237=0,"NO APLICA"))))</f>
        <v>VIGENTE</v>
      </c>
      <c r="BO237" s="13"/>
      <c r="BP237" s="14">
        <v>46050</v>
      </c>
      <c r="BQ237" s="14">
        <f>DATE(YEAR(BP237)+2,MONTH(BP237),DAY(BP237))</f>
        <v>46780</v>
      </c>
      <c r="BR237" s="65">
        <f ca="1">BQ237-TODAY()</f>
        <v>649</v>
      </c>
      <c r="BS237" s="15" t="str">
        <f ca="1">IF(BR237&gt;=91,"VIGENTE",IF(BR237&gt;=1,"POR VENCER",IF(BR237&lt;=-1,"VENCIDA",IF(BP237=0,"NO APLICA"))))</f>
        <v>VIGENTE</v>
      </c>
      <c r="BT237" s="12"/>
      <c r="BU237" s="14">
        <v>46063</v>
      </c>
      <c r="BV237" s="14">
        <f>DATE(YEAR(BU237)+2,MONTH(BU237),DAY(BU237))</f>
        <v>46793</v>
      </c>
      <c r="BW237" s="65">
        <f ca="1">BV237-TODAY()</f>
        <v>662</v>
      </c>
      <c r="BX237" s="15" t="str">
        <f ca="1">IF(BW237&gt;=91,"VIGENTE",IF(BW237&gt;=1,"POR VENCER",IF(BW237&lt;=-1,"VENCIDA",IF(BU237=0,"NO APLICA"))))</f>
        <v>VIGENTE</v>
      </c>
      <c r="BY237" s="12"/>
      <c r="BZ237" s="14">
        <v>46065</v>
      </c>
      <c r="CA237" s="14">
        <f>DATE(YEAR(BZ237)+2,MONTH(BZ237),DAY(BZ237))</f>
        <v>46795</v>
      </c>
      <c r="CB237" s="65">
        <f ca="1">CA237-TODAY()</f>
        <v>664</v>
      </c>
      <c r="CC237" s="15" t="str">
        <f ca="1">IF(CB237&gt;=91,"VIGENTE",IF(CB237&gt;=1,"POR VENCER",IF(CB237&lt;=-1,"VENCIDA",IF(BZ237=0,"NO APLICA"))))</f>
        <v>VIGENTE</v>
      </c>
      <c r="CD237" s="16"/>
      <c r="CE237" s="14">
        <v>44565</v>
      </c>
      <c r="CF237" s="14">
        <v>44566</v>
      </c>
      <c r="CG237" s="14">
        <f>DATE(YEAR(CF237)+4,MONTH(CF237),DAY(CF237))</f>
        <v>46027</v>
      </c>
      <c r="CH237" s="65">
        <f ca="1">CG237-TODAY()</f>
        <v>-104</v>
      </c>
      <c r="CI237" s="15" t="str">
        <f ca="1">IF(CH237&gt;=90,"VIGENTE",IF(CH237&gt;=1,"POR VENCER",IF(CH237&lt;=-1,"VENCIDA",IF(CH237=0,"NO APLICA"))))</f>
        <v>VENCIDA</v>
      </c>
      <c r="CJ237" s="16"/>
      <c r="CK237" s="14">
        <v>46064</v>
      </c>
      <c r="CL237" s="14">
        <f>DATE(YEAR(CK237)+2,MONTH(CK237),DAY(CK237))</f>
        <v>46794</v>
      </c>
      <c r="CM237" s="65">
        <f ca="1">CL237-TODAY()</f>
        <v>663</v>
      </c>
      <c r="CN237" s="15" t="str">
        <f ca="1">IF(CM237&gt;=91,"VIGENTE",IF(CM237&gt;=1,"POR VENCER",IF(CM237&lt;=-1,"VENCIDA",IF(CK237=0,"NO APLICA"))))</f>
        <v>VIGENTE</v>
      </c>
      <c r="CO237" s="12"/>
      <c r="CP237" s="14">
        <v>46101</v>
      </c>
      <c r="CQ237" s="14">
        <f>DATE(YEAR(CP237)+2,MONTH(CP237),DAY(CP237))</f>
        <v>46832</v>
      </c>
      <c r="CR237" s="65">
        <f ca="1">CQ237-TODAY()</f>
        <v>701</v>
      </c>
      <c r="CS237" s="15" t="str">
        <f ca="1">IF(CR237&gt;=91,"VIGENTE",IF(CR237&gt;=1,"POR VENCER",IF(CR237&lt;=-1,"VENCIDA",IF(CP237=0,"NO APLICA"))))</f>
        <v>VIGENTE</v>
      </c>
      <c r="CT237" s="12"/>
      <c r="CU237" s="14">
        <v>46081</v>
      </c>
      <c r="CV237" s="14">
        <f>DATE(YEAR(CU237)+2,MONTH(CU237),DAY(CU237))</f>
        <v>46811</v>
      </c>
      <c r="CW237" s="65">
        <f ca="1">CV237-TODAY()</f>
        <v>680</v>
      </c>
      <c r="CX237" s="15" t="str">
        <f ca="1">IF(CW237&gt;=91,"VIGENTE",IF(CW237&gt;=1,"POR VENCER",IF(CW237&lt;=-1,"VENCIDA",IF(CU237=0,"NO APLICA"))))</f>
        <v>VIGENTE</v>
      </c>
      <c r="CY237" s="13"/>
      <c r="CZ237" s="14">
        <v>46046</v>
      </c>
      <c r="DA237" s="14">
        <f>DATE(YEAR(CZ237)+2,MONTH(CZ237),DAY(CZ237))</f>
        <v>46776</v>
      </c>
      <c r="DB237" s="65">
        <f ca="1">DA237-TODAY()</f>
        <v>645</v>
      </c>
      <c r="DC237" s="15" t="str">
        <f ca="1">IF(DB237&gt;=91,"VIGENTE",IF(DB237&gt;=1,"POR VENCER",IF(DB237&lt;=-1,"VENCIDA",IF(CZ237=0,"NO APLICA"))))</f>
        <v>VIGENTE</v>
      </c>
      <c r="DD237" s="13"/>
      <c r="DE237" s="14">
        <v>46066</v>
      </c>
      <c r="DF237" s="14">
        <f>DATE(YEAR(DE237)+2,MONTH(DE237),DAY(DE237))</f>
        <v>46796</v>
      </c>
      <c r="DG237" s="65">
        <f ca="1">DF237-TODAY()</f>
        <v>665</v>
      </c>
      <c r="DH237" s="15" t="str">
        <f ca="1">IF(DG237&gt;=91,"VIGENTE",IF(DG237&gt;=1,"POR VENCER",IF(DG237&lt;=-1,"VENCIDA",IF(DE237=0,"NO APLICA"))))</f>
        <v>VIGENTE</v>
      </c>
      <c r="DI237" s="12"/>
      <c r="DJ237" s="14"/>
      <c r="DK237" s="14">
        <f>DATE(YEAR(DJ237)+2,MONTH(DJ237),DAY(DJ237))</f>
        <v>731</v>
      </c>
      <c r="DL237" s="65">
        <f ca="1">DK237-TODAY()</f>
        <v>-45400</v>
      </c>
      <c r="DM237" s="15" t="str">
        <f ca="1">IF(DL237&gt;=91,"VIGENTE",IF(DL237&gt;=1,"POR VENCER",IF(DL237&lt;=-1,"VENCIDA",IF(DJ237=0,"NO APLICA"))))</f>
        <v>VENCIDA</v>
      </c>
      <c r="DN237" s="13"/>
      <c r="DO237" s="14">
        <v>46088</v>
      </c>
      <c r="DP237" s="14">
        <f>DATE(YEAR(DO237)+2,MONTH(DO237),DAY(DO237))</f>
        <v>46819</v>
      </c>
      <c r="DQ237" s="65">
        <f ca="1">DP237-TODAY()</f>
        <v>688</v>
      </c>
      <c r="DR237" s="15" t="str">
        <f ca="1">IF(DQ237&gt;=91,"VIGENTE",IF(DQ237&gt;=1,"POR VENCER",IF(DQ237&lt;=-1,"VENCIDA",IF(DO237=0,"NO APLICA"))))</f>
        <v>VIGENTE</v>
      </c>
      <c r="DS237" s="12"/>
      <c r="DT237" s="14">
        <v>46072</v>
      </c>
      <c r="DU237" s="14">
        <f>DATE(YEAR(DT237)+2,MONTH(DT237),DAY(DT237))</f>
        <v>46802</v>
      </c>
      <c r="DV237" s="65">
        <f ca="1">DU237-TODAY()</f>
        <v>671</v>
      </c>
      <c r="DW237" s="15" t="str">
        <f ca="1">IF(DV237&gt;=91,"VIGENTE",IF(DV237&gt;=1,"POR VENCER",IF(DV237&lt;=-1,"VENCIDA",IF(DT237=0,"NO APLICA"))))</f>
        <v>VIGENTE</v>
      </c>
      <c r="DX237" s="13"/>
      <c r="DY237" s="14">
        <v>46099</v>
      </c>
      <c r="DZ237" s="14">
        <f>DATE(YEAR(DY237)+2,MONTH(DY237),DAY(DY237))</f>
        <v>46830</v>
      </c>
      <c r="EA237" s="65">
        <f ca="1">DZ237-TODAY()</f>
        <v>699</v>
      </c>
      <c r="EB237" s="15" t="str">
        <f ca="1">IF(EA237&gt;=91,"VIGENTE",IF(EA237&gt;=1,"POR VENCER",IF(EA237&lt;=-1,"VENCIDA",IF(DY237=0,"NO APLICA"))))</f>
        <v>VIGENTE</v>
      </c>
      <c r="EC237" s="13"/>
      <c r="ED237" s="14">
        <v>46104</v>
      </c>
      <c r="EE237" s="14">
        <f>DATE(YEAR(ED237)+2,MONTH(ED237),DAY(ED237))</f>
        <v>46835</v>
      </c>
      <c r="EF237" s="65">
        <f ca="1">EE237-TODAY()</f>
        <v>704</v>
      </c>
      <c r="EG237" s="15" t="str">
        <f ca="1">IF(EF237&gt;=91,"VIGENTE",IF(EF237&gt;=1,"POR VENCER",IF(EF237&lt;=-1,"VENCIDA",IF(ED237=0,"NO APLICA"))))</f>
        <v>VIGENTE</v>
      </c>
      <c r="EH237" s="13"/>
      <c r="EI237" s="13">
        <v>46058</v>
      </c>
      <c r="EJ237" s="13">
        <v>46059</v>
      </c>
      <c r="EK237" s="13">
        <v>46060</v>
      </c>
      <c r="EL237" s="14">
        <f t="shared" si="760"/>
        <v>46425</v>
      </c>
      <c r="EM237" s="65">
        <f ca="1">EL237-TODAY()</f>
        <v>294</v>
      </c>
      <c r="EN237" s="15" t="str">
        <f ca="1">IF(EM237&gt;=91,"VIGENTE",IF(EM237&gt;=1,"POR VENCER",IF(EM237&lt;=-1,"VENCIDA",IF(EK237=0,"NO APLICA"))))</f>
        <v>VIGENTE</v>
      </c>
      <c r="EO237" s="13"/>
      <c r="EP237" s="14">
        <v>46100</v>
      </c>
      <c r="EQ237" s="14">
        <f>DATE(YEAR(EP237)+2,MONTH(EP237),DAY(EP237))</f>
        <v>46831</v>
      </c>
      <c r="ER237" s="65">
        <f ca="1">EQ237-TODAY()</f>
        <v>700</v>
      </c>
      <c r="ES237" s="15" t="str">
        <f ca="1">IF(ER237&gt;=91,"VIGENTE",IF(ER237&gt;=1,"POR VENCER",IF(ER237&lt;=-1,"VENCIDA",IF(EP237=0,"NO APLICA"))))</f>
        <v>VIGENTE</v>
      </c>
      <c r="ET237" s="12"/>
      <c r="EU237" s="14">
        <v>46062</v>
      </c>
      <c r="EV237" s="14">
        <f>DATE(YEAR(EU237)+2,MONTH(EU237),DAY(EU237))</f>
        <v>46792</v>
      </c>
      <c r="EW237" s="65">
        <f ca="1">EV237-TODAY()</f>
        <v>661</v>
      </c>
      <c r="EX237" s="15" t="str">
        <f ca="1">IF(EW237&gt;=91,"VIGENTE",IF(EW237&gt;=1,"POR VENCER",IF(EW237&lt;=-1,"VENCIDA",IF(EU237=0,"NO APLICA"))))</f>
        <v>VIGENTE</v>
      </c>
      <c r="EY237" s="12"/>
      <c r="EZ237" s="14">
        <v>46086</v>
      </c>
      <c r="FA237" s="14">
        <f>DATE(YEAR(EZ237)+2,MONTH(EZ237),DAY(EZ237))</f>
        <v>46817</v>
      </c>
      <c r="FB237" s="65">
        <f ca="1">FA237-TODAY()</f>
        <v>686</v>
      </c>
      <c r="FC237" s="15" t="str">
        <f ca="1">IF(FB237&gt;=91,"VIGENTE",IF(FB237&gt;=1,"POR VENCER",IF(FB237&lt;=-1,"VENCIDA",IF(EZ237=0,"NO APLICA"))))</f>
        <v>VIGENTE</v>
      </c>
      <c r="FD237" s="12"/>
      <c r="FE237" s="14">
        <v>46091</v>
      </c>
      <c r="FF237" s="14">
        <f>DATE(YEAR(FE237)+2,MONTH(FE237),DAY(FE237))</f>
        <v>46822</v>
      </c>
      <c r="FG237" s="65">
        <f ca="1">FF237-TODAY()</f>
        <v>691</v>
      </c>
      <c r="FH237" s="15" t="str">
        <f ca="1">IF(FG237&gt;=91,"VIGENTE",IF(FG237&gt;=1,"POR VENCER",IF(FG237&lt;=-1,"VENCIDA",IF(FE237=0,"NO APLICA"))))</f>
        <v>VIGENTE</v>
      </c>
      <c r="FI237" s="12"/>
      <c r="FJ237" s="14">
        <v>46074</v>
      </c>
      <c r="FK237" s="14">
        <f>DATE(YEAR(FJ237)+2,MONTH(FJ237),DAY(FJ237))</f>
        <v>46804</v>
      </c>
      <c r="FL237" s="65">
        <f ca="1">FK237-TODAY()</f>
        <v>673</v>
      </c>
      <c r="FM237" s="15" t="str">
        <f ca="1">IF(FL237&gt;=91,"VIGENTE",IF(FL237&gt;=1,"POR VENCER",IF(FL237&lt;=-1,"VENCIDA",IF(FJ237=0,"NO APLICA"))))</f>
        <v>VIGENTE</v>
      </c>
      <c r="FN237" s="13"/>
      <c r="FO237" s="14">
        <v>46049</v>
      </c>
      <c r="FP237" s="14">
        <f>DATE(YEAR(FO237)+2,MONTH(FO237),DAY(FO237))</f>
        <v>46779</v>
      </c>
      <c r="FQ237" s="65">
        <f ca="1">FP237-TODAY()</f>
        <v>648</v>
      </c>
      <c r="FR237" s="15" t="str">
        <f ca="1">IF(FQ237&gt;=91,"VIGENTE",IF(FQ237&gt;=1,"POR VENCER",IF(FQ237&lt;=-1,"VENCIDA",IF(FO237=0,"NO APLICA"))))</f>
        <v>VIGENTE</v>
      </c>
      <c r="FS237" s="13"/>
      <c r="FT237" s="14">
        <v>46080</v>
      </c>
      <c r="FU237" s="14">
        <f>DATE(YEAR(FT237)+2,MONTH(FT237),DAY(FT237))</f>
        <v>46810</v>
      </c>
      <c r="FV237" s="65">
        <f ca="1">FU237-TODAY()</f>
        <v>679</v>
      </c>
      <c r="FW237" s="15" t="str">
        <f ca="1">IF(FV237&gt;=91,"VIGENTE",IF(FV237&gt;=1,"POR VENCER",IF(FV237&lt;=-1,"VENCIDA",IF(FT237=0,"NO APLICA"))))</f>
        <v>VIGENTE</v>
      </c>
      <c r="FX237" s="13"/>
      <c r="FY237" s="14">
        <v>46087</v>
      </c>
      <c r="FZ237" s="14">
        <f>DATE(YEAR(FY237)+2,MONTH(FY237),DAY(FY237))</f>
        <v>46818</v>
      </c>
      <c r="GA237" s="65">
        <f ca="1">FZ237-TODAY()</f>
        <v>687</v>
      </c>
      <c r="GB237" s="15" t="str">
        <f ca="1">IF(GA237&gt;=91,"VIGENTE",IF(GA237&gt;=1,"POR VENCER",IF(GA237&lt;=-1,"VENCIDA",IF(FY237=0,"NO APLICA"))))</f>
        <v>VIGENTE</v>
      </c>
      <c r="GC237" s="13"/>
      <c r="GD237" s="14">
        <v>46073</v>
      </c>
      <c r="GE237" s="14">
        <f>DATE(YEAR(GD237)+2,MONTH(GD237),DAY(GD237))</f>
        <v>46803</v>
      </c>
      <c r="GF237" s="65">
        <f ca="1">GE237-TODAY()</f>
        <v>672</v>
      </c>
      <c r="GG237" s="15" t="str">
        <f ca="1">IF(GF237&gt;=91,"VIGENTE",IF(GF237&gt;=1,"POR VENCER",IF(GF237&lt;=-1,"VENCIDA",IF(GD237=0,"NO APLICA"))))</f>
        <v>VIGENTE</v>
      </c>
      <c r="GH237" s="13"/>
      <c r="GI237" s="14">
        <v>46092</v>
      </c>
      <c r="GJ237" s="14">
        <f>DATE(YEAR(GI237)+2,MONTH(GI237),DAY(GI237))</f>
        <v>46823</v>
      </c>
      <c r="GK237" s="65">
        <f ca="1">GJ237-TODAY()</f>
        <v>692</v>
      </c>
      <c r="GL237" s="15" t="str">
        <f ca="1">IF(GK237&gt;=91,"VIGENTE",IF(GK237&gt;=1,"POR VENCER",IF(GK237&lt;=-1,"VENCIDA",IF(GI237=0,"NO APLICA"))))</f>
        <v>VIGENTE</v>
      </c>
      <c r="GM237" s="13"/>
      <c r="GN237" s="14">
        <v>46071</v>
      </c>
      <c r="GO237" s="14">
        <f>DATE(YEAR(GN237)+2,MONTH(GN237),DAY(GN237))</f>
        <v>46801</v>
      </c>
      <c r="GP237" s="65">
        <f ca="1">GO237-TODAY()</f>
        <v>670</v>
      </c>
      <c r="GQ237" s="15" t="str">
        <f ca="1">IF(GP237&gt;=61,"VIGENTE",IF(GP237&gt;=1,"POR VENCER",IF(GP237&lt;=-1,"VENCIDA",IF(GN237=0,"NO APLICA"))))</f>
        <v>VIGENTE</v>
      </c>
      <c r="GR237" s="14"/>
      <c r="GS237" s="14"/>
      <c r="GT237" s="14"/>
      <c r="GU237" s="65"/>
      <c r="GV237" s="15" t="str">
        <f t="shared" si="601"/>
        <v>NO APLICA</v>
      </c>
      <c r="GW237" s="13"/>
      <c r="GX237" s="14"/>
      <c r="GY237" s="14"/>
      <c r="GZ237" s="65"/>
      <c r="HA237" s="15" t="str">
        <f t="shared" si="602"/>
        <v>NO APLICA</v>
      </c>
      <c r="HB237" s="12"/>
      <c r="HC237" s="14"/>
      <c r="HD237" s="14"/>
      <c r="HE237" s="65"/>
      <c r="HF237" s="15" t="str">
        <f t="shared" si="603"/>
        <v>NO APLICA</v>
      </c>
      <c r="HG237" s="16"/>
      <c r="HH237" s="16"/>
      <c r="HI237" s="14"/>
      <c r="HJ237" s="65"/>
      <c r="HK237" s="15" t="str">
        <f t="shared" si="690"/>
        <v>NO APLICA</v>
      </c>
      <c r="HL237" s="12"/>
      <c r="HM237" s="16"/>
      <c r="HN237" s="14"/>
      <c r="HO237" s="65"/>
      <c r="HP237" s="15" t="str">
        <f t="shared" si="686"/>
        <v>NO APLICA</v>
      </c>
      <c r="HQ237" s="12"/>
      <c r="HR237" s="12"/>
      <c r="HS237" s="14"/>
      <c r="HT237" s="12"/>
      <c r="HU237" s="15" t="str">
        <f t="shared" si="723"/>
        <v>NO APLICA</v>
      </c>
      <c r="HV237" s="12"/>
      <c r="HW237" s="16"/>
      <c r="HX237" s="14"/>
      <c r="HY237" s="65"/>
      <c r="HZ237" s="15" t="str">
        <f t="shared" si="724"/>
        <v>NO APLICA</v>
      </c>
      <c r="IA237" s="12"/>
      <c r="IB237" s="16"/>
      <c r="IC237" s="14"/>
      <c r="ID237" s="65"/>
      <c r="IE237" s="15" t="str">
        <f t="shared" si="725"/>
        <v>NO APLICA</v>
      </c>
      <c r="IF237" s="12"/>
      <c r="IG237" s="16"/>
      <c r="IH237" s="14"/>
      <c r="II237" s="65"/>
      <c r="IJ237" s="15" t="str">
        <f t="shared" si="726"/>
        <v>NO APLICA</v>
      </c>
      <c r="IK237" s="16"/>
      <c r="IL237" s="16"/>
      <c r="IM237" s="14"/>
      <c r="IN237" s="65"/>
      <c r="IO237" s="15" t="str">
        <f t="shared" si="727"/>
        <v>NO APLICA</v>
      </c>
      <c r="IP237" s="12"/>
      <c r="IQ237" s="16"/>
      <c r="IR237" s="14"/>
      <c r="IS237" s="65"/>
      <c r="IT237" s="15" t="str">
        <f t="shared" si="728"/>
        <v>NO APLICA</v>
      </c>
      <c r="IU237" s="12"/>
      <c r="IV237" s="16"/>
      <c r="IW237" s="14"/>
      <c r="IX237" s="65"/>
      <c r="IY237" s="15" t="str">
        <f t="shared" si="729"/>
        <v>NO APLICA</v>
      </c>
      <c r="IZ237" s="12"/>
      <c r="JA237" s="16"/>
      <c r="JB237" s="14"/>
      <c r="JC237" s="65"/>
      <c r="JD237" s="15" t="str">
        <f t="shared" si="730"/>
        <v>NO APLICA</v>
      </c>
      <c r="JE237" s="13"/>
      <c r="JF237" s="13"/>
      <c r="JG237" s="14"/>
      <c r="JH237" s="65"/>
      <c r="JI237" s="15"/>
      <c r="JJ237" s="16"/>
      <c r="JK237" s="16"/>
      <c r="JL237" s="16"/>
      <c r="JM237" s="15" t="str">
        <f t="shared" si="732"/>
        <v>NO APLICA</v>
      </c>
      <c r="JN237" s="16"/>
      <c r="JO237" s="16"/>
      <c r="JP237" s="16"/>
      <c r="JQ237" s="15" t="str">
        <f t="shared" si="733"/>
        <v>NO APLICA</v>
      </c>
      <c r="JR237" s="16"/>
      <c r="JS237" s="16"/>
      <c r="JT237" s="16"/>
      <c r="JU237" s="16"/>
      <c r="JV237" s="15" t="str">
        <f t="shared" si="734"/>
        <v>NO APLICA</v>
      </c>
      <c r="JW237" s="15"/>
      <c r="JX237" s="13">
        <v>45948</v>
      </c>
      <c r="JY237" s="14">
        <f>DATE(YEAR(JX237)+2,MONTH(JX237),DAY(JX237))</f>
        <v>46678</v>
      </c>
      <c r="JZ237" s="65">
        <f ca="1">JY237-TODAY()</f>
        <v>547</v>
      </c>
      <c r="KA237" s="15" t="str">
        <f ca="1">IF(JZ237&gt;=61,"VIGENTE",IF(JZ237&gt;=1,"POR VENCER",IF(JZ237&lt;=-1,"VENCIDA",IF(JX237=0,"NO APLICA"))))</f>
        <v>VIGENTE</v>
      </c>
      <c r="KB237" s="12"/>
      <c r="KC237" s="14"/>
      <c r="KD237" s="65"/>
      <c r="KE237" s="15" t="str">
        <f t="shared" si="736"/>
        <v>NO APLICA</v>
      </c>
      <c r="KF237" s="12"/>
      <c r="KG237" s="14"/>
      <c r="KH237" s="65"/>
      <c r="KI237" s="15" t="str">
        <f t="shared" si="749"/>
        <v>NO APLICA</v>
      </c>
      <c r="KJ237" s="12"/>
      <c r="KK237" s="14"/>
      <c r="KL237" s="65"/>
      <c r="KM237" s="15" t="str">
        <f t="shared" si="737"/>
        <v>NO APLICA</v>
      </c>
      <c r="KN237" s="12"/>
      <c r="KO237" s="14"/>
      <c r="KP237" s="65"/>
      <c r="KQ237" s="15" t="str">
        <f t="shared" si="750"/>
        <v>NO APLICA</v>
      </c>
      <c r="KR237" s="12"/>
      <c r="KS237" s="16"/>
      <c r="KT237" s="14"/>
      <c r="KU237" s="65"/>
      <c r="KV237" s="15" t="str">
        <f t="shared" si="755"/>
        <v>NO APLICA</v>
      </c>
      <c r="KW237" s="16"/>
      <c r="KX237" s="14"/>
      <c r="KY237" s="65"/>
      <c r="KZ237" s="15" t="str">
        <f t="shared" si="751"/>
        <v>NO APLICA</v>
      </c>
      <c r="LA237" s="16"/>
      <c r="LB237" s="16"/>
      <c r="LC237" s="14"/>
      <c r="LD237" s="65"/>
      <c r="LE237" s="15" t="str">
        <f t="shared" si="764"/>
        <v>NO APLICA</v>
      </c>
      <c r="LF237" s="15"/>
      <c r="LG237" s="15"/>
      <c r="LH237" s="14"/>
      <c r="LI237" s="65"/>
      <c r="LJ237" s="15" t="str">
        <f t="shared" si="756"/>
        <v>NO APLICA</v>
      </c>
      <c r="LK237" s="12"/>
      <c r="LL237" s="16"/>
      <c r="LM237" s="14"/>
      <c r="LN237" s="65"/>
      <c r="LO237" s="15" t="str">
        <f t="shared" si="752"/>
        <v>NO APLICA</v>
      </c>
      <c r="LP237" s="16"/>
      <c r="LQ237" s="16"/>
      <c r="LR237" s="14"/>
      <c r="LS237" s="65"/>
      <c r="LT237" s="15" t="str">
        <f t="shared" si="753"/>
        <v>NO APLICA</v>
      </c>
      <c r="LU237" s="16"/>
      <c r="LV237" s="16"/>
      <c r="LW237" s="14"/>
      <c r="LX237" s="65"/>
      <c r="LY237" s="15" t="str">
        <f t="shared" si="754"/>
        <v>NO APLICA</v>
      </c>
      <c r="LZ237" s="12"/>
      <c r="MA237" s="12"/>
      <c r="MB237" s="14"/>
      <c r="MC237" s="65"/>
      <c r="MD237" s="15" t="str">
        <f t="shared" si="738"/>
        <v>NO APLICA</v>
      </c>
      <c r="ME237" s="12"/>
      <c r="MF237" s="12"/>
      <c r="MG237" s="14"/>
      <c r="MH237" s="65"/>
      <c r="MI237" s="15" t="str">
        <f t="shared" si="739"/>
        <v>NO APLICA</v>
      </c>
      <c r="MJ237" s="12"/>
      <c r="MK237" s="14"/>
      <c r="ML237" s="65"/>
      <c r="MM237" s="15" t="str">
        <f t="shared" si="740"/>
        <v>NO APLICA</v>
      </c>
      <c r="MN237" s="12"/>
      <c r="MO237" s="14"/>
      <c r="MP237" s="12"/>
      <c r="MQ237" s="15" t="str">
        <f t="shared" si="741"/>
        <v>NO APLICA</v>
      </c>
      <c r="MR237" s="12"/>
      <c r="MS237" s="16"/>
      <c r="MT237" s="14"/>
      <c r="MU237" s="65"/>
      <c r="MV237" s="15" t="str">
        <f t="shared" si="742"/>
        <v>NO APLICA</v>
      </c>
      <c r="MW237" s="12"/>
      <c r="MX237" s="16"/>
      <c r="MY237" s="14"/>
      <c r="MZ237" s="65"/>
      <c r="NA237" s="15" t="str">
        <f t="shared" si="743"/>
        <v>NO APLICA</v>
      </c>
      <c r="NB237" s="12"/>
      <c r="NC237" s="16"/>
      <c r="ND237" s="14"/>
      <c r="NE237" s="65"/>
      <c r="NF237" s="15" t="str">
        <f t="shared" si="744"/>
        <v>NO APLICA</v>
      </c>
      <c r="NG237" s="12"/>
      <c r="NH237" s="12"/>
      <c r="NI237" s="14"/>
      <c r="NJ237" s="65"/>
      <c r="NK237" s="15" t="str">
        <f t="shared" si="745"/>
        <v>NO APLICA</v>
      </c>
      <c r="NL237" s="12"/>
      <c r="NM237" s="12"/>
      <c r="NN237" s="14"/>
      <c r="NO237" s="12"/>
      <c r="NP237" s="15" t="str">
        <f t="shared" si="746"/>
        <v>NO APLICA</v>
      </c>
      <c r="NQ237" s="16"/>
      <c r="NR237" s="16"/>
      <c r="NS237" s="14"/>
      <c r="NT237" s="65"/>
      <c r="NU237" s="15" t="str">
        <f t="shared" si="747"/>
        <v>NO APLICA</v>
      </c>
      <c r="NV237" s="16"/>
      <c r="NW237" s="16"/>
      <c r="NX237" s="16"/>
      <c r="NY237" s="16"/>
      <c r="NZ237" s="15" t="str">
        <f t="shared" si="748"/>
        <v>NO APLICA</v>
      </c>
    </row>
    <row r="238" spans="1:390" ht="15.6" thickTop="1" thickBot="1" x14ac:dyDescent="0.35">
      <c r="A238" s="9">
        <v>1162</v>
      </c>
      <c r="B238" s="72" t="s">
        <v>761</v>
      </c>
      <c r="C238" s="21" t="s">
        <v>104</v>
      </c>
      <c r="D238" s="64" t="s">
        <v>110</v>
      </c>
      <c r="E238" s="16"/>
      <c r="F238" s="16"/>
      <c r="G238" s="14"/>
      <c r="H238" s="65"/>
      <c r="I238" s="15" t="str">
        <f t="shared" si="688"/>
        <v>NO APLICA</v>
      </c>
      <c r="J238" s="12"/>
      <c r="K238" s="13"/>
      <c r="L238" s="14"/>
      <c r="M238" s="14"/>
      <c r="N238" s="15" t="str">
        <f t="shared" si="691"/>
        <v>NO APLICA</v>
      </c>
      <c r="O238" s="15"/>
      <c r="P238" s="12"/>
      <c r="Q238" s="13"/>
      <c r="R238" s="14"/>
      <c r="S238" s="15" t="str">
        <f t="shared" si="689"/>
        <v>NO APLICA</v>
      </c>
      <c r="T238" s="65"/>
      <c r="U238" s="13">
        <v>44589</v>
      </c>
      <c r="V238" s="14">
        <v>44590</v>
      </c>
      <c r="W238" s="14">
        <f>DATE(YEAR(V238)+5,MONTH(V238),DAY(V238))</f>
        <v>46416</v>
      </c>
      <c r="X238" s="65">
        <f ca="1">W238-TODAY()</f>
        <v>285</v>
      </c>
      <c r="Y238" s="15" t="str">
        <f t="shared" ref="Y238" ca="1" si="766">IF(X238&gt;=90,"VIGENTE",IF(X238&gt;=1,"POR VENCER",IF(X238&lt;=-1,"VENCIDA",IF(V238=0,"NO APLICA"))))</f>
        <v>VIGENTE</v>
      </c>
      <c r="Z238" s="15" t="s">
        <v>762</v>
      </c>
      <c r="AA238" s="13">
        <v>44987</v>
      </c>
      <c r="AB238" s="14">
        <v>44988</v>
      </c>
      <c r="AC238" s="14">
        <f>DATE(YEAR(AB238)+5,MONTH(AB238),DAY(AB238))</f>
        <v>46815</v>
      </c>
      <c r="AD238" s="65">
        <f ca="1">AC238-TODAY()</f>
        <v>684</v>
      </c>
      <c r="AE238" s="15" t="str">
        <f t="shared" ca="1" si="598"/>
        <v>VIGENTE</v>
      </c>
      <c r="AF238" s="13"/>
      <c r="AG238" s="14"/>
      <c r="AH238" s="14"/>
      <c r="AI238" s="65"/>
      <c r="AJ238" s="15" t="str">
        <f t="shared" si="763"/>
        <v>NO APLICA</v>
      </c>
      <c r="AK238" s="13"/>
      <c r="AL238" s="14"/>
      <c r="AM238" s="14"/>
      <c r="AN238" s="65"/>
      <c r="AO238" s="15" t="str">
        <f t="shared" si="692"/>
        <v>NO APLICA</v>
      </c>
      <c r="AP238" s="13"/>
      <c r="AQ238" s="14"/>
      <c r="AR238" s="14"/>
      <c r="AS238" s="65"/>
      <c r="AT238" s="15" t="str">
        <f t="shared" ref="AT238" si="767">IF(AS238&gt;=91,"VIGENTE",IF(AS238&gt;=1,"POR VENCER",IF(AS238&lt;=-1,"VENCIDA",IF(AQ238=0,"NO APLICA"))))</f>
        <v>NO APLICA</v>
      </c>
      <c r="AU238" s="13"/>
      <c r="AV238" s="14"/>
      <c r="AW238" s="14"/>
      <c r="AX238" s="65"/>
      <c r="AY238" s="15" t="str">
        <f t="shared" ref="AY238" si="768">IF(AX238&gt;=91,"VIGENTE",IF(AX238&gt;=1,"POR VENCER",IF(AX238&lt;=-1,"VENCIDA",IF(AV238=0,"NO APLICA"))))</f>
        <v>NO APLICA</v>
      </c>
      <c r="AZ238" s="13"/>
      <c r="BA238" s="14"/>
      <c r="BB238" s="14"/>
      <c r="BC238" s="65"/>
      <c r="BD238" s="15" t="str">
        <f t="shared" ref="BD238" si="769">IF(BC238&gt;=91,"VIGENTE",IF(BC238&gt;=1,"POR VENCER",IF(BC238&lt;=-1,"VENCIDA",IF(BA238=0,"NO APLICA"))))</f>
        <v>NO APLICA</v>
      </c>
      <c r="BE238" s="13"/>
      <c r="BF238" s="14"/>
      <c r="BG238" s="14"/>
      <c r="BH238" s="65"/>
      <c r="BI238" s="15" t="str">
        <f t="shared" ref="BI238" si="770">IF(BH238&gt;=91,"VIGENTE",IF(BH238&gt;=1,"POR VENCER",IF(BH238&lt;=-1,"VENCIDA",IF(BF238=0,"NO APLICA"))))</f>
        <v>NO APLICA</v>
      </c>
      <c r="BJ238" s="13"/>
      <c r="BK238" s="14"/>
      <c r="BL238" s="14"/>
      <c r="BM238" s="65"/>
      <c r="BN238" s="15" t="str">
        <f t="shared" ref="BN238" si="771">IF(BM238&gt;=91,"VIGENTE",IF(BM238&gt;=1,"POR VENCER",IF(BM238&lt;=-1,"VENCIDA",IF(BK238=0,"NO APLICA"))))</f>
        <v>NO APLICA</v>
      </c>
      <c r="BO238" s="13"/>
      <c r="BP238" s="14"/>
      <c r="BQ238" s="14"/>
      <c r="BR238" s="65"/>
      <c r="BS238" s="15" t="str">
        <f t="shared" ref="BS238" si="772">IF(BR238&gt;=91,"VIGENTE",IF(BR238&gt;=1,"POR VENCER",IF(BR238&lt;=-1,"VENCIDA",IF(BP238=0,"NO APLICA"))))</f>
        <v>NO APLICA</v>
      </c>
      <c r="BT238" s="14"/>
      <c r="BU238" s="14"/>
      <c r="BV238" s="14"/>
      <c r="BW238" s="65"/>
      <c r="BX238" s="15" t="str">
        <f t="shared" ref="BX238" si="773">IF(BW238&gt;=91,"VIGENTE",IF(BW238&gt;=1,"POR VENCER",IF(BW238&lt;=-1,"VENCIDA",IF(BU238=0,"NO APLICA"))))</f>
        <v>NO APLICA</v>
      </c>
      <c r="BY238" s="14"/>
      <c r="BZ238" s="14"/>
      <c r="CA238" s="14"/>
      <c r="CB238" s="65"/>
      <c r="CC238" s="15" t="str">
        <f t="shared" ref="CC238" si="774">IF(CB238&gt;=91,"VIGENTE",IF(CB238&gt;=1,"POR VENCER",IF(CB238&lt;=-1,"VENCIDA",IF(BZ238=0,"NO APLICA"))))</f>
        <v>NO APLICA</v>
      </c>
      <c r="CD238" s="13"/>
      <c r="CE238" s="14">
        <v>45246</v>
      </c>
      <c r="CF238" s="14">
        <v>45247</v>
      </c>
      <c r="CG238" s="14">
        <f>DATE(YEAR(CF238)+4,MONTH(CF238),DAY(CF238))</f>
        <v>46708</v>
      </c>
      <c r="CH238" s="65">
        <f ca="1">CG238-TODAY()</f>
        <v>577</v>
      </c>
      <c r="CI238" s="15" t="str">
        <f t="shared" ref="CI238" ca="1" si="775">IF(CH238&gt;=90,"VIGENTE",IF(CH238&gt;=1,"POR VENCER",IF(CH238&lt;=-1,"VENCIDA",IF(CH238=0,"NO APLICA"))))</f>
        <v>VIGENTE</v>
      </c>
      <c r="CJ238" s="14"/>
      <c r="CK238" s="14"/>
      <c r="CL238" s="65"/>
      <c r="CM238" s="15"/>
      <c r="CN238" s="15" t="str">
        <f t="shared" ref="CN238" si="776">IF(CM238&gt;=91,"VIGENTE",IF(CM238&gt;=1,"POR VENCER",IF(CM238&lt;=-1,"VENCIDA",IF(CK238=0,"NO APLICA"))))</f>
        <v>NO APLICA</v>
      </c>
      <c r="CO238" s="14"/>
      <c r="CP238" s="14"/>
      <c r="CQ238" s="65"/>
      <c r="CR238" s="15"/>
      <c r="CS238" s="15" t="str">
        <f t="shared" ref="CS238" si="777">IF(CR238&gt;=91,"VIGENTE",IF(CR238&gt;=1,"POR VENCER",IF(CR238&lt;=-1,"VENCIDA",IF(CP238=0,"NO APLICA"))))</f>
        <v>NO APLICA</v>
      </c>
      <c r="CT238" s="14"/>
      <c r="CU238" s="14"/>
      <c r="CV238" s="65"/>
      <c r="CW238" s="15"/>
      <c r="CX238" s="15" t="str">
        <f t="shared" ref="CX238" si="778">IF(CW238&gt;=91,"VIGENTE",IF(CW238&gt;=1,"POR VENCER",IF(CW238&lt;=-1,"VENCIDA",IF(CU238=0,"NO APLICA"))))</f>
        <v>NO APLICA</v>
      </c>
      <c r="CY238" s="14"/>
      <c r="CZ238" s="14"/>
      <c r="DA238" s="65"/>
      <c r="DB238" s="15"/>
      <c r="DC238" s="15" t="str">
        <f t="shared" ref="DC238" si="779">IF(DB238&gt;=91,"VIGENTE",IF(DB238&gt;=1,"POR VENCER",IF(DB238&lt;=-1,"VENCIDA",IF(CZ238=0,"NO APLICA"))))</f>
        <v>NO APLICA</v>
      </c>
      <c r="DD238" s="14"/>
      <c r="DE238" s="14"/>
      <c r="DF238" s="65"/>
      <c r="DG238" s="15"/>
      <c r="DH238" s="15" t="str">
        <f t="shared" ref="DH238" si="780">IF(DG238&gt;=91,"VIGENTE",IF(DG238&gt;=1,"POR VENCER",IF(DG238&lt;=-1,"VENCIDA",IF(DE238=0,"NO APLICA"))))</f>
        <v>NO APLICA</v>
      </c>
      <c r="DI238" s="14"/>
      <c r="DJ238" s="14"/>
      <c r="DK238" s="65"/>
      <c r="DL238" s="15"/>
      <c r="DM238" s="15" t="str">
        <f t="shared" ref="DM238" si="781">IF(DL238&gt;=91,"VIGENTE",IF(DL238&gt;=1,"POR VENCER",IF(DL238&lt;=-1,"VENCIDA",IF(DJ238=0,"NO APLICA"))))</f>
        <v>NO APLICA</v>
      </c>
      <c r="DN238" s="14"/>
      <c r="DO238" s="14"/>
      <c r="DP238" s="65"/>
      <c r="DQ238" s="15"/>
      <c r="DR238" s="15" t="str">
        <f t="shared" ref="DR238" si="782">IF(DQ238&gt;=91,"VIGENTE",IF(DQ238&gt;=1,"POR VENCER",IF(DQ238&lt;=-1,"VENCIDA",IF(DO238=0,"NO APLICA"))))</f>
        <v>NO APLICA</v>
      </c>
      <c r="DS238" s="14"/>
      <c r="DT238" s="14"/>
      <c r="DU238" s="65"/>
      <c r="DV238" s="15"/>
      <c r="DW238" s="15" t="str">
        <f t="shared" ref="DW238" si="783">IF(DV238&gt;=91,"VIGENTE",IF(DV238&gt;=1,"POR VENCER",IF(DV238&lt;=-1,"VENCIDA",IF(DT238=0,"NO APLICA"))))</f>
        <v>NO APLICA</v>
      </c>
      <c r="DX238" s="13"/>
      <c r="DY238" s="13"/>
      <c r="DZ238" s="14"/>
      <c r="EA238" s="14"/>
      <c r="EB238" s="15" t="str">
        <f t="shared" ref="EB238" si="784">IF(EA238&gt;=91,"VIGENTE",IF(EA238&gt;=1,"POR VENCER",IF(EA238&lt;=-1,"VENCIDA",IF(DY238=0,"NO APLICA"))))</f>
        <v>NO APLICA</v>
      </c>
      <c r="EC238" s="15"/>
      <c r="ED238" s="13"/>
      <c r="EE238" s="14"/>
      <c r="EF238" s="14"/>
      <c r="EG238" s="15" t="str">
        <f t="shared" ref="EG238" si="785">IF(EF238&gt;=91,"VIGENTE",IF(EF238&gt;=1,"POR VENCER",IF(EF238&lt;=-1,"VENCIDA",IF(ED238=0,"NO APLICA"))))</f>
        <v>NO APLICA</v>
      </c>
      <c r="EH238" s="15"/>
      <c r="EI238" s="13"/>
      <c r="EJ238" s="14"/>
      <c r="EK238" s="14"/>
      <c r="EL238" s="65"/>
      <c r="EM238" s="15"/>
      <c r="EN238" s="15" t="str">
        <f t="shared" ref="EN238" si="786">IF(EM238&gt;=91,"VIGENTE",IF(EM238&gt;=1,"POR VENCER",IF(EM238&lt;=-1,"VENCIDA",IF(EK238=0,"NO APLICA"))))</f>
        <v>NO APLICA</v>
      </c>
      <c r="EO238" s="14"/>
      <c r="EP238" s="14"/>
      <c r="EQ238" s="65"/>
      <c r="ER238" s="15"/>
      <c r="ES238" s="15" t="str">
        <f t="shared" ref="ES238" si="787">IF(ER238&gt;=91,"VIGENTE",IF(ER238&gt;=1,"POR VENCER",IF(ER238&lt;=-1,"VENCIDA",IF(EP238=0,"NO APLICA"))))</f>
        <v>NO APLICA</v>
      </c>
      <c r="ET238" s="14"/>
      <c r="EU238" s="14"/>
      <c r="EV238" s="65"/>
      <c r="EW238" s="15"/>
      <c r="EX238" s="15" t="str">
        <f t="shared" ref="EX238" si="788">IF(EW238&gt;=91,"VIGENTE",IF(EW238&gt;=1,"POR VENCER",IF(EW238&lt;=-1,"VENCIDA",IF(EU238=0,"NO APLICA"))))</f>
        <v>NO APLICA</v>
      </c>
      <c r="EY238" s="14"/>
      <c r="EZ238" s="14"/>
      <c r="FA238" s="65"/>
      <c r="FB238" s="15"/>
      <c r="FC238" s="15" t="str">
        <f t="shared" ref="FC238" si="789">IF(FB238&gt;=91,"VIGENTE",IF(FB238&gt;=1,"POR VENCER",IF(FB238&lt;=-1,"VENCIDA",IF(EZ238=0,"NO APLICA"))))</f>
        <v>NO APLICA</v>
      </c>
      <c r="FD238" s="14"/>
      <c r="FE238" s="14"/>
      <c r="FF238" s="65"/>
      <c r="FG238" s="15"/>
      <c r="FH238" s="15" t="str">
        <f t="shared" ref="FH238" si="790">IF(FG238&gt;=91,"VIGENTE",IF(FG238&gt;=1,"POR VENCER",IF(FG238&lt;=-1,"VENCIDA",IF(FE238=0,"NO APLICA"))))</f>
        <v>NO APLICA</v>
      </c>
      <c r="FI238" s="14"/>
      <c r="FJ238" s="14"/>
      <c r="FK238" s="65"/>
      <c r="FL238" s="15"/>
      <c r="FM238" s="15" t="str">
        <f t="shared" ref="FM238" si="791">IF(FL238&gt;=91,"VIGENTE",IF(FL238&gt;=1,"POR VENCER",IF(FL238&lt;=-1,"VENCIDA",IF(FJ238=0,"NO APLICA"))))</f>
        <v>NO APLICA</v>
      </c>
      <c r="FN238" s="14"/>
      <c r="FO238" s="14"/>
      <c r="FP238" s="65"/>
      <c r="FQ238" s="15"/>
      <c r="FR238" s="15" t="str">
        <f t="shared" ref="FR238" si="792">IF(FQ238&gt;=91,"VIGENTE",IF(FQ238&gt;=1,"POR VENCER",IF(FQ238&lt;=-1,"VENCIDA",IF(FO238=0,"NO APLICA"))))</f>
        <v>NO APLICA</v>
      </c>
      <c r="FS238" s="14"/>
      <c r="FT238" s="14"/>
      <c r="FU238" s="65"/>
      <c r="FV238" s="15"/>
      <c r="FW238" s="15" t="str">
        <f t="shared" ref="FW238" si="793">IF(FV238&gt;=91,"VIGENTE",IF(FV238&gt;=1,"POR VENCER",IF(FV238&lt;=-1,"VENCIDA",IF(FT238=0,"NO APLICA"))))</f>
        <v>NO APLICA</v>
      </c>
      <c r="FX238" s="14"/>
      <c r="FY238" s="14"/>
      <c r="FZ238" s="65"/>
      <c r="GA238" s="15"/>
      <c r="GB238" s="15" t="str">
        <f t="shared" ref="GB238" si="794">IF(GA238&gt;=91,"VIGENTE",IF(GA238&gt;=1,"POR VENCER",IF(GA238&lt;=-1,"VENCIDA",IF(FY238=0,"NO APLICA"))))</f>
        <v>NO APLICA</v>
      </c>
      <c r="GC238" s="14"/>
      <c r="GD238" s="14"/>
      <c r="GE238" s="65"/>
      <c r="GF238" s="15"/>
      <c r="GG238" s="15" t="str">
        <f t="shared" ref="GG238" si="795">IF(GF238&gt;=91,"VIGENTE",IF(GF238&gt;=1,"POR VENCER",IF(GF238&lt;=-1,"VENCIDA",IF(GD238=0,"NO APLICA"))))</f>
        <v>NO APLICA</v>
      </c>
      <c r="GH238" s="14"/>
      <c r="GI238" s="14"/>
      <c r="GJ238" s="65"/>
      <c r="GK238" s="15"/>
      <c r="GL238" s="15" t="str">
        <f t="shared" ref="GL238" si="796">IF(GK238&gt;=91,"VIGENTE",IF(GK238&gt;=1,"POR VENCER",IF(GK238&lt;=-1,"VENCIDA",IF(GI238=0,"NO APLICA"))))</f>
        <v>NO APLICA</v>
      </c>
      <c r="GM238" s="14"/>
      <c r="GN238" s="14"/>
      <c r="GO238" s="65"/>
      <c r="GP238" s="15"/>
      <c r="GQ238" s="15" t="str">
        <f t="shared" ref="GQ238" si="797">IF(GP238&gt;=61,"VIGENTE",IF(GP238&gt;=1,"POR VENCER",IF(GP238&lt;=-1,"VENCIDA",IF(GN238=0,"NO APLICA"))))</f>
        <v>NO APLICA</v>
      </c>
      <c r="GR238" s="14"/>
      <c r="GS238" s="14"/>
      <c r="GT238" s="65"/>
      <c r="GU238" s="15"/>
      <c r="GV238" s="15" t="str">
        <f t="shared" si="601"/>
        <v>NO APLICA</v>
      </c>
      <c r="GW238" s="14"/>
      <c r="GX238" s="14"/>
      <c r="GY238" s="65"/>
      <c r="GZ238" s="15"/>
      <c r="HA238" s="15" t="str">
        <f t="shared" si="602"/>
        <v>NO APLICA</v>
      </c>
      <c r="HB238" s="16"/>
      <c r="HC238" s="14"/>
      <c r="HD238" s="65"/>
      <c r="HE238" s="15"/>
      <c r="HF238" s="15" t="str">
        <f t="shared" si="603"/>
        <v>NO APLICA</v>
      </c>
      <c r="HG238" s="12"/>
      <c r="HH238" s="14"/>
      <c r="HI238" s="12"/>
      <c r="HJ238" s="15"/>
      <c r="HK238" s="15" t="str">
        <f t="shared" si="690"/>
        <v>NO APLICA</v>
      </c>
      <c r="HL238" s="14"/>
      <c r="HM238" s="14"/>
      <c r="HN238" s="65"/>
      <c r="HO238" s="15"/>
      <c r="HP238" s="15" t="str">
        <f t="shared" si="686"/>
        <v>NO APLICA</v>
      </c>
      <c r="HQ238" s="14"/>
      <c r="HR238" s="14"/>
      <c r="HS238" s="65"/>
      <c r="HT238" s="15"/>
      <c r="HU238" s="15" t="str">
        <f t="shared" si="723"/>
        <v>NO APLICA</v>
      </c>
      <c r="HV238" s="14"/>
      <c r="HW238" s="14"/>
      <c r="HX238" s="65"/>
      <c r="HY238" s="15"/>
      <c r="HZ238" s="15" t="str">
        <f t="shared" si="724"/>
        <v>NO APLICA</v>
      </c>
      <c r="IA238" s="14"/>
      <c r="IB238" s="14"/>
      <c r="IC238" s="65"/>
      <c r="ID238" s="15"/>
      <c r="IE238" s="15" t="str">
        <f t="shared" si="725"/>
        <v>NO APLICA</v>
      </c>
      <c r="IF238" s="14"/>
      <c r="IG238" s="14"/>
      <c r="IH238" s="65"/>
      <c r="II238" s="15"/>
      <c r="IJ238" s="15" t="str">
        <f t="shared" si="726"/>
        <v>NO APLICA</v>
      </c>
      <c r="IK238" s="14"/>
      <c r="IL238" s="14"/>
      <c r="IM238" s="65"/>
      <c r="IN238" s="15"/>
      <c r="IO238" s="15" t="str">
        <f t="shared" si="727"/>
        <v>NO APLICA</v>
      </c>
      <c r="IP238" s="14"/>
      <c r="IQ238" s="14"/>
      <c r="IR238" s="65"/>
      <c r="IS238" s="15"/>
      <c r="IT238" s="15" t="str">
        <f t="shared" si="728"/>
        <v>NO APLICA</v>
      </c>
      <c r="IU238" s="13"/>
      <c r="IV238" s="14"/>
      <c r="IW238" s="65"/>
      <c r="IX238" s="15"/>
      <c r="IY238" s="15" t="str">
        <f t="shared" si="729"/>
        <v>NO APLICA</v>
      </c>
      <c r="IZ238" s="16"/>
      <c r="JA238" s="16"/>
      <c r="JB238" s="15"/>
      <c r="JC238" s="16"/>
      <c r="JD238" s="15" t="str">
        <f t="shared" si="730"/>
        <v>NO APLICA</v>
      </c>
      <c r="JE238" s="16"/>
      <c r="JF238" s="15"/>
      <c r="JG238" s="16"/>
      <c r="JH238" s="16"/>
      <c r="JI238" s="16"/>
      <c r="JJ238" s="16"/>
      <c r="JK238" s="15"/>
      <c r="JL238" s="12"/>
      <c r="JM238" s="15" t="str">
        <f t="shared" si="732"/>
        <v>NO APLICA</v>
      </c>
      <c r="JN238" s="65"/>
      <c r="JO238" s="15"/>
      <c r="JP238" s="12"/>
      <c r="JQ238" s="15" t="str">
        <f t="shared" si="733"/>
        <v>NO APLICA</v>
      </c>
      <c r="JR238" s="65"/>
      <c r="JS238" s="15"/>
      <c r="JT238" s="12"/>
      <c r="JU238" s="14"/>
      <c r="JV238" s="15" t="str">
        <f t="shared" si="734"/>
        <v>NO APLICA</v>
      </c>
      <c r="JW238" s="15"/>
      <c r="JX238" s="12"/>
      <c r="JY238" s="14"/>
      <c r="JZ238" s="65"/>
      <c r="KA238" s="15" t="str">
        <f t="shared" ref="KA238" si="798">IF(JZ238&gt;=61,"VIGENTE",IF(JZ238&gt;=1,"POR VENCER",IF(JZ238&lt;=-1,"VENCIDA",IF(JX238=0,"NO APLICA"))))</f>
        <v>NO APLICA</v>
      </c>
      <c r="KB238" s="12"/>
      <c r="KC238" s="16"/>
      <c r="KD238" s="14"/>
      <c r="KE238" s="15" t="str">
        <f t="shared" si="736"/>
        <v>NO APLICA</v>
      </c>
      <c r="KF238" s="15"/>
      <c r="KG238" s="14"/>
      <c r="KH238" s="14"/>
      <c r="KI238" s="15" t="str">
        <f t="shared" si="749"/>
        <v>NO APLICA</v>
      </c>
      <c r="KJ238" s="15"/>
      <c r="KK238" s="16"/>
      <c r="KL238" s="16"/>
      <c r="KM238" s="15" t="str">
        <f t="shared" si="737"/>
        <v>NO APLICA</v>
      </c>
      <c r="KN238" s="65"/>
      <c r="KO238" s="15"/>
      <c r="KP238" s="15"/>
      <c r="KQ238" s="15" t="str">
        <f t="shared" si="750"/>
        <v>NO APLICA</v>
      </c>
      <c r="KR238" s="15"/>
      <c r="KS238" s="15"/>
      <c r="KT238" s="15"/>
      <c r="KU238" s="12"/>
      <c r="KV238" s="15" t="str">
        <f t="shared" si="755"/>
        <v>NO APLICA</v>
      </c>
      <c r="KW238" s="14"/>
      <c r="KX238" s="65"/>
      <c r="KY238" s="15"/>
      <c r="KZ238" s="15" t="str">
        <f t="shared" si="751"/>
        <v>NO APLICA</v>
      </c>
      <c r="LA238" s="16"/>
      <c r="LB238" s="14"/>
      <c r="LC238" s="65"/>
      <c r="LD238" s="15"/>
      <c r="LE238" s="15" t="str">
        <f t="shared" si="764"/>
        <v>NO APLICA</v>
      </c>
      <c r="LF238" s="16"/>
      <c r="LG238" s="14"/>
      <c r="LH238" s="65"/>
      <c r="LI238" s="15"/>
      <c r="LJ238" s="15" t="str">
        <f t="shared" si="756"/>
        <v>NO APLICA</v>
      </c>
      <c r="LK238" s="12"/>
      <c r="LL238" s="14"/>
      <c r="LM238" s="65"/>
      <c r="LN238" s="15"/>
      <c r="LO238" s="15" t="str">
        <f t="shared" si="752"/>
        <v>NO APLICA</v>
      </c>
      <c r="LP238" s="12"/>
      <c r="LQ238" s="14"/>
      <c r="LR238" s="65"/>
      <c r="LS238" s="15"/>
      <c r="LT238" s="15" t="str">
        <f t="shared" si="753"/>
        <v>NO APLICA</v>
      </c>
      <c r="LU238" s="14"/>
      <c r="LV238" s="65"/>
      <c r="LW238" s="15"/>
      <c r="LX238" s="12"/>
      <c r="LY238" s="15" t="str">
        <f t="shared" si="754"/>
        <v>NO APLICA</v>
      </c>
      <c r="LZ238" s="12"/>
      <c r="MA238" s="15"/>
      <c r="MB238" s="12"/>
      <c r="MC238" s="16"/>
      <c r="MD238" s="15" t="str">
        <f t="shared" si="738"/>
        <v>NO APLICA</v>
      </c>
      <c r="ME238" s="65"/>
      <c r="MF238" s="15"/>
      <c r="MG238" s="12"/>
      <c r="MH238" s="16"/>
      <c r="MI238" s="15" t="str">
        <f t="shared" si="739"/>
        <v>NO APLICA</v>
      </c>
      <c r="MJ238" s="65"/>
      <c r="MK238" s="15"/>
      <c r="ML238" s="12"/>
      <c r="MM238" s="15" t="str">
        <f t="shared" si="740"/>
        <v>NO APLICA</v>
      </c>
      <c r="MN238" s="14"/>
      <c r="MO238" s="65"/>
      <c r="MP238" s="15"/>
      <c r="MQ238" s="15" t="str">
        <f t="shared" si="741"/>
        <v>NO APLICA</v>
      </c>
      <c r="MR238" s="12"/>
      <c r="MS238" s="14"/>
      <c r="MT238" s="12"/>
      <c r="MU238" s="15"/>
      <c r="MV238" s="15" t="str">
        <f t="shared" si="742"/>
        <v>NO APLICA</v>
      </c>
      <c r="MW238" s="12"/>
      <c r="MX238" s="14"/>
      <c r="MY238" s="12"/>
      <c r="MZ238" s="15"/>
      <c r="NA238" s="15" t="str">
        <f t="shared" si="743"/>
        <v>NO APLICA</v>
      </c>
      <c r="NB238" s="16"/>
      <c r="NC238" s="14"/>
      <c r="ND238" s="65"/>
      <c r="NE238" s="15"/>
      <c r="NF238" s="15" t="str">
        <f t="shared" si="744"/>
        <v>NO APLICA</v>
      </c>
      <c r="NG238" s="16"/>
      <c r="NH238" s="16"/>
      <c r="NI238" s="16"/>
      <c r="NJ238" s="15"/>
      <c r="NK238" s="15" t="str">
        <f t="shared" si="745"/>
        <v>NO APLICA</v>
      </c>
      <c r="NL238" s="16"/>
      <c r="NM238" s="14"/>
      <c r="NN238" s="65"/>
      <c r="NO238" s="15"/>
      <c r="NP238" s="15" t="str">
        <f t="shared" si="746"/>
        <v>NO APLICA</v>
      </c>
      <c r="NQ238" s="16"/>
      <c r="NR238" s="16"/>
      <c r="NS238" s="16"/>
      <c r="NT238" s="15"/>
      <c r="NU238" s="15" t="str">
        <f t="shared" si="747"/>
        <v>NO APLICA</v>
      </c>
      <c r="NV238" s="16"/>
      <c r="NW238" s="16"/>
      <c r="NX238" s="16"/>
      <c r="NY238" s="15"/>
      <c r="NZ238" s="15" t="str">
        <f t="shared" si="748"/>
        <v>NO APLICA</v>
      </c>
    </row>
    <row r="239" spans="1:390" ht="15" thickTop="1" x14ac:dyDescent="0.3"/>
  </sheetData>
  <mergeCells count="82">
    <mergeCell ref="NL1:NP1"/>
    <mergeCell ref="NQ1:NU1"/>
    <mergeCell ref="NV1:NZ1"/>
    <mergeCell ref="MJ1:MM1"/>
    <mergeCell ref="MN1:MQ1"/>
    <mergeCell ref="MR1:MV1"/>
    <mergeCell ref="MW1:NA1"/>
    <mergeCell ref="NB1:NF1"/>
    <mergeCell ref="NG1:NK1"/>
    <mergeCell ref="LF1:LJ1"/>
    <mergeCell ref="LK1:LO1"/>
    <mergeCell ref="LP1:LT1"/>
    <mergeCell ref="LU1:LY1"/>
    <mergeCell ref="LZ1:MD1"/>
    <mergeCell ref="ME1:MI1"/>
    <mergeCell ref="KF1:KI1"/>
    <mergeCell ref="KJ1:KM1"/>
    <mergeCell ref="KN1:KQ1"/>
    <mergeCell ref="KR1:KV1"/>
    <mergeCell ref="KW1:KZ1"/>
    <mergeCell ref="LA1:LE1"/>
    <mergeCell ref="JE1:JI1"/>
    <mergeCell ref="JJ1:JM1"/>
    <mergeCell ref="JN1:JQ1"/>
    <mergeCell ref="JR1:JV1"/>
    <mergeCell ref="JW1:KA1"/>
    <mergeCell ref="KB1:KE1"/>
    <mergeCell ref="IA1:IE1"/>
    <mergeCell ref="IF1:IJ1"/>
    <mergeCell ref="IK1:IO1"/>
    <mergeCell ref="IP1:IT1"/>
    <mergeCell ref="IU1:IY1"/>
    <mergeCell ref="IZ1:JD1"/>
    <mergeCell ref="GW1:HA1"/>
    <mergeCell ref="HB1:HF1"/>
    <mergeCell ref="HG1:HK1"/>
    <mergeCell ref="HL1:HP1"/>
    <mergeCell ref="HQ1:HU1"/>
    <mergeCell ref="HV1:HZ1"/>
    <mergeCell ref="FS1:FW1"/>
    <mergeCell ref="FX1:GB1"/>
    <mergeCell ref="GC1:GG1"/>
    <mergeCell ref="GH1:GL1"/>
    <mergeCell ref="GM1:GQ1"/>
    <mergeCell ref="GR1:GV1"/>
    <mergeCell ref="EO1:ES1"/>
    <mergeCell ref="ET1:EX1"/>
    <mergeCell ref="EY1:FC1"/>
    <mergeCell ref="FD1:FH1"/>
    <mergeCell ref="FI1:FM1"/>
    <mergeCell ref="FN1:FR1"/>
    <mergeCell ref="DI1:DM1"/>
    <mergeCell ref="DN1:DR1"/>
    <mergeCell ref="DS1:DW1"/>
    <mergeCell ref="DX1:EB1"/>
    <mergeCell ref="EC1:EG1"/>
    <mergeCell ref="EH1:EN1"/>
    <mergeCell ref="CD1:CI1"/>
    <mergeCell ref="CJ1:CN1"/>
    <mergeCell ref="CO1:CS1"/>
    <mergeCell ref="CT1:CX1"/>
    <mergeCell ref="CY1:DC1"/>
    <mergeCell ref="DD1:DH1"/>
    <mergeCell ref="AZ1:BD1"/>
    <mergeCell ref="BE1:BI1"/>
    <mergeCell ref="BJ1:BN1"/>
    <mergeCell ref="BO1:BS1"/>
    <mergeCell ref="BT1:BX1"/>
    <mergeCell ref="BY1:CC1"/>
    <mergeCell ref="T1:Y1"/>
    <mergeCell ref="Z1:AE1"/>
    <mergeCell ref="AF1:AJ1"/>
    <mergeCell ref="AK1:AO1"/>
    <mergeCell ref="AP1:AT1"/>
    <mergeCell ref="AU1:AY1"/>
    <mergeCell ref="E1:I1"/>
    <mergeCell ref="J1:N1"/>
    <mergeCell ref="O1:S1"/>
    <mergeCell ref="C1:C2"/>
    <mergeCell ref="D1:D2"/>
    <mergeCell ref="A1:A2"/>
    <mergeCell ref="B1:B2"/>
  </mergeCells>
  <conditionalFormatting sqref="A173">
    <cfRule type="duplicateValues" dxfId="1002" priority="1027"/>
  </conditionalFormatting>
  <conditionalFormatting sqref="A174">
    <cfRule type="duplicateValues" dxfId="1001" priority="1026"/>
  </conditionalFormatting>
  <conditionalFormatting sqref="A187:A213">
    <cfRule type="duplicateValues" dxfId="1000" priority="1025"/>
  </conditionalFormatting>
  <conditionalFormatting sqref="E3:E13 E15:E133">
    <cfRule type="containsText" dxfId="995" priority="1006" operator="containsText" text="VIGENTE">
      <formula>NOT(ISERROR(SEARCH("VIGENTE",E3)))</formula>
    </cfRule>
    <cfRule type="containsText" dxfId="994" priority="1007" operator="containsText" text="POR VENCER">
      <formula>NOT(ISERROR(SEARCH("POR VENCER",E3)))</formula>
    </cfRule>
    <cfRule type="containsText" dxfId="993" priority="1008" operator="containsText" text="VENCIDA">
      <formula>NOT(ISERROR(SEARCH("VENCIDA",E3)))</formula>
    </cfRule>
    <cfRule type="containsText" dxfId="992" priority="1009" operator="containsText" text="NO APLICA">
      <formula>NOT(ISERROR(SEARCH("NO APLICA",E3)))</formula>
    </cfRule>
  </conditionalFormatting>
  <conditionalFormatting sqref="GN38 E134 GN41:GN42 GN45 GN47:GN49 E141:E144 E136:E139 E146:E151 E153:E161">
    <cfRule type="expression" dxfId="991" priority="1005">
      <formula>"O7&gt;=91"</formula>
    </cfRule>
  </conditionalFormatting>
  <conditionalFormatting sqref="E185">
    <cfRule type="containsText" dxfId="990" priority="1001" operator="containsText" text="VIGENTE">
      <formula>NOT(ISERROR(SEARCH("VIGENTE",E185)))</formula>
    </cfRule>
    <cfRule type="containsText" dxfId="989" priority="1002" operator="containsText" text="POR VENCER">
      <formula>NOT(ISERROR(SEARCH("POR VENCER",E185)))</formula>
    </cfRule>
    <cfRule type="containsText" dxfId="988" priority="1003" operator="containsText" text="VENCIDA">
      <formula>NOT(ISERROR(SEARCH("VENCIDA",E185)))</formula>
    </cfRule>
    <cfRule type="containsText" dxfId="987" priority="1004" operator="containsText" text="NO APLICA">
      <formula>NOT(ISERROR(SEARCH("NO APLICA",E185)))</formula>
    </cfRule>
  </conditionalFormatting>
  <conditionalFormatting sqref="F71">
    <cfRule type="containsText" dxfId="986" priority="997" operator="containsText" text="VIGENTE">
      <formula>NOT(ISERROR(SEARCH("VIGENTE",F71)))</formula>
    </cfRule>
    <cfRule type="containsText" dxfId="985" priority="998" operator="containsText" text="POR VENCER">
      <formula>NOT(ISERROR(SEARCH("POR VENCER",F71)))</formula>
    </cfRule>
    <cfRule type="containsText" dxfId="984" priority="999" operator="containsText" text="VENCIDA">
      <formula>NOT(ISERROR(SEARCH("VENCIDA",F71)))</formula>
    </cfRule>
    <cfRule type="containsText" dxfId="983" priority="1000" operator="containsText" text="NO APLICA">
      <formula>NOT(ISERROR(SEARCH("NO APLICA",F71)))</formula>
    </cfRule>
  </conditionalFormatting>
  <conditionalFormatting sqref="I3:I238">
    <cfRule type="containsText" dxfId="982" priority="994" operator="containsText" text="NO APLICA">
      <formula>NOT(ISERROR(SEARCH("NO APLICA",I3)))</formula>
    </cfRule>
    <cfRule type="containsText" dxfId="981" priority="995" operator="containsText" text="VIGENTE">
      <formula>NOT(ISERROR(SEARCH("VIGENTE",I3)))</formula>
    </cfRule>
    <cfRule type="containsText" dxfId="980" priority="996" operator="containsText" text="POR VENCER">
      <formula>NOT(ISERROR(SEARCH("POR VENCER",I3)))</formula>
    </cfRule>
  </conditionalFormatting>
  <conditionalFormatting sqref="MP28:MP63 Z42:AA49 EO42:EO44 ET42:ET44 GC42:GC44 DI42:DI49 FN42:FN43 EH44:EJ44 DD39:DD43 CT39:CT47 CY38:CY50 GH38:GH49 CO38:CO43 BT38:BT49 FS38:FS44 EC38:EC44 DX38:DX44 BO38:BO62 KR42:KR58 FX43:FX45 HT43:HT44 KN178:KP186 GM38:GM43 DN38:DN45 FI38:FI52 JV3:KB3 JV5:KA5 JV4:JX4 KA4 JV6:JX6 KA6 JV19:KA20 JV18:JX18 KA18 JV22:KA24 JV21:JX21 KA21 JV27:KA34 JV25:JX26 KA25:KA26 JV36:KA38 JV35:JX35 KA35 JV40:KA48 JV39:JX39 KA39 JV53:KA59 JV52:JX52 KA52 JV61:KA66 JV60:JX60 KA60 JV68:KA68 JV67:JX67 KA67 JV69:JX69 KA69 JV84:KA84 JV83:JX83 KA83 JV85:JX85 KA85 JV102:KA109 JV101:JX101 KA101 JV111:KA139 JV110:JX110 KA110 JV141:KA142 JV140:JX140 KA140 JV144:KA147 JV143:JX143 KA143 JV149:KA159 JV148:JX148 KA148 JV172:KA176 JV171:JX171 KA171 JV179:KA179 JV177:JX178 KA177:KA178 JV201:KA203 JV200:JX200 KA200 JV206:KA206 JV204:JX205 KA204:KA205 JV209:KA215 JV207:JX208 KA207:KA208 JV217:KA217 JV216:JX216 KA216 JV219:KA219 JV218:JX218 KA218 JV222:KA222 JV220:JX221 KA220:KA221 JV224:KA225 JV223:JX223 KA223 JV228:KA232 JV226:JX227 KA226:KA227 JV235:KA235 JV233:JX234 KA233:KA234 JV236:JX236 JV181:KA199 JV180:JX180 KA180 JV50:KA51 JV49:JX49 KA49 JV161:KA170 JV160:JX160 KA160 JV7:KA17 LE3:LI58 FD38:FD43 EY38:EY41 EY43:EY52 EY54:EY63 EY114:EY128 DS38:DS65 DS83:DS89 DS91:DS92 DS95:DS102 DS104:DS105 DS107:DS110 DS112:DS118 DS120:DS128 FN45:FN47 FN49 AZ38:AZ62 CT49:CT50 DD45:DD50 JV86:KA100 CO45:CO47 CO49 EH43 I3:J128 CC3:CC183 AJ7:AJ178 KI3:KJ163 KF3:KF165 HQ10:HR171 MM3:MN151 MI3:MJ151 MD7:MF157 KB4:KB163 JI3:JI237 LE59:LG236 NB38:NB128 MV38:MW128 MR38:MR128 LK38:LK128 IZ38:IZ128 IU38:IU128 IO38:IP128 IF38:IF128 IA38:IA128 HV38:HV128 HL38:HL128 GW38:GW128 BY38:BY128 BJ38:BJ128 AP38:AP128 NI27:NI178 NN60:NN179 HB38:HB95 EY65:EY111 FI54:FI92 FD45:FD128 KM3:KN163 BE38:BE128 GM45:GM77 DS67:DS80 JV70:KA82 DN47:DN77 AU38:AU84 AK38:AK84 AF38:AF77 AJ180:AJ238 AO3:AO238 I180:I238 Y3:Y238 AT3:AT238 AY3:AY238 BD7:BD238 BI7:BI238 BN3:BN238 BS3:BS238 BX7:BX238 CC187:CC238 CI7:CI238 AE3:AE238 CN3:CN238 CS7:CS238 CX7:CX238 DC7:DC238 DH7:DH238 DM7:DM238 DR3:DR238 DW3:DW238 EB3:EB238 EG3:EG238 EN3:EN238 ES3:ES238 EX7:EX238 FC7:FC238 FH7:FH238 FM3:FM238 FR3:FR238 FW7:FW238 GB3:GB238 GG3:GG238 GL3:GL238 GQ3:GQ238 GV7:GV238 HA7:HA238 HF3:HF238 HK14:HK238 HP3:HP238 HU10:HU238 HZ3:HZ238 IE3:IE238 IJ3:IJ238 IO129:IO238 IT3:IT238 IY3:IY238 JD3:JD238 JQ3:JQ238 JW237:JX237 JV237:JV238 KA236:KA238 JM4:JM238 KE7:KE238 KI164:KI238 KM164:KM238 KQ3:KQ238 KV3:KV238 KZ3:KZ238 LF237:LG237 LE237:LE238 LO3:LO238 LT3:LT238 LY3:LY238 MD158:MD238 MI152:MI238 MM158:MM238 MQ3:MQ238 MV129:MV238 NA37:NA238 NF158:NF238 NK158:NK238 NZ3:NZ238">
    <cfRule type="containsText" dxfId="979" priority="993" operator="containsText" text="VENCIDA">
      <formula>NOT(ISERROR(SEARCH("VENCIDA",I3)))</formula>
    </cfRule>
  </conditionalFormatting>
  <conditionalFormatting sqref="I179:J179 AZ179 AJ179:AK179 AP179 AU179 BE179 BJ179 BO179 BT179 BY179 CT179 CY179 DD179 DI179 DN179 DS179 DX179 EC179 EH179:EJ179 EO179 ET179 EY179 FD179 FI179 FN179 FS179 GC179 GH179 GM179 GW179 HB179 HL179 HV179 IA179 IF179 IP179 IU179 IZ179 KJ179 KR179 LK179 LZ179:MA179 ME179:MF179 MJ179 MN179:MP179 MR179 MW179 NB179 NG179:NJ179 NL179:NM179 NO179 CG183:CH183 CC184:CH184 CC185:CD186 CG185:CH186 LA186 LZ3:MF6 CO20:CO25 MP23:MP25 FX27:FX32 NF27:NH36 NJ27:NJ36 BY28:BY36 FD28:FD33 FI28:FI36 EH29 HT29:HT32 BT29:BT33 CO29:CO33 ET29:ET33 GC29:GC33 BE29:BE36 DS29:DS36 DX29:DX33 EC29:EC33 EO29:EO36 FS29:FS36 GH29:GH36 EH31 HT73:HT75 EH90:EJ90 LZ124 KB179 KF179 MJ152:MJ157 KB164:KB169 KJ164:KJ169 KN164:KN171 LZ38:MA43 FX73:FX81 LZ125:MA157 DN79:DN80 LZ118:MA123 EH26:EJ26 HT19:HT26 NF14:NO26 NK27:NO33 HL14:HL36 BT20:BT27 Z22:AA36 GM23:GM27 IF23:IF36 I129:I178 DN18:DN19 EH30:EI30 HT121:HT171 GC7:GC27 KR13:KR33 HB7:HB36 GW7:GW36 FN7 CY7:CY36 CT7:CT36 BO7:BO36 BJ7:BJ36 DI7:DI33 AU7:AU33 AK7:AK30 GH7:GH27 ET7:ET27 DX7 DS7:DS27 BE7:BE27 NA3:NB36 MV3:MW36 LK3:LK36 IZ3:IZ36 IU3:IU36 IA3:IA36 HV3:HV36 IO3:IP34 MR3:MR36 LZ8:MA36 BY7:BY26 EC7 EO7:EO26 EY7:EY26 FD7:FD26 FI7:FI26 FS7:FS26 DX76:DX80 NF90:NH157 LZ90:MA116 FX90:FX92 AP7:AP36 BO91:BO95 BO97:BO110 BO112:BO113 BO115:BO128 CO83:CO88 CO91:CO92 CO95 CO97:CO102 CO104:CO105 CO112:CO113 CO116:CO118 CO120:CO128 DN7:DN16 DN21:DN35 CO107:CO110 EC9:EC26 EC35:EC36 EC94:EC95 EC97:EC102 EC104:EC105 EC107:EC110 EC112:EC113 EC115:EC118 EC120:EC128 DD7:DD9 FD35:FD36 FX94:FX100 BT83:BT88 BT91:BT92 BT94:BT97 BT99:BT102 BT104:BT105 BT107:BT110 BT112:BT113 BT116:BT118 BT120:BT128 DX9 DX11:DX27 DX35:DX36 DX94:DX97 DX99:DX102 DX104:DX105 DX107:DX110 DX112:DX113 DX115:DX118 DX120:DX128 FS94:FS102 FS104:FS105 FS107:FS110 FS112:FS113 FS115:FS118 FS120:FS128 EY28:EY36 FN9 FN11:FN33 FN35:FN36 FN83:FN89 FN91:FN92 FN94:FN102 FN104:FN110 FN112:FN113 FN115:FN118 FN120:FN126 FN128 AZ7:AZ27 AZ29:AZ36 CT94:CT102 CT104:CT118 CT120:CT128 GM97 GM99:GM105 GM107:GM110 GM112:GM114 GM116:GM128 DD11:DD36 DD91:DD95 DD97:DD105 DD107:DD128 FS83:FS92 DX83:DX92 EC83:EC92 EO74:EO128 MP78:MP94 AK86:AK95 DN82:DN128 AU86:AU128 GM86:GM95 CY79:CY128 Z79:AA126 GH74:GH128 KR72:KR126 EH25:EK25 EH91:EK91 ET64:ET128 NK67:NM157 NO67:NO157 CT51:CT92 DI64:DI128 GC51:GC128 AZ64:AZ128 DD51:DD89 EC51:EC81 FN51:FN81 FS51:FS81 BO64:BO89 CY51:CY77 CO60:CO80 LZ45:MA88 BT64:BT81 NF67:NH75 MP64:MP76">
    <cfRule type="containsText" dxfId="978" priority="992" operator="containsText" text="VENCIDA">
      <formula>NOT(ISERROR(SEARCH("VENCIDA",I3)))</formula>
    </cfRule>
  </conditionalFormatting>
  <conditionalFormatting sqref="J3:J128">
    <cfRule type="containsText" dxfId="977" priority="989" operator="containsText" text="POR VENCER">
      <formula>NOT(ISERROR(SEARCH("POR VENCER",J3)))</formula>
    </cfRule>
    <cfRule type="containsText" dxfId="976" priority="990" operator="containsText" text="VIGENTE">
      <formula>NOT(ISERROR(SEARCH("VIGENTE",J3)))</formula>
    </cfRule>
    <cfRule type="containsText" dxfId="975" priority="991" operator="containsText" text="NO APLICA">
      <formula>NOT(ISERROR(SEARCH("NO APLICA",J3)))</formula>
    </cfRule>
  </conditionalFormatting>
  <conditionalFormatting sqref="J179">
    <cfRule type="containsText" dxfId="974" priority="986" operator="containsText" text="POR VENCER">
      <formula>NOT(ISERROR(SEARCH("POR VENCER",J179)))</formula>
    </cfRule>
    <cfRule type="containsText" dxfId="973" priority="987" operator="containsText" text="VIGENTE">
      <formula>NOT(ISERROR(SEARCH("VIGENTE",J179)))</formula>
    </cfRule>
    <cfRule type="containsText" dxfId="972" priority="988" operator="containsText" text="NO APLICA">
      <formula>NOT(ISERROR(SEARCH("NO APLICA",J179)))</formula>
    </cfRule>
  </conditionalFormatting>
  <conditionalFormatting sqref="S3:S238">
    <cfRule type="containsText" dxfId="971" priority="982" operator="containsText" text="POR VENCER">
      <formula>NOT(ISERROR(SEARCH("POR VENCER",S3)))</formula>
    </cfRule>
    <cfRule type="containsText" dxfId="970" priority="983" operator="containsText" text="VIGENTE">
      <formula>NOT(ISERROR(SEARCH("VIGENTE",S3)))</formula>
    </cfRule>
    <cfRule type="containsText" dxfId="969" priority="984" operator="containsText" text="NO APLICA">
      <formula>NOT(ISERROR(SEARCH("NO APLICA",S3)))</formula>
    </cfRule>
    <cfRule type="containsText" dxfId="968" priority="985" operator="containsText" text="VENCIDA">
      <formula>NOT(ISERROR(SEARCH("VENCIDA",S3)))</formula>
    </cfRule>
  </conditionalFormatting>
  <conditionalFormatting sqref="T97:T157 T3:T95 N3:N238">
    <cfRule type="containsText" dxfId="967" priority="980" operator="containsText" text="NO APLICA">
      <formula>NOT(ISERROR(SEARCH("NO APLICA",N3)))</formula>
    </cfRule>
    <cfRule type="containsText" dxfId="966" priority="981" operator="containsText" text="POR VENCER">
      <formula>NOT(ISERROR(SEARCH("POR VENCER",N3)))</formula>
    </cfRule>
  </conditionalFormatting>
  <conditionalFormatting sqref="T179">
    <cfRule type="containsText" dxfId="965" priority="978" operator="containsText" text="NO APLICA">
      <formula>NOT(ISERROR(SEARCH("NO APLICA",T179)))</formula>
    </cfRule>
    <cfRule type="containsText" dxfId="964" priority="979" operator="containsText" text="POR VENCER">
      <formula>NOT(ISERROR(SEARCH("POR VENCER",T179)))</formula>
    </cfRule>
  </conditionalFormatting>
  <conditionalFormatting sqref="T3:U11 T12 T14 T15:U18 T50 T51:U54 T55 T56:U58 T59 T71 T72:U72 T73:T74 T122 T127 T128:U128 U38:U40 U96 T42:U49 T129:T157 T97:U121 T13:U13 T60:U70 T19:T41 U21:U36 T123:U126 T75:U95 N3:N238">
    <cfRule type="containsText" dxfId="963" priority="976" operator="containsText" text="VIGENTE">
      <formula>NOT(ISERROR(SEARCH("VIGENTE",N3)))</formula>
    </cfRule>
    <cfRule type="containsText" dxfId="962" priority="977" operator="containsText" text="VENCIDA">
      <formula>NOT(ISERROR(SEARCH("VENCIDA",N3)))</formula>
    </cfRule>
  </conditionalFormatting>
  <conditionalFormatting sqref="T179:U179">
    <cfRule type="containsText" dxfId="961" priority="974" operator="containsText" text="VIGENTE">
      <formula>NOT(ISERROR(SEARCH("VIGENTE",T179)))</formula>
    </cfRule>
    <cfRule type="containsText" dxfId="960" priority="975" operator="containsText" text="VENCIDA">
      <formula>NOT(ISERROR(SEARCH("VENCIDA",T179)))</formula>
    </cfRule>
  </conditionalFormatting>
  <conditionalFormatting sqref="U3:U11 U15:U18 U38:U40 U51:U54 U56:U58 U72 U128 U42:U49 U13 U60:U70 U21:U36 U123:U126 U75:U121">
    <cfRule type="containsText" dxfId="959" priority="972" operator="containsText" text="NO APLICA">
      <formula>NOT(ISERROR(SEARCH("NO APLICA",U3)))</formula>
    </cfRule>
    <cfRule type="containsText" dxfId="958" priority="973" operator="containsText" text="POR VENCER">
      <formula>NOT(ISERROR(SEARCH("POR VENCER",U3)))</formula>
    </cfRule>
  </conditionalFormatting>
  <conditionalFormatting sqref="U179">
    <cfRule type="containsText" dxfId="957" priority="970" operator="containsText" text="NO APLICA">
      <formula>NOT(ISERROR(SEARCH("NO APLICA",U179)))</formula>
    </cfRule>
    <cfRule type="containsText" dxfId="956" priority="971" operator="containsText" text="POR VENCER">
      <formula>NOT(ISERROR(SEARCH("POR VENCER",U179)))</formula>
    </cfRule>
  </conditionalFormatting>
  <conditionalFormatting sqref="Z19:Z20 Z41 Z50 Z55 Z59 Z72:AA72 Z73:Z74 Z78 Z127 Z128:AA128 Z3:AA4 AA5 Z5:Z6 Z37:Z38 AA38 Z39:AA40 Z51:AA54 Z56:AA58 Z75:AA77 Z42:AA49 EO42:EO44 ET42:ET44 GC42:GC44 DI42:DI49 FN42:FN43 EH44:EJ44 FX43:FX45 CY38:CY50 GH38:GH49 CO38:CO43 BT38:BT49 FS38:FS44 EC38:EC44 DX38:DX44 DD38:DD43 CT38:CT47 BO38:BO62 MP28:MP63 HT43:HT44 KR42:KR58 NK35:NO54 NJ38:NJ56 KN178:KP186 Z129:Z157 NF38:NH65 GM38:GM43 DN38:DN45 FI38:FI52 Z60:AA70 KI18:KI66 HQ18:HR66 JV3:KB3 JV5:KA5 JV4:JX4 KA4 JV6:JX6 KA6 JV19:KA20 JV18:JX18 KA18 JV22:KA24 JV21:JX21 KA21 JV27:KA34 JV25:JX26 KA25:KA26 JV36:KA38 JV35:JX35 KA35 JV40:KA48 JV39:JX39 KA39 JV53:KA59 JV52:JX52 KA52 JV61:KA66 JV60:JX60 KA60 JV68:KA68 JV67:JX67 KA67 JV69:JX69 KA69 JV84:KA84 JV83:JX83 KA83 JV85:JX85 KA85 JV102:KA109 JV101:JX101 KA101 JV111:KA139 JV110:JX110 KA110 JV141:KA142 JV140:JX140 KA140 JV144:KA147 JV143:JX143 KA143 JV149:KA159 JV148:JX148 KA148 JV172:KA176 JV171:JX171 KA171 JV179:KA179 JV177:JX178 KA177:KA178 JV201:KA203 JV200:JX200 KA200 JV206:KA206 JV204:JX205 KA204:KA205 JV209:KA215 JV207:JX208 KA207:KA208 JV217:KA217 JV216:JX216 KA216 JV219:KA219 JV218:JX218 KA218 JV222:KA222 JV220:JX221 KA220:KA221 JV224:KA225 JV223:JX223 KA223 JV228:KA232 JV226:JX227 KA226:KA227 JV235:KA235 JV233:JX234 KA233:KA234 JV236:JX236 JV181:KA199 JV180:JX180 KA180 JV50:KA51 JV49:JX49 KA49 JV161:KA170 JV160:JX160 KA160 JV7:KA17 LE3:LI58 FD38:FD43 EY38:EY41 EY43:EY52 EY54:EY63 EY114:EY128 DS38:DS65 DS83:DS89 DS91:DS92 DS95:DS102 DS104:DS105 DS107:DS110 DS112:DS118 DS120:DS128 FN45:FN47 FN49 AZ38:AZ62 CT49:CT50 DD45:DD50 JV86:KA100 CO45:CO47 CO49 EH43 CC3:CC183 AJ3:AJ178 KE3:KF163 JD3:JD131 KJ3:KJ131 MI3:MJ151 MD3:MF157 JI3:JI237 LE59:LG236 NB38:NB128 MV38:MW128 MR38:MR128 LK38:LK128 IY38:IZ128 IO38:IP128 IJ38:IJ128 IE38:IF128 HZ38:IA128 HV38:HV128 HL38:HL128 GW38:GW128 BY38:BY128 BJ38:BJ128 AP38:AP128 MM18:MN151 NI27:NI178 NN60:NN179 HB38:HB95 EY65:EY111 FI54:FI92 FD45:FD128 KM3:KN163 BE38:BE128 GM45:GM77 DS67:DS80 KB4:KB79 JV70:KA82 DN47:DN77 AF38:AF77 AU38:AU84 AK38:AK84 IT38:IU79 AJ180:AJ238 AO3:AO238 Y3:Y238 AT3:AT238 AY3:AY238 BD3:BD238 BI3:BI238 BN3:BN238 BS3:BS238 BX3:BX238 CC187:CC238 CI3:CI238 AE3:AE238 CN3:CN238 CS3:CS238 CX3:CX238 DC3:DC238 DH3:DH238 DM3:DM238 DR3:DR238 DW3:DW238 EB3:EB238 EG3:EG238 EN3:EN238 ES3:ES238 EX3:EX238 FC3:FC238 FH3:FH238 FM3:FM238 FR3:FR238 FW3:FW238 GB3:GB238 GG3:GG238 GL3:GL238 GQ38:GQ238 GV3:GV238 HA3:HA238 HF3:HF238 HK14:HK238 HP3:HP238 HU10:HU238 HZ137:HZ238 IE137:IE238 IJ137:IJ238 IO129:IO238 IT80:IT238 IY137:IY238 JD137:JD238 JQ3:JQ238 JW237:JX237 JV237:JV238 KA236:KA238 JM4:JM238 KE164:KE238 KI72:KI238 KM164:KM238 KQ3:KQ238 KV38:KV238 KZ3:KZ238 LF237:LG237 LE237:LE238 LO14:LO238 LT3:LT238 LY3:LY238 MD158:MD238 MI152:MI238 MM158:MM238 MQ3:MQ238 MV129:MV238 NA37:NA238 NF158:NF238 NK158:NK238 NZ3:NZ238">
    <cfRule type="containsText" dxfId="955" priority="969" operator="containsText" text="POR VENCER">
      <formula>NOT(ISERROR(SEARCH("POR VENCER",Y3)))</formula>
    </cfRule>
  </conditionalFormatting>
  <conditionalFormatting sqref="Z19:Z21 Z41 Z50 Z55 Z59 Z68:AA70 Z72:AA72 Z73:Z74 Z78 Z127 Z128:AA128">
    <cfRule type="containsText" dxfId="954" priority="968" operator="containsText" text="VENCIDA">
      <formula>NOT(ISERROR(SEARCH("VENCIDA",Z19)))</formula>
    </cfRule>
  </conditionalFormatting>
  <conditionalFormatting sqref="Z71">
    <cfRule type="containsText" dxfId="953" priority="967" operator="containsText" text="POR VENCER">
      <formula>NOT(ISERROR(SEARCH("POR VENCER",Z71)))</formula>
    </cfRule>
  </conditionalFormatting>
  <conditionalFormatting sqref="Z3:AA4 AA5 Z5:Z6 Z19:Z20 Z37:Z38 AA38 Z39:AA40 Z41 Z50 Z51:AA54 Z55 Z56:AA58 Z59 Z72:AA72 Z73:Z74 Z75:AA77 Z78 Z127 Z128:AA128 Z71 CO20:CO25 MP23:MP25 FX27:FX32 NF27:NH36 NJ27:NJ36 BY28:BY36 FD28:FD33 FI28:FI36 EH29 HT29:HT32 BT29:BT33 CO29:CO33 ET29:ET33 GC29:GC33 BE29:BE36 DS29:DS36 DX29:DX33 EC29:EC33 EO29:EO36 FS29:FS36 GH29:GH36 IA38:IA41 IF38:IF41 IZ38:IZ41 HT73:HT75 LZ90:MA92 EH90:EJ90 KN164:KN171 FX73:FX81 Z42:AA49 EO42:EO44 ET42:ET44 DI42:DI49 FN42:FN43 EH44:EJ44 FX43:FX45 GH38:GH49 CO38:CO43 BT38:BT49 FS38:FS44 EC38:EC44 DX38:DX44 BO38:BO62 KR42:KR58 HT43:HT44 NK35:NO54 NJ38:NJ56 KN178:KP186 Z129:Z157 DN79:DN80 KJ124:KJ131 NF38:NH65 GM38:GM43 FI38:FI52 Z60:AA70 EH26:EJ26 HT19:HT26 HK14:HL26 NF14:NO26 Z21:AA36 NK27:NO33 HL27:HL36 LZ14:MA36 BT20:BT27 GM23:GM27 IF23:IF36 HZ27:HZ41 IA27:IA36 IU27:IU36 IZ27:IZ36 IY27:IY41 BE27 AK27:AK30 DI27:DI33 BJ27:BJ36 CT27:CT36 CY27:CY36 GW27:GW36 HB27:HB36 KJ137:KJ169 KF162:KF165 DM18:DN19 DM17 DM21:DN26 DM20 EH30:EI30 HT121:HT171 JV3:KB3 JV5:KA5 JV4:JX4 KA4 JV6:JX6 KA6 JV19:KA20 JV18:JX18 KA18 JV22:KA24 JV21:JX21 KA21 JV27:KA34 JV25:JX26 KA25:KA26 JV36:KA38 JV35:JX35 KA35 JV40:KA48 JV39:JX39 KA39 JV53:KA59 JV52:JX52 KA52 JV61:KA66 JV60:JX60 KA60 JV68:KA68 JV67:JX67 KA67 JV69:JX69 KA69 JV84:KA84 JV83:JX83 KA83 JV85:JX85 KA85 JV102:KA109 JV101:JX101 KA101 JV111:KA139 JV110:JX110 KA110 JV141:KA142 JV140:JX140 KA140 JV144:KA147 JV143:JX143 KA143 JV149:KA159 JV148:JX148 KA148 JV172:KA176 JV171:JX171 KA171 JV179:KA179 JV177:JX178 KA177:KA178 JV201:KA203 JV200:JX200 KA200 JV206:KA206 JV204:JX205 KA204:KA205 JV209:KA215 JV207:JX208 KA207:KA208 JV217:KA217 JV216:JX216 KA216 JV219:KA219 JV218:JX218 KA218 JV222:KA222 JV220:JX221 KA220:KA221 JV224:KA225 JV223:JX223 KA223 JV228:KA232 JV226:JX227 KA226:KA227 JV235:KA235 JV233:JX234 KA233:KA234 JV236:JX236 JV181:KA199 JV180:JX180 KA180 JV50:KA51 JV49:JX49 KA49 JV161:KA170 JV160:JX160 KA160 JV7:KA17 GC7:GC27 KR13:KR33 LE3:LI58 MR7:MR36 FN7 BO7:BO36 AU7:AU33 GH7:GH27 ET7:ET27 DX7 DS7:DS27 MV3:MW36 LK3:LK36 IO3:IP34 IE3:IE41 HV3:HV36 HZ3:IA26 IT3:IU26 IY3:IZ26 BX7:BY26 EC7 EO7:EO26 EX7:EY26 FC7:FD26 FH7:FI26 FS7:FS26 BD7:BE26 AJ7:AK26 DH7:DI26 BI7:BJ26 CS7:CT26 CX7:CY26 DC7:DD9 GV7:GW26 HA7:HB26 Z7:AA18 DX76:DX80 FD38:FD43 EY38:EY41 FX90:FX92 EY54:EY63 CT38:CT47 AP7:AP36 BO91:BO95 BO97:BO110 BO112:BO113 BO115:BO128 CO83:CO88 CO91:CO92 CO95 CO97:CO102 CO104:CO105 CO112:CO113 CO116:CO118 CO120:CO128 DM7:DN16 DN27:DN35 DN37:DN45 CO107:CO110 EC9:EC26 EC35:EC36 EC94:EC95 EC97:EC102 EC104:EC105 EC107:EC110 EC112:EC113 EC115:EC118 EC120:EC128 DD27:DD36 DD38:DD43 DS38:DS65 DS83:DS89 DS91:DS92 DS95:DS102 DS104:DS105 DS107:DS110 DS112:DS118 DS120:DS128 FD35:FD36 FX94:FX100 GC42:GC45 BT83:BT88 BT91:BT92 BT94:BT97 BT99:BT102 BT104:BT105 BT107:BT110 BT112:BT113 BT116:BT118 BT120:BT128 DX9 DX11:DX27 DX35:DX36 DX94:DX97 DX99:DX102 DX104:DX105 DX107:DX110 DX112:DX113 DX115:DX118 DX120:DX128 FS94:FS102 FS104:FS105 FS107:FS110 FS112:FS113 FS115:FS118 FS120:FS128 EY28:EY36 EY43:EY52 EY114:EY128 FN9 FN11:FN33 FN35:FN36 FN83:FN89 FN91:FN92 FN94:FN102 FN104:FN110 FN112:FN113 FN115:FN118 FN120:FN126 FN128 FN45:FN47 FN49 AZ38:AZ62 AZ7:AZ27 AZ29:AZ36 CT94:CT102 CT104:CT118 CT120:CT128 GM97 GM99:GM105 GM107:GM110 GM112:GM114 GM116:GM128 DC11:DD26 DC10 DD91:DD95 DD97:DD105 DD107:DD128 FS83:FS92 DX83:DX92 EC83:EC92 EO74:EO128 MP78:MP94 AK86:AK95 DN82:DN128 AU86:AU128 GM86:GM95 CY79:CY128 Z79:AA126 GH74:GH128 KR72:KR126 JV86:KA100 CO45:CO47 CO49 EH25:EK25 EH91:EK91 EH43 KI3:KJ123 CC3:CC182 HQ10:HR171 KE3:KF161 JD3:JD131 MM3:MN151 MI3:MJ157 MD7:MF157 KB4:KB169 JI3:JI237 LE59:LG236 ET64:ET128 NK67:NM157 NO67:NO157 NB38:NB128 MV38:MW128 MR38:MR128 LK38:LK128 IU38:IU128 IO38:IP128 HV38:HV128 HL38:HL128 GW38:GW128 BY38:BY128 AP38:AP128 IY42:IZ128 IE42:IF128 HZ42:IA128 AJ27:AJ178 NI27:NI178 NN60:NN179 HB38:HB95 FI54:FI92 BJ38:BJ128 DI64:DI128 FD45:FD128 KM3:KN163 BE38:BE128 GC51:GC128 EY65:EY111 AZ64:AZ128 CT49:CT92 DD45:DD89 GM45:GM77 DS67:DS80 DN47:DN77 EC51:EC81 FN51:FN81 FS51:FS81 BO64:BO89 JV70:KA82 CO60:CO80 LZ45:MA88 AU38:AU84 AK38:AK84 AF38:AF77 CY38:CY77 MP28:MP76 BT64:BT81 NF67:NH75 AJ180:AJ238 AO3:AO238 Y3:Y238 AT3:AT238 AY3:AY238 BD27:BD238 BI27:BI238 BN3:BN238 BS3:BS238 BX27:BX238 CC187:CC238 CI7:CI238 AE3:AE238 CN3:CN238 CS27:CS238 CX27:CX238 DC27:DC238 DH27:DH238 DM27:DM238 DR3:DR238 DW3:DW238 EB3:EB238 EG3:EG238 EN3:EN238 ES3:ES238 EX27:EX238 FC27:FC238 FH27:FH238 FM3:FM238 FR3:FR238 FW7:FW238 GB3:GB238 GG3:GG238 GL3:GL238 GQ3:GQ238 GV27:GV238 HA27:HA238 HF3:HF238 HK27:HK238 HP3:HP238 HU10:HU238 HZ129:HZ238 IE129:IE238 IJ3:IJ238 IO129:IO238 IT27:IT238 IY137:IY238 JD137:JD238 JQ3:JQ238 JW237:JX237 JV237:JV238 KA236:KA238 JM3:JM238 KE162:KE238 KI124:KI238 KM164:KM238 KQ7:KQ238 KV3:KV238 KZ3:KZ238 LF237:LG237 LE237:LE238 LO14:LO238 LT3:LT238 LY3:LY238 MD158:MD238 MI158:MI238 MM158:MM238 MQ3:MQ238 MV129:MV238 NA3:NA238 NF158:NF238 NK158:NK238 NZ3:NZ238">
    <cfRule type="containsText" dxfId="952" priority="966" operator="containsText" text="VIGENTE">
      <formula>NOT(ISERROR(SEARCH("VIGENTE",Y3)))</formula>
    </cfRule>
  </conditionalFormatting>
  <conditionalFormatting sqref="Z3:AA4 AA5 Z5:Z6 Z37:Z38 AA38 Z39:AA40 Z51:AA54 Z56:AA58 Z71 Z75:AA77 Z19:Z20 Z41 Z50 Z55 Z59 Z72:AA72 Z73:Z74 Z78 Z127 Z128:AA128 Z42:AA49 AF38:AF50 MP28:MP63 EO42:EO44 ET42:ET44 GC42:GC44 DI42:DI49 FN42:FN43 EH44:EJ44 FX43:FX45 DD38:DD43 CY38:CY50 CT38:CT47 GH38:GH49 CO38:CO43 BT38:BT49 FS38:FS44 EC38:EC44 DX38:DX44 BO38:BO62 HT43:HT44 KR42:KR58 KN178:KP186 Z129:Z157 GM38:GM43 DN38:DN45 FI38:FI52 Z60:AA70 JV3:KB3 JV5:KA5 JV4:JX4 KA4 JV6:JX6 KA6 JV19:KA20 JV18:JX18 KA18 JV22:KA24 JV21:JX21 KA21 JV27:KA34 JV25:JX26 KA25:KA26 JV36:KA38 JV35:JX35 KA35 JV40:KA48 JV39:JX39 KA39 JV53:KA59 JV52:JX52 KA52 JV61:KA66 JV60:JX60 KA60 JV68:KA68 JV67:JX67 KA67 JV69:JX69 KA69 JV84:KA84 JV83:JX83 KA83 JV85:JX85 KA85 JV102:KA109 JV101:JX101 KA101 JV111:KA139 JV110:JX110 KA110 JV141:KA142 JV140:JX140 KA140 JV144:KA147 JV143:JX143 KA143 JV149:KA159 JV148:JX148 KA148 JV172:KA176 JV171:JX171 KA171 JV179:KA179 JV177:JX178 KA177:KA178 JV201:KA203 JV200:JX200 KA200 JV206:KA206 JV204:JX205 KA204:KA205 JV209:KA215 JV207:JX208 KA207:KA208 JV217:KA217 JV216:JX216 KA216 JV219:KA219 JV218:JX218 KA218 JV222:KA222 JV220:JX221 KA220:KA221 JV224:KA225 JV223:JX223 KA223 JV228:KA232 JV226:JX227 KA226:KA227 JV235:KA235 JV233:JX234 KA233:KA234 JV236:JX236 JV181:KA199 JV180:JX180 KA180 JV50:KA51 JV49:JX49 KA49 JV161:KA170 JV160:JX160 KA160 JV7:KA17 LE3:LI58 FD38:FD43 EY38:EY41 EY43:EY52 EY54:EY63 EY114:EY128 DS38:DS65 DS83:DS89 DS91:DS92 DS95:DS102 DS104:DS105 DS107:DS110 DS112:DS118 DS120:DS128 FN45:FN47 FN49 AZ38:AZ62 CT49:CT50 DD45:DD50 JV86:KA100 CO45:CO47 CO49 EH43 CC3:CC182 AJ3:AJ178 KE3:KF163 IJ3:IJ128 JD3:JD131 KJ3:KJ131 MM3:MN151 MI3:MJ157 MD7:MF157 JI3:JI237 LE59:LG236 NB38:NB128 MV38:MW128 MR38:MR128 LK38:LK128 IU38:IU128 IO38:IP128 HV38:HV128 HL38:HL128 GW38:GW128 BY38:BY128 BJ38:BJ128 AP38:AP128 HZ42:IA128 GQ37:GQ128 IY42:IZ128 IE42:IF128 HQ18:HR171 NI27:NI178 NN60:NN179 HB38:HB95 EY65:EY111 FI54:FI92 FD45:FD128 KM3:KN163 BE38:BE128 GM45:GM77 DS67:DS80 KB4:KB79 JV70:KA82 DN47:DN77 AU38:AU84 AK38:AK84 AJ180:AJ238 AO3:AO238 Y3:Y238 AT3:AT238 AY3:AY238 BD3:BD238 BI3:BI238 BN3:BN238 BS3:BS238 BX3:BX238 CC187:CC238 CI3:CI238 AE3:AE238 CN3:CN238 CS3:CS238 CX3:CX238 DC3:DC238 DH3:DH238 DM3:DM238 DR3:DR238 DW3:DW238 EB3:EB238 EG3:EG238 EN3:EN238 ES3:ES238 EX3:EX238 FC3:FC238 FH3:FH238 FM3:FM238 FR3:FR238 FW7:FW238 GB3:GB238 GG3:GG238 GL3:GL238 GQ137:GQ238 GV3:GV238 HA3:HA238 HF3:HF238 HK14:HK238 HP3:HP238 HU10:HU238 HZ137:HZ238 IE137:IE238 IJ137:IJ238 IO129:IO238 IT3:IT238 IY137:IY238 JD137:JD238 JQ4:JQ238 JW237:JX237 JV237:JV238 KA236:KA238 JM4:JM238 KE164:KE238 KI18:KI238 KM164:KM238 KQ3:KQ238 KV35:KV238 KZ3:KZ238 LF237:LG237 LE237:LE238 LO14:LO238 LT3:LT238 LY3:LY238 MD158:MD238 MI158:MI238 MM158:MM238 MQ3:MQ238 MV132:MV238 NA3:NA238 NF158:NF238 NK158:NK238 NZ3:NZ238">
    <cfRule type="containsText" dxfId="951" priority="965" operator="containsText" text="NO APLICA">
      <formula>NOT(ISERROR(SEARCH("NO APLICA",Y3)))</formula>
    </cfRule>
  </conditionalFormatting>
  <conditionalFormatting sqref="Z3:AA4 AA5 Z5:Z6 AA21 Z37:Z38 AA38 Z39:AA40 Z51:AA54 Z56:AA58 Z71 Z75:AA77 Z129:Z157 Z60:AA67 Z7:AA18">
    <cfRule type="containsText" dxfId="950" priority="964" operator="containsText" text="VENCIDA">
      <formula>NOT(ISERROR(SEARCH("VENCIDA",Z3)))</formula>
    </cfRule>
  </conditionalFormatting>
  <conditionalFormatting sqref="KR13:KR33 GQ3:GQ36 KV3:KV34 Z7:AA18">
    <cfRule type="containsText" dxfId="949" priority="963" operator="containsText" text="NO APLICA">
      <formula>NOT(ISERROR(SEARCH("NO APLICA",Z3)))</formula>
    </cfRule>
  </conditionalFormatting>
  <conditionalFormatting sqref="Z179:AA179">
    <cfRule type="containsText" dxfId="948" priority="959" operator="containsText" text="POR VENCER">
      <formula>NOT(ISERROR(SEARCH("POR VENCER",Z179)))</formula>
    </cfRule>
    <cfRule type="containsText" dxfId="947" priority="960" operator="containsText" text="VIGENTE">
      <formula>NOT(ISERROR(SEARCH("VIGENTE",Z179)))</formula>
    </cfRule>
    <cfRule type="containsText" dxfId="946" priority="961" operator="containsText" text="NO APLICA">
      <formula>NOT(ISERROR(SEARCH("NO APLICA",Z179)))</formula>
    </cfRule>
    <cfRule type="containsText" dxfId="945" priority="962" operator="containsText" text="VENCIDA">
      <formula>NOT(ISERROR(SEARCH("VENCIDA",Z179)))</formula>
    </cfRule>
  </conditionalFormatting>
  <conditionalFormatting sqref="AA165 NU3:NU238">
    <cfRule type="containsText" dxfId="944" priority="955" operator="containsText" text="VENCIDA">
      <formula>NOT(ISERROR(SEARCH("VENCIDA",AA3)))</formula>
    </cfRule>
    <cfRule type="containsText" dxfId="943" priority="956" operator="containsText" text="NO APLICA">
      <formula>NOT(ISERROR(SEARCH("NO APLICA",AA3)))</formula>
    </cfRule>
    <cfRule type="containsText" dxfId="942" priority="957" operator="containsText" text="POR VENCER">
      <formula>NOT(ISERROR(SEARCH("POR VENCER",AA3)))</formula>
    </cfRule>
    <cfRule type="containsText" dxfId="941" priority="958" operator="containsText" text="VIGENTE">
      <formula>NOT(ISERROR(SEARCH("VIGENTE",AA3)))</formula>
    </cfRule>
  </conditionalFormatting>
  <conditionalFormatting sqref="AA169:AA170">
    <cfRule type="containsText" dxfId="940" priority="951" operator="containsText" text="VENCIDA">
      <formula>NOT(ISERROR(SEARCH("VENCIDA",AA169)))</formula>
    </cfRule>
    <cfRule type="containsText" dxfId="939" priority="952" operator="containsText" text="NO APLICA">
      <formula>NOT(ISERROR(SEARCH("NO APLICA",AA169)))</formula>
    </cfRule>
    <cfRule type="containsText" dxfId="938" priority="953" operator="containsText" text="POR VENCER">
      <formula>NOT(ISERROR(SEARCH("POR VENCER",AA169)))</formula>
    </cfRule>
    <cfRule type="containsText" dxfId="937" priority="954" operator="containsText" text="VIGENTE">
      <formula>NOT(ISERROR(SEARCH("VIGENTE",AA169)))</formula>
    </cfRule>
  </conditionalFormatting>
  <conditionalFormatting sqref="AA173:AA174">
    <cfRule type="containsText" dxfId="936" priority="947" operator="containsText" text="VENCIDA">
      <formula>NOT(ISERROR(SEARCH("VENCIDA",AA173)))</formula>
    </cfRule>
    <cfRule type="containsText" dxfId="935" priority="948" operator="containsText" text="NO APLICA">
      <formula>NOT(ISERROR(SEARCH("NO APLICA",AA173)))</formula>
    </cfRule>
    <cfRule type="containsText" dxfId="934" priority="949" operator="containsText" text="POR VENCER">
      <formula>NOT(ISERROR(SEARCH("POR VENCER",AA173)))</formula>
    </cfRule>
    <cfRule type="containsText" dxfId="933" priority="950" operator="containsText" text="VIGENTE">
      <formula>NOT(ISERROR(SEARCH("VIGENTE",AA173)))</formula>
    </cfRule>
  </conditionalFormatting>
  <conditionalFormatting sqref="AF3:AF36 AF79:AF128">
    <cfRule type="containsText" dxfId="932" priority="946" operator="containsText" text="VENCIDA">
      <formula>NOT(ISERROR(SEARCH("VENCIDA",AF3)))</formula>
    </cfRule>
  </conditionalFormatting>
  <conditionalFormatting sqref="AF3:AF36 AF79:AF128">
    <cfRule type="containsText" dxfId="931" priority="945" operator="containsText" text="VIGENTE">
      <formula>NOT(ISERROR(SEARCH("VIGENTE",AF3)))</formula>
    </cfRule>
  </conditionalFormatting>
  <conditionalFormatting sqref="AF3:AF36 AF79:AF128">
    <cfRule type="containsText" dxfId="930" priority="944" operator="containsText" text="POR VENCER">
      <formula>NOT(ISERROR(SEARCH("POR VENCER",AF3)))</formula>
    </cfRule>
  </conditionalFormatting>
  <conditionalFormatting sqref="AF3:AF12">
    <cfRule type="containsText" dxfId="929" priority="943" operator="containsText" text="NO APLICA">
      <formula>NOT(ISERROR(SEARCH("NO APLICA",AF3)))</formula>
    </cfRule>
  </conditionalFormatting>
  <conditionalFormatting sqref="AF179 Z182:AE186">
    <cfRule type="containsText" dxfId="928" priority="942" operator="containsText" text="VENCIDA">
      <formula>NOT(ISERROR(SEARCH("VENCIDA",Z179)))</formula>
    </cfRule>
  </conditionalFormatting>
  <conditionalFormatting sqref="AG10:AG11">
    <cfRule type="containsText" dxfId="927" priority="938" operator="containsText" text="NO APLICA">
      <formula>NOT(ISERROR(SEARCH("NO APLICA",AG10)))</formula>
    </cfRule>
    <cfRule type="containsText" dxfId="926" priority="939" operator="containsText" text="POR VENCER">
      <formula>NOT(ISERROR(SEARCH("POR VENCER",AG10)))</formula>
    </cfRule>
    <cfRule type="containsText" dxfId="925" priority="940" operator="containsText" text="VIGENTE">
      <formula>NOT(ISERROR(SEARCH("VIGENTE",AG10)))</formula>
    </cfRule>
    <cfRule type="containsText" dxfId="924" priority="941" operator="containsText" text="VENCIDA">
      <formula>NOT(ISERROR(SEARCH("VENCIDA",AG10)))</formula>
    </cfRule>
  </conditionalFormatting>
  <conditionalFormatting sqref="AG14">
    <cfRule type="containsText" dxfId="923" priority="934" operator="containsText" text="NO APLICA">
      <formula>NOT(ISERROR(SEARCH("NO APLICA",AG14)))</formula>
    </cfRule>
    <cfRule type="containsText" dxfId="922" priority="935" operator="containsText" text="POR VENCER">
      <formula>NOT(ISERROR(SEARCH("POR VENCER",AG14)))</formula>
    </cfRule>
    <cfRule type="containsText" dxfId="921" priority="936" operator="containsText" text="VIGENTE">
      <formula>NOT(ISERROR(SEARCH("VIGENTE",AG14)))</formula>
    </cfRule>
    <cfRule type="containsText" dxfId="920" priority="937" operator="containsText" text="VENCIDA">
      <formula>NOT(ISERROR(SEARCH("VENCIDA",AG14)))</formula>
    </cfRule>
  </conditionalFormatting>
  <conditionalFormatting sqref="AG18">
    <cfRule type="containsText" dxfId="919" priority="930" operator="containsText" text="NO APLICA">
      <formula>NOT(ISERROR(SEARCH("NO APLICA",AG18)))</formula>
    </cfRule>
    <cfRule type="containsText" dxfId="918" priority="931" operator="containsText" text="POR VENCER">
      <formula>NOT(ISERROR(SEARCH("POR VENCER",AG18)))</formula>
    </cfRule>
    <cfRule type="containsText" dxfId="917" priority="932" operator="containsText" text="VIGENTE">
      <formula>NOT(ISERROR(SEARCH("VIGENTE",AG18)))</formula>
    </cfRule>
    <cfRule type="containsText" dxfId="916" priority="933" operator="containsText" text="VENCIDA">
      <formula>NOT(ISERROR(SEARCH("VENCIDA",AG18)))</formula>
    </cfRule>
  </conditionalFormatting>
  <conditionalFormatting sqref="AG22">
    <cfRule type="containsText" dxfId="915" priority="926" operator="containsText" text="NO APLICA">
      <formula>NOT(ISERROR(SEARCH("NO APLICA",AG22)))</formula>
    </cfRule>
    <cfRule type="containsText" dxfId="914" priority="927" operator="containsText" text="POR VENCER">
      <formula>NOT(ISERROR(SEARCH("POR VENCER",AG22)))</formula>
    </cfRule>
    <cfRule type="containsText" dxfId="913" priority="928" operator="containsText" text="VIGENTE">
      <formula>NOT(ISERROR(SEARCH("VIGENTE",AG22)))</formula>
    </cfRule>
    <cfRule type="containsText" dxfId="912" priority="929" operator="containsText" text="VENCIDA">
      <formula>NOT(ISERROR(SEARCH("VENCIDA",AG22)))</formula>
    </cfRule>
  </conditionalFormatting>
  <conditionalFormatting sqref="AG24:AG25">
    <cfRule type="containsText" dxfId="911" priority="922" operator="containsText" text="NO APLICA">
      <formula>NOT(ISERROR(SEARCH("NO APLICA",AG24)))</formula>
    </cfRule>
    <cfRule type="containsText" dxfId="910" priority="923" operator="containsText" text="POR VENCER">
      <formula>NOT(ISERROR(SEARCH("POR VENCER",AG24)))</formula>
    </cfRule>
    <cfRule type="containsText" dxfId="909" priority="924" operator="containsText" text="VIGENTE">
      <formula>NOT(ISERROR(SEARCH("VIGENTE",AG24)))</formula>
    </cfRule>
    <cfRule type="containsText" dxfId="908" priority="925" operator="containsText" text="VENCIDA">
      <formula>NOT(ISERROR(SEARCH("VENCIDA",AG24)))</formula>
    </cfRule>
  </conditionalFormatting>
  <conditionalFormatting sqref="AG31">
    <cfRule type="containsText" dxfId="907" priority="918" operator="containsText" text="NO APLICA">
      <formula>NOT(ISERROR(SEARCH("NO APLICA",AG31)))</formula>
    </cfRule>
    <cfRule type="containsText" dxfId="906" priority="919" operator="containsText" text="POR VENCER">
      <formula>NOT(ISERROR(SEARCH("POR VENCER",AG31)))</formula>
    </cfRule>
    <cfRule type="containsText" dxfId="905" priority="920" operator="containsText" text="VIGENTE">
      <formula>NOT(ISERROR(SEARCH("VIGENTE",AG31)))</formula>
    </cfRule>
    <cfRule type="containsText" dxfId="904" priority="921" operator="containsText" text="VENCIDA">
      <formula>NOT(ISERROR(SEARCH("VENCIDA",AG31)))</formula>
    </cfRule>
  </conditionalFormatting>
  <conditionalFormatting sqref="AG35:AG36">
    <cfRule type="containsText" dxfId="903" priority="914" operator="containsText" text="NO APLICA">
      <formula>NOT(ISERROR(SEARCH("NO APLICA",AG35)))</formula>
    </cfRule>
    <cfRule type="containsText" dxfId="902" priority="915" operator="containsText" text="POR VENCER">
      <formula>NOT(ISERROR(SEARCH("POR VENCER",AG35)))</formula>
    </cfRule>
    <cfRule type="containsText" dxfId="901" priority="916" operator="containsText" text="VIGENTE">
      <formula>NOT(ISERROR(SEARCH("VIGENTE",AG35)))</formula>
    </cfRule>
    <cfRule type="containsText" dxfId="900" priority="917" operator="containsText" text="VENCIDA">
      <formula>NOT(ISERROR(SEARCH("VENCIDA",AG35)))</formula>
    </cfRule>
  </conditionalFormatting>
  <conditionalFormatting sqref="AG42">
    <cfRule type="containsText" dxfId="899" priority="910" operator="containsText" text="NO APLICA">
      <formula>NOT(ISERROR(SEARCH("NO APLICA",AG42)))</formula>
    </cfRule>
    <cfRule type="containsText" dxfId="898" priority="911" operator="containsText" text="POR VENCER">
      <formula>NOT(ISERROR(SEARCH("POR VENCER",AG42)))</formula>
    </cfRule>
    <cfRule type="containsText" dxfId="897" priority="912" operator="containsText" text="VIGENTE">
      <formula>NOT(ISERROR(SEARCH("VIGENTE",AG42)))</formula>
    </cfRule>
    <cfRule type="containsText" dxfId="896" priority="913" operator="containsText" text="VENCIDA">
      <formula>NOT(ISERROR(SEARCH("VENCIDA",AG42)))</formula>
    </cfRule>
  </conditionalFormatting>
  <conditionalFormatting sqref="AG47">
    <cfRule type="containsText" dxfId="895" priority="906" operator="containsText" text="NO APLICA">
      <formula>NOT(ISERROR(SEARCH("NO APLICA",AG47)))</formula>
    </cfRule>
    <cfRule type="containsText" dxfId="894" priority="907" operator="containsText" text="POR VENCER">
      <formula>NOT(ISERROR(SEARCH("POR VENCER",AG47)))</formula>
    </cfRule>
    <cfRule type="containsText" dxfId="893" priority="908" operator="containsText" text="VIGENTE">
      <formula>NOT(ISERROR(SEARCH("VIGENTE",AG47)))</formula>
    </cfRule>
    <cfRule type="containsText" dxfId="892" priority="909" operator="containsText" text="VENCIDA">
      <formula>NOT(ISERROR(SEARCH("VENCIDA",AG47)))</formula>
    </cfRule>
  </conditionalFormatting>
  <conditionalFormatting sqref="AG51">
    <cfRule type="containsText" dxfId="891" priority="902" operator="containsText" text="NO APLICA">
      <formula>NOT(ISERROR(SEARCH("NO APLICA",AG51)))</formula>
    </cfRule>
    <cfRule type="containsText" dxfId="890" priority="903" operator="containsText" text="POR VENCER">
      <formula>NOT(ISERROR(SEARCH("POR VENCER",AG51)))</formula>
    </cfRule>
    <cfRule type="containsText" dxfId="889" priority="904" operator="containsText" text="VIGENTE">
      <formula>NOT(ISERROR(SEARCH("VIGENTE",AG51)))</formula>
    </cfRule>
    <cfRule type="containsText" dxfId="888" priority="905" operator="containsText" text="VENCIDA">
      <formula>NOT(ISERROR(SEARCH("VENCIDA",AG51)))</formula>
    </cfRule>
  </conditionalFormatting>
  <conditionalFormatting sqref="AG63">
    <cfRule type="containsText" dxfId="887" priority="898" operator="containsText" text="NO APLICA">
      <formula>NOT(ISERROR(SEARCH("NO APLICA",AG63)))</formula>
    </cfRule>
    <cfRule type="containsText" dxfId="886" priority="899" operator="containsText" text="POR VENCER">
      <formula>NOT(ISERROR(SEARCH("POR VENCER",AG63)))</formula>
    </cfRule>
    <cfRule type="containsText" dxfId="885" priority="900" operator="containsText" text="VIGENTE">
      <formula>NOT(ISERROR(SEARCH("VIGENTE",AG63)))</formula>
    </cfRule>
    <cfRule type="containsText" dxfId="884" priority="901" operator="containsText" text="VENCIDA">
      <formula>NOT(ISERROR(SEARCH("VENCIDA",AG63)))</formula>
    </cfRule>
  </conditionalFormatting>
  <conditionalFormatting sqref="AG68">
    <cfRule type="containsText" dxfId="883" priority="894" operator="containsText" text="NO APLICA">
      <formula>NOT(ISERROR(SEARCH("NO APLICA",AG68)))</formula>
    </cfRule>
    <cfRule type="containsText" dxfId="882" priority="895" operator="containsText" text="POR VENCER">
      <formula>NOT(ISERROR(SEARCH("POR VENCER",AG68)))</formula>
    </cfRule>
    <cfRule type="containsText" dxfId="881" priority="896" operator="containsText" text="VIGENTE">
      <formula>NOT(ISERROR(SEARCH("VIGENTE",AG68)))</formula>
    </cfRule>
    <cfRule type="containsText" dxfId="880" priority="897" operator="containsText" text="VENCIDA">
      <formula>NOT(ISERROR(SEARCH("VENCIDA",AG68)))</formula>
    </cfRule>
  </conditionalFormatting>
  <conditionalFormatting sqref="AG76:AG77">
    <cfRule type="containsText" dxfId="879" priority="890" operator="containsText" text="NO APLICA">
      <formula>NOT(ISERROR(SEARCH("NO APLICA",AG76)))</formula>
    </cfRule>
    <cfRule type="containsText" dxfId="878" priority="891" operator="containsText" text="POR VENCER">
      <formula>NOT(ISERROR(SEARCH("POR VENCER",AG76)))</formula>
    </cfRule>
    <cfRule type="containsText" dxfId="877" priority="892" operator="containsText" text="VIGENTE">
      <formula>NOT(ISERROR(SEARCH("VIGENTE",AG76)))</formula>
    </cfRule>
    <cfRule type="containsText" dxfId="876" priority="893" operator="containsText" text="VENCIDA">
      <formula>NOT(ISERROR(SEARCH("VENCIDA",AG76)))</formula>
    </cfRule>
  </conditionalFormatting>
  <conditionalFormatting sqref="AG89">
    <cfRule type="containsText" dxfId="875" priority="886" operator="containsText" text="NO APLICA">
      <formula>NOT(ISERROR(SEARCH("NO APLICA",AG89)))</formula>
    </cfRule>
    <cfRule type="containsText" dxfId="874" priority="887" operator="containsText" text="POR VENCER">
      <formula>NOT(ISERROR(SEARCH("POR VENCER",AG89)))</formula>
    </cfRule>
    <cfRule type="containsText" dxfId="873" priority="888" operator="containsText" text="VIGENTE">
      <formula>NOT(ISERROR(SEARCH("VIGENTE",AG89)))</formula>
    </cfRule>
    <cfRule type="containsText" dxfId="872" priority="889" operator="containsText" text="VENCIDA">
      <formula>NOT(ISERROR(SEARCH("VENCIDA",AG89)))</formula>
    </cfRule>
  </conditionalFormatting>
  <conditionalFormatting sqref="AJ3:AK6 BD3:BE6 BI3:BJ6 BX3:BY6 CS3:CT6 CX3:CY6 DC3:DD6 DH3:DI6 DM3:DN6 FC3:FD6 FH3:FI6 FW3:FX6 GV3:GW6 HA3:HB6 KR3:KR12 KR38:KR40 EI94:EJ94 EI98:EJ98 EI106:EJ106 EI64:EJ64 EH68:EJ68 FS3 AP3:AP5 AU3:AU5 AZ3:AZ5 BO3:BO5 BT3:BT5 CO3:CO5 DS3:DS5 DX3:DX5 EC3:EC5 EH5:EJ5 EO3:EO5 ET3:ET5 FN3:FN5 GC3:GC5 GH3:GH5 FS5 FX7 EI10:EJ10 EI21:EJ21 FX23:FX24 EI24:EJ24 EH27 AK32:AK36 FX35:FX36 AU35:AU36 GC35 IP35:IP36 IO35:IO37 DI38:DI40 EO38:EO40 ET38:ET40 FN38:FN40 GC38 FX38:FX41 GC46:GC49 CO51:CO58 BT51:BT62 DI51:DI62 ET51:ET62 FX64:FX66 FX68:FX71 EH76:EJ76 FX83:FX84 FX86:FX87 FX89 EI102:EJ102 FX102 FX115:FX116 FX126:FX128 EO46:EO62 KR60:KR70 HK3:HL13 EH54:EK54 EH65:EK65 FX118 HB97:HB128 AK97:AK128 FI93:FI118 FX11:FX21 CO7 EX3:EY6 EI12:EJ12 EH18:EJ19 EH53:EJ53 EH84:EJ84 EH95:EJ96 EI117:EJ117 EH118 EH112:EJ113 FI120:FI128 CO9:CO18 EH3:EK4 EI99:EK99 EH128:EK128 EH9:EJ9 EI66:EK66 EI81:EK82 EH93:EK93 EH103:EK103 EH110:EK111 EH115:EJ116 EH114:EK114 EH119:EK119 FX9 FX104:FX110 FX112:FX113 FX120:FX124 BT7:BT18 EH20:EK20 EH14:EJ14 EH33:EJ33 EH38:EH39 EH40:EJ40 EH55:EJ56 EH78:EJ79 EH109:EJ109 EH120 EH11:EK11 EH32:EK32 EI37:EK39 EH41:EK42 EH58:EJ58 EH57:EK57 EH61:EJ61 EH59:EK59 EH62:EK63 EH74:EK75 EH80:EK80 EH101:EK101 EH122:EJ122 EH121:EK121 EH60 EH67 EH71:EJ72 EH69:EH70 EH82:EH83 EH88:EJ89 EH87 EH97 EH7:EK8 EH13:EK13 EH15:EK17 EH22:EK23 EH51:EH52 EI52:EK52 EI77:EK77 EH86:EJ86 EH85:EK85 EI105:EK105 EH107:EK108 EH124:EJ125 EH123:EK123 EH127:EJ127 EH126:EK126 DX51:DX72 GH51:GH72 EO64:EO72">
    <cfRule type="containsText" dxfId="871" priority="885" operator="containsText" text="VENCIDA">
      <formula>NOT(ISERROR(SEARCH("VENCIDA",AJ3)))</formula>
    </cfRule>
  </conditionalFormatting>
  <conditionalFormatting sqref="AU35:AU36 AU3:AU5 AZ3:AZ5">
    <cfRule type="containsText" dxfId="870" priority="884" operator="containsText" text="VIGENTE">
      <formula>NOT(ISERROR(SEARCH("VIGENTE",AU3)))</formula>
    </cfRule>
  </conditionalFormatting>
  <conditionalFormatting sqref="AU126:AU128">
    <cfRule type="containsText" dxfId="869" priority="883" operator="containsText" text="POR VENCER">
      <formula>NOT(ISERROR(SEARCH("POR VENCER",AU126)))</formula>
    </cfRule>
  </conditionalFormatting>
  <conditionalFormatting sqref="AZ179 FX179 GC179 GW179 HB179 HL179 IP179 IU179 IZ179 KJ179">
    <cfRule type="containsText" dxfId="868" priority="882" operator="containsText" text="POR VENCER">
      <formula>NOT(ISERROR(SEARCH("POR VENCER",AZ179)))</formula>
    </cfRule>
  </conditionalFormatting>
  <conditionalFormatting sqref="AZ179">
    <cfRule type="containsText" dxfId="867" priority="881" operator="containsText" text="VIGENTE">
      <formula>NOT(ISERROR(SEARCH("VIGENTE",AZ179)))</formula>
    </cfRule>
  </conditionalFormatting>
  <conditionalFormatting sqref="BE179 BJ179 BY179 CT179 CY179 DN179 DS179 DX179 EC179 FD179 FI179">
    <cfRule type="containsText" dxfId="866" priority="879" operator="containsText" text="POR VENCER">
      <formula>NOT(ISERROR(SEARCH("POR VENCER",BE179)))</formula>
    </cfRule>
    <cfRule type="containsText" dxfId="865" priority="880" operator="containsText" text="VIGENTE">
      <formula>NOT(ISERROR(SEARCH("VIGENTE",BE179)))</formula>
    </cfRule>
  </conditionalFormatting>
  <conditionalFormatting sqref="BO179 BT179 DI179 EH179:EJ179 EO179 ET179 GC179 GW179 HB179 HL179 IP179 IU179 IZ179 KJ179 AZ179 BE179 BJ179 BY179 CT179 CY179 DN179 DS179 DX179 EC179 FD179 FI179 AJ179:AK179 AP179 AU179 DD179 EY179 FN179 FS179 GH179 CC183 CG183:CH183 CC184:CH184 CC185:CD186 CG185:CH186 LA186 GM179 KR179 HV179 IA179 IF179 LK179 LZ179:MA179 ME179:MF179 MJ179 MN179:MP179 MR179 MW179 NB179 NG179:NJ179 NL179:NM179 NO179">
    <cfRule type="containsText" dxfId="864" priority="878" operator="containsText" text="NO APLICA">
      <formula>NOT(ISERROR(SEARCH("NO APLICA",AJ179)))</formula>
    </cfRule>
  </conditionalFormatting>
  <conditionalFormatting sqref="BO179 DI179 EH179:EJ179 EO179 ET179">
    <cfRule type="containsText" dxfId="863" priority="877" operator="containsText" text="POR VENCER">
      <formula>NOT(ISERROR(SEARCH("POR VENCER",BO179)))</formula>
    </cfRule>
  </conditionalFormatting>
  <conditionalFormatting sqref="BT35:BT36 CO35:CO36 DI35:DI36 EH36:EJ36 ET35:ET36 CT38 DD38 DX46:DX49 EC46:EC49 EH47:EJ49 ET46:ET49 FS46:FS49 DX74 EH35:EI35 EH46:EI46">
    <cfRule type="containsText" dxfId="862" priority="876" operator="containsText" text="VENCIDA">
      <formula>NOT(ISERROR(SEARCH("VENCIDA",BT35)))</formula>
    </cfRule>
  </conditionalFormatting>
  <conditionalFormatting sqref="BT35:BT36 CO35:CO36 DI35:DI36 EH36:EJ36 ET35:ET36 DX46:DX49 EC46:EC49 ET46:ET49 FS46:FS49 DX74 FS3 AP3:AP5 BO3:BO5 BT3:BT5 CO3:CO5 DS3:DS5 DX3:DX5 EC3:EC5 EH5:EJ5 EO3:EO5 ET3:ET5 FN3:FN5 GC3:GC5 GH3:GH5 FX3:FX7 FS5 FX11:FX12 FX23:FX24 AK32:AK36 FX35:FX36 GC35 IP35:IP36 IO35:IO37 EH38 DI38:DI40 EO38:EO40 ET38:ET40 FN38:FN40 GC38 FX38:FX41 GC46:GC49 CO51:CO58 BT51:BT62 DI51:DI62 ET51:ET62 EH61:EJ61 FX64:FX66 EH74:EK74 EH76:EJ76 FX83:FX84 FX86:FX87 FX89 EH93 EI94:EJ94 EI98:EJ98 EH100:EH101 EI102:EJ102 FX102 EH103 EI106:EJ106 FX115:FX116 FX126:FX128 IT35:IT37 FX47:FX61 EO46:EO62 HK3:HL13 EH35:EK35 EH46:EK46 EH54:EK54 FX118 HB97:HB128 AK97:AK128 FI93:FI118 EH33:EJ33 EH40:EJ40 EH47:EJ49 EH53:EJ53 EH55:EJ56 EH78:EJ79 EH84:EJ84 EH95:EJ96 EH112:EJ113 EI117:EJ117 FI120:FI128 EH3:EK4 EI99:EK99 EH128:EK128 EH75 EH115:EJ116 EH114 FX9 FX104:FX110 FX112:FX113 FX120:FX124 EH58:EJ58 EH57 EH80 EH107:EH111 EH122:EJ122 EH118:EH121 EH60 EH82:EH83 EH88:EJ89 EH87 EH97 EH51:EH52 EH86:EJ86 EH85 EH124:EJ125 EH123 EH127:EJ127 EH126">
    <cfRule type="containsText" dxfId="861" priority="875" operator="containsText" text="POR VENCER">
      <formula>NOT(ISERROR(SEARCH("POR VENCER",AK3)))</formula>
    </cfRule>
  </conditionalFormatting>
  <conditionalFormatting sqref="CO20:CO25 MP23:MP25 IF23:IF25 FX27:FX32 NF27:NH36 NJ27:NJ36 BY28:BY36 FD28:FD33 FI28:FI36 EH29 HT29:HT32 BT29:BT33 CO29:CO33 ET29:ET33 GC29:GC33 BE29:BE36 DS29:DS36 DX29:DX33 EC29:EC33 EO29:EO36 FS29:FS36 GH29:GH36 EH31 HT73:HT75 EH90:EJ90 AF179 Z182:AE186 LZ3:MC6 LZ124 AJ179:AK179 AP179 AU179 BT179 DD179 EY179 FN179 FS179 GH179 CG183:CH183 CC184:CH184 CC185:CD186 CG185:CH186 LA186 MJ152:MJ157 KF164:KF165 KN164:KN171 LZ38:MA43 FX73:FX81 LZ125:MA157 DN79:DN80 LZ118:MA123 EH26:EJ26 HT19:HT26 NF14:NO26 NK27:NO33 HL14:HL36 BT20:BT27 Z21:AA36 IY22:IY37 GM23:GM27 IE26:IF36 IT27:IT34 IU27:IU36 KB137:KB169 KJ137:KJ169 DN18:DN19 EH30:EI30 HT121:HT171 GC7:GC27 FN7 BO7:BO36 AU7:AU33 GH7:GH27 ET7:ET27 DX7 DS7:DS27 NA3:NB36 MV3:MW36 MR3:MR36 LK3:LK36 IZ3:IZ36 IJ3:IJ36 HZ3:IA36 HB3:HB36 GW3:GW36 CY3:CY36 CT3:CT36 BJ3:BJ36 IO3:IP34 HV3:HV34 DI3:DI33 AK3:AK30 BE3:BE27 LZ8:MA36 BY3:BY26 FD3:FD26 FI3:FI26 IT3:IU26 EC7 EO7:EO26 FS7:FS26 IE3:IE25 DX76:DX80 NF90:NH157 LZ90:MA116 FX90:FX92 EY3:EY26 AP7:AP36 BO91:BO95 BO97:BO110 BO112:BO113 BO115:BO128 CO83:CO88 CO91:CO92 CO95 CO97:CO102 CO104:CO105 CO112:CO113 CO116:CO118 CO120:CO128 DN3:DN16 DN21:DN35 CO107:CO110 EC9:EC26 EC35:EC36 EC94:EC95 EC97:EC102 EC104:EC105 EC107:EC110 EC112:EC113 EC115:EC118 EC120:EC128 DD3:DD9 FD35:FD36 FX94:FX100 BT83:BT88 BT91:BT92 BT94:BT97 BT99:BT102 BT104:BT105 BT107:BT110 BT112:BT113 BT116:BT118 BT120:BT128 DX9 DX11:DX27 DX35:DX36 DX94:DX97 DX99:DX102 DX104:DX105 DX107:DX110 DX112:DX113 DX115:DX118 DX120:DX128 FS94:FS102 FS104:FS105 FS107:FS110 FS112:FS113 FS115:FS118 FS120:FS128 EY28:EY36 FN9 FN11:FN33 FN35:FN36 FN83:FN89 FN91:FN92 FN94:FN102 FN104:FN110 FN112:FN113 FN115:FN118 FN120:FN126 FN128 AZ7:AZ27 AZ29:AZ36 CT94:CT102 CT104:CT118 CT120:CT128 GM97 GM99:GM105 GM107:GM110 GM112:GM114 GM116:GM128 DD11:DD36 DD91:DD95 DD97:DD105 DD107:DD128 FS83:FS92 DX83:DX92 EC83:EC92 EO74:EO128 MP78:MP94 AK86:AK95 DN82:DN128 HQ72:HR171 AU86:AU125 GM86:GM95 KB80:KB131 IU80:IU128 CY79:CY128 Z79:AA126 GH74:GH128 KR72:KR126 EH25:EK25 EH91:EK91 ET64:ET128 NK67:NM157 NO67:NO157 CT51:CT92 DI64:DI128 GC51:GC128 AZ64:AZ128 DD51:DD89 EC51:EC81 FN51:FN81 FS51:FS81 BO64:BO89 CY51:CY77 CO60:CO80 LZ45:MA88 BT64:BT81 NF67:NH75 MP64:MP76">
    <cfRule type="containsText" dxfId="860" priority="874" operator="containsText" text="POR VENCER">
      <formula>NOT(ISERROR(SEARCH("POR VENCER",Z3)))</formula>
    </cfRule>
  </conditionalFormatting>
  <conditionalFormatting sqref="CE88">
    <cfRule type="containsText" dxfId="859" priority="870" operator="containsText" text="VENCIDA">
      <formula>NOT(ISERROR(SEARCH("VENCIDA",CE88)))</formula>
    </cfRule>
    <cfRule type="containsText" dxfId="858" priority="871" operator="containsText" text="NO APLICA">
      <formula>NOT(ISERROR(SEARCH("NO APLICA",CE88)))</formula>
    </cfRule>
    <cfRule type="containsText" dxfId="857" priority="872" operator="containsText" text="POR VENCER">
      <formula>NOT(ISERROR(SEARCH("POR VENCER",CE88)))</formula>
    </cfRule>
    <cfRule type="containsText" dxfId="856" priority="873" operator="containsText" text="VIGENTE">
      <formula>NOT(ISERROR(SEARCH("VIGENTE",CE88)))</formula>
    </cfRule>
  </conditionalFormatting>
  <conditionalFormatting sqref="CE154">
    <cfRule type="expression" dxfId="855" priority="869">
      <formula>"O7&gt;=91"</formula>
    </cfRule>
  </conditionalFormatting>
  <conditionalFormatting sqref="CO20:CO25 MP23:MP25 FX27:FX32 NF27:NH36 NJ27:NJ36 BY28:BY36 FD28:FD33 FI28:FI36 EH29 HT29:HT32 BT29:BT33 CO29:CO33 ET29:ET33 GC29:GC33 BE29:BE36 DS29:DS36 DX29:DX33 EC29:EC33 EO29:EO36 FS29:FS36 GH29:GH36 HZ37:HZ41 IA38:IA41 IF38:IF41 IZ38:IZ41 HT73:HT75 LZ90:MA92 EH90:EJ90 Z182:AE186 EH31 AF179 KF164:KF165 KN164:KN171 FX73:FX81 DN79:DN80 EH26:EJ26 HT19:HT26 NF14:NO26 NK27:NO33 HL14:HL36 LZ14:MA36 BT20:BT27 Z21:AA36 IY22:IY41 GM23:GM27 IF23:IF36 KJ137:KJ169 KB137:KB169 DN18:DN19 EH30:EI30 HT121:HT171 GC7:GC27 AF13:AF36 FN7 BO7:BO36 AU7:AU33 GH7:GH27 ET7:ET27 DX7 DS7:DS27 IE3:IE41 MV3:MW36 MR3:MR36 LK3:LK36 IZ3:IZ36 IU3:IU36 HZ3:IA36 HB3:HB36 GW3:GW36 CY3:CY36 CT3:CT36 BJ3:BJ36 IO3:IP34 HV3:HV34 DI3:DI33 AK3:AK30 BE3:BE27 BY3:BY26 FD3:FD26 FI3:FI26 EC7 EO7:EO26 FS7:FS26 DX76:DX80 NF90:NH130 FX90:FX92 EY3:EY26 AP7:AP36 BO91:BO95 BO97:BO110 BO112:BO113 BO115:BO128 CO83:CO88 CO91:CO92 CO95 CO97:CO102 CO104:CO105 CO112:CO113 CO116:CO118 CO120:CO128 DN3:DN16 DN21:DN35 CO107:CO110 EC9:EC26 EC35:EC36 EC94:EC95 EC97:EC102 EC104:EC105 EC107:EC110 EC112:EC113 EC115:EC118 EC120:EC128 DD3:DD9 FD35:FD36 FX94:FX100 BT83:BT88 BT91:BT92 BT94:BT97 BT99:BT102 BT104:BT105 BT107:BT110 BT112:BT113 BT116:BT118 BT120:BT128 DX9 DX11:DX27 DX35:DX36 DX94:DX97 DX99:DX102 DX104:DX105 DX107:DX110 DX112:DX113 DX115:DX118 DX120:DX128 FS94:FS102 FS104:FS105 FS107:FS110 FS112:FS113 FS115:FS118 FS120:FS128 EY28:EY36 FN9 FN11:FN33 FN35:FN36 FN83:FN89 FN91:FN92 FN94:FN102 FN104:FN110 FN112:FN113 FN115:FN118 FN120:FN126 FN128 AZ7:AZ27 AZ29:AZ36 CT94:CT102 CT104:CT118 CT120:CT128 GM97 GM99:GM105 GM107:GM110 GM112:GM114 GM116:GM128 DD11:DD36 DD91:DD95 DD97:DD105 DD107:DD128 FS83:FS92 DX83:DX92 EC83:EC92 EO74:EO128 MP78:MP94 AK86:AK95 DN82:DN128 AU86:AU128 GM86:GM95 KB80:KB131 AF79:AF128 CY79:CY128 Z79:AA126 GH74:GH128 KR72:KR126 EH25:EK25 EH91:EK91 ET64:ET128 NK67:NM157 NO67:NO157 CT51:CT92 DI64:DI128 GC51:GC128 AZ64:AZ128 DD51:DD89 EC51:EC81 FN51:FN81 FS51:FS81 BO64:BO89 CY51:CY77 AF51:AF77 CO60:CO80 LZ45:MA88 BT64:BT81 NF67:NH75 MP64:MP76">
    <cfRule type="containsText" dxfId="854" priority="868" operator="containsText" text="NO APLICA">
      <formula>NOT(ISERROR(SEARCH("NO APLICA",Z3)))</formula>
    </cfRule>
  </conditionalFormatting>
  <conditionalFormatting sqref="CI3:CI238">
    <cfRule type="containsText" dxfId="853" priority="866" operator="containsText" text="VENCIDA">
      <formula>NOT(ISERROR(SEARCH("VENCIDA",CI3)))</formula>
    </cfRule>
    <cfRule type="containsText" dxfId="852" priority="867" operator="containsText" text="VIGENTE">
      <formula>NOT(ISERROR(SEARCH("VIGENTE",CI3)))</formula>
    </cfRule>
  </conditionalFormatting>
  <conditionalFormatting sqref="CJ179">
    <cfRule type="expression" dxfId="851" priority="865">
      <formula>"O7&gt;=91"</formula>
    </cfRule>
  </conditionalFormatting>
  <conditionalFormatting sqref="EI64:EJ64 EH65:EI65 EH68:EJ68 FX68:FX71 AU35:AU36 EH67 EH71:EJ72 EH69:EH70 DX51:DX72 GH51:GH72 EO64:EO72">
    <cfRule type="containsText" dxfId="850" priority="864" operator="containsText" text="POR VENCER">
      <formula>NOT(ISERROR(SEARCH("POR VENCER",AU35)))</formula>
    </cfRule>
  </conditionalFormatting>
  <conditionalFormatting sqref="DY52">
    <cfRule type="containsText" dxfId="849" priority="860" operator="containsText" text="VENCIDA">
      <formula>NOT(ISERROR(SEARCH("VENCIDA",DY52)))</formula>
    </cfRule>
    <cfRule type="containsText" dxfId="848" priority="861" operator="containsText" text="NO APLICA">
      <formula>NOT(ISERROR(SEARCH("NO APLICA",DY52)))</formula>
    </cfRule>
    <cfRule type="containsText" dxfId="847" priority="862" operator="containsText" text="POR VENCER">
      <formula>NOT(ISERROR(SEARCH("POR VENCER",DY52)))</formula>
    </cfRule>
    <cfRule type="containsText" dxfId="846" priority="863" operator="containsText" text="VIGENTE">
      <formula>NOT(ISERROR(SEARCH("VIGENTE",DY52)))</formula>
    </cfRule>
  </conditionalFormatting>
  <conditionalFormatting sqref="EH31">
    <cfRule type="containsText" dxfId="845" priority="859" operator="containsText" text="VIGENTE">
      <formula>NOT(ISERROR(SEARCH("VIGENTE",EH31)))</formula>
    </cfRule>
  </conditionalFormatting>
  <conditionalFormatting sqref="EH100:EI100">
    <cfRule type="containsText" dxfId="844" priority="858" operator="containsText" text="VENCIDA">
      <formula>NOT(ISERROR(SEARCH("VENCIDA",EH100)))</formula>
    </cfRule>
  </conditionalFormatting>
  <conditionalFormatting sqref="EI10:EJ10 EI12:EJ12 EI21:EJ21 EI24:EJ24 EH27 AU3:AU5 AZ3:AZ5 EH18:EJ19 EH17:EI17 EH23:EI23 FX13:FX21 IY3:IY21 CO7 CO9:CO18 EH9:EJ9 BT7:BT18 EH20:EK20 EH14:EJ14 EH11:EK11 EH7:EK8 EH13:EK13 EH15:EK16 EH22:EK22">
    <cfRule type="containsText" dxfId="843" priority="857" operator="containsText" text="POR VENCER">
      <formula>NOT(ISERROR(SEARCH("POR VENCER",AU3)))</formula>
    </cfRule>
  </conditionalFormatting>
  <conditionalFormatting sqref="EI10:EJ10 EI12:EJ12 EI21:EJ21 EI24:EJ24 EH27 AU35:AU36 EH18:EJ19 EH17:EI17 EH23:EI23 FX13:FX21 IY3:IY21 CO7 CO9:CO18 EH9:EJ9 BT7:BT18 EH20:EK20 EH14:EJ14 EH11:EK11 EH7:EK8 EH13:EK13 EH15:EK16 EH22:EK22">
    <cfRule type="containsText" dxfId="842" priority="856" operator="containsText" text="NO APLICA">
      <formula>NOT(ISERROR(SEARCH("NO APLICA",AU3)))</formula>
    </cfRule>
  </conditionalFormatting>
  <conditionalFormatting sqref="EI94">
    <cfRule type="containsText" dxfId="841" priority="854" operator="containsText" text="NO APLICA">
      <formula>NOT(ISERROR(SEARCH("NO APLICA",EI94)))</formula>
    </cfRule>
    <cfRule type="containsText" dxfId="840" priority="855" operator="containsText" text="POR VENCER">
      <formula>NOT(ISERROR(SEARCH("POR VENCER",EI94)))</formula>
    </cfRule>
  </conditionalFormatting>
  <conditionalFormatting sqref="EI98">
    <cfRule type="containsText" dxfId="839" priority="852" operator="containsText" text="NO APLICA">
      <formula>NOT(ISERROR(SEARCH("NO APLICA",EI98)))</formula>
    </cfRule>
    <cfRule type="containsText" dxfId="838" priority="853" operator="containsText" text="POR VENCER">
      <formula>NOT(ISERROR(SEARCH("POR VENCER",EI98)))</formula>
    </cfRule>
  </conditionalFormatting>
  <conditionalFormatting sqref="EI100">
    <cfRule type="containsText" dxfId="837" priority="847" operator="containsText" text="NO APLICA">
      <formula>NOT(ISERROR(SEARCH("NO APLICA",EI100)))</formula>
    </cfRule>
    <cfRule type="containsText" dxfId="836" priority="848" operator="containsText" text="POR VENCER">
      <formula>NOT(ISERROR(SEARCH("POR VENCER",EI100)))</formula>
    </cfRule>
    <cfRule type="containsText" dxfId="835" priority="849" operator="containsText" text="NO APLICA">
      <formula>NOT(ISERROR(SEARCH("NO APLICA",EI100)))</formula>
    </cfRule>
    <cfRule type="containsText" dxfId="834" priority="850" operator="containsText" text="POR VENCER">
      <formula>NOT(ISERROR(SEARCH("POR VENCER",EI100)))</formula>
    </cfRule>
    <cfRule type="containsText" dxfId="833" priority="851" operator="containsText" text="VIGENTE">
      <formula>NOT(ISERROR(SEARCH("VIGENTE",EI100)))</formula>
    </cfRule>
  </conditionalFormatting>
  <conditionalFormatting sqref="EI106">
    <cfRule type="containsText" dxfId="832" priority="845" operator="containsText" text="NO APLICA">
      <formula>NOT(ISERROR(SEARCH("NO APLICA",EI106)))</formula>
    </cfRule>
    <cfRule type="containsText" dxfId="831" priority="846" operator="containsText" text="POR VENCER">
      <formula>NOT(ISERROR(SEARCH("POR VENCER",EI106)))</formula>
    </cfRule>
  </conditionalFormatting>
  <conditionalFormatting sqref="EI106">
    <cfRule type="containsText" dxfId="830" priority="843" operator="containsText" text="NO APLICA">
      <formula>NOT(ISERROR(SEARCH("NO APLICA",EI106)))</formula>
    </cfRule>
    <cfRule type="containsText" dxfId="829" priority="844" operator="containsText" text="POR VENCER">
      <formula>NOT(ISERROR(SEARCH("POR VENCER",EI106)))</formula>
    </cfRule>
  </conditionalFormatting>
  <conditionalFormatting sqref="EI117">
    <cfRule type="containsText" dxfId="828" priority="841" operator="containsText" text="NO APLICA">
      <formula>NOT(ISERROR(SEARCH("NO APLICA",EI117)))</formula>
    </cfRule>
    <cfRule type="containsText" dxfId="827" priority="842" operator="containsText" text="POR VENCER">
      <formula>NOT(ISERROR(SEARCH("POR VENCER",EI117)))</formula>
    </cfRule>
  </conditionalFormatting>
  <conditionalFormatting sqref="EI151">
    <cfRule type="containsText" dxfId="826" priority="838" operator="containsText" text="NO APLICA">
      <formula>NOT(ISERROR(SEARCH("NO APLICA",EI151)))</formula>
    </cfRule>
    <cfRule type="containsText" dxfId="825" priority="839" operator="containsText" text="POR VENCER">
      <formula>NOT(ISERROR(SEARCH("POR VENCER",EI151)))</formula>
    </cfRule>
    <cfRule type="containsText" dxfId="824" priority="840" operator="containsText" text="VIGENTE">
      <formula>NOT(ISERROR(SEARCH("VIGENTE",EI151)))</formula>
    </cfRule>
  </conditionalFormatting>
  <conditionalFormatting sqref="EI173">
    <cfRule type="containsText" dxfId="823" priority="835" operator="containsText" text="NO APLICA">
      <formula>NOT(ISERROR(SEARCH("NO APLICA",EI173)))</formula>
    </cfRule>
    <cfRule type="containsText" dxfId="822" priority="836" operator="containsText" text="POR VENCER">
      <formula>NOT(ISERROR(SEARCH("POR VENCER",EI173)))</formula>
    </cfRule>
    <cfRule type="containsText" dxfId="821" priority="837" operator="containsText" text="VIGENTE">
      <formula>NOT(ISERROR(SEARCH("VIGENTE",EI173)))</formula>
    </cfRule>
  </conditionalFormatting>
  <conditionalFormatting sqref="EI180">
    <cfRule type="containsText" dxfId="820" priority="832" operator="containsText" text="NO APLICA">
      <formula>NOT(ISERROR(SEARCH("NO APLICA",EI180)))</formula>
    </cfRule>
    <cfRule type="containsText" dxfId="819" priority="833" operator="containsText" text="VIGENTE">
      <formula>NOT(ISERROR(SEARCH("VIGENTE",EI180)))</formula>
    </cfRule>
    <cfRule type="containsText" dxfId="818" priority="834" operator="containsText" text="POR VENCER">
      <formula>NOT(ISERROR(SEARCH("POR VENCER",EI180)))</formula>
    </cfRule>
  </conditionalFormatting>
  <conditionalFormatting sqref="EI188">
    <cfRule type="containsText" dxfId="817" priority="829" operator="containsText" text="NO APLICA">
      <formula>NOT(ISERROR(SEARCH("NO APLICA",EI188)))</formula>
    </cfRule>
    <cfRule type="containsText" dxfId="816" priority="830" operator="containsText" text="POR VENCER">
      <formula>NOT(ISERROR(SEARCH("POR VENCER",EI188)))</formula>
    </cfRule>
    <cfRule type="containsText" dxfId="815" priority="831" operator="containsText" text="VIGENTE">
      <formula>NOT(ISERROR(SEARCH("VIGENTE",EI188)))</formula>
    </cfRule>
  </conditionalFormatting>
  <conditionalFormatting sqref="EI192">
    <cfRule type="containsText" dxfId="814" priority="826" operator="containsText" text="NO APLICA">
      <formula>NOT(ISERROR(SEARCH("NO APLICA",EI192)))</formula>
    </cfRule>
    <cfRule type="containsText" dxfId="813" priority="827" operator="containsText" text="POR VENCER">
      <formula>NOT(ISERROR(SEARCH("POR VENCER",EI192)))</formula>
    </cfRule>
    <cfRule type="containsText" dxfId="812" priority="828" operator="containsText" text="VIGENTE">
      <formula>NOT(ISERROR(SEARCH("VIGENTE",EI192)))</formula>
    </cfRule>
  </conditionalFormatting>
  <conditionalFormatting sqref="EI201">
    <cfRule type="containsText" dxfId="811" priority="823" operator="containsText" text="NO APLICA">
      <formula>NOT(ISERROR(SEARCH("NO APLICA",EI201)))</formula>
    </cfRule>
    <cfRule type="containsText" dxfId="810" priority="824" operator="containsText" text="POR VENCER">
      <formula>NOT(ISERROR(SEARCH("POR VENCER",EI201)))</formula>
    </cfRule>
    <cfRule type="containsText" dxfId="809" priority="825" operator="containsText" text="VIGENTE">
      <formula>NOT(ISERROR(SEARCH("VIGENTE",EI201)))</formula>
    </cfRule>
  </conditionalFormatting>
  <conditionalFormatting sqref="EI207">
    <cfRule type="containsText" dxfId="808" priority="820" operator="containsText" text="NO APLICA">
      <formula>NOT(ISERROR(SEARCH("NO APLICA",EI207)))</formula>
    </cfRule>
    <cfRule type="containsText" dxfId="807" priority="821" operator="containsText" text="POR VENCER">
      <formula>NOT(ISERROR(SEARCH("POR VENCER",EI207)))</formula>
    </cfRule>
    <cfRule type="containsText" dxfId="806" priority="822" operator="containsText" text="VIGENTE">
      <formula>NOT(ISERROR(SEARCH("VIGENTE",EI207)))</formula>
    </cfRule>
  </conditionalFormatting>
  <conditionalFormatting sqref="EI218">
    <cfRule type="containsText" dxfId="805" priority="817" operator="containsText" text="NO APLICA">
      <formula>NOT(ISERROR(SEARCH("NO APLICA",EI218)))</formula>
    </cfRule>
    <cfRule type="containsText" dxfId="804" priority="818" operator="containsText" text="POR VENCER">
      <formula>NOT(ISERROR(SEARCH("POR VENCER",EI218)))</formula>
    </cfRule>
    <cfRule type="containsText" dxfId="803" priority="819" operator="containsText" text="VIGENTE">
      <formula>NOT(ISERROR(SEARCH("VIGENTE",EI218)))</formula>
    </cfRule>
  </conditionalFormatting>
  <conditionalFormatting sqref="EI222">
    <cfRule type="containsText" dxfId="802" priority="814" operator="containsText" text="NO APLICA">
      <formula>NOT(ISERROR(SEARCH("NO APLICA",EI222)))</formula>
    </cfRule>
    <cfRule type="containsText" dxfId="801" priority="815" operator="containsText" text="POR VENCER">
      <formula>NOT(ISERROR(SEARCH("POR VENCER",EI222)))</formula>
    </cfRule>
    <cfRule type="containsText" dxfId="800" priority="816" operator="containsText" text="VIGENTE">
      <formula>NOT(ISERROR(SEARCH("VIGENTE",EI222)))</formula>
    </cfRule>
  </conditionalFormatting>
  <conditionalFormatting sqref="EI226">
    <cfRule type="containsText" dxfId="799" priority="811" operator="containsText" text="NO APLICA">
      <formula>NOT(ISERROR(SEARCH("NO APLICA",EI226)))</formula>
    </cfRule>
    <cfRule type="containsText" dxfId="798" priority="812" operator="containsText" text="POR VENCER">
      <formula>NOT(ISERROR(SEARCH("POR VENCER",EI226)))</formula>
    </cfRule>
    <cfRule type="containsText" dxfId="797" priority="813" operator="containsText" text="VIGENTE">
      <formula>NOT(ISERROR(SEARCH("VIGENTE",EI226)))</formula>
    </cfRule>
  </conditionalFormatting>
  <conditionalFormatting sqref="EI231">
    <cfRule type="containsText" dxfId="796" priority="808" operator="containsText" text="NO APLICA">
      <formula>NOT(ISERROR(SEARCH("NO APLICA",EI231)))</formula>
    </cfRule>
    <cfRule type="containsText" dxfId="795" priority="809" operator="containsText" text="POR VENCER">
      <formula>NOT(ISERROR(SEARCH("POR VENCER",EI231)))</formula>
    </cfRule>
    <cfRule type="containsText" dxfId="794" priority="810" operator="containsText" text="VIGENTE">
      <formula>NOT(ISERROR(SEARCH("VIGENTE",EI231)))</formula>
    </cfRule>
  </conditionalFormatting>
  <conditionalFormatting sqref="EI236">
    <cfRule type="containsText" dxfId="793" priority="805" operator="containsText" text="NO APLICA">
      <formula>NOT(ISERROR(SEARCH("NO APLICA",EI236)))</formula>
    </cfRule>
    <cfRule type="containsText" dxfId="792" priority="806" operator="containsText" text="POR VENCER">
      <formula>NOT(ISERROR(SEARCH("POR VENCER",EI236)))</formula>
    </cfRule>
    <cfRule type="containsText" dxfId="791" priority="807" operator="containsText" text="VIGENTE">
      <formula>NOT(ISERROR(SEARCH("VIGENTE",EI236)))</formula>
    </cfRule>
  </conditionalFormatting>
  <conditionalFormatting sqref="EI40:EJ40">
    <cfRule type="containsText" dxfId="790" priority="803" operator="containsText" text="NO APLICA">
      <formula>NOT(ISERROR(SEARCH("NO APLICA",EI40)))</formula>
    </cfRule>
    <cfRule type="containsText" dxfId="789" priority="804" operator="containsText" text="POR VENCER">
      <formula>NOT(ISERROR(SEARCH("POR VENCER",EI40)))</formula>
    </cfRule>
  </conditionalFormatting>
  <conditionalFormatting sqref="EI64:EJ64 EI65">
    <cfRule type="containsText" dxfId="788" priority="801" operator="containsText" text="NO APLICA">
      <formula>NOT(ISERROR(SEARCH("NO APLICA",EI64)))</formula>
    </cfRule>
    <cfRule type="containsText" dxfId="787" priority="802" operator="containsText" text="POR VENCER">
      <formula>NOT(ISERROR(SEARCH("POR VENCER",EI64)))</formula>
    </cfRule>
  </conditionalFormatting>
  <conditionalFormatting sqref="EI68:EJ68">
    <cfRule type="containsText" dxfId="786" priority="799" operator="containsText" text="NO APLICA">
      <formula>NOT(ISERROR(SEARCH("NO APLICA",EI68)))</formula>
    </cfRule>
    <cfRule type="containsText" dxfId="785" priority="800" operator="containsText" text="POR VENCER">
      <formula>NOT(ISERROR(SEARCH("POR VENCER",EI68)))</formula>
    </cfRule>
  </conditionalFormatting>
  <conditionalFormatting sqref="EI88:EJ88">
    <cfRule type="containsText" dxfId="784" priority="797" operator="containsText" text="NO APLICA">
      <formula>NOT(ISERROR(SEARCH("NO APLICA",EI88)))</formula>
    </cfRule>
    <cfRule type="containsText" dxfId="783" priority="798" operator="containsText" text="POR VENCER">
      <formula>NOT(ISERROR(SEARCH("POR VENCER",EI88)))</formula>
    </cfRule>
  </conditionalFormatting>
  <conditionalFormatting sqref="EI94:EJ94">
    <cfRule type="containsText" dxfId="782" priority="793" operator="containsText" text="NO APLICA">
      <formula>NOT(ISERROR(SEARCH("NO APLICA",EI94)))</formula>
    </cfRule>
    <cfRule type="containsText" dxfId="781" priority="794" operator="containsText" text="POR VENCER">
      <formula>NOT(ISERROR(SEARCH("POR VENCER",EI94)))</formula>
    </cfRule>
    <cfRule type="containsText" dxfId="780" priority="795" operator="containsText" text="NO APLICA">
      <formula>NOT(ISERROR(SEARCH("NO APLICA",EI94)))</formula>
    </cfRule>
    <cfRule type="containsText" dxfId="779" priority="796" operator="containsText" text="POR VENCER">
      <formula>NOT(ISERROR(SEARCH("POR VENCER",EI94)))</formula>
    </cfRule>
  </conditionalFormatting>
  <conditionalFormatting sqref="EI98:EJ98 EI100:EJ100">
    <cfRule type="containsText" dxfId="778" priority="791" operator="containsText" text="NO APLICA">
      <formula>NOT(ISERROR(SEARCH("NO APLICA",EI98)))</formula>
    </cfRule>
    <cfRule type="containsText" dxfId="777" priority="792" operator="containsText" text="POR VENCER">
      <formula>NOT(ISERROR(SEARCH("POR VENCER",EI98)))</formula>
    </cfRule>
  </conditionalFormatting>
  <conditionalFormatting sqref="EI109:EJ109">
    <cfRule type="containsText" dxfId="776" priority="790" operator="containsText" text="POR VENCER">
      <formula>NOT(ISERROR(SEARCH("POR VENCER",EI109)))</formula>
    </cfRule>
  </conditionalFormatting>
  <conditionalFormatting sqref="EI113:EJ113">
    <cfRule type="containsText" dxfId="775" priority="788" operator="containsText" text="NO APLICA">
      <formula>NOT(ISERROR(SEARCH("NO APLICA",EI113)))</formula>
    </cfRule>
    <cfRule type="containsText" dxfId="774" priority="789" operator="containsText" text="POR VENCER">
      <formula>NOT(ISERROR(SEARCH("POR VENCER",EI113)))</formula>
    </cfRule>
  </conditionalFormatting>
  <conditionalFormatting sqref="EI115:EJ115">
    <cfRule type="containsText" dxfId="773" priority="786" operator="containsText" text="NO APLICA">
      <formula>NOT(ISERROR(SEARCH("NO APLICA",EI115)))</formula>
    </cfRule>
    <cfRule type="containsText" dxfId="772" priority="787" operator="containsText" text="POR VENCER">
      <formula>NOT(ISERROR(SEARCH("POR VENCER",EI115)))</formula>
    </cfRule>
  </conditionalFormatting>
  <conditionalFormatting sqref="EI117:EJ117">
    <cfRule type="containsText" dxfId="771" priority="784" operator="containsText" text="NO APLICA">
      <formula>NOT(ISERROR(SEARCH("NO APLICA",EI117)))</formula>
    </cfRule>
    <cfRule type="containsText" dxfId="770" priority="785" operator="containsText" text="POR VENCER">
      <formula>NOT(ISERROR(SEARCH("POR VENCER",EI117)))</formula>
    </cfRule>
  </conditionalFormatting>
  <conditionalFormatting sqref="EI122:EJ122">
    <cfRule type="containsText" dxfId="769" priority="782" operator="containsText" text="NO APLICA">
      <formula>NOT(ISERROR(SEARCH("NO APLICA",EI122)))</formula>
    </cfRule>
    <cfRule type="containsText" dxfId="768" priority="783" operator="containsText" text="POR VENCER">
      <formula>NOT(ISERROR(SEARCH("POR VENCER",EI122)))</formula>
    </cfRule>
  </conditionalFormatting>
  <conditionalFormatting sqref="EI125:EJ125">
    <cfRule type="containsText" dxfId="767" priority="780" operator="containsText" text="NO APLICA">
      <formula>NOT(ISERROR(SEARCH("NO APLICA",EI125)))</formula>
    </cfRule>
    <cfRule type="containsText" dxfId="766" priority="781" operator="containsText" text="POR VENCER">
      <formula>NOT(ISERROR(SEARCH("POR VENCER",EI125)))</formula>
    </cfRule>
  </conditionalFormatting>
  <conditionalFormatting sqref="EI151:EJ151">
    <cfRule type="containsText" dxfId="765" priority="779" operator="containsText" text="VENCIDA">
      <formula>NOT(ISERROR(SEARCH("VENCIDA",EI151)))</formula>
    </cfRule>
  </conditionalFormatting>
  <conditionalFormatting sqref="EI173:EJ173">
    <cfRule type="containsText" dxfId="764" priority="778" operator="containsText" text="VENCIDA">
      <formula>NOT(ISERROR(SEARCH("VENCIDA",EI173)))</formula>
    </cfRule>
  </conditionalFormatting>
  <conditionalFormatting sqref="EI180:EJ180">
    <cfRule type="containsText" dxfId="763" priority="777" operator="containsText" text="VENCIDA">
      <formula>NOT(ISERROR(SEARCH("VENCIDA",EI180)))</formula>
    </cfRule>
  </conditionalFormatting>
  <conditionalFormatting sqref="EI188:EJ188">
    <cfRule type="containsText" dxfId="762" priority="776" operator="containsText" text="VENCIDA">
      <formula>NOT(ISERROR(SEARCH("VENCIDA",EI188)))</formula>
    </cfRule>
  </conditionalFormatting>
  <conditionalFormatting sqref="EI192:EJ192">
    <cfRule type="containsText" dxfId="761" priority="775" operator="containsText" text="VENCIDA">
      <formula>NOT(ISERROR(SEARCH("VENCIDA",EI192)))</formula>
    </cfRule>
  </conditionalFormatting>
  <conditionalFormatting sqref="EI201:EJ201">
    <cfRule type="containsText" dxfId="760" priority="774" operator="containsText" text="VENCIDA">
      <formula>NOT(ISERROR(SEARCH("VENCIDA",EI201)))</formula>
    </cfRule>
  </conditionalFormatting>
  <conditionalFormatting sqref="EI207:EJ207">
    <cfRule type="containsText" dxfId="759" priority="773" operator="containsText" text="VENCIDA">
      <formula>NOT(ISERROR(SEARCH("VENCIDA",EI207)))</formula>
    </cfRule>
  </conditionalFormatting>
  <conditionalFormatting sqref="EI218:EJ218">
    <cfRule type="containsText" dxfId="758" priority="772" operator="containsText" text="VENCIDA">
      <formula>NOT(ISERROR(SEARCH("VENCIDA",EI218)))</formula>
    </cfRule>
  </conditionalFormatting>
  <conditionalFormatting sqref="EI222:EJ222">
    <cfRule type="containsText" dxfId="757" priority="771" operator="containsText" text="VENCIDA">
      <formula>NOT(ISERROR(SEARCH("VENCIDA",EI222)))</formula>
    </cfRule>
  </conditionalFormatting>
  <conditionalFormatting sqref="EI226:EJ226">
    <cfRule type="containsText" dxfId="756" priority="770" operator="containsText" text="VENCIDA">
      <formula>NOT(ISERROR(SEARCH("VENCIDA",EI226)))</formula>
    </cfRule>
  </conditionalFormatting>
  <conditionalFormatting sqref="EI231:EJ231">
    <cfRule type="containsText" dxfId="755" priority="769" operator="containsText" text="VENCIDA">
      <formula>NOT(ISERROR(SEARCH("VENCIDA",EI231)))</formula>
    </cfRule>
  </conditionalFormatting>
  <conditionalFormatting sqref="EI236:EJ236">
    <cfRule type="containsText" dxfId="754" priority="768" operator="containsText" text="VENCIDA">
      <formula>NOT(ISERROR(SEARCH("VENCIDA",EI236)))</formula>
    </cfRule>
  </conditionalFormatting>
  <conditionalFormatting sqref="EJ100">
    <cfRule type="containsText" dxfId="753" priority="766" operator="containsText" text="VENCIDA">
      <formula>NOT(ISERROR(SEARCH("VENCIDA",EJ100)))</formula>
    </cfRule>
    <cfRule type="containsText" dxfId="752" priority="767" operator="containsText" text="VIGENTE">
      <formula>NOT(ISERROR(SEARCH("VIGENTE",EJ100)))</formula>
    </cfRule>
  </conditionalFormatting>
  <conditionalFormatting sqref="EJ106">
    <cfRule type="containsText" dxfId="751" priority="764" operator="containsText" text="NO APLICA">
      <formula>NOT(ISERROR(SEARCH("NO APLICA",EJ106)))</formula>
    </cfRule>
    <cfRule type="containsText" dxfId="750" priority="765" operator="containsText" text="POR VENCER">
      <formula>NOT(ISERROR(SEARCH("POR VENCER",EJ106)))</formula>
    </cfRule>
  </conditionalFormatting>
  <conditionalFormatting sqref="EJ151">
    <cfRule type="containsText" dxfId="749" priority="761" operator="containsText" text="NO APLICA">
      <formula>NOT(ISERROR(SEARCH("NO APLICA",EJ151)))</formula>
    </cfRule>
    <cfRule type="containsText" dxfId="748" priority="762" operator="containsText" text="POR VENCER">
      <formula>NOT(ISERROR(SEARCH("POR VENCER",EJ151)))</formula>
    </cfRule>
    <cfRule type="containsText" dxfId="747" priority="763" operator="containsText" text="VIGENTE">
      <formula>NOT(ISERROR(SEARCH("VIGENTE",EJ151)))</formula>
    </cfRule>
  </conditionalFormatting>
  <conditionalFormatting sqref="EJ173">
    <cfRule type="containsText" dxfId="746" priority="758" operator="containsText" text="NO APLICA">
      <formula>NOT(ISERROR(SEARCH("NO APLICA",EJ173)))</formula>
    </cfRule>
    <cfRule type="containsText" dxfId="745" priority="759" operator="containsText" text="POR VENCER">
      <formula>NOT(ISERROR(SEARCH("POR VENCER",EJ173)))</formula>
    </cfRule>
    <cfRule type="containsText" dxfId="744" priority="760" operator="containsText" text="VIGENTE">
      <formula>NOT(ISERROR(SEARCH("VIGENTE",EJ173)))</formula>
    </cfRule>
  </conditionalFormatting>
  <conditionalFormatting sqref="EJ180">
    <cfRule type="containsText" dxfId="743" priority="755" operator="containsText" text="NO APLICA">
      <formula>NOT(ISERROR(SEARCH("NO APLICA",EJ180)))</formula>
    </cfRule>
    <cfRule type="containsText" dxfId="742" priority="756" operator="containsText" text="VIGENTE">
      <formula>NOT(ISERROR(SEARCH("VIGENTE",EJ180)))</formula>
    </cfRule>
    <cfRule type="containsText" dxfId="741" priority="757" operator="containsText" text="POR VENCER">
      <formula>NOT(ISERROR(SEARCH("POR VENCER",EJ180)))</formula>
    </cfRule>
  </conditionalFormatting>
  <conditionalFormatting sqref="EJ188">
    <cfRule type="containsText" dxfId="740" priority="752" operator="containsText" text="NO APLICA">
      <formula>NOT(ISERROR(SEARCH("NO APLICA",EJ188)))</formula>
    </cfRule>
    <cfRule type="containsText" dxfId="739" priority="753" operator="containsText" text="POR VENCER">
      <formula>NOT(ISERROR(SEARCH("POR VENCER",EJ188)))</formula>
    </cfRule>
    <cfRule type="containsText" dxfId="738" priority="754" operator="containsText" text="VIGENTE">
      <formula>NOT(ISERROR(SEARCH("VIGENTE",EJ188)))</formula>
    </cfRule>
  </conditionalFormatting>
  <conditionalFormatting sqref="EJ192">
    <cfRule type="containsText" dxfId="737" priority="749" operator="containsText" text="NO APLICA">
      <formula>NOT(ISERROR(SEARCH("NO APLICA",EJ192)))</formula>
    </cfRule>
    <cfRule type="containsText" dxfId="736" priority="750" operator="containsText" text="POR VENCER">
      <formula>NOT(ISERROR(SEARCH("POR VENCER",EJ192)))</formula>
    </cfRule>
    <cfRule type="containsText" dxfId="735" priority="751" operator="containsText" text="VIGENTE">
      <formula>NOT(ISERROR(SEARCH("VIGENTE",EJ192)))</formula>
    </cfRule>
  </conditionalFormatting>
  <conditionalFormatting sqref="EJ201">
    <cfRule type="containsText" dxfId="734" priority="746" operator="containsText" text="NO APLICA">
      <formula>NOT(ISERROR(SEARCH("NO APLICA",EJ201)))</formula>
    </cfRule>
    <cfRule type="containsText" dxfId="733" priority="747" operator="containsText" text="POR VENCER">
      <formula>NOT(ISERROR(SEARCH("POR VENCER",EJ201)))</formula>
    </cfRule>
    <cfRule type="containsText" dxfId="732" priority="748" operator="containsText" text="VIGENTE">
      <formula>NOT(ISERROR(SEARCH("VIGENTE",EJ201)))</formula>
    </cfRule>
  </conditionalFormatting>
  <conditionalFormatting sqref="EJ207">
    <cfRule type="containsText" dxfId="731" priority="743" operator="containsText" text="NO APLICA">
      <formula>NOT(ISERROR(SEARCH("NO APLICA",EJ207)))</formula>
    </cfRule>
    <cfRule type="containsText" dxfId="730" priority="744" operator="containsText" text="POR VENCER">
      <formula>NOT(ISERROR(SEARCH("POR VENCER",EJ207)))</formula>
    </cfRule>
    <cfRule type="containsText" dxfId="729" priority="745" operator="containsText" text="VIGENTE">
      <formula>NOT(ISERROR(SEARCH("VIGENTE",EJ207)))</formula>
    </cfRule>
  </conditionalFormatting>
  <conditionalFormatting sqref="EJ218">
    <cfRule type="containsText" dxfId="728" priority="740" operator="containsText" text="NO APLICA">
      <formula>NOT(ISERROR(SEARCH("NO APLICA",EJ218)))</formula>
    </cfRule>
    <cfRule type="containsText" dxfId="727" priority="741" operator="containsText" text="POR VENCER">
      <formula>NOT(ISERROR(SEARCH("POR VENCER",EJ218)))</formula>
    </cfRule>
    <cfRule type="containsText" dxfId="726" priority="742" operator="containsText" text="VIGENTE">
      <formula>NOT(ISERROR(SEARCH("VIGENTE",EJ218)))</formula>
    </cfRule>
  </conditionalFormatting>
  <conditionalFormatting sqref="EJ222">
    <cfRule type="containsText" dxfId="725" priority="737" operator="containsText" text="NO APLICA">
      <formula>NOT(ISERROR(SEARCH("NO APLICA",EJ222)))</formula>
    </cfRule>
    <cfRule type="containsText" dxfId="724" priority="738" operator="containsText" text="POR VENCER">
      <formula>NOT(ISERROR(SEARCH("POR VENCER",EJ222)))</formula>
    </cfRule>
    <cfRule type="containsText" dxfId="723" priority="739" operator="containsText" text="VIGENTE">
      <formula>NOT(ISERROR(SEARCH("VIGENTE",EJ222)))</formula>
    </cfRule>
  </conditionalFormatting>
  <conditionalFormatting sqref="EJ226">
    <cfRule type="containsText" dxfId="722" priority="734" operator="containsText" text="NO APLICA">
      <formula>NOT(ISERROR(SEARCH("NO APLICA",EJ226)))</formula>
    </cfRule>
    <cfRule type="containsText" dxfId="721" priority="735" operator="containsText" text="POR VENCER">
      <formula>NOT(ISERROR(SEARCH("POR VENCER",EJ226)))</formula>
    </cfRule>
    <cfRule type="containsText" dxfId="720" priority="736" operator="containsText" text="VIGENTE">
      <formula>NOT(ISERROR(SEARCH("VIGENTE",EJ226)))</formula>
    </cfRule>
  </conditionalFormatting>
  <conditionalFormatting sqref="EJ231">
    <cfRule type="containsText" dxfId="719" priority="731" operator="containsText" text="NO APLICA">
      <formula>NOT(ISERROR(SEARCH("NO APLICA",EJ231)))</formula>
    </cfRule>
    <cfRule type="containsText" dxfId="718" priority="732" operator="containsText" text="POR VENCER">
      <formula>NOT(ISERROR(SEARCH("POR VENCER",EJ231)))</formula>
    </cfRule>
    <cfRule type="containsText" dxfId="717" priority="733" operator="containsText" text="VIGENTE">
      <formula>NOT(ISERROR(SEARCH("VIGENTE",EJ231)))</formula>
    </cfRule>
  </conditionalFormatting>
  <conditionalFormatting sqref="EJ236">
    <cfRule type="containsText" dxfId="716" priority="728" operator="containsText" text="NO APLICA">
      <formula>NOT(ISERROR(SEARCH("NO APLICA",EJ236)))</formula>
    </cfRule>
    <cfRule type="containsText" dxfId="715" priority="729" operator="containsText" text="POR VENCER">
      <formula>NOT(ISERROR(SEARCH("POR VENCER",EJ236)))</formula>
    </cfRule>
    <cfRule type="containsText" dxfId="714" priority="730" operator="containsText" text="VIGENTE">
      <formula>NOT(ISERROR(SEARCH("VIGENTE",EJ236)))</formula>
    </cfRule>
  </conditionalFormatting>
  <conditionalFormatting sqref="EP92">
    <cfRule type="containsText" dxfId="713" priority="724" operator="containsText" text="VENCIDA">
      <formula>NOT(ISERROR(SEARCH("VENCIDA",EP92)))</formula>
    </cfRule>
    <cfRule type="containsText" dxfId="712" priority="725" operator="containsText" text="NO APLICA">
      <formula>NOT(ISERROR(SEARCH("NO APLICA",EP92)))</formula>
    </cfRule>
    <cfRule type="containsText" dxfId="711" priority="726" operator="containsText" text="POR VENCER">
      <formula>NOT(ISERROR(SEARCH("POR VENCER",EP92)))</formula>
    </cfRule>
    <cfRule type="containsText" dxfId="710" priority="727" operator="containsText" text="VIGENTE">
      <formula>NOT(ISERROR(SEARCH("VIGENTE",EP92)))</formula>
    </cfRule>
  </conditionalFormatting>
  <conditionalFormatting sqref="EP108:EP109">
    <cfRule type="containsText" dxfId="709" priority="720" operator="containsText" text="VENCIDA">
      <formula>NOT(ISERROR(SEARCH("VENCIDA",EP108)))</formula>
    </cfRule>
    <cfRule type="containsText" dxfId="708" priority="721" operator="containsText" text="NO APLICA">
      <formula>NOT(ISERROR(SEARCH("NO APLICA",EP108)))</formula>
    </cfRule>
    <cfRule type="containsText" dxfId="707" priority="722" operator="containsText" text="POR VENCER">
      <formula>NOT(ISERROR(SEARCH("POR VENCER",EP108)))</formula>
    </cfRule>
    <cfRule type="containsText" dxfId="706" priority="723" operator="containsText" text="VIGENTE">
      <formula>NOT(ISERROR(SEARCH("VIGENTE",EP108)))</formula>
    </cfRule>
  </conditionalFormatting>
  <conditionalFormatting sqref="EP112">
    <cfRule type="containsText" dxfId="705" priority="716" operator="containsText" text="VENCIDA">
      <formula>NOT(ISERROR(SEARCH("VENCIDA",EP112)))</formula>
    </cfRule>
    <cfRule type="containsText" dxfId="704" priority="717" operator="containsText" text="NO APLICA">
      <formula>NOT(ISERROR(SEARCH("NO APLICA",EP112)))</formula>
    </cfRule>
    <cfRule type="containsText" dxfId="703" priority="718" operator="containsText" text="POR VENCER">
      <formula>NOT(ISERROR(SEARCH("POR VENCER",EP112)))</formula>
    </cfRule>
    <cfRule type="containsText" dxfId="702" priority="719" operator="containsText" text="VIGENTE">
      <formula>NOT(ISERROR(SEARCH("VIGENTE",EP112)))</formula>
    </cfRule>
  </conditionalFormatting>
  <conditionalFormatting sqref="EP140">
    <cfRule type="expression" dxfId="701" priority="715">
      <formula>"O7&gt;=91"</formula>
    </cfRule>
  </conditionalFormatting>
  <conditionalFormatting sqref="FS3 AP3:AP5 AU3:AU5 AZ3:AZ5 BO3:BO5 BT3:BT5 CO3:CO5 DS3:DS5 DX3:DX5 EC3:EC5 EH5:EJ5 EO3:EO5 ET3:ET5 FN3:FN5 GC3:GC5 GH3:GH5 FW3:FX6 FS5 FX7 FX11:FX12 FX23:FX24 AK32:AK36 FX35:FX36 GC35 IP35:IP36 IO35:IO37 EH38 DI38:DI40 EO38:EO40 ET38:ET40 FN38:FN40 GC38 FX38:FX41 GC46:GC49 CO51:CO58 BT51:BT62 DI51:DI62 ET51:ET62 EH61:EJ61 EI64:EJ64 FX64:FX66 EH68:EJ68 FX68:FX71 EH74:EK74 EH76:EJ76 FX83:FX84 FX86:FX87 FX89 EH93 EI94:EJ94 EI98:EJ98 EH100:EH101 EI102:EJ102 FX102 EH103 EI106:EJ106 FX115:FX116 FX126:FX128 BT35:BT36 CO35:CO36 DI35:DI36 EH36:EJ36 ET35:ET36 DX46:DX49 EC46:EC49 ET46:ET49 FS46:FS49 DX74 FX47:FX61 EO46:EO62 HK3:HL13 EH35:EK35 EH46:EK46 EH54:EK54 EH65:EK65 FX118 HB97:HB128 AK97:AK128 FI93:FI118 EH33:EJ33 EH40:EJ40 EH47:EJ49 EH53:EJ53 EH55:EJ56 EH78:EJ79 EH84:EJ84 EH95:EJ96 EH109:EJ109 EI117:EJ117 EH112:EJ113 FI120:FI128 EH3:EK4 EI99:EK99 EH110:EK110 EH128:EK128 EH75 EH111 EH115:EJ116 EH114 FX9 FX104:FX110 FX112:FX113 FX120:FX124 EH58:EJ58 EH57 EH80 EH122:EJ122 EH118:EH121 EH60 EH67 EH71:EJ72 EH69:EH70 EH82:EH83 EH88:EJ89 EH87 EH97 EH51:EH52 EH86:EJ86 EH85 EH107:EH108 EH124:EJ125 EH123 EH127:EJ127 EH126 DX51:DX72 GH51:GH72 EO64:EO72">
    <cfRule type="containsText" dxfId="700" priority="714" operator="containsText" text="NO APLICA">
      <formula>NOT(ISERROR(SEARCH("NO APLICA",AK3)))</formula>
    </cfRule>
  </conditionalFormatting>
  <conditionalFormatting sqref="FS3 AP3:AP5 BO3:BO5 BT3:BT5 CO3:CO5 DS3:DS5 DX3:DX5 EC3:EC5 EH5:EJ5 EO3:EO5 ET3:ET5 FN3:FN5 GC3:GC5 GH3:GH5 FW3:FX6 FS5 FX7 FX23:FX24 AK32:AK36 FX35:FX36 CO35:CO36 DI35:DI36 EH36:EJ36 ET35:ET36 GC35 IP35:IP36 IO35:IO37 DI38:DI40 EO38:EO40 ET38:ET40 FN38:FN40 GC38 FX38:FX41 DX46:DX49 EC46:EC49 ET46:ET49 FS46:FS49 GC46:GC49 CO51:CO58 BT51:BT62 DI51:DI62 ET51:ET62 FX64:FX66 DX74 EH76:EJ76 FX83:FX84 FX86:FX87 FX89 EI94:EJ94 EI98:EJ98 EI102:EJ102 FX102 EI106:EJ106 FX115:FX116 FX126:FX128 EI64:EJ64 EH68:EJ68 FX68:FX71 EI10:EJ10 EI21:EJ21 EI24:EJ24 EH27 AJ3:AK6 BD3:BE6 BI3:BJ6 BX3:BY6 CS3:CT6 CX3:CY6 DC3:DD6 DH3:DI6 DM3:DN6 FC3:FD6 FH3:FI6 GV3:GW6 HA3:HB6 KR3:KR12 KR38:KR40 KQ3:KQ6 KR35:KR36 KR128 FX47:FX61 EO46:EO62 LO3:LO13 KR60:KR70 HK3:HL13 EH35:EK35 EH46:EK46 EH54:EK54 EH65:EK65 FX118 HB97:HB128 AK97:AK128 FI93:FI118 FX11:FX21 CO7 EX3:EY6 EI12:EJ12 EH18:EJ19 EH47:EJ49 EH53:EJ53 EH84:EJ84 EH95:EJ96 EI117:EJ117 EH118 EH112:EJ113 FI120:FI128 CO9:CO18 EH3:EK4 EI99:EK99 EH128:EK128 EH9:EJ9 EI66:EK66 EI81:EK82 EH93:EK93 EH103:EK103 EH110:EK111 EH115:EJ116 EH114:EK114 EH119:EK119 FX9 FX104:FX110 FX112:FX113 FX120:FX124 BT7:BT18 BT34:BT36 EH20:EK20 EH14:EJ14 EH33:EJ33 EH40:EJ40 EH55:EJ56 EH78:EJ79 EH100:EH101 EH109:EJ109 EH120 EH11:EK11 EH32:EK32 EH38:EH39 EI37:EK39 EH41:EK42 EH58:EJ58 EH57:EK57 EH61:EJ61 EH59:EK59 EH62:EK63 EH74:EK75 EH80:EK80 EI101:EK101 EH122:EJ122 EH121:EK121 EH60 EH67 EH71:EJ72 EH69:EH70 EH82:EH83 EH88:EJ89 EH87 EH97 EH7:EK8 EH13:EK13 EH15:EK17 EH22:EK23 EH51:EH52 EI52:EK52 EI77:EK77 EH86:EJ86 EH85:EK85 EI105:EK105 EH107:EK108 EH124:EJ125 EH123:EK123 EH127:EJ127 EH126:EK126 DX51:DX72 GH51:GH72 EO64:EO72">
    <cfRule type="containsText" dxfId="699" priority="713" operator="containsText" text="VIGENTE">
      <formula>NOT(ISERROR(SEARCH("VIGENTE",AJ3)))</formula>
    </cfRule>
  </conditionalFormatting>
  <conditionalFormatting sqref="FX47:FX61">
    <cfRule type="containsText" dxfId="698" priority="712" operator="containsText" text="VENCIDA">
      <formula>NOT(ISERROR(SEARCH("VENCIDA",FX47)))</formula>
    </cfRule>
  </conditionalFormatting>
  <conditionalFormatting sqref="FX101 EH129:EJ129 EH139:EJ139 EH144:EJ144 EH155:EJ156 J129:J139 U129:U157 AF129:AF157 AK129:AK157 AP129:AP157 AU129:AU157 AZ129:AZ131 BE129:BE157 BJ129 BO129:BO135 BT129:BT131 BY129:BY157 CO129:CO131 CT129:CT131 CY129:CY157 DD129 DI129:DI131 DN129:DN137 DS129:DS131 EC129:EC131 EO129:EO131 ET129:ET150 EY129:EY150 FD129:FD140 FI129:FI131 FN129:FN131 FS129:FS131 GC129:GC132 GH129:GH157 GW129:GW157 HB129:HB157 HL129:HL157 IP129:IP157 IU129:IU157 IZ129:IZ157 DN139 DN141 DN143:DN150 EH141:EJ142 EH140:EI140 EY152:EY157 EH151:EH154 FI133:FI135 FI137:FI148 FI150:FI153 FI155:FI157 BJ132:BJ133 BJ135 BJ137 BJ139:BJ157 BO137:BO157 CO133:CO135 CO137:CO140 CO150:CO153 CO155 CO157 DI133:DI148 DI150:DI153 DI155:DI157 DN152:DN157 EO133:EO142 EO144:EO148 EO150:EO153 EO155:EO157 EC133:EC135 EC137:EC142 EC144:EC148 EC150:EC153 EC155:EC157 EH130:EH132 EH138 EH148:EH149 DD131 DD133 DD135 DD150:DD153 DD155 DS133 DS135:DS137 DS139:DS148 DS150:DS153 DS155:DS157 FD142 FD144:FD148 FD150:FD157 GC134:GC150 GC152:GC157 BT133:BT135 BT137:BT140 BT142 BT144:BT148 BT150:BT153 BT155:BT157 DX129:DX157 FS133:FS142 FS144:FS148 FS150:FS153 FS155:FS157 FN133:FN135 FN142 FN144:FN145 FN150:FN153 FN155 FN157 FN147:FN148 FN137:FN140 AZ134:AZ140 AZ152:AZ153 AZ142:AZ145 AZ147:AZ148 AZ150 AZ155:AZ157 ET152:ET157 CT144:CT145 CT147:CT153 CT155:CT157 CT133:CT140 CT142 DD137:DD145 DD147:DD148 DD157 J141:J157 CO142:CO145 CO147:CO148 EH135 EH146:EJ146 EH145 EH157">
    <cfRule type="expression" dxfId="697" priority="711">
      <formula>"O7&gt;=91"</formula>
    </cfRule>
  </conditionalFormatting>
  <conditionalFormatting sqref="FX114">
    <cfRule type="expression" dxfId="696" priority="710">
      <formula>"O7&gt;=91"</formula>
    </cfRule>
  </conditionalFormatting>
  <conditionalFormatting sqref="FX117">
    <cfRule type="expression" dxfId="695" priority="709">
      <formula>"O7&gt;=91"</formula>
    </cfRule>
  </conditionalFormatting>
  <conditionalFormatting sqref="FX125">
    <cfRule type="expression" dxfId="694" priority="708">
      <formula>"O7&gt;=91"</formula>
    </cfRule>
  </conditionalFormatting>
  <conditionalFormatting sqref="FX179">
    <cfRule type="containsText" dxfId="693" priority="705" operator="containsText" text="VENCIDA">
      <formula>NOT(ISERROR(SEARCH("VENCIDA",FX179)))</formula>
    </cfRule>
    <cfRule type="containsText" dxfId="692" priority="706" operator="containsText" text="VIGENTE">
      <formula>NOT(ISERROR(SEARCH("VIGENTE",FX179)))</formula>
    </cfRule>
    <cfRule type="containsText" dxfId="691" priority="707" operator="containsText" text="NO APLICA">
      <formula>NOT(ISERROR(SEARCH("NO APLICA",FX179)))</formula>
    </cfRule>
  </conditionalFormatting>
  <conditionalFormatting sqref="FY102 FY105 FY112:FY113 FY126">
    <cfRule type="expression" dxfId="690" priority="704">
      <formula>"O7&gt;=91"</formula>
    </cfRule>
  </conditionalFormatting>
  <conditionalFormatting sqref="FY115 FY118 FX136:FY137 FX138:FX139 FX141 FX143:FX148 FY121 FX129:FX131 FY123:FY124 FX133:FX135 FX150:FX153 FX155:FX157">
    <cfRule type="expression" dxfId="689" priority="703">
      <formula>"O7&gt;=91"</formula>
    </cfRule>
  </conditionalFormatting>
  <conditionalFormatting sqref="GC179 GW179 HB179 HL179 IP179 IU179 IZ179 KJ179 BO179 DI179 EH179:EJ179 EO179 ET179 BT179">
    <cfRule type="containsText" dxfId="688" priority="702" operator="containsText" text="VIGENTE">
      <formula>NOT(ISERROR(SEARCH("VIGENTE",BO179)))</formula>
    </cfRule>
  </conditionalFormatting>
  <conditionalFormatting sqref="GM3 GM29:GM30 GM32:GM36 GM79:GM84 GM5:GM21">
    <cfRule type="containsText" dxfId="687" priority="701" operator="containsText" text="VENCIDA">
      <formula>NOT(ISERROR(SEARCH("VENCIDA",GM3)))</formula>
    </cfRule>
  </conditionalFormatting>
  <conditionalFormatting sqref="GM3 GM29:GM30 GM32:GM36 GM79:GM84 GM5:GM21">
    <cfRule type="containsText" dxfId="686" priority="700" operator="containsText" text="VIGENTE">
      <formula>NOT(ISERROR(SEARCH("VIGENTE",GM3)))</formula>
    </cfRule>
  </conditionalFormatting>
  <conditionalFormatting sqref="GM3 GM29:GM30 GM32:GM36 GQ37 GM79:GM84">
    <cfRule type="containsText" dxfId="685" priority="699" operator="containsText" text="POR VENCER">
      <formula>NOT(ISERROR(SEARCH("POR VENCER",GM3)))</formula>
    </cfRule>
  </conditionalFormatting>
  <conditionalFormatting sqref="GM3 GM29:GM30 GM32:GM36 GM79:GM84">
    <cfRule type="containsText" dxfId="684" priority="698" operator="containsText" text="NO APLICA">
      <formula>NOT(ISERROR(SEARCH("NO APLICA",GM3)))</formula>
    </cfRule>
  </conditionalFormatting>
  <conditionalFormatting sqref="GM5:GM21">
    <cfRule type="containsText" dxfId="683" priority="696" operator="containsText" text="NO APLICA">
      <formula>NOT(ISERROR(SEARCH("NO APLICA",GM5)))</formula>
    </cfRule>
    <cfRule type="containsText" dxfId="682" priority="697" operator="containsText" text="POR VENCER">
      <formula>NOT(ISERROR(SEARCH("POR VENCER",GM5)))</formula>
    </cfRule>
  </conditionalFormatting>
  <conditionalFormatting sqref="GM22">
    <cfRule type="expression" dxfId="681" priority="695">
      <formula>"O7&gt;=91"</formula>
    </cfRule>
  </conditionalFormatting>
  <conditionalFormatting sqref="GM28 GM78 GM131:GM132 GM133:GN137 GM139:GN140 GM138 GM150:GN155 GM142:GN142 GM157:GN157 GM144:GM149">
    <cfRule type="expression" dxfId="680" priority="694">
      <formula>"O7&gt;=91"</formula>
    </cfRule>
  </conditionalFormatting>
  <conditionalFormatting sqref="GM31">
    <cfRule type="expression" dxfId="679" priority="693">
      <formula>"O7&gt;=91"</formula>
    </cfRule>
  </conditionalFormatting>
  <conditionalFormatting sqref="GM85">
    <cfRule type="expression" dxfId="678" priority="692">
      <formula>"O7&gt;=91"</formula>
    </cfRule>
  </conditionalFormatting>
  <conditionalFormatting sqref="GM179">
    <cfRule type="containsText" dxfId="677" priority="690" operator="containsText" text="POR VENCER">
      <formula>NOT(ISERROR(SEARCH("POR VENCER",GM179)))</formula>
    </cfRule>
    <cfRule type="containsText" dxfId="676" priority="691" operator="containsText" text="VIGENTE">
      <formula>NOT(ISERROR(SEARCH("VIGENTE",GM179)))</formula>
    </cfRule>
  </conditionalFormatting>
  <conditionalFormatting sqref="GM129:GM130 GN12:GN13">
    <cfRule type="expression" dxfId="675" priority="689">
      <formula>"O7&gt;=91"</formula>
    </cfRule>
  </conditionalFormatting>
  <conditionalFormatting sqref="AA129:AA157 GN15:GN23 GN25:GN36 GN100 GN102:GN105 GN97 GN107:GN108 GN110 GN112:GN114 GN116:GN123 GN51:GN95 CJ56:CJ157">
    <cfRule type="expression" dxfId="674" priority="688">
      <formula>"O7&gt;=91"</formula>
    </cfRule>
  </conditionalFormatting>
  <conditionalFormatting sqref="GN124 GN128 GN126">
    <cfRule type="expression" dxfId="673" priority="687">
      <formula>"O7&gt;=91"</formula>
    </cfRule>
  </conditionalFormatting>
  <conditionalFormatting sqref="GQ129:GQ136">
    <cfRule type="containsText" dxfId="672" priority="686" operator="containsText" text="NO APLICA">
      <formula>NOT(ISERROR(SEARCH("NO APLICA",GQ129)))</formula>
    </cfRule>
  </conditionalFormatting>
  <conditionalFormatting sqref="GR131:GR132">
    <cfRule type="expression" dxfId="671" priority="685">
      <formula>"O7&gt;=91"</formula>
    </cfRule>
  </conditionalFormatting>
  <conditionalFormatting sqref="HQ3:HU9 HT34:HT35 HT39 HT41 HT46 HT48:HT50 HT52:HT59 HT61:HT62 HT64:HT65 HT78:HT79 HT81:HT88 HT90 HT92 HT94:HT95 HT97:HT101 HT103:HT118 HT12:HT13 HQ10:HR17">
    <cfRule type="containsText" dxfId="670" priority="684" operator="containsText" text="POR VENCER">
      <formula>NOT(ISERROR(SEARCH("POR VENCER",HQ3)))</formula>
    </cfRule>
  </conditionalFormatting>
  <conditionalFormatting sqref="HQ179:HR179">
    <cfRule type="containsText" dxfId="669" priority="680" operator="containsText" text="POR VENCER">
      <formula>NOT(ISERROR(SEARCH("POR VENCER",HQ179)))</formula>
    </cfRule>
    <cfRule type="containsText" dxfId="668" priority="681" operator="containsText" text="VIGENTE">
      <formula>NOT(ISERROR(SEARCH("VIGENTE",HQ179)))</formula>
    </cfRule>
    <cfRule type="containsText" dxfId="667" priority="682" operator="containsText" text="NO APLICA">
      <formula>NOT(ISERROR(SEARCH("NO APLICA",HQ179)))</formula>
    </cfRule>
    <cfRule type="containsText" dxfId="666" priority="683" operator="containsText" text="VENCIDA">
      <formula>NOT(ISERROR(SEARCH("VENCIDA",HQ179)))</formula>
    </cfRule>
  </conditionalFormatting>
  <conditionalFormatting sqref="HQ3:HU9 HT34:HT35 HT39 HT41 HT46 HT48:HT50 HT52:HT59 HT61:HT62 HT64:HT65 HT67:HT71 HT78:HT79 HT81:HT88 HT90 HT92 HT94:HT95 HT97:HT101 HT103:HT118 HT12:HT17">
    <cfRule type="containsText" dxfId="665" priority="679" operator="containsText" text="VIGENTE">
      <formula>NOT(ISERROR(SEARCH("VIGENTE",HQ3)))</formula>
    </cfRule>
  </conditionalFormatting>
  <conditionalFormatting sqref="HQ3:HU9 HT34:HT35 HT39 HT41 HT46 HT48:HT50 HT52:HT59 HT61:HT62 HT64:HT65 HT67:HT71 HT78:HT79 HT81:HT88 HT90 HT92 HT94:HT95 HT97:HT101 HT103:HT118 HT12:HT13">
    <cfRule type="containsText" dxfId="664" priority="678" operator="containsText" text="NO APLICA">
      <formula>NOT(ISERROR(SEARCH("NO APLICA",HQ3)))</formula>
    </cfRule>
  </conditionalFormatting>
  <conditionalFormatting sqref="HT14:HT17 HQ10:HR17">
    <cfRule type="containsText" dxfId="663" priority="677" operator="containsText" text="NO APLICA">
      <formula>NOT(ISERROR(SEARCH("NO APLICA",HQ10)))</formula>
    </cfRule>
  </conditionalFormatting>
  <conditionalFormatting sqref="HQ3:HU9 HT34:HT35 HT39 HT41 HT46 HT48:HT50 HT52:HT59 HT61:HT62 HT64:HT65 HT78:HT79 HT81:HT88 HT90 HT92 HT94:HT95 HT97:HT101 HT67:HT71 HT103:HT118 HT12:HT17">
    <cfRule type="containsText" dxfId="662" priority="676" operator="containsText" text="VENCIDA">
      <formula>NOT(ISERROR(SEARCH("VENCIDA",HQ3)))</formula>
    </cfRule>
  </conditionalFormatting>
  <conditionalFormatting sqref="HT14:HT17">
    <cfRule type="containsText" dxfId="661" priority="675" operator="containsText" text="POR VENCER">
      <formula>NOT(ISERROR(SEARCH("POR VENCER",HT14)))</formula>
    </cfRule>
  </conditionalFormatting>
  <conditionalFormatting sqref="HT17">
    <cfRule type="containsText" dxfId="660" priority="671" operator="containsText" text="NO APLICA">
      <formula>NOT(ISERROR(SEARCH("NO APLICA",HT17)))</formula>
    </cfRule>
    <cfRule type="containsText" dxfId="659" priority="672" operator="containsText" text="POR VENCER">
      <formula>NOT(ISERROR(SEARCH("POR VENCER",HT17)))</formula>
    </cfRule>
    <cfRule type="containsText" dxfId="658" priority="673" operator="containsText" text="NO APLICA">
      <formula>NOT(ISERROR(SEARCH("NO APLICA",HT17)))</formula>
    </cfRule>
    <cfRule type="containsText" dxfId="657" priority="674" operator="containsText" text="POR VENCER">
      <formula>NOT(ISERROR(SEARCH("POR VENCER",HT17)))</formula>
    </cfRule>
  </conditionalFormatting>
  <conditionalFormatting sqref="HT67:HT71 HQ67:HR71">
    <cfRule type="containsText" dxfId="656" priority="670" operator="containsText" text="POR VENCER">
      <formula>NOT(ISERROR(SEARCH("POR VENCER",HQ67)))</formula>
    </cfRule>
  </conditionalFormatting>
  <conditionalFormatting sqref="HV35:HV36 HZ37">
    <cfRule type="containsText" dxfId="655" priority="669" operator="containsText" text="POR VENCER">
      <formula>NOT(ISERROR(SEARCH("POR VENCER",HV35)))</formula>
    </cfRule>
  </conditionalFormatting>
  <conditionalFormatting sqref="HV35:HV36">
    <cfRule type="containsText" dxfId="654" priority="668" operator="containsText" text="NO APLICA">
      <formula>NOT(ISERROR(SEARCH("NO APLICA",HV35)))</formula>
    </cfRule>
  </conditionalFormatting>
  <conditionalFormatting sqref="HV129:HV157">
    <cfRule type="expression" dxfId="653" priority="667">
      <formula>"O7&gt;=91"</formula>
    </cfRule>
  </conditionalFormatting>
  <conditionalFormatting sqref="HV179">
    <cfRule type="containsText" dxfId="652" priority="665" operator="containsText" text="POR VENCER">
      <formula>NOT(ISERROR(SEARCH("POR VENCER",HV179)))</formula>
    </cfRule>
    <cfRule type="containsText" dxfId="651" priority="666" operator="containsText" text="VIGENTE">
      <formula>NOT(ISERROR(SEARCH("VIGENTE",HV179)))</formula>
    </cfRule>
  </conditionalFormatting>
  <conditionalFormatting sqref="HZ129:HZ136">
    <cfRule type="containsText" dxfId="650" priority="663" operator="containsText" text="NO APLICA">
      <formula>NOT(ISERROR(SEARCH("NO APLICA",HZ129)))</formula>
    </cfRule>
    <cfRule type="containsText" dxfId="649" priority="664" operator="containsText" text="POR VENCER">
      <formula>NOT(ISERROR(SEARCH("POR VENCER",HZ129)))</formula>
    </cfRule>
  </conditionalFormatting>
  <conditionalFormatting sqref="IA129:IA157">
    <cfRule type="expression" dxfId="648" priority="662">
      <formula>"O7&gt;=91"</formula>
    </cfRule>
  </conditionalFormatting>
  <conditionalFormatting sqref="IA179">
    <cfRule type="containsText" dxfId="647" priority="660" operator="containsText" text="POR VENCER">
      <formula>NOT(ISERROR(SEARCH("POR VENCER",IA179)))</formula>
    </cfRule>
    <cfRule type="containsText" dxfId="646" priority="661" operator="containsText" text="VIGENTE">
      <formula>NOT(ISERROR(SEARCH("VIGENTE",IA179)))</formula>
    </cfRule>
  </conditionalFormatting>
  <conditionalFormatting sqref="IE37">
    <cfRule type="containsText" dxfId="645" priority="659" operator="containsText" text="POR VENCER">
      <formula>NOT(ISERROR(SEARCH("POR VENCER",IE37)))</formula>
    </cfRule>
  </conditionalFormatting>
  <conditionalFormatting sqref="IE129:IE136">
    <cfRule type="containsText" dxfId="644" priority="657" operator="containsText" text="NO APLICA">
      <formula>NOT(ISERROR(SEARCH("NO APLICA",IE129)))</formula>
    </cfRule>
    <cfRule type="containsText" dxfId="643" priority="658" operator="containsText" text="POR VENCER">
      <formula>NOT(ISERROR(SEARCH("POR VENCER",IE129)))</formula>
    </cfRule>
  </conditionalFormatting>
  <conditionalFormatting sqref="IF3:IF21">
    <cfRule type="containsText" dxfId="642" priority="653" operator="containsText" text="VENCIDA">
      <formula>NOT(ISERROR(SEARCH("VENCIDA",IF3)))</formula>
    </cfRule>
    <cfRule type="containsText" dxfId="641" priority="654" operator="containsText" text="NO APLICA">
      <formula>NOT(ISERROR(SEARCH("NO APLICA",IF3)))</formula>
    </cfRule>
    <cfRule type="containsText" dxfId="640" priority="655" operator="containsText" text="VIGENTE">
      <formula>NOT(ISERROR(SEARCH("VIGENTE",IF3)))</formula>
    </cfRule>
    <cfRule type="containsText" dxfId="639" priority="656" operator="containsText" text="POR VENCER">
      <formula>NOT(ISERROR(SEARCH("POR VENCER",IF3)))</formula>
    </cfRule>
  </conditionalFormatting>
  <conditionalFormatting sqref="IF129:IF157">
    <cfRule type="expression" dxfId="638" priority="652">
      <formula>"O7&gt;=91"</formula>
    </cfRule>
  </conditionalFormatting>
  <conditionalFormatting sqref="IF179">
    <cfRule type="containsText" dxfId="637" priority="650" operator="containsText" text="POR VENCER">
      <formula>NOT(ISERROR(SEARCH("POR VENCER",IF179)))</formula>
    </cfRule>
    <cfRule type="containsText" dxfId="636" priority="651" operator="containsText" text="VIGENTE">
      <formula>NOT(ISERROR(SEARCH("VIGENTE",IF179)))</formula>
    </cfRule>
  </conditionalFormatting>
  <conditionalFormatting sqref="IJ37">
    <cfRule type="containsText" dxfId="635" priority="649" operator="containsText" text="POR VENCER">
      <formula>NOT(ISERROR(SEARCH("POR VENCER",IJ37)))</formula>
    </cfRule>
  </conditionalFormatting>
  <conditionalFormatting sqref="IJ129:IJ136">
    <cfRule type="containsText" dxfId="634" priority="647" operator="containsText" text="NO APLICA">
      <formula>NOT(ISERROR(SEARCH("NO APLICA",IJ129)))</formula>
    </cfRule>
    <cfRule type="containsText" dxfId="633" priority="648" operator="containsText" text="POR VENCER">
      <formula>NOT(ISERROR(SEARCH("POR VENCER",IJ129)))</formula>
    </cfRule>
  </conditionalFormatting>
  <conditionalFormatting sqref="IK131:IK132">
    <cfRule type="expression" dxfId="632" priority="646">
      <formula>"O7&gt;=91"</formula>
    </cfRule>
  </conditionalFormatting>
  <conditionalFormatting sqref="IV72">
    <cfRule type="containsText" dxfId="631" priority="642" operator="containsText" text="VENCIDA">
      <formula>NOT(ISERROR(SEARCH("VENCIDA",IV72)))</formula>
    </cfRule>
    <cfRule type="containsText" dxfId="630" priority="643" operator="containsText" text="NO APLICA">
      <formula>NOT(ISERROR(SEARCH("NO APLICA",IV72)))</formula>
    </cfRule>
    <cfRule type="containsText" dxfId="629" priority="644" operator="containsText" text="POR VENCER">
      <formula>NOT(ISERROR(SEARCH("POR VENCER",IV72)))</formula>
    </cfRule>
    <cfRule type="containsText" dxfId="628" priority="645" operator="containsText" text="VIGENTE">
      <formula>NOT(ISERROR(SEARCH("VIGENTE",IV72)))</formula>
    </cfRule>
  </conditionalFormatting>
  <conditionalFormatting sqref="IY129:IY136">
    <cfRule type="containsText" dxfId="627" priority="639" operator="containsText" text="NO APLICA">
      <formula>NOT(ISERROR(SEARCH("NO APLICA",IY129)))</formula>
    </cfRule>
    <cfRule type="containsText" dxfId="626" priority="640" operator="containsText" text="POR VENCER">
      <formula>NOT(ISERROR(SEARCH("POR VENCER",IY129)))</formula>
    </cfRule>
    <cfRule type="containsText" dxfId="625" priority="641" operator="containsText" text="VIGENTE">
      <formula>NOT(ISERROR(SEARCH("VIGENTE",IY129)))</formula>
    </cfRule>
  </conditionalFormatting>
  <conditionalFormatting sqref="JD132:JD136 KJ132:KJ136">
    <cfRule type="containsText" dxfId="624" priority="636" operator="containsText" text="NO APLICA">
      <formula>NOT(ISERROR(SEARCH("NO APLICA",JD132)))</formula>
    </cfRule>
    <cfRule type="containsText" dxfId="623" priority="637" operator="containsText" text="POR VENCER">
      <formula>NOT(ISERROR(SEARCH("POR VENCER",JD132)))</formula>
    </cfRule>
    <cfRule type="containsText" dxfId="622" priority="638" operator="containsText" text="VIGENTE">
      <formula>NOT(ISERROR(SEARCH("VIGENTE",JD132)))</formula>
    </cfRule>
  </conditionalFormatting>
  <conditionalFormatting sqref="JF3">
    <cfRule type="containsText" dxfId="621" priority="632" operator="containsText" text="VENCIDA">
      <formula>NOT(ISERROR(SEARCH("VENCIDA",JF3)))</formula>
    </cfRule>
    <cfRule type="containsText" dxfId="620" priority="633" operator="containsText" text="NO APLICA">
      <formula>NOT(ISERROR(SEARCH("NO APLICA",JF3)))</formula>
    </cfRule>
    <cfRule type="containsText" dxfId="619" priority="634" operator="containsText" text="POR VENCER">
      <formula>NOT(ISERROR(SEARCH("POR VENCER",JF3)))</formula>
    </cfRule>
    <cfRule type="containsText" dxfId="618" priority="635" operator="containsText" text="VIGENTE">
      <formula>NOT(ISERROR(SEARCH("VIGENTE",JF3)))</formula>
    </cfRule>
  </conditionalFormatting>
  <conditionalFormatting sqref="JJ3 JM3">
    <cfRule type="containsText" dxfId="617" priority="631" operator="containsText" text="POR VENCER">
      <formula>NOT(ISERROR(SEARCH("POR VENCER",JJ3)))</formula>
    </cfRule>
  </conditionalFormatting>
  <conditionalFormatting sqref="JJ3">
    <cfRule type="containsText" dxfId="616" priority="630" operator="containsText" text="VIGENTE">
      <formula>NOT(ISERROR(SEARCH("VIGENTE",JJ3)))</formula>
    </cfRule>
  </conditionalFormatting>
  <conditionalFormatting sqref="JJ3">
    <cfRule type="containsText" dxfId="615" priority="629" operator="containsText" text="NO APLICA">
      <formula>NOT(ISERROR(SEARCH("NO APLICA",JJ3)))</formula>
    </cfRule>
  </conditionalFormatting>
  <conditionalFormatting sqref="JM3">
    <cfRule type="containsText" dxfId="614" priority="628" operator="containsText" text="NO APLICA">
      <formula>NOT(ISERROR(SEARCH("NO APLICA",JM3)))</formula>
    </cfRule>
  </conditionalFormatting>
  <conditionalFormatting sqref="JM3:JN3 JJ3">
    <cfRule type="containsText" dxfId="613" priority="627" operator="containsText" text="VENCIDA">
      <formula>NOT(ISERROR(SEARCH("VENCIDA",JJ3)))</formula>
    </cfRule>
  </conditionalFormatting>
  <conditionalFormatting sqref="JN3">
    <cfRule type="containsText" dxfId="612" priority="624" operator="containsText" text="POR VENCER">
      <formula>NOT(ISERROR(SEARCH("POR VENCER",JN3)))</formula>
    </cfRule>
    <cfRule type="containsText" dxfId="611" priority="625" operator="containsText" text="VIGENTE">
      <formula>NOT(ISERROR(SEARCH("VIGENTE",JN3)))</formula>
    </cfRule>
    <cfRule type="containsText" dxfId="610" priority="626" operator="containsText" text="NO APLICA">
      <formula>NOT(ISERROR(SEARCH("NO APLICA",JN3)))</formula>
    </cfRule>
  </conditionalFormatting>
  <conditionalFormatting sqref="JQ3">
    <cfRule type="containsText" dxfId="609" priority="623" operator="containsText" text="NO APLICA">
      <formula>NOT(ISERROR(SEARCH("NO APLICA",JQ3)))</formula>
    </cfRule>
  </conditionalFormatting>
  <conditionalFormatting sqref="JS3">
    <cfRule type="containsText" dxfId="608" priority="619" operator="containsText" text="VENCIDA">
      <formula>NOT(ISERROR(SEARCH("VENCIDA",JS3)))</formula>
    </cfRule>
    <cfRule type="containsText" dxfId="607" priority="620" operator="containsText" text="NO APLICA">
      <formula>NOT(ISERROR(SEARCH("NO APLICA",JS3)))</formula>
    </cfRule>
    <cfRule type="containsText" dxfId="606" priority="621" operator="containsText" text="POR VENCER">
      <formula>NOT(ISERROR(SEARCH("POR VENCER",JS3)))</formula>
    </cfRule>
    <cfRule type="containsText" dxfId="605" priority="622" operator="containsText" text="VIGENTE">
      <formula>NOT(ISERROR(SEARCH("VIGENTE",JS3)))</formula>
    </cfRule>
  </conditionalFormatting>
  <conditionalFormatting sqref="KB132:KB136">
    <cfRule type="containsText" dxfId="604" priority="617" operator="containsText" text="NO APLICA">
      <formula>NOT(ISERROR(SEARCH("NO APLICA",KB132)))</formula>
    </cfRule>
    <cfRule type="containsText" dxfId="603" priority="618" operator="containsText" text="POR VENCER">
      <formula>NOT(ISERROR(SEARCH("POR VENCER",KB132)))</formula>
    </cfRule>
  </conditionalFormatting>
  <conditionalFormatting sqref="KB179">
    <cfRule type="containsText" dxfId="602" priority="614" operator="containsText" text="POR VENCER">
      <formula>NOT(ISERROR(SEARCH("POR VENCER",KB179)))</formula>
    </cfRule>
    <cfRule type="containsText" dxfId="601" priority="615" operator="containsText" text="VIGENTE">
      <formula>NOT(ISERROR(SEARCH("VIGENTE",KB179)))</formula>
    </cfRule>
    <cfRule type="containsText" dxfId="600" priority="616" operator="containsText" text="NO APLICA">
      <formula>NOT(ISERROR(SEARCH("NO APLICA",KB179)))</formula>
    </cfRule>
  </conditionalFormatting>
  <conditionalFormatting sqref="KE3:KE6">
    <cfRule type="containsText" dxfId="599" priority="613" operator="containsText" text="VENCIDA">
      <formula>NOT(ISERROR(SEARCH("VENCIDA",KE3)))</formula>
    </cfRule>
  </conditionalFormatting>
  <conditionalFormatting sqref="KF179">
    <cfRule type="containsText" dxfId="598" priority="610" operator="containsText" text="POR VENCER">
      <formula>NOT(ISERROR(SEARCH("POR VENCER",KF179)))</formula>
    </cfRule>
    <cfRule type="containsText" dxfId="597" priority="611" operator="containsText" text="VIGENTE">
      <formula>NOT(ISERROR(SEARCH("VIGENTE",KF179)))</formula>
    </cfRule>
    <cfRule type="containsText" dxfId="596" priority="612" operator="containsText" text="NO APLICA">
      <formula>NOT(ISERROR(SEARCH("NO APLICA",KF179)))</formula>
    </cfRule>
  </conditionalFormatting>
  <conditionalFormatting sqref="KI3:KI17">
    <cfRule type="containsText" dxfId="595" priority="608" operator="containsText" text="NO APLICA">
      <formula>NOT(ISERROR(SEARCH("NO APLICA",KI3)))</formula>
    </cfRule>
    <cfRule type="containsText" dxfId="594" priority="609" operator="containsText" text="POR VENCER">
      <formula>NOT(ISERROR(SEARCH("POR VENCER",KI3)))</formula>
    </cfRule>
  </conditionalFormatting>
  <conditionalFormatting sqref="KI67:KI71">
    <cfRule type="containsText" dxfId="593" priority="607" operator="containsText" text="POR VENCER">
      <formula>NOT(ISERROR(SEARCH("POR VENCER",KI67)))</formula>
    </cfRule>
  </conditionalFormatting>
  <conditionalFormatting sqref="KN129">
    <cfRule type="containsText" dxfId="592" priority="606" operator="containsText" text="NO APLICA">
      <formula>NOT(ISERROR(SEARCH("NO APLICA",KN129)))</formula>
    </cfRule>
  </conditionalFormatting>
  <conditionalFormatting sqref="KN139">
    <cfRule type="containsText" dxfId="591" priority="605" operator="containsText" text="NO APLICA">
      <formula>NOT(ISERROR(SEARCH("NO APLICA",KN139)))</formula>
    </cfRule>
  </conditionalFormatting>
  <conditionalFormatting sqref="KN144">
    <cfRule type="containsText" dxfId="590" priority="604" operator="containsText" text="NO APLICA">
      <formula>NOT(ISERROR(SEARCH("NO APLICA",KN144)))</formula>
    </cfRule>
  </conditionalFormatting>
  <conditionalFormatting sqref="KN150">
    <cfRule type="containsText" dxfId="589" priority="603" operator="containsText" text="NO APLICA">
      <formula>NOT(ISERROR(SEARCH("NO APLICA",KN150)))</formula>
    </cfRule>
  </conditionalFormatting>
  <conditionalFormatting sqref="KN153">
    <cfRule type="containsText" dxfId="588" priority="602" operator="containsText" text="NO APLICA">
      <formula>NOT(ISERROR(SEARCH("NO APLICA",KN153)))</formula>
    </cfRule>
  </conditionalFormatting>
  <conditionalFormatting sqref="KN160">
    <cfRule type="containsText" dxfId="587" priority="601" operator="containsText" text="NO APLICA">
      <formula>NOT(ISERROR(SEARCH("NO APLICA",KN160)))</formula>
    </cfRule>
  </conditionalFormatting>
  <conditionalFormatting sqref="KN168:KN169">
    <cfRule type="containsText" dxfId="586" priority="600" operator="containsText" text="NO APLICA">
      <formula>NOT(ISERROR(SEARCH("NO APLICA",KN168)))</formula>
    </cfRule>
  </conditionalFormatting>
  <conditionalFormatting sqref="KO208">
    <cfRule type="containsText" dxfId="585" priority="599" operator="containsText" text="VENCIDA">
      <formula>NOT(ISERROR(SEARCH("VENCIDA",KO208)))</formula>
    </cfRule>
  </conditionalFormatting>
  <conditionalFormatting sqref="KO212">
    <cfRule type="containsText" dxfId="584" priority="598" operator="containsText" text="VENCIDA">
      <formula>NOT(ISERROR(SEARCH("VENCIDA",KO212)))</formula>
    </cfRule>
  </conditionalFormatting>
  <conditionalFormatting sqref="KO219">
    <cfRule type="containsText" dxfId="583" priority="597" operator="containsText" text="VENCIDA">
      <formula>NOT(ISERROR(SEARCH("VENCIDA",KO219)))</formula>
    </cfRule>
  </conditionalFormatting>
  <conditionalFormatting sqref="KO236:KO237">
    <cfRule type="containsText" dxfId="582" priority="596" operator="containsText" text="VENCIDA">
      <formula>NOT(ISERROR(SEARCH("VENCIDA",KO236)))</formula>
    </cfRule>
  </conditionalFormatting>
  <conditionalFormatting sqref="KO208:KP208">
    <cfRule type="containsText" dxfId="581" priority="593" operator="containsText" text="VIGENTE">
      <formula>NOT(ISERROR(SEARCH("VIGENTE",KO208)))</formula>
    </cfRule>
    <cfRule type="containsText" dxfId="580" priority="594" operator="containsText" text="NO APLICA">
      <formula>NOT(ISERROR(SEARCH("NO APLICA",KO208)))</formula>
    </cfRule>
    <cfRule type="containsText" dxfId="579" priority="595" operator="containsText" text="POR VENCER">
      <formula>NOT(ISERROR(SEARCH("POR VENCER",KO208)))</formula>
    </cfRule>
  </conditionalFormatting>
  <conditionalFormatting sqref="KO212:KP212">
    <cfRule type="containsText" dxfId="578" priority="590" operator="containsText" text="VIGENTE">
      <formula>NOT(ISERROR(SEARCH("VIGENTE",KO212)))</formula>
    </cfRule>
    <cfRule type="containsText" dxfId="577" priority="591" operator="containsText" text="NO APLICA">
      <formula>NOT(ISERROR(SEARCH("NO APLICA",KO212)))</formula>
    </cfRule>
    <cfRule type="containsText" dxfId="576" priority="592" operator="containsText" text="POR VENCER">
      <formula>NOT(ISERROR(SEARCH("POR VENCER",KO212)))</formula>
    </cfRule>
  </conditionalFormatting>
  <conditionalFormatting sqref="KO219:KP219">
    <cfRule type="containsText" dxfId="575" priority="587" operator="containsText" text="VIGENTE">
      <formula>NOT(ISERROR(SEARCH("VIGENTE",KO219)))</formula>
    </cfRule>
    <cfRule type="containsText" dxfId="574" priority="588" operator="containsText" text="NO APLICA">
      <formula>NOT(ISERROR(SEARCH("NO APLICA",KO219)))</formula>
    </cfRule>
    <cfRule type="containsText" dxfId="573" priority="589" operator="containsText" text="POR VENCER">
      <formula>NOT(ISERROR(SEARCH("POR VENCER",KO219)))</formula>
    </cfRule>
  </conditionalFormatting>
  <conditionalFormatting sqref="KO236:KP236">
    <cfRule type="containsText" dxfId="572" priority="584" operator="containsText" text="VIGENTE">
      <formula>NOT(ISERROR(SEARCH("VIGENTE",KO236)))</formula>
    </cfRule>
    <cfRule type="containsText" dxfId="571" priority="585" operator="containsText" text="NO APLICA">
      <formula>NOT(ISERROR(SEARCH("NO APLICA",KO236)))</formula>
    </cfRule>
    <cfRule type="containsText" dxfId="570" priority="586" operator="containsText" text="POR VENCER">
      <formula>NOT(ISERROR(SEARCH("POR VENCER",KO236)))</formula>
    </cfRule>
  </conditionalFormatting>
  <conditionalFormatting sqref="KP208">
    <cfRule type="containsText" dxfId="569" priority="583" operator="containsText" text="VENCIDA">
      <formula>NOT(ISERROR(SEARCH("VENCIDA",KP208)))</formula>
    </cfRule>
  </conditionalFormatting>
  <conditionalFormatting sqref="KP212">
    <cfRule type="containsText" dxfId="568" priority="582" operator="containsText" text="VENCIDA">
      <formula>NOT(ISERROR(SEARCH("VENCIDA",KP212)))</formula>
    </cfRule>
  </conditionalFormatting>
  <conditionalFormatting sqref="KP219">
    <cfRule type="containsText" dxfId="567" priority="581" operator="containsText" text="VENCIDA">
      <formula>NOT(ISERROR(SEARCH("VENCIDA",KP219)))</formula>
    </cfRule>
  </conditionalFormatting>
  <conditionalFormatting sqref="KP236:KP237">
    <cfRule type="containsText" dxfId="566" priority="580" operator="containsText" text="VENCIDA">
      <formula>NOT(ISERROR(SEARCH("VENCIDA",KP236)))</formula>
    </cfRule>
  </conditionalFormatting>
  <conditionalFormatting sqref="KR3:KR12 KR35:KR36 KR38:KR40 KR128 KR60:KR70">
    <cfRule type="containsText" dxfId="565" priority="579" operator="containsText" text="NO APLICA">
      <formula>NOT(ISERROR(SEARCH("NO APLICA",KR3)))</formula>
    </cfRule>
  </conditionalFormatting>
  <conditionalFormatting sqref="KR35:KR36 KR128 KR3:KR12 KR38:KR40 KV35:KV37 KR60:KR70">
    <cfRule type="containsText" dxfId="564" priority="578" operator="containsText" text="POR VENCER">
      <formula>NOT(ISERROR(SEARCH("POR VENCER",KR3)))</formula>
    </cfRule>
  </conditionalFormatting>
  <conditionalFormatting sqref="KR35:KR36 KR128">
    <cfRule type="containsText" dxfId="563" priority="577" operator="containsText" text="VENCIDA">
      <formula>NOT(ISERROR(SEARCH("VENCIDA",KR35)))</formula>
    </cfRule>
  </conditionalFormatting>
  <conditionalFormatting sqref="KR129:KR157">
    <cfRule type="expression" dxfId="562" priority="576">
      <formula>"O7&gt;=91"</formula>
    </cfRule>
  </conditionalFormatting>
  <conditionalFormatting sqref="KR179">
    <cfRule type="containsText" dxfId="561" priority="574" operator="containsText" text="POR VENCER">
      <formula>NOT(ISERROR(SEARCH("POR VENCER",KR179)))</formula>
    </cfRule>
    <cfRule type="containsText" dxfId="560" priority="575" operator="containsText" text="VIGENTE">
      <formula>NOT(ISERROR(SEARCH("VIGENTE",KR179)))</formula>
    </cfRule>
  </conditionalFormatting>
  <conditionalFormatting sqref="KR13:KR33 GQ3:GQ36 KV3:KV34 Z7:AA18">
    <cfRule type="containsText" dxfId="559" priority="573" operator="containsText" text="POR VENCER">
      <formula>NOT(ISERROR(SEARCH("POR VENCER",Z3)))</formula>
    </cfRule>
  </conditionalFormatting>
  <conditionalFormatting sqref="LA174:LD174">
    <cfRule type="containsText" dxfId="558" priority="569" operator="containsText" text="VENCIDA">
      <formula>NOT(ISERROR(SEARCH("VENCIDA",LA174)))</formula>
    </cfRule>
    <cfRule type="containsText" dxfId="557" priority="570" operator="containsText" text="NO APLICA">
      <formula>NOT(ISERROR(SEARCH("NO APLICA",LA174)))</formula>
    </cfRule>
    <cfRule type="containsText" dxfId="556" priority="571" operator="containsText" text="VIGENTE">
      <formula>NOT(ISERROR(SEARCH("VIGENTE",LA174)))</formula>
    </cfRule>
    <cfRule type="containsText" dxfId="555" priority="572" operator="containsText" text="POR VENCER">
      <formula>NOT(ISERROR(SEARCH("POR VENCER",LA174)))</formula>
    </cfRule>
  </conditionalFormatting>
  <conditionalFormatting sqref="LJ3:LJ238">
    <cfRule type="containsText" dxfId="554" priority="565" operator="containsText" text="NO APLICA">
      <formula>NOT(ISERROR(SEARCH("NO APLICA",LJ3)))</formula>
    </cfRule>
    <cfRule type="containsText" dxfId="553" priority="566" operator="containsText" text="POR VENCER">
      <formula>NOT(ISERROR(SEARCH("POR VENCER",LJ3)))</formula>
    </cfRule>
    <cfRule type="containsText" dxfId="552" priority="567" operator="containsText" text="VENCIDA">
      <formula>NOT(ISERROR(SEARCH("VENCIDA",LJ3)))</formula>
    </cfRule>
    <cfRule type="containsText" dxfId="551" priority="568" operator="containsText" text="VIGENTE">
      <formula>NOT(ISERROR(SEARCH("VIGENTE",LJ3)))</formula>
    </cfRule>
  </conditionalFormatting>
  <conditionalFormatting sqref="LK129:LK157">
    <cfRule type="expression" dxfId="550" priority="564">
      <formula>"O7&gt;=91"</formula>
    </cfRule>
  </conditionalFormatting>
  <conditionalFormatting sqref="LK179">
    <cfRule type="containsText" dxfId="549" priority="562" operator="containsText" text="POR VENCER">
      <formula>NOT(ISERROR(SEARCH("POR VENCER",LK179)))</formula>
    </cfRule>
    <cfRule type="containsText" dxfId="548" priority="563" operator="containsText" text="VIGENTE">
      <formula>NOT(ISERROR(SEARCH("VIGENTE",LK179)))</formula>
    </cfRule>
  </conditionalFormatting>
  <conditionalFormatting sqref="LO3:LO13">
    <cfRule type="containsText" dxfId="547" priority="560" operator="containsText" text="NO APLICA">
      <formula>NOT(ISERROR(SEARCH("NO APLICA",LO3)))</formula>
    </cfRule>
    <cfRule type="containsText" dxfId="546" priority="561" operator="containsText" text="POR VENCER">
      <formula>NOT(ISERROR(SEARCH("POR VENCER",LO3)))</formula>
    </cfRule>
  </conditionalFormatting>
  <conditionalFormatting sqref="LZ179:MA179 ME179:MF179">
    <cfRule type="containsText" dxfId="545" priority="558" operator="containsText" text="POR VENCER">
      <formula>NOT(ISERROR(SEARCH("POR VENCER",LZ179)))</formula>
    </cfRule>
    <cfRule type="containsText" dxfId="544" priority="559" operator="containsText" text="VIGENTE">
      <formula>NOT(ISERROR(SEARCH("VIGENTE",LZ179)))</formula>
    </cfRule>
  </conditionalFormatting>
  <conditionalFormatting sqref="LZ3:MF6 LZ124 LZ38:MA43 LZ125:MA157 LZ93:MA116 LZ118:MA123 LZ8:MA13">
    <cfRule type="containsText" dxfId="543" priority="556" operator="containsText" text="VIGENTE">
      <formula>NOT(ISERROR(SEARCH("VIGENTE",LZ3)))</formula>
    </cfRule>
    <cfRule type="containsText" dxfId="542" priority="557" operator="containsText" text="NO APLICA">
      <formula>NOT(ISERROR(SEARCH("NO APLICA",LZ3)))</formula>
    </cfRule>
  </conditionalFormatting>
  <conditionalFormatting sqref="MJ179 MN179:MP179">
    <cfRule type="containsText" dxfId="541" priority="555" operator="containsText" text="VIGENTE">
      <formula>NOT(ISERROR(SEARCH("VIGENTE",MJ179)))</formula>
    </cfRule>
  </conditionalFormatting>
  <conditionalFormatting sqref="MJ179">
    <cfRule type="containsText" dxfId="540" priority="554" operator="containsText" text="POR VENCER">
      <formula>NOT(ISERROR(SEARCH("POR VENCER",MJ179)))</formula>
    </cfRule>
  </conditionalFormatting>
  <conditionalFormatting sqref="MN179:MP179">
    <cfRule type="containsText" dxfId="539" priority="553" operator="containsText" text="POR VENCER">
      <formula>NOT(ISERROR(SEARCH("POR VENCER",MN179)))</formula>
    </cfRule>
  </conditionalFormatting>
  <conditionalFormatting sqref="MP14:MP17">
    <cfRule type="containsText" dxfId="538" priority="551" operator="containsText" text="NO APLICA">
      <formula>NOT(ISERROR(SEARCH("NO APLICA",MP14)))</formula>
    </cfRule>
    <cfRule type="containsText" dxfId="537" priority="552" operator="containsText" text="POR VENCER">
      <formula>NOT(ISERROR(SEARCH("POR VENCER",MP14)))</formula>
    </cfRule>
  </conditionalFormatting>
  <conditionalFormatting sqref="MP4:MQ12 MP14:MP17 MP19:MP21 MP26 MP142:MP151 MM152:MP157 MP96:MP140">
    <cfRule type="containsText" dxfId="536" priority="550" operator="containsText" text="VENCIDA">
      <formula>NOT(ISERROR(SEARCH("VENCIDA",MM4)))</formula>
    </cfRule>
  </conditionalFormatting>
  <conditionalFormatting sqref="MP4:MQ12 MP19:MP21 MP26 MP142:MP151 MM152:MP157 MP96:MP140 MM3:MN17">
    <cfRule type="containsText" dxfId="535" priority="549" operator="containsText" text="POR VENCER">
      <formula>NOT(ISERROR(SEARCH("POR VENCER",MM3)))</formula>
    </cfRule>
  </conditionalFormatting>
  <conditionalFormatting sqref="MP4:MQ12 MP19:MP21 MP26 MP142:MP151 MM152:MP157 MP14:MP17 MP96:MP140">
    <cfRule type="containsText" dxfId="534" priority="548" operator="containsText" text="VIGENTE">
      <formula>NOT(ISERROR(SEARCH("VIGENTE",MM4)))</formula>
    </cfRule>
  </conditionalFormatting>
  <conditionalFormatting sqref="MP4:MQ12 MP19:MP21 MP26 MP142:MP151 MM152:MP157 MP96:MP140">
    <cfRule type="containsText" dxfId="533" priority="547" operator="containsText" text="NO APLICA">
      <formula>NOT(ISERROR(SEARCH("NO APLICA",MM4)))</formula>
    </cfRule>
  </conditionalFormatting>
  <conditionalFormatting sqref="MR3:MR6 AF179 AJ179:AK179 AP179 AU179 DD179 EY179 FN179 FS179 GH179 Z182:AE186 CC183 CG183:CH183 CC184:CH184 CC185:CD186 CG185:CH186 LA186">
    <cfRule type="containsText" dxfId="532" priority="546" operator="containsText" text="VIGENTE">
      <formula>NOT(ISERROR(SEARCH("VIGENTE",Z3)))</formula>
    </cfRule>
  </conditionalFormatting>
  <conditionalFormatting sqref="MR129:MR157 MW129:MW157 NB129:NB157">
    <cfRule type="expression" dxfId="531" priority="545">
      <formula>"O7&gt;=91"</formula>
    </cfRule>
  </conditionalFormatting>
  <conditionalFormatting sqref="MR179 MW179 NB179">
    <cfRule type="containsText" dxfId="530" priority="543" operator="containsText" text="POR VENCER">
      <formula>NOT(ISERROR(SEARCH("POR VENCER",MR179)))</formula>
    </cfRule>
    <cfRule type="containsText" dxfId="529" priority="544" operator="containsText" text="VIGENTE">
      <formula>NOT(ISERROR(SEARCH("VIGENTE",MR179)))</formula>
    </cfRule>
  </conditionalFormatting>
  <conditionalFormatting sqref="MV129:MV131">
    <cfRule type="containsText" dxfId="528" priority="542" operator="containsText" text="NO APLICA">
      <formula>NOT(ISERROR(SEARCH("NO APLICA",MV129)))</formula>
    </cfRule>
  </conditionalFormatting>
  <conditionalFormatting sqref="NB3:NB36">
    <cfRule type="containsText" dxfId="527" priority="540" operator="containsText" text="VIGENTE">
      <formula>NOT(ISERROR(SEARCH("VIGENTE",NB3)))</formula>
    </cfRule>
    <cfRule type="containsText" dxfId="526" priority="541" operator="containsText" text="NO APLICA">
      <formula>NOT(ISERROR(SEARCH("NO APLICA",NB3)))</formula>
    </cfRule>
  </conditionalFormatting>
  <conditionalFormatting sqref="NF66 NF76:NG76 NF3:NO4 NG5:NH5 NK5:NO5 NF5:NF6 NG6:NO6 NF7:NO8 NF9:NK9 NK34 MV37 NF37 NK55 NK56:NO56 NJ57:NO59 NJ60:NM62 NO60:NO63 NK63:NM63 NK64 NK65:NM65 NO65 NK66 NF87:NG87 NF88:NH88 NF89:NG89 NF77:NH86 NF10:NO13">
    <cfRule type="containsText" dxfId="525" priority="539" operator="containsText" text="POR VENCER">
      <formula>NOT(ISERROR(SEARCH("POR VENCER",MV3)))</formula>
    </cfRule>
  </conditionalFormatting>
  <conditionalFormatting sqref="NF66 NF76:NG76">
    <cfRule type="containsText" dxfId="524" priority="537" operator="containsText" text="NO APLICA">
      <formula>NOT(ISERROR(SEARCH("NO APLICA",NF66)))</formula>
    </cfRule>
    <cfRule type="containsText" dxfId="523" priority="538" operator="containsText" text="VENCIDA">
      <formula>NOT(ISERROR(SEARCH("VENCIDA",NF66)))</formula>
    </cfRule>
  </conditionalFormatting>
  <conditionalFormatting sqref="NF131:NH157">
    <cfRule type="containsText" dxfId="522" priority="536" operator="containsText" text="NO APLICA">
      <formula>NOT(ISERROR(SEARCH("NO APLICA",NF131)))</formula>
    </cfRule>
  </conditionalFormatting>
  <conditionalFormatting sqref="NF3:NO4 NG5:NH5 NK5:NO5 NF5:NF6 NG6:NO6 NF7:NO8 NF9:NK9 NK34 MV37 NF37 NK55 NK56:NO56 NJ57:NO59 NJ60:NM62 NO60:NO63 NK63:NM63 NK64 NK65:NM65 NO65 NF66 NK66 NF76:NG76 NF87:NG87 NF88:NH88 NF89:NG89 NF77:NH86 NF10:NO13 NF90:NH157">
    <cfRule type="containsText" dxfId="521" priority="535" operator="containsText" text="VIGENTE">
      <formula>NOT(ISERROR(SEARCH("VIGENTE",MV3)))</formula>
    </cfRule>
  </conditionalFormatting>
  <conditionalFormatting sqref="NF3:NO4 NG5:NH5 NK5:NO5 NF5:NF6 NG6:NO6 NF7:NO8 NF9:NK9 NK34 MV37 NF37 NK55 NK56:NO56 NJ57:NO59 NJ60:NM62 NO60:NO63 NK63:NM63 NK64 NK65:NM65 NO65 NK66 NF87:NG87 NF88:NH88 NF89:NG89 NF77:NH86 NK35:NO54 NJ38:NJ56 NF10:NO13 NF38:NH65">
    <cfRule type="containsText" dxfId="520" priority="533" operator="containsText" text="VENCIDA">
      <formula>NOT(ISERROR(SEARCH("VENCIDA",MV3)))</formula>
    </cfRule>
    <cfRule type="containsText" dxfId="519" priority="534" operator="containsText" text="NO APLICA">
      <formula>NOT(ISERROR(SEARCH("NO APLICA",MV3)))</formula>
    </cfRule>
  </conditionalFormatting>
  <conditionalFormatting sqref="NG179:NJ179 NL179:NM179 NO179">
    <cfRule type="containsText" dxfId="518" priority="531" operator="containsText" text="POR VENCER">
      <formula>NOT(ISERROR(SEARCH("POR VENCER",NG179)))</formula>
    </cfRule>
    <cfRule type="containsText" dxfId="517" priority="532" operator="containsText" text="VIGENTE">
      <formula>NOT(ISERROR(SEARCH("VIGENTE",NG179)))</formula>
    </cfRule>
  </conditionalFormatting>
  <conditionalFormatting sqref="NI199">
    <cfRule type="containsText" dxfId="516" priority="527" operator="containsText" text="VIGENTE">
      <formula>NOT(ISERROR(SEARCH("VIGENTE",NI199)))</formula>
    </cfRule>
    <cfRule type="containsText" dxfId="515" priority="528" operator="containsText" text="NO APLICA">
      <formula>NOT(ISERROR(SEARCH("NO APLICA",NI199)))</formula>
    </cfRule>
    <cfRule type="containsText" dxfId="514" priority="529" operator="containsText" text="POR VENCER">
      <formula>NOT(ISERROR(SEARCH("POR VENCER",NI199)))</formula>
    </cfRule>
    <cfRule type="containsText" dxfId="513" priority="530" operator="containsText" text="VENCIDA">
      <formula>NOT(ISERROR(SEARCH("VENCIDA",NI199)))</formula>
    </cfRule>
  </conditionalFormatting>
  <conditionalFormatting sqref="NI212">
    <cfRule type="containsText" dxfId="512" priority="523" operator="containsText" text="VIGENTE">
      <formula>NOT(ISERROR(SEARCH("VIGENTE",NI212)))</formula>
    </cfRule>
    <cfRule type="containsText" dxfId="511" priority="524" operator="containsText" text="NO APLICA">
      <formula>NOT(ISERROR(SEARCH("NO APLICA",NI212)))</formula>
    </cfRule>
    <cfRule type="containsText" dxfId="510" priority="525" operator="containsText" text="POR VENCER">
      <formula>NOT(ISERROR(SEARCH("POR VENCER",NI212)))</formula>
    </cfRule>
    <cfRule type="containsText" dxfId="509" priority="526" operator="containsText" text="VENCIDA">
      <formula>NOT(ISERROR(SEARCH("VENCIDA",NI212)))</formula>
    </cfRule>
  </conditionalFormatting>
  <conditionalFormatting sqref="AB35 NP3:NP238">
    <cfRule type="containsText" dxfId="508" priority="519" operator="containsText" text="NO APLICA">
      <formula>NOT(ISERROR(SEARCH("NO APLICA",AB3)))</formula>
    </cfRule>
    <cfRule type="containsText" dxfId="507" priority="520" operator="containsText" text="VENCIDA">
      <formula>NOT(ISERROR(SEARCH("VENCIDA",AB3)))</formula>
    </cfRule>
    <cfRule type="containsText" dxfId="506" priority="521" operator="containsText" text="POR VENCER">
      <formula>NOT(ISERROR(SEARCH("POR VENCER",AB3)))</formula>
    </cfRule>
    <cfRule type="containsText" dxfId="505" priority="522" operator="containsText" text="VIGENTE">
      <formula>NOT(ISERROR(SEARCH("VIGENTE",AB3)))</formula>
    </cfRule>
  </conditionalFormatting>
  <conditionalFormatting sqref="AA159">
    <cfRule type="containsText" dxfId="504" priority="515" operator="containsText" text="VENCIDA">
      <formula>NOT(ISERROR(SEARCH("VENCIDA",AA159)))</formula>
    </cfRule>
    <cfRule type="containsText" dxfId="503" priority="516" operator="containsText" text="NO APLICA">
      <formula>NOT(ISERROR(SEARCH("NO APLICA",AA159)))</formula>
    </cfRule>
    <cfRule type="containsText" dxfId="502" priority="517" operator="containsText" text="POR VENCER">
      <formula>NOT(ISERROR(SEARCH("POR VENCER",AA159)))</formula>
    </cfRule>
    <cfRule type="containsText" dxfId="501" priority="518" operator="containsText" text="VIGENTE">
      <formula>NOT(ISERROR(SEARCH("VIGENTE",AA159)))</formula>
    </cfRule>
  </conditionalFormatting>
  <conditionalFormatting sqref="A214:A236">
    <cfRule type="duplicateValues" dxfId="500" priority="514"/>
  </conditionalFormatting>
  <conditionalFormatting sqref="FX142 FX140">
    <cfRule type="containsText" dxfId="499" priority="513" operator="containsText" text="VENCIDA">
      <formula>NOT(ISERROR(SEARCH("VENCIDA",FX140)))</formula>
    </cfRule>
  </conditionalFormatting>
  <conditionalFormatting sqref="FX142 FX140">
    <cfRule type="containsText" dxfId="498" priority="512" operator="containsText" text="VIGENTE">
      <formula>NOT(ISERROR(SEARCH("VIGENTE",FX140)))</formula>
    </cfRule>
  </conditionalFormatting>
  <conditionalFormatting sqref="FX142 FX140">
    <cfRule type="containsText" dxfId="497" priority="511" operator="containsText" text="POR VENCER">
      <formula>NOT(ISERROR(SEARCH("POR VENCER",FX140)))</formula>
    </cfRule>
  </conditionalFormatting>
  <conditionalFormatting sqref="FX142 FX140">
    <cfRule type="containsText" dxfId="496" priority="510" operator="containsText" text="NO APLICA">
      <formula>NOT(ISERROR(SEARCH("NO APLICA",FX140)))</formula>
    </cfRule>
  </conditionalFormatting>
  <conditionalFormatting sqref="GC171 GC36">
    <cfRule type="containsText" dxfId="495" priority="509" operator="containsText" text="VENCIDA">
      <formula>NOT(ISERROR(SEARCH("VENCIDA",GC36)))</formula>
    </cfRule>
  </conditionalFormatting>
  <conditionalFormatting sqref="GC171 GC36">
    <cfRule type="containsText" dxfId="494" priority="508" operator="containsText" text="VIGENTE">
      <formula>NOT(ISERROR(SEARCH("VIGENTE",GC36)))</formula>
    </cfRule>
  </conditionalFormatting>
  <conditionalFormatting sqref="GC171 GC36">
    <cfRule type="containsText" dxfId="493" priority="507" operator="containsText" text="POR VENCER">
      <formula>NOT(ISERROR(SEARCH("POR VENCER",GC36)))</formula>
    </cfRule>
  </conditionalFormatting>
  <conditionalFormatting sqref="GC171 GC36">
    <cfRule type="containsText" dxfId="492" priority="506" operator="containsText" text="NO APLICA">
      <formula>NOT(ISERROR(SEARCH("NO APLICA",GC36)))</formula>
    </cfRule>
  </conditionalFormatting>
  <conditionalFormatting sqref="HK1:HK238">
    <cfRule type="containsText" dxfId="491" priority="505" operator="containsText" text="PROGRAMAR">
      <formula>NOT(ISERROR(SEARCH("PROGRAMAR",HK1)))</formula>
    </cfRule>
  </conditionalFormatting>
  <conditionalFormatting sqref="HK22">
    <cfRule type="containsText" dxfId="490" priority="504" operator="containsText" text="VENCIDA">
      <formula>NOT(ISERROR(SEARCH("VENCIDA",HK22)))</formula>
    </cfRule>
  </conditionalFormatting>
  <conditionalFormatting sqref="HK22">
    <cfRule type="containsText" dxfId="489" priority="503" operator="containsText" text="POR VENCER">
      <formula>NOT(ISERROR(SEARCH("POR VENCER",HK22)))</formula>
    </cfRule>
  </conditionalFormatting>
  <conditionalFormatting sqref="HK22">
    <cfRule type="containsText" dxfId="488" priority="502" operator="containsText" text="NO APLICA">
      <formula>NOT(ISERROR(SEARCH("NO APLICA",HK22)))</formula>
    </cfRule>
  </conditionalFormatting>
  <conditionalFormatting sqref="HK22">
    <cfRule type="containsText" dxfId="487" priority="501" operator="containsText" text="VIGENTE">
      <formula>NOT(ISERROR(SEARCH("VIGENTE",HK22)))</formula>
    </cfRule>
  </conditionalFormatting>
  <conditionalFormatting sqref="HK44">
    <cfRule type="containsText" dxfId="486" priority="500" operator="containsText" text="VENCIDA">
      <formula>NOT(ISERROR(SEARCH("VENCIDA",HK44)))</formula>
    </cfRule>
  </conditionalFormatting>
  <conditionalFormatting sqref="HK44">
    <cfRule type="containsText" dxfId="485" priority="499" operator="containsText" text="POR VENCER">
      <formula>NOT(ISERROR(SEARCH("POR VENCER",HK44)))</formula>
    </cfRule>
  </conditionalFormatting>
  <conditionalFormatting sqref="HK44">
    <cfRule type="containsText" dxfId="484" priority="498" operator="containsText" text="NO APLICA">
      <formula>NOT(ISERROR(SEARCH("NO APLICA",HK44)))</formula>
    </cfRule>
  </conditionalFormatting>
  <conditionalFormatting sqref="HK44">
    <cfRule type="containsText" dxfId="483" priority="497" operator="containsText" text="VIGENTE">
      <formula>NOT(ISERROR(SEARCH("VIGENTE",HK44)))</formula>
    </cfRule>
  </conditionalFormatting>
  <conditionalFormatting sqref="HK72">
    <cfRule type="containsText" dxfId="482" priority="496" operator="containsText" text="VENCIDA">
      <formula>NOT(ISERROR(SEARCH("VENCIDA",HK72)))</formula>
    </cfRule>
  </conditionalFormatting>
  <conditionalFormatting sqref="HK72">
    <cfRule type="containsText" dxfId="481" priority="495" operator="containsText" text="POR VENCER">
      <formula>NOT(ISERROR(SEARCH("POR VENCER",HK72)))</formula>
    </cfRule>
  </conditionalFormatting>
  <conditionalFormatting sqref="HK72">
    <cfRule type="containsText" dxfId="480" priority="494" operator="containsText" text="NO APLICA">
      <formula>NOT(ISERROR(SEARCH("NO APLICA",HK72)))</formula>
    </cfRule>
  </conditionalFormatting>
  <conditionalFormatting sqref="HK72">
    <cfRule type="containsText" dxfId="479" priority="493" operator="containsText" text="VIGENTE">
      <formula>NOT(ISERROR(SEARCH("VIGENTE",HK72)))</formula>
    </cfRule>
  </conditionalFormatting>
  <conditionalFormatting sqref="HK84">
    <cfRule type="containsText" dxfId="478" priority="492" operator="containsText" text="VENCIDA">
      <formula>NOT(ISERROR(SEARCH("VENCIDA",HK84)))</formula>
    </cfRule>
  </conditionalFormatting>
  <conditionalFormatting sqref="HK84">
    <cfRule type="containsText" dxfId="477" priority="491" operator="containsText" text="POR VENCER">
      <formula>NOT(ISERROR(SEARCH("POR VENCER",HK84)))</formula>
    </cfRule>
  </conditionalFormatting>
  <conditionalFormatting sqref="HK84">
    <cfRule type="containsText" dxfId="476" priority="490" operator="containsText" text="NO APLICA">
      <formula>NOT(ISERROR(SEARCH("NO APLICA",HK84)))</formula>
    </cfRule>
  </conditionalFormatting>
  <conditionalFormatting sqref="HK84">
    <cfRule type="containsText" dxfId="475" priority="489" operator="containsText" text="VIGENTE">
      <formula>NOT(ISERROR(SEARCH("VIGENTE",HK84)))</formula>
    </cfRule>
  </conditionalFormatting>
  <conditionalFormatting sqref="HK98">
    <cfRule type="containsText" dxfId="474" priority="488" operator="containsText" text="VENCIDA">
      <formula>NOT(ISERROR(SEARCH("VENCIDA",HK98)))</formula>
    </cfRule>
  </conditionalFormatting>
  <conditionalFormatting sqref="HK98">
    <cfRule type="containsText" dxfId="473" priority="487" operator="containsText" text="POR VENCER">
      <formula>NOT(ISERROR(SEARCH("POR VENCER",HK98)))</formula>
    </cfRule>
  </conditionalFormatting>
  <conditionalFormatting sqref="HK98">
    <cfRule type="containsText" dxfId="472" priority="486" operator="containsText" text="NO APLICA">
      <formula>NOT(ISERROR(SEARCH("NO APLICA",HK98)))</formula>
    </cfRule>
  </conditionalFormatting>
  <conditionalFormatting sqref="HK98">
    <cfRule type="containsText" dxfId="471" priority="485" operator="containsText" text="VIGENTE">
      <formula>NOT(ISERROR(SEARCH("VIGENTE",HK98)))</formula>
    </cfRule>
  </conditionalFormatting>
  <conditionalFormatting sqref="HK105">
    <cfRule type="containsText" dxfId="470" priority="484" operator="containsText" text="VENCIDA">
      <formula>NOT(ISERROR(SEARCH("VENCIDA",HK105)))</formula>
    </cfRule>
  </conditionalFormatting>
  <conditionalFormatting sqref="HK105">
    <cfRule type="containsText" dxfId="469" priority="483" operator="containsText" text="POR VENCER">
      <formula>NOT(ISERROR(SEARCH("POR VENCER",HK105)))</formula>
    </cfRule>
  </conditionalFormatting>
  <conditionalFormatting sqref="HK105">
    <cfRule type="containsText" dxfId="468" priority="482" operator="containsText" text="NO APLICA">
      <formula>NOT(ISERROR(SEARCH("NO APLICA",HK105)))</formula>
    </cfRule>
  </conditionalFormatting>
  <conditionalFormatting sqref="HK105">
    <cfRule type="containsText" dxfId="467" priority="481" operator="containsText" text="VIGENTE">
      <formula>NOT(ISERROR(SEARCH("VIGENTE",HK105)))</formula>
    </cfRule>
  </conditionalFormatting>
  <conditionalFormatting sqref="HK108">
    <cfRule type="containsText" dxfId="466" priority="480" operator="containsText" text="VENCIDA">
      <formula>NOT(ISERROR(SEARCH("VENCIDA",HK108)))</formula>
    </cfRule>
  </conditionalFormatting>
  <conditionalFormatting sqref="HK108">
    <cfRule type="containsText" dxfId="465" priority="479" operator="containsText" text="POR VENCER">
      <formula>NOT(ISERROR(SEARCH("POR VENCER",HK108)))</formula>
    </cfRule>
  </conditionalFormatting>
  <conditionalFormatting sqref="HK108">
    <cfRule type="containsText" dxfId="464" priority="478" operator="containsText" text="NO APLICA">
      <formula>NOT(ISERROR(SEARCH("NO APLICA",HK108)))</formula>
    </cfRule>
  </conditionalFormatting>
  <conditionalFormatting sqref="HK108">
    <cfRule type="containsText" dxfId="463" priority="477" operator="containsText" text="VIGENTE">
      <formula>NOT(ISERROR(SEARCH("VIGENTE",HK108)))</formula>
    </cfRule>
  </conditionalFormatting>
  <conditionalFormatting sqref="HK115">
    <cfRule type="containsText" dxfId="462" priority="476" operator="containsText" text="VENCIDA">
      <formula>NOT(ISERROR(SEARCH("VENCIDA",HK115)))</formula>
    </cfRule>
  </conditionalFormatting>
  <conditionalFormatting sqref="HK115">
    <cfRule type="containsText" dxfId="461" priority="475" operator="containsText" text="POR VENCER">
      <formula>NOT(ISERROR(SEARCH("POR VENCER",HK115)))</formula>
    </cfRule>
  </conditionalFormatting>
  <conditionalFormatting sqref="HK115">
    <cfRule type="containsText" dxfId="460" priority="474" operator="containsText" text="NO APLICA">
      <formula>NOT(ISERROR(SEARCH("NO APLICA",HK115)))</formula>
    </cfRule>
  </conditionalFormatting>
  <conditionalFormatting sqref="HK115">
    <cfRule type="containsText" dxfId="459" priority="473" operator="containsText" text="VIGENTE">
      <formula>NOT(ISERROR(SEARCH("VIGENTE",HK115)))</formula>
    </cfRule>
  </conditionalFormatting>
  <conditionalFormatting sqref="HK175">
    <cfRule type="containsText" dxfId="458" priority="472" operator="containsText" text="VENCIDA">
      <formula>NOT(ISERROR(SEARCH("VENCIDA",HK175)))</formula>
    </cfRule>
  </conditionalFormatting>
  <conditionalFormatting sqref="HK175">
    <cfRule type="containsText" dxfId="457" priority="471" operator="containsText" text="POR VENCER">
      <formula>NOT(ISERROR(SEARCH("POR VENCER",HK175)))</formula>
    </cfRule>
  </conditionalFormatting>
  <conditionalFormatting sqref="HK175">
    <cfRule type="containsText" dxfId="456" priority="470" operator="containsText" text="NO APLICA">
      <formula>NOT(ISERROR(SEARCH("NO APLICA",HK175)))</formula>
    </cfRule>
  </conditionalFormatting>
  <conditionalFormatting sqref="HK175">
    <cfRule type="containsText" dxfId="455" priority="469" operator="containsText" text="VIGENTE">
      <formula>NOT(ISERROR(SEARCH("VIGENTE",HK175)))</formula>
    </cfRule>
  </conditionalFormatting>
  <conditionalFormatting sqref="HK175">
    <cfRule type="containsText" dxfId="454" priority="468" operator="containsText" text="VENCIDA">
      <formula>NOT(ISERROR(SEARCH("VENCIDA",HK175)))</formula>
    </cfRule>
  </conditionalFormatting>
  <conditionalFormatting sqref="HK175">
    <cfRule type="containsText" dxfId="453" priority="467" operator="containsText" text="POR VENCER">
      <formula>NOT(ISERROR(SEARCH("POR VENCER",HK175)))</formula>
    </cfRule>
  </conditionalFormatting>
  <conditionalFormatting sqref="HK175">
    <cfRule type="containsText" dxfId="452" priority="466" operator="containsText" text="NO APLICA">
      <formula>NOT(ISERROR(SEARCH("NO APLICA",HK175)))</formula>
    </cfRule>
  </conditionalFormatting>
  <conditionalFormatting sqref="HK175">
    <cfRule type="containsText" dxfId="451" priority="465" operator="containsText" text="VIGENTE">
      <formula>NOT(ISERROR(SEARCH("VIGENTE",HK175)))</formula>
    </cfRule>
  </conditionalFormatting>
  <conditionalFormatting sqref="HP30">
    <cfRule type="containsText" dxfId="450" priority="464" operator="containsText" text="PROGRAMAR">
      <formula>NOT(ISERROR(SEARCH("PROGRAMAR",HP30)))</formula>
    </cfRule>
  </conditionalFormatting>
  <conditionalFormatting sqref="HP30">
    <cfRule type="containsText" dxfId="449" priority="463" operator="containsText" text="VENCIDA">
      <formula>NOT(ISERROR(SEARCH("VENCIDA",HP30)))</formula>
    </cfRule>
  </conditionalFormatting>
  <conditionalFormatting sqref="HP30">
    <cfRule type="containsText" dxfId="448" priority="462" operator="containsText" text="POR VENCER">
      <formula>NOT(ISERROR(SEARCH("POR VENCER",HP30)))</formula>
    </cfRule>
  </conditionalFormatting>
  <conditionalFormatting sqref="HP30">
    <cfRule type="containsText" dxfId="447" priority="461" operator="containsText" text="NO APLICA">
      <formula>NOT(ISERROR(SEARCH("NO APLICA",HP30)))</formula>
    </cfRule>
  </conditionalFormatting>
  <conditionalFormatting sqref="HP30">
    <cfRule type="containsText" dxfId="446" priority="460" operator="containsText" text="VIGENTE">
      <formula>NOT(ISERROR(SEARCH("VIGENTE",HP30)))</formula>
    </cfRule>
  </conditionalFormatting>
  <conditionalFormatting sqref="HP123 HP107 HP105 HP81 HP79 HP48">
    <cfRule type="containsText" dxfId="445" priority="459" operator="containsText" text="PROGRAMAR">
      <formula>NOT(ISERROR(SEARCH("PROGRAMAR",HP48)))</formula>
    </cfRule>
  </conditionalFormatting>
  <conditionalFormatting sqref="HP123 HP107 HP105 HP81 HP79 HP48">
    <cfRule type="containsText" dxfId="444" priority="458" operator="containsText" text="VENCIDA">
      <formula>NOT(ISERROR(SEARCH("VENCIDA",HP48)))</formula>
    </cfRule>
  </conditionalFormatting>
  <conditionalFormatting sqref="HP123 HP107 HP105 HP81 HP79 HP48">
    <cfRule type="containsText" dxfId="443" priority="457" operator="containsText" text="POR VENCER">
      <formula>NOT(ISERROR(SEARCH("POR VENCER",HP48)))</formula>
    </cfRule>
  </conditionalFormatting>
  <conditionalFormatting sqref="HP123 HP107 HP105 HP81 HP79 HP48">
    <cfRule type="containsText" dxfId="442" priority="456" operator="containsText" text="NO APLICA">
      <formula>NOT(ISERROR(SEARCH("NO APLICA",HP48)))</formula>
    </cfRule>
  </conditionalFormatting>
  <conditionalFormatting sqref="HP123 HP107 HP105 HP81 HP79 HP48">
    <cfRule type="containsText" dxfId="441" priority="455" operator="containsText" text="VIGENTE">
      <formula>NOT(ISERROR(SEARCH("VIGENTE",HP48)))</formula>
    </cfRule>
  </conditionalFormatting>
  <conditionalFormatting sqref="HP123 HP107 HP105 HP81 HP79 HP48">
    <cfRule type="containsText" dxfId="440" priority="454" operator="containsText" text="PROGRAMAR">
      <formula>NOT(ISERROR(SEARCH("PROGRAMAR",HP48)))</formula>
    </cfRule>
  </conditionalFormatting>
  <conditionalFormatting sqref="HP123 HP107 HP105 HP81 HP79 HP48">
    <cfRule type="containsText" dxfId="439" priority="453" operator="containsText" text="VENCIDA">
      <formula>NOT(ISERROR(SEARCH("VENCIDA",HP48)))</formula>
    </cfRule>
  </conditionalFormatting>
  <conditionalFormatting sqref="HP123 HP107 HP105 HP81 HP79 HP48">
    <cfRule type="containsText" dxfId="438" priority="452" operator="containsText" text="POR VENCER">
      <formula>NOT(ISERROR(SEARCH("POR VENCER",HP48)))</formula>
    </cfRule>
  </conditionalFormatting>
  <conditionalFormatting sqref="HP123 HP107 HP105 HP81 HP79 HP48">
    <cfRule type="containsText" dxfId="437" priority="451" operator="containsText" text="NO APLICA">
      <formula>NOT(ISERROR(SEARCH("NO APLICA",HP48)))</formula>
    </cfRule>
  </conditionalFormatting>
  <conditionalFormatting sqref="HP123 HP107 HP105 HP81 HP79 HP48">
    <cfRule type="containsText" dxfId="436" priority="450" operator="containsText" text="VIGENTE">
      <formula>NOT(ISERROR(SEARCH("VIGENTE",HP48)))</formula>
    </cfRule>
  </conditionalFormatting>
  <conditionalFormatting sqref="HF175 HF108 HF105 HF98 HF72">
    <cfRule type="containsText" dxfId="435" priority="449" operator="containsText" text="PROGRAMAR">
      <formula>NOT(ISERROR(SEARCH("PROGRAMAR",HF72)))</formula>
    </cfRule>
  </conditionalFormatting>
  <conditionalFormatting sqref="HF175 HF108 HF105 HF98 HF72">
    <cfRule type="containsText" dxfId="434" priority="448" operator="containsText" text="VENCIDA">
      <formula>NOT(ISERROR(SEARCH("VENCIDA",HF72)))</formula>
    </cfRule>
  </conditionalFormatting>
  <conditionalFormatting sqref="HF175 HF108 HF105 HF98 HF72">
    <cfRule type="containsText" dxfId="433" priority="447" operator="containsText" text="POR VENCER">
      <formula>NOT(ISERROR(SEARCH("POR VENCER",HF72)))</formula>
    </cfRule>
  </conditionalFormatting>
  <conditionalFormatting sqref="HF175 HF108 HF105 HF98 HF72">
    <cfRule type="containsText" dxfId="432" priority="446" operator="containsText" text="NO APLICA">
      <formula>NOT(ISERROR(SEARCH("NO APLICA",HF72)))</formula>
    </cfRule>
  </conditionalFormatting>
  <conditionalFormatting sqref="HF175 HF108 HF105 HF98 HF72">
    <cfRule type="containsText" dxfId="431" priority="445" operator="containsText" text="VIGENTE">
      <formula>NOT(ISERROR(SEARCH("VIGENTE",HF72)))</formula>
    </cfRule>
  </conditionalFormatting>
  <conditionalFormatting sqref="HF175 HF108 HF105 HF98 HF72">
    <cfRule type="containsText" dxfId="430" priority="444" operator="containsText" text="PROGRAMAR">
      <formula>NOT(ISERROR(SEARCH("PROGRAMAR",HF72)))</formula>
    </cfRule>
  </conditionalFormatting>
  <conditionalFormatting sqref="HF175 HF108 HF105 HF98 HF72">
    <cfRule type="containsText" dxfId="429" priority="443" operator="containsText" text="VENCIDA">
      <formula>NOT(ISERROR(SEARCH("VENCIDA",HF72)))</formula>
    </cfRule>
  </conditionalFormatting>
  <conditionalFormatting sqref="HF175 HF108 HF105 HF98 HF72">
    <cfRule type="containsText" dxfId="428" priority="442" operator="containsText" text="POR VENCER">
      <formula>NOT(ISERROR(SEARCH("POR VENCER",HF72)))</formula>
    </cfRule>
  </conditionalFormatting>
  <conditionalFormatting sqref="HF175 HF108 HF105 HF98 HF72">
    <cfRule type="containsText" dxfId="427" priority="441" operator="containsText" text="NO APLICA">
      <formula>NOT(ISERROR(SEARCH("NO APLICA",HF72)))</formula>
    </cfRule>
  </conditionalFormatting>
  <conditionalFormatting sqref="HF175 HF108 HF105 HF98 HF72">
    <cfRule type="containsText" dxfId="426" priority="440" operator="containsText" text="VIGENTE">
      <formula>NOT(ISERROR(SEARCH("VIGENTE",HF72)))</formula>
    </cfRule>
  </conditionalFormatting>
  <conditionalFormatting sqref="HA72">
    <cfRule type="containsText" dxfId="425" priority="439" operator="containsText" text="PROGRAMAR">
      <formula>NOT(ISERROR(SEARCH("PROGRAMAR",HA72)))</formula>
    </cfRule>
  </conditionalFormatting>
  <conditionalFormatting sqref="HA72">
    <cfRule type="containsText" dxfId="424" priority="438" operator="containsText" text="VENCIDA">
      <formula>NOT(ISERROR(SEARCH("VENCIDA",HA72)))</formula>
    </cfRule>
  </conditionalFormatting>
  <conditionalFormatting sqref="HA72">
    <cfRule type="containsText" dxfId="423" priority="437" operator="containsText" text="POR VENCER">
      <formula>NOT(ISERROR(SEARCH("POR VENCER",HA72)))</formula>
    </cfRule>
  </conditionalFormatting>
  <conditionalFormatting sqref="HA72">
    <cfRule type="containsText" dxfId="422" priority="436" operator="containsText" text="NO APLICA">
      <formula>NOT(ISERROR(SEARCH("NO APLICA",HA72)))</formula>
    </cfRule>
  </conditionalFormatting>
  <conditionalFormatting sqref="HA72">
    <cfRule type="containsText" dxfId="421" priority="435" operator="containsText" text="VIGENTE">
      <formula>NOT(ISERROR(SEARCH("VIGENTE",HA72)))</formula>
    </cfRule>
  </conditionalFormatting>
  <conditionalFormatting sqref="HA72">
    <cfRule type="containsText" dxfId="420" priority="434" operator="containsText" text="PROGRAMAR">
      <formula>NOT(ISERROR(SEARCH("PROGRAMAR",HA72)))</formula>
    </cfRule>
  </conditionalFormatting>
  <conditionalFormatting sqref="HA72">
    <cfRule type="containsText" dxfId="419" priority="433" operator="containsText" text="VENCIDA">
      <formula>NOT(ISERROR(SEARCH("VENCIDA",HA72)))</formula>
    </cfRule>
  </conditionalFormatting>
  <conditionalFormatting sqref="HA72">
    <cfRule type="containsText" dxfId="418" priority="432" operator="containsText" text="POR VENCER">
      <formula>NOT(ISERROR(SEARCH("POR VENCER",HA72)))</formula>
    </cfRule>
  </conditionalFormatting>
  <conditionalFormatting sqref="HA72">
    <cfRule type="containsText" dxfId="417" priority="431" operator="containsText" text="NO APLICA">
      <formula>NOT(ISERROR(SEARCH("NO APLICA",HA72)))</formula>
    </cfRule>
  </conditionalFormatting>
  <conditionalFormatting sqref="HA72">
    <cfRule type="containsText" dxfId="416" priority="430" operator="containsText" text="VIGENTE">
      <formula>NOT(ISERROR(SEARCH("VIGENTE",HA72)))</formula>
    </cfRule>
  </conditionalFormatting>
  <conditionalFormatting sqref="HA175 HA115 HA108 HA105">
    <cfRule type="containsText" dxfId="415" priority="429" operator="containsText" text="PROGRAMAR">
      <formula>NOT(ISERROR(SEARCH("PROGRAMAR",HA105)))</formula>
    </cfRule>
  </conditionalFormatting>
  <conditionalFormatting sqref="HA175 HA115 HA108 HA105">
    <cfRule type="containsText" dxfId="414" priority="428" operator="containsText" text="VENCIDA">
      <formula>NOT(ISERROR(SEARCH("VENCIDA",HA105)))</formula>
    </cfRule>
  </conditionalFormatting>
  <conditionalFormatting sqref="HA175 HA115 HA108 HA105">
    <cfRule type="containsText" dxfId="413" priority="427" operator="containsText" text="POR VENCER">
      <formula>NOT(ISERROR(SEARCH("POR VENCER",HA105)))</formula>
    </cfRule>
  </conditionalFormatting>
  <conditionalFormatting sqref="HA175 HA115 HA108 HA105">
    <cfRule type="containsText" dxfId="412" priority="426" operator="containsText" text="NO APLICA">
      <formula>NOT(ISERROR(SEARCH("NO APLICA",HA105)))</formula>
    </cfRule>
  </conditionalFormatting>
  <conditionalFormatting sqref="HA175 HA115 HA108 HA105">
    <cfRule type="containsText" dxfId="411" priority="425" operator="containsText" text="VIGENTE">
      <formula>NOT(ISERROR(SEARCH("VIGENTE",HA105)))</formula>
    </cfRule>
  </conditionalFormatting>
  <conditionalFormatting sqref="HA175 HA115 HA108 HA105">
    <cfRule type="containsText" dxfId="410" priority="424" operator="containsText" text="PROGRAMAR">
      <formula>NOT(ISERROR(SEARCH("PROGRAMAR",HA105)))</formula>
    </cfRule>
  </conditionalFormatting>
  <conditionalFormatting sqref="HA175 HA115 HA108 HA105">
    <cfRule type="containsText" dxfId="409" priority="423" operator="containsText" text="VENCIDA">
      <formula>NOT(ISERROR(SEARCH("VENCIDA",HA105)))</formula>
    </cfRule>
  </conditionalFormatting>
  <conditionalFormatting sqref="HA175 HA115 HA108 HA105">
    <cfRule type="containsText" dxfId="408" priority="422" operator="containsText" text="POR VENCER">
      <formula>NOT(ISERROR(SEARCH("POR VENCER",HA105)))</formula>
    </cfRule>
  </conditionalFormatting>
  <conditionalFormatting sqref="HA175 HA115 HA108 HA105">
    <cfRule type="containsText" dxfId="407" priority="421" operator="containsText" text="NO APLICA">
      <formula>NOT(ISERROR(SEARCH("NO APLICA",HA105)))</formula>
    </cfRule>
  </conditionalFormatting>
  <conditionalFormatting sqref="HA175 HA115 HA108 HA105">
    <cfRule type="containsText" dxfId="406" priority="420" operator="containsText" text="VIGENTE">
      <formula>NOT(ISERROR(SEARCH("VIGENTE",HA105)))</formula>
    </cfRule>
  </conditionalFormatting>
  <conditionalFormatting sqref="HA175 HA115 HA108 HA105">
    <cfRule type="containsText" dxfId="405" priority="419" operator="containsText" text="PROGRAMAR">
      <formula>NOT(ISERROR(SEARCH("PROGRAMAR",HA105)))</formula>
    </cfRule>
  </conditionalFormatting>
  <conditionalFormatting sqref="HA175 HA115 HA108 HA105">
    <cfRule type="containsText" dxfId="404" priority="418" operator="containsText" text="VENCIDA">
      <formula>NOT(ISERROR(SEARCH("VENCIDA",HA105)))</formula>
    </cfRule>
  </conditionalFormatting>
  <conditionalFormatting sqref="HA175 HA115 HA108 HA105">
    <cfRule type="containsText" dxfId="403" priority="417" operator="containsText" text="POR VENCER">
      <formula>NOT(ISERROR(SEARCH("POR VENCER",HA105)))</formula>
    </cfRule>
  </conditionalFormatting>
  <conditionalFormatting sqref="HA175 HA115 HA108 HA105">
    <cfRule type="containsText" dxfId="402" priority="416" operator="containsText" text="NO APLICA">
      <formula>NOT(ISERROR(SEARCH("NO APLICA",HA105)))</formula>
    </cfRule>
  </conditionalFormatting>
  <conditionalFormatting sqref="HA175 HA115 HA108 HA105">
    <cfRule type="containsText" dxfId="401" priority="415" operator="containsText" text="VIGENTE">
      <formula>NOT(ISERROR(SEARCH("VIGENTE",HA105)))</formula>
    </cfRule>
  </conditionalFormatting>
  <conditionalFormatting sqref="HA175 HA115 HA108 HA105">
    <cfRule type="containsText" dxfId="400" priority="414" operator="containsText" text="PROGRAMAR">
      <formula>NOT(ISERROR(SEARCH("PROGRAMAR",HA105)))</formula>
    </cfRule>
  </conditionalFormatting>
  <conditionalFormatting sqref="HA175 HA115 HA108 HA105">
    <cfRule type="containsText" dxfId="399" priority="413" operator="containsText" text="VENCIDA">
      <formula>NOT(ISERROR(SEARCH("VENCIDA",HA105)))</formula>
    </cfRule>
  </conditionalFormatting>
  <conditionalFormatting sqref="HA175 HA115 HA108 HA105">
    <cfRule type="containsText" dxfId="398" priority="412" operator="containsText" text="POR VENCER">
      <formula>NOT(ISERROR(SEARCH("POR VENCER",HA105)))</formula>
    </cfRule>
  </conditionalFormatting>
  <conditionalFormatting sqref="HA175 HA115 HA108 HA105">
    <cfRule type="containsText" dxfId="397" priority="411" operator="containsText" text="NO APLICA">
      <formula>NOT(ISERROR(SEARCH("NO APLICA",HA105)))</formula>
    </cfRule>
  </conditionalFormatting>
  <conditionalFormatting sqref="HA175 HA115 HA108 HA105">
    <cfRule type="containsText" dxfId="396" priority="410" operator="containsText" text="VIGENTE">
      <formula>NOT(ISERROR(SEARCH("VIGENTE",HA105)))</formula>
    </cfRule>
  </conditionalFormatting>
  <conditionalFormatting sqref="GV72">
    <cfRule type="containsText" dxfId="395" priority="409" operator="containsText" text="PROGRAMAR">
      <formula>NOT(ISERROR(SEARCH("PROGRAMAR",GV72)))</formula>
    </cfRule>
  </conditionalFormatting>
  <conditionalFormatting sqref="GV72">
    <cfRule type="containsText" dxfId="394" priority="408" operator="containsText" text="VENCIDA">
      <formula>NOT(ISERROR(SEARCH("VENCIDA",GV72)))</formula>
    </cfRule>
  </conditionalFormatting>
  <conditionalFormatting sqref="GV72">
    <cfRule type="containsText" dxfId="393" priority="407" operator="containsText" text="POR VENCER">
      <formula>NOT(ISERROR(SEARCH("POR VENCER",GV72)))</formula>
    </cfRule>
  </conditionalFormatting>
  <conditionalFormatting sqref="GV72">
    <cfRule type="containsText" dxfId="392" priority="406" operator="containsText" text="NO APLICA">
      <formula>NOT(ISERROR(SEARCH("NO APLICA",GV72)))</formula>
    </cfRule>
  </conditionalFormatting>
  <conditionalFormatting sqref="GV72">
    <cfRule type="containsText" dxfId="391" priority="405" operator="containsText" text="VIGENTE">
      <formula>NOT(ISERROR(SEARCH("VIGENTE",GV72)))</formula>
    </cfRule>
  </conditionalFormatting>
  <conditionalFormatting sqref="GV72">
    <cfRule type="containsText" dxfId="390" priority="404" operator="containsText" text="PROGRAMAR">
      <formula>NOT(ISERROR(SEARCH("PROGRAMAR",GV72)))</formula>
    </cfRule>
  </conditionalFormatting>
  <conditionalFormatting sqref="GV72">
    <cfRule type="containsText" dxfId="389" priority="403" operator="containsText" text="VENCIDA">
      <formula>NOT(ISERROR(SEARCH("VENCIDA",GV72)))</formula>
    </cfRule>
  </conditionalFormatting>
  <conditionalFormatting sqref="GV72">
    <cfRule type="containsText" dxfId="388" priority="402" operator="containsText" text="POR VENCER">
      <formula>NOT(ISERROR(SEARCH("POR VENCER",GV72)))</formula>
    </cfRule>
  </conditionalFormatting>
  <conditionalFormatting sqref="GV72">
    <cfRule type="containsText" dxfId="387" priority="401" operator="containsText" text="NO APLICA">
      <formula>NOT(ISERROR(SEARCH("NO APLICA",GV72)))</formula>
    </cfRule>
  </conditionalFormatting>
  <conditionalFormatting sqref="GV72">
    <cfRule type="containsText" dxfId="386" priority="400" operator="containsText" text="VIGENTE">
      <formula>NOT(ISERROR(SEARCH("VIGENTE",GV72)))</formula>
    </cfRule>
  </conditionalFormatting>
  <conditionalFormatting sqref="GV175 GV108">
    <cfRule type="containsText" dxfId="385" priority="399" operator="containsText" text="PROGRAMAR">
      <formula>NOT(ISERROR(SEARCH("PROGRAMAR",GV108)))</formula>
    </cfRule>
  </conditionalFormatting>
  <conditionalFormatting sqref="GV175 GV108">
    <cfRule type="containsText" dxfId="384" priority="398" operator="containsText" text="VENCIDA">
      <formula>NOT(ISERROR(SEARCH("VENCIDA",GV108)))</formula>
    </cfRule>
  </conditionalFormatting>
  <conditionalFormatting sqref="GV175 GV108">
    <cfRule type="containsText" dxfId="383" priority="397" operator="containsText" text="POR VENCER">
      <formula>NOT(ISERROR(SEARCH("POR VENCER",GV108)))</formula>
    </cfRule>
  </conditionalFormatting>
  <conditionalFormatting sqref="GV175 GV108">
    <cfRule type="containsText" dxfId="382" priority="396" operator="containsText" text="NO APLICA">
      <formula>NOT(ISERROR(SEARCH("NO APLICA",GV108)))</formula>
    </cfRule>
  </conditionalFormatting>
  <conditionalFormatting sqref="GV175 GV108">
    <cfRule type="containsText" dxfId="381" priority="395" operator="containsText" text="VIGENTE">
      <formula>NOT(ISERROR(SEARCH("VIGENTE",GV108)))</formula>
    </cfRule>
  </conditionalFormatting>
  <conditionalFormatting sqref="GV175 GV108">
    <cfRule type="containsText" dxfId="380" priority="394" operator="containsText" text="PROGRAMAR">
      <formula>NOT(ISERROR(SEARCH("PROGRAMAR",GV108)))</formula>
    </cfRule>
  </conditionalFormatting>
  <conditionalFormatting sqref="GV175 GV108">
    <cfRule type="containsText" dxfId="379" priority="393" operator="containsText" text="VENCIDA">
      <formula>NOT(ISERROR(SEARCH("VENCIDA",GV108)))</formula>
    </cfRule>
  </conditionalFormatting>
  <conditionalFormatting sqref="GV175 GV108">
    <cfRule type="containsText" dxfId="378" priority="392" operator="containsText" text="POR VENCER">
      <formula>NOT(ISERROR(SEARCH("POR VENCER",GV108)))</formula>
    </cfRule>
  </conditionalFormatting>
  <conditionalFormatting sqref="GV175 GV108">
    <cfRule type="containsText" dxfId="377" priority="391" operator="containsText" text="NO APLICA">
      <formula>NOT(ISERROR(SEARCH("NO APLICA",GV108)))</formula>
    </cfRule>
  </conditionalFormatting>
  <conditionalFormatting sqref="GV175 GV108">
    <cfRule type="containsText" dxfId="376" priority="390" operator="containsText" text="VIGENTE">
      <formula>NOT(ISERROR(SEARCH("VIGENTE",GV108)))</formula>
    </cfRule>
  </conditionalFormatting>
  <conditionalFormatting sqref="GV175 GV108">
    <cfRule type="containsText" dxfId="375" priority="389" operator="containsText" text="PROGRAMAR">
      <formula>NOT(ISERROR(SEARCH("PROGRAMAR",GV108)))</formula>
    </cfRule>
  </conditionalFormatting>
  <conditionalFormatting sqref="GV175 GV108">
    <cfRule type="containsText" dxfId="374" priority="388" operator="containsText" text="VENCIDA">
      <formula>NOT(ISERROR(SEARCH("VENCIDA",GV108)))</formula>
    </cfRule>
  </conditionalFormatting>
  <conditionalFormatting sqref="GV175 GV108">
    <cfRule type="containsText" dxfId="373" priority="387" operator="containsText" text="POR VENCER">
      <formula>NOT(ISERROR(SEARCH("POR VENCER",GV108)))</formula>
    </cfRule>
  </conditionalFormatting>
  <conditionalFormatting sqref="GV175 GV108">
    <cfRule type="containsText" dxfId="372" priority="386" operator="containsText" text="NO APLICA">
      <formula>NOT(ISERROR(SEARCH("NO APLICA",GV108)))</formula>
    </cfRule>
  </conditionalFormatting>
  <conditionalFormatting sqref="GV175 GV108">
    <cfRule type="containsText" dxfId="371" priority="385" operator="containsText" text="VIGENTE">
      <formula>NOT(ISERROR(SEARCH("VIGENTE",GV108)))</formula>
    </cfRule>
  </conditionalFormatting>
  <conditionalFormatting sqref="GV175 GV108">
    <cfRule type="containsText" dxfId="370" priority="384" operator="containsText" text="PROGRAMAR">
      <formula>NOT(ISERROR(SEARCH("PROGRAMAR",GV108)))</formula>
    </cfRule>
  </conditionalFormatting>
  <conditionalFormatting sqref="GV175 GV108">
    <cfRule type="containsText" dxfId="369" priority="383" operator="containsText" text="VENCIDA">
      <formula>NOT(ISERROR(SEARCH("VENCIDA",GV108)))</formula>
    </cfRule>
  </conditionalFormatting>
  <conditionalFormatting sqref="GV175 GV108">
    <cfRule type="containsText" dxfId="368" priority="382" operator="containsText" text="POR VENCER">
      <formula>NOT(ISERROR(SEARCH("POR VENCER",GV108)))</formula>
    </cfRule>
  </conditionalFormatting>
  <conditionalFormatting sqref="GV175 GV108">
    <cfRule type="containsText" dxfId="367" priority="381" operator="containsText" text="NO APLICA">
      <formula>NOT(ISERROR(SEARCH("NO APLICA",GV108)))</formula>
    </cfRule>
  </conditionalFormatting>
  <conditionalFormatting sqref="GV175 GV108">
    <cfRule type="containsText" dxfId="366" priority="380" operator="containsText" text="VIGENTE">
      <formula>NOT(ISERROR(SEARCH("VIGENTE",GV108)))</formula>
    </cfRule>
  </conditionalFormatting>
  <conditionalFormatting sqref="EJ185:EK185 EJ181:EK181 EJ171:EK171 EJ159:EK159 EJ140:EK140 EJ65:EK65 EJ30:EK30 EJ23:EK23 EJ17:EK17">
    <cfRule type="containsText" dxfId="365" priority="379" operator="containsText" text="POR VENCER">
      <formula>NOT(ISERROR(SEARCH("POR VENCER",EJ17)))</formula>
    </cfRule>
  </conditionalFormatting>
  <conditionalFormatting sqref="EJ185:EK185 EJ181:EK181 EJ171:EK171 EJ159:EK159 EJ140:EK140 EJ30:EK30 EJ23:EK23 EJ17:EK17">
    <cfRule type="containsText" dxfId="364" priority="378" operator="containsText" text="NO APLICA">
      <formula>NOT(ISERROR(SEARCH("NO APLICA",EJ17)))</formula>
    </cfRule>
  </conditionalFormatting>
  <conditionalFormatting sqref="EJ185:EK185 EJ181:EK181 EJ171:EK171 EJ159:EK159 EJ140:EK140 EJ46:EK46 EJ35:EK35 EJ30:EK30">
    <cfRule type="containsText" dxfId="363" priority="377" operator="containsText" text="VENCIDA">
      <formula>NOT(ISERROR(SEARCH("VENCIDA",EJ30)))</formula>
    </cfRule>
  </conditionalFormatting>
  <conditionalFormatting sqref="EJ185:EK185 EJ181:EK181 EJ171:EK171 EJ159:EK159 EJ140:EK140 EJ30:EK30">
    <cfRule type="containsText" dxfId="362" priority="376" operator="containsText" text="VIGENTE">
      <formula>NOT(ISERROR(SEARCH("VIGENTE",EJ30)))</formula>
    </cfRule>
  </conditionalFormatting>
  <conditionalFormatting sqref="KO237:KP237">
    <cfRule type="containsText" dxfId="361" priority="373" operator="containsText" text="VIGENTE">
      <formula>NOT(ISERROR(SEARCH("VIGENTE",KO237)))</formula>
    </cfRule>
    <cfRule type="containsText" dxfId="360" priority="374" operator="containsText" text="NO APLICA">
      <formula>NOT(ISERROR(SEARCH("NO APLICA",KO237)))</formula>
    </cfRule>
    <cfRule type="containsText" dxfId="359" priority="375" operator="containsText" text="POR VENCER">
      <formula>NOT(ISERROR(SEARCH("POR VENCER",KO237)))</formula>
    </cfRule>
  </conditionalFormatting>
  <conditionalFormatting sqref="A237">
    <cfRule type="duplicateValues" dxfId="358" priority="372"/>
  </conditionalFormatting>
  <conditionalFormatting sqref="EY15">
    <cfRule type="containsText" dxfId="357" priority="366" operator="containsText" text="VENCIDA">
      <formula>NOT(ISERROR(SEARCH("VENCIDA",EY15)))</formula>
    </cfRule>
  </conditionalFormatting>
  <conditionalFormatting sqref="EY15">
    <cfRule type="containsText" dxfId="356" priority="365" operator="containsText" text="VIGENTE">
      <formula>NOT(ISERROR(SEARCH("VIGENTE",EY15)))</formula>
    </cfRule>
  </conditionalFormatting>
  <conditionalFormatting sqref="EY22">
    <cfRule type="containsText" dxfId="355" priority="364" operator="containsText" text="VENCIDA">
      <formula>NOT(ISERROR(SEARCH("VENCIDA",EY22)))</formula>
    </cfRule>
  </conditionalFormatting>
  <conditionalFormatting sqref="EY22">
    <cfRule type="containsText" dxfId="354" priority="363" operator="containsText" text="VIGENTE">
      <formula>NOT(ISERROR(SEARCH("VIGENTE",EY22)))</formula>
    </cfRule>
  </conditionalFormatting>
  <conditionalFormatting sqref="EY42">
    <cfRule type="containsText" dxfId="353" priority="362" operator="containsText" text="VENCIDA">
      <formula>NOT(ISERROR(SEARCH("VENCIDA",EY42)))</formula>
    </cfRule>
  </conditionalFormatting>
  <conditionalFormatting sqref="EY42">
    <cfRule type="containsText" dxfId="352" priority="361" operator="containsText" text="POR VENCER">
      <formula>NOT(ISERROR(SEARCH("POR VENCER",EY42)))</formula>
    </cfRule>
  </conditionalFormatting>
  <conditionalFormatting sqref="EY42">
    <cfRule type="containsText" dxfId="351" priority="360" operator="containsText" text="NO APLICA">
      <formula>NOT(ISERROR(SEARCH("NO APLICA",EY42)))</formula>
    </cfRule>
  </conditionalFormatting>
  <conditionalFormatting sqref="EY42">
    <cfRule type="containsText" dxfId="350" priority="359" operator="containsText" text="VIGENTE">
      <formula>NOT(ISERROR(SEARCH("VIGENTE",EY42)))</formula>
    </cfRule>
  </conditionalFormatting>
  <conditionalFormatting sqref="EY53">
    <cfRule type="containsText" dxfId="349" priority="358" operator="containsText" text="VENCIDA">
      <formula>NOT(ISERROR(SEARCH("VENCIDA",EY53)))</formula>
    </cfRule>
  </conditionalFormatting>
  <conditionalFormatting sqref="EY53">
    <cfRule type="containsText" dxfId="348" priority="357" operator="containsText" text="POR VENCER">
      <formula>NOT(ISERROR(SEARCH("POR VENCER",EY53)))</formula>
    </cfRule>
  </conditionalFormatting>
  <conditionalFormatting sqref="EY53">
    <cfRule type="containsText" dxfId="347" priority="356" operator="containsText" text="NO APLICA">
      <formula>NOT(ISERROR(SEARCH("NO APLICA",EY53)))</formula>
    </cfRule>
  </conditionalFormatting>
  <conditionalFormatting sqref="EY53">
    <cfRule type="containsText" dxfId="346" priority="355" operator="containsText" text="VIGENTE">
      <formula>NOT(ISERROR(SEARCH("VIGENTE",EY53)))</formula>
    </cfRule>
  </conditionalFormatting>
  <conditionalFormatting sqref="EY64">
    <cfRule type="containsText" dxfId="345" priority="354" operator="containsText" text="VENCIDA">
      <formula>NOT(ISERROR(SEARCH("VENCIDA",EY64)))</formula>
    </cfRule>
  </conditionalFormatting>
  <conditionalFormatting sqref="EY64">
    <cfRule type="containsText" dxfId="344" priority="353" operator="containsText" text="POR VENCER">
      <formula>NOT(ISERROR(SEARCH("POR VENCER",EY64)))</formula>
    </cfRule>
  </conditionalFormatting>
  <conditionalFormatting sqref="EY64">
    <cfRule type="containsText" dxfId="343" priority="352" operator="containsText" text="NO APLICA">
      <formula>NOT(ISERROR(SEARCH("NO APLICA",EY64)))</formula>
    </cfRule>
  </conditionalFormatting>
  <conditionalFormatting sqref="EY64">
    <cfRule type="containsText" dxfId="342" priority="351" operator="containsText" text="VIGENTE">
      <formula>NOT(ISERROR(SEARCH("VIGENTE",EY64)))</formula>
    </cfRule>
  </conditionalFormatting>
  <conditionalFormatting sqref="EY112">
    <cfRule type="containsText" dxfId="341" priority="350" operator="containsText" text="VENCIDA">
      <formula>NOT(ISERROR(SEARCH("VENCIDA",EY112)))</formula>
    </cfRule>
  </conditionalFormatting>
  <conditionalFormatting sqref="EY112">
    <cfRule type="containsText" dxfId="340" priority="349" operator="containsText" text="POR VENCER">
      <formula>NOT(ISERROR(SEARCH("POR VENCER",EY112)))</formula>
    </cfRule>
  </conditionalFormatting>
  <conditionalFormatting sqref="EY112">
    <cfRule type="containsText" dxfId="339" priority="348" operator="containsText" text="NO APLICA">
      <formula>NOT(ISERROR(SEARCH("NO APLICA",EY112)))</formula>
    </cfRule>
  </conditionalFormatting>
  <conditionalFormatting sqref="EY112">
    <cfRule type="containsText" dxfId="338" priority="347" operator="containsText" text="VIGENTE">
      <formula>NOT(ISERROR(SEARCH("VIGENTE",EY112)))</formula>
    </cfRule>
  </conditionalFormatting>
  <conditionalFormatting sqref="EY113">
    <cfRule type="containsText" dxfId="337" priority="346" operator="containsText" text="VENCIDA">
      <formula>NOT(ISERROR(SEARCH("VENCIDA",EY113)))</formula>
    </cfRule>
  </conditionalFormatting>
  <conditionalFormatting sqref="EY113">
    <cfRule type="containsText" dxfId="336" priority="345" operator="containsText" text="POR VENCER">
      <formula>NOT(ISERROR(SEARCH("POR VENCER",EY113)))</formula>
    </cfRule>
  </conditionalFormatting>
  <conditionalFormatting sqref="EY113">
    <cfRule type="containsText" dxfId="335" priority="344" operator="containsText" text="NO APLICA">
      <formula>NOT(ISERROR(SEARCH("NO APLICA",EY113)))</formula>
    </cfRule>
  </conditionalFormatting>
  <conditionalFormatting sqref="EY113">
    <cfRule type="containsText" dxfId="334" priority="343" operator="containsText" text="VIGENTE">
      <formula>NOT(ISERROR(SEARCH("VIGENTE",EY113)))</formula>
    </cfRule>
  </conditionalFormatting>
  <conditionalFormatting sqref="EY151">
    <cfRule type="containsText" dxfId="333" priority="342" operator="containsText" text="VENCIDA">
      <formula>NOT(ISERROR(SEARCH("VENCIDA",EY151)))</formula>
    </cfRule>
  </conditionalFormatting>
  <conditionalFormatting sqref="EY151">
    <cfRule type="containsText" dxfId="332" priority="341" operator="containsText" text="POR VENCER">
      <formula>NOT(ISERROR(SEARCH("POR VENCER",EY151)))</formula>
    </cfRule>
  </conditionalFormatting>
  <conditionalFormatting sqref="EY151">
    <cfRule type="containsText" dxfId="331" priority="340" operator="containsText" text="NO APLICA">
      <formula>NOT(ISERROR(SEARCH("NO APLICA",EY151)))</formula>
    </cfRule>
  </conditionalFormatting>
  <conditionalFormatting sqref="EY151">
    <cfRule type="containsText" dxfId="330" priority="339" operator="containsText" text="VIGENTE">
      <formula>NOT(ISERROR(SEARCH("VIGENTE",EY151)))</formula>
    </cfRule>
  </conditionalFormatting>
  <conditionalFormatting sqref="EY158">
    <cfRule type="containsText" dxfId="329" priority="338" operator="containsText" text="VENCIDA">
      <formula>NOT(ISERROR(SEARCH("VENCIDA",EY158)))</formula>
    </cfRule>
  </conditionalFormatting>
  <conditionalFormatting sqref="EY158">
    <cfRule type="containsText" dxfId="328" priority="337" operator="containsText" text="POR VENCER">
      <formula>NOT(ISERROR(SEARCH("POR VENCER",EY158)))</formula>
    </cfRule>
  </conditionalFormatting>
  <conditionalFormatting sqref="EY158">
    <cfRule type="containsText" dxfId="327" priority="336" operator="containsText" text="NO APLICA">
      <formula>NOT(ISERROR(SEARCH("NO APLICA",EY158)))</formula>
    </cfRule>
  </conditionalFormatting>
  <conditionalFormatting sqref="EY158">
    <cfRule type="containsText" dxfId="326" priority="335" operator="containsText" text="VIGENTE">
      <formula>NOT(ISERROR(SEARCH("VIGENTE",EY158)))</formula>
    </cfRule>
  </conditionalFormatting>
  <conditionalFormatting sqref="EY172">
    <cfRule type="containsText" dxfId="325" priority="334" operator="containsText" text="VENCIDA">
      <formula>NOT(ISERROR(SEARCH("VENCIDA",EY172)))</formula>
    </cfRule>
  </conditionalFormatting>
  <conditionalFormatting sqref="EY172">
    <cfRule type="containsText" dxfId="324" priority="333" operator="containsText" text="POR VENCER">
      <formula>NOT(ISERROR(SEARCH("POR VENCER",EY172)))</formula>
    </cfRule>
  </conditionalFormatting>
  <conditionalFormatting sqref="EY172">
    <cfRule type="containsText" dxfId="323" priority="332" operator="containsText" text="NO APLICA">
      <formula>NOT(ISERROR(SEARCH("NO APLICA",EY172)))</formula>
    </cfRule>
  </conditionalFormatting>
  <conditionalFormatting sqref="EY172">
    <cfRule type="containsText" dxfId="322" priority="331" operator="containsText" text="VIGENTE">
      <formula>NOT(ISERROR(SEARCH("VIGENTE",EY172)))</formula>
    </cfRule>
  </conditionalFormatting>
  <conditionalFormatting sqref="EI187 EI183:EI184 EI158 EI153 EI131 EI29 EI19 EI14 EI12">
    <cfRule type="containsText" dxfId="321" priority="330" operator="containsText" text="POR VENCER">
      <formula>NOT(ISERROR(SEARCH("POR VENCER",EI12)))</formula>
    </cfRule>
  </conditionalFormatting>
  <conditionalFormatting sqref="EI187 EI183:EI184 EI158 EI153 EI131 EI29 EI19 EI14 EI12">
    <cfRule type="containsText" dxfId="320" priority="329" operator="containsText" text="NO APLICA">
      <formula>NOT(ISERROR(SEARCH("NO APLICA",EI12)))</formula>
    </cfRule>
  </conditionalFormatting>
  <conditionalFormatting sqref="EI187 EI183:EI184 EI158 EI153 EI131 EI47 EI29">
    <cfRule type="containsText" dxfId="319" priority="328" operator="containsText" text="VENCIDA">
      <formula>NOT(ISERROR(SEARCH("VENCIDA",EI29)))</formula>
    </cfRule>
  </conditionalFormatting>
  <conditionalFormatting sqref="EI187 EI183:EI184 EI158 EI153 EI131 EI29">
    <cfRule type="containsText" dxfId="318" priority="327" operator="containsText" text="VIGENTE">
      <formula>NOT(ISERROR(SEARCH("VIGENTE",EI29)))</formula>
    </cfRule>
  </conditionalFormatting>
  <conditionalFormatting sqref="EJ187 EJ183:EJ184 EJ158 EJ153 EJ131 EJ29 EJ19 EJ14 EJ12">
    <cfRule type="containsText" dxfId="317" priority="326" operator="containsText" text="POR VENCER">
      <formula>NOT(ISERROR(SEARCH("POR VENCER",EJ12)))</formula>
    </cfRule>
  </conditionalFormatting>
  <conditionalFormatting sqref="EJ187 EJ183:EJ184 EJ158 EJ153 EJ131 EJ29 EJ19 EJ14 EJ12">
    <cfRule type="containsText" dxfId="316" priority="325" operator="containsText" text="NO APLICA">
      <formula>NOT(ISERROR(SEARCH("NO APLICA",EJ12)))</formula>
    </cfRule>
  </conditionalFormatting>
  <conditionalFormatting sqref="EJ187 EJ183:EJ184 EJ158 EJ153 EJ131 EJ47 EJ29">
    <cfRule type="containsText" dxfId="315" priority="324" operator="containsText" text="VENCIDA">
      <formula>NOT(ISERROR(SEARCH("VENCIDA",EJ29)))</formula>
    </cfRule>
  </conditionalFormatting>
  <conditionalFormatting sqref="EJ187 EJ183:EJ184 EJ158 EJ153 EJ131 EJ29">
    <cfRule type="containsText" dxfId="314" priority="323" operator="containsText" text="VIGENTE">
      <formula>NOT(ISERROR(SEARCH("VIGENTE",EJ29)))</formula>
    </cfRule>
  </conditionalFormatting>
  <conditionalFormatting sqref="GN185 GN181 GN177 GN171:GN172 GN148 GN144 GN138 GN130:GN131 GN125 GN43 GN39:GN40">
    <cfRule type="expression" dxfId="313" priority="322">
      <formula>"O7&gt;=91"</formula>
    </cfRule>
  </conditionalFormatting>
  <conditionalFormatting sqref="CT46">
    <cfRule type="containsText" dxfId="312" priority="321" operator="containsText" text="VENCIDA">
      <formula>NOT(ISERROR(SEARCH("VENCIDA",CT46)))</formula>
    </cfRule>
  </conditionalFormatting>
  <conditionalFormatting sqref="CT46">
    <cfRule type="containsText" dxfId="311" priority="320" operator="containsText" text="POR VENCER">
      <formula>NOT(ISERROR(SEARCH("POR VENCER",CT46)))</formula>
    </cfRule>
  </conditionalFormatting>
  <conditionalFormatting sqref="CT46">
    <cfRule type="containsText" dxfId="310" priority="319" operator="containsText" text="NO APLICA">
      <formula>NOT(ISERROR(SEARCH("NO APLICA",CT46)))</formula>
    </cfRule>
  </conditionalFormatting>
  <conditionalFormatting sqref="CT163">
    <cfRule type="containsText" dxfId="309" priority="318" operator="containsText" text="VENCIDA">
      <formula>NOT(ISERROR(SEARCH("VENCIDA",CT163)))</formula>
    </cfRule>
  </conditionalFormatting>
  <conditionalFormatting sqref="CT163">
    <cfRule type="containsText" dxfId="308" priority="317" operator="containsText" text="VIGENTE">
      <formula>NOT(ISERROR(SEARCH("VIGENTE",CT163)))</formula>
    </cfRule>
  </conditionalFormatting>
  <conditionalFormatting sqref="CT163">
    <cfRule type="containsText" dxfId="307" priority="316" operator="containsText" text="POR VENCER">
      <formula>NOT(ISERROR(SEARCH("POR VENCER",CT163)))</formula>
    </cfRule>
  </conditionalFormatting>
  <conditionalFormatting sqref="CT163">
    <cfRule type="containsText" dxfId="306" priority="315" operator="containsText" text="NO APLICA">
      <formula>NOT(ISERROR(SEARCH("NO APLICA",CT163)))</formula>
    </cfRule>
  </conditionalFormatting>
  <conditionalFormatting sqref="CT171">
    <cfRule type="containsText" dxfId="305" priority="314" operator="containsText" text="VENCIDA">
      <formula>NOT(ISERROR(SEARCH("VENCIDA",CT171)))</formula>
    </cfRule>
  </conditionalFormatting>
  <conditionalFormatting sqref="CT171">
    <cfRule type="containsText" dxfId="304" priority="313" operator="containsText" text="VIGENTE">
      <formula>NOT(ISERROR(SEARCH("VIGENTE",CT171)))</formula>
    </cfRule>
  </conditionalFormatting>
  <conditionalFormatting sqref="CT171">
    <cfRule type="containsText" dxfId="303" priority="312" operator="containsText" text="POR VENCER">
      <formula>NOT(ISERROR(SEARCH("POR VENCER",CT171)))</formula>
    </cfRule>
  </conditionalFormatting>
  <conditionalFormatting sqref="CT171">
    <cfRule type="containsText" dxfId="302" priority="311" operator="containsText" text="NO APLICA">
      <formula>NOT(ISERROR(SEARCH("NO APLICA",CT171)))</formula>
    </cfRule>
  </conditionalFormatting>
  <conditionalFormatting sqref="FI53">
    <cfRule type="containsText" dxfId="301" priority="310" operator="containsText" text="VENCIDA">
      <formula>NOT(ISERROR(SEARCH("VENCIDA",FI53)))</formula>
    </cfRule>
  </conditionalFormatting>
  <conditionalFormatting sqref="FI53">
    <cfRule type="containsText" dxfId="300" priority="309" operator="containsText" text="POR VENCER">
      <formula>NOT(ISERROR(SEARCH("POR VENCER",FI53)))</formula>
    </cfRule>
  </conditionalFormatting>
  <conditionalFormatting sqref="FI53">
    <cfRule type="containsText" dxfId="299" priority="308" operator="containsText" text="NO APLICA">
      <formula>NOT(ISERROR(SEARCH("NO APLICA",FI53)))</formula>
    </cfRule>
  </conditionalFormatting>
  <conditionalFormatting sqref="FI53">
    <cfRule type="containsText" dxfId="298" priority="307" operator="containsText" text="VIGENTE">
      <formula>NOT(ISERROR(SEARCH("VIGENTE",FI53)))</formula>
    </cfRule>
  </conditionalFormatting>
  <conditionalFormatting sqref="BJ171 BJ163 BJ138 BJ136 BJ134 BJ130:BJ131 BJ96 BJ94 BJ81 BJ66">
    <cfRule type="containsText" dxfId="297" priority="306" operator="containsText" text="VENCIDA">
      <formula>NOT(ISERROR(SEARCH("VENCIDA",BJ66)))</formula>
    </cfRule>
  </conditionalFormatting>
  <conditionalFormatting sqref="BJ171 BJ163 BJ138 BJ136 BJ134 BJ130:BJ131 BJ96 BJ94 BJ81 BJ66">
    <cfRule type="containsText" dxfId="296" priority="305" operator="containsText" text="POR VENCER">
      <formula>NOT(ISERROR(SEARCH("POR VENCER",BJ66)))</formula>
    </cfRule>
  </conditionalFormatting>
  <conditionalFormatting sqref="BJ171 BJ163 BJ138 BJ136 BJ134 BJ130:BJ131 BJ96 BJ94 BJ81 BJ66">
    <cfRule type="containsText" dxfId="295" priority="304" operator="containsText" text="NO APLICA">
      <formula>NOT(ISERROR(SEARCH("NO APLICA",BJ66)))</formula>
    </cfRule>
  </conditionalFormatting>
  <conditionalFormatting sqref="BJ171 BJ163 BJ138 BJ136 BJ134 BJ130:BJ131">
    <cfRule type="containsText" dxfId="294" priority="303" operator="containsText" text="VIGENTE">
      <formula>NOT(ISERROR(SEARCH("VIGENTE",BJ130)))</formula>
    </cfRule>
  </conditionalFormatting>
  <conditionalFormatting sqref="DI154 DI149 DI132">
    <cfRule type="containsText" dxfId="293" priority="302" operator="containsText" text="VENCIDA">
      <formula>NOT(ISERROR(SEARCH("VENCIDA",DI132)))</formula>
    </cfRule>
  </conditionalFormatting>
  <conditionalFormatting sqref="DI154 DI149 DI132">
    <cfRule type="containsText" dxfId="292" priority="301" operator="containsText" text="VIGENTE">
      <formula>NOT(ISERROR(SEARCH("VIGENTE",DI132)))</formula>
    </cfRule>
  </conditionalFormatting>
  <conditionalFormatting sqref="DI154 DI149 DI132">
    <cfRule type="containsText" dxfId="291" priority="300" operator="containsText" text="POR VENCER">
      <formula>NOT(ISERROR(SEARCH("POR VENCER",DI132)))</formula>
    </cfRule>
  </conditionalFormatting>
  <conditionalFormatting sqref="DI154 DI149 DI132">
    <cfRule type="containsText" dxfId="290" priority="299" operator="containsText" text="NO APLICA">
      <formula>NOT(ISERROR(SEARCH("NO APLICA",DI132)))</formula>
    </cfRule>
  </conditionalFormatting>
  <conditionalFormatting sqref="DN37">
    <cfRule type="containsText" dxfId="289" priority="298" operator="containsText" text="VENCIDA">
      <formula>NOT(ISERROR(SEARCH("VENCIDA",DN37)))</formula>
    </cfRule>
  </conditionalFormatting>
  <conditionalFormatting sqref="DN37">
    <cfRule type="containsText" dxfId="288" priority="297" operator="containsText" text="POR VENCER">
      <formula>NOT(ISERROR(SEARCH("POR VENCER",DN37)))</formula>
    </cfRule>
  </conditionalFormatting>
  <conditionalFormatting sqref="DN37">
    <cfRule type="containsText" dxfId="287" priority="296" operator="containsText" text="NO APLICA">
      <formula>NOT(ISERROR(SEARCH("NO APLICA",DN37)))</formula>
    </cfRule>
  </conditionalFormatting>
  <conditionalFormatting sqref="DN63">
    <cfRule type="containsText" dxfId="286" priority="295" operator="containsText" text="VENCIDA">
      <formula>NOT(ISERROR(SEARCH("VENCIDA",DN63)))</formula>
    </cfRule>
  </conditionalFormatting>
  <conditionalFormatting sqref="DN63">
    <cfRule type="containsText" dxfId="285" priority="294" operator="containsText" text="POR VENCER">
      <formula>NOT(ISERROR(SEARCH("POR VENCER",DN63)))</formula>
    </cfRule>
  </conditionalFormatting>
  <conditionalFormatting sqref="DN63">
    <cfRule type="containsText" dxfId="284" priority="293" operator="containsText" text="NO APLICA">
      <formula>NOT(ISERROR(SEARCH("NO APLICA",DN63)))</formula>
    </cfRule>
  </conditionalFormatting>
  <conditionalFormatting sqref="DN71">
    <cfRule type="containsText" dxfId="283" priority="292" operator="containsText" text="VENCIDA">
      <formula>NOT(ISERROR(SEARCH("VENCIDA",DN71)))</formula>
    </cfRule>
  </conditionalFormatting>
  <conditionalFormatting sqref="DN71">
    <cfRule type="containsText" dxfId="282" priority="291" operator="containsText" text="POR VENCER">
      <formula>NOT(ISERROR(SEARCH("POR VENCER",DN71)))</formula>
    </cfRule>
  </conditionalFormatting>
  <conditionalFormatting sqref="DN71">
    <cfRule type="containsText" dxfId="281" priority="290" operator="containsText" text="NO APLICA">
      <formula>NOT(ISERROR(SEARCH("NO APLICA",DN71)))</formula>
    </cfRule>
  </conditionalFormatting>
  <conditionalFormatting sqref="DN151">
    <cfRule type="containsText" dxfId="280" priority="289" operator="containsText" text="VENCIDA">
      <formula>NOT(ISERROR(SEARCH("VENCIDA",DN151)))</formula>
    </cfRule>
  </conditionalFormatting>
  <conditionalFormatting sqref="DN151">
    <cfRule type="containsText" dxfId="279" priority="288" operator="containsText" text="VIGENTE">
      <formula>NOT(ISERROR(SEARCH("VIGENTE",DN151)))</formula>
    </cfRule>
  </conditionalFormatting>
  <conditionalFormatting sqref="DN151">
    <cfRule type="containsText" dxfId="278" priority="287" operator="containsText" text="POR VENCER">
      <formula>NOT(ISERROR(SEARCH("POR VENCER",DN151)))</formula>
    </cfRule>
  </conditionalFormatting>
  <conditionalFormatting sqref="DN151">
    <cfRule type="containsText" dxfId="277" priority="286" operator="containsText" text="NO APLICA">
      <formula>NOT(ISERROR(SEARCH("NO APLICA",DN151)))</formula>
    </cfRule>
  </conditionalFormatting>
  <conditionalFormatting sqref="DN172">
    <cfRule type="containsText" dxfId="276" priority="285" operator="containsText" text="VENCIDA">
      <formula>NOT(ISERROR(SEARCH("VENCIDA",DN172)))</formula>
    </cfRule>
  </conditionalFormatting>
  <conditionalFormatting sqref="DN172">
    <cfRule type="containsText" dxfId="275" priority="284" operator="containsText" text="VIGENTE">
      <formula>NOT(ISERROR(SEARCH("VIGENTE",DN172)))</formula>
    </cfRule>
  </conditionalFormatting>
  <conditionalFormatting sqref="DN172">
    <cfRule type="containsText" dxfId="274" priority="283" operator="containsText" text="POR VENCER">
      <formula>NOT(ISERROR(SEARCH("POR VENCER",DN172)))</formula>
    </cfRule>
  </conditionalFormatting>
  <conditionalFormatting sqref="DN172">
    <cfRule type="containsText" dxfId="273" priority="282" operator="containsText" text="NO APLICA">
      <formula>NOT(ISERROR(SEARCH("NO APLICA",DN172)))</formula>
    </cfRule>
  </conditionalFormatting>
  <conditionalFormatting sqref="DN41">
    <cfRule type="containsText" dxfId="272" priority="281" operator="containsText" text="VENCIDA">
      <formula>NOT(ISERROR(SEARCH("VENCIDA",DN41)))</formula>
    </cfRule>
  </conditionalFormatting>
  <conditionalFormatting sqref="DN41">
    <cfRule type="containsText" dxfId="271" priority="280" operator="containsText" text="POR VENCER">
      <formula>NOT(ISERROR(SEARCH("POR VENCER",DN41)))</formula>
    </cfRule>
  </conditionalFormatting>
  <conditionalFormatting sqref="DN41">
    <cfRule type="containsText" dxfId="270" priority="279" operator="containsText" text="NO APLICA">
      <formula>NOT(ISERROR(SEARCH("NO APLICA",DN41)))</formula>
    </cfRule>
  </conditionalFormatting>
  <conditionalFormatting sqref="DN41">
    <cfRule type="containsText" dxfId="269" priority="278" operator="containsText" text="VENCIDA">
      <formula>NOT(ISERROR(SEARCH("VENCIDA",DN41)))</formula>
    </cfRule>
  </conditionalFormatting>
  <conditionalFormatting sqref="DN41">
    <cfRule type="containsText" dxfId="268" priority="277" operator="containsText" text="POR VENCER">
      <formula>NOT(ISERROR(SEARCH("POR VENCER",DN41)))</formula>
    </cfRule>
  </conditionalFormatting>
  <conditionalFormatting sqref="DN41">
    <cfRule type="containsText" dxfId="267" priority="276" operator="containsText" text="NO APLICA">
      <formula>NOT(ISERROR(SEARCH("NO APLICA",DN41)))</formula>
    </cfRule>
  </conditionalFormatting>
  <conditionalFormatting sqref="EO154 EO149 EO143 EO132">
    <cfRule type="containsText" dxfId="266" priority="275" operator="containsText" text="VENCIDA">
      <formula>NOT(ISERROR(SEARCH("VENCIDA",EO132)))</formula>
    </cfRule>
  </conditionalFormatting>
  <conditionalFormatting sqref="EO154 EO149 EO143 EO132">
    <cfRule type="containsText" dxfId="265" priority="274" operator="containsText" text="VIGENTE">
      <formula>NOT(ISERROR(SEARCH("VIGENTE",EO132)))</formula>
    </cfRule>
  </conditionalFormatting>
  <conditionalFormatting sqref="EO154 EO149 EO143 EO132">
    <cfRule type="containsText" dxfId="264" priority="273" operator="containsText" text="POR VENCER">
      <formula>NOT(ISERROR(SEARCH("POR VENCER",EO132)))</formula>
    </cfRule>
  </conditionalFormatting>
  <conditionalFormatting sqref="EO154 EO149 EO143 EO132">
    <cfRule type="containsText" dxfId="263" priority="272" operator="containsText" text="NO APLICA">
      <formula>NOT(ISERROR(SEARCH("NO APLICA",EO132)))</formula>
    </cfRule>
  </conditionalFormatting>
  <conditionalFormatting sqref="EO220 EO190">
    <cfRule type="containsText" dxfId="262" priority="271" operator="containsText" text="VENCIDA">
      <formula>NOT(ISERROR(SEARCH("VENCIDA",EO190)))</formula>
    </cfRule>
  </conditionalFormatting>
  <conditionalFormatting sqref="EO220 EO190">
    <cfRule type="containsText" dxfId="261" priority="270" operator="containsText" text="VIGENTE">
      <formula>NOT(ISERROR(SEARCH("VIGENTE",EO190)))</formula>
    </cfRule>
  </conditionalFormatting>
  <conditionalFormatting sqref="EO220 EO190">
    <cfRule type="containsText" dxfId="260" priority="269" operator="containsText" text="POR VENCER">
      <formula>NOT(ISERROR(SEARCH("POR VENCER",EO190)))</formula>
    </cfRule>
  </conditionalFormatting>
  <conditionalFormatting sqref="EO220 EO190">
    <cfRule type="containsText" dxfId="259" priority="268" operator="containsText" text="NO APLICA">
      <formula>NOT(ISERROR(SEARCH("NO APLICA",EO190)))</formula>
    </cfRule>
  </conditionalFormatting>
  <conditionalFormatting sqref="EI177:EK177 EI138:EK138 EI134:EK134 EI130:EK130 EI110:EK110">
    <cfRule type="containsText" dxfId="258" priority="267" operator="containsText" text="POR VENCER">
      <formula>NOT(ISERROR(SEARCH("POR VENCER",EI110)))</formula>
    </cfRule>
  </conditionalFormatting>
  <conditionalFormatting sqref="EI177:EK177 EI138:EK138 EI134:EK134 EI130:EK130">
    <cfRule type="containsText" dxfId="257" priority="266" operator="containsText" text="VENCIDA">
      <formula>NOT(ISERROR(SEARCH("VENCIDA",EI130)))</formula>
    </cfRule>
  </conditionalFormatting>
  <conditionalFormatting sqref="EI177:EK177 EI138:EK138 EI134:EK134 EI130:EK130">
    <cfRule type="containsText" dxfId="256" priority="265" operator="containsText" text="NO APLICA">
      <formula>NOT(ISERROR(SEARCH("NO APLICA",EI130)))</formula>
    </cfRule>
  </conditionalFormatting>
  <conditionalFormatting sqref="EI177:EK177 EI138:EK138 EI134:EK134 EI130:EK130">
    <cfRule type="containsText" dxfId="255" priority="264" operator="containsText" text="VIGENTE">
      <formula>NOT(ISERROR(SEARCH("VIGENTE",EI130)))</formula>
    </cfRule>
  </conditionalFormatting>
  <conditionalFormatting sqref="EI230:EK230 EI220:EK220 EI190:EK190 EI172:EK172 EI154:EK154 EI148:EK149 EI143:EK143 EI132:EK132 EI34:EK34">
    <cfRule type="containsText" dxfId="254" priority="263" operator="containsText" text="VENCIDA">
      <formula>NOT(ISERROR(SEARCH("VENCIDA",EI34)))</formula>
    </cfRule>
  </conditionalFormatting>
  <conditionalFormatting sqref="EI230:EK230 EI220:EK220 EI190:EK190 EI172:EK172 EI154:EK154 EI148:EK149 EI143:EK143 EI132:EK132 EI119:EK119 EI114:EK114 EI111:EK111 EI103:EK103 EI93:EK93 EI81:EK82 EI75:EK75 EI66:EK66 EI34:EK34">
    <cfRule type="containsText" dxfId="253" priority="262" operator="containsText" text="POR VENCER">
      <formula>NOT(ISERROR(SEARCH("POR VENCER",EI34)))</formula>
    </cfRule>
  </conditionalFormatting>
  <conditionalFormatting sqref="EI230:EK230 EI220:EK220 EI190:EK190 EI172:EK172 EI154:EK154 EI148:EK149 EI143:EK143 EI132:EK132 EI119:EK119 EI114:EK114 EI111:EK111 EI103:EK103 EI93:EK93 EI81:EK82 EI75:EK75 EI66:EK66 EI34:EK34">
    <cfRule type="containsText" dxfId="252" priority="261" operator="containsText" text="NO APLICA">
      <formula>NOT(ISERROR(SEARCH("NO APLICA",EI34)))</formula>
    </cfRule>
  </conditionalFormatting>
  <conditionalFormatting sqref="EI230:EK230 EI220:EK220 EI190:EK190 EI172:EK172 EI154:EK154 EI148:EK149 EI143:EK143 EI132:EK132 EI34:EK34">
    <cfRule type="containsText" dxfId="251" priority="260" operator="containsText" text="VIGENTE">
      <formula>NOT(ISERROR(SEARCH("VIGENTE",EI34)))</formula>
    </cfRule>
  </conditionalFormatting>
  <conditionalFormatting sqref="DD190 DD171 DD154 DD149 DD134 DD132 DD130">
    <cfRule type="containsText" dxfId="250" priority="259" operator="containsText" text="VENCIDA">
      <formula>NOT(ISERROR(SEARCH("VENCIDA",DD130)))</formula>
    </cfRule>
  </conditionalFormatting>
  <conditionalFormatting sqref="DD190 DD171 DD154 DD149 DD134 DD132 DD130">
    <cfRule type="containsText" dxfId="249" priority="258" operator="containsText" text="VIGENTE">
      <formula>NOT(ISERROR(SEARCH("VIGENTE",DD130)))</formula>
    </cfRule>
  </conditionalFormatting>
  <conditionalFormatting sqref="DD190 DD171 DD154 DD149 DD134 DD132 DD130">
    <cfRule type="containsText" dxfId="248" priority="257" operator="containsText" text="POR VENCER">
      <formula>NOT(ISERROR(SEARCH("POR VENCER",DD130)))</formula>
    </cfRule>
  </conditionalFormatting>
  <conditionalFormatting sqref="DD190 DD171 DD154 DD149 DD134 DD132 DD130">
    <cfRule type="containsText" dxfId="247" priority="256" operator="containsText" text="NO APLICA">
      <formula>NOT(ISERROR(SEARCH("NO APLICA",DD130)))</formula>
    </cfRule>
  </conditionalFormatting>
  <conditionalFormatting sqref="DT8">
    <cfRule type="containsText" dxfId="246" priority="255" operator="containsText" text="VENCIDA">
      <formula>NOT(ISERROR(SEARCH("VENCIDA",DT8)))</formula>
    </cfRule>
  </conditionalFormatting>
  <conditionalFormatting sqref="DT8">
    <cfRule type="containsText" dxfId="245" priority="254" operator="containsText" text="VIGENTE">
      <formula>NOT(ISERROR(SEARCH("VIGENTE",DT8)))</formula>
    </cfRule>
  </conditionalFormatting>
  <conditionalFormatting sqref="DT8">
    <cfRule type="containsText" dxfId="244" priority="253" operator="containsText" text="POR VENCER">
      <formula>NOT(ISERROR(SEARCH("POR VENCER",DT8)))</formula>
    </cfRule>
  </conditionalFormatting>
  <conditionalFormatting sqref="DT8">
    <cfRule type="containsText" dxfId="243" priority="252" operator="containsText" text="NO APLICA">
      <formula>NOT(ISERROR(SEARCH("NO APLICA",DT8)))</formula>
    </cfRule>
  </conditionalFormatting>
  <conditionalFormatting sqref="DT220 DT190 DT154 DT149 DT132 DT119 DT111 DT103 DT93 DT82 DT34">
    <cfRule type="containsText" dxfId="242" priority="251" operator="containsText" text="VENCIDA">
      <formula>NOT(ISERROR(SEARCH("VENCIDA",DT34)))</formula>
    </cfRule>
  </conditionalFormatting>
  <conditionalFormatting sqref="DT220 DT190 DT154 DT149 DT132 DT119 DT111 DT103 DT93 DT82 DT34">
    <cfRule type="containsText" dxfId="241" priority="250" operator="containsText" text="VIGENTE">
      <formula>NOT(ISERROR(SEARCH("VIGENTE",DT34)))</formula>
    </cfRule>
  </conditionalFormatting>
  <conditionalFormatting sqref="DT220 DT190 DT154 DT149 DT132 DT119 DT111 DT103 DT93 DT82 DT34">
    <cfRule type="containsText" dxfId="240" priority="249" operator="containsText" text="POR VENCER">
      <formula>NOT(ISERROR(SEARCH("POR VENCER",DT34)))</formula>
    </cfRule>
  </conditionalFormatting>
  <conditionalFormatting sqref="DT220 DT190 DT154 DT149 DT132 DT119 DT111 DT103 DT93 DT82 DT34">
    <cfRule type="containsText" dxfId="239" priority="248" operator="containsText" text="NO APLICA">
      <formula>NOT(ISERROR(SEARCH("NO APLICA",DT34)))</formula>
    </cfRule>
  </conditionalFormatting>
  <conditionalFormatting sqref="KN176 KN174">
    <cfRule type="containsText" dxfId="238" priority="247" operator="containsText" text="VENCIDA">
      <formula>NOT(ISERROR(SEARCH("VENCIDA",KN174)))</formula>
    </cfRule>
  </conditionalFormatting>
  <conditionalFormatting sqref="KN176 KN174">
    <cfRule type="containsText" dxfId="237" priority="246" operator="containsText" text="POR VENCER">
      <formula>NOT(ISERROR(SEARCH("POR VENCER",KN174)))</formula>
    </cfRule>
  </conditionalFormatting>
  <conditionalFormatting sqref="KN176 KN174">
    <cfRule type="containsText" dxfId="236" priority="245" operator="containsText" text="VIGENTE">
      <formula>NOT(ISERROR(SEARCH("VIGENTE",KN174)))</formula>
    </cfRule>
  </conditionalFormatting>
  <conditionalFormatting sqref="KN176 KN174">
    <cfRule type="containsText" dxfId="235" priority="244" operator="containsText" text="NO APLICA">
      <formula>NOT(ISERROR(SEARCH("NO APLICA",KN174)))</formula>
    </cfRule>
  </conditionalFormatting>
  <conditionalFormatting sqref="GC39">
    <cfRule type="containsText" dxfId="234" priority="243" operator="containsText" text="VENCIDA">
      <formula>NOT(ISERROR(SEARCH("VENCIDA",GC39)))</formula>
    </cfRule>
  </conditionalFormatting>
  <conditionalFormatting sqref="GC39">
    <cfRule type="containsText" dxfId="233" priority="242" operator="containsText" text="VIGENTE">
      <formula>NOT(ISERROR(SEARCH("VIGENTE",GC39)))</formula>
    </cfRule>
  </conditionalFormatting>
  <conditionalFormatting sqref="GC39">
    <cfRule type="containsText" dxfId="232" priority="241" operator="containsText" text="POR VENCER">
      <formula>NOT(ISERROR(SEARCH("POR VENCER",GC39)))</formula>
    </cfRule>
  </conditionalFormatting>
  <conditionalFormatting sqref="GC39">
    <cfRule type="containsText" dxfId="231" priority="240" operator="containsText" text="NO APLICA">
      <formula>NOT(ISERROR(SEARCH("NO APLICA",GC39)))</formula>
    </cfRule>
  </conditionalFormatting>
  <conditionalFormatting sqref="GC40">
    <cfRule type="containsText" dxfId="230" priority="239" operator="containsText" text="VENCIDA">
      <formula>NOT(ISERROR(SEARCH("VENCIDA",GC40)))</formula>
    </cfRule>
  </conditionalFormatting>
  <conditionalFormatting sqref="GC40">
    <cfRule type="containsText" dxfId="229" priority="238" operator="containsText" text="VIGENTE">
      <formula>NOT(ISERROR(SEARCH("VIGENTE",GC40)))</formula>
    </cfRule>
  </conditionalFormatting>
  <conditionalFormatting sqref="GC40">
    <cfRule type="containsText" dxfId="228" priority="237" operator="containsText" text="POR VENCER">
      <formula>NOT(ISERROR(SEARCH("POR VENCER",GC40)))</formula>
    </cfRule>
  </conditionalFormatting>
  <conditionalFormatting sqref="GC40">
    <cfRule type="containsText" dxfId="227" priority="236" operator="containsText" text="NO APLICA">
      <formula>NOT(ISERROR(SEARCH("NO APLICA",GC40)))</formula>
    </cfRule>
  </conditionalFormatting>
  <conditionalFormatting sqref="GC45">
    <cfRule type="containsText" dxfId="226" priority="235" operator="containsText" text="VENCIDA">
      <formula>NOT(ISERROR(SEARCH("VENCIDA",GC45)))</formula>
    </cfRule>
  </conditionalFormatting>
  <conditionalFormatting sqref="GC45">
    <cfRule type="containsText" dxfId="225" priority="234" operator="containsText" text="POR VENCER">
      <formula>NOT(ISERROR(SEARCH("POR VENCER",GC45)))</formula>
    </cfRule>
  </conditionalFormatting>
  <conditionalFormatting sqref="GC45">
    <cfRule type="containsText" dxfId="224" priority="233" operator="containsText" text="NO APLICA">
      <formula>NOT(ISERROR(SEARCH("NO APLICA",GC45)))</formula>
    </cfRule>
  </conditionalFormatting>
  <conditionalFormatting sqref="GC133">
    <cfRule type="containsText" dxfId="223" priority="232" operator="containsText" text="VENCIDA">
      <formula>NOT(ISERROR(SEARCH("VENCIDA",GC133)))</formula>
    </cfRule>
  </conditionalFormatting>
  <conditionalFormatting sqref="GC133">
    <cfRule type="containsText" dxfId="222" priority="231" operator="containsText" text="VIGENTE">
      <formula>NOT(ISERROR(SEARCH("VIGENTE",GC133)))</formula>
    </cfRule>
  </conditionalFormatting>
  <conditionalFormatting sqref="GC133">
    <cfRule type="containsText" dxfId="221" priority="230" operator="containsText" text="POR VENCER">
      <formula>NOT(ISERROR(SEARCH("POR VENCER",GC133)))</formula>
    </cfRule>
  </conditionalFormatting>
  <conditionalFormatting sqref="GC133">
    <cfRule type="containsText" dxfId="220" priority="229" operator="containsText" text="NO APLICA">
      <formula>NOT(ISERROR(SEARCH("NO APLICA",GC133)))</formula>
    </cfRule>
  </conditionalFormatting>
  <conditionalFormatting sqref="GC151">
    <cfRule type="containsText" dxfId="219" priority="228" operator="containsText" text="VENCIDA">
      <formula>NOT(ISERROR(SEARCH("VENCIDA",GC151)))</formula>
    </cfRule>
  </conditionalFormatting>
  <conditionalFormatting sqref="GC151">
    <cfRule type="containsText" dxfId="218" priority="227" operator="containsText" text="VIGENTE">
      <formula>NOT(ISERROR(SEARCH("VIGENTE",GC151)))</formula>
    </cfRule>
  </conditionalFormatting>
  <conditionalFormatting sqref="GC151">
    <cfRule type="containsText" dxfId="217" priority="226" operator="containsText" text="POR VENCER">
      <formula>NOT(ISERROR(SEARCH("POR VENCER",GC151)))</formula>
    </cfRule>
  </conditionalFormatting>
  <conditionalFormatting sqref="GC151">
    <cfRule type="containsText" dxfId="216" priority="225" operator="containsText" text="NO APLICA">
      <formula>NOT(ISERROR(SEARCH("NO APLICA",GC151)))</formula>
    </cfRule>
  </conditionalFormatting>
  <conditionalFormatting sqref="GC181">
    <cfRule type="containsText" dxfId="215" priority="224" operator="containsText" text="VENCIDA">
      <formula>NOT(ISERROR(SEARCH("VENCIDA",GC181)))</formula>
    </cfRule>
  </conditionalFormatting>
  <conditionalFormatting sqref="GC181">
    <cfRule type="containsText" dxfId="214" priority="223" operator="containsText" text="VIGENTE">
      <formula>NOT(ISERROR(SEARCH("VIGENTE",GC181)))</formula>
    </cfRule>
  </conditionalFormatting>
  <conditionalFormatting sqref="GC181">
    <cfRule type="containsText" dxfId="213" priority="222" operator="containsText" text="POR VENCER">
      <formula>NOT(ISERROR(SEARCH("POR VENCER",GC181)))</formula>
    </cfRule>
  </conditionalFormatting>
  <conditionalFormatting sqref="GC181">
    <cfRule type="containsText" dxfId="212" priority="221" operator="containsText" text="NO APLICA">
      <formula>NOT(ISERROR(SEARCH("NO APLICA",GC181)))</formula>
    </cfRule>
  </conditionalFormatting>
  <conditionalFormatting sqref="BT34">
    <cfRule type="containsText" dxfId="211" priority="220" operator="containsText" text="VENCIDA">
      <formula>NOT(ISERROR(SEARCH("VENCIDA",BT34)))</formula>
    </cfRule>
  </conditionalFormatting>
  <conditionalFormatting sqref="BT34">
    <cfRule type="containsText" dxfId="210" priority="219" operator="containsText" text="POR VENCER">
      <formula>NOT(ISERROR(SEARCH("POR VENCER",BT34)))</formula>
    </cfRule>
  </conditionalFormatting>
  <conditionalFormatting sqref="BT34">
    <cfRule type="containsText" dxfId="209" priority="218" operator="containsText" text="NO APLICA">
      <formula>NOT(ISERROR(SEARCH("NO APLICA",BT34)))</formula>
    </cfRule>
  </conditionalFormatting>
  <conditionalFormatting sqref="BT190 BT188 BT176 BT174 BT154 BT149 BT143 BT141 BT136 BT132 BT119 BT114:BT115 BT111 BT106 BT103 BT98 BT93 BT90 BT82">
    <cfRule type="containsText" dxfId="208" priority="217" operator="containsText" text="VENCIDA">
      <formula>NOT(ISERROR(SEARCH("VENCIDA",BT82)))</formula>
    </cfRule>
  </conditionalFormatting>
  <conditionalFormatting sqref="BT190 BT188 BT176 BT174 BT154 BT149 BT143 BT141 BT136 BT132 BT119 BT114:BT115 BT111 BT106 BT103 BT98 BT93 BT90 BT82">
    <cfRule type="containsText" dxfId="207" priority="216" operator="containsText" text="POR VENCER">
      <formula>NOT(ISERROR(SEARCH("POR VENCER",BT82)))</formula>
    </cfRule>
  </conditionalFormatting>
  <conditionalFormatting sqref="BT190 BT188 BT176 BT174 BT154 BT149 BT143 BT141 BT136 BT132 BT119 BT114:BT115 BT111 BT106 BT103 BT98 BT93 BT90 BT82">
    <cfRule type="containsText" dxfId="206" priority="215" operator="containsText" text="NO APLICA">
      <formula>NOT(ISERROR(SEARCH("NO APLICA",BT82)))</formula>
    </cfRule>
  </conditionalFormatting>
  <conditionalFormatting sqref="BT190 BT188 BT176 BT174 BT154 BT149 BT143 BT141 BT136 BT132 BT119 BT114:BT115 BT111 BT106 BT103 BT98 BT93 BT90 BT82">
    <cfRule type="containsText" dxfId="205" priority="214" operator="containsText" text="VIGENTE">
      <formula>NOT(ISERROR(SEARCH("VIGENTE",BT82)))</formula>
    </cfRule>
  </conditionalFormatting>
  <conditionalFormatting sqref="DX190 DX188">
    <cfRule type="expression" dxfId="204" priority="213">
      <formula>"O7&gt;=91"</formula>
    </cfRule>
  </conditionalFormatting>
  <conditionalFormatting sqref="DX34 DX10 DX8">
    <cfRule type="expression" dxfId="203" priority="212">
      <formula>"O7&gt;=91"</formula>
    </cfRule>
  </conditionalFormatting>
  <conditionalFormatting sqref="DX119 DX114 DX111 DX106 DX103 DX98 DX93 DX81:DX82">
    <cfRule type="expression" dxfId="202" priority="211">
      <formula>"O7&gt;=91"</formula>
    </cfRule>
  </conditionalFormatting>
  <conditionalFormatting sqref="EY90 EY82 EY44">
    <cfRule type="containsText" dxfId="201" priority="210" operator="containsText" text="VENCIDA">
      <formula>NOT(ISERROR(SEARCH("VENCIDA",EY44)))</formula>
    </cfRule>
  </conditionalFormatting>
  <conditionalFormatting sqref="EY90 EY82 EY44">
    <cfRule type="containsText" dxfId="200" priority="209" operator="containsText" text="POR VENCER">
      <formula>NOT(ISERROR(SEARCH("POR VENCER",EY44)))</formula>
    </cfRule>
  </conditionalFormatting>
  <conditionalFormatting sqref="EY90 EY82 EY44">
    <cfRule type="containsText" dxfId="199" priority="208" operator="containsText" text="NO APLICA">
      <formula>NOT(ISERROR(SEARCH("NO APLICA",EY44)))</formula>
    </cfRule>
  </conditionalFormatting>
  <conditionalFormatting sqref="EY114 EY111 EY98">
    <cfRule type="containsText" dxfId="198" priority="207" operator="containsText" text="VENCIDA">
      <formula>NOT(ISERROR(SEARCH("VENCIDA",EY98)))</formula>
    </cfRule>
  </conditionalFormatting>
  <conditionalFormatting sqref="EY114 EY111 EY98">
    <cfRule type="containsText" dxfId="197" priority="206" operator="containsText" text="POR VENCER">
      <formula>NOT(ISERROR(SEARCH("POR VENCER",EY98)))</formula>
    </cfRule>
  </conditionalFormatting>
  <conditionalFormatting sqref="EY114 EY111 EY98">
    <cfRule type="containsText" dxfId="196" priority="205" operator="containsText" text="NO APLICA">
      <formula>NOT(ISERROR(SEARCH("NO APLICA",EY98)))</formula>
    </cfRule>
  </conditionalFormatting>
  <conditionalFormatting sqref="AZ89">
    <cfRule type="containsText" dxfId="195" priority="204" operator="containsText" text="VENCIDA">
      <formula>NOT(ISERROR(SEARCH("VENCIDA",AZ89)))</formula>
    </cfRule>
  </conditionalFormatting>
  <conditionalFormatting sqref="AZ89">
    <cfRule type="containsText" dxfId="194" priority="203" operator="containsText" text="POR VENCER">
      <formula>NOT(ISERROR(SEARCH("POR VENCER",AZ89)))</formula>
    </cfRule>
  </conditionalFormatting>
  <conditionalFormatting sqref="AZ89">
    <cfRule type="containsText" dxfId="193" priority="202" operator="containsText" text="NO APLICA">
      <formula>NOT(ISERROR(SEARCH("NO APLICA",AZ89)))</formula>
    </cfRule>
  </conditionalFormatting>
  <conditionalFormatting sqref="AZ122">
    <cfRule type="containsText" dxfId="192" priority="201" operator="containsText" text="VENCIDA">
      <formula>NOT(ISERROR(SEARCH("VENCIDA",AZ122)))</formula>
    </cfRule>
  </conditionalFormatting>
  <conditionalFormatting sqref="AZ122">
    <cfRule type="containsText" dxfId="191" priority="200" operator="containsText" text="POR VENCER">
      <formula>NOT(ISERROR(SEARCH("POR VENCER",AZ122)))</formula>
    </cfRule>
  </conditionalFormatting>
  <conditionalFormatting sqref="AZ122">
    <cfRule type="containsText" dxfId="190" priority="199" operator="containsText" text="NO APLICA">
      <formula>NOT(ISERROR(SEARCH("NO APLICA",AZ122)))</formula>
    </cfRule>
  </conditionalFormatting>
  <conditionalFormatting sqref="AZ126 AZ123:AZ124">
    <cfRule type="containsText" dxfId="189" priority="198" operator="containsText" text="VENCIDA">
      <formula>NOT(ISERROR(SEARCH("VENCIDA",AZ123)))</formula>
    </cfRule>
  </conditionalFormatting>
  <conditionalFormatting sqref="AZ126 AZ123:AZ124">
    <cfRule type="containsText" dxfId="188" priority="197" operator="containsText" text="POR VENCER">
      <formula>NOT(ISERROR(SEARCH("POR VENCER",AZ123)))</formula>
    </cfRule>
  </conditionalFormatting>
  <conditionalFormatting sqref="AZ126 AZ123:AZ124">
    <cfRule type="containsText" dxfId="187" priority="196" operator="containsText" text="NO APLICA">
      <formula>NOT(ISERROR(SEARCH("NO APLICA",AZ123)))</formula>
    </cfRule>
  </conditionalFormatting>
  <conditionalFormatting sqref="AZ133">
    <cfRule type="containsText" dxfId="186" priority="195" operator="containsText" text="VENCIDA">
      <formula>NOT(ISERROR(SEARCH("VENCIDA",AZ133)))</formula>
    </cfRule>
  </conditionalFormatting>
  <conditionalFormatting sqref="AZ133">
    <cfRule type="containsText" dxfId="185" priority="194" operator="containsText" text="POR VENCER">
      <formula>NOT(ISERROR(SEARCH("POR VENCER",AZ133)))</formula>
    </cfRule>
  </conditionalFormatting>
  <conditionalFormatting sqref="AZ133">
    <cfRule type="containsText" dxfId="184" priority="193" operator="containsText" text="VIGENTE">
      <formula>NOT(ISERROR(SEARCH("VIGENTE",AZ133)))</formula>
    </cfRule>
  </conditionalFormatting>
  <conditionalFormatting sqref="AZ133">
    <cfRule type="containsText" dxfId="183" priority="192" operator="containsText" text="NO APLICA">
      <formula>NOT(ISERROR(SEARCH("NO APLICA",AZ133)))</formula>
    </cfRule>
  </conditionalFormatting>
  <conditionalFormatting sqref="AZ151">
    <cfRule type="containsText" dxfId="182" priority="191" operator="containsText" text="VENCIDA">
      <formula>NOT(ISERROR(SEARCH("VENCIDA",AZ151)))</formula>
    </cfRule>
  </conditionalFormatting>
  <conditionalFormatting sqref="AZ151">
    <cfRule type="containsText" dxfId="181" priority="190" operator="containsText" text="POR VENCER">
      <formula>NOT(ISERROR(SEARCH("POR VENCER",AZ151)))</formula>
    </cfRule>
  </conditionalFormatting>
  <conditionalFormatting sqref="AZ151">
    <cfRule type="containsText" dxfId="180" priority="189" operator="containsText" text="VIGENTE">
      <formula>NOT(ISERROR(SEARCH("VIGENTE",AZ151)))</formula>
    </cfRule>
  </conditionalFormatting>
  <conditionalFormatting sqref="AZ151">
    <cfRule type="containsText" dxfId="179" priority="188" operator="containsText" text="NO APLICA">
      <formula>NOT(ISERROR(SEARCH("NO APLICA",AZ151)))</formula>
    </cfRule>
  </conditionalFormatting>
  <conditionalFormatting sqref="AZ165">
    <cfRule type="containsText" dxfId="178" priority="187" operator="containsText" text="VENCIDA">
      <formula>NOT(ISERROR(SEARCH("VENCIDA",AZ165)))</formula>
    </cfRule>
  </conditionalFormatting>
  <conditionalFormatting sqref="AZ165">
    <cfRule type="containsText" dxfId="177" priority="186" operator="containsText" text="POR VENCER">
      <formula>NOT(ISERROR(SEARCH("POR VENCER",AZ165)))</formula>
    </cfRule>
  </conditionalFormatting>
  <conditionalFormatting sqref="AZ165">
    <cfRule type="containsText" dxfId="176" priority="185" operator="containsText" text="VIGENTE">
      <formula>NOT(ISERROR(SEARCH("VIGENTE",AZ165)))</formula>
    </cfRule>
  </conditionalFormatting>
  <conditionalFormatting sqref="AZ165">
    <cfRule type="containsText" dxfId="175" priority="184" operator="containsText" text="NO APLICA">
      <formula>NOT(ISERROR(SEARCH("NO APLICA",AZ165)))</formula>
    </cfRule>
  </conditionalFormatting>
  <conditionalFormatting sqref="AZ181">
    <cfRule type="containsText" dxfId="174" priority="183" operator="containsText" text="VENCIDA">
      <formula>NOT(ISERROR(SEARCH("VENCIDA",AZ181)))</formula>
    </cfRule>
  </conditionalFormatting>
  <conditionalFormatting sqref="AZ181">
    <cfRule type="containsText" dxfId="173" priority="182" operator="containsText" text="POR VENCER">
      <formula>NOT(ISERROR(SEARCH("POR VENCER",AZ181)))</formula>
    </cfRule>
  </conditionalFormatting>
  <conditionalFormatting sqref="AZ181">
    <cfRule type="containsText" dxfId="172" priority="181" operator="containsText" text="VIGENTE">
      <formula>NOT(ISERROR(SEARCH("VIGENTE",AZ181)))</formula>
    </cfRule>
  </conditionalFormatting>
  <conditionalFormatting sqref="AZ181">
    <cfRule type="containsText" dxfId="171" priority="180" operator="containsText" text="NO APLICA">
      <formula>NOT(ISERROR(SEARCH("NO APLICA",AZ181)))</formula>
    </cfRule>
  </conditionalFormatting>
  <conditionalFormatting sqref="AZ132">
    <cfRule type="containsText" dxfId="170" priority="179" operator="containsText" text="VENCIDA">
      <formula>NOT(ISERROR(SEARCH("VENCIDA",AZ132)))</formula>
    </cfRule>
  </conditionalFormatting>
  <conditionalFormatting sqref="AZ132">
    <cfRule type="containsText" dxfId="169" priority="178" operator="containsText" text="VIGENTE">
      <formula>NOT(ISERROR(SEARCH("VIGENTE",AZ132)))</formula>
    </cfRule>
  </conditionalFormatting>
  <conditionalFormatting sqref="AZ132">
    <cfRule type="containsText" dxfId="168" priority="177" operator="containsText" text="POR VENCER">
      <formula>NOT(ISERROR(SEARCH("POR VENCER",AZ132)))</formula>
    </cfRule>
  </conditionalFormatting>
  <conditionalFormatting sqref="AZ132">
    <cfRule type="containsText" dxfId="167" priority="176" operator="containsText" text="NO APLICA">
      <formula>NOT(ISERROR(SEARCH("NO APLICA",AZ132)))</formula>
    </cfRule>
  </conditionalFormatting>
  <conditionalFormatting sqref="AZ141">
    <cfRule type="containsText" dxfId="166" priority="175" operator="containsText" text="VENCIDA">
      <formula>NOT(ISERROR(SEARCH("VENCIDA",AZ141)))</formula>
    </cfRule>
  </conditionalFormatting>
  <conditionalFormatting sqref="AZ141">
    <cfRule type="containsText" dxfId="165" priority="174" operator="containsText" text="VIGENTE">
      <formula>NOT(ISERROR(SEARCH("VIGENTE",AZ141)))</formula>
    </cfRule>
  </conditionalFormatting>
  <conditionalFormatting sqref="AZ141">
    <cfRule type="containsText" dxfId="164" priority="173" operator="containsText" text="POR VENCER">
      <formula>NOT(ISERROR(SEARCH("POR VENCER",AZ141)))</formula>
    </cfRule>
  </conditionalFormatting>
  <conditionalFormatting sqref="AZ141">
    <cfRule type="containsText" dxfId="163" priority="172" operator="containsText" text="NO APLICA">
      <formula>NOT(ISERROR(SEARCH("NO APLICA",AZ141)))</formula>
    </cfRule>
  </conditionalFormatting>
  <conditionalFormatting sqref="AZ149 AZ146">
    <cfRule type="containsText" dxfId="162" priority="171" operator="containsText" text="VENCIDA">
      <formula>NOT(ISERROR(SEARCH("VENCIDA",AZ146)))</formula>
    </cfRule>
  </conditionalFormatting>
  <conditionalFormatting sqref="AZ149 AZ146">
    <cfRule type="containsText" dxfId="161" priority="170" operator="containsText" text="VIGENTE">
      <formula>NOT(ISERROR(SEARCH("VIGENTE",AZ146)))</formula>
    </cfRule>
  </conditionalFormatting>
  <conditionalFormatting sqref="AZ149 AZ146">
    <cfRule type="containsText" dxfId="160" priority="169" operator="containsText" text="POR VENCER">
      <formula>NOT(ISERROR(SEARCH("POR VENCER",AZ146)))</formula>
    </cfRule>
  </conditionalFormatting>
  <conditionalFormatting sqref="AZ149 AZ146">
    <cfRule type="containsText" dxfId="159" priority="168" operator="containsText" text="NO APLICA">
      <formula>NOT(ISERROR(SEARCH("NO APLICA",AZ146)))</formula>
    </cfRule>
  </conditionalFormatting>
  <conditionalFormatting sqref="AZ154">
    <cfRule type="containsText" dxfId="158" priority="167" operator="containsText" text="VENCIDA">
      <formula>NOT(ISERROR(SEARCH("VENCIDA",AZ154)))</formula>
    </cfRule>
  </conditionalFormatting>
  <conditionalFormatting sqref="AZ154">
    <cfRule type="containsText" dxfId="157" priority="166" operator="containsText" text="VIGENTE">
      <formula>NOT(ISERROR(SEARCH("VIGENTE",AZ154)))</formula>
    </cfRule>
  </conditionalFormatting>
  <conditionalFormatting sqref="AZ154">
    <cfRule type="containsText" dxfId="156" priority="165" operator="containsText" text="POR VENCER">
      <formula>NOT(ISERROR(SEARCH("POR VENCER",AZ154)))</formula>
    </cfRule>
  </conditionalFormatting>
  <conditionalFormatting sqref="AZ154">
    <cfRule type="containsText" dxfId="155" priority="164" operator="containsText" text="NO APLICA">
      <formula>NOT(ISERROR(SEARCH("NO APLICA",AZ154)))</formula>
    </cfRule>
  </conditionalFormatting>
  <conditionalFormatting sqref="AZ232 AZ190 AZ188">
    <cfRule type="containsText" dxfId="154" priority="163" operator="containsText" text="VENCIDA">
      <formula>NOT(ISERROR(SEARCH("VENCIDA",AZ188)))</formula>
    </cfRule>
  </conditionalFormatting>
  <conditionalFormatting sqref="AZ232 AZ190 AZ188">
    <cfRule type="containsText" dxfId="153" priority="162" operator="containsText" text="VIGENTE">
      <formula>NOT(ISERROR(SEARCH("VIGENTE",AZ188)))</formula>
    </cfRule>
  </conditionalFormatting>
  <conditionalFormatting sqref="AZ232 AZ190 AZ188">
    <cfRule type="containsText" dxfId="152" priority="161" operator="containsText" text="POR VENCER">
      <formula>NOT(ISERROR(SEARCH("POR VENCER",AZ188)))</formula>
    </cfRule>
  </conditionalFormatting>
  <conditionalFormatting sqref="AZ232 AZ190 AZ188">
    <cfRule type="containsText" dxfId="151" priority="160" operator="containsText" text="NO APLICA">
      <formula>NOT(ISERROR(SEARCH("NO APLICA",AZ188)))</formula>
    </cfRule>
  </conditionalFormatting>
  <conditionalFormatting sqref="AZ176">
    <cfRule type="containsText" dxfId="150" priority="159" operator="containsText" text="VENCIDA">
      <formula>NOT(ISERROR(SEARCH("VENCIDA",AZ176)))</formula>
    </cfRule>
  </conditionalFormatting>
  <conditionalFormatting sqref="AZ176">
    <cfRule type="containsText" dxfId="149" priority="158" operator="containsText" text="VIGENTE">
      <formula>NOT(ISERROR(SEARCH("VIGENTE",AZ176)))</formula>
    </cfRule>
  </conditionalFormatting>
  <conditionalFormatting sqref="AZ176">
    <cfRule type="containsText" dxfId="148" priority="157" operator="containsText" text="POR VENCER">
      <formula>NOT(ISERROR(SEARCH("POR VENCER",AZ176)))</formula>
    </cfRule>
  </conditionalFormatting>
  <conditionalFormatting sqref="AZ176">
    <cfRule type="containsText" dxfId="147" priority="156" operator="containsText" text="NO APLICA">
      <formula>NOT(ISERROR(SEARCH("NO APLICA",AZ176)))</formula>
    </cfRule>
  </conditionalFormatting>
  <conditionalFormatting sqref="ET181:ET182 ET173 ET165 ET151">
    <cfRule type="containsText" dxfId="146" priority="155" operator="containsText" text="VENCIDA">
      <formula>NOT(ISERROR(SEARCH("VENCIDA",ET151)))</formula>
    </cfRule>
  </conditionalFormatting>
  <conditionalFormatting sqref="ET181:ET182 ET173 ET165 ET151">
    <cfRule type="containsText" dxfId="145" priority="154" operator="containsText" text="VIGENTE">
      <formula>NOT(ISERROR(SEARCH("VIGENTE",ET151)))</formula>
    </cfRule>
  </conditionalFormatting>
  <conditionalFormatting sqref="ET181:ET182 ET173 ET165 ET151">
    <cfRule type="containsText" dxfId="144" priority="153" operator="containsText" text="POR VENCER">
      <formula>NOT(ISERROR(SEARCH("POR VENCER",ET151)))</formula>
    </cfRule>
  </conditionalFormatting>
  <conditionalFormatting sqref="ET181:ET182 ET173 ET165 ET151">
    <cfRule type="containsText" dxfId="143" priority="152" operator="containsText" text="NO APLICA">
      <formula>NOT(ISERROR(SEARCH("NO APLICA",ET151)))</formula>
    </cfRule>
  </conditionalFormatting>
  <conditionalFormatting sqref="GM106 GM98 GM96 GM44">
    <cfRule type="containsText" dxfId="142" priority="151" operator="containsText" text="VENCIDA">
      <formula>NOT(ISERROR(SEARCH("VENCIDA",GM44)))</formula>
    </cfRule>
  </conditionalFormatting>
  <conditionalFormatting sqref="GM106 GM98 GM96 GM44">
    <cfRule type="containsText" dxfId="141" priority="150" operator="containsText" text="VIGENTE">
      <formula>NOT(ISERROR(SEARCH("VIGENTE",GM44)))</formula>
    </cfRule>
  </conditionalFormatting>
  <conditionalFormatting sqref="GM106 GM98 GM96 GM44">
    <cfRule type="containsText" dxfId="140" priority="148" operator="containsText" text="NO APLICA">
      <formula>NOT(ISERROR(SEARCH("NO APLICA",GM44)))</formula>
    </cfRule>
    <cfRule type="containsText" dxfId="139" priority="149" operator="containsText" text="POR VENCER">
      <formula>NOT(ISERROR(SEARCH("POR VENCER",GM44)))</formula>
    </cfRule>
  </conditionalFormatting>
  <conditionalFormatting sqref="GM115 GM111">
    <cfRule type="containsText" dxfId="138" priority="147" operator="containsText" text="VENCIDA">
      <formula>NOT(ISERROR(SEARCH("VENCIDA",GM111)))</formula>
    </cfRule>
  </conditionalFormatting>
  <conditionalFormatting sqref="GM115 GM111">
    <cfRule type="containsText" dxfId="137" priority="146" operator="containsText" text="VIGENTE">
      <formula>NOT(ISERROR(SEARCH("VIGENTE",GM111)))</formula>
    </cfRule>
  </conditionalFormatting>
  <conditionalFormatting sqref="GM115 GM111">
    <cfRule type="containsText" dxfId="136" priority="144" operator="containsText" text="NO APLICA">
      <formula>NOT(ISERROR(SEARCH("NO APLICA",GM111)))</formula>
    </cfRule>
    <cfRule type="containsText" dxfId="135" priority="145" operator="containsText" text="POR VENCER">
      <formula>NOT(ISERROR(SEARCH("POR VENCER",GM111)))</formula>
    </cfRule>
  </conditionalFormatting>
  <conditionalFormatting sqref="GM143 GM141">
    <cfRule type="containsText" dxfId="134" priority="143" operator="containsText" text="VENCIDA">
      <formula>NOT(ISERROR(SEARCH("VENCIDA",GM141)))</formula>
    </cfRule>
  </conditionalFormatting>
  <conditionalFormatting sqref="GM143 GM141">
    <cfRule type="containsText" dxfId="133" priority="142" operator="containsText" text="VIGENTE">
      <formula>NOT(ISERROR(SEARCH("VIGENTE",GM141)))</formula>
    </cfRule>
  </conditionalFormatting>
  <conditionalFormatting sqref="GM143 GM141">
    <cfRule type="containsText" dxfId="132" priority="140" operator="containsText" text="NO APLICA">
      <formula>NOT(ISERROR(SEARCH("NO APLICA",GM141)))</formula>
    </cfRule>
    <cfRule type="containsText" dxfId="131" priority="141" operator="containsText" text="POR VENCER">
      <formula>NOT(ISERROR(SEARCH("POR VENCER",GM141)))</formula>
    </cfRule>
  </conditionalFormatting>
  <conditionalFormatting sqref="GM190 GM174 GM156">
    <cfRule type="containsText" dxfId="130" priority="139" operator="containsText" text="VENCIDA">
      <formula>NOT(ISERROR(SEARCH("VENCIDA",GM156)))</formula>
    </cfRule>
  </conditionalFormatting>
  <conditionalFormatting sqref="GM190 GM174 GM156">
    <cfRule type="containsText" dxfId="129" priority="138" operator="containsText" text="VIGENTE">
      <formula>NOT(ISERROR(SEARCH("VIGENTE",GM156)))</formula>
    </cfRule>
  </conditionalFormatting>
  <conditionalFormatting sqref="GM190 GM174 GM156">
    <cfRule type="containsText" dxfId="128" priority="136" operator="containsText" text="NO APLICA">
      <formula>NOT(ISERROR(SEARCH("NO APLICA",GM156)))</formula>
    </cfRule>
    <cfRule type="containsText" dxfId="127" priority="137" operator="containsText" text="POR VENCER">
      <formula>NOT(ISERROR(SEARCH("POR VENCER",GM156)))</formula>
    </cfRule>
  </conditionalFormatting>
  <conditionalFormatting sqref="J220 J164 J140">
    <cfRule type="containsText" dxfId="126" priority="135" operator="containsText" text="VENCIDA">
      <formula>NOT(ISERROR(SEARCH("VENCIDA",J140)))</formula>
    </cfRule>
  </conditionalFormatting>
  <conditionalFormatting sqref="J220 J164 J140">
    <cfRule type="containsText" dxfId="125" priority="132" operator="containsText" text="POR VENCER">
      <formula>NOT(ISERROR(SEARCH("POR VENCER",J140)))</formula>
    </cfRule>
    <cfRule type="containsText" dxfId="124" priority="133" operator="containsText" text="VIGENTE">
      <formula>NOT(ISERROR(SEARCH("VIGENTE",J140)))</formula>
    </cfRule>
    <cfRule type="containsText" dxfId="123" priority="134" operator="containsText" text="NO APLICA">
      <formula>NOT(ISERROR(SEARCH("NO APLICA",J140)))</formula>
    </cfRule>
  </conditionalFormatting>
  <conditionalFormatting sqref="GN237 GN149">
    <cfRule type="expression" dxfId="122" priority="131">
      <formula>"O7&gt;=91"</formula>
    </cfRule>
  </conditionalFormatting>
  <conditionalFormatting sqref="E140">
    <cfRule type="containsText" dxfId="121" priority="127" operator="containsText" text="VIGENTE">
      <formula>NOT(ISERROR(SEARCH("VIGENTE",E140)))</formula>
    </cfRule>
    <cfRule type="containsText" dxfId="120" priority="128" operator="containsText" text="POR VENCER">
      <formula>NOT(ISERROR(SEARCH("POR VENCER",E140)))</formula>
    </cfRule>
    <cfRule type="containsText" dxfId="119" priority="129" operator="containsText" text="VENCIDA">
      <formula>NOT(ISERROR(SEARCH("VENCIDA",E140)))</formula>
    </cfRule>
    <cfRule type="containsText" dxfId="118" priority="130" operator="containsText" text="NO APLICA">
      <formula>NOT(ISERROR(SEARCH("NO APLICA",E140)))</formula>
    </cfRule>
  </conditionalFormatting>
  <conditionalFormatting sqref="E162">
    <cfRule type="containsText" dxfId="117" priority="123" operator="containsText" text="VIGENTE">
      <formula>NOT(ISERROR(SEARCH("VIGENTE",E162)))</formula>
    </cfRule>
    <cfRule type="containsText" dxfId="116" priority="124" operator="containsText" text="POR VENCER">
      <formula>NOT(ISERROR(SEARCH("POR VENCER",E162)))</formula>
    </cfRule>
    <cfRule type="containsText" dxfId="115" priority="125" operator="containsText" text="VENCIDA">
      <formula>NOT(ISERROR(SEARCH("VENCIDA",E162)))</formula>
    </cfRule>
    <cfRule type="containsText" dxfId="114" priority="126" operator="containsText" text="NO APLICA">
      <formula>NOT(ISERROR(SEARCH("NO APLICA",E162)))</formula>
    </cfRule>
  </conditionalFormatting>
  <conditionalFormatting sqref="E164">
    <cfRule type="containsText" dxfId="113" priority="119" operator="containsText" text="VIGENTE">
      <formula>NOT(ISERROR(SEARCH("VIGENTE",E164)))</formula>
    </cfRule>
    <cfRule type="containsText" dxfId="112" priority="120" operator="containsText" text="POR VENCER">
      <formula>NOT(ISERROR(SEARCH("POR VENCER",E164)))</formula>
    </cfRule>
    <cfRule type="containsText" dxfId="111" priority="121" operator="containsText" text="VENCIDA">
      <formula>NOT(ISERROR(SEARCH("VENCIDA",E164)))</formula>
    </cfRule>
    <cfRule type="containsText" dxfId="110" priority="122" operator="containsText" text="NO APLICA">
      <formula>NOT(ISERROR(SEARCH("NO APLICA",E164)))</formula>
    </cfRule>
  </conditionalFormatting>
  <conditionalFormatting sqref="E178">
    <cfRule type="containsText" dxfId="109" priority="115" operator="containsText" text="VIGENTE">
      <formula>NOT(ISERROR(SEARCH("VIGENTE",E178)))</formula>
    </cfRule>
    <cfRule type="containsText" dxfId="108" priority="116" operator="containsText" text="POR VENCER">
      <formula>NOT(ISERROR(SEARCH("POR VENCER",E178)))</formula>
    </cfRule>
    <cfRule type="containsText" dxfId="107" priority="117" operator="containsText" text="VENCIDA">
      <formula>NOT(ISERROR(SEARCH("VENCIDA",E178)))</formula>
    </cfRule>
    <cfRule type="containsText" dxfId="106" priority="118" operator="containsText" text="NO APLICA">
      <formula>NOT(ISERROR(SEARCH("NO APLICA",E178)))</formula>
    </cfRule>
  </conditionalFormatting>
  <conditionalFormatting sqref="E189">
    <cfRule type="containsText" dxfId="105" priority="111" operator="containsText" text="VIGENTE">
      <formula>NOT(ISERROR(SEARCH("VIGENTE",E189)))</formula>
    </cfRule>
    <cfRule type="containsText" dxfId="104" priority="112" operator="containsText" text="POR VENCER">
      <formula>NOT(ISERROR(SEARCH("POR VENCER",E189)))</formula>
    </cfRule>
    <cfRule type="containsText" dxfId="103" priority="113" operator="containsText" text="VENCIDA">
      <formula>NOT(ISERROR(SEARCH("VENCIDA",E189)))</formula>
    </cfRule>
    <cfRule type="containsText" dxfId="102" priority="114" operator="containsText" text="NO APLICA">
      <formula>NOT(ISERROR(SEARCH("NO APLICA",E189)))</formula>
    </cfRule>
  </conditionalFormatting>
  <conditionalFormatting sqref="E145">
    <cfRule type="containsText" dxfId="101" priority="107" operator="containsText" text="VIGENTE">
      <formula>NOT(ISERROR(SEARCH("VIGENTE",E145)))</formula>
    </cfRule>
    <cfRule type="containsText" dxfId="100" priority="108" operator="containsText" text="POR VENCER">
      <formula>NOT(ISERROR(SEARCH("POR VENCER",E145)))</formula>
    </cfRule>
    <cfRule type="containsText" dxfId="99" priority="109" operator="containsText" text="VENCIDA">
      <formula>NOT(ISERROR(SEARCH("VENCIDA",E145)))</formula>
    </cfRule>
    <cfRule type="containsText" dxfId="98" priority="110" operator="containsText" text="NO APLICA">
      <formula>NOT(ISERROR(SEARCH("NO APLICA",E145)))</formula>
    </cfRule>
  </conditionalFormatting>
  <conditionalFormatting sqref="E135">
    <cfRule type="containsText" dxfId="97" priority="103" operator="containsText" text="VIGENTE">
      <formula>NOT(ISERROR(SEARCH("VIGENTE",E135)))</formula>
    </cfRule>
    <cfRule type="containsText" dxfId="96" priority="104" operator="containsText" text="POR VENCER">
      <formula>NOT(ISERROR(SEARCH("POR VENCER",E135)))</formula>
    </cfRule>
    <cfRule type="containsText" dxfId="95" priority="105" operator="containsText" text="VENCIDA">
      <formula>NOT(ISERROR(SEARCH("VENCIDA",E135)))</formula>
    </cfRule>
    <cfRule type="containsText" dxfId="94" priority="106" operator="containsText" text="NO APLICA">
      <formula>NOT(ISERROR(SEARCH("NO APLICA",E135)))</formula>
    </cfRule>
  </conditionalFormatting>
  <conditionalFormatting sqref="HP237:HP238">
    <cfRule type="containsText" dxfId="93" priority="102" operator="containsText" text="PROGRAMAR">
      <formula>NOT(ISERROR(SEARCH("PROGRAMAR",HP237)))</formula>
    </cfRule>
  </conditionalFormatting>
  <conditionalFormatting sqref="HU237:HU238">
    <cfRule type="containsText" dxfId="92" priority="101" operator="containsText" text="PROGRAMAR">
      <formula>NOT(ISERROR(SEARCH("PROGRAMAR",HU237)))</formula>
    </cfRule>
  </conditionalFormatting>
  <conditionalFormatting sqref="HU237:HU238">
    <cfRule type="containsText" dxfId="91" priority="100" operator="containsText" text="PROGRAMAR">
      <formula>NOT(ISERROR(SEARCH("PROGRAMAR",HU237)))</formula>
    </cfRule>
  </conditionalFormatting>
  <conditionalFormatting sqref="AG237 AG232 AG195 AG146 AG143 AG48">
    <cfRule type="containsText" dxfId="90" priority="96" operator="containsText" text="NO APLICA">
      <formula>NOT(ISERROR(SEARCH("NO APLICA",AG48)))</formula>
    </cfRule>
    <cfRule type="containsText" dxfId="89" priority="97" operator="containsText" text="POR VENCER">
      <formula>NOT(ISERROR(SEARCH("POR VENCER",AG48)))</formula>
    </cfRule>
    <cfRule type="containsText" dxfId="88" priority="98" operator="containsText" text="VIGENTE">
      <formula>NOT(ISERROR(SEARCH("VIGENTE",AG48)))</formula>
    </cfRule>
    <cfRule type="containsText" dxfId="87" priority="99" operator="containsText" text="VENCIDA">
      <formula>NOT(ISERROR(SEARCH("VENCIDA",AG48)))</formula>
    </cfRule>
  </conditionalFormatting>
  <conditionalFormatting sqref="EI237:EK237 EI232:EK232 EI169:EK169 EI167:EK167 EI152:EK152 EI145:EK145 EI135:EK135 EI31:EK31">
    <cfRule type="containsText" dxfId="86" priority="95" operator="containsText" text="VENCIDA">
      <formula>NOT(ISERROR(SEARCH("VENCIDA",EI31)))</formula>
    </cfRule>
  </conditionalFormatting>
  <conditionalFormatting sqref="EI237:EK237 EI232:EK232 EI169:EK169 EI167:EK167 EI152:EK152 EI145:EK145 EI135:EK135 EI37:EK38 EI31:EK31">
    <cfRule type="containsText" dxfId="85" priority="94" operator="containsText" text="POR VENCER">
      <formula>NOT(ISERROR(SEARCH("POR VENCER",EI31)))</formula>
    </cfRule>
  </conditionalFormatting>
  <conditionalFormatting sqref="EI237:EK237 EI232:EK232 EI169:EK169 EI167:EK167 EI152:EK152 EI145:EK145 EI135:EK135 EI37:EK38 EI31:EK31">
    <cfRule type="containsText" dxfId="84" priority="93" operator="containsText" text="NO APLICA">
      <formula>NOT(ISERROR(SEARCH("NO APLICA",EI31)))</formula>
    </cfRule>
  </conditionalFormatting>
  <conditionalFormatting sqref="EI237:EK237 EI232:EK232 EI169:EK169 EI167:EK167 EI152:EK152 EI145:EK145 EI135:EK135 EI31:EK31">
    <cfRule type="containsText" dxfId="83" priority="92" operator="containsText" text="VIGENTE">
      <formula>NOT(ISERROR(SEARCH("VIGENTE",EI31)))</formula>
    </cfRule>
  </conditionalFormatting>
  <conditionalFormatting sqref="EH168 EH150 EH147 EH136:EH137 EH133 EH121 EH107 EH101 EH92 EH80 EH74 EH62:EH63 EH59 EH57 EH41:EH42 EH39 EH32">
    <cfRule type="containsText" dxfId="82" priority="91" operator="containsText" text="POR VENCER">
      <formula>NOT(ISERROR(SEARCH("POR VENCER",EH32)))</formula>
    </cfRule>
  </conditionalFormatting>
  <conditionalFormatting sqref="EH168 EH150 EH147 EH136:EH137 EH133 EH121 EH107 EH101 EH92 EH80 EH74 EH62:EH63 EH59 EH57 EH41:EH42 EH39 EH32">
    <cfRule type="containsText" dxfId="81" priority="90" operator="containsText" text="NO APLICA">
      <formula>NOT(ISERROR(SEARCH("NO APLICA",EH32)))</formula>
    </cfRule>
  </conditionalFormatting>
  <conditionalFormatting sqref="EH168 EH150 EH147 EH136:EH137 EH133 EH92">
    <cfRule type="containsText" dxfId="80" priority="89" operator="containsText" text="VENCIDA">
      <formula>NOT(ISERROR(SEARCH("VENCIDA",EH92)))</formula>
    </cfRule>
  </conditionalFormatting>
  <conditionalFormatting sqref="EH168 EH150 EH147 EH136:EH137 EH133 EH92">
    <cfRule type="containsText" dxfId="79" priority="88" operator="containsText" text="VIGENTE">
      <formula>NOT(ISERROR(SEARCH("VIGENTE",EH92)))</formula>
    </cfRule>
  </conditionalFormatting>
  <conditionalFormatting sqref="EH174">
    <cfRule type="containsText" dxfId="78" priority="87" operator="containsText" text="VENCIDA">
      <formula>NOT(ISERROR(SEARCH("VENCIDA",EH174)))</formula>
    </cfRule>
  </conditionalFormatting>
  <conditionalFormatting sqref="EH174">
    <cfRule type="containsText" dxfId="77" priority="86" operator="containsText" text="POR VENCER">
      <formula>NOT(ISERROR(SEARCH("POR VENCER",EH174)))</formula>
    </cfRule>
  </conditionalFormatting>
  <conditionalFormatting sqref="EH174">
    <cfRule type="containsText" dxfId="76" priority="85" operator="containsText" text="NO APLICA">
      <formula>NOT(ISERROR(SEARCH("NO APLICA",EH174)))</formula>
    </cfRule>
  </conditionalFormatting>
  <conditionalFormatting sqref="EH174">
    <cfRule type="containsText" dxfId="75" priority="84" operator="containsText" text="VIGENTE">
      <formula>NOT(ISERROR(SEARCH("VIGENTE",EH174)))</formula>
    </cfRule>
  </conditionalFormatting>
  <conditionalFormatting sqref="EI174:EK174 EI168:EK168 EI150:EK150 EI147:EK147 EI136:EK137 EI133:EK133 EI121:EK121 EI107:EK107 EI101:EK101 EI92:EK92 EI80:EK80 EI74:EK74 EI62:EK63 EI59:EK59 EI57:EK57 EI41:EK42 EI39:EK39 EI32:EK32">
    <cfRule type="containsText" dxfId="74" priority="83" operator="containsText" text="POR VENCER">
      <formula>NOT(ISERROR(SEARCH("POR VENCER",EI32)))</formula>
    </cfRule>
  </conditionalFormatting>
  <conditionalFormatting sqref="EI174:EK174 EI168:EK168 EI150:EK150 EI147:EK147 EI136:EK137 EI133:EK133 EI121:EK121 EI107:EK107 EI101:EK101 EI92:EK92 EI80:EK80 EI74:EK74 EI62:EK63 EI59:EK59 EI57:EK57 EI41:EK42 EI39:EK39 EI32:EK32">
    <cfRule type="containsText" dxfId="73" priority="82" operator="containsText" text="NO APLICA">
      <formula>NOT(ISERROR(SEARCH("NO APLICA",EI32)))</formula>
    </cfRule>
  </conditionalFormatting>
  <conditionalFormatting sqref="EI174:EK174 EI168:EK168 EI150:EK150 EI147:EK147 EI136:EK137 EI133:EK133 EI92:EK92">
    <cfRule type="containsText" dxfId="72" priority="81" operator="containsText" text="VENCIDA">
      <formula>NOT(ISERROR(SEARCH("VENCIDA",EI92)))</formula>
    </cfRule>
  </conditionalFormatting>
  <conditionalFormatting sqref="EI174:EK174 EI168:EK168 EI150:EK150 EI147:EK147 EI136:EK137 EI133:EK133 EI92:EK92">
    <cfRule type="containsText" dxfId="71" priority="80" operator="containsText" text="VIGENTE">
      <formula>NOT(ISERROR(SEARCH("VIGENTE",EI92)))</formula>
    </cfRule>
  </conditionalFormatting>
  <conditionalFormatting sqref="GN179 GN146">
    <cfRule type="expression" dxfId="70" priority="79">
      <formula>"O7&gt;=91"</formula>
    </cfRule>
  </conditionalFormatting>
  <conditionalFormatting sqref="EI189:EK189 EI178:EK178 EI164:EK164 EI162:EK162 EI120:EK120 EI118:EK118 EI104:EK104 EI97:EK97 EI87:EK87 EI83:EK83 EI69:EK70 EI67:EK67 EI60:EK60 EI51:EK51 EI27:EK28">
    <cfRule type="containsText" dxfId="69" priority="78" operator="containsText" text="VENCIDA">
      <formula>NOT(ISERROR(SEARCH("VENCIDA",EI27)))</formula>
    </cfRule>
  </conditionalFormatting>
  <conditionalFormatting sqref="EI189:EK189 EI178:EK178 EI164:EK164 EI162:EK162 EI120:EK120 EI118:EK118 EI104:EK104 EI97:EK97 EI87:EK87 EI83:EK83 EI69:EK70 EI67:EK67 EI60:EK60 EI51:EK51 EI27:EK28">
    <cfRule type="containsText" dxfId="68" priority="77" operator="containsText" text="VIGENTE">
      <formula>NOT(ISERROR(SEARCH("VIGENTE",EI27)))</formula>
    </cfRule>
  </conditionalFormatting>
  <conditionalFormatting sqref="EI189:EK189 EI178:EK178 EI164:EK164 EI162:EK162 EI120:EK120 EI118:EK118 EI104:EK104 EI97:EK97 EI87:EK87 EI83:EK83 EI69:EK70 EI67:EK67 EI60:EK60 EI51:EK51 EI27:EK28">
    <cfRule type="containsText" dxfId="67" priority="76" operator="containsText" text="POR VENCER">
      <formula>NOT(ISERROR(SEARCH("POR VENCER",EI27)))</formula>
    </cfRule>
  </conditionalFormatting>
  <conditionalFormatting sqref="EI189:EK189 EI178:EK178 EI164:EK164 EI162:EK162 EI120:EK120 EI118:EK118 EI104:EK104 EI97:EK97 EI87:EK87 EI83:EK83 EI69:EK70 EI67:EK67 EI60:EK60 EI51:EK51 EI27:EK28">
    <cfRule type="containsText" dxfId="66" priority="75" operator="containsText" text="NO APLICA">
      <formula>NOT(ISERROR(SEARCH("NO APLICA",EI27)))</formula>
    </cfRule>
  </conditionalFormatting>
  <conditionalFormatting sqref="EI186:EK186 EI170:EK170 EI166:EK166 EI161:EK161 EI157:EK157 EI73:EK73 EI50:EK50 EI43:EK43">
    <cfRule type="containsText" dxfId="65" priority="74" operator="containsText" text="VENCIDA">
      <formula>NOT(ISERROR(SEARCH("VENCIDA",EI43)))</formula>
    </cfRule>
  </conditionalFormatting>
  <conditionalFormatting sqref="EI186:EK186 EI170:EK170 EI166:EK166 EI161:EK161 EI157:EK157 EI126:EK126 EI123:EK123 EI108:EK108 EI105:EK105 EI85:EK85 EI77:EK77 EI73:EK73 EI52:EK52 EI50:EK50 EI43:EK43">
    <cfRule type="containsText" dxfId="64" priority="73" operator="containsText" text="POR VENCER">
      <formula>NOT(ISERROR(SEARCH("POR VENCER",EI43)))</formula>
    </cfRule>
  </conditionalFormatting>
  <conditionalFormatting sqref="EI186:EK186 EI170:EK170 EI166:EK166 EI161:EK161 EI157:EK157 EI126:EK126 EI123:EK123 EI108:EK108 EI105:EK105 EI85:EK85 EI77:EK77 EI73:EK73 EI52:EK52 EI50:EK50 EI43:EK43">
    <cfRule type="containsText" dxfId="63" priority="72" operator="containsText" text="NO APLICA">
      <formula>NOT(ISERROR(SEARCH("NO APLICA",EI43)))</formula>
    </cfRule>
  </conditionalFormatting>
  <conditionalFormatting sqref="EI186:EK186 EI170:EK170 EI166:EK166 EI161:EK161 EI157:EK157 EI73:EK73 EI50:EK50 EI43:EK43">
    <cfRule type="containsText" dxfId="62" priority="71" operator="containsText" text="VIGENTE">
      <formula>NOT(ISERROR(SEARCH("VIGENTE",EI43)))</formula>
    </cfRule>
  </conditionalFormatting>
  <conditionalFormatting sqref="O238 U238 CM238 CR238 CW238 DL238 DQ238 DV238 EC238 EH238 FB238 FG238 FL238 FQ238 FV238 GF238 GU238 HY238 IS238 IX238 JB238 JF238 KF238 KJ238 KY238 LD238 MS238 NJ238 NO238">
    <cfRule type="containsText" dxfId="58" priority="66" operator="containsText" text="VENCIDA">
      <formula>NOT(ISERROR(SEARCH("VENCIDA",O238)))</formula>
    </cfRule>
  </conditionalFormatting>
  <conditionalFormatting sqref="O238 U238 CM238 CR238 CW238 DL238 DQ238 DV238 EC238 EH238 FB238 FG238 FL238 FQ238 FV238 GF238 GU238 HY238 IS238 IX238 JB238 JF238 KF238 KJ238 KY238 LD238 MS238 NJ238 NO238">
    <cfRule type="containsText" dxfId="57" priority="61" operator="containsText" text="POR VENCER">
      <formula>NOT(ISERROR(SEARCH("POR VENCER",O238)))</formula>
    </cfRule>
  </conditionalFormatting>
  <conditionalFormatting sqref="LI238 HY238 O238 U238 CM238 CR238 CW238 DL238 DQ238 DV238 EC238 EH238 FB238 FG238 FL238 FQ238 FV238 GF238 GU238 IS238 IX238 JB238 JF238 KF238 KJ238 KY238 LD238 MS238 NJ238 NO238">
    <cfRule type="containsText" dxfId="56" priority="60" operator="containsText" text="NO APLICA">
      <formula>NOT(ISERROR(SEARCH("NO APLICA",O238)))</formula>
    </cfRule>
  </conditionalFormatting>
  <conditionalFormatting sqref="O238 U238 CM238 CR238 CW238 DL238 DQ238 DV238 EC238 EH238 FB238 FG238 FL238 FQ238 FV238 GF238 GU238 IS238 IX238 JB238 JF238 KF238 KJ238 KY238 LD238 LI238 MS238 NJ238 NO238 JK238 JO238">
    <cfRule type="containsText" dxfId="55" priority="59" operator="containsText" text="VIGENTE">
      <formula>NOT(ISERROR(SEARCH("VIGENTE",O238)))</formula>
    </cfRule>
  </conditionalFormatting>
  <conditionalFormatting sqref="J238">
    <cfRule type="containsText" dxfId="53" priority="52" operator="containsText" text="NO APLICA">
      <formula>NOT(ISERROR(SEARCH("NO APLICA",J238)))</formula>
    </cfRule>
    <cfRule type="containsText" dxfId="52" priority="53" operator="containsText" text="POR VENCER">
      <formula>NOT(ISERROR(SEARCH("POR VENCER",J238)))</formula>
    </cfRule>
  </conditionalFormatting>
  <conditionalFormatting sqref="J238:K238">
    <cfRule type="containsText" dxfId="51" priority="50" operator="containsText" text="VIGENTE">
      <formula>NOT(ISERROR(SEARCH("VIGENTE",J238)))</formula>
    </cfRule>
    <cfRule type="containsText" dxfId="50" priority="51" operator="containsText" text="VENCIDA">
      <formula>NOT(ISERROR(SEARCH("VENCIDA",J238)))</formula>
    </cfRule>
  </conditionalFormatting>
  <conditionalFormatting sqref="K238">
    <cfRule type="containsText" dxfId="49" priority="48" operator="containsText" text="NO APLICA">
      <formula>NOT(ISERROR(SEARCH("NO APLICA",K238)))</formula>
    </cfRule>
    <cfRule type="containsText" dxfId="48" priority="49" operator="containsText" text="POR VENCER">
      <formula>NOT(ISERROR(SEARCH("POR VENCER",K238)))</formula>
    </cfRule>
  </conditionalFormatting>
  <conditionalFormatting sqref="P238:Q238 Z238:AA238 AF238 AK238 AU238 AZ238 BO238 DB238 DG238 EM238 ER238 EW238 GA238 GK238 GP238 GZ238 HE238 HO238 HT238 HY238 ID238 II238 IN238 JP238 JS238:JT238 JW238:JX238 KO238:KP238 KU238 LN238 LS238 LW238:LX238 LZ238:MB238 MF238:MG238 MK238:ML238 HG238 KR238:KS238 LP238">
    <cfRule type="containsText" dxfId="47" priority="47" operator="containsText" text="VIGENTE">
      <formula>NOT(ISERROR(SEARCH("VIGENTE",P238)))</formula>
    </cfRule>
  </conditionalFormatting>
  <conditionalFormatting sqref="P238:Q238">
    <cfRule type="containsText" dxfId="46" priority="44" operator="containsText" text="VENCIDA">
      <formula>NOT(ISERROR(SEARCH("VENCIDA",P238)))</formula>
    </cfRule>
    <cfRule type="containsText" dxfId="45" priority="45" operator="containsText" text="NO APLICA">
      <formula>NOT(ISERROR(SEARCH("NO APLICA",P238)))</formula>
    </cfRule>
    <cfRule type="containsText" dxfId="44" priority="46" operator="containsText" text="POR VENCER">
      <formula>NOT(ISERROR(SEARCH("POR VENCER",P238)))</formula>
    </cfRule>
  </conditionalFormatting>
  <conditionalFormatting sqref="V238">
    <cfRule type="containsText" dxfId="43" priority="43" operator="containsText" text="VENCIDA">
      <formula>NOT(ISERROR(SEARCH("VENCIDA",V238)))</formula>
    </cfRule>
  </conditionalFormatting>
  <conditionalFormatting sqref="V238">
    <cfRule type="containsText" dxfId="42" priority="40" operator="containsText" text="NO APLICA">
      <formula>NOT(ISERROR(SEARCH("NO APLICA",V238)))</formula>
    </cfRule>
    <cfRule type="containsText" dxfId="41" priority="41" operator="containsText" text="POR VENCER">
      <formula>NOT(ISERROR(SEARCH("POR VENCER",V238)))</formula>
    </cfRule>
    <cfRule type="containsText" dxfId="40" priority="42" operator="containsText" text="VIGENTE">
      <formula>NOT(ISERROR(SEARCH("VIGENTE",V238)))</formula>
    </cfRule>
  </conditionalFormatting>
  <conditionalFormatting sqref="Z238:AA238 AF238 AK238 AU238 AZ238 BO238 DB238 DG238 EM238 ER238 EW238 GA238 GK238 GP238 GZ238 HE238 HJ238 HO238 HT238 ID238 II238 IN238 JK238:JL238 JO238:JP238 JS238:JT238 JW238:JX238 KO238:KP238 KU238 LN238 LS238 LW238:LX238 LZ238:MB238 MF238:MG238 MK238:ML238 LI238 HG238 KR238:KS238 LK238 LP238">
    <cfRule type="containsText" dxfId="39" priority="39" operator="containsText" text="POR VENCER">
      <formula>NOT(ISERROR(SEARCH("POR VENCER",Z238)))</formula>
    </cfRule>
  </conditionalFormatting>
  <conditionalFormatting sqref="Z238:AA238 AF238 AK238 AU238 AZ238 BO238 DB238 DG238 EM238 ER238 EW238 GA238 GK238 GP238 GZ238 HE238 HO238 HT238 ID238 II238 IN238 JO238:JP238 JS238:JT238 JW238:JX238 KO238:KP238 KU238 LN238 LS238 LW238:LX238 LZ238:MB238 MF238:MG238 MK238:ML238 HJ238 JK238:JL238 HG238 KR238:KS238 LP238">
    <cfRule type="containsText" dxfId="38" priority="38" operator="containsText" text="NO APLICA">
      <formula>NOT(ISERROR(SEARCH("NO APLICA",Z238)))</formula>
    </cfRule>
  </conditionalFormatting>
  <conditionalFormatting sqref="AP238 BE238 BJ238 CD238 DX238:DY238 ED238 EI238">
    <cfRule type="containsText" dxfId="37" priority="37" operator="containsText" text="NO APLICA">
      <formula>NOT(ISERROR(SEARCH("NO APLICA",AP238)))</formula>
    </cfRule>
  </conditionalFormatting>
  <conditionalFormatting sqref="AP238">
    <cfRule type="containsText" dxfId="36" priority="35" operator="containsText" text="POR VENCER">
      <formula>NOT(ISERROR(SEARCH("POR VENCER",AP238)))</formula>
    </cfRule>
    <cfRule type="containsText" dxfId="35" priority="36" operator="containsText" text="VIGENTE">
      <formula>NOT(ISERROR(SEARCH("VIGENTE",AP238)))</formula>
    </cfRule>
  </conditionalFormatting>
  <conditionalFormatting sqref="BE238 BJ238 CD238 DX238:DY238 ED238 EI238 KB238">
    <cfRule type="containsText" dxfId="34" priority="34" operator="containsText" text="VIGENTE">
      <formula>NOT(ISERROR(SEARCH("VIGENTE",BE238)))</formula>
    </cfRule>
  </conditionalFormatting>
  <conditionalFormatting sqref="BE238 BJ238 CD238 DX238:DY238 ED238 EI238">
    <cfRule type="containsText" dxfId="33" priority="33" operator="containsText" text="POR VENCER">
      <formula>NOT(ISERROR(SEARCH("POR VENCER",BE238)))</formula>
    </cfRule>
  </conditionalFormatting>
  <conditionalFormatting sqref="ED238 EI238 DX238:DY238 CD238 KB238 BJ238 AP238 BE238">
    <cfRule type="containsText" dxfId="32" priority="32" operator="containsText" text="VENCIDA">
      <formula>NOT(ISERROR(SEARCH("VENCIDA",AP238)))</formula>
    </cfRule>
  </conditionalFormatting>
  <conditionalFormatting sqref="NE238 NT238 NY238">
    <cfRule type="containsText" dxfId="31" priority="28" operator="containsText" text="VENCIDA">
      <formula>NOT(ISERROR(SEARCH("VENCIDA",NE238)))</formula>
    </cfRule>
    <cfRule type="containsText" dxfId="30" priority="29" operator="containsText" text="NO APLICA">
      <formula>NOT(ISERROR(SEARCH("NO APLICA",NE238)))</formula>
    </cfRule>
    <cfRule type="containsText" dxfId="29" priority="30" operator="containsText" text="POR VENCER">
      <formula>NOT(ISERROR(SEARCH("POR VENCER",NE238)))</formula>
    </cfRule>
    <cfRule type="containsText" dxfId="28" priority="31" operator="containsText" text="VIGENTE">
      <formula>NOT(ISERROR(SEARCH("VIGENTE",NE238)))</formula>
    </cfRule>
  </conditionalFormatting>
  <conditionalFormatting sqref="GC238">
    <cfRule type="expression" dxfId="27" priority="27">
      <formula>"O7&gt;=91"</formula>
    </cfRule>
  </conditionalFormatting>
  <conditionalFormatting sqref="HE238 JO238:JP238 JK238:JL238 JS238:JT238 JW238:JX238 LN238 MF238:MG238 KU238 ID238 LS238 LW238:LX238 KO238:KP238 DG238 GA238 HO238 HT238 II238 IN238 LI238 LZ238:MB238 DB238 EM238 ER238 EW238 GK238 GP238 HJ238 GZ238 MK238:ML238 AF238 AK238 Z238:AA238 AU238 AZ238 BO238 HG238 KR238:KS238 LK238 LP238">
    <cfRule type="containsText" dxfId="26" priority="26" operator="containsText" text="VENCIDA">
      <formula>NOT(ISERROR(SEARCH("VENCIDA",Z238)))</formula>
    </cfRule>
  </conditionalFormatting>
  <conditionalFormatting sqref="HI238">
    <cfRule type="containsText" dxfId="25" priority="23" operator="containsText" text="POR VENCER">
      <formula>NOT(ISERROR(SEARCH("POR VENCER",HI238)))</formula>
    </cfRule>
    <cfRule type="containsText" dxfId="24" priority="24" operator="containsText" text="VENCIDA">
      <formula>NOT(ISERROR(SEARCH("VENCIDA",HI238)))</formula>
    </cfRule>
    <cfRule type="containsText" dxfId="23" priority="25" operator="containsText" text="NO APLICA">
      <formula>NOT(ISERROR(SEARCH("NO APLICA",HI238)))</formula>
    </cfRule>
  </conditionalFormatting>
  <conditionalFormatting sqref="HI238:HJ238">
    <cfRule type="containsText" dxfId="22" priority="22" operator="containsText" text="VIGENTE">
      <formula>NOT(ISERROR(SEARCH("VIGENTE",HI238)))</formula>
    </cfRule>
  </conditionalFormatting>
  <conditionalFormatting sqref="JL238">
    <cfRule type="containsText" dxfId="21" priority="21" operator="containsText" text="VIGENTE">
      <formula>NOT(ISERROR(SEARCH("VIGENTE",JL238)))</formula>
    </cfRule>
  </conditionalFormatting>
  <conditionalFormatting sqref="MZ238">
    <cfRule type="containsText" dxfId="20" priority="17" operator="containsText" text="NO APLICA">
      <formula>NOT(ISERROR(SEARCH("NO APLICA",MZ238)))</formula>
    </cfRule>
    <cfRule type="containsText" dxfId="19" priority="18" operator="containsText" text="VENCIDA">
      <formula>NOT(ISERROR(SEARCH("VENCIDA",MZ238)))</formula>
    </cfRule>
    <cfRule type="containsText" dxfId="18" priority="19" operator="containsText" text="POR VENCER">
      <formula>NOT(ISERROR(SEARCH("POR VENCER",MZ238)))</formula>
    </cfRule>
    <cfRule type="containsText" dxfId="17" priority="20" operator="containsText" text="VIGENTE">
      <formula>NOT(ISERROR(SEARCH("VIGENTE",MZ238)))</formula>
    </cfRule>
  </conditionalFormatting>
  <conditionalFormatting sqref="KB238">
    <cfRule type="containsText" dxfId="16" priority="15" operator="containsText" text="NO APLICA">
      <formula>NOT(ISERROR(SEARCH("NO APLICA",KB238)))</formula>
    </cfRule>
    <cfRule type="containsText" dxfId="15" priority="16" operator="containsText" text="POR VENCER">
      <formula>NOT(ISERROR(SEARCH("POR VENCER",KB238)))</formula>
    </cfRule>
  </conditionalFormatting>
  <conditionalFormatting sqref="KT238">
    <cfRule type="containsText" dxfId="14" priority="11" operator="containsText" text="NO APLICA">
      <formula>NOT(ISERROR(SEARCH("NO APLICA",KT238)))</formula>
    </cfRule>
    <cfRule type="containsText" dxfId="13" priority="12" operator="containsText" text="POR VENCER">
      <formula>NOT(ISERROR(SEARCH("POR VENCER",KT238)))</formula>
    </cfRule>
    <cfRule type="containsText" dxfId="12" priority="13" operator="containsText" text="VENCIDA">
      <formula>NOT(ISERROR(SEARCH("VENCIDA",KT238)))</formula>
    </cfRule>
    <cfRule type="containsText" dxfId="11" priority="14" operator="containsText" text="VIGENTE">
      <formula>NOT(ISERROR(SEARCH("VIGENTE",KT238)))</formula>
    </cfRule>
  </conditionalFormatting>
  <conditionalFormatting sqref="LK238">
    <cfRule type="containsText" dxfId="10" priority="9" operator="containsText" text="VIGENTE">
      <formula>NOT(ISERROR(SEARCH("VIGENTE",LK238)))</formula>
    </cfRule>
    <cfRule type="containsText" dxfId="9" priority="10" operator="containsText" text="NO APLICA">
      <formula>NOT(ISERROR(SEARCH("NO APLICA",LK238)))</formula>
    </cfRule>
  </conditionalFormatting>
  <conditionalFormatting sqref="MP238 MT238:MU238 MR238 MW238:MY238">
    <cfRule type="containsText" dxfId="8" priority="6" operator="containsText" text="NO APLICA">
      <formula>NOT(ISERROR(SEARCH("NO APLICA",MP238)))</formula>
    </cfRule>
    <cfRule type="containsText" dxfId="7" priority="7" operator="containsText" text="POR VENCER">
      <formula>NOT(ISERROR(SEARCH("POR VENCER",MP238)))</formula>
    </cfRule>
    <cfRule type="containsText" dxfId="6" priority="8" operator="containsText" text="VIGENTE">
      <formula>NOT(ISERROR(SEARCH("VIGENTE",MP238)))</formula>
    </cfRule>
  </conditionalFormatting>
  <conditionalFormatting sqref="MT238:MU238 MP238 MR238 MW238:MY238">
    <cfRule type="containsText" dxfId="5" priority="5" operator="containsText" text="VENCIDA">
      <formula>NOT(ISERROR(SEARCH("VENCIDA",MP238)))</formula>
    </cfRule>
  </conditionalFormatting>
  <conditionalFormatting sqref="E152">
    <cfRule type="containsText" dxfId="4" priority="1" operator="containsText" text="VIGENTE">
      <formula>NOT(ISERROR(SEARCH("VIGENTE",E152)))</formula>
    </cfRule>
    <cfRule type="containsText" dxfId="3" priority="2" operator="containsText" text="POR VENCER">
      <formula>NOT(ISERROR(SEARCH("POR VENCER",E152)))</formula>
    </cfRule>
    <cfRule type="containsText" dxfId="2" priority="3" operator="containsText" text="VENCIDA">
      <formula>NOT(ISERROR(SEARCH("VENCIDA",E152)))</formula>
    </cfRule>
    <cfRule type="containsText" dxfId="1" priority="4" operator="containsText" text="NO APLICA">
      <formula>NOT(ISERROR(SEARCH("NO APLICA",E152)))</formula>
    </cfRule>
  </conditionalFormatting>
  <conditionalFormatting sqref="D1:D2">
    <cfRule type="duplicateValues" dxfId="0" priority="1028"/>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 CH VSA</dc:creator>
  <cp:lastModifiedBy>Office CH VSA</cp:lastModifiedBy>
  <dcterms:created xsi:type="dcterms:W3CDTF">2026-04-20T03:02:00Z</dcterms:created>
  <dcterms:modified xsi:type="dcterms:W3CDTF">2026-04-20T03:04:25Z</dcterms:modified>
</cp:coreProperties>
</file>